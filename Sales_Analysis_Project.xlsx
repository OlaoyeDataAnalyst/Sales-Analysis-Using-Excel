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heets/sheet1.xml" ContentType="application/vnd.openxmlformats-officedocument.spreadsheetml.chartsheet+xml"/>
  <Override PartName="/xl/worksheets/sheet4.xml" ContentType="application/vnd.openxmlformats-officedocument.spreadsheetml.worksheet+xml"/>
  <Override PartName="/xl/chartsheets/sheet2.xml" ContentType="application/vnd.openxmlformats-officedocument.spreadsheetml.chartsheet+xml"/>
  <Override PartName="/xl/worksheets/sheet5.xml" ContentType="application/vnd.openxmlformats-officedocument.spreadsheetml.worksheet+xml"/>
  <Override PartName="/xl/chartsheets/sheet3.xml" ContentType="application/vnd.openxmlformats-officedocument.spreadsheetml.chart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heets/sheet4.xml" ContentType="application/vnd.openxmlformats-officedocument.spreadsheetml.chart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11b22afdddc1873/"/>
    </mc:Choice>
  </mc:AlternateContent>
  <xr:revisionPtr revIDLastSave="2" documentId="13_ncr:1_{FE05E43D-B3F5-4AB0-B4FF-5A11F2804379}" xr6:coauthVersionLast="47" xr6:coauthVersionMax="47" xr10:uidLastSave="{8357BFC6-BF81-4125-81D0-A28B4E9903A6}"/>
  <bookViews>
    <workbookView xWindow="-120" yWindow="-120" windowWidth="20730" windowHeight="11040" firstSheet="6" activeTab="10" xr2:uid="{E49F2565-A2EA-46F1-9F1F-BF6C5EEA67A8}"/>
  </bookViews>
  <sheets>
    <sheet name="Raw_Data" sheetId="1" r:id="rId1"/>
    <sheet name="Cleaned_Data" sheetId="2" r:id="rId2"/>
    <sheet name="Pivot-ProductLine" sheetId="7" r:id="rId3"/>
    <sheet name="Chart1-ProductLine" sheetId="12" r:id="rId4"/>
    <sheet name="Pivot-Monthly" sheetId="8" r:id="rId5"/>
    <sheet name="Chart2-Monthly" sheetId="13" r:id="rId6"/>
    <sheet name="Pivot-Country" sheetId="9" r:id="rId7"/>
    <sheet name="Chart4-Country" sheetId="16" r:id="rId8"/>
    <sheet name="Pivot-Customer" sheetId="10" r:id="rId9"/>
    <sheet name="Pivot-DealSize" sheetId="11" r:id="rId10"/>
    <sheet name="Chart3-DealSize" sheetId="15" r:id="rId11"/>
  </sheets>
  <calcPr calcId="191028" iterateDelta="1E-4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5" i="10" l="1"/>
  <c r="A6" i="10"/>
  <c r="A7" i="10"/>
  <c r="A8" i="10"/>
  <c r="A9" i="10"/>
  <c r="A10" i="10"/>
  <c r="A11" i="10"/>
  <c r="A12" i="10"/>
  <c r="A13" i="10"/>
  <c r="A4" i="10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4" i="9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0" i="2"/>
  <c r="F1631" i="2"/>
  <c r="F1632" i="2"/>
  <c r="F1633" i="2"/>
  <c r="F1634" i="2"/>
  <c r="F1635" i="2"/>
  <c r="F1636" i="2"/>
  <c r="F1637" i="2"/>
  <c r="F1638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61" i="2"/>
  <c r="F1662" i="2"/>
  <c r="F1663" i="2"/>
  <c r="F1664" i="2"/>
  <c r="F1665" i="2"/>
  <c r="F1666" i="2"/>
  <c r="F1667" i="2"/>
  <c r="F1668" i="2"/>
  <c r="F1669" i="2"/>
  <c r="F1670" i="2"/>
  <c r="F1671" i="2"/>
  <c r="F1672" i="2"/>
  <c r="F1673" i="2"/>
  <c r="F1674" i="2"/>
  <c r="F1675" i="2"/>
  <c r="F1676" i="2"/>
  <c r="F1677" i="2"/>
  <c r="F1678" i="2"/>
  <c r="F1679" i="2"/>
  <c r="F1680" i="2"/>
  <c r="F1681" i="2"/>
  <c r="F1682" i="2"/>
  <c r="F1683" i="2"/>
  <c r="F1684" i="2"/>
  <c r="F1685" i="2"/>
  <c r="F1686" i="2"/>
  <c r="F1687" i="2"/>
  <c r="F1688" i="2"/>
  <c r="F1689" i="2"/>
  <c r="F1690" i="2"/>
  <c r="F1691" i="2"/>
  <c r="F1692" i="2"/>
  <c r="F1693" i="2"/>
  <c r="F1694" i="2"/>
  <c r="F1695" i="2"/>
  <c r="F1696" i="2"/>
  <c r="F1697" i="2"/>
  <c r="F1698" i="2"/>
  <c r="F1699" i="2"/>
  <c r="F1700" i="2"/>
  <c r="F1701" i="2"/>
  <c r="F1702" i="2"/>
  <c r="F1703" i="2"/>
  <c r="F1704" i="2"/>
  <c r="F1705" i="2"/>
  <c r="F1706" i="2"/>
  <c r="F1707" i="2"/>
  <c r="F1708" i="2"/>
  <c r="F1709" i="2"/>
  <c r="F1710" i="2"/>
  <c r="F1711" i="2"/>
  <c r="F1712" i="2"/>
  <c r="F1713" i="2"/>
  <c r="F1714" i="2"/>
  <c r="F1715" i="2"/>
  <c r="F1716" i="2"/>
  <c r="F1717" i="2"/>
  <c r="F1718" i="2"/>
  <c r="F1719" i="2"/>
  <c r="F1720" i="2"/>
  <c r="F1721" i="2"/>
  <c r="F1722" i="2"/>
  <c r="F1723" i="2"/>
  <c r="F1724" i="2"/>
  <c r="F1725" i="2"/>
  <c r="F1726" i="2"/>
  <c r="F1727" i="2"/>
  <c r="F1728" i="2"/>
  <c r="F1729" i="2"/>
  <c r="F1730" i="2"/>
  <c r="F1731" i="2"/>
  <c r="F1732" i="2"/>
  <c r="F1733" i="2"/>
  <c r="F1734" i="2"/>
  <c r="F1735" i="2"/>
  <c r="F1736" i="2"/>
  <c r="F1737" i="2"/>
  <c r="F1738" i="2"/>
  <c r="F1739" i="2"/>
  <c r="F1740" i="2"/>
  <c r="F1741" i="2"/>
  <c r="F1742" i="2"/>
  <c r="F1743" i="2"/>
  <c r="F1744" i="2"/>
  <c r="F1745" i="2"/>
  <c r="F1746" i="2"/>
  <c r="F1747" i="2"/>
  <c r="F1748" i="2"/>
  <c r="F1749" i="2"/>
  <c r="F1750" i="2"/>
  <c r="F1751" i="2"/>
  <c r="F1752" i="2"/>
  <c r="F1753" i="2"/>
  <c r="F1754" i="2"/>
  <c r="F1755" i="2"/>
  <c r="F1756" i="2"/>
  <c r="F1757" i="2"/>
  <c r="F1758" i="2"/>
  <c r="F1759" i="2"/>
  <c r="F1760" i="2"/>
  <c r="F1761" i="2"/>
  <c r="F1762" i="2"/>
  <c r="F1763" i="2"/>
  <c r="F1764" i="2"/>
  <c r="F1765" i="2"/>
  <c r="F1766" i="2"/>
  <c r="F1767" i="2"/>
  <c r="F1768" i="2"/>
  <c r="F1769" i="2"/>
  <c r="F1770" i="2"/>
  <c r="F1771" i="2"/>
  <c r="F1772" i="2"/>
  <c r="F1773" i="2"/>
  <c r="F1774" i="2"/>
  <c r="F1775" i="2"/>
  <c r="F1776" i="2"/>
  <c r="F1777" i="2"/>
  <c r="F1778" i="2"/>
  <c r="F1779" i="2"/>
  <c r="F1780" i="2"/>
  <c r="F1781" i="2"/>
  <c r="F1782" i="2"/>
  <c r="F1783" i="2"/>
  <c r="F1784" i="2"/>
  <c r="F1785" i="2"/>
  <c r="F1786" i="2"/>
  <c r="F1787" i="2"/>
  <c r="F1788" i="2"/>
  <c r="F1789" i="2"/>
  <c r="F1790" i="2"/>
  <c r="F1791" i="2"/>
  <c r="F1792" i="2"/>
  <c r="F1793" i="2"/>
  <c r="F1794" i="2"/>
  <c r="F1795" i="2"/>
  <c r="F1796" i="2"/>
  <c r="F1797" i="2"/>
  <c r="F1798" i="2"/>
  <c r="F1799" i="2"/>
  <c r="F1800" i="2"/>
  <c r="F1801" i="2"/>
  <c r="F1802" i="2"/>
  <c r="F1803" i="2"/>
  <c r="F1804" i="2"/>
  <c r="F1805" i="2"/>
  <c r="F1806" i="2"/>
  <c r="F1807" i="2"/>
  <c r="F1808" i="2"/>
  <c r="F1809" i="2"/>
  <c r="F1810" i="2"/>
  <c r="F1811" i="2"/>
  <c r="F1812" i="2"/>
  <c r="F1813" i="2"/>
  <c r="F1814" i="2"/>
  <c r="F1815" i="2"/>
  <c r="F1816" i="2"/>
  <c r="F1817" i="2"/>
  <c r="F1818" i="2"/>
  <c r="F1819" i="2"/>
  <c r="F1820" i="2"/>
  <c r="F1821" i="2"/>
  <c r="F1822" i="2"/>
  <c r="F1823" i="2"/>
  <c r="F1824" i="2"/>
  <c r="F1825" i="2"/>
  <c r="F1826" i="2"/>
  <c r="F1827" i="2"/>
  <c r="F1828" i="2"/>
  <c r="F1829" i="2"/>
  <c r="F1830" i="2"/>
  <c r="F1831" i="2"/>
  <c r="F1832" i="2"/>
  <c r="F1833" i="2"/>
  <c r="F1834" i="2"/>
  <c r="F1835" i="2"/>
  <c r="F1836" i="2"/>
  <c r="F1837" i="2"/>
  <c r="F1838" i="2"/>
  <c r="F1839" i="2"/>
  <c r="F1840" i="2"/>
  <c r="F1841" i="2"/>
  <c r="F1842" i="2"/>
  <c r="F1843" i="2"/>
  <c r="F1844" i="2"/>
  <c r="F1845" i="2"/>
  <c r="F1846" i="2"/>
  <c r="F1847" i="2"/>
  <c r="F1848" i="2"/>
  <c r="F1849" i="2"/>
  <c r="F1850" i="2"/>
  <c r="F1851" i="2"/>
  <c r="F1852" i="2"/>
  <c r="F1853" i="2"/>
  <c r="F1854" i="2"/>
  <c r="F1855" i="2"/>
  <c r="F1856" i="2"/>
  <c r="F1857" i="2"/>
  <c r="F1858" i="2"/>
  <c r="F1859" i="2"/>
  <c r="F1860" i="2"/>
  <c r="F1861" i="2"/>
  <c r="F1862" i="2"/>
  <c r="F1863" i="2"/>
  <c r="F1864" i="2"/>
  <c r="F1865" i="2"/>
  <c r="F1866" i="2"/>
  <c r="F1867" i="2"/>
  <c r="F1868" i="2"/>
  <c r="F1869" i="2"/>
  <c r="F1870" i="2"/>
  <c r="F1871" i="2"/>
  <c r="F1872" i="2"/>
  <c r="F1873" i="2"/>
  <c r="F1874" i="2"/>
  <c r="F1875" i="2"/>
  <c r="F1876" i="2"/>
  <c r="F1877" i="2"/>
  <c r="F1878" i="2"/>
  <c r="F1879" i="2"/>
  <c r="F1880" i="2"/>
  <c r="F1881" i="2"/>
  <c r="F1882" i="2"/>
  <c r="F1883" i="2"/>
  <c r="F1884" i="2"/>
  <c r="F1885" i="2"/>
  <c r="F1886" i="2"/>
  <c r="F1887" i="2"/>
  <c r="F1888" i="2"/>
  <c r="F1889" i="2"/>
  <c r="F1890" i="2"/>
  <c r="F1891" i="2"/>
  <c r="F1892" i="2"/>
  <c r="F1893" i="2"/>
  <c r="F1894" i="2"/>
  <c r="F1895" i="2"/>
  <c r="F1896" i="2"/>
  <c r="F1897" i="2"/>
  <c r="F1898" i="2"/>
  <c r="F1899" i="2"/>
  <c r="F1900" i="2"/>
  <c r="F1901" i="2"/>
  <c r="F1902" i="2"/>
  <c r="F1903" i="2"/>
  <c r="F1904" i="2"/>
  <c r="F1905" i="2"/>
  <c r="F1906" i="2"/>
  <c r="F1907" i="2"/>
  <c r="F1908" i="2"/>
  <c r="F1909" i="2"/>
  <c r="F1910" i="2"/>
  <c r="F1911" i="2"/>
  <c r="F1912" i="2"/>
  <c r="F1913" i="2"/>
  <c r="F1914" i="2"/>
  <c r="F1915" i="2"/>
  <c r="F1916" i="2"/>
  <c r="F1917" i="2"/>
  <c r="F1918" i="2"/>
  <c r="F1919" i="2"/>
  <c r="F1920" i="2"/>
  <c r="F1921" i="2"/>
  <c r="F1922" i="2"/>
  <c r="F1923" i="2"/>
  <c r="F1924" i="2"/>
  <c r="F1925" i="2"/>
  <c r="F1926" i="2"/>
  <c r="F1927" i="2"/>
  <c r="F1928" i="2"/>
  <c r="F1929" i="2"/>
  <c r="F1930" i="2"/>
  <c r="F1931" i="2"/>
  <c r="F1932" i="2"/>
  <c r="F1933" i="2"/>
  <c r="F1934" i="2"/>
  <c r="F1935" i="2"/>
  <c r="F1936" i="2"/>
  <c r="F1937" i="2"/>
  <c r="F1938" i="2"/>
  <c r="F1939" i="2"/>
  <c r="F1940" i="2"/>
  <c r="F1941" i="2"/>
  <c r="F1942" i="2"/>
  <c r="F1943" i="2"/>
  <c r="F1944" i="2"/>
  <c r="F1945" i="2"/>
  <c r="F1946" i="2"/>
  <c r="F1947" i="2"/>
  <c r="F1948" i="2"/>
  <c r="F1949" i="2"/>
  <c r="F1950" i="2"/>
  <c r="F1951" i="2"/>
  <c r="F1952" i="2"/>
  <c r="F1953" i="2"/>
  <c r="F1954" i="2"/>
  <c r="F1955" i="2"/>
  <c r="F1956" i="2"/>
  <c r="F1957" i="2"/>
  <c r="F1958" i="2"/>
  <c r="F1959" i="2"/>
  <c r="F1960" i="2"/>
  <c r="F1961" i="2"/>
  <c r="F1962" i="2"/>
  <c r="F1963" i="2"/>
  <c r="F1964" i="2"/>
  <c r="F1965" i="2"/>
  <c r="F1966" i="2"/>
  <c r="F1967" i="2"/>
  <c r="F1968" i="2"/>
  <c r="F1969" i="2"/>
  <c r="F1970" i="2"/>
  <c r="F1971" i="2"/>
  <c r="F1972" i="2"/>
  <c r="F1973" i="2"/>
  <c r="F1974" i="2"/>
  <c r="F1975" i="2"/>
  <c r="F1976" i="2"/>
  <c r="F1977" i="2"/>
  <c r="F1978" i="2"/>
  <c r="F1979" i="2"/>
  <c r="F1980" i="2"/>
  <c r="F1981" i="2"/>
  <c r="F1982" i="2"/>
  <c r="F1983" i="2"/>
  <c r="F1984" i="2"/>
  <c r="F1985" i="2"/>
  <c r="F1986" i="2"/>
  <c r="F1987" i="2"/>
  <c r="F1988" i="2"/>
  <c r="F1989" i="2"/>
  <c r="F1990" i="2"/>
  <c r="F1991" i="2"/>
  <c r="F1992" i="2"/>
  <c r="F1993" i="2"/>
  <c r="F1994" i="2"/>
  <c r="F1995" i="2"/>
  <c r="F1996" i="2"/>
  <c r="F1997" i="2"/>
  <c r="F1998" i="2"/>
  <c r="F1999" i="2"/>
  <c r="F2000" i="2"/>
  <c r="F2001" i="2"/>
  <c r="F2002" i="2"/>
  <c r="F2003" i="2"/>
  <c r="F2004" i="2"/>
  <c r="F2005" i="2"/>
  <c r="F2006" i="2"/>
  <c r="F2007" i="2"/>
  <c r="F2008" i="2"/>
  <c r="F2009" i="2"/>
  <c r="F2010" i="2"/>
  <c r="F2011" i="2"/>
  <c r="F2012" i="2"/>
  <c r="F2013" i="2"/>
  <c r="F2014" i="2"/>
  <c r="F2015" i="2"/>
  <c r="F2016" i="2"/>
  <c r="F2017" i="2"/>
  <c r="F2018" i="2"/>
  <c r="F2019" i="2"/>
  <c r="F2020" i="2"/>
  <c r="F2021" i="2"/>
  <c r="F2022" i="2"/>
  <c r="F2023" i="2"/>
  <c r="F2024" i="2"/>
  <c r="F2025" i="2"/>
  <c r="F2026" i="2"/>
  <c r="F2027" i="2"/>
  <c r="F2028" i="2"/>
  <c r="F2029" i="2"/>
  <c r="F2030" i="2"/>
  <c r="F2031" i="2"/>
  <c r="F2032" i="2"/>
  <c r="F2033" i="2"/>
  <c r="F2034" i="2"/>
  <c r="F2035" i="2"/>
  <c r="F2036" i="2"/>
  <c r="F2037" i="2"/>
  <c r="F2038" i="2"/>
  <c r="F2039" i="2"/>
  <c r="F2040" i="2"/>
  <c r="F2041" i="2"/>
  <c r="F2042" i="2"/>
  <c r="F2043" i="2"/>
  <c r="F2044" i="2"/>
  <c r="F2045" i="2"/>
  <c r="F2046" i="2"/>
  <c r="F2047" i="2"/>
  <c r="F2048" i="2"/>
  <c r="F2049" i="2"/>
  <c r="F2050" i="2"/>
  <c r="F2051" i="2"/>
  <c r="F2052" i="2"/>
  <c r="F2053" i="2"/>
  <c r="F2054" i="2"/>
  <c r="F2055" i="2"/>
  <c r="F2056" i="2"/>
  <c r="F2057" i="2"/>
  <c r="F2058" i="2"/>
  <c r="F2059" i="2"/>
  <c r="F2060" i="2"/>
  <c r="F2061" i="2"/>
  <c r="F2062" i="2"/>
  <c r="F2063" i="2"/>
  <c r="F2064" i="2"/>
  <c r="F2065" i="2"/>
  <c r="F2066" i="2"/>
  <c r="F2067" i="2"/>
  <c r="F2068" i="2"/>
  <c r="F2069" i="2"/>
  <c r="F2070" i="2"/>
  <c r="F2071" i="2"/>
  <c r="F2072" i="2"/>
  <c r="F2073" i="2"/>
  <c r="F2074" i="2"/>
  <c r="F2075" i="2"/>
  <c r="F2076" i="2"/>
  <c r="F2077" i="2"/>
  <c r="F2078" i="2"/>
  <c r="F2079" i="2"/>
  <c r="F2080" i="2"/>
  <c r="F2081" i="2"/>
  <c r="F2082" i="2"/>
  <c r="F2083" i="2"/>
  <c r="F2084" i="2"/>
  <c r="F2085" i="2"/>
  <c r="F2086" i="2"/>
  <c r="F2087" i="2"/>
  <c r="F2088" i="2"/>
  <c r="F2089" i="2"/>
  <c r="F2090" i="2"/>
  <c r="F2091" i="2"/>
  <c r="F2092" i="2"/>
  <c r="F2093" i="2"/>
  <c r="F2094" i="2"/>
  <c r="F2095" i="2"/>
  <c r="F2096" i="2"/>
  <c r="F2097" i="2"/>
  <c r="F2098" i="2"/>
  <c r="F2099" i="2"/>
  <c r="F2100" i="2"/>
  <c r="F2101" i="2"/>
  <c r="F2102" i="2"/>
  <c r="F2103" i="2"/>
  <c r="F2104" i="2"/>
  <c r="F2105" i="2"/>
  <c r="F2106" i="2"/>
  <c r="F2107" i="2"/>
  <c r="F2108" i="2"/>
  <c r="F2109" i="2"/>
  <c r="F2110" i="2"/>
  <c r="F2111" i="2"/>
  <c r="F2112" i="2"/>
  <c r="F2113" i="2"/>
  <c r="F2114" i="2"/>
  <c r="F2115" i="2"/>
  <c r="F2116" i="2"/>
  <c r="F2117" i="2"/>
  <c r="F2118" i="2"/>
  <c r="F2119" i="2"/>
  <c r="F2120" i="2"/>
  <c r="F2121" i="2"/>
  <c r="F2122" i="2"/>
  <c r="F2123" i="2"/>
  <c r="F2124" i="2"/>
  <c r="F2125" i="2"/>
  <c r="F2126" i="2"/>
  <c r="F2127" i="2"/>
  <c r="F2128" i="2"/>
  <c r="F2129" i="2"/>
  <c r="F2130" i="2"/>
  <c r="F2131" i="2"/>
  <c r="F2132" i="2"/>
  <c r="F2133" i="2"/>
  <c r="F2134" i="2"/>
  <c r="F2135" i="2"/>
  <c r="F2136" i="2"/>
  <c r="F2137" i="2"/>
  <c r="F2138" i="2"/>
  <c r="F2139" i="2"/>
  <c r="F2140" i="2"/>
  <c r="F2141" i="2"/>
  <c r="F2142" i="2"/>
  <c r="F2143" i="2"/>
  <c r="F2144" i="2"/>
  <c r="F2145" i="2"/>
  <c r="F2146" i="2"/>
  <c r="F2147" i="2"/>
  <c r="F2148" i="2"/>
  <c r="F2149" i="2"/>
  <c r="F2150" i="2"/>
  <c r="F2151" i="2"/>
  <c r="F2152" i="2"/>
  <c r="F2153" i="2"/>
  <c r="F2154" i="2"/>
  <c r="F2155" i="2"/>
  <c r="F2156" i="2"/>
  <c r="F2157" i="2"/>
  <c r="F2158" i="2"/>
  <c r="F2159" i="2"/>
  <c r="F2160" i="2"/>
  <c r="F2161" i="2"/>
  <c r="F2162" i="2"/>
  <c r="F2163" i="2"/>
  <c r="F2164" i="2"/>
  <c r="F2165" i="2"/>
  <c r="F2166" i="2"/>
  <c r="F2167" i="2"/>
  <c r="F2168" i="2"/>
  <c r="F2169" i="2"/>
  <c r="F2170" i="2"/>
  <c r="F2171" i="2"/>
  <c r="F2172" i="2"/>
  <c r="F2173" i="2"/>
  <c r="F2174" i="2"/>
  <c r="F2175" i="2"/>
  <c r="F2176" i="2"/>
  <c r="F2177" i="2"/>
  <c r="F2178" i="2"/>
  <c r="F2179" i="2"/>
  <c r="F2180" i="2"/>
  <c r="F2181" i="2"/>
  <c r="F2182" i="2"/>
  <c r="F2183" i="2"/>
  <c r="F2184" i="2"/>
  <c r="F2185" i="2"/>
  <c r="F2186" i="2"/>
  <c r="F2187" i="2"/>
  <c r="F2188" i="2"/>
  <c r="F2189" i="2"/>
  <c r="F2190" i="2"/>
  <c r="F2191" i="2"/>
  <c r="F2192" i="2"/>
  <c r="F2193" i="2"/>
  <c r="F2194" i="2"/>
  <c r="F2195" i="2"/>
  <c r="F2196" i="2"/>
  <c r="F2197" i="2"/>
  <c r="F2198" i="2"/>
  <c r="F2199" i="2"/>
  <c r="F2200" i="2"/>
  <c r="F2201" i="2"/>
  <c r="F2202" i="2"/>
  <c r="F2203" i="2"/>
  <c r="F2204" i="2"/>
  <c r="F2205" i="2"/>
  <c r="F2206" i="2"/>
  <c r="F2207" i="2"/>
  <c r="F2208" i="2"/>
  <c r="F2209" i="2"/>
  <c r="F2210" i="2"/>
  <c r="F2211" i="2"/>
  <c r="F2212" i="2"/>
  <c r="F2213" i="2"/>
  <c r="F2214" i="2"/>
  <c r="F2215" i="2"/>
  <c r="F2216" i="2"/>
  <c r="F2217" i="2"/>
  <c r="F2218" i="2"/>
  <c r="F2219" i="2"/>
  <c r="F2220" i="2"/>
  <c r="F2221" i="2"/>
  <c r="F2222" i="2"/>
  <c r="F2223" i="2"/>
  <c r="F2224" i="2"/>
  <c r="F2225" i="2"/>
  <c r="F2226" i="2"/>
  <c r="F2227" i="2"/>
  <c r="F2228" i="2"/>
  <c r="F2229" i="2"/>
  <c r="F2230" i="2"/>
  <c r="F2231" i="2"/>
  <c r="F2232" i="2"/>
  <c r="F2233" i="2"/>
  <c r="F2234" i="2"/>
  <c r="F2235" i="2"/>
  <c r="F2236" i="2"/>
  <c r="F2237" i="2"/>
  <c r="F2238" i="2"/>
  <c r="F2239" i="2"/>
  <c r="F2240" i="2"/>
  <c r="F2241" i="2"/>
  <c r="F2242" i="2"/>
  <c r="F2243" i="2"/>
  <c r="F2244" i="2"/>
  <c r="F2245" i="2"/>
  <c r="F2246" i="2"/>
  <c r="F2247" i="2"/>
  <c r="F2248" i="2"/>
  <c r="F2249" i="2"/>
  <c r="F2250" i="2"/>
  <c r="F2251" i="2"/>
  <c r="F2252" i="2"/>
  <c r="F2253" i="2"/>
  <c r="F2254" i="2"/>
  <c r="F2255" i="2"/>
  <c r="F2256" i="2"/>
  <c r="F2257" i="2"/>
  <c r="F2258" i="2"/>
  <c r="F2259" i="2"/>
  <c r="F2260" i="2"/>
  <c r="F2261" i="2"/>
  <c r="F2262" i="2"/>
  <c r="F2263" i="2"/>
  <c r="F2264" i="2"/>
  <c r="F2265" i="2"/>
  <c r="F2266" i="2"/>
  <c r="F2267" i="2"/>
  <c r="F2268" i="2"/>
  <c r="F2269" i="2"/>
  <c r="F2270" i="2"/>
  <c r="F2271" i="2"/>
  <c r="F2272" i="2"/>
  <c r="F2273" i="2"/>
  <c r="F2274" i="2"/>
  <c r="F2275" i="2"/>
  <c r="F2276" i="2"/>
  <c r="F2277" i="2"/>
  <c r="F2278" i="2"/>
  <c r="F2279" i="2"/>
  <c r="F2280" i="2"/>
  <c r="F2281" i="2"/>
  <c r="F2282" i="2"/>
  <c r="F2283" i="2"/>
  <c r="F2284" i="2"/>
  <c r="F2285" i="2"/>
  <c r="F2286" i="2"/>
  <c r="F2287" i="2"/>
  <c r="F2288" i="2"/>
  <c r="F2289" i="2"/>
  <c r="F2290" i="2"/>
  <c r="F2291" i="2"/>
  <c r="F2292" i="2"/>
  <c r="F2293" i="2"/>
  <c r="F2294" i="2"/>
  <c r="F2295" i="2"/>
  <c r="F2296" i="2"/>
  <c r="F2297" i="2"/>
  <c r="F2298" i="2"/>
  <c r="F2299" i="2"/>
  <c r="F2300" i="2"/>
  <c r="F2301" i="2"/>
  <c r="F2302" i="2"/>
  <c r="F2303" i="2"/>
  <c r="F2304" i="2"/>
  <c r="F2305" i="2"/>
  <c r="F2306" i="2"/>
  <c r="F2307" i="2"/>
  <c r="F2308" i="2"/>
  <c r="F2309" i="2"/>
  <c r="F2310" i="2"/>
  <c r="F2311" i="2"/>
  <c r="F2312" i="2"/>
  <c r="F2313" i="2"/>
  <c r="F2314" i="2"/>
  <c r="F2315" i="2"/>
  <c r="F2316" i="2"/>
  <c r="F2317" i="2"/>
  <c r="F2318" i="2"/>
  <c r="F2319" i="2"/>
  <c r="F2320" i="2"/>
  <c r="F2321" i="2"/>
  <c r="F2322" i="2"/>
  <c r="F2323" i="2"/>
  <c r="F2324" i="2"/>
  <c r="F2325" i="2"/>
  <c r="F2326" i="2"/>
  <c r="F2327" i="2"/>
  <c r="F2328" i="2"/>
  <c r="F2329" i="2"/>
  <c r="F2330" i="2"/>
  <c r="F2331" i="2"/>
  <c r="F2332" i="2"/>
  <c r="F2333" i="2"/>
  <c r="F2334" i="2"/>
  <c r="F2335" i="2"/>
  <c r="F2336" i="2"/>
  <c r="F2337" i="2"/>
  <c r="F2338" i="2"/>
  <c r="F2339" i="2"/>
  <c r="F2340" i="2"/>
  <c r="F2341" i="2"/>
  <c r="F2342" i="2"/>
  <c r="F2343" i="2"/>
  <c r="F2344" i="2"/>
  <c r="F2345" i="2"/>
  <c r="F2346" i="2"/>
  <c r="F2347" i="2"/>
  <c r="F2348" i="2"/>
  <c r="F2349" i="2"/>
  <c r="F2350" i="2"/>
  <c r="F2351" i="2"/>
  <c r="F2352" i="2"/>
  <c r="F2353" i="2"/>
  <c r="F2354" i="2"/>
  <c r="F2355" i="2"/>
  <c r="F2356" i="2"/>
  <c r="F2357" i="2"/>
  <c r="F2358" i="2"/>
  <c r="F2359" i="2"/>
  <c r="F2360" i="2"/>
  <c r="F2361" i="2"/>
  <c r="F2362" i="2"/>
  <c r="F2363" i="2"/>
  <c r="F2364" i="2"/>
  <c r="F2365" i="2"/>
  <c r="F2366" i="2"/>
  <c r="F2367" i="2"/>
  <c r="F2368" i="2"/>
  <c r="F2369" i="2"/>
  <c r="F2370" i="2"/>
  <c r="F2371" i="2"/>
  <c r="F2372" i="2"/>
  <c r="F2373" i="2"/>
  <c r="F2374" i="2"/>
  <c r="F2375" i="2"/>
  <c r="F2376" i="2"/>
  <c r="F2377" i="2"/>
  <c r="F2378" i="2"/>
  <c r="F2379" i="2"/>
  <c r="F2380" i="2"/>
  <c r="F2381" i="2"/>
  <c r="F2382" i="2"/>
  <c r="F2383" i="2"/>
  <c r="F2384" i="2"/>
  <c r="F2385" i="2"/>
  <c r="F2386" i="2"/>
  <c r="F2387" i="2"/>
  <c r="F2388" i="2"/>
  <c r="F2389" i="2"/>
  <c r="F2390" i="2"/>
  <c r="F2391" i="2"/>
  <c r="F2392" i="2"/>
  <c r="F2393" i="2"/>
  <c r="F2394" i="2"/>
  <c r="F2395" i="2"/>
  <c r="F2396" i="2"/>
  <c r="F2397" i="2"/>
  <c r="F2398" i="2"/>
  <c r="F2399" i="2"/>
  <c r="F2400" i="2"/>
  <c r="F2401" i="2"/>
  <c r="F2402" i="2"/>
  <c r="F2403" i="2"/>
  <c r="F2404" i="2"/>
  <c r="F2405" i="2"/>
  <c r="F2406" i="2"/>
  <c r="F2407" i="2"/>
  <c r="F2408" i="2"/>
  <c r="F2409" i="2"/>
  <c r="F2410" i="2"/>
  <c r="F2411" i="2"/>
  <c r="F2412" i="2"/>
  <c r="F2413" i="2"/>
  <c r="F2414" i="2"/>
  <c r="F2415" i="2"/>
  <c r="F2416" i="2"/>
  <c r="F2417" i="2"/>
  <c r="F2418" i="2"/>
  <c r="F2419" i="2"/>
  <c r="F2420" i="2"/>
  <c r="F2421" i="2"/>
  <c r="F2422" i="2"/>
  <c r="F2423" i="2"/>
  <c r="F2424" i="2"/>
  <c r="F2425" i="2"/>
  <c r="F2426" i="2"/>
  <c r="F2427" i="2"/>
  <c r="F2428" i="2"/>
  <c r="F2429" i="2"/>
  <c r="F2430" i="2"/>
  <c r="F2431" i="2"/>
  <c r="F2432" i="2"/>
  <c r="F2433" i="2"/>
  <c r="F2434" i="2"/>
  <c r="F2435" i="2"/>
  <c r="F2436" i="2"/>
  <c r="F2437" i="2"/>
  <c r="F2438" i="2"/>
  <c r="F2439" i="2"/>
  <c r="F2440" i="2"/>
  <c r="F2441" i="2"/>
  <c r="F2442" i="2"/>
  <c r="F2443" i="2"/>
  <c r="F2444" i="2"/>
  <c r="F2445" i="2"/>
  <c r="F2446" i="2"/>
  <c r="F2447" i="2"/>
  <c r="F2448" i="2"/>
  <c r="F2449" i="2"/>
  <c r="F2450" i="2"/>
  <c r="F2451" i="2"/>
  <c r="F2452" i="2"/>
  <c r="F2453" i="2"/>
  <c r="F2454" i="2"/>
  <c r="F2455" i="2"/>
  <c r="F2456" i="2"/>
  <c r="F2457" i="2"/>
  <c r="F2458" i="2"/>
  <c r="F2459" i="2"/>
  <c r="F2460" i="2"/>
  <c r="F2461" i="2"/>
  <c r="F2462" i="2"/>
  <c r="F2463" i="2"/>
  <c r="F2464" i="2"/>
  <c r="F2465" i="2"/>
  <c r="F2466" i="2"/>
  <c r="F2467" i="2"/>
  <c r="F2468" i="2"/>
  <c r="F2469" i="2"/>
  <c r="F2470" i="2"/>
  <c r="F2471" i="2"/>
  <c r="F2472" i="2"/>
  <c r="F2473" i="2"/>
  <c r="F2474" i="2"/>
  <c r="F2475" i="2"/>
  <c r="F2476" i="2"/>
  <c r="F2477" i="2"/>
  <c r="F2478" i="2"/>
  <c r="F2479" i="2"/>
  <c r="F2480" i="2"/>
  <c r="F2481" i="2"/>
  <c r="F2482" i="2"/>
  <c r="F2483" i="2"/>
  <c r="F2484" i="2"/>
  <c r="F2485" i="2"/>
  <c r="F2486" i="2"/>
  <c r="F2487" i="2"/>
  <c r="F2488" i="2"/>
  <c r="F2489" i="2"/>
  <c r="F2490" i="2"/>
  <c r="F2491" i="2"/>
  <c r="F2492" i="2"/>
  <c r="F2493" i="2"/>
  <c r="F2494" i="2"/>
  <c r="F2495" i="2"/>
  <c r="F2496" i="2"/>
  <c r="F2497" i="2"/>
  <c r="F2498" i="2"/>
  <c r="F2499" i="2"/>
  <c r="F2500" i="2"/>
  <c r="F2501" i="2"/>
  <c r="F2502" i="2"/>
  <c r="F2503" i="2"/>
  <c r="F2504" i="2"/>
  <c r="F2505" i="2"/>
  <c r="F2506" i="2"/>
  <c r="F2507" i="2"/>
  <c r="F2508" i="2"/>
  <c r="F2509" i="2"/>
  <c r="F2510" i="2"/>
  <c r="F2511" i="2"/>
  <c r="F2512" i="2"/>
  <c r="F2513" i="2"/>
  <c r="F2514" i="2"/>
  <c r="F2515" i="2"/>
  <c r="F2516" i="2"/>
  <c r="F2517" i="2"/>
  <c r="F2518" i="2"/>
  <c r="F2519" i="2"/>
  <c r="F2520" i="2"/>
  <c r="F2521" i="2"/>
  <c r="F2522" i="2"/>
  <c r="F2523" i="2"/>
  <c r="F2524" i="2"/>
  <c r="F2525" i="2"/>
  <c r="F2526" i="2"/>
  <c r="F2527" i="2"/>
  <c r="F2528" i="2"/>
  <c r="F2529" i="2"/>
  <c r="F2530" i="2"/>
  <c r="F2531" i="2"/>
  <c r="F2532" i="2"/>
  <c r="F2533" i="2"/>
  <c r="F2534" i="2"/>
  <c r="F2535" i="2"/>
  <c r="F2536" i="2"/>
  <c r="F2537" i="2"/>
  <c r="F2538" i="2"/>
  <c r="F2539" i="2"/>
  <c r="F2540" i="2"/>
  <c r="F2541" i="2"/>
  <c r="F2542" i="2"/>
  <c r="F2543" i="2"/>
  <c r="F2544" i="2"/>
  <c r="F2545" i="2"/>
  <c r="F2546" i="2"/>
  <c r="F2547" i="2"/>
  <c r="F2548" i="2"/>
  <c r="F2549" i="2"/>
  <c r="F2550" i="2"/>
  <c r="F2551" i="2"/>
  <c r="F2552" i="2"/>
  <c r="F2553" i="2"/>
  <c r="F2554" i="2"/>
  <c r="F2555" i="2"/>
  <c r="F2556" i="2"/>
  <c r="F2557" i="2"/>
  <c r="F2558" i="2"/>
  <c r="F2559" i="2"/>
  <c r="F2560" i="2"/>
  <c r="F2561" i="2"/>
  <c r="F2562" i="2"/>
  <c r="F2563" i="2"/>
  <c r="F2564" i="2"/>
  <c r="F2565" i="2"/>
  <c r="F2566" i="2"/>
  <c r="F2567" i="2"/>
  <c r="F2568" i="2"/>
  <c r="F2569" i="2"/>
  <c r="F2570" i="2"/>
  <c r="F2571" i="2"/>
  <c r="F2572" i="2"/>
  <c r="F2573" i="2"/>
  <c r="F2574" i="2"/>
  <c r="F2575" i="2"/>
  <c r="F2576" i="2"/>
  <c r="F2577" i="2"/>
  <c r="F2578" i="2"/>
  <c r="F2579" i="2"/>
  <c r="F2580" i="2"/>
  <c r="F2581" i="2"/>
  <c r="F2582" i="2"/>
  <c r="F2583" i="2"/>
  <c r="F2584" i="2"/>
  <c r="F2585" i="2"/>
  <c r="F2586" i="2"/>
  <c r="F2587" i="2"/>
  <c r="F2588" i="2"/>
  <c r="F2589" i="2"/>
  <c r="F2590" i="2"/>
  <c r="F2591" i="2"/>
  <c r="F2592" i="2"/>
  <c r="F2593" i="2"/>
  <c r="F2594" i="2"/>
  <c r="F2595" i="2"/>
  <c r="F2596" i="2"/>
  <c r="F2597" i="2"/>
  <c r="F2598" i="2"/>
  <c r="F2599" i="2"/>
  <c r="F2600" i="2"/>
  <c r="F2601" i="2"/>
  <c r="F2602" i="2"/>
  <c r="F2603" i="2"/>
  <c r="F2604" i="2"/>
  <c r="F2605" i="2"/>
  <c r="F2606" i="2"/>
  <c r="F2607" i="2"/>
  <c r="F2608" i="2"/>
  <c r="F2609" i="2"/>
  <c r="F2610" i="2"/>
  <c r="F2611" i="2"/>
  <c r="F2612" i="2"/>
  <c r="F2613" i="2"/>
  <c r="F2614" i="2"/>
  <c r="F2615" i="2"/>
  <c r="F2616" i="2"/>
  <c r="F2617" i="2"/>
  <c r="F2618" i="2"/>
  <c r="F2619" i="2"/>
  <c r="F2620" i="2"/>
  <c r="F2621" i="2"/>
  <c r="F2622" i="2"/>
  <c r="F2623" i="2"/>
  <c r="F2624" i="2"/>
  <c r="F2625" i="2"/>
  <c r="F2626" i="2"/>
  <c r="F2627" i="2"/>
  <c r="F2628" i="2"/>
  <c r="F2629" i="2"/>
  <c r="F2630" i="2"/>
  <c r="F2631" i="2"/>
  <c r="F2632" i="2"/>
  <c r="F2633" i="2"/>
  <c r="F2634" i="2"/>
  <c r="F2635" i="2"/>
  <c r="F2636" i="2"/>
  <c r="F2637" i="2"/>
  <c r="F2638" i="2"/>
  <c r="F2639" i="2"/>
  <c r="F2640" i="2"/>
  <c r="F2641" i="2"/>
  <c r="F2642" i="2"/>
  <c r="F2643" i="2"/>
  <c r="F2644" i="2"/>
  <c r="F2645" i="2"/>
  <c r="F2646" i="2"/>
  <c r="F2647" i="2"/>
  <c r="F2648" i="2"/>
  <c r="F2649" i="2"/>
  <c r="F2650" i="2"/>
  <c r="F2651" i="2"/>
  <c r="F2652" i="2"/>
  <c r="F2653" i="2"/>
  <c r="F2654" i="2"/>
  <c r="F2655" i="2"/>
  <c r="F2656" i="2"/>
  <c r="F2657" i="2"/>
  <c r="F2658" i="2"/>
  <c r="F2659" i="2"/>
  <c r="F2660" i="2"/>
  <c r="F2661" i="2"/>
  <c r="F2662" i="2"/>
  <c r="F2663" i="2"/>
  <c r="F2664" i="2"/>
  <c r="F2665" i="2"/>
  <c r="F2666" i="2"/>
  <c r="F2667" i="2"/>
  <c r="F2668" i="2"/>
  <c r="F2669" i="2"/>
  <c r="F2670" i="2"/>
  <c r="F2671" i="2"/>
  <c r="F2672" i="2"/>
  <c r="F2673" i="2"/>
  <c r="F2674" i="2"/>
  <c r="F2675" i="2"/>
  <c r="F2676" i="2"/>
  <c r="F2677" i="2"/>
  <c r="F2678" i="2"/>
  <c r="F2679" i="2"/>
  <c r="F2680" i="2"/>
  <c r="F2681" i="2"/>
  <c r="F2682" i="2"/>
  <c r="F2683" i="2"/>
  <c r="F2684" i="2"/>
  <c r="F2685" i="2"/>
  <c r="F2686" i="2"/>
  <c r="F2687" i="2"/>
  <c r="F2688" i="2"/>
  <c r="F2689" i="2"/>
  <c r="F2690" i="2"/>
  <c r="F2691" i="2"/>
  <c r="F2692" i="2"/>
  <c r="F2693" i="2"/>
  <c r="F2694" i="2"/>
  <c r="F2695" i="2"/>
  <c r="F2696" i="2"/>
  <c r="F2697" i="2"/>
  <c r="F2698" i="2"/>
  <c r="F2699" i="2"/>
  <c r="F2700" i="2"/>
  <c r="F2701" i="2"/>
  <c r="F2702" i="2"/>
  <c r="F2703" i="2"/>
  <c r="F2704" i="2"/>
  <c r="F2705" i="2"/>
  <c r="F2706" i="2"/>
  <c r="F2707" i="2"/>
  <c r="F2708" i="2"/>
  <c r="F2709" i="2"/>
  <c r="F2710" i="2"/>
  <c r="F2711" i="2"/>
  <c r="F2712" i="2"/>
  <c r="F2713" i="2"/>
  <c r="F2714" i="2"/>
  <c r="F2715" i="2"/>
  <c r="F2716" i="2"/>
  <c r="F2717" i="2"/>
  <c r="F2718" i="2"/>
  <c r="F2719" i="2"/>
  <c r="F2720" i="2"/>
  <c r="F2721" i="2"/>
  <c r="F2722" i="2"/>
  <c r="F2723" i="2"/>
  <c r="F2724" i="2"/>
  <c r="F2725" i="2"/>
  <c r="F2726" i="2"/>
  <c r="F2727" i="2"/>
  <c r="F2728" i="2"/>
  <c r="F2729" i="2"/>
  <c r="F2730" i="2"/>
  <c r="F2731" i="2"/>
  <c r="F2732" i="2"/>
  <c r="F2733" i="2"/>
  <c r="F2734" i="2"/>
  <c r="F2735" i="2"/>
  <c r="F2736" i="2"/>
  <c r="F2737" i="2"/>
  <c r="F2738" i="2"/>
  <c r="F2739" i="2"/>
  <c r="F2740" i="2"/>
  <c r="F2741" i="2"/>
  <c r="F2742" i="2"/>
  <c r="F2743" i="2"/>
  <c r="F2744" i="2"/>
  <c r="F2745" i="2"/>
  <c r="F2746" i="2"/>
  <c r="F2747" i="2"/>
  <c r="F2748" i="2"/>
  <c r="F2749" i="2"/>
  <c r="F2750" i="2"/>
  <c r="F2751" i="2"/>
  <c r="F2752" i="2"/>
  <c r="F2753" i="2"/>
  <c r="F2754" i="2"/>
  <c r="F2755" i="2"/>
  <c r="F2756" i="2"/>
  <c r="F2757" i="2"/>
  <c r="F2758" i="2"/>
  <c r="F2759" i="2"/>
  <c r="F2760" i="2"/>
  <c r="F2761" i="2"/>
  <c r="F2762" i="2"/>
  <c r="F2763" i="2"/>
  <c r="F2764" i="2"/>
  <c r="F2765" i="2"/>
  <c r="F2766" i="2"/>
  <c r="F2767" i="2"/>
  <c r="F2768" i="2"/>
  <c r="F2769" i="2"/>
  <c r="F2770" i="2"/>
  <c r="F2771" i="2"/>
  <c r="F2772" i="2"/>
  <c r="F2773" i="2"/>
  <c r="F2774" i="2"/>
  <c r="F2775" i="2"/>
  <c r="F2776" i="2"/>
  <c r="F2777" i="2"/>
  <c r="F2778" i="2"/>
  <c r="F2779" i="2"/>
  <c r="F2780" i="2"/>
  <c r="F2781" i="2"/>
  <c r="F2782" i="2"/>
  <c r="F2783" i="2"/>
  <c r="F2784" i="2"/>
  <c r="F2785" i="2"/>
  <c r="F2786" i="2"/>
  <c r="F2787" i="2"/>
  <c r="F2788" i="2"/>
  <c r="F2789" i="2"/>
  <c r="F2790" i="2"/>
  <c r="F2791" i="2"/>
  <c r="F2792" i="2"/>
  <c r="F2793" i="2"/>
  <c r="F2794" i="2"/>
  <c r="F2795" i="2"/>
  <c r="F2796" i="2"/>
  <c r="F2797" i="2"/>
  <c r="F2798" i="2"/>
  <c r="F2799" i="2"/>
  <c r="F2800" i="2"/>
  <c r="F2801" i="2"/>
  <c r="F2802" i="2"/>
  <c r="F2803" i="2"/>
  <c r="F2804" i="2"/>
  <c r="F2805" i="2"/>
  <c r="F2806" i="2"/>
  <c r="F2807" i="2"/>
  <c r="F2808" i="2"/>
  <c r="F2809" i="2"/>
  <c r="F2810" i="2"/>
  <c r="F2811" i="2"/>
  <c r="F2812" i="2"/>
  <c r="F2813" i="2"/>
  <c r="F2814" i="2"/>
  <c r="F2815" i="2"/>
  <c r="F2816" i="2"/>
  <c r="F2817" i="2"/>
  <c r="F2818" i="2"/>
  <c r="F2819" i="2"/>
  <c r="F2820" i="2"/>
  <c r="F2821" i="2"/>
  <c r="F2822" i="2"/>
  <c r="F2823" i="2"/>
  <c r="F2824" i="2"/>
  <c r="F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1059" i="2"/>
  <c r="I1060" i="2"/>
  <c r="I1061" i="2"/>
  <c r="I1062" i="2"/>
  <c r="I1063" i="2"/>
  <c r="I1064" i="2"/>
  <c r="I1065" i="2"/>
  <c r="I1066" i="2"/>
  <c r="I1067" i="2"/>
  <c r="I1068" i="2"/>
  <c r="I1069" i="2"/>
  <c r="I1070" i="2"/>
  <c r="I1071" i="2"/>
  <c r="I1072" i="2"/>
  <c r="I1073" i="2"/>
  <c r="I1074" i="2"/>
  <c r="I1075" i="2"/>
  <c r="I1076" i="2"/>
  <c r="I1077" i="2"/>
  <c r="I1078" i="2"/>
  <c r="I1079" i="2"/>
  <c r="I1080" i="2"/>
  <c r="I1081" i="2"/>
  <c r="I1082" i="2"/>
  <c r="I1083" i="2"/>
  <c r="I1084" i="2"/>
  <c r="I1085" i="2"/>
  <c r="I1086" i="2"/>
  <c r="I1087" i="2"/>
  <c r="I1088" i="2"/>
  <c r="I1089" i="2"/>
  <c r="I1090" i="2"/>
  <c r="I1091" i="2"/>
  <c r="I1092" i="2"/>
  <c r="I1093" i="2"/>
  <c r="I1094" i="2"/>
  <c r="I1095" i="2"/>
  <c r="I1096" i="2"/>
  <c r="I1097" i="2"/>
  <c r="I1098" i="2"/>
  <c r="I1099" i="2"/>
  <c r="I1100" i="2"/>
  <c r="I1101" i="2"/>
  <c r="I1102" i="2"/>
  <c r="I1103" i="2"/>
  <c r="I1104" i="2"/>
  <c r="I1105" i="2"/>
  <c r="I1106" i="2"/>
  <c r="I1107" i="2"/>
  <c r="I1108" i="2"/>
  <c r="I1109" i="2"/>
  <c r="I1110" i="2"/>
  <c r="I1111" i="2"/>
  <c r="I1112" i="2"/>
  <c r="I1113" i="2"/>
  <c r="I1114" i="2"/>
  <c r="I1115" i="2"/>
  <c r="I1116" i="2"/>
  <c r="I1117" i="2"/>
  <c r="I1118" i="2"/>
  <c r="I1119" i="2"/>
  <c r="I1120" i="2"/>
  <c r="I1121" i="2"/>
  <c r="I1122" i="2"/>
  <c r="I1123" i="2"/>
  <c r="I1124" i="2"/>
  <c r="I1125" i="2"/>
  <c r="I1126" i="2"/>
  <c r="I1127" i="2"/>
  <c r="I1128" i="2"/>
  <c r="I1129" i="2"/>
  <c r="I1130" i="2"/>
  <c r="I1131" i="2"/>
  <c r="I1132" i="2"/>
  <c r="I1133" i="2"/>
  <c r="I1134" i="2"/>
  <c r="I1135" i="2"/>
  <c r="I1136" i="2"/>
  <c r="I1137" i="2"/>
  <c r="I1138" i="2"/>
  <c r="I1139" i="2"/>
  <c r="I1140" i="2"/>
  <c r="I1141" i="2"/>
  <c r="I1142" i="2"/>
  <c r="I1143" i="2"/>
  <c r="I1144" i="2"/>
  <c r="I1145" i="2"/>
  <c r="I1146" i="2"/>
  <c r="I1147" i="2"/>
  <c r="I1148" i="2"/>
  <c r="I1149" i="2"/>
  <c r="I1150" i="2"/>
  <c r="I1151" i="2"/>
  <c r="I1152" i="2"/>
  <c r="I1153" i="2"/>
  <c r="I1154" i="2"/>
  <c r="I1155" i="2"/>
  <c r="I1156" i="2"/>
  <c r="I1157" i="2"/>
  <c r="I1158" i="2"/>
  <c r="I1159" i="2"/>
  <c r="I1160" i="2"/>
  <c r="I1161" i="2"/>
  <c r="I1162" i="2"/>
  <c r="I1163" i="2"/>
  <c r="I1164" i="2"/>
  <c r="I1165" i="2"/>
  <c r="I1166" i="2"/>
  <c r="I1167" i="2"/>
  <c r="I1168" i="2"/>
  <c r="I1169" i="2"/>
  <c r="I1170" i="2"/>
  <c r="I1171" i="2"/>
  <c r="I1172" i="2"/>
  <c r="I1173" i="2"/>
  <c r="I1174" i="2"/>
  <c r="I1175" i="2"/>
  <c r="I1176" i="2"/>
  <c r="I1177" i="2"/>
  <c r="I1178" i="2"/>
  <c r="I1179" i="2"/>
  <c r="I1180" i="2"/>
  <c r="I1181" i="2"/>
  <c r="I1182" i="2"/>
  <c r="I1183" i="2"/>
  <c r="I1184" i="2"/>
  <c r="I1185" i="2"/>
  <c r="I1186" i="2"/>
  <c r="I1187" i="2"/>
  <c r="I1188" i="2"/>
  <c r="I1189" i="2"/>
  <c r="I1190" i="2"/>
  <c r="I1191" i="2"/>
  <c r="I1192" i="2"/>
  <c r="I1193" i="2"/>
  <c r="I1194" i="2"/>
  <c r="I1195" i="2"/>
  <c r="I1196" i="2"/>
  <c r="I1197" i="2"/>
  <c r="I1198" i="2"/>
  <c r="I1199" i="2"/>
  <c r="I1200" i="2"/>
  <c r="I1201" i="2"/>
  <c r="I1202" i="2"/>
  <c r="I1203" i="2"/>
  <c r="I1204" i="2"/>
  <c r="I1205" i="2"/>
  <c r="I1206" i="2"/>
  <c r="I1207" i="2"/>
  <c r="I1208" i="2"/>
  <c r="I1209" i="2"/>
  <c r="I1210" i="2"/>
  <c r="I1211" i="2"/>
  <c r="I1212" i="2"/>
  <c r="I1213" i="2"/>
  <c r="I1214" i="2"/>
  <c r="I1215" i="2"/>
  <c r="I1216" i="2"/>
  <c r="I1217" i="2"/>
  <c r="I1218" i="2"/>
  <c r="I1219" i="2"/>
  <c r="I1220" i="2"/>
  <c r="I1221" i="2"/>
  <c r="I1222" i="2"/>
  <c r="I1223" i="2"/>
  <c r="I1224" i="2"/>
  <c r="I1225" i="2"/>
  <c r="I1226" i="2"/>
  <c r="I1227" i="2"/>
  <c r="I1228" i="2"/>
  <c r="I1229" i="2"/>
  <c r="I1230" i="2"/>
  <c r="I1231" i="2"/>
  <c r="I1232" i="2"/>
  <c r="I1233" i="2"/>
  <c r="I1234" i="2"/>
  <c r="I1235" i="2"/>
  <c r="I1236" i="2"/>
  <c r="I1237" i="2"/>
  <c r="I1238" i="2"/>
  <c r="I1239" i="2"/>
  <c r="I1240" i="2"/>
  <c r="I1241" i="2"/>
  <c r="I1242" i="2"/>
  <c r="I1243" i="2"/>
  <c r="I1244" i="2"/>
  <c r="I1245" i="2"/>
  <c r="I1246" i="2"/>
  <c r="I1247" i="2"/>
  <c r="I1248" i="2"/>
  <c r="I1249" i="2"/>
  <c r="I1250" i="2"/>
  <c r="I1251" i="2"/>
  <c r="I1252" i="2"/>
  <c r="I1253" i="2"/>
  <c r="I1254" i="2"/>
  <c r="I1255" i="2"/>
  <c r="I1256" i="2"/>
  <c r="I1257" i="2"/>
  <c r="I1258" i="2"/>
  <c r="I1259" i="2"/>
  <c r="I1260" i="2"/>
  <c r="I1261" i="2"/>
  <c r="I1262" i="2"/>
  <c r="I1263" i="2"/>
  <c r="I1264" i="2"/>
  <c r="I1265" i="2"/>
  <c r="I1266" i="2"/>
  <c r="I1267" i="2"/>
  <c r="I1268" i="2"/>
  <c r="I1269" i="2"/>
  <c r="I1270" i="2"/>
  <c r="I1271" i="2"/>
  <c r="I1272" i="2"/>
  <c r="I1273" i="2"/>
  <c r="I1274" i="2"/>
  <c r="I1275" i="2"/>
  <c r="I1276" i="2"/>
  <c r="I1277" i="2"/>
  <c r="I1278" i="2"/>
  <c r="I1279" i="2"/>
  <c r="I1280" i="2"/>
  <c r="I1281" i="2"/>
  <c r="I1282" i="2"/>
  <c r="I1283" i="2"/>
  <c r="I1284" i="2"/>
  <c r="I1285" i="2"/>
  <c r="I1286" i="2"/>
  <c r="I1287" i="2"/>
  <c r="I1288" i="2"/>
  <c r="I1289" i="2"/>
  <c r="I1290" i="2"/>
  <c r="I1291" i="2"/>
  <c r="I1292" i="2"/>
  <c r="I1293" i="2"/>
  <c r="I1294" i="2"/>
  <c r="I1295" i="2"/>
  <c r="I1296" i="2"/>
  <c r="I1297" i="2"/>
  <c r="I1298" i="2"/>
  <c r="I1299" i="2"/>
  <c r="I1300" i="2"/>
  <c r="I1301" i="2"/>
  <c r="I1302" i="2"/>
  <c r="I1303" i="2"/>
  <c r="I1304" i="2"/>
  <c r="I1305" i="2"/>
  <c r="I1306" i="2"/>
  <c r="I1307" i="2"/>
  <c r="I1308" i="2"/>
  <c r="I1309" i="2"/>
  <c r="I1310" i="2"/>
  <c r="I1311" i="2"/>
  <c r="I1312" i="2"/>
  <c r="I1313" i="2"/>
  <c r="I1314" i="2"/>
  <c r="I1315" i="2"/>
  <c r="I1316" i="2"/>
  <c r="I1317" i="2"/>
  <c r="I1318" i="2"/>
  <c r="I1319" i="2"/>
  <c r="I1320" i="2"/>
  <c r="I1321" i="2"/>
  <c r="I1322" i="2"/>
  <c r="I1323" i="2"/>
  <c r="I1324" i="2"/>
  <c r="I1325" i="2"/>
  <c r="I1326" i="2"/>
  <c r="I1327" i="2"/>
  <c r="I1328" i="2"/>
  <c r="I1329" i="2"/>
  <c r="I1330" i="2"/>
  <c r="I1331" i="2"/>
  <c r="I1332" i="2"/>
  <c r="I1333" i="2"/>
  <c r="I1334" i="2"/>
  <c r="I1335" i="2"/>
  <c r="I1336" i="2"/>
  <c r="I1337" i="2"/>
  <c r="I1338" i="2"/>
  <c r="I1339" i="2"/>
  <c r="I1340" i="2"/>
  <c r="I1341" i="2"/>
  <c r="I1342" i="2"/>
  <c r="I1343" i="2"/>
  <c r="I1344" i="2"/>
  <c r="I1345" i="2"/>
  <c r="I1346" i="2"/>
  <c r="I1347" i="2"/>
  <c r="I1348" i="2"/>
  <c r="I1349" i="2"/>
  <c r="I1350" i="2"/>
  <c r="I1351" i="2"/>
  <c r="I1352" i="2"/>
  <c r="I1353" i="2"/>
  <c r="I1354" i="2"/>
  <c r="I1355" i="2"/>
  <c r="I1356" i="2"/>
  <c r="I1357" i="2"/>
  <c r="I1358" i="2"/>
  <c r="I1359" i="2"/>
  <c r="I1360" i="2"/>
  <c r="I1361" i="2"/>
  <c r="I1362" i="2"/>
  <c r="I1363" i="2"/>
  <c r="I1364" i="2"/>
  <c r="I1365" i="2"/>
  <c r="I1366" i="2"/>
  <c r="I1367" i="2"/>
  <c r="I1368" i="2"/>
  <c r="I1369" i="2"/>
  <c r="I1370" i="2"/>
  <c r="I1371" i="2"/>
  <c r="I1372" i="2"/>
  <c r="I1373" i="2"/>
  <c r="I1374" i="2"/>
  <c r="I1375" i="2"/>
  <c r="I1376" i="2"/>
  <c r="I1377" i="2"/>
  <c r="I1378" i="2"/>
  <c r="I1379" i="2"/>
  <c r="I1380" i="2"/>
  <c r="I1381" i="2"/>
  <c r="I1382" i="2"/>
  <c r="I1383" i="2"/>
  <c r="I1384" i="2"/>
  <c r="I1385" i="2"/>
  <c r="I1386" i="2"/>
  <c r="I1387" i="2"/>
  <c r="I1388" i="2"/>
  <c r="I1389" i="2"/>
  <c r="I1390" i="2"/>
  <c r="I1391" i="2"/>
  <c r="I1392" i="2"/>
  <c r="I1393" i="2"/>
  <c r="I1394" i="2"/>
  <c r="I1395" i="2"/>
  <c r="I1396" i="2"/>
  <c r="I1397" i="2"/>
  <c r="I1398" i="2"/>
  <c r="I1399" i="2"/>
  <c r="I1400" i="2"/>
  <c r="I1401" i="2"/>
  <c r="I1402" i="2"/>
  <c r="I1403" i="2"/>
  <c r="I1404" i="2"/>
  <c r="I1405" i="2"/>
  <c r="I1406" i="2"/>
  <c r="I1407" i="2"/>
  <c r="I1408" i="2"/>
  <c r="I1409" i="2"/>
  <c r="I1410" i="2"/>
  <c r="I1411" i="2"/>
  <c r="I1412" i="2"/>
  <c r="I1413" i="2"/>
  <c r="I1414" i="2"/>
  <c r="I1415" i="2"/>
  <c r="I1416" i="2"/>
  <c r="I1417" i="2"/>
  <c r="I1418" i="2"/>
  <c r="I1419" i="2"/>
  <c r="I1420" i="2"/>
  <c r="I1421" i="2"/>
  <c r="I1422" i="2"/>
  <c r="I1423" i="2"/>
  <c r="I1424" i="2"/>
  <c r="I1425" i="2"/>
  <c r="I1426" i="2"/>
  <c r="I1427" i="2"/>
  <c r="I1428" i="2"/>
  <c r="I1429" i="2"/>
  <c r="I1430" i="2"/>
  <c r="I1431" i="2"/>
  <c r="I1432" i="2"/>
  <c r="I1433" i="2"/>
  <c r="I1434" i="2"/>
  <c r="I1435" i="2"/>
  <c r="I1436" i="2"/>
  <c r="I1437" i="2"/>
  <c r="I1438" i="2"/>
  <c r="I1439" i="2"/>
  <c r="I1440" i="2"/>
  <c r="I1441" i="2"/>
  <c r="I1442" i="2"/>
  <c r="I1443" i="2"/>
  <c r="I1444" i="2"/>
  <c r="I1445" i="2"/>
  <c r="I1446" i="2"/>
  <c r="I1447" i="2"/>
  <c r="I1448" i="2"/>
  <c r="I1449" i="2"/>
  <c r="I1450" i="2"/>
  <c r="I1451" i="2"/>
  <c r="I1452" i="2"/>
  <c r="I1453" i="2"/>
  <c r="I1454" i="2"/>
  <c r="I1455" i="2"/>
  <c r="I1456" i="2"/>
  <c r="I1457" i="2"/>
  <c r="I1458" i="2"/>
  <c r="I1459" i="2"/>
  <c r="I1460" i="2"/>
  <c r="I1461" i="2"/>
  <c r="I1462" i="2"/>
  <c r="I1463" i="2"/>
  <c r="I1464" i="2"/>
  <c r="I1465" i="2"/>
  <c r="I1466" i="2"/>
  <c r="I1467" i="2"/>
  <c r="I1468" i="2"/>
  <c r="I1469" i="2"/>
  <c r="I1470" i="2"/>
  <c r="I1471" i="2"/>
  <c r="I1472" i="2"/>
  <c r="I1473" i="2"/>
  <c r="I1474" i="2"/>
  <c r="I1475" i="2"/>
  <c r="I1476" i="2"/>
  <c r="I1477" i="2"/>
  <c r="I1478" i="2"/>
  <c r="I1479" i="2"/>
  <c r="I1480" i="2"/>
  <c r="I1481" i="2"/>
  <c r="I1482" i="2"/>
  <c r="I1483" i="2"/>
  <c r="I1484" i="2"/>
  <c r="I1485" i="2"/>
  <c r="I1486" i="2"/>
  <c r="I1487" i="2"/>
  <c r="I1488" i="2"/>
  <c r="I1489" i="2"/>
  <c r="I1490" i="2"/>
  <c r="I1491" i="2"/>
  <c r="I1492" i="2"/>
  <c r="I1493" i="2"/>
  <c r="I1494" i="2"/>
  <c r="I1495" i="2"/>
  <c r="I1496" i="2"/>
  <c r="I1497" i="2"/>
  <c r="I1498" i="2"/>
  <c r="I1499" i="2"/>
  <c r="I1500" i="2"/>
  <c r="I1501" i="2"/>
  <c r="I1502" i="2"/>
  <c r="I1503" i="2"/>
  <c r="I1504" i="2"/>
  <c r="I1505" i="2"/>
  <c r="I1506" i="2"/>
  <c r="I1507" i="2"/>
  <c r="I1508" i="2"/>
  <c r="I1509" i="2"/>
  <c r="I1510" i="2"/>
  <c r="I1511" i="2"/>
  <c r="I1512" i="2"/>
  <c r="I1513" i="2"/>
  <c r="I1514" i="2"/>
  <c r="I1515" i="2"/>
  <c r="I1516" i="2"/>
  <c r="I1517" i="2"/>
  <c r="I1518" i="2"/>
  <c r="I1519" i="2"/>
  <c r="I1520" i="2"/>
  <c r="I1521" i="2"/>
  <c r="I1522" i="2"/>
  <c r="I1523" i="2"/>
  <c r="I1524" i="2"/>
  <c r="I1525" i="2"/>
  <c r="I1526" i="2"/>
  <c r="I1527" i="2"/>
  <c r="I1528" i="2"/>
  <c r="I1529" i="2"/>
  <c r="I1530" i="2"/>
  <c r="I1531" i="2"/>
  <c r="I1532" i="2"/>
  <c r="I1533" i="2"/>
  <c r="I1534" i="2"/>
  <c r="I1535" i="2"/>
  <c r="I1536" i="2"/>
  <c r="I1537" i="2"/>
  <c r="I1538" i="2"/>
  <c r="I1539" i="2"/>
  <c r="I1540" i="2"/>
  <c r="I1541" i="2"/>
  <c r="I1542" i="2"/>
  <c r="I1543" i="2"/>
  <c r="I1544" i="2"/>
  <c r="I1545" i="2"/>
  <c r="I1546" i="2"/>
  <c r="I1547" i="2"/>
  <c r="I1548" i="2"/>
  <c r="I1549" i="2"/>
  <c r="I1550" i="2"/>
  <c r="I1551" i="2"/>
  <c r="I1552" i="2"/>
  <c r="I1553" i="2"/>
  <c r="I1554" i="2"/>
  <c r="I1555" i="2"/>
  <c r="I1556" i="2"/>
  <c r="I1557" i="2"/>
  <c r="I1558" i="2"/>
  <c r="I1559" i="2"/>
  <c r="I1560" i="2"/>
  <c r="I1561" i="2"/>
  <c r="I1562" i="2"/>
  <c r="I1563" i="2"/>
  <c r="I1564" i="2"/>
  <c r="I1565" i="2"/>
  <c r="I1566" i="2"/>
  <c r="I1567" i="2"/>
  <c r="I1568" i="2"/>
  <c r="I1569" i="2"/>
  <c r="I1570" i="2"/>
  <c r="I1571" i="2"/>
  <c r="I1572" i="2"/>
  <c r="I1573" i="2"/>
  <c r="I1574" i="2"/>
  <c r="I1575" i="2"/>
  <c r="I1576" i="2"/>
  <c r="I1577" i="2"/>
  <c r="I1578" i="2"/>
  <c r="I1579" i="2"/>
  <c r="I1580" i="2"/>
  <c r="I1581" i="2"/>
  <c r="I1582" i="2"/>
  <c r="I1583" i="2"/>
  <c r="I1584" i="2"/>
  <c r="I1585" i="2"/>
  <c r="I1586" i="2"/>
  <c r="I1587" i="2"/>
  <c r="I1588" i="2"/>
  <c r="I1589" i="2"/>
  <c r="I1590" i="2"/>
  <c r="I1591" i="2"/>
  <c r="I1592" i="2"/>
  <c r="I1593" i="2"/>
  <c r="I1594" i="2"/>
  <c r="I1595" i="2"/>
  <c r="I1596" i="2"/>
  <c r="I1597" i="2"/>
  <c r="I1598" i="2"/>
  <c r="I1599" i="2"/>
  <c r="I1600" i="2"/>
  <c r="I1601" i="2"/>
  <c r="I1602" i="2"/>
  <c r="I1603" i="2"/>
  <c r="I1604" i="2"/>
  <c r="I1605" i="2"/>
  <c r="I1606" i="2"/>
  <c r="I1607" i="2"/>
  <c r="I1608" i="2"/>
  <c r="I1609" i="2"/>
  <c r="I1610" i="2"/>
  <c r="I1611" i="2"/>
  <c r="I1612" i="2"/>
  <c r="I1613" i="2"/>
  <c r="I1614" i="2"/>
  <c r="I1615" i="2"/>
  <c r="I1616" i="2"/>
  <c r="I1617" i="2"/>
  <c r="I1618" i="2"/>
  <c r="I1619" i="2"/>
  <c r="I1620" i="2"/>
  <c r="I1621" i="2"/>
  <c r="I1622" i="2"/>
  <c r="I1623" i="2"/>
  <c r="I1624" i="2"/>
  <c r="I1625" i="2"/>
  <c r="I1626" i="2"/>
  <c r="I1627" i="2"/>
  <c r="I1628" i="2"/>
  <c r="I1629" i="2"/>
  <c r="I1630" i="2"/>
  <c r="I1631" i="2"/>
  <c r="I1632" i="2"/>
  <c r="I1633" i="2"/>
  <c r="I1634" i="2"/>
  <c r="I1635" i="2"/>
  <c r="I1636" i="2"/>
  <c r="I1637" i="2"/>
  <c r="I1638" i="2"/>
  <c r="I1639" i="2"/>
  <c r="I1640" i="2"/>
  <c r="I1641" i="2"/>
  <c r="I1642" i="2"/>
  <c r="I1643" i="2"/>
  <c r="I1644" i="2"/>
  <c r="I1645" i="2"/>
  <c r="I1646" i="2"/>
  <c r="I1647" i="2"/>
  <c r="I1648" i="2"/>
  <c r="I1649" i="2"/>
  <c r="I1650" i="2"/>
  <c r="I1651" i="2"/>
  <c r="I1652" i="2"/>
  <c r="I1653" i="2"/>
  <c r="I1654" i="2"/>
  <c r="I1655" i="2"/>
  <c r="I1656" i="2"/>
  <c r="I1657" i="2"/>
  <c r="I1658" i="2"/>
  <c r="I1659" i="2"/>
  <c r="I1660" i="2"/>
  <c r="I1661" i="2"/>
  <c r="I1662" i="2"/>
  <c r="I1663" i="2"/>
  <c r="I1664" i="2"/>
  <c r="I1665" i="2"/>
  <c r="I1666" i="2"/>
  <c r="I1667" i="2"/>
  <c r="I1668" i="2"/>
  <c r="I1669" i="2"/>
  <c r="I1670" i="2"/>
  <c r="I1671" i="2"/>
  <c r="I1672" i="2"/>
  <c r="I1673" i="2"/>
  <c r="I1674" i="2"/>
  <c r="I1675" i="2"/>
  <c r="I1676" i="2"/>
  <c r="I1677" i="2"/>
  <c r="I1678" i="2"/>
  <c r="I1679" i="2"/>
  <c r="I1680" i="2"/>
  <c r="I1681" i="2"/>
  <c r="I1682" i="2"/>
  <c r="I1683" i="2"/>
  <c r="I1684" i="2"/>
  <c r="I1685" i="2"/>
  <c r="I1686" i="2"/>
  <c r="I1687" i="2"/>
  <c r="I1688" i="2"/>
  <c r="I1689" i="2"/>
  <c r="I1690" i="2"/>
  <c r="I1691" i="2"/>
  <c r="I1692" i="2"/>
  <c r="I1693" i="2"/>
  <c r="I1694" i="2"/>
  <c r="I1695" i="2"/>
  <c r="I1696" i="2"/>
  <c r="I1697" i="2"/>
  <c r="I1698" i="2"/>
  <c r="I1699" i="2"/>
  <c r="I1700" i="2"/>
  <c r="I1701" i="2"/>
  <c r="I1702" i="2"/>
  <c r="I1703" i="2"/>
  <c r="I1704" i="2"/>
  <c r="I1705" i="2"/>
  <c r="I1706" i="2"/>
  <c r="I1707" i="2"/>
  <c r="I1708" i="2"/>
  <c r="I1709" i="2"/>
  <c r="I1710" i="2"/>
  <c r="I1711" i="2"/>
  <c r="I1712" i="2"/>
  <c r="I1713" i="2"/>
  <c r="I1714" i="2"/>
  <c r="I1715" i="2"/>
  <c r="I1716" i="2"/>
  <c r="I1717" i="2"/>
  <c r="I1718" i="2"/>
  <c r="I1719" i="2"/>
  <c r="I1720" i="2"/>
  <c r="I1721" i="2"/>
  <c r="I1722" i="2"/>
  <c r="I1723" i="2"/>
  <c r="I1724" i="2"/>
  <c r="I1725" i="2"/>
  <c r="I1726" i="2"/>
  <c r="I1727" i="2"/>
  <c r="I1728" i="2"/>
  <c r="I1729" i="2"/>
  <c r="I1730" i="2"/>
  <c r="I1731" i="2"/>
  <c r="I1732" i="2"/>
  <c r="I1733" i="2"/>
  <c r="I1734" i="2"/>
  <c r="I1735" i="2"/>
  <c r="I1736" i="2"/>
  <c r="I1737" i="2"/>
  <c r="I1738" i="2"/>
  <c r="I1739" i="2"/>
  <c r="I1740" i="2"/>
  <c r="I1741" i="2"/>
  <c r="I1742" i="2"/>
  <c r="I1743" i="2"/>
  <c r="I1744" i="2"/>
  <c r="I1745" i="2"/>
  <c r="I1746" i="2"/>
  <c r="I1747" i="2"/>
  <c r="I1748" i="2"/>
  <c r="I1749" i="2"/>
  <c r="I1750" i="2"/>
  <c r="I1751" i="2"/>
  <c r="I1752" i="2"/>
  <c r="I1753" i="2"/>
  <c r="I1754" i="2"/>
  <c r="I1755" i="2"/>
  <c r="I1756" i="2"/>
  <c r="I1757" i="2"/>
  <c r="I1758" i="2"/>
  <c r="I1759" i="2"/>
  <c r="I1760" i="2"/>
  <c r="I1761" i="2"/>
  <c r="I1762" i="2"/>
  <c r="I1763" i="2"/>
  <c r="I1764" i="2"/>
  <c r="I1765" i="2"/>
  <c r="I1766" i="2"/>
  <c r="I1767" i="2"/>
  <c r="I1768" i="2"/>
  <c r="I1769" i="2"/>
  <c r="I1770" i="2"/>
  <c r="I1771" i="2"/>
  <c r="I1772" i="2"/>
  <c r="I1773" i="2"/>
  <c r="I1774" i="2"/>
  <c r="I1775" i="2"/>
  <c r="I1776" i="2"/>
  <c r="I1777" i="2"/>
  <c r="I1778" i="2"/>
  <c r="I1779" i="2"/>
  <c r="I1780" i="2"/>
  <c r="I1781" i="2"/>
  <c r="I1782" i="2"/>
  <c r="I1783" i="2"/>
  <c r="I1784" i="2"/>
  <c r="I1785" i="2"/>
  <c r="I1786" i="2"/>
  <c r="I1787" i="2"/>
  <c r="I1788" i="2"/>
  <c r="I1789" i="2"/>
  <c r="I1790" i="2"/>
  <c r="I1791" i="2"/>
  <c r="I1792" i="2"/>
  <c r="I1793" i="2"/>
  <c r="I1794" i="2"/>
  <c r="I1795" i="2"/>
  <c r="I1796" i="2"/>
  <c r="I1797" i="2"/>
  <c r="I1798" i="2"/>
  <c r="I1799" i="2"/>
  <c r="I1800" i="2"/>
  <c r="I1801" i="2"/>
  <c r="I1802" i="2"/>
  <c r="I1803" i="2"/>
  <c r="I1804" i="2"/>
  <c r="I1805" i="2"/>
  <c r="I1806" i="2"/>
  <c r="I1807" i="2"/>
  <c r="I1808" i="2"/>
  <c r="I1809" i="2"/>
  <c r="I1810" i="2"/>
  <c r="I1811" i="2"/>
  <c r="I1812" i="2"/>
  <c r="I1813" i="2"/>
  <c r="I1814" i="2"/>
  <c r="I1815" i="2"/>
  <c r="I1816" i="2"/>
  <c r="I1817" i="2"/>
  <c r="I1818" i="2"/>
  <c r="I1819" i="2"/>
  <c r="I1820" i="2"/>
  <c r="I1821" i="2"/>
  <c r="I1822" i="2"/>
  <c r="I1823" i="2"/>
  <c r="I1824" i="2"/>
  <c r="I1825" i="2"/>
  <c r="I1826" i="2"/>
  <c r="I1827" i="2"/>
  <c r="I1828" i="2"/>
  <c r="I1829" i="2"/>
  <c r="I1830" i="2"/>
  <c r="I1831" i="2"/>
  <c r="I1832" i="2"/>
  <c r="I1833" i="2"/>
  <c r="I1834" i="2"/>
  <c r="I1835" i="2"/>
  <c r="I1836" i="2"/>
  <c r="I1837" i="2"/>
  <c r="I1838" i="2"/>
  <c r="I1839" i="2"/>
  <c r="I1840" i="2"/>
  <c r="I1841" i="2"/>
  <c r="I1842" i="2"/>
  <c r="I1843" i="2"/>
  <c r="I1844" i="2"/>
  <c r="I1845" i="2"/>
  <c r="I1846" i="2"/>
  <c r="I1847" i="2"/>
  <c r="I1848" i="2"/>
  <c r="I1849" i="2"/>
  <c r="I1850" i="2"/>
  <c r="I1851" i="2"/>
  <c r="I1852" i="2"/>
  <c r="I1853" i="2"/>
  <c r="I1854" i="2"/>
  <c r="I1855" i="2"/>
  <c r="I1856" i="2"/>
  <c r="I1857" i="2"/>
  <c r="I1858" i="2"/>
  <c r="I1859" i="2"/>
  <c r="I1860" i="2"/>
  <c r="I1861" i="2"/>
  <c r="I1862" i="2"/>
  <c r="I1863" i="2"/>
  <c r="I1864" i="2"/>
  <c r="I1865" i="2"/>
  <c r="I1866" i="2"/>
  <c r="I1867" i="2"/>
  <c r="I1868" i="2"/>
  <c r="I1869" i="2"/>
  <c r="I1870" i="2"/>
  <c r="I1871" i="2"/>
  <c r="I1872" i="2"/>
  <c r="I1873" i="2"/>
  <c r="I1874" i="2"/>
  <c r="I1875" i="2"/>
  <c r="I1876" i="2"/>
  <c r="I1877" i="2"/>
  <c r="I1878" i="2"/>
  <c r="I1879" i="2"/>
  <c r="I1880" i="2"/>
  <c r="I1881" i="2"/>
  <c r="I1882" i="2"/>
  <c r="I1883" i="2"/>
  <c r="I1884" i="2"/>
  <c r="I1885" i="2"/>
  <c r="I1886" i="2"/>
  <c r="I1887" i="2"/>
  <c r="I1888" i="2"/>
  <c r="I1889" i="2"/>
  <c r="I1890" i="2"/>
  <c r="I1891" i="2"/>
  <c r="I1892" i="2"/>
  <c r="I1893" i="2"/>
  <c r="I1894" i="2"/>
  <c r="I1895" i="2"/>
  <c r="I1896" i="2"/>
  <c r="I1897" i="2"/>
  <c r="I1898" i="2"/>
  <c r="I1899" i="2"/>
  <c r="I1900" i="2"/>
  <c r="I1901" i="2"/>
  <c r="I1902" i="2"/>
  <c r="I1903" i="2"/>
  <c r="I1904" i="2"/>
  <c r="I1905" i="2"/>
  <c r="I1906" i="2"/>
  <c r="I1907" i="2"/>
  <c r="I1908" i="2"/>
  <c r="I1909" i="2"/>
  <c r="I1910" i="2"/>
  <c r="I1911" i="2"/>
  <c r="I1912" i="2"/>
  <c r="I1913" i="2"/>
  <c r="I1914" i="2"/>
  <c r="I1915" i="2"/>
  <c r="I1916" i="2"/>
  <c r="I1917" i="2"/>
  <c r="I1918" i="2"/>
  <c r="I1919" i="2"/>
  <c r="I1920" i="2"/>
  <c r="I1921" i="2"/>
  <c r="I1922" i="2"/>
  <c r="I1923" i="2"/>
  <c r="I1924" i="2"/>
  <c r="I1925" i="2"/>
  <c r="I1926" i="2"/>
  <c r="I1927" i="2"/>
  <c r="I1928" i="2"/>
  <c r="I1929" i="2"/>
  <c r="I1930" i="2"/>
  <c r="I1931" i="2"/>
  <c r="I1932" i="2"/>
  <c r="I1933" i="2"/>
  <c r="I1934" i="2"/>
  <c r="I1935" i="2"/>
  <c r="I1936" i="2"/>
  <c r="I1937" i="2"/>
  <c r="I1938" i="2"/>
  <c r="I1939" i="2"/>
  <c r="I1940" i="2"/>
  <c r="I1941" i="2"/>
  <c r="I1942" i="2"/>
  <c r="I1943" i="2"/>
  <c r="I1944" i="2"/>
  <c r="I1945" i="2"/>
  <c r="I1946" i="2"/>
  <c r="I1947" i="2"/>
  <c r="I1948" i="2"/>
  <c r="I1949" i="2"/>
  <c r="I1950" i="2"/>
  <c r="I1951" i="2"/>
  <c r="I1952" i="2"/>
  <c r="I1953" i="2"/>
  <c r="I1954" i="2"/>
  <c r="I1955" i="2"/>
  <c r="I1956" i="2"/>
  <c r="I1957" i="2"/>
  <c r="I1958" i="2"/>
  <c r="I1959" i="2"/>
  <c r="I1960" i="2"/>
  <c r="I1961" i="2"/>
  <c r="I1962" i="2"/>
  <c r="I1963" i="2"/>
  <c r="I1964" i="2"/>
  <c r="I1965" i="2"/>
  <c r="I1966" i="2"/>
  <c r="I1967" i="2"/>
  <c r="I1968" i="2"/>
  <c r="I1969" i="2"/>
  <c r="I1970" i="2"/>
  <c r="I1971" i="2"/>
  <c r="I1972" i="2"/>
  <c r="I1973" i="2"/>
  <c r="I1974" i="2"/>
  <c r="I1975" i="2"/>
  <c r="I1976" i="2"/>
  <c r="I1977" i="2"/>
  <c r="I1978" i="2"/>
  <c r="I1979" i="2"/>
  <c r="I1980" i="2"/>
  <c r="I1981" i="2"/>
  <c r="I1982" i="2"/>
  <c r="I1983" i="2"/>
  <c r="I1984" i="2"/>
  <c r="I1985" i="2"/>
  <c r="I1986" i="2"/>
  <c r="I1987" i="2"/>
  <c r="I1988" i="2"/>
  <c r="I1989" i="2"/>
  <c r="I1990" i="2"/>
  <c r="I1991" i="2"/>
  <c r="I1992" i="2"/>
  <c r="I1993" i="2"/>
  <c r="I1994" i="2"/>
  <c r="I1995" i="2"/>
  <c r="I1996" i="2"/>
  <c r="I1997" i="2"/>
  <c r="I1998" i="2"/>
  <c r="I1999" i="2"/>
  <c r="I2000" i="2"/>
  <c r="I2001" i="2"/>
  <c r="I2002" i="2"/>
  <c r="I2003" i="2"/>
  <c r="I2004" i="2"/>
  <c r="I2005" i="2"/>
  <c r="I2006" i="2"/>
  <c r="I2007" i="2"/>
  <c r="I2008" i="2"/>
  <c r="I2009" i="2"/>
  <c r="I2010" i="2"/>
  <c r="I2011" i="2"/>
  <c r="I2012" i="2"/>
  <c r="I2013" i="2"/>
  <c r="I2014" i="2"/>
  <c r="I2015" i="2"/>
  <c r="I2016" i="2"/>
  <c r="I2017" i="2"/>
  <c r="I2018" i="2"/>
  <c r="I2019" i="2"/>
  <c r="I2020" i="2"/>
  <c r="I2021" i="2"/>
  <c r="I2022" i="2"/>
  <c r="I2023" i="2"/>
  <c r="I2024" i="2"/>
  <c r="I2025" i="2"/>
  <c r="I2026" i="2"/>
  <c r="I2027" i="2"/>
  <c r="I2028" i="2"/>
  <c r="I2029" i="2"/>
  <c r="I2030" i="2"/>
  <c r="I2031" i="2"/>
  <c r="I2032" i="2"/>
  <c r="I2033" i="2"/>
  <c r="I2034" i="2"/>
  <c r="I2035" i="2"/>
  <c r="I2036" i="2"/>
  <c r="I2037" i="2"/>
  <c r="I2038" i="2"/>
  <c r="I2039" i="2"/>
  <c r="I2040" i="2"/>
  <c r="I2041" i="2"/>
  <c r="I2042" i="2"/>
  <c r="I2043" i="2"/>
  <c r="I2044" i="2"/>
  <c r="I2045" i="2"/>
  <c r="I2046" i="2"/>
  <c r="I2047" i="2"/>
  <c r="I2048" i="2"/>
  <c r="I2049" i="2"/>
  <c r="I2050" i="2"/>
  <c r="I2051" i="2"/>
  <c r="I2052" i="2"/>
  <c r="I2053" i="2"/>
  <c r="I2054" i="2"/>
  <c r="I2055" i="2"/>
  <c r="I2056" i="2"/>
  <c r="I2057" i="2"/>
  <c r="I2058" i="2"/>
  <c r="I2059" i="2"/>
  <c r="I2060" i="2"/>
  <c r="I2061" i="2"/>
  <c r="I2062" i="2"/>
  <c r="I2063" i="2"/>
  <c r="I2064" i="2"/>
  <c r="I2065" i="2"/>
  <c r="I2066" i="2"/>
  <c r="I2067" i="2"/>
  <c r="I2068" i="2"/>
  <c r="I2069" i="2"/>
  <c r="I2070" i="2"/>
  <c r="I2071" i="2"/>
  <c r="I2072" i="2"/>
  <c r="I2073" i="2"/>
  <c r="I2074" i="2"/>
  <c r="I2075" i="2"/>
  <c r="I2076" i="2"/>
  <c r="I2077" i="2"/>
  <c r="I2078" i="2"/>
  <c r="I2079" i="2"/>
  <c r="I2080" i="2"/>
  <c r="I2081" i="2"/>
  <c r="I2082" i="2"/>
  <c r="I2083" i="2"/>
  <c r="I2084" i="2"/>
  <c r="I2085" i="2"/>
  <c r="I2086" i="2"/>
  <c r="I2087" i="2"/>
  <c r="I2088" i="2"/>
  <c r="I2089" i="2"/>
  <c r="I2090" i="2"/>
  <c r="I2091" i="2"/>
  <c r="I2092" i="2"/>
  <c r="I2093" i="2"/>
  <c r="I2094" i="2"/>
  <c r="I2095" i="2"/>
  <c r="I2096" i="2"/>
  <c r="I2097" i="2"/>
  <c r="I2098" i="2"/>
  <c r="I2099" i="2"/>
  <c r="I2100" i="2"/>
  <c r="I2101" i="2"/>
  <c r="I2102" i="2"/>
  <c r="I2103" i="2"/>
  <c r="I2104" i="2"/>
  <c r="I2105" i="2"/>
  <c r="I2106" i="2"/>
  <c r="I2107" i="2"/>
  <c r="I2108" i="2"/>
  <c r="I2109" i="2"/>
  <c r="I2110" i="2"/>
  <c r="I2111" i="2"/>
  <c r="I2112" i="2"/>
  <c r="I2113" i="2"/>
  <c r="I2114" i="2"/>
  <c r="I2115" i="2"/>
  <c r="I2116" i="2"/>
  <c r="I2117" i="2"/>
  <c r="I2118" i="2"/>
  <c r="I2119" i="2"/>
  <c r="I2120" i="2"/>
  <c r="I2121" i="2"/>
  <c r="I2122" i="2"/>
  <c r="I2123" i="2"/>
  <c r="I2124" i="2"/>
  <c r="I2125" i="2"/>
  <c r="I2126" i="2"/>
  <c r="I2127" i="2"/>
  <c r="I2128" i="2"/>
  <c r="I2129" i="2"/>
  <c r="I2130" i="2"/>
  <c r="I2131" i="2"/>
  <c r="I2132" i="2"/>
  <c r="I2133" i="2"/>
  <c r="I2134" i="2"/>
  <c r="I2135" i="2"/>
  <c r="I2136" i="2"/>
  <c r="I2137" i="2"/>
  <c r="I2138" i="2"/>
  <c r="I2139" i="2"/>
  <c r="I2140" i="2"/>
  <c r="I2141" i="2"/>
  <c r="I2142" i="2"/>
  <c r="I2143" i="2"/>
  <c r="I2144" i="2"/>
  <c r="I2145" i="2"/>
  <c r="I2146" i="2"/>
  <c r="I2147" i="2"/>
  <c r="I2148" i="2"/>
  <c r="I2149" i="2"/>
  <c r="I2150" i="2"/>
  <c r="I2151" i="2"/>
  <c r="I2152" i="2"/>
  <c r="I2153" i="2"/>
  <c r="I2154" i="2"/>
  <c r="I2155" i="2"/>
  <c r="I2156" i="2"/>
  <c r="I2157" i="2"/>
  <c r="I2158" i="2"/>
  <c r="I2159" i="2"/>
  <c r="I2160" i="2"/>
  <c r="I2161" i="2"/>
  <c r="I2162" i="2"/>
  <c r="I2163" i="2"/>
  <c r="I2164" i="2"/>
  <c r="I2165" i="2"/>
  <c r="I2166" i="2"/>
  <c r="I2167" i="2"/>
  <c r="I2168" i="2"/>
  <c r="I2169" i="2"/>
  <c r="I2170" i="2"/>
  <c r="I2171" i="2"/>
  <c r="I2172" i="2"/>
  <c r="I2173" i="2"/>
  <c r="I2174" i="2"/>
  <c r="I2175" i="2"/>
  <c r="I2176" i="2"/>
  <c r="I2177" i="2"/>
  <c r="I2178" i="2"/>
  <c r="I2179" i="2"/>
  <c r="I2180" i="2"/>
  <c r="I2181" i="2"/>
  <c r="I2182" i="2"/>
  <c r="I2183" i="2"/>
  <c r="I2184" i="2"/>
  <c r="I2185" i="2"/>
  <c r="I2186" i="2"/>
  <c r="I2187" i="2"/>
  <c r="I2188" i="2"/>
  <c r="I2189" i="2"/>
  <c r="I2190" i="2"/>
  <c r="I2191" i="2"/>
  <c r="I2192" i="2"/>
  <c r="I2193" i="2"/>
  <c r="I2194" i="2"/>
  <c r="I2195" i="2"/>
  <c r="I2196" i="2"/>
  <c r="I2197" i="2"/>
  <c r="I2198" i="2"/>
  <c r="I2199" i="2"/>
  <c r="I2200" i="2"/>
  <c r="I2201" i="2"/>
  <c r="I2202" i="2"/>
  <c r="I2203" i="2"/>
  <c r="I2204" i="2"/>
  <c r="I2205" i="2"/>
  <c r="I2206" i="2"/>
  <c r="I2207" i="2"/>
  <c r="I2208" i="2"/>
  <c r="I2209" i="2"/>
  <c r="I2210" i="2"/>
  <c r="I2211" i="2"/>
  <c r="I2212" i="2"/>
  <c r="I2213" i="2"/>
  <c r="I2214" i="2"/>
  <c r="I2215" i="2"/>
  <c r="I2216" i="2"/>
  <c r="I2217" i="2"/>
  <c r="I2218" i="2"/>
  <c r="I2219" i="2"/>
  <c r="I2220" i="2"/>
  <c r="I2221" i="2"/>
  <c r="I2222" i="2"/>
  <c r="I2223" i="2"/>
  <c r="I2224" i="2"/>
  <c r="I2225" i="2"/>
  <c r="I2226" i="2"/>
  <c r="I2227" i="2"/>
  <c r="I2228" i="2"/>
  <c r="I2229" i="2"/>
  <c r="I2230" i="2"/>
  <c r="I2231" i="2"/>
  <c r="I2232" i="2"/>
  <c r="I2233" i="2"/>
  <c r="I2234" i="2"/>
  <c r="I2235" i="2"/>
  <c r="I2236" i="2"/>
  <c r="I2237" i="2"/>
  <c r="I2238" i="2"/>
  <c r="I2239" i="2"/>
  <c r="I2240" i="2"/>
  <c r="I2241" i="2"/>
  <c r="I2242" i="2"/>
  <c r="I2243" i="2"/>
  <c r="I2244" i="2"/>
  <c r="I2245" i="2"/>
  <c r="I2246" i="2"/>
  <c r="I2247" i="2"/>
  <c r="I2248" i="2"/>
  <c r="I2249" i="2"/>
  <c r="I2250" i="2"/>
  <c r="I2251" i="2"/>
  <c r="I2252" i="2"/>
  <c r="I2253" i="2"/>
  <c r="I2254" i="2"/>
  <c r="I2255" i="2"/>
  <c r="I2256" i="2"/>
  <c r="I2257" i="2"/>
  <c r="I2258" i="2"/>
  <c r="I2259" i="2"/>
  <c r="I2260" i="2"/>
  <c r="I2261" i="2"/>
  <c r="I2262" i="2"/>
  <c r="I2263" i="2"/>
  <c r="I2264" i="2"/>
  <c r="I2265" i="2"/>
  <c r="I2266" i="2"/>
  <c r="I2267" i="2"/>
  <c r="I2268" i="2"/>
  <c r="I2269" i="2"/>
  <c r="I2270" i="2"/>
  <c r="I2271" i="2"/>
  <c r="I2272" i="2"/>
  <c r="I2273" i="2"/>
  <c r="I2274" i="2"/>
  <c r="I2275" i="2"/>
  <c r="I2276" i="2"/>
  <c r="I2277" i="2"/>
  <c r="I2278" i="2"/>
  <c r="I2279" i="2"/>
  <c r="I2280" i="2"/>
  <c r="I2281" i="2"/>
  <c r="I2282" i="2"/>
  <c r="I2283" i="2"/>
  <c r="I2284" i="2"/>
  <c r="I2285" i="2"/>
  <c r="I2286" i="2"/>
  <c r="I2287" i="2"/>
  <c r="I2288" i="2"/>
  <c r="I2289" i="2"/>
  <c r="I2290" i="2"/>
  <c r="I2291" i="2"/>
  <c r="I2292" i="2"/>
  <c r="I2293" i="2"/>
  <c r="I2294" i="2"/>
  <c r="I2295" i="2"/>
  <c r="I2296" i="2"/>
  <c r="I2297" i="2"/>
  <c r="I2298" i="2"/>
  <c r="I2299" i="2"/>
  <c r="I2300" i="2"/>
  <c r="I2301" i="2"/>
  <c r="I2302" i="2"/>
  <c r="I2303" i="2"/>
  <c r="I2304" i="2"/>
  <c r="I2305" i="2"/>
  <c r="I2306" i="2"/>
  <c r="I2307" i="2"/>
  <c r="I2308" i="2"/>
  <c r="I2309" i="2"/>
  <c r="I2310" i="2"/>
  <c r="I2311" i="2"/>
  <c r="I2312" i="2"/>
  <c r="I2313" i="2"/>
  <c r="I2314" i="2"/>
  <c r="I2315" i="2"/>
  <c r="I2316" i="2"/>
  <c r="I2317" i="2"/>
  <c r="I2318" i="2"/>
  <c r="I2319" i="2"/>
  <c r="I2320" i="2"/>
  <c r="I2321" i="2"/>
  <c r="I2322" i="2"/>
  <c r="I2323" i="2"/>
  <c r="I2324" i="2"/>
  <c r="I2325" i="2"/>
  <c r="I2326" i="2"/>
  <c r="I2327" i="2"/>
  <c r="I2328" i="2"/>
  <c r="I2329" i="2"/>
  <c r="I2330" i="2"/>
  <c r="I2331" i="2"/>
  <c r="I2332" i="2"/>
  <c r="I2333" i="2"/>
  <c r="I2334" i="2"/>
  <c r="I2335" i="2"/>
  <c r="I2336" i="2"/>
  <c r="I2337" i="2"/>
  <c r="I2338" i="2"/>
  <c r="I2339" i="2"/>
  <c r="I2340" i="2"/>
  <c r="I2341" i="2"/>
  <c r="I2342" i="2"/>
  <c r="I2343" i="2"/>
  <c r="I2344" i="2"/>
  <c r="I2345" i="2"/>
  <c r="I2346" i="2"/>
  <c r="I2347" i="2"/>
  <c r="I2348" i="2"/>
  <c r="I2349" i="2"/>
  <c r="I2350" i="2"/>
  <c r="I2351" i="2"/>
  <c r="I2352" i="2"/>
  <c r="I2353" i="2"/>
  <c r="I2354" i="2"/>
  <c r="I2355" i="2"/>
  <c r="I2356" i="2"/>
  <c r="I2357" i="2"/>
  <c r="I2358" i="2"/>
  <c r="I2359" i="2"/>
  <c r="I2360" i="2"/>
  <c r="I2361" i="2"/>
  <c r="I2362" i="2"/>
  <c r="I2363" i="2"/>
  <c r="I2364" i="2"/>
  <c r="I2365" i="2"/>
  <c r="I2366" i="2"/>
  <c r="I2367" i="2"/>
  <c r="I2368" i="2"/>
  <c r="I2369" i="2"/>
  <c r="I2370" i="2"/>
  <c r="I2371" i="2"/>
  <c r="I2372" i="2"/>
  <c r="I2373" i="2"/>
  <c r="I2374" i="2"/>
  <c r="I2375" i="2"/>
  <c r="I2376" i="2"/>
  <c r="I2377" i="2"/>
  <c r="I2378" i="2"/>
  <c r="I2379" i="2"/>
  <c r="I2380" i="2"/>
  <c r="I2381" i="2"/>
  <c r="I2382" i="2"/>
  <c r="I2383" i="2"/>
  <c r="I2384" i="2"/>
  <c r="I2385" i="2"/>
  <c r="I2386" i="2"/>
  <c r="I2387" i="2"/>
  <c r="I2388" i="2"/>
  <c r="I2389" i="2"/>
  <c r="I2390" i="2"/>
  <c r="I2391" i="2"/>
  <c r="I2392" i="2"/>
  <c r="I2393" i="2"/>
  <c r="I2394" i="2"/>
  <c r="I2395" i="2"/>
  <c r="I2396" i="2"/>
  <c r="I2397" i="2"/>
  <c r="I2398" i="2"/>
  <c r="I2399" i="2"/>
  <c r="I2400" i="2"/>
  <c r="I2401" i="2"/>
  <c r="I2402" i="2"/>
  <c r="I2403" i="2"/>
  <c r="I2404" i="2"/>
  <c r="I2405" i="2"/>
  <c r="I2406" i="2"/>
  <c r="I2407" i="2"/>
  <c r="I2408" i="2"/>
  <c r="I2409" i="2"/>
  <c r="I2410" i="2"/>
  <c r="I2411" i="2"/>
  <c r="I2412" i="2"/>
  <c r="I2413" i="2"/>
  <c r="I2414" i="2"/>
  <c r="I2415" i="2"/>
  <c r="I2416" i="2"/>
  <c r="I2417" i="2"/>
  <c r="I2418" i="2"/>
  <c r="I2419" i="2"/>
  <c r="I2420" i="2"/>
  <c r="I2421" i="2"/>
  <c r="I2422" i="2"/>
  <c r="I2423" i="2"/>
  <c r="I2424" i="2"/>
  <c r="I2425" i="2"/>
  <c r="I2426" i="2"/>
  <c r="I2427" i="2"/>
  <c r="I2428" i="2"/>
  <c r="I2429" i="2"/>
  <c r="I2430" i="2"/>
  <c r="I2431" i="2"/>
  <c r="I2432" i="2"/>
  <c r="I2433" i="2"/>
  <c r="I2434" i="2"/>
  <c r="I2435" i="2"/>
  <c r="I2436" i="2"/>
  <c r="I2437" i="2"/>
  <c r="I2438" i="2"/>
  <c r="I2439" i="2"/>
  <c r="I2440" i="2"/>
  <c r="I2441" i="2"/>
  <c r="I2442" i="2"/>
  <c r="I2443" i="2"/>
  <c r="I2444" i="2"/>
  <c r="I2445" i="2"/>
  <c r="I2446" i="2"/>
  <c r="I2447" i="2"/>
  <c r="I2448" i="2"/>
  <c r="I2449" i="2"/>
  <c r="I2450" i="2"/>
  <c r="I2451" i="2"/>
  <c r="I2452" i="2"/>
  <c r="I2453" i="2"/>
  <c r="I2454" i="2"/>
  <c r="I2455" i="2"/>
  <c r="I2456" i="2"/>
  <c r="I2457" i="2"/>
  <c r="I2458" i="2"/>
  <c r="I2459" i="2"/>
  <c r="I2460" i="2"/>
  <c r="I2461" i="2"/>
  <c r="I2462" i="2"/>
  <c r="I2463" i="2"/>
  <c r="I2464" i="2"/>
  <c r="I2465" i="2"/>
  <c r="I2466" i="2"/>
  <c r="I2467" i="2"/>
  <c r="I2468" i="2"/>
  <c r="I2469" i="2"/>
  <c r="I2470" i="2"/>
  <c r="I2471" i="2"/>
  <c r="I2472" i="2"/>
  <c r="I2473" i="2"/>
  <c r="I2474" i="2"/>
  <c r="I2475" i="2"/>
  <c r="I2476" i="2"/>
  <c r="I2477" i="2"/>
  <c r="I2478" i="2"/>
  <c r="I2479" i="2"/>
  <c r="I2480" i="2"/>
  <c r="I2481" i="2"/>
  <c r="I2482" i="2"/>
  <c r="I2483" i="2"/>
  <c r="I2484" i="2"/>
  <c r="I2485" i="2"/>
  <c r="I2486" i="2"/>
  <c r="I2487" i="2"/>
  <c r="I2488" i="2"/>
  <c r="I2489" i="2"/>
  <c r="I2490" i="2"/>
  <c r="I2491" i="2"/>
  <c r="I2492" i="2"/>
  <c r="I2493" i="2"/>
  <c r="I2494" i="2"/>
  <c r="I2495" i="2"/>
  <c r="I2496" i="2"/>
  <c r="I2497" i="2"/>
  <c r="I2498" i="2"/>
  <c r="I2499" i="2"/>
  <c r="I2500" i="2"/>
  <c r="I2501" i="2"/>
  <c r="I2502" i="2"/>
  <c r="I2503" i="2"/>
  <c r="I2504" i="2"/>
  <c r="I2505" i="2"/>
  <c r="I2506" i="2"/>
  <c r="I2507" i="2"/>
  <c r="I2508" i="2"/>
  <c r="I2509" i="2"/>
  <c r="I2510" i="2"/>
  <c r="I2511" i="2"/>
  <c r="I2512" i="2"/>
  <c r="I2513" i="2"/>
  <c r="I2514" i="2"/>
  <c r="I2515" i="2"/>
  <c r="I2516" i="2"/>
  <c r="I2517" i="2"/>
  <c r="I2518" i="2"/>
  <c r="I2519" i="2"/>
  <c r="I2520" i="2"/>
  <c r="I2521" i="2"/>
  <c r="I2522" i="2"/>
  <c r="I2523" i="2"/>
  <c r="I2524" i="2"/>
  <c r="I2525" i="2"/>
  <c r="I2526" i="2"/>
  <c r="I2527" i="2"/>
  <c r="I2528" i="2"/>
  <c r="I2529" i="2"/>
  <c r="I2530" i="2"/>
  <c r="I2531" i="2"/>
  <c r="I2532" i="2"/>
  <c r="I2533" i="2"/>
  <c r="I2534" i="2"/>
  <c r="I2535" i="2"/>
  <c r="I2536" i="2"/>
  <c r="I2537" i="2"/>
  <c r="I2538" i="2"/>
  <c r="I2539" i="2"/>
  <c r="I2540" i="2"/>
  <c r="I2541" i="2"/>
  <c r="I2542" i="2"/>
  <c r="I2543" i="2"/>
  <c r="I2544" i="2"/>
  <c r="I2545" i="2"/>
  <c r="I2546" i="2"/>
  <c r="I2547" i="2"/>
  <c r="I2548" i="2"/>
  <c r="I2549" i="2"/>
  <c r="I2550" i="2"/>
  <c r="I2551" i="2"/>
  <c r="I2552" i="2"/>
  <c r="I2553" i="2"/>
  <c r="I2554" i="2"/>
  <c r="I2555" i="2"/>
  <c r="I2556" i="2"/>
  <c r="I2557" i="2"/>
  <c r="I2558" i="2"/>
  <c r="I2559" i="2"/>
  <c r="I2560" i="2"/>
  <c r="I2561" i="2"/>
  <c r="I2562" i="2"/>
  <c r="I2563" i="2"/>
  <c r="I2564" i="2"/>
  <c r="I2565" i="2"/>
  <c r="I2566" i="2"/>
  <c r="I2567" i="2"/>
  <c r="I2568" i="2"/>
  <c r="I2569" i="2"/>
  <c r="I2570" i="2"/>
  <c r="I2571" i="2"/>
  <c r="I2572" i="2"/>
  <c r="I2573" i="2"/>
  <c r="I2574" i="2"/>
  <c r="I2575" i="2"/>
  <c r="I2576" i="2"/>
  <c r="I2577" i="2"/>
  <c r="I2578" i="2"/>
  <c r="I2579" i="2"/>
  <c r="I2580" i="2"/>
  <c r="I2581" i="2"/>
  <c r="I2582" i="2"/>
  <c r="I2583" i="2"/>
  <c r="I2584" i="2"/>
  <c r="I2585" i="2"/>
  <c r="I2586" i="2"/>
  <c r="I2587" i="2"/>
  <c r="I2588" i="2"/>
  <c r="I2589" i="2"/>
  <c r="I2590" i="2"/>
  <c r="I2591" i="2"/>
  <c r="I2592" i="2"/>
  <c r="I2593" i="2"/>
  <c r="I2594" i="2"/>
  <c r="I2595" i="2"/>
  <c r="I2596" i="2"/>
  <c r="I2597" i="2"/>
  <c r="I2598" i="2"/>
  <c r="I2599" i="2"/>
  <c r="I2600" i="2"/>
  <c r="I2601" i="2"/>
  <c r="I2602" i="2"/>
  <c r="I2603" i="2"/>
  <c r="I2604" i="2"/>
  <c r="I2605" i="2"/>
  <c r="I2606" i="2"/>
  <c r="I2607" i="2"/>
  <c r="I2608" i="2"/>
  <c r="I2609" i="2"/>
  <c r="I2610" i="2"/>
  <c r="I2611" i="2"/>
  <c r="I2612" i="2"/>
  <c r="I2613" i="2"/>
  <c r="I2614" i="2"/>
  <c r="I2615" i="2"/>
  <c r="I2616" i="2"/>
  <c r="I2617" i="2"/>
  <c r="I2618" i="2"/>
  <c r="I2619" i="2"/>
  <c r="I2620" i="2"/>
  <c r="I2621" i="2"/>
  <c r="I2622" i="2"/>
  <c r="I2623" i="2"/>
  <c r="I2624" i="2"/>
  <c r="I2625" i="2"/>
  <c r="I2626" i="2"/>
  <c r="I2627" i="2"/>
  <c r="I2628" i="2"/>
  <c r="I2629" i="2"/>
  <c r="I2630" i="2"/>
  <c r="I2631" i="2"/>
  <c r="I2632" i="2"/>
  <c r="I2633" i="2"/>
  <c r="I2634" i="2"/>
  <c r="I2635" i="2"/>
  <c r="I2636" i="2"/>
  <c r="I2637" i="2"/>
  <c r="I2638" i="2"/>
  <c r="I2639" i="2"/>
  <c r="I2640" i="2"/>
  <c r="I2641" i="2"/>
  <c r="I2642" i="2"/>
  <c r="I2643" i="2"/>
  <c r="I2644" i="2"/>
  <c r="I2645" i="2"/>
  <c r="I2646" i="2"/>
  <c r="I2647" i="2"/>
  <c r="I2648" i="2"/>
  <c r="I2649" i="2"/>
  <c r="I2650" i="2"/>
  <c r="I2651" i="2"/>
  <c r="I2652" i="2"/>
  <c r="I2653" i="2"/>
  <c r="I2654" i="2"/>
  <c r="I2655" i="2"/>
  <c r="I2656" i="2"/>
  <c r="I2657" i="2"/>
  <c r="I2658" i="2"/>
  <c r="I2659" i="2"/>
  <c r="I2660" i="2"/>
  <c r="I2661" i="2"/>
  <c r="I2662" i="2"/>
  <c r="I2663" i="2"/>
  <c r="I2664" i="2"/>
  <c r="I2665" i="2"/>
  <c r="I2666" i="2"/>
  <c r="I2667" i="2"/>
  <c r="I2668" i="2"/>
  <c r="I2669" i="2"/>
  <c r="I2670" i="2"/>
  <c r="I2671" i="2"/>
  <c r="I2672" i="2"/>
  <c r="I2673" i="2"/>
  <c r="I2674" i="2"/>
  <c r="I2675" i="2"/>
  <c r="I2676" i="2"/>
  <c r="I2677" i="2"/>
  <c r="I2678" i="2"/>
  <c r="I2679" i="2"/>
  <c r="I2680" i="2"/>
  <c r="I2681" i="2"/>
  <c r="I2682" i="2"/>
  <c r="I2683" i="2"/>
  <c r="I2684" i="2"/>
  <c r="I2685" i="2"/>
  <c r="I2686" i="2"/>
  <c r="I2687" i="2"/>
  <c r="I2688" i="2"/>
  <c r="I2689" i="2"/>
  <c r="I2690" i="2"/>
  <c r="I2691" i="2"/>
  <c r="I2692" i="2"/>
  <c r="I2693" i="2"/>
  <c r="I2694" i="2"/>
  <c r="I2695" i="2"/>
  <c r="I2696" i="2"/>
  <c r="I2697" i="2"/>
  <c r="I2698" i="2"/>
  <c r="I2699" i="2"/>
  <c r="I2700" i="2"/>
  <c r="I2701" i="2"/>
  <c r="I2702" i="2"/>
  <c r="I2703" i="2"/>
  <c r="I2704" i="2"/>
  <c r="I2705" i="2"/>
  <c r="I2706" i="2"/>
  <c r="I2707" i="2"/>
  <c r="I2708" i="2"/>
  <c r="I2709" i="2"/>
  <c r="I2710" i="2"/>
  <c r="I2711" i="2"/>
  <c r="I2712" i="2"/>
  <c r="I2713" i="2"/>
  <c r="I2714" i="2"/>
  <c r="I2715" i="2"/>
  <c r="I2716" i="2"/>
  <c r="I2717" i="2"/>
  <c r="I2718" i="2"/>
  <c r="I2719" i="2"/>
  <c r="I2720" i="2"/>
  <c r="I2721" i="2"/>
  <c r="I2722" i="2"/>
  <c r="I2723" i="2"/>
  <c r="I2724" i="2"/>
  <c r="I2725" i="2"/>
  <c r="I2726" i="2"/>
  <c r="I2727" i="2"/>
  <c r="I2728" i="2"/>
  <c r="I2729" i="2"/>
  <c r="I2730" i="2"/>
  <c r="I2731" i="2"/>
  <c r="I2732" i="2"/>
  <c r="I2733" i="2"/>
  <c r="I2734" i="2"/>
  <c r="I2735" i="2"/>
  <c r="I2736" i="2"/>
  <c r="I2737" i="2"/>
  <c r="I2738" i="2"/>
  <c r="I2739" i="2"/>
  <c r="I2740" i="2"/>
  <c r="I2741" i="2"/>
  <c r="I2742" i="2"/>
  <c r="I2743" i="2"/>
  <c r="I2744" i="2"/>
  <c r="I2745" i="2"/>
  <c r="I2746" i="2"/>
  <c r="I2747" i="2"/>
  <c r="I2748" i="2"/>
  <c r="I2749" i="2"/>
  <c r="I2750" i="2"/>
  <c r="I2751" i="2"/>
  <c r="I2752" i="2"/>
  <c r="I2753" i="2"/>
  <c r="I2754" i="2"/>
  <c r="I2755" i="2"/>
  <c r="I2756" i="2"/>
  <c r="I2757" i="2"/>
  <c r="I2758" i="2"/>
  <c r="I2759" i="2"/>
  <c r="I2760" i="2"/>
  <c r="I2761" i="2"/>
  <c r="I2762" i="2"/>
  <c r="I2763" i="2"/>
  <c r="I2764" i="2"/>
  <c r="I2765" i="2"/>
  <c r="I2766" i="2"/>
  <c r="I2767" i="2"/>
  <c r="I2768" i="2"/>
  <c r="I2769" i="2"/>
  <c r="I2770" i="2"/>
  <c r="I2771" i="2"/>
  <c r="I2772" i="2"/>
  <c r="I2773" i="2"/>
  <c r="I2774" i="2"/>
  <c r="I2775" i="2"/>
  <c r="I2776" i="2"/>
  <c r="I2777" i="2"/>
  <c r="I2778" i="2"/>
  <c r="I2779" i="2"/>
  <c r="I2780" i="2"/>
  <c r="I2781" i="2"/>
  <c r="I2782" i="2"/>
  <c r="I2783" i="2"/>
  <c r="I2784" i="2"/>
  <c r="I2785" i="2"/>
  <c r="I2786" i="2"/>
  <c r="I2787" i="2"/>
  <c r="I2788" i="2"/>
  <c r="I2789" i="2"/>
  <c r="I2790" i="2"/>
  <c r="I2791" i="2"/>
  <c r="I2792" i="2"/>
  <c r="I2793" i="2"/>
  <c r="I2794" i="2"/>
  <c r="I2795" i="2"/>
  <c r="I2796" i="2"/>
  <c r="I2797" i="2"/>
  <c r="I2798" i="2"/>
  <c r="I2799" i="2"/>
  <c r="I2800" i="2"/>
  <c r="I2801" i="2"/>
  <c r="I2802" i="2"/>
  <c r="I2803" i="2"/>
  <c r="I2804" i="2"/>
  <c r="I2805" i="2"/>
  <c r="I2806" i="2"/>
  <c r="I2807" i="2"/>
  <c r="I2808" i="2"/>
  <c r="I2809" i="2"/>
  <c r="I2810" i="2"/>
  <c r="I2811" i="2"/>
  <c r="I2812" i="2"/>
  <c r="I2813" i="2"/>
  <c r="I2814" i="2"/>
  <c r="I2815" i="2"/>
  <c r="I2816" i="2"/>
  <c r="I2817" i="2"/>
  <c r="I2818" i="2"/>
  <c r="I2819" i="2"/>
  <c r="I2820" i="2"/>
  <c r="I2821" i="2"/>
  <c r="I2822" i="2"/>
  <c r="I2823" i="2"/>
  <c r="I2824" i="2"/>
  <c r="I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05" i="2"/>
  <c r="E1306" i="2"/>
  <c r="E1307" i="2"/>
  <c r="E1308" i="2"/>
  <c r="E1309" i="2"/>
  <c r="E1310" i="2"/>
  <c r="E1311" i="2"/>
  <c r="E1312" i="2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29" i="2"/>
  <c r="E1330" i="2"/>
  <c r="E1331" i="2"/>
  <c r="E1332" i="2"/>
  <c r="E1333" i="2"/>
  <c r="E1334" i="2"/>
  <c r="E1335" i="2"/>
  <c r="E1336" i="2"/>
  <c r="E1337" i="2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E1353" i="2"/>
  <c r="E1354" i="2"/>
  <c r="E1355" i="2"/>
  <c r="E1356" i="2"/>
  <c r="E1357" i="2"/>
  <c r="E1358" i="2"/>
  <c r="E1359" i="2"/>
  <c r="E1360" i="2"/>
  <c r="E1361" i="2"/>
  <c r="E1362" i="2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E1378" i="2"/>
  <c r="E1379" i="2"/>
  <c r="E1380" i="2"/>
  <c r="E1381" i="2"/>
  <c r="E1382" i="2"/>
  <c r="E1383" i="2"/>
  <c r="E1384" i="2"/>
  <c r="E1385" i="2"/>
  <c r="E1386" i="2"/>
  <c r="E1387" i="2"/>
  <c r="E1388" i="2"/>
  <c r="E1389" i="2"/>
  <c r="E1390" i="2"/>
  <c r="E1391" i="2"/>
  <c r="E1392" i="2"/>
  <c r="E1393" i="2"/>
  <c r="E1394" i="2"/>
  <c r="E1395" i="2"/>
  <c r="E1396" i="2"/>
  <c r="E1397" i="2"/>
  <c r="E1398" i="2"/>
  <c r="E1399" i="2"/>
  <c r="E1400" i="2"/>
  <c r="E1401" i="2"/>
  <c r="E1402" i="2"/>
  <c r="E1403" i="2"/>
  <c r="E1404" i="2"/>
  <c r="E1405" i="2"/>
  <c r="E1406" i="2"/>
  <c r="E1407" i="2"/>
  <c r="E1408" i="2"/>
  <c r="E1409" i="2"/>
  <c r="E1410" i="2"/>
  <c r="E1411" i="2"/>
  <c r="E1412" i="2"/>
  <c r="E1413" i="2"/>
  <c r="E1414" i="2"/>
  <c r="E1415" i="2"/>
  <c r="E1416" i="2"/>
  <c r="E1417" i="2"/>
  <c r="E1418" i="2"/>
  <c r="E1419" i="2"/>
  <c r="E1420" i="2"/>
  <c r="E1421" i="2"/>
  <c r="E1422" i="2"/>
  <c r="E1423" i="2"/>
  <c r="E1424" i="2"/>
  <c r="E1425" i="2"/>
  <c r="E142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77" i="2"/>
  <c r="E1478" i="2"/>
  <c r="E1479" i="2"/>
  <c r="E1480" i="2"/>
  <c r="E1481" i="2"/>
  <c r="E1482" i="2"/>
  <c r="E1483" i="2"/>
  <c r="E1484" i="2"/>
  <c r="E1485" i="2"/>
  <c r="E1486" i="2"/>
  <c r="E1487" i="2"/>
  <c r="E1488" i="2"/>
  <c r="E1489" i="2"/>
  <c r="E1490" i="2"/>
  <c r="E1491" i="2"/>
  <c r="E1492" i="2"/>
  <c r="E1493" i="2"/>
  <c r="E1494" i="2"/>
  <c r="E1495" i="2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E1515" i="2"/>
  <c r="E1516" i="2"/>
  <c r="E1517" i="2"/>
  <c r="E1518" i="2"/>
  <c r="E1519" i="2"/>
  <c r="E1520" i="2"/>
  <c r="E1521" i="2"/>
  <c r="E1522" i="2"/>
  <c r="E1523" i="2"/>
  <c r="E1524" i="2"/>
  <c r="E1525" i="2"/>
  <c r="E1526" i="2"/>
  <c r="E1527" i="2"/>
  <c r="E1528" i="2"/>
  <c r="E1529" i="2"/>
  <c r="E1530" i="2"/>
  <c r="E1531" i="2"/>
  <c r="E1532" i="2"/>
  <c r="E1533" i="2"/>
  <c r="E1534" i="2"/>
  <c r="E1535" i="2"/>
  <c r="E1536" i="2"/>
  <c r="E1537" i="2"/>
  <c r="E1538" i="2"/>
  <c r="E1539" i="2"/>
  <c r="E1540" i="2"/>
  <c r="E1541" i="2"/>
  <c r="E1542" i="2"/>
  <c r="E1543" i="2"/>
  <c r="E1544" i="2"/>
  <c r="E1545" i="2"/>
  <c r="E1546" i="2"/>
  <c r="E1547" i="2"/>
  <c r="E1548" i="2"/>
  <c r="E1549" i="2"/>
  <c r="E1550" i="2"/>
  <c r="E1551" i="2"/>
  <c r="E1552" i="2"/>
  <c r="E1553" i="2"/>
  <c r="E1554" i="2"/>
  <c r="E1555" i="2"/>
  <c r="E1556" i="2"/>
  <c r="E1557" i="2"/>
  <c r="E1558" i="2"/>
  <c r="E1559" i="2"/>
  <c r="E1560" i="2"/>
  <c r="E1561" i="2"/>
  <c r="E1562" i="2"/>
  <c r="E1563" i="2"/>
  <c r="E1564" i="2"/>
  <c r="E1565" i="2"/>
  <c r="E1566" i="2"/>
  <c r="E1567" i="2"/>
  <c r="E1568" i="2"/>
  <c r="E1569" i="2"/>
  <c r="E1570" i="2"/>
  <c r="E1571" i="2"/>
  <c r="E1572" i="2"/>
  <c r="E1573" i="2"/>
  <c r="E1574" i="2"/>
  <c r="E1575" i="2"/>
  <c r="E1576" i="2"/>
  <c r="E1577" i="2"/>
  <c r="E1578" i="2"/>
  <c r="E1579" i="2"/>
  <c r="E1580" i="2"/>
  <c r="E1581" i="2"/>
  <c r="E1582" i="2"/>
  <c r="E1583" i="2"/>
  <c r="E1584" i="2"/>
  <c r="E1585" i="2"/>
  <c r="E1586" i="2"/>
  <c r="E1587" i="2"/>
  <c r="E1588" i="2"/>
  <c r="E1589" i="2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E1603" i="2"/>
  <c r="E1604" i="2"/>
  <c r="E1605" i="2"/>
  <c r="E1606" i="2"/>
  <c r="E1607" i="2"/>
  <c r="E1608" i="2"/>
  <c r="E1609" i="2"/>
  <c r="E1610" i="2"/>
  <c r="E1611" i="2"/>
  <c r="E1612" i="2"/>
  <c r="E1613" i="2"/>
  <c r="E1614" i="2"/>
  <c r="E1615" i="2"/>
  <c r="E1616" i="2"/>
  <c r="E1617" i="2"/>
  <c r="E1618" i="2"/>
  <c r="E1619" i="2"/>
  <c r="E1620" i="2"/>
  <c r="E1621" i="2"/>
  <c r="E1622" i="2"/>
  <c r="E1623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E2500" i="2"/>
  <c r="E2501" i="2"/>
  <c r="E2502" i="2"/>
  <c r="E2503" i="2"/>
  <c r="E2504" i="2"/>
  <c r="E2505" i="2"/>
  <c r="E2506" i="2"/>
  <c r="E2507" i="2"/>
  <c r="E2508" i="2"/>
  <c r="E2509" i="2"/>
  <c r="E2510" i="2"/>
  <c r="E2511" i="2"/>
  <c r="E2512" i="2"/>
  <c r="E2513" i="2"/>
  <c r="E2514" i="2"/>
  <c r="E2515" i="2"/>
  <c r="E2516" i="2"/>
  <c r="E2517" i="2"/>
  <c r="E2518" i="2"/>
  <c r="E2519" i="2"/>
  <c r="E2520" i="2"/>
  <c r="E2521" i="2"/>
  <c r="E2522" i="2"/>
  <c r="E2523" i="2"/>
  <c r="E2524" i="2"/>
  <c r="E2525" i="2"/>
  <c r="E2526" i="2"/>
  <c r="E2527" i="2"/>
  <c r="E2528" i="2"/>
  <c r="E2529" i="2"/>
  <c r="E2530" i="2"/>
  <c r="E2531" i="2"/>
  <c r="E2532" i="2"/>
  <c r="E2533" i="2"/>
  <c r="E2534" i="2"/>
  <c r="E2535" i="2"/>
  <c r="E2536" i="2"/>
  <c r="E2537" i="2"/>
  <c r="E2538" i="2"/>
  <c r="E2539" i="2"/>
  <c r="E2540" i="2"/>
  <c r="E2541" i="2"/>
  <c r="E2542" i="2"/>
  <c r="E2543" i="2"/>
  <c r="E2544" i="2"/>
  <c r="E2545" i="2"/>
  <c r="E2546" i="2"/>
  <c r="E2547" i="2"/>
  <c r="E2548" i="2"/>
  <c r="E2549" i="2"/>
  <c r="E2550" i="2"/>
  <c r="E2551" i="2"/>
  <c r="E2552" i="2"/>
  <c r="E2553" i="2"/>
  <c r="E2554" i="2"/>
  <c r="E2555" i="2"/>
  <c r="E2556" i="2"/>
  <c r="E2557" i="2"/>
  <c r="E2558" i="2"/>
  <c r="E2559" i="2"/>
  <c r="E2560" i="2"/>
  <c r="E2561" i="2"/>
  <c r="E2562" i="2"/>
  <c r="E2563" i="2"/>
  <c r="E2564" i="2"/>
  <c r="E2565" i="2"/>
  <c r="E2566" i="2"/>
  <c r="E2567" i="2"/>
  <c r="E2568" i="2"/>
  <c r="E2569" i="2"/>
  <c r="E2570" i="2"/>
  <c r="E2571" i="2"/>
  <c r="E2572" i="2"/>
  <c r="E2573" i="2"/>
  <c r="E2574" i="2"/>
  <c r="E2575" i="2"/>
  <c r="E2576" i="2"/>
  <c r="E2577" i="2"/>
  <c r="E2578" i="2"/>
  <c r="E2579" i="2"/>
  <c r="E2580" i="2"/>
  <c r="E2581" i="2"/>
  <c r="E2582" i="2"/>
  <c r="E2583" i="2"/>
  <c r="E2584" i="2"/>
  <c r="E2585" i="2"/>
  <c r="E2586" i="2"/>
  <c r="E2587" i="2"/>
  <c r="E2588" i="2"/>
  <c r="E2589" i="2"/>
  <c r="E2590" i="2"/>
  <c r="E2591" i="2"/>
  <c r="E2592" i="2"/>
  <c r="E2593" i="2"/>
  <c r="E2594" i="2"/>
  <c r="E2595" i="2"/>
  <c r="E2596" i="2"/>
  <c r="E2597" i="2"/>
  <c r="E2598" i="2"/>
  <c r="E2599" i="2"/>
  <c r="E2600" i="2"/>
  <c r="E2601" i="2"/>
  <c r="E2602" i="2"/>
  <c r="E2603" i="2"/>
  <c r="E2604" i="2"/>
  <c r="E2605" i="2"/>
  <c r="E2606" i="2"/>
  <c r="E2607" i="2"/>
  <c r="E2608" i="2"/>
  <c r="E2609" i="2"/>
  <c r="E2610" i="2"/>
  <c r="E2611" i="2"/>
  <c r="E2612" i="2"/>
  <c r="E2613" i="2"/>
  <c r="E2614" i="2"/>
  <c r="E2615" i="2"/>
  <c r="E2616" i="2"/>
  <c r="E2617" i="2"/>
  <c r="E2618" i="2"/>
  <c r="E2619" i="2"/>
  <c r="E2620" i="2"/>
  <c r="E2621" i="2"/>
  <c r="E2622" i="2"/>
  <c r="E2623" i="2"/>
  <c r="E2624" i="2"/>
  <c r="E2625" i="2"/>
  <c r="E2626" i="2"/>
  <c r="E2627" i="2"/>
  <c r="E2628" i="2"/>
  <c r="E2629" i="2"/>
  <c r="E2630" i="2"/>
  <c r="E2631" i="2"/>
  <c r="E2632" i="2"/>
  <c r="E2633" i="2"/>
  <c r="E2634" i="2"/>
  <c r="E2635" i="2"/>
  <c r="E2636" i="2"/>
  <c r="E2637" i="2"/>
  <c r="E2638" i="2"/>
  <c r="E2639" i="2"/>
  <c r="E2640" i="2"/>
  <c r="E2641" i="2"/>
  <c r="E2642" i="2"/>
  <c r="E2643" i="2"/>
  <c r="E2644" i="2"/>
  <c r="E2645" i="2"/>
  <c r="E2646" i="2"/>
  <c r="E2647" i="2"/>
  <c r="E2648" i="2"/>
  <c r="E2649" i="2"/>
  <c r="E2650" i="2"/>
  <c r="E2651" i="2"/>
  <c r="E2652" i="2"/>
  <c r="E2653" i="2"/>
  <c r="E2654" i="2"/>
  <c r="E2655" i="2"/>
  <c r="E2656" i="2"/>
  <c r="E2657" i="2"/>
  <c r="E2658" i="2"/>
  <c r="E2659" i="2"/>
  <c r="E2660" i="2"/>
  <c r="E2661" i="2"/>
  <c r="E2662" i="2"/>
  <c r="E2663" i="2"/>
  <c r="E2664" i="2"/>
  <c r="E2665" i="2"/>
  <c r="E2666" i="2"/>
  <c r="E2667" i="2"/>
  <c r="E2668" i="2"/>
  <c r="E2669" i="2"/>
  <c r="E2670" i="2"/>
  <c r="E2671" i="2"/>
  <c r="E2672" i="2"/>
  <c r="E2673" i="2"/>
  <c r="E2674" i="2"/>
  <c r="E2675" i="2"/>
  <c r="E2676" i="2"/>
  <c r="E2677" i="2"/>
  <c r="E2678" i="2"/>
  <c r="E2679" i="2"/>
  <c r="E2680" i="2"/>
  <c r="E2681" i="2"/>
  <c r="E2682" i="2"/>
  <c r="E2683" i="2"/>
  <c r="E2684" i="2"/>
  <c r="E2685" i="2"/>
  <c r="E2686" i="2"/>
  <c r="E2687" i="2"/>
  <c r="E2688" i="2"/>
  <c r="E2689" i="2"/>
  <c r="E2690" i="2"/>
  <c r="E2691" i="2"/>
  <c r="E2692" i="2"/>
  <c r="E2693" i="2"/>
  <c r="E2694" i="2"/>
  <c r="E2695" i="2"/>
  <c r="E2696" i="2"/>
  <c r="E2697" i="2"/>
  <c r="E2698" i="2"/>
  <c r="E2699" i="2"/>
  <c r="E2700" i="2"/>
  <c r="E2701" i="2"/>
  <c r="E2702" i="2"/>
  <c r="E2703" i="2"/>
  <c r="E2704" i="2"/>
  <c r="E2705" i="2"/>
  <c r="E2706" i="2"/>
  <c r="E2707" i="2"/>
  <c r="E2708" i="2"/>
  <c r="E2709" i="2"/>
  <c r="E2710" i="2"/>
  <c r="E2711" i="2"/>
  <c r="E2712" i="2"/>
  <c r="E2713" i="2"/>
  <c r="E2714" i="2"/>
  <c r="E2715" i="2"/>
  <c r="E2716" i="2"/>
  <c r="E2717" i="2"/>
  <c r="E2718" i="2"/>
  <c r="E2719" i="2"/>
  <c r="E2720" i="2"/>
  <c r="E2721" i="2"/>
  <c r="E2722" i="2"/>
  <c r="E2723" i="2"/>
  <c r="E2724" i="2"/>
  <c r="E2725" i="2"/>
  <c r="E2726" i="2"/>
  <c r="E2727" i="2"/>
  <c r="E2728" i="2"/>
  <c r="E2729" i="2"/>
  <c r="E2730" i="2"/>
  <c r="E2731" i="2"/>
  <c r="E2732" i="2"/>
  <c r="E2733" i="2"/>
  <c r="E2734" i="2"/>
  <c r="E2735" i="2"/>
  <c r="E2736" i="2"/>
  <c r="E2737" i="2"/>
  <c r="E2738" i="2"/>
  <c r="E2739" i="2"/>
  <c r="E2740" i="2"/>
  <c r="E2741" i="2"/>
  <c r="E2742" i="2"/>
  <c r="E2743" i="2"/>
  <c r="E2744" i="2"/>
  <c r="E2745" i="2"/>
  <c r="E2746" i="2"/>
  <c r="E2747" i="2"/>
  <c r="E2748" i="2"/>
  <c r="E2749" i="2"/>
  <c r="E2750" i="2"/>
  <c r="E2751" i="2"/>
  <c r="E2752" i="2"/>
  <c r="E2753" i="2"/>
  <c r="E2754" i="2"/>
  <c r="E2755" i="2"/>
  <c r="E2756" i="2"/>
  <c r="E2757" i="2"/>
  <c r="E2758" i="2"/>
  <c r="E2759" i="2"/>
  <c r="E2760" i="2"/>
  <c r="E2761" i="2"/>
  <c r="E2762" i="2"/>
  <c r="E2763" i="2"/>
  <c r="E2764" i="2"/>
  <c r="E2765" i="2"/>
  <c r="E2766" i="2"/>
  <c r="E2767" i="2"/>
  <c r="E2768" i="2"/>
  <c r="E2769" i="2"/>
  <c r="E2770" i="2"/>
  <c r="E2771" i="2"/>
  <c r="E2772" i="2"/>
  <c r="E2773" i="2"/>
  <c r="E2774" i="2"/>
  <c r="E2775" i="2"/>
  <c r="E2776" i="2"/>
  <c r="E2777" i="2"/>
  <c r="E2778" i="2"/>
  <c r="E2779" i="2"/>
  <c r="E2780" i="2"/>
  <c r="E2781" i="2"/>
  <c r="E2782" i="2"/>
  <c r="E2783" i="2"/>
  <c r="E2784" i="2"/>
  <c r="E2785" i="2"/>
  <c r="E2786" i="2"/>
  <c r="E2787" i="2"/>
  <c r="E2788" i="2"/>
  <c r="E2789" i="2"/>
  <c r="E2790" i="2"/>
  <c r="E2791" i="2"/>
  <c r="E2792" i="2"/>
  <c r="E2793" i="2"/>
  <c r="E2794" i="2"/>
  <c r="E2795" i="2"/>
  <c r="E2796" i="2"/>
  <c r="E2797" i="2"/>
  <c r="E2798" i="2"/>
  <c r="E2799" i="2"/>
  <c r="E2800" i="2"/>
  <c r="E2801" i="2"/>
  <c r="E2802" i="2"/>
  <c r="E2803" i="2"/>
  <c r="E2804" i="2"/>
  <c r="E2805" i="2"/>
  <c r="E2806" i="2"/>
  <c r="E2807" i="2"/>
  <c r="E2808" i="2"/>
  <c r="E2809" i="2"/>
  <c r="E2810" i="2"/>
  <c r="E2811" i="2"/>
  <c r="E2812" i="2"/>
  <c r="E2813" i="2"/>
  <c r="E2814" i="2"/>
  <c r="E2815" i="2"/>
  <c r="E2816" i="2"/>
  <c r="E2817" i="2"/>
  <c r="E2818" i="2"/>
  <c r="E2819" i="2"/>
  <c r="E2820" i="2"/>
  <c r="E2821" i="2"/>
  <c r="E2822" i="2"/>
  <c r="E2823" i="2"/>
  <c r="E2824" i="2"/>
  <c r="E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4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7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5" i="2"/>
  <c r="L886" i="2"/>
  <c r="L887" i="2"/>
  <c r="L888" i="2"/>
  <c r="L889" i="2"/>
  <c r="L890" i="2"/>
  <c r="L891" i="2"/>
  <c r="L892" i="2"/>
  <c r="L893" i="2"/>
  <c r="L894" i="2"/>
  <c r="L895" i="2"/>
  <c r="L896" i="2"/>
  <c r="L897" i="2"/>
  <c r="L898" i="2"/>
  <c r="L899" i="2"/>
  <c r="L900" i="2"/>
  <c r="L901" i="2"/>
  <c r="L902" i="2"/>
  <c r="L903" i="2"/>
  <c r="L904" i="2"/>
  <c r="L905" i="2"/>
  <c r="L906" i="2"/>
  <c r="L907" i="2"/>
  <c r="L908" i="2"/>
  <c r="L909" i="2"/>
  <c r="L910" i="2"/>
  <c r="L911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4" i="2"/>
  <c r="L935" i="2"/>
  <c r="L936" i="2"/>
  <c r="L937" i="2"/>
  <c r="L938" i="2"/>
  <c r="L939" i="2"/>
  <c r="L940" i="2"/>
  <c r="L941" i="2"/>
  <c r="L942" i="2"/>
  <c r="L943" i="2"/>
  <c r="L944" i="2"/>
  <c r="L945" i="2"/>
  <c r="L946" i="2"/>
  <c r="L947" i="2"/>
  <c r="L948" i="2"/>
  <c r="L949" i="2"/>
  <c r="L950" i="2"/>
  <c r="L951" i="2"/>
  <c r="L952" i="2"/>
  <c r="L953" i="2"/>
  <c r="L954" i="2"/>
  <c r="L955" i="2"/>
  <c r="L956" i="2"/>
  <c r="L957" i="2"/>
  <c r="L958" i="2"/>
  <c r="L959" i="2"/>
  <c r="L960" i="2"/>
  <c r="L961" i="2"/>
  <c r="L962" i="2"/>
  <c r="L963" i="2"/>
  <c r="L964" i="2"/>
  <c r="L965" i="2"/>
  <c r="L966" i="2"/>
  <c r="L967" i="2"/>
  <c r="L968" i="2"/>
  <c r="L969" i="2"/>
  <c r="L970" i="2"/>
  <c r="L971" i="2"/>
  <c r="L972" i="2"/>
  <c r="L973" i="2"/>
  <c r="L974" i="2"/>
  <c r="L975" i="2"/>
  <c r="L976" i="2"/>
  <c r="L977" i="2"/>
  <c r="L978" i="2"/>
  <c r="L979" i="2"/>
  <c r="L980" i="2"/>
  <c r="L981" i="2"/>
  <c r="L982" i="2"/>
  <c r="L983" i="2"/>
  <c r="L984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999" i="2"/>
  <c r="L1000" i="2"/>
  <c r="L1001" i="2"/>
  <c r="L1002" i="2"/>
  <c r="L1003" i="2"/>
  <c r="L1004" i="2"/>
  <c r="L1005" i="2"/>
  <c r="L1006" i="2"/>
  <c r="L1007" i="2"/>
  <c r="L1008" i="2"/>
  <c r="L1009" i="2"/>
  <c r="L1010" i="2"/>
  <c r="L1011" i="2"/>
  <c r="L1012" i="2"/>
  <c r="L1013" i="2"/>
  <c r="L1014" i="2"/>
  <c r="L1015" i="2"/>
  <c r="L1016" i="2"/>
  <c r="L1017" i="2"/>
  <c r="L1018" i="2"/>
  <c r="L1019" i="2"/>
  <c r="L1020" i="2"/>
  <c r="L1021" i="2"/>
  <c r="L1022" i="2"/>
  <c r="L1023" i="2"/>
  <c r="L1024" i="2"/>
  <c r="L1025" i="2"/>
  <c r="L1026" i="2"/>
  <c r="L1027" i="2"/>
  <c r="L1028" i="2"/>
  <c r="L1029" i="2"/>
  <c r="L1030" i="2"/>
  <c r="L1031" i="2"/>
  <c r="L1032" i="2"/>
  <c r="L1033" i="2"/>
  <c r="L1034" i="2"/>
  <c r="L1035" i="2"/>
  <c r="L1036" i="2"/>
  <c r="L1037" i="2"/>
  <c r="L1038" i="2"/>
  <c r="L1039" i="2"/>
  <c r="L1040" i="2"/>
  <c r="L1041" i="2"/>
  <c r="L1042" i="2"/>
  <c r="L1043" i="2"/>
  <c r="L1044" i="2"/>
  <c r="L1045" i="2"/>
  <c r="L1046" i="2"/>
  <c r="L1047" i="2"/>
  <c r="L1048" i="2"/>
  <c r="L1049" i="2"/>
  <c r="L1050" i="2"/>
  <c r="L1051" i="2"/>
  <c r="L1052" i="2"/>
  <c r="L1053" i="2"/>
  <c r="L1054" i="2"/>
  <c r="L1055" i="2"/>
  <c r="L1056" i="2"/>
  <c r="L1057" i="2"/>
  <c r="L1058" i="2"/>
  <c r="L1059" i="2"/>
  <c r="L1060" i="2"/>
  <c r="L1061" i="2"/>
  <c r="L1062" i="2"/>
  <c r="L1063" i="2"/>
  <c r="L1064" i="2"/>
  <c r="L1065" i="2"/>
  <c r="L1066" i="2"/>
  <c r="L1067" i="2"/>
  <c r="L1068" i="2"/>
  <c r="L1069" i="2"/>
  <c r="L1070" i="2"/>
  <c r="L1071" i="2"/>
  <c r="L1072" i="2"/>
  <c r="L1073" i="2"/>
  <c r="L1074" i="2"/>
  <c r="L1075" i="2"/>
  <c r="L1076" i="2"/>
  <c r="L1077" i="2"/>
  <c r="L1078" i="2"/>
  <c r="L1079" i="2"/>
  <c r="L1080" i="2"/>
  <c r="L1081" i="2"/>
  <c r="L1082" i="2"/>
  <c r="L1083" i="2"/>
  <c r="L1084" i="2"/>
  <c r="L1085" i="2"/>
  <c r="L1086" i="2"/>
  <c r="L1087" i="2"/>
  <c r="L1088" i="2"/>
  <c r="L1089" i="2"/>
  <c r="L1090" i="2"/>
  <c r="L1091" i="2"/>
  <c r="L1092" i="2"/>
  <c r="L1093" i="2"/>
  <c r="L1094" i="2"/>
  <c r="L1095" i="2"/>
  <c r="L1096" i="2"/>
  <c r="L1097" i="2"/>
  <c r="L1098" i="2"/>
  <c r="L1099" i="2"/>
  <c r="L1100" i="2"/>
  <c r="L1101" i="2"/>
  <c r="L1102" i="2"/>
  <c r="L1103" i="2"/>
  <c r="L1104" i="2"/>
  <c r="L1105" i="2"/>
  <c r="L1106" i="2"/>
  <c r="L1107" i="2"/>
  <c r="L1108" i="2"/>
  <c r="L1109" i="2"/>
  <c r="L1110" i="2"/>
  <c r="L1111" i="2"/>
  <c r="L1112" i="2"/>
  <c r="L1113" i="2"/>
  <c r="L1114" i="2"/>
  <c r="L1115" i="2"/>
  <c r="L1116" i="2"/>
  <c r="L1117" i="2"/>
  <c r="L1118" i="2"/>
  <c r="L1119" i="2"/>
  <c r="L1120" i="2"/>
  <c r="L1121" i="2"/>
  <c r="L1122" i="2"/>
  <c r="L1123" i="2"/>
  <c r="L1124" i="2"/>
  <c r="L1125" i="2"/>
  <c r="L1126" i="2"/>
  <c r="L1127" i="2"/>
  <c r="L1128" i="2"/>
  <c r="L1129" i="2"/>
  <c r="L1130" i="2"/>
  <c r="L1131" i="2"/>
  <c r="L1132" i="2"/>
  <c r="L1133" i="2"/>
  <c r="L1134" i="2"/>
  <c r="L1135" i="2"/>
  <c r="L1136" i="2"/>
  <c r="L1137" i="2"/>
  <c r="L1138" i="2"/>
  <c r="L1139" i="2"/>
  <c r="L1140" i="2"/>
  <c r="L1141" i="2"/>
  <c r="L1142" i="2"/>
  <c r="L1143" i="2"/>
  <c r="L1144" i="2"/>
  <c r="L1145" i="2"/>
  <c r="L1146" i="2"/>
  <c r="L1147" i="2"/>
  <c r="L1148" i="2"/>
  <c r="L1149" i="2"/>
  <c r="L1150" i="2"/>
  <c r="L1151" i="2"/>
  <c r="L1152" i="2"/>
  <c r="L1153" i="2"/>
  <c r="L1154" i="2"/>
  <c r="L1155" i="2"/>
  <c r="L1156" i="2"/>
  <c r="L1157" i="2"/>
  <c r="L1158" i="2"/>
  <c r="L1159" i="2"/>
  <c r="L1160" i="2"/>
  <c r="L1161" i="2"/>
  <c r="L1162" i="2"/>
  <c r="L1163" i="2"/>
  <c r="L1164" i="2"/>
  <c r="L1165" i="2"/>
  <c r="L1166" i="2"/>
  <c r="L1167" i="2"/>
  <c r="L1168" i="2"/>
  <c r="L1169" i="2"/>
  <c r="L1170" i="2"/>
  <c r="L1171" i="2"/>
  <c r="L1172" i="2"/>
  <c r="L1173" i="2"/>
  <c r="L1174" i="2"/>
  <c r="L1175" i="2"/>
  <c r="L1176" i="2"/>
  <c r="L1177" i="2"/>
  <c r="L1178" i="2"/>
  <c r="L1179" i="2"/>
  <c r="L1180" i="2"/>
  <c r="L1181" i="2"/>
  <c r="L1182" i="2"/>
  <c r="L1183" i="2"/>
  <c r="L1184" i="2"/>
  <c r="L1185" i="2"/>
  <c r="L1186" i="2"/>
  <c r="L1187" i="2"/>
  <c r="L1188" i="2"/>
  <c r="L1189" i="2"/>
  <c r="L1190" i="2"/>
  <c r="L1191" i="2"/>
  <c r="L1192" i="2"/>
  <c r="L1193" i="2"/>
  <c r="L1194" i="2"/>
  <c r="L1195" i="2"/>
  <c r="L1196" i="2"/>
  <c r="L1197" i="2"/>
  <c r="L1198" i="2"/>
  <c r="L1199" i="2"/>
  <c r="L1200" i="2"/>
  <c r="L1201" i="2"/>
  <c r="L1202" i="2"/>
  <c r="L1203" i="2"/>
  <c r="L1204" i="2"/>
  <c r="L1205" i="2"/>
  <c r="L1206" i="2"/>
  <c r="L1207" i="2"/>
  <c r="L1208" i="2"/>
  <c r="L1209" i="2"/>
  <c r="L1210" i="2"/>
  <c r="L1211" i="2"/>
  <c r="L1212" i="2"/>
  <c r="L1213" i="2"/>
  <c r="L1214" i="2"/>
  <c r="L1215" i="2"/>
  <c r="L1216" i="2"/>
  <c r="L1217" i="2"/>
  <c r="L1218" i="2"/>
  <c r="L1219" i="2"/>
  <c r="L1220" i="2"/>
  <c r="L1221" i="2"/>
  <c r="L1222" i="2"/>
  <c r="L1223" i="2"/>
  <c r="L1224" i="2"/>
  <c r="L1225" i="2"/>
  <c r="L1226" i="2"/>
  <c r="L1227" i="2"/>
  <c r="L1228" i="2"/>
  <c r="L1229" i="2"/>
  <c r="L1230" i="2"/>
  <c r="L1231" i="2"/>
  <c r="L1232" i="2"/>
  <c r="L1233" i="2"/>
  <c r="L1234" i="2"/>
  <c r="L1235" i="2"/>
  <c r="L1236" i="2"/>
  <c r="L1237" i="2"/>
  <c r="L1238" i="2"/>
  <c r="L1239" i="2"/>
  <c r="L1240" i="2"/>
  <c r="L1241" i="2"/>
  <c r="L1242" i="2"/>
  <c r="L1243" i="2"/>
  <c r="L1244" i="2"/>
  <c r="L1245" i="2"/>
  <c r="L1246" i="2"/>
  <c r="L1247" i="2"/>
  <c r="L1248" i="2"/>
  <c r="L1249" i="2"/>
  <c r="L1250" i="2"/>
  <c r="L1251" i="2"/>
  <c r="L1252" i="2"/>
  <c r="L1253" i="2"/>
  <c r="L1254" i="2"/>
  <c r="L1255" i="2"/>
  <c r="L1256" i="2"/>
  <c r="L1257" i="2"/>
  <c r="L1258" i="2"/>
  <c r="L1259" i="2"/>
  <c r="L1260" i="2"/>
  <c r="L1261" i="2"/>
  <c r="L1262" i="2"/>
  <c r="L1263" i="2"/>
  <c r="L1264" i="2"/>
  <c r="L1265" i="2"/>
  <c r="L1266" i="2"/>
  <c r="L1267" i="2"/>
  <c r="L1268" i="2"/>
  <c r="L1269" i="2"/>
  <c r="L1270" i="2"/>
  <c r="L1271" i="2"/>
  <c r="L1272" i="2"/>
  <c r="L1273" i="2"/>
  <c r="L1274" i="2"/>
  <c r="L1275" i="2"/>
  <c r="L1276" i="2"/>
  <c r="L1277" i="2"/>
  <c r="L1278" i="2"/>
  <c r="L1279" i="2"/>
  <c r="L1280" i="2"/>
  <c r="L1281" i="2"/>
  <c r="L1282" i="2"/>
  <c r="L1283" i="2"/>
  <c r="L1284" i="2"/>
  <c r="L1285" i="2"/>
  <c r="L1286" i="2"/>
  <c r="L1287" i="2"/>
  <c r="L1288" i="2"/>
  <c r="L1289" i="2"/>
  <c r="L1290" i="2"/>
  <c r="L1291" i="2"/>
  <c r="L1292" i="2"/>
  <c r="L1293" i="2"/>
  <c r="L1294" i="2"/>
  <c r="L1295" i="2"/>
  <c r="L1296" i="2"/>
  <c r="L1297" i="2"/>
  <c r="L1298" i="2"/>
  <c r="L1299" i="2"/>
  <c r="L1300" i="2"/>
  <c r="L1301" i="2"/>
  <c r="L1302" i="2"/>
  <c r="L1303" i="2"/>
  <c r="L1304" i="2"/>
  <c r="L1305" i="2"/>
  <c r="L1306" i="2"/>
  <c r="L1307" i="2"/>
  <c r="L1308" i="2"/>
  <c r="L1309" i="2"/>
  <c r="L1310" i="2"/>
  <c r="L1311" i="2"/>
  <c r="L1312" i="2"/>
  <c r="L1313" i="2"/>
  <c r="L1314" i="2"/>
  <c r="L1315" i="2"/>
  <c r="L1316" i="2"/>
  <c r="L1317" i="2"/>
  <c r="L1318" i="2"/>
  <c r="L1319" i="2"/>
  <c r="L1320" i="2"/>
  <c r="L1321" i="2"/>
  <c r="L1322" i="2"/>
  <c r="L1323" i="2"/>
  <c r="L1324" i="2"/>
  <c r="L1325" i="2"/>
  <c r="L1326" i="2"/>
  <c r="L1327" i="2"/>
  <c r="L1328" i="2"/>
  <c r="L1329" i="2"/>
  <c r="L1330" i="2"/>
  <c r="L1331" i="2"/>
  <c r="L1332" i="2"/>
  <c r="L1333" i="2"/>
  <c r="L1334" i="2"/>
  <c r="L1335" i="2"/>
  <c r="L1336" i="2"/>
  <c r="L1337" i="2"/>
  <c r="L1338" i="2"/>
  <c r="L1339" i="2"/>
  <c r="L1340" i="2"/>
  <c r="L1341" i="2"/>
  <c r="L1342" i="2"/>
  <c r="L1343" i="2"/>
  <c r="L1344" i="2"/>
  <c r="L1345" i="2"/>
  <c r="L1346" i="2"/>
  <c r="L1347" i="2"/>
  <c r="L1348" i="2"/>
  <c r="L1349" i="2"/>
  <c r="L1350" i="2"/>
  <c r="L1351" i="2"/>
  <c r="L1352" i="2"/>
  <c r="L1353" i="2"/>
  <c r="L1354" i="2"/>
  <c r="L1355" i="2"/>
  <c r="L1356" i="2"/>
  <c r="L1357" i="2"/>
  <c r="L1358" i="2"/>
  <c r="L1359" i="2"/>
  <c r="L1360" i="2"/>
  <c r="L1361" i="2"/>
  <c r="L1362" i="2"/>
  <c r="L1363" i="2"/>
  <c r="L1364" i="2"/>
  <c r="L1365" i="2"/>
  <c r="L1366" i="2"/>
  <c r="L1367" i="2"/>
  <c r="L1368" i="2"/>
  <c r="L1369" i="2"/>
  <c r="L1370" i="2"/>
  <c r="L1371" i="2"/>
  <c r="L1372" i="2"/>
  <c r="L1373" i="2"/>
  <c r="L1374" i="2"/>
  <c r="L1375" i="2"/>
  <c r="L1376" i="2"/>
  <c r="L1377" i="2"/>
  <c r="L1378" i="2"/>
  <c r="L1379" i="2"/>
  <c r="L1380" i="2"/>
  <c r="L1381" i="2"/>
  <c r="L1382" i="2"/>
  <c r="L1383" i="2"/>
  <c r="L1384" i="2"/>
  <c r="L1385" i="2"/>
  <c r="L1386" i="2"/>
  <c r="L1387" i="2"/>
  <c r="L1388" i="2"/>
  <c r="L1389" i="2"/>
  <c r="L1390" i="2"/>
  <c r="L1391" i="2"/>
  <c r="L1392" i="2"/>
  <c r="L1393" i="2"/>
  <c r="L1394" i="2"/>
  <c r="L1395" i="2"/>
  <c r="L1396" i="2"/>
  <c r="L1397" i="2"/>
  <c r="L1398" i="2"/>
  <c r="L1399" i="2"/>
  <c r="L1400" i="2"/>
  <c r="L1401" i="2"/>
  <c r="L1402" i="2"/>
  <c r="L1403" i="2"/>
  <c r="L1404" i="2"/>
  <c r="L1405" i="2"/>
  <c r="L1406" i="2"/>
  <c r="L1407" i="2"/>
  <c r="L1408" i="2"/>
  <c r="L1409" i="2"/>
  <c r="L1410" i="2"/>
  <c r="L1411" i="2"/>
  <c r="L1412" i="2"/>
  <c r="L1413" i="2"/>
  <c r="L1414" i="2"/>
  <c r="L1415" i="2"/>
  <c r="L1416" i="2"/>
  <c r="L1417" i="2"/>
  <c r="L1418" i="2"/>
  <c r="L1419" i="2"/>
  <c r="L1420" i="2"/>
  <c r="L1421" i="2"/>
  <c r="L1422" i="2"/>
  <c r="L1423" i="2"/>
  <c r="L1424" i="2"/>
  <c r="L1425" i="2"/>
  <c r="L1426" i="2"/>
  <c r="L1427" i="2"/>
  <c r="L1428" i="2"/>
  <c r="L1429" i="2"/>
  <c r="L1430" i="2"/>
  <c r="L1431" i="2"/>
  <c r="L1432" i="2"/>
  <c r="L1433" i="2"/>
  <c r="L1434" i="2"/>
  <c r="L1435" i="2"/>
  <c r="L1436" i="2"/>
  <c r="L1437" i="2"/>
  <c r="L1438" i="2"/>
  <c r="L1439" i="2"/>
  <c r="L1440" i="2"/>
  <c r="L1441" i="2"/>
  <c r="L1442" i="2"/>
  <c r="L1443" i="2"/>
  <c r="L1444" i="2"/>
  <c r="L1445" i="2"/>
  <c r="L1446" i="2"/>
  <c r="L1447" i="2"/>
  <c r="L1448" i="2"/>
  <c r="L1449" i="2"/>
  <c r="L1450" i="2"/>
  <c r="L1451" i="2"/>
  <c r="L1452" i="2"/>
  <c r="L1453" i="2"/>
  <c r="L1454" i="2"/>
  <c r="L1455" i="2"/>
  <c r="L1456" i="2"/>
  <c r="L1457" i="2"/>
  <c r="L1458" i="2"/>
  <c r="L1459" i="2"/>
  <c r="L1460" i="2"/>
  <c r="L1461" i="2"/>
  <c r="L1462" i="2"/>
  <c r="L1463" i="2"/>
  <c r="L1464" i="2"/>
  <c r="L1465" i="2"/>
  <c r="L1466" i="2"/>
  <c r="L1467" i="2"/>
  <c r="L1468" i="2"/>
  <c r="L1469" i="2"/>
  <c r="L1470" i="2"/>
  <c r="L1471" i="2"/>
  <c r="L1472" i="2"/>
  <c r="L1473" i="2"/>
  <c r="L1474" i="2"/>
  <c r="L1475" i="2"/>
  <c r="L1476" i="2"/>
  <c r="L1477" i="2"/>
  <c r="L1478" i="2"/>
  <c r="L1479" i="2"/>
  <c r="L1480" i="2"/>
  <c r="L1481" i="2"/>
  <c r="L1482" i="2"/>
  <c r="L1483" i="2"/>
  <c r="L1484" i="2"/>
  <c r="L1485" i="2"/>
  <c r="L1486" i="2"/>
  <c r="L1487" i="2"/>
  <c r="L1488" i="2"/>
  <c r="L1489" i="2"/>
  <c r="L1490" i="2"/>
  <c r="L1491" i="2"/>
  <c r="L1492" i="2"/>
  <c r="L1493" i="2"/>
  <c r="L1494" i="2"/>
  <c r="L1495" i="2"/>
  <c r="L1496" i="2"/>
  <c r="L1497" i="2"/>
  <c r="L1498" i="2"/>
  <c r="L1499" i="2"/>
  <c r="L1500" i="2"/>
  <c r="L1501" i="2"/>
  <c r="L1502" i="2"/>
  <c r="L1503" i="2"/>
  <c r="L1504" i="2"/>
  <c r="L1505" i="2"/>
  <c r="L1506" i="2"/>
  <c r="L1507" i="2"/>
  <c r="L1508" i="2"/>
  <c r="L1509" i="2"/>
  <c r="L1510" i="2"/>
  <c r="L1511" i="2"/>
  <c r="L1512" i="2"/>
  <c r="L1513" i="2"/>
  <c r="L1514" i="2"/>
  <c r="L1515" i="2"/>
  <c r="L1516" i="2"/>
  <c r="L1517" i="2"/>
  <c r="L1518" i="2"/>
  <c r="L1519" i="2"/>
  <c r="L1520" i="2"/>
  <c r="L1521" i="2"/>
  <c r="L1522" i="2"/>
  <c r="L1523" i="2"/>
  <c r="L1524" i="2"/>
  <c r="L1525" i="2"/>
  <c r="L1526" i="2"/>
  <c r="L1527" i="2"/>
  <c r="L1528" i="2"/>
  <c r="L1529" i="2"/>
  <c r="L1530" i="2"/>
  <c r="L1531" i="2"/>
  <c r="L1532" i="2"/>
  <c r="L1533" i="2"/>
  <c r="L1534" i="2"/>
  <c r="L1535" i="2"/>
  <c r="L1536" i="2"/>
  <c r="L1537" i="2"/>
  <c r="L1538" i="2"/>
  <c r="L1539" i="2"/>
  <c r="L1540" i="2"/>
  <c r="L1541" i="2"/>
  <c r="L1542" i="2"/>
  <c r="L1543" i="2"/>
  <c r="L1544" i="2"/>
  <c r="L1545" i="2"/>
  <c r="L1546" i="2"/>
  <c r="L1547" i="2"/>
  <c r="L1548" i="2"/>
  <c r="L1549" i="2"/>
  <c r="L1550" i="2"/>
  <c r="L1551" i="2"/>
  <c r="L1552" i="2"/>
  <c r="L1553" i="2"/>
  <c r="L1554" i="2"/>
  <c r="L1555" i="2"/>
  <c r="L1556" i="2"/>
  <c r="L1557" i="2"/>
  <c r="L1558" i="2"/>
  <c r="L1559" i="2"/>
  <c r="L1560" i="2"/>
  <c r="L1561" i="2"/>
  <c r="L1562" i="2"/>
  <c r="L1563" i="2"/>
  <c r="L1564" i="2"/>
  <c r="L1565" i="2"/>
  <c r="L1566" i="2"/>
  <c r="L1567" i="2"/>
  <c r="L1568" i="2"/>
  <c r="L1569" i="2"/>
  <c r="L1570" i="2"/>
  <c r="L1571" i="2"/>
  <c r="L1572" i="2"/>
  <c r="L1573" i="2"/>
  <c r="L1574" i="2"/>
  <c r="L1575" i="2"/>
  <c r="L1576" i="2"/>
  <c r="L1577" i="2"/>
  <c r="L1578" i="2"/>
  <c r="L1579" i="2"/>
  <c r="L1580" i="2"/>
  <c r="L1581" i="2"/>
  <c r="L1582" i="2"/>
  <c r="L1583" i="2"/>
  <c r="L1584" i="2"/>
  <c r="L1585" i="2"/>
  <c r="L1586" i="2"/>
  <c r="L1587" i="2"/>
  <c r="L1588" i="2"/>
  <c r="L1589" i="2"/>
  <c r="L1590" i="2"/>
  <c r="L1591" i="2"/>
  <c r="L1592" i="2"/>
  <c r="L1593" i="2"/>
  <c r="L1594" i="2"/>
  <c r="L1595" i="2"/>
  <c r="L1596" i="2"/>
  <c r="L1597" i="2"/>
  <c r="L1598" i="2"/>
  <c r="L1599" i="2"/>
  <c r="L1600" i="2"/>
  <c r="L1601" i="2"/>
  <c r="L1602" i="2"/>
  <c r="L1603" i="2"/>
  <c r="L1604" i="2"/>
  <c r="L1605" i="2"/>
  <c r="L1606" i="2"/>
  <c r="L1607" i="2"/>
  <c r="L1608" i="2"/>
  <c r="L1609" i="2"/>
  <c r="L1610" i="2"/>
  <c r="L1611" i="2"/>
  <c r="L1612" i="2"/>
  <c r="L1613" i="2"/>
  <c r="L1614" i="2"/>
  <c r="L1615" i="2"/>
  <c r="L1616" i="2"/>
  <c r="L1617" i="2"/>
  <c r="L1618" i="2"/>
  <c r="L1619" i="2"/>
  <c r="L1620" i="2"/>
  <c r="L1621" i="2"/>
  <c r="L1622" i="2"/>
  <c r="L1623" i="2"/>
  <c r="L1624" i="2"/>
  <c r="L1625" i="2"/>
  <c r="L1626" i="2"/>
  <c r="L1627" i="2"/>
  <c r="L1628" i="2"/>
  <c r="L1629" i="2"/>
  <c r="L1630" i="2"/>
  <c r="L1631" i="2"/>
  <c r="L1632" i="2"/>
  <c r="L1633" i="2"/>
  <c r="L1634" i="2"/>
  <c r="L1635" i="2"/>
  <c r="L1636" i="2"/>
  <c r="L1637" i="2"/>
  <c r="L1638" i="2"/>
  <c r="L1639" i="2"/>
  <c r="L1640" i="2"/>
  <c r="L1641" i="2"/>
  <c r="L1642" i="2"/>
  <c r="L1643" i="2"/>
  <c r="L1644" i="2"/>
  <c r="L1645" i="2"/>
  <c r="L1646" i="2"/>
  <c r="L1647" i="2"/>
  <c r="L1648" i="2"/>
  <c r="L1649" i="2"/>
  <c r="L1650" i="2"/>
  <c r="L1651" i="2"/>
  <c r="L1652" i="2"/>
  <c r="L1653" i="2"/>
  <c r="L1654" i="2"/>
  <c r="L1655" i="2"/>
  <c r="L1656" i="2"/>
  <c r="L1657" i="2"/>
  <c r="L1658" i="2"/>
  <c r="L1659" i="2"/>
  <c r="L1660" i="2"/>
  <c r="L1661" i="2"/>
  <c r="L1662" i="2"/>
  <c r="L1663" i="2"/>
  <c r="L1664" i="2"/>
  <c r="L1665" i="2"/>
  <c r="L1666" i="2"/>
  <c r="L1667" i="2"/>
  <c r="L1668" i="2"/>
  <c r="L1669" i="2"/>
  <c r="L1670" i="2"/>
  <c r="L1671" i="2"/>
  <c r="L1672" i="2"/>
  <c r="L1673" i="2"/>
  <c r="L1674" i="2"/>
  <c r="L1675" i="2"/>
  <c r="L1676" i="2"/>
  <c r="L1677" i="2"/>
  <c r="L1678" i="2"/>
  <c r="L1679" i="2"/>
  <c r="L1680" i="2"/>
  <c r="L1681" i="2"/>
  <c r="L1682" i="2"/>
  <c r="L1683" i="2"/>
  <c r="L1684" i="2"/>
  <c r="L1685" i="2"/>
  <c r="L1686" i="2"/>
  <c r="L1687" i="2"/>
  <c r="L1688" i="2"/>
  <c r="L1689" i="2"/>
  <c r="L1690" i="2"/>
  <c r="L1691" i="2"/>
  <c r="L1692" i="2"/>
  <c r="L1693" i="2"/>
  <c r="L1694" i="2"/>
  <c r="L1695" i="2"/>
  <c r="L1696" i="2"/>
  <c r="L1697" i="2"/>
  <c r="L1698" i="2"/>
  <c r="L1699" i="2"/>
  <c r="L1700" i="2"/>
  <c r="L1701" i="2"/>
  <c r="L1702" i="2"/>
  <c r="L1703" i="2"/>
  <c r="L1704" i="2"/>
  <c r="L1705" i="2"/>
  <c r="L1706" i="2"/>
  <c r="L1707" i="2"/>
  <c r="L1708" i="2"/>
  <c r="L1709" i="2"/>
  <c r="L1710" i="2"/>
  <c r="L1711" i="2"/>
  <c r="L1712" i="2"/>
  <c r="L1713" i="2"/>
  <c r="L1714" i="2"/>
  <c r="L1715" i="2"/>
  <c r="L1716" i="2"/>
  <c r="L1717" i="2"/>
  <c r="L1718" i="2"/>
  <c r="L1719" i="2"/>
  <c r="L1720" i="2"/>
  <c r="L1721" i="2"/>
  <c r="L1722" i="2"/>
  <c r="L1723" i="2"/>
  <c r="L1724" i="2"/>
  <c r="L1725" i="2"/>
  <c r="L1726" i="2"/>
  <c r="L1727" i="2"/>
  <c r="L1728" i="2"/>
  <c r="L1729" i="2"/>
  <c r="L1730" i="2"/>
  <c r="L1731" i="2"/>
  <c r="L1732" i="2"/>
  <c r="L1733" i="2"/>
  <c r="L1734" i="2"/>
  <c r="L1735" i="2"/>
  <c r="L1736" i="2"/>
  <c r="L1737" i="2"/>
  <c r="L1738" i="2"/>
  <c r="L1739" i="2"/>
  <c r="L1740" i="2"/>
  <c r="L1741" i="2"/>
  <c r="L1742" i="2"/>
  <c r="L1743" i="2"/>
  <c r="L1744" i="2"/>
  <c r="L1745" i="2"/>
  <c r="L1746" i="2"/>
  <c r="L1747" i="2"/>
  <c r="L1748" i="2"/>
  <c r="L1749" i="2"/>
  <c r="L1750" i="2"/>
  <c r="L1751" i="2"/>
  <c r="L1752" i="2"/>
  <c r="L1753" i="2"/>
  <c r="L1754" i="2"/>
  <c r="L1755" i="2"/>
  <c r="L1756" i="2"/>
  <c r="L1757" i="2"/>
  <c r="L1758" i="2"/>
  <c r="L1759" i="2"/>
  <c r="L1760" i="2"/>
  <c r="L1761" i="2"/>
  <c r="L1762" i="2"/>
  <c r="L1763" i="2"/>
  <c r="L1764" i="2"/>
  <c r="L1765" i="2"/>
  <c r="L1766" i="2"/>
  <c r="L1767" i="2"/>
  <c r="L1768" i="2"/>
  <c r="L1769" i="2"/>
  <c r="L1770" i="2"/>
  <c r="L1771" i="2"/>
  <c r="L1772" i="2"/>
  <c r="L1773" i="2"/>
  <c r="L1774" i="2"/>
  <c r="L1775" i="2"/>
  <c r="L1776" i="2"/>
  <c r="L1777" i="2"/>
  <c r="L1778" i="2"/>
  <c r="L1779" i="2"/>
  <c r="L1780" i="2"/>
  <c r="L1781" i="2"/>
  <c r="L1782" i="2"/>
  <c r="L1783" i="2"/>
  <c r="L1784" i="2"/>
  <c r="L1785" i="2"/>
  <c r="L1786" i="2"/>
  <c r="L1787" i="2"/>
  <c r="L1788" i="2"/>
  <c r="L1789" i="2"/>
  <c r="L1790" i="2"/>
  <c r="L1791" i="2"/>
  <c r="L1792" i="2"/>
  <c r="L1793" i="2"/>
  <c r="L1794" i="2"/>
  <c r="L1795" i="2"/>
  <c r="L1796" i="2"/>
  <c r="L1797" i="2"/>
  <c r="L1798" i="2"/>
  <c r="L1799" i="2"/>
  <c r="L1800" i="2"/>
  <c r="L1801" i="2"/>
  <c r="L1802" i="2"/>
  <c r="L1803" i="2"/>
  <c r="L1804" i="2"/>
  <c r="L1805" i="2"/>
  <c r="L1806" i="2"/>
  <c r="L1807" i="2"/>
  <c r="L1808" i="2"/>
  <c r="L1809" i="2"/>
  <c r="L1810" i="2"/>
  <c r="L1811" i="2"/>
  <c r="L1812" i="2"/>
  <c r="L1813" i="2"/>
  <c r="L1814" i="2"/>
  <c r="L1815" i="2"/>
  <c r="L1816" i="2"/>
  <c r="L1817" i="2"/>
  <c r="L1818" i="2"/>
  <c r="L1819" i="2"/>
  <c r="L1820" i="2"/>
  <c r="L1821" i="2"/>
  <c r="L1822" i="2"/>
  <c r="L1823" i="2"/>
  <c r="L1824" i="2"/>
  <c r="L1825" i="2"/>
  <c r="L1826" i="2"/>
  <c r="L1827" i="2"/>
  <c r="L1828" i="2"/>
  <c r="L1829" i="2"/>
  <c r="L1830" i="2"/>
  <c r="L1831" i="2"/>
  <c r="L1832" i="2"/>
  <c r="L1833" i="2"/>
  <c r="L1834" i="2"/>
  <c r="L1835" i="2"/>
  <c r="L1836" i="2"/>
  <c r="L1837" i="2"/>
  <c r="L1838" i="2"/>
  <c r="L1839" i="2"/>
  <c r="L1840" i="2"/>
  <c r="L1841" i="2"/>
  <c r="L1842" i="2"/>
  <c r="L1843" i="2"/>
  <c r="L1844" i="2"/>
  <c r="L1845" i="2"/>
  <c r="L1846" i="2"/>
  <c r="L1847" i="2"/>
  <c r="L1848" i="2"/>
  <c r="L1849" i="2"/>
  <c r="L1850" i="2"/>
  <c r="L1851" i="2"/>
  <c r="L1852" i="2"/>
  <c r="L1853" i="2"/>
  <c r="L1854" i="2"/>
  <c r="L1855" i="2"/>
  <c r="L1856" i="2"/>
  <c r="L1857" i="2"/>
  <c r="L1858" i="2"/>
  <c r="L1859" i="2"/>
  <c r="L1860" i="2"/>
  <c r="L1861" i="2"/>
  <c r="L1862" i="2"/>
  <c r="L1863" i="2"/>
  <c r="L1864" i="2"/>
  <c r="L1865" i="2"/>
  <c r="L1866" i="2"/>
  <c r="L1867" i="2"/>
  <c r="L1868" i="2"/>
  <c r="L1869" i="2"/>
  <c r="L1870" i="2"/>
  <c r="L1871" i="2"/>
  <c r="L1872" i="2"/>
  <c r="L1873" i="2"/>
  <c r="L1874" i="2"/>
  <c r="L1875" i="2"/>
  <c r="L1876" i="2"/>
  <c r="L1877" i="2"/>
  <c r="L1878" i="2"/>
  <c r="L1879" i="2"/>
  <c r="L1880" i="2"/>
  <c r="L1881" i="2"/>
  <c r="L1882" i="2"/>
  <c r="L1883" i="2"/>
  <c r="L1884" i="2"/>
  <c r="L1885" i="2"/>
  <c r="L1886" i="2"/>
  <c r="L1887" i="2"/>
  <c r="L1888" i="2"/>
  <c r="L1889" i="2"/>
  <c r="L1890" i="2"/>
  <c r="L1891" i="2"/>
  <c r="L1892" i="2"/>
  <c r="L1893" i="2"/>
  <c r="L1894" i="2"/>
  <c r="L1895" i="2"/>
  <c r="L1896" i="2"/>
  <c r="L1897" i="2"/>
  <c r="L1898" i="2"/>
  <c r="L1899" i="2"/>
  <c r="L1900" i="2"/>
  <c r="L1901" i="2"/>
  <c r="L1902" i="2"/>
  <c r="L1903" i="2"/>
  <c r="L1904" i="2"/>
  <c r="L1905" i="2"/>
  <c r="L1906" i="2"/>
  <c r="L1907" i="2"/>
  <c r="L1908" i="2"/>
  <c r="L1909" i="2"/>
  <c r="L1910" i="2"/>
  <c r="L1911" i="2"/>
  <c r="L1912" i="2"/>
  <c r="L1913" i="2"/>
  <c r="L1914" i="2"/>
  <c r="L1915" i="2"/>
  <c r="L1916" i="2"/>
  <c r="L1917" i="2"/>
  <c r="L1918" i="2"/>
  <c r="L1919" i="2"/>
  <c r="L1920" i="2"/>
  <c r="L1921" i="2"/>
  <c r="L1922" i="2"/>
  <c r="L1923" i="2"/>
  <c r="L1924" i="2"/>
  <c r="L1925" i="2"/>
  <c r="L1926" i="2"/>
  <c r="L1927" i="2"/>
  <c r="L1928" i="2"/>
  <c r="L1929" i="2"/>
  <c r="L1930" i="2"/>
  <c r="L1931" i="2"/>
  <c r="L1932" i="2"/>
  <c r="L1933" i="2"/>
  <c r="L1934" i="2"/>
  <c r="L1935" i="2"/>
  <c r="L1936" i="2"/>
  <c r="L1937" i="2"/>
  <c r="L1938" i="2"/>
  <c r="L1939" i="2"/>
  <c r="L1940" i="2"/>
  <c r="L1941" i="2"/>
  <c r="L1942" i="2"/>
  <c r="L1943" i="2"/>
  <c r="L1944" i="2"/>
  <c r="L1945" i="2"/>
  <c r="L1946" i="2"/>
  <c r="L1947" i="2"/>
  <c r="L1948" i="2"/>
  <c r="L1949" i="2"/>
  <c r="L1950" i="2"/>
  <c r="L1951" i="2"/>
  <c r="L1952" i="2"/>
  <c r="L1953" i="2"/>
  <c r="L1954" i="2"/>
  <c r="L1955" i="2"/>
  <c r="L1956" i="2"/>
  <c r="L1957" i="2"/>
  <c r="L1958" i="2"/>
  <c r="L1959" i="2"/>
  <c r="L1960" i="2"/>
  <c r="L1961" i="2"/>
  <c r="L1962" i="2"/>
  <c r="L1963" i="2"/>
  <c r="L1964" i="2"/>
  <c r="L1965" i="2"/>
  <c r="L1966" i="2"/>
  <c r="L1967" i="2"/>
  <c r="L1968" i="2"/>
  <c r="L1969" i="2"/>
  <c r="L1970" i="2"/>
  <c r="L1971" i="2"/>
  <c r="L1972" i="2"/>
  <c r="L1973" i="2"/>
  <c r="L1974" i="2"/>
  <c r="L1975" i="2"/>
  <c r="L1976" i="2"/>
  <c r="L1977" i="2"/>
  <c r="L1978" i="2"/>
  <c r="L1979" i="2"/>
  <c r="L1980" i="2"/>
  <c r="L1981" i="2"/>
  <c r="L1982" i="2"/>
  <c r="L1983" i="2"/>
  <c r="L1984" i="2"/>
  <c r="L1985" i="2"/>
  <c r="L1986" i="2"/>
  <c r="L1987" i="2"/>
  <c r="L1988" i="2"/>
  <c r="L1989" i="2"/>
  <c r="L1990" i="2"/>
  <c r="L1991" i="2"/>
  <c r="L1992" i="2"/>
  <c r="L1993" i="2"/>
  <c r="L1994" i="2"/>
  <c r="L1995" i="2"/>
  <c r="L1996" i="2"/>
  <c r="L1997" i="2"/>
  <c r="L1998" i="2"/>
  <c r="L1999" i="2"/>
  <c r="L2000" i="2"/>
  <c r="L2001" i="2"/>
  <c r="L2002" i="2"/>
  <c r="L2003" i="2"/>
  <c r="L2004" i="2"/>
  <c r="L2005" i="2"/>
  <c r="L2006" i="2"/>
  <c r="L2007" i="2"/>
  <c r="L2008" i="2"/>
  <c r="L2009" i="2"/>
  <c r="L2010" i="2"/>
  <c r="L2011" i="2"/>
  <c r="L2012" i="2"/>
  <c r="L2013" i="2"/>
  <c r="L2014" i="2"/>
  <c r="L2015" i="2"/>
  <c r="L2016" i="2"/>
  <c r="L2017" i="2"/>
  <c r="L2018" i="2"/>
  <c r="L2019" i="2"/>
  <c r="L2020" i="2"/>
  <c r="L2021" i="2"/>
  <c r="L2022" i="2"/>
  <c r="L2023" i="2"/>
  <c r="L2024" i="2"/>
  <c r="L2025" i="2"/>
  <c r="L2026" i="2"/>
  <c r="L2027" i="2"/>
  <c r="L2028" i="2"/>
  <c r="L2029" i="2"/>
  <c r="L2030" i="2"/>
  <c r="L2031" i="2"/>
  <c r="L2032" i="2"/>
  <c r="L2033" i="2"/>
  <c r="L2034" i="2"/>
  <c r="L2035" i="2"/>
  <c r="L2036" i="2"/>
  <c r="L2037" i="2"/>
  <c r="L2038" i="2"/>
  <c r="L2039" i="2"/>
  <c r="L2040" i="2"/>
  <c r="L2041" i="2"/>
  <c r="L2042" i="2"/>
  <c r="L2043" i="2"/>
  <c r="L2044" i="2"/>
  <c r="L2045" i="2"/>
  <c r="L2046" i="2"/>
  <c r="L2047" i="2"/>
  <c r="L2048" i="2"/>
  <c r="L2049" i="2"/>
  <c r="L2050" i="2"/>
  <c r="L2051" i="2"/>
  <c r="L2052" i="2"/>
  <c r="L2053" i="2"/>
  <c r="L2054" i="2"/>
  <c r="L2055" i="2"/>
  <c r="L2056" i="2"/>
  <c r="L2057" i="2"/>
  <c r="L2058" i="2"/>
  <c r="L2059" i="2"/>
  <c r="L2060" i="2"/>
  <c r="L2061" i="2"/>
  <c r="L2062" i="2"/>
  <c r="L2063" i="2"/>
  <c r="L2064" i="2"/>
  <c r="L2065" i="2"/>
  <c r="L2066" i="2"/>
  <c r="L2067" i="2"/>
  <c r="L2068" i="2"/>
  <c r="L2069" i="2"/>
  <c r="L2070" i="2"/>
  <c r="L2071" i="2"/>
  <c r="L2072" i="2"/>
  <c r="L2073" i="2"/>
  <c r="L2074" i="2"/>
  <c r="L2075" i="2"/>
  <c r="L2076" i="2"/>
  <c r="L2077" i="2"/>
  <c r="L2078" i="2"/>
  <c r="L2079" i="2"/>
  <c r="L2080" i="2"/>
  <c r="L2081" i="2"/>
  <c r="L2082" i="2"/>
  <c r="L2083" i="2"/>
  <c r="L2084" i="2"/>
  <c r="L2085" i="2"/>
  <c r="L2086" i="2"/>
  <c r="L2087" i="2"/>
  <c r="L2088" i="2"/>
  <c r="L2089" i="2"/>
  <c r="L2090" i="2"/>
  <c r="L2091" i="2"/>
  <c r="L2092" i="2"/>
  <c r="L2093" i="2"/>
  <c r="L2094" i="2"/>
  <c r="L2095" i="2"/>
  <c r="L2096" i="2"/>
  <c r="L2097" i="2"/>
  <c r="L2098" i="2"/>
  <c r="L2099" i="2"/>
  <c r="L2100" i="2"/>
  <c r="L2101" i="2"/>
  <c r="L2102" i="2"/>
  <c r="L2103" i="2"/>
  <c r="L2104" i="2"/>
  <c r="L2105" i="2"/>
  <c r="L2106" i="2"/>
  <c r="L2107" i="2"/>
  <c r="L2108" i="2"/>
  <c r="L2109" i="2"/>
  <c r="L2110" i="2"/>
  <c r="L2111" i="2"/>
  <c r="L2112" i="2"/>
  <c r="L2113" i="2"/>
  <c r="L2114" i="2"/>
  <c r="L2115" i="2"/>
  <c r="L2116" i="2"/>
  <c r="L2117" i="2"/>
  <c r="L2118" i="2"/>
  <c r="L2119" i="2"/>
  <c r="L2120" i="2"/>
  <c r="L2121" i="2"/>
  <c r="L2122" i="2"/>
  <c r="L2123" i="2"/>
  <c r="L2124" i="2"/>
  <c r="L2125" i="2"/>
  <c r="L2126" i="2"/>
  <c r="L2127" i="2"/>
  <c r="L2128" i="2"/>
  <c r="L2129" i="2"/>
  <c r="L2130" i="2"/>
  <c r="L2131" i="2"/>
  <c r="L2132" i="2"/>
  <c r="L2133" i="2"/>
  <c r="L2134" i="2"/>
  <c r="L2135" i="2"/>
  <c r="L2136" i="2"/>
  <c r="L2137" i="2"/>
  <c r="L2138" i="2"/>
  <c r="L2139" i="2"/>
  <c r="L2140" i="2"/>
  <c r="L2141" i="2"/>
  <c r="L2142" i="2"/>
  <c r="L2143" i="2"/>
  <c r="L2144" i="2"/>
  <c r="L2145" i="2"/>
  <c r="L2146" i="2"/>
  <c r="L2147" i="2"/>
  <c r="L2148" i="2"/>
  <c r="L2149" i="2"/>
  <c r="L2150" i="2"/>
  <c r="L2151" i="2"/>
  <c r="L2152" i="2"/>
  <c r="L2153" i="2"/>
  <c r="L2154" i="2"/>
  <c r="L2155" i="2"/>
  <c r="L2156" i="2"/>
  <c r="L2157" i="2"/>
  <c r="L2158" i="2"/>
  <c r="L2159" i="2"/>
  <c r="L2160" i="2"/>
  <c r="L2161" i="2"/>
  <c r="L2162" i="2"/>
  <c r="L2163" i="2"/>
  <c r="L2164" i="2"/>
  <c r="L2165" i="2"/>
  <c r="L2166" i="2"/>
  <c r="L2167" i="2"/>
  <c r="L2168" i="2"/>
  <c r="L2169" i="2"/>
  <c r="L2170" i="2"/>
  <c r="L2171" i="2"/>
  <c r="L2172" i="2"/>
  <c r="L2173" i="2"/>
  <c r="L2174" i="2"/>
  <c r="L2175" i="2"/>
  <c r="L2176" i="2"/>
  <c r="L2177" i="2"/>
  <c r="L2178" i="2"/>
  <c r="L2179" i="2"/>
  <c r="L2180" i="2"/>
  <c r="L2181" i="2"/>
  <c r="L2182" i="2"/>
  <c r="L2183" i="2"/>
  <c r="L2184" i="2"/>
  <c r="L2185" i="2"/>
  <c r="L2186" i="2"/>
  <c r="L2187" i="2"/>
  <c r="L2188" i="2"/>
  <c r="L2189" i="2"/>
  <c r="L2190" i="2"/>
  <c r="L2191" i="2"/>
  <c r="L2192" i="2"/>
  <c r="L2193" i="2"/>
  <c r="L2194" i="2"/>
  <c r="L2195" i="2"/>
  <c r="L2196" i="2"/>
  <c r="L2197" i="2"/>
  <c r="L2198" i="2"/>
  <c r="L2199" i="2"/>
  <c r="L2200" i="2"/>
  <c r="L2201" i="2"/>
  <c r="L2202" i="2"/>
  <c r="L2203" i="2"/>
  <c r="L2204" i="2"/>
  <c r="L2205" i="2"/>
  <c r="L2206" i="2"/>
  <c r="L2207" i="2"/>
  <c r="L2208" i="2"/>
  <c r="L2209" i="2"/>
  <c r="L2210" i="2"/>
  <c r="L2211" i="2"/>
  <c r="L2212" i="2"/>
  <c r="L2213" i="2"/>
  <c r="L2214" i="2"/>
  <c r="L2215" i="2"/>
  <c r="L2216" i="2"/>
  <c r="L2217" i="2"/>
  <c r="L2218" i="2"/>
  <c r="L2219" i="2"/>
  <c r="L2220" i="2"/>
  <c r="L2221" i="2"/>
  <c r="L2222" i="2"/>
  <c r="L2223" i="2"/>
  <c r="L2224" i="2"/>
  <c r="L2225" i="2"/>
  <c r="L2226" i="2"/>
  <c r="L2227" i="2"/>
  <c r="L2228" i="2"/>
  <c r="L2229" i="2"/>
  <c r="L2230" i="2"/>
  <c r="L2231" i="2"/>
  <c r="L2232" i="2"/>
  <c r="L2233" i="2"/>
  <c r="L2234" i="2"/>
  <c r="L2235" i="2"/>
  <c r="L2236" i="2"/>
  <c r="L2237" i="2"/>
  <c r="L2238" i="2"/>
  <c r="L2239" i="2"/>
  <c r="L2240" i="2"/>
  <c r="L2241" i="2"/>
  <c r="L2242" i="2"/>
  <c r="L2243" i="2"/>
  <c r="L2244" i="2"/>
  <c r="L2245" i="2"/>
  <c r="L2246" i="2"/>
  <c r="L2247" i="2"/>
  <c r="L2248" i="2"/>
  <c r="L2249" i="2"/>
  <c r="L2250" i="2"/>
  <c r="L2251" i="2"/>
  <c r="L2252" i="2"/>
  <c r="L2253" i="2"/>
  <c r="L2254" i="2"/>
  <c r="L2255" i="2"/>
  <c r="L2256" i="2"/>
  <c r="L2257" i="2"/>
  <c r="L2258" i="2"/>
  <c r="L2259" i="2"/>
  <c r="L2260" i="2"/>
  <c r="L2261" i="2"/>
  <c r="L2262" i="2"/>
  <c r="L2263" i="2"/>
  <c r="L2264" i="2"/>
  <c r="L2265" i="2"/>
  <c r="L2266" i="2"/>
  <c r="L2267" i="2"/>
  <c r="L2268" i="2"/>
  <c r="L2269" i="2"/>
  <c r="L2270" i="2"/>
  <c r="L2271" i="2"/>
  <c r="L2272" i="2"/>
  <c r="L2273" i="2"/>
  <c r="L2274" i="2"/>
  <c r="L2275" i="2"/>
  <c r="L2276" i="2"/>
  <c r="L2277" i="2"/>
  <c r="L2278" i="2"/>
  <c r="L2279" i="2"/>
  <c r="L2280" i="2"/>
  <c r="L2281" i="2"/>
  <c r="L2282" i="2"/>
  <c r="L2283" i="2"/>
  <c r="L2284" i="2"/>
  <c r="L2285" i="2"/>
  <c r="L2286" i="2"/>
  <c r="L2287" i="2"/>
  <c r="L2288" i="2"/>
  <c r="L2289" i="2"/>
  <c r="L2290" i="2"/>
  <c r="L2291" i="2"/>
  <c r="L2292" i="2"/>
  <c r="L2293" i="2"/>
  <c r="L2294" i="2"/>
  <c r="L2295" i="2"/>
  <c r="L2296" i="2"/>
  <c r="L2297" i="2"/>
  <c r="L2298" i="2"/>
  <c r="L2299" i="2"/>
  <c r="L2300" i="2"/>
  <c r="L2301" i="2"/>
  <c r="L2302" i="2"/>
  <c r="L2303" i="2"/>
  <c r="L2304" i="2"/>
  <c r="L2305" i="2"/>
  <c r="L2306" i="2"/>
  <c r="L2307" i="2"/>
  <c r="L2308" i="2"/>
  <c r="L2309" i="2"/>
  <c r="L2310" i="2"/>
  <c r="L2311" i="2"/>
  <c r="L2312" i="2"/>
  <c r="L2313" i="2"/>
  <c r="L2314" i="2"/>
  <c r="L2315" i="2"/>
  <c r="L2316" i="2"/>
  <c r="L2317" i="2"/>
  <c r="L2318" i="2"/>
  <c r="L2319" i="2"/>
  <c r="L2320" i="2"/>
  <c r="L2321" i="2"/>
  <c r="L2322" i="2"/>
  <c r="L2323" i="2"/>
  <c r="L2324" i="2"/>
  <c r="L2325" i="2"/>
  <c r="L2326" i="2"/>
  <c r="L2327" i="2"/>
  <c r="L2328" i="2"/>
  <c r="L2329" i="2"/>
  <c r="L2330" i="2"/>
  <c r="L2331" i="2"/>
  <c r="L2332" i="2"/>
  <c r="L2333" i="2"/>
  <c r="L2334" i="2"/>
  <c r="L2335" i="2"/>
  <c r="L2336" i="2"/>
  <c r="L2337" i="2"/>
  <c r="L2338" i="2"/>
  <c r="L2339" i="2"/>
  <c r="L2340" i="2"/>
  <c r="L2341" i="2"/>
  <c r="L2342" i="2"/>
  <c r="L2343" i="2"/>
  <c r="L2344" i="2"/>
  <c r="L2345" i="2"/>
  <c r="L2346" i="2"/>
  <c r="L2347" i="2"/>
  <c r="L2348" i="2"/>
  <c r="L2349" i="2"/>
  <c r="L2350" i="2"/>
  <c r="L2351" i="2"/>
  <c r="L2352" i="2"/>
  <c r="L2353" i="2"/>
  <c r="L2354" i="2"/>
  <c r="L2355" i="2"/>
  <c r="L2356" i="2"/>
  <c r="L2357" i="2"/>
  <c r="L2358" i="2"/>
  <c r="L2359" i="2"/>
  <c r="L2360" i="2"/>
  <c r="L2361" i="2"/>
  <c r="L2362" i="2"/>
  <c r="L2363" i="2"/>
  <c r="L2364" i="2"/>
  <c r="L2365" i="2"/>
  <c r="L2366" i="2"/>
  <c r="L2367" i="2"/>
  <c r="L2368" i="2"/>
  <c r="L2369" i="2"/>
  <c r="L2370" i="2"/>
  <c r="L2371" i="2"/>
  <c r="L2372" i="2"/>
  <c r="L2373" i="2"/>
  <c r="L2374" i="2"/>
  <c r="L2375" i="2"/>
  <c r="L2376" i="2"/>
  <c r="L2377" i="2"/>
  <c r="L2378" i="2"/>
  <c r="L2379" i="2"/>
  <c r="L2380" i="2"/>
  <c r="L2381" i="2"/>
  <c r="L2382" i="2"/>
  <c r="L2383" i="2"/>
  <c r="L2384" i="2"/>
  <c r="L2385" i="2"/>
  <c r="L2386" i="2"/>
  <c r="L2387" i="2"/>
  <c r="L2388" i="2"/>
  <c r="L2389" i="2"/>
  <c r="L2390" i="2"/>
  <c r="L2391" i="2"/>
  <c r="L2392" i="2"/>
  <c r="L2393" i="2"/>
  <c r="L2394" i="2"/>
  <c r="L2395" i="2"/>
  <c r="L2396" i="2"/>
  <c r="L2397" i="2"/>
  <c r="L2398" i="2"/>
  <c r="L2399" i="2"/>
  <c r="L2400" i="2"/>
  <c r="L2401" i="2"/>
  <c r="L2402" i="2"/>
  <c r="L2403" i="2"/>
  <c r="L2404" i="2"/>
  <c r="L2405" i="2"/>
  <c r="L2406" i="2"/>
  <c r="L2407" i="2"/>
  <c r="L2408" i="2"/>
  <c r="L2409" i="2"/>
  <c r="L2410" i="2"/>
  <c r="L2411" i="2"/>
  <c r="L2412" i="2"/>
  <c r="L2413" i="2"/>
  <c r="L2414" i="2"/>
  <c r="L2415" i="2"/>
  <c r="L2416" i="2"/>
  <c r="L2417" i="2"/>
  <c r="L2418" i="2"/>
  <c r="L2419" i="2"/>
  <c r="L2420" i="2"/>
  <c r="L2421" i="2"/>
  <c r="L2422" i="2"/>
  <c r="L2423" i="2"/>
  <c r="L2424" i="2"/>
  <c r="L2425" i="2"/>
  <c r="L2426" i="2"/>
  <c r="L2427" i="2"/>
  <c r="L2428" i="2"/>
  <c r="L2429" i="2"/>
  <c r="L2430" i="2"/>
  <c r="L2431" i="2"/>
  <c r="L2432" i="2"/>
  <c r="L2433" i="2"/>
  <c r="L2434" i="2"/>
  <c r="L2435" i="2"/>
  <c r="L2436" i="2"/>
  <c r="L2437" i="2"/>
  <c r="L2438" i="2"/>
  <c r="L2439" i="2"/>
  <c r="L2440" i="2"/>
  <c r="L2441" i="2"/>
  <c r="L2442" i="2"/>
  <c r="L2443" i="2"/>
  <c r="L2444" i="2"/>
  <c r="L2445" i="2"/>
  <c r="L2446" i="2"/>
  <c r="L2447" i="2"/>
  <c r="L2448" i="2"/>
  <c r="L2449" i="2"/>
  <c r="L2450" i="2"/>
  <c r="L2451" i="2"/>
  <c r="L2452" i="2"/>
  <c r="L2453" i="2"/>
  <c r="L2454" i="2"/>
  <c r="L2455" i="2"/>
  <c r="L2456" i="2"/>
  <c r="L2457" i="2"/>
  <c r="L2458" i="2"/>
  <c r="L2459" i="2"/>
  <c r="L2460" i="2"/>
  <c r="L2461" i="2"/>
  <c r="L2462" i="2"/>
  <c r="L2463" i="2"/>
  <c r="L2464" i="2"/>
  <c r="L2465" i="2"/>
  <c r="L2466" i="2"/>
  <c r="L2467" i="2"/>
  <c r="L2468" i="2"/>
  <c r="L2469" i="2"/>
  <c r="L2470" i="2"/>
  <c r="L2471" i="2"/>
  <c r="L2472" i="2"/>
  <c r="L2473" i="2"/>
  <c r="L2474" i="2"/>
  <c r="L2475" i="2"/>
  <c r="L2476" i="2"/>
  <c r="L2477" i="2"/>
  <c r="L2478" i="2"/>
  <c r="L2479" i="2"/>
  <c r="L2480" i="2"/>
  <c r="L2481" i="2"/>
  <c r="L2482" i="2"/>
  <c r="L2483" i="2"/>
  <c r="L2484" i="2"/>
  <c r="L2485" i="2"/>
  <c r="L2486" i="2"/>
  <c r="L2487" i="2"/>
  <c r="L2488" i="2"/>
  <c r="L2489" i="2"/>
  <c r="L2490" i="2"/>
  <c r="L2491" i="2"/>
  <c r="L2492" i="2"/>
  <c r="L2493" i="2"/>
  <c r="L2494" i="2"/>
  <c r="L2495" i="2"/>
  <c r="L2496" i="2"/>
  <c r="L2497" i="2"/>
  <c r="L2498" i="2"/>
  <c r="L2499" i="2"/>
  <c r="L2500" i="2"/>
  <c r="L2501" i="2"/>
  <c r="L2502" i="2"/>
  <c r="L2503" i="2"/>
  <c r="L2504" i="2"/>
  <c r="L2505" i="2"/>
  <c r="L2506" i="2"/>
  <c r="L2507" i="2"/>
  <c r="L2508" i="2"/>
  <c r="L2509" i="2"/>
  <c r="L2510" i="2"/>
  <c r="L2511" i="2"/>
  <c r="L2512" i="2"/>
  <c r="L2513" i="2"/>
  <c r="L2514" i="2"/>
  <c r="L2515" i="2"/>
  <c r="L2516" i="2"/>
  <c r="L2517" i="2"/>
  <c r="L2518" i="2"/>
  <c r="L2519" i="2"/>
  <c r="L2520" i="2"/>
  <c r="L2521" i="2"/>
  <c r="L2522" i="2"/>
  <c r="L2523" i="2"/>
  <c r="L2524" i="2"/>
  <c r="L2525" i="2"/>
  <c r="L2526" i="2"/>
  <c r="L2527" i="2"/>
  <c r="L2528" i="2"/>
  <c r="L2529" i="2"/>
  <c r="L2530" i="2"/>
  <c r="L2531" i="2"/>
  <c r="L2532" i="2"/>
  <c r="L2533" i="2"/>
  <c r="L2534" i="2"/>
  <c r="L2535" i="2"/>
  <c r="L2536" i="2"/>
  <c r="L2537" i="2"/>
  <c r="L2538" i="2"/>
  <c r="L2539" i="2"/>
  <c r="L2540" i="2"/>
  <c r="L2541" i="2"/>
  <c r="L2542" i="2"/>
  <c r="L2543" i="2"/>
  <c r="L2544" i="2"/>
  <c r="L2545" i="2"/>
  <c r="L2546" i="2"/>
  <c r="L2547" i="2"/>
  <c r="L2548" i="2"/>
  <c r="L2549" i="2"/>
  <c r="L2550" i="2"/>
  <c r="L2551" i="2"/>
  <c r="L2552" i="2"/>
  <c r="L2553" i="2"/>
  <c r="L2554" i="2"/>
  <c r="L2555" i="2"/>
  <c r="L2556" i="2"/>
  <c r="L2557" i="2"/>
  <c r="L2558" i="2"/>
  <c r="L2559" i="2"/>
  <c r="L2560" i="2"/>
  <c r="L2561" i="2"/>
  <c r="L2562" i="2"/>
  <c r="L2563" i="2"/>
  <c r="L2564" i="2"/>
  <c r="L2565" i="2"/>
  <c r="L2566" i="2"/>
  <c r="L2567" i="2"/>
  <c r="L2568" i="2"/>
  <c r="L2569" i="2"/>
  <c r="L2570" i="2"/>
  <c r="L2571" i="2"/>
  <c r="L2572" i="2"/>
  <c r="L2573" i="2"/>
  <c r="L2574" i="2"/>
  <c r="L2575" i="2"/>
  <c r="L2576" i="2"/>
  <c r="L2577" i="2"/>
  <c r="L2578" i="2"/>
  <c r="L2579" i="2"/>
  <c r="L2580" i="2"/>
  <c r="L2581" i="2"/>
  <c r="L2582" i="2"/>
  <c r="L2583" i="2"/>
  <c r="L2584" i="2"/>
  <c r="L2585" i="2"/>
  <c r="L2586" i="2"/>
  <c r="L2587" i="2"/>
  <c r="L2588" i="2"/>
  <c r="L2589" i="2"/>
  <c r="L2590" i="2"/>
  <c r="L2591" i="2"/>
  <c r="L2592" i="2"/>
  <c r="L2593" i="2"/>
  <c r="L2594" i="2"/>
  <c r="L2595" i="2"/>
  <c r="L2596" i="2"/>
  <c r="L2597" i="2"/>
  <c r="L2598" i="2"/>
  <c r="L2599" i="2"/>
  <c r="L2600" i="2"/>
  <c r="L2601" i="2"/>
  <c r="L2602" i="2"/>
  <c r="L2603" i="2"/>
  <c r="L2604" i="2"/>
  <c r="L2605" i="2"/>
  <c r="L2606" i="2"/>
  <c r="L2607" i="2"/>
  <c r="L2608" i="2"/>
  <c r="L2609" i="2"/>
  <c r="L2610" i="2"/>
  <c r="L2611" i="2"/>
  <c r="L2612" i="2"/>
  <c r="L2613" i="2"/>
  <c r="L2614" i="2"/>
  <c r="L2615" i="2"/>
  <c r="L2616" i="2"/>
  <c r="L2617" i="2"/>
  <c r="L2618" i="2"/>
  <c r="L2619" i="2"/>
  <c r="L2620" i="2"/>
  <c r="L2621" i="2"/>
  <c r="L2622" i="2"/>
  <c r="L2623" i="2"/>
  <c r="L2624" i="2"/>
  <c r="L2625" i="2"/>
  <c r="L2626" i="2"/>
  <c r="L2627" i="2"/>
  <c r="L2628" i="2"/>
  <c r="L2629" i="2"/>
  <c r="L2630" i="2"/>
  <c r="L2631" i="2"/>
  <c r="L2632" i="2"/>
  <c r="L2633" i="2"/>
  <c r="L2634" i="2"/>
  <c r="L2635" i="2"/>
  <c r="L2636" i="2"/>
  <c r="L2637" i="2"/>
  <c r="L2638" i="2"/>
  <c r="L2639" i="2"/>
  <c r="L2640" i="2"/>
  <c r="L2641" i="2"/>
  <c r="L2642" i="2"/>
  <c r="L2643" i="2"/>
  <c r="L2644" i="2"/>
  <c r="L2645" i="2"/>
  <c r="L2646" i="2"/>
  <c r="L2647" i="2"/>
  <c r="L2648" i="2"/>
  <c r="L2649" i="2"/>
  <c r="L2650" i="2"/>
  <c r="L2651" i="2"/>
  <c r="L2652" i="2"/>
  <c r="L2653" i="2"/>
  <c r="L2654" i="2"/>
  <c r="L2655" i="2"/>
  <c r="L2656" i="2"/>
  <c r="L2657" i="2"/>
  <c r="L2658" i="2"/>
  <c r="L2659" i="2"/>
  <c r="L2660" i="2"/>
  <c r="L2661" i="2"/>
  <c r="L2662" i="2"/>
  <c r="L2663" i="2"/>
  <c r="L2664" i="2"/>
  <c r="L2665" i="2"/>
  <c r="L2666" i="2"/>
  <c r="L2667" i="2"/>
  <c r="L2668" i="2"/>
  <c r="L2669" i="2"/>
  <c r="L2670" i="2"/>
  <c r="L2671" i="2"/>
  <c r="L2672" i="2"/>
  <c r="L2673" i="2"/>
  <c r="L2674" i="2"/>
  <c r="L2675" i="2"/>
  <c r="L2676" i="2"/>
  <c r="L2677" i="2"/>
  <c r="L2678" i="2"/>
  <c r="L2679" i="2"/>
  <c r="L2680" i="2"/>
  <c r="L2681" i="2"/>
  <c r="L2682" i="2"/>
  <c r="L2683" i="2"/>
  <c r="L2684" i="2"/>
  <c r="L2685" i="2"/>
  <c r="L2686" i="2"/>
  <c r="L2687" i="2"/>
  <c r="L2688" i="2"/>
  <c r="L2689" i="2"/>
  <c r="L2690" i="2"/>
  <c r="L2691" i="2"/>
  <c r="L2692" i="2"/>
  <c r="L2693" i="2"/>
  <c r="L2694" i="2"/>
  <c r="L2695" i="2"/>
  <c r="L2696" i="2"/>
  <c r="L2697" i="2"/>
  <c r="L2698" i="2"/>
  <c r="L2699" i="2"/>
  <c r="L2700" i="2"/>
  <c r="L2701" i="2"/>
  <c r="L2702" i="2"/>
  <c r="L2703" i="2"/>
  <c r="L2704" i="2"/>
  <c r="L2705" i="2"/>
  <c r="L2706" i="2"/>
  <c r="L2707" i="2"/>
  <c r="L2708" i="2"/>
  <c r="L2709" i="2"/>
  <c r="L2710" i="2"/>
  <c r="L2711" i="2"/>
  <c r="L2712" i="2"/>
  <c r="L2713" i="2"/>
  <c r="L2714" i="2"/>
  <c r="L2715" i="2"/>
  <c r="L2716" i="2"/>
  <c r="L2717" i="2"/>
  <c r="L2718" i="2"/>
  <c r="L2719" i="2"/>
  <c r="L2720" i="2"/>
  <c r="L2721" i="2"/>
  <c r="L2722" i="2"/>
  <c r="L2723" i="2"/>
  <c r="L2724" i="2"/>
  <c r="L2725" i="2"/>
  <c r="L2726" i="2"/>
  <c r="L2727" i="2"/>
  <c r="L2728" i="2"/>
  <c r="L2729" i="2"/>
  <c r="L2730" i="2"/>
  <c r="L2731" i="2"/>
  <c r="L2732" i="2"/>
  <c r="L2733" i="2"/>
  <c r="L2734" i="2"/>
  <c r="L2735" i="2"/>
  <c r="L2736" i="2"/>
  <c r="L2737" i="2"/>
  <c r="L2738" i="2"/>
  <c r="L2739" i="2"/>
  <c r="L2740" i="2"/>
  <c r="L2741" i="2"/>
  <c r="L2742" i="2"/>
  <c r="L2743" i="2"/>
  <c r="L2744" i="2"/>
  <c r="L2745" i="2"/>
  <c r="L2746" i="2"/>
  <c r="L2747" i="2"/>
  <c r="L2748" i="2"/>
  <c r="L2749" i="2"/>
  <c r="L2750" i="2"/>
  <c r="L2751" i="2"/>
  <c r="L2752" i="2"/>
  <c r="L2753" i="2"/>
  <c r="L2754" i="2"/>
  <c r="L2755" i="2"/>
  <c r="L2756" i="2"/>
  <c r="L2757" i="2"/>
  <c r="L2758" i="2"/>
  <c r="L2759" i="2"/>
  <c r="L2760" i="2"/>
  <c r="L2761" i="2"/>
  <c r="L2762" i="2"/>
  <c r="L2763" i="2"/>
  <c r="L2764" i="2"/>
  <c r="L2765" i="2"/>
  <c r="L2766" i="2"/>
  <c r="L2767" i="2"/>
  <c r="L2768" i="2"/>
  <c r="L2769" i="2"/>
  <c r="L2770" i="2"/>
  <c r="L2771" i="2"/>
  <c r="L2772" i="2"/>
  <c r="L2773" i="2"/>
  <c r="L2774" i="2"/>
  <c r="L2775" i="2"/>
  <c r="L2776" i="2"/>
  <c r="L2777" i="2"/>
  <c r="L2778" i="2"/>
  <c r="L2779" i="2"/>
  <c r="L2780" i="2"/>
  <c r="L2781" i="2"/>
  <c r="L2782" i="2"/>
  <c r="L2783" i="2"/>
  <c r="L2784" i="2"/>
  <c r="L2785" i="2"/>
  <c r="L2786" i="2"/>
  <c r="L2787" i="2"/>
  <c r="L2788" i="2"/>
  <c r="L2789" i="2"/>
  <c r="L2790" i="2"/>
  <c r="L2791" i="2"/>
  <c r="L2792" i="2"/>
  <c r="L2793" i="2"/>
  <c r="L2794" i="2"/>
  <c r="L2795" i="2"/>
  <c r="L2796" i="2"/>
  <c r="L2797" i="2"/>
  <c r="L2798" i="2"/>
  <c r="L2799" i="2"/>
  <c r="L2800" i="2"/>
  <c r="L2801" i="2"/>
  <c r="L2802" i="2"/>
  <c r="L2803" i="2"/>
  <c r="L2804" i="2"/>
  <c r="L2805" i="2"/>
  <c r="L2806" i="2"/>
  <c r="L2807" i="2"/>
  <c r="L2808" i="2"/>
  <c r="L2809" i="2"/>
  <c r="L2810" i="2"/>
  <c r="L2811" i="2"/>
  <c r="L2812" i="2"/>
  <c r="L2813" i="2"/>
  <c r="L2814" i="2"/>
  <c r="L2815" i="2"/>
  <c r="L2816" i="2"/>
  <c r="L2817" i="2"/>
  <c r="L2818" i="2"/>
  <c r="L2819" i="2"/>
  <c r="L2820" i="2"/>
  <c r="L2821" i="2"/>
  <c r="L2822" i="2"/>
  <c r="L2823" i="2"/>
  <c r="L2824" i="2"/>
  <c r="L2" i="2"/>
</calcChain>
</file>

<file path=xl/sharedStrings.xml><?xml version="1.0" encoding="utf-8"?>
<sst xmlns="http://schemas.openxmlformats.org/spreadsheetml/2006/main" count="54859" uniqueCount="712">
  <si>
    <t>ORDERNUMBER</t>
  </si>
  <si>
    <t>QUANTITYORDERED</t>
  </si>
  <si>
    <t>PRICEEACH</t>
  </si>
  <si>
    <t>ORDERLINENUMBER</t>
  </si>
  <si>
    <t>SALES</t>
  </si>
  <si>
    <t>ORDERDATE</t>
  </si>
  <si>
    <t>STATUS</t>
  </si>
  <si>
    <t>QTR_ID</t>
  </si>
  <si>
    <t>MONTH_ID</t>
  </si>
  <si>
    <t>YEAR_ID</t>
  </si>
  <si>
    <t>PRODUCTLINE</t>
  </si>
  <si>
    <t>MSRP</t>
  </si>
  <si>
    <t>PRODUCTCODE</t>
  </si>
  <si>
    <t>CUSTOMERNAME</t>
  </si>
  <si>
    <t>PHONE</t>
  </si>
  <si>
    <t>ADDRESSLINE1</t>
  </si>
  <si>
    <t>ADDRESSLINE2</t>
  </si>
  <si>
    <t>CITY</t>
  </si>
  <si>
    <t>STATE</t>
  </si>
  <si>
    <t>POSTALCODE</t>
  </si>
  <si>
    <t>COUNTRY</t>
  </si>
  <si>
    <t>TERRITORY</t>
  </si>
  <si>
    <t>CONTACTLASTNAME</t>
  </si>
  <si>
    <t>CONTACTFIRSTNAME</t>
  </si>
  <si>
    <t>DEALSIZE</t>
  </si>
  <si>
    <t>Shipped</t>
  </si>
  <si>
    <t>Motorcycles</t>
  </si>
  <si>
    <t>S10_1678</t>
  </si>
  <si>
    <t>Land of Toys Inc.</t>
  </si>
  <si>
    <t>897 Long Airport Avenue</t>
  </si>
  <si>
    <t>NYC</t>
  </si>
  <si>
    <t>NY</t>
  </si>
  <si>
    <t>USA</t>
  </si>
  <si>
    <t>NA</t>
  </si>
  <si>
    <t>Yu</t>
  </si>
  <si>
    <t>Kwai</t>
  </si>
  <si>
    <t>Small</t>
  </si>
  <si>
    <t>Reims Collectables</t>
  </si>
  <si>
    <t>26.47.1555</t>
  </si>
  <si>
    <t>59 rue de l'Abbaye</t>
  </si>
  <si>
    <t>Reims</t>
  </si>
  <si>
    <t>France</t>
  </si>
  <si>
    <t>EMEA</t>
  </si>
  <si>
    <t>Henriot</t>
  </si>
  <si>
    <t>Paul</t>
  </si>
  <si>
    <t>Lyon Souveniers</t>
  </si>
  <si>
    <t>+33 1 46 62 7555</t>
  </si>
  <si>
    <t>27 rue du Colonel Pierre Avia</t>
  </si>
  <si>
    <t>Paris</t>
  </si>
  <si>
    <t>Da Cunha</t>
  </si>
  <si>
    <t>Daniel</t>
  </si>
  <si>
    <t>Medium</t>
  </si>
  <si>
    <t>Toys4GrownUps.com</t>
  </si>
  <si>
    <t>78934 Hillside Dr.</t>
  </si>
  <si>
    <t>Pasadena</t>
  </si>
  <si>
    <t>CA</t>
  </si>
  <si>
    <t>Young</t>
  </si>
  <si>
    <t>Julie</t>
  </si>
  <si>
    <t>Corporate Gift Ideas Co.</t>
  </si>
  <si>
    <t>7734 Strong St.</t>
  </si>
  <si>
    <t>San Francisco</t>
  </si>
  <si>
    <t>Brown</t>
  </si>
  <si>
    <t>Technics Stores Inc.</t>
  </si>
  <si>
    <t>9408 Furth Circle</t>
  </si>
  <si>
    <t>Burlingame</t>
  </si>
  <si>
    <t>Hirano</t>
  </si>
  <si>
    <t>Juri</t>
  </si>
  <si>
    <t>Daedalus Designs Imports</t>
  </si>
  <si>
    <t>20.16.1555</t>
  </si>
  <si>
    <t>184, chausse de Tournai</t>
  </si>
  <si>
    <t>Lille</t>
  </si>
  <si>
    <t>Rance</t>
  </si>
  <si>
    <t>Martine</t>
  </si>
  <si>
    <t>Herkku Gifts</t>
  </si>
  <si>
    <t>+47 2267 3215</t>
  </si>
  <si>
    <t>Drammen 121, PR 744 Sentrum</t>
  </si>
  <si>
    <t>Bergen</t>
  </si>
  <si>
    <t>N 5804</t>
  </si>
  <si>
    <t>Norway</t>
  </si>
  <si>
    <t>Oeztan</t>
  </si>
  <si>
    <t>Veysel</t>
  </si>
  <si>
    <t>Mini Wheels Co.</t>
  </si>
  <si>
    <t>5557 North Pendale Street</t>
  </si>
  <si>
    <t>Murphy</t>
  </si>
  <si>
    <t>Auto Canal Petit</t>
  </si>
  <si>
    <t>(1) 47.55.6555</t>
  </si>
  <si>
    <t>25, rue Lauriston</t>
  </si>
  <si>
    <t>Perrier</t>
  </si>
  <si>
    <t>Dominique</t>
  </si>
  <si>
    <t>Australian Collectors, Co.</t>
  </si>
  <si>
    <t>03 9520 4555</t>
  </si>
  <si>
    <t>636 St Kilda Road</t>
  </si>
  <si>
    <t>Level 3</t>
  </si>
  <si>
    <t>Melbourne</t>
  </si>
  <si>
    <t>Victoria</t>
  </si>
  <si>
    <t>Australia</t>
  </si>
  <si>
    <t>APAC</t>
  </si>
  <si>
    <t>Ferguson</t>
  </si>
  <si>
    <t>Peter</t>
  </si>
  <si>
    <t>Vitachrome Inc.</t>
  </si>
  <si>
    <t>2678 Kingston Rd.</t>
  </si>
  <si>
    <t>Suite 101</t>
  </si>
  <si>
    <t>Frick</t>
  </si>
  <si>
    <t>Michael</t>
  </si>
  <si>
    <t>Tekni Collectables Inc.</t>
  </si>
  <si>
    <t>7476 Moss Rd.</t>
  </si>
  <si>
    <t>Newark</t>
  </si>
  <si>
    <t>NJ</t>
  </si>
  <si>
    <t>William</t>
  </si>
  <si>
    <t>Gift Depot Inc.</t>
  </si>
  <si>
    <t>25593 South Bay Ln.</t>
  </si>
  <si>
    <t>Bridgewater</t>
  </si>
  <si>
    <t>CT</t>
  </si>
  <si>
    <t>King</t>
  </si>
  <si>
    <t>La Rochelle Gifts</t>
  </si>
  <si>
    <t>40.67.8555</t>
  </si>
  <si>
    <t>67, rue des Cinquante Otages</t>
  </si>
  <si>
    <t>Nantes</t>
  </si>
  <si>
    <t>Labrune</t>
  </si>
  <si>
    <t>Janine</t>
  </si>
  <si>
    <t>Marta's Replicas Co.</t>
  </si>
  <si>
    <t>39323 Spinnaker Dr.</t>
  </si>
  <si>
    <t>Cambridge</t>
  </si>
  <si>
    <t>MA</t>
  </si>
  <si>
    <t>Hernandez</t>
  </si>
  <si>
    <t>Marta</t>
  </si>
  <si>
    <t>Toys of Finland, Co.</t>
  </si>
  <si>
    <t>90-224 8555</t>
  </si>
  <si>
    <t>Keskuskatu 45</t>
  </si>
  <si>
    <t>Helsinki</t>
  </si>
  <si>
    <t>Finland</t>
  </si>
  <si>
    <t>Karttunen</t>
  </si>
  <si>
    <t>Matti</t>
  </si>
  <si>
    <t>Baane Mini Imports</t>
  </si>
  <si>
    <t>07-98 9555</t>
  </si>
  <si>
    <t>Erling Skakkes gate 78</t>
  </si>
  <si>
    <t>Stavern</t>
  </si>
  <si>
    <t>Bergulfsen</t>
  </si>
  <si>
    <t>Jonas</t>
  </si>
  <si>
    <t>Diecast Classics Inc.</t>
  </si>
  <si>
    <t>7586 Pompton St.</t>
  </si>
  <si>
    <t>Allentown</t>
  </si>
  <si>
    <t>PA</t>
  </si>
  <si>
    <t>Kyung</t>
  </si>
  <si>
    <t>Salzburg Collectables</t>
  </si>
  <si>
    <t>6562-9555</t>
  </si>
  <si>
    <t>Geislweg 14</t>
  </si>
  <si>
    <t>Salzburg</t>
  </si>
  <si>
    <t>Austria</t>
  </si>
  <si>
    <t>Pipps</t>
  </si>
  <si>
    <t>Georg</t>
  </si>
  <si>
    <t>Large</t>
  </si>
  <si>
    <t>Souveniers And Things Co.</t>
  </si>
  <si>
    <t>+61 2 9495 8555</t>
  </si>
  <si>
    <t>Monitor Money Building, 815 Pacific Hwy</t>
  </si>
  <si>
    <t>Level 6</t>
  </si>
  <si>
    <t>Chatswood</t>
  </si>
  <si>
    <t>NSW</t>
  </si>
  <si>
    <t>Huxley</t>
  </si>
  <si>
    <t>Adrian</t>
  </si>
  <si>
    <t>FunGiftIdeas.com</t>
  </si>
  <si>
    <t>1785 First Street</t>
  </si>
  <si>
    <t>New Bedford</t>
  </si>
  <si>
    <t>Benitez</t>
  </si>
  <si>
    <t>Violeta</t>
  </si>
  <si>
    <t>UK Collectables, Ltd.</t>
  </si>
  <si>
    <t>(171) 555-2282</t>
  </si>
  <si>
    <t>Berkeley Gardens 12  Brewery</t>
  </si>
  <si>
    <t>Liverpool</t>
  </si>
  <si>
    <t>WX1 6LT</t>
  </si>
  <si>
    <t>UK</t>
  </si>
  <si>
    <t>Devon</t>
  </si>
  <si>
    <t>Elizabeth</t>
  </si>
  <si>
    <t>Disputed</t>
  </si>
  <si>
    <t>Euro Shopping Channel</t>
  </si>
  <si>
    <t>(91) 555 94 44</t>
  </si>
  <si>
    <t>C/ Moralzarzal, 86</t>
  </si>
  <si>
    <t>Madrid</t>
  </si>
  <si>
    <t>Spain</t>
  </si>
  <si>
    <t>Freyre</t>
  </si>
  <si>
    <t>Diego</t>
  </si>
  <si>
    <t>Classic Cars</t>
  </si>
  <si>
    <t>S10_1949</t>
  </si>
  <si>
    <t>Volvo Model Replicas, Co</t>
  </si>
  <si>
    <t>0921-12 3555</t>
  </si>
  <si>
    <t>Berguvsv„gen  8</t>
  </si>
  <si>
    <t>Lule</t>
  </si>
  <si>
    <t>S-958 22</t>
  </si>
  <si>
    <t>Sweden</t>
  </si>
  <si>
    <t>Berglund</t>
  </si>
  <si>
    <t>Christina</t>
  </si>
  <si>
    <t>Corrida Auto Replicas, Ltd</t>
  </si>
  <si>
    <t>(91) 555 22 82</t>
  </si>
  <si>
    <t>C/ Araquil, 67</t>
  </si>
  <si>
    <t>Sommer</t>
  </si>
  <si>
    <t>Mart¡n</t>
  </si>
  <si>
    <t>Dragon Souveniers, Ltd.</t>
  </si>
  <si>
    <t>+65 221 7555</t>
  </si>
  <si>
    <t>Bronz Sok., Bronz Apt. 3/6 Tesvikiye</t>
  </si>
  <si>
    <t>Singapore</t>
  </si>
  <si>
    <t>Japan</t>
  </si>
  <si>
    <t>Natividad</t>
  </si>
  <si>
    <t>Eric</t>
  </si>
  <si>
    <t>Classic Legends Inc.</t>
  </si>
  <si>
    <t>5905 Pompton St.</t>
  </si>
  <si>
    <t>Suite 750</t>
  </si>
  <si>
    <t>Maria</t>
  </si>
  <si>
    <t>Australian Gift Network, Co</t>
  </si>
  <si>
    <t>61-7-3844-6555</t>
  </si>
  <si>
    <t>31 Duncan St. West End</t>
  </si>
  <si>
    <t>South Brisbane</t>
  </si>
  <si>
    <t>Queensland</t>
  </si>
  <si>
    <t>Calaghan</t>
  </si>
  <si>
    <t>Tony</t>
  </si>
  <si>
    <t>Classic Gift Ideas, Inc</t>
  </si>
  <si>
    <t>782 First Street</t>
  </si>
  <si>
    <t>Philadelphia</t>
  </si>
  <si>
    <t>Cervantes</t>
  </si>
  <si>
    <t>Francisca</t>
  </si>
  <si>
    <t>Saveley &amp; Henriot, Co.</t>
  </si>
  <si>
    <t>78.32.5555</t>
  </si>
  <si>
    <t>2, rue du Commerce</t>
  </si>
  <si>
    <t>Lyon</t>
  </si>
  <si>
    <t>Saveley</t>
  </si>
  <si>
    <t>Mary</t>
  </si>
  <si>
    <t>Canadian Gift Exchange Network</t>
  </si>
  <si>
    <t>(604) 555-3392</t>
  </si>
  <si>
    <t>1900 Oak St.</t>
  </si>
  <si>
    <t>Vancouver</t>
  </si>
  <si>
    <t>BC</t>
  </si>
  <si>
    <t>V3F 2K1</t>
  </si>
  <si>
    <t>Canada</t>
  </si>
  <si>
    <t>Tannamuri</t>
  </si>
  <si>
    <t>Yoshi</t>
  </si>
  <si>
    <t>West Coast Collectables Co.</t>
  </si>
  <si>
    <t>3675 Furth Circle</t>
  </si>
  <si>
    <t>Burbank</t>
  </si>
  <si>
    <t>Thompson</t>
  </si>
  <si>
    <t>Steve</t>
  </si>
  <si>
    <t>Cambridge Collectables Co.</t>
  </si>
  <si>
    <t>4658 Baden Av.</t>
  </si>
  <si>
    <t>Tseng</t>
  </si>
  <si>
    <t>Super Scale Inc.</t>
  </si>
  <si>
    <t>567 North Pendale Street</t>
  </si>
  <si>
    <t>New Haven</t>
  </si>
  <si>
    <t>Leslie</t>
  </si>
  <si>
    <t>Tokyo Collectables, Ltd</t>
  </si>
  <si>
    <t>+81 3 3584 0555</t>
  </si>
  <si>
    <t>2-2-8 Roppongi</t>
  </si>
  <si>
    <t>Minato-ku</t>
  </si>
  <si>
    <t>Tokyo</t>
  </si>
  <si>
    <t>106-0032</t>
  </si>
  <si>
    <t>Shimamura</t>
  </si>
  <si>
    <t>Akiko</t>
  </si>
  <si>
    <t>Amica Models &amp; Co.</t>
  </si>
  <si>
    <t>011-4988555</t>
  </si>
  <si>
    <t>Via Monte Bianco 34</t>
  </si>
  <si>
    <t>Torino</t>
  </si>
  <si>
    <t>Italy</t>
  </si>
  <si>
    <t>Accorti</t>
  </si>
  <si>
    <t>Paolo</t>
  </si>
  <si>
    <t>Scandinavian Gift Ideas</t>
  </si>
  <si>
    <t>0695-34 6555</t>
  </si>
  <si>
    <t>?kergatan 24</t>
  </si>
  <si>
    <t>Boras</t>
  </si>
  <si>
    <t>S-844 67</t>
  </si>
  <si>
    <t>Larsson</t>
  </si>
  <si>
    <t>Auto Assoc. &amp; Cie.</t>
  </si>
  <si>
    <t>30.59.8555</t>
  </si>
  <si>
    <t>67, avenue de l'Europe</t>
  </si>
  <si>
    <t>Versailles</t>
  </si>
  <si>
    <t>Tonini</t>
  </si>
  <si>
    <t>Mini Gifts Distributors Ltd.</t>
  </si>
  <si>
    <t>5677 Strong St.</t>
  </si>
  <si>
    <t>San Rafael</t>
  </si>
  <si>
    <t>Nelson</t>
  </si>
  <si>
    <t>Valarie</t>
  </si>
  <si>
    <t>Online Diecast Creations Co.</t>
  </si>
  <si>
    <t>2304 Long Airport Avenue</t>
  </si>
  <si>
    <t>Nashua</t>
  </si>
  <si>
    <t>NH</t>
  </si>
  <si>
    <t>Collectables For Less Inc.</t>
  </si>
  <si>
    <t>7825 Douglas Av.</t>
  </si>
  <si>
    <t>Brickhaven</t>
  </si>
  <si>
    <t>Allen</t>
  </si>
  <si>
    <t>Anna's Decorations, Ltd</t>
  </si>
  <si>
    <t>02 9936 8555</t>
  </si>
  <si>
    <t>201 Miller Street</t>
  </si>
  <si>
    <t>Level 15</t>
  </si>
  <si>
    <t>North Sydney</t>
  </si>
  <si>
    <t>O'Hara</t>
  </si>
  <si>
    <t>Anna</t>
  </si>
  <si>
    <t>Quebec Home Shopping Network</t>
  </si>
  <si>
    <t>(514) 555-8054</t>
  </si>
  <si>
    <t>43 rue St. Laurent</t>
  </si>
  <si>
    <t>Montreal</t>
  </si>
  <si>
    <t>Quebec</t>
  </si>
  <si>
    <t>H1J 1C3</t>
  </si>
  <si>
    <t>Fresnisre</t>
  </si>
  <si>
    <t>Jean</t>
  </si>
  <si>
    <t>In Process</t>
  </si>
  <si>
    <t>S10_2016</t>
  </si>
  <si>
    <t>Osaka Souveniers Co.</t>
  </si>
  <si>
    <t>+81 06 6342 5555</t>
  </si>
  <si>
    <t>Dojima Avanza 4F, 1-6-20 Dojima, Kita-ku</t>
  </si>
  <si>
    <t>Osaka</t>
  </si>
  <si>
    <t>530-0003</t>
  </si>
  <si>
    <t>Kentary</t>
  </si>
  <si>
    <t>Mory</t>
  </si>
  <si>
    <t>Motor Mint Distributors Inc.</t>
  </si>
  <si>
    <t>11328 Douglas Av.</t>
  </si>
  <si>
    <t>Rosa</t>
  </si>
  <si>
    <t>Atelier graphique</t>
  </si>
  <si>
    <t>40.32.2555</t>
  </si>
  <si>
    <t>54, rue Royale</t>
  </si>
  <si>
    <t>Schmitt</t>
  </si>
  <si>
    <t>Carine</t>
  </si>
  <si>
    <t>Mini Classics</t>
  </si>
  <si>
    <t>3758 North Pendale Street</t>
  </si>
  <si>
    <t>White Plains</t>
  </si>
  <si>
    <t>S10_4698</t>
  </si>
  <si>
    <t>S10_4757</t>
  </si>
  <si>
    <t>Danish Wholesale Imports</t>
  </si>
  <si>
    <t>31 12 3555</t>
  </si>
  <si>
    <t>Vinb'ltet 34</t>
  </si>
  <si>
    <t>Kobenhavn</t>
  </si>
  <si>
    <t>Denmark</t>
  </si>
  <si>
    <t>Petersen</t>
  </si>
  <si>
    <t>Jytte</t>
  </si>
  <si>
    <t>Stylish Desk Decors, Co.</t>
  </si>
  <si>
    <t>(171) 555-0297</t>
  </si>
  <si>
    <t>35 King George</t>
  </si>
  <si>
    <t>London</t>
  </si>
  <si>
    <t>WX3 6FW</t>
  </si>
  <si>
    <t>Ann</t>
  </si>
  <si>
    <t>Mini Creations Ltd.</t>
  </si>
  <si>
    <t>4575 Hillside Dr.</t>
  </si>
  <si>
    <t>Tam</t>
  </si>
  <si>
    <t>Wing C</t>
  </si>
  <si>
    <t>Cancelled</t>
  </si>
  <si>
    <t>Alpha Cognac</t>
  </si>
  <si>
    <t>61.77.6555</t>
  </si>
  <si>
    <t>1 rue Alsace-Lorraine</t>
  </si>
  <si>
    <t>Toulouse</t>
  </si>
  <si>
    <t>Roulet</t>
  </si>
  <si>
    <t>Annette</t>
  </si>
  <si>
    <t>Double Decker Gift Stores, Ltd</t>
  </si>
  <si>
    <t>(171) 555-7555</t>
  </si>
  <si>
    <t>120 Hanover Sq.</t>
  </si>
  <si>
    <t>WA1 1DP</t>
  </si>
  <si>
    <t>Hardy</t>
  </si>
  <si>
    <t>Thomas</t>
  </si>
  <si>
    <t>Enaco Distributors</t>
  </si>
  <si>
    <t>(93) 203 4555</t>
  </si>
  <si>
    <t>Rambla de Catalu¤a, 23</t>
  </si>
  <si>
    <t>Barcelona</t>
  </si>
  <si>
    <t>Saavedra</t>
  </si>
  <si>
    <t>Eduardo</t>
  </si>
  <si>
    <t>Men 'R' US Retailers, Ltd.</t>
  </si>
  <si>
    <t>6047 Douglas Av.</t>
  </si>
  <si>
    <t>Los Angeles</t>
  </si>
  <si>
    <t>Chandler</t>
  </si>
  <si>
    <t>Collectable Mini Designs Co.</t>
  </si>
  <si>
    <t>361 Furth Circle</t>
  </si>
  <si>
    <t>San Diego</t>
  </si>
  <si>
    <t>Petit Auto</t>
  </si>
  <si>
    <t>(02) 5554 67</t>
  </si>
  <si>
    <t>Rue Joseph-Bens 532</t>
  </si>
  <si>
    <t>Bruxelles</t>
  </si>
  <si>
    <t>B-1180</t>
  </si>
  <si>
    <t>Belgium</t>
  </si>
  <si>
    <t>Dewey</t>
  </si>
  <si>
    <t>Catherine</t>
  </si>
  <si>
    <t>Royal Canadian Collectables, Ltd.</t>
  </si>
  <si>
    <t>(604) 555-4555</t>
  </si>
  <si>
    <t>23 Tsawassen Blvd.</t>
  </si>
  <si>
    <t>Tsawassen</t>
  </si>
  <si>
    <t>T2F 8M4</t>
  </si>
  <si>
    <t>Lincoln</t>
  </si>
  <si>
    <t>Gifts4AllAges.com</t>
  </si>
  <si>
    <t>8616 Spinnaker Dr.</t>
  </si>
  <si>
    <t>Boston</t>
  </si>
  <si>
    <t>Yoshido</t>
  </si>
  <si>
    <t>giftsbymail.co.uk</t>
  </si>
  <si>
    <t>(198) 555-8888</t>
  </si>
  <si>
    <t>Garden House Crowther Way</t>
  </si>
  <si>
    <t>Cowes</t>
  </si>
  <si>
    <t>Isle of Wight</t>
  </si>
  <si>
    <t>PO31 7PJ</t>
  </si>
  <si>
    <t>Bennett</t>
  </si>
  <si>
    <t>Helen</t>
  </si>
  <si>
    <t>Oulu Toy Supplies, Inc.</t>
  </si>
  <si>
    <t>981-443655</t>
  </si>
  <si>
    <t>Torikatu 38</t>
  </si>
  <si>
    <t>Oulu</t>
  </si>
  <si>
    <t>Koskitalo</t>
  </si>
  <si>
    <t>Pirkko</t>
  </si>
  <si>
    <t>The Sharp Gifts Warehouse</t>
  </si>
  <si>
    <t>3086 Ingle Ln.</t>
  </si>
  <si>
    <t>San Jose</t>
  </si>
  <si>
    <t>Sue</t>
  </si>
  <si>
    <t>On Hold</t>
  </si>
  <si>
    <t>S10_4962</t>
  </si>
  <si>
    <t>La Corne D'abondance, Co.</t>
  </si>
  <si>
    <t>(1) 42.34.2555</t>
  </si>
  <si>
    <t>265, boulevard Charonne</t>
  </si>
  <si>
    <t>Bertrand</t>
  </si>
  <si>
    <t>Marie</t>
  </si>
  <si>
    <t>Resolved</t>
  </si>
  <si>
    <t>Mini Auto Werke</t>
  </si>
  <si>
    <t>7675-3555</t>
  </si>
  <si>
    <t>Kirchgasse 6</t>
  </si>
  <si>
    <t>Graz</t>
  </si>
  <si>
    <t>Mendel</t>
  </si>
  <si>
    <t>Roland</t>
  </si>
  <si>
    <t>Diecast Collectables</t>
  </si>
  <si>
    <t>6251 Ingle Ln.</t>
  </si>
  <si>
    <t>Franco</t>
  </si>
  <si>
    <t>Handji Gifts&amp; Co</t>
  </si>
  <si>
    <t>+65 224 1555</t>
  </si>
  <si>
    <t>Village Close - 106 Linden Road Sandown</t>
  </si>
  <si>
    <t>2nd Floor</t>
  </si>
  <si>
    <t>Victorino</t>
  </si>
  <si>
    <t>Wendy</t>
  </si>
  <si>
    <t>S12_1099</t>
  </si>
  <si>
    <t>Cruz &amp; Sons Co.</t>
  </si>
  <si>
    <t>+63 2 555 3587</t>
  </si>
  <si>
    <t>15 McCallum Street - NatWest Center #13-03</t>
  </si>
  <si>
    <t>Makati City</t>
  </si>
  <si>
    <t>1227 MM</t>
  </si>
  <si>
    <t>Philippines</t>
  </si>
  <si>
    <t>Cruz</t>
  </si>
  <si>
    <t>Arnold</t>
  </si>
  <si>
    <t>Marseille Mini Autos</t>
  </si>
  <si>
    <t>91.24.4555</t>
  </si>
  <si>
    <t>12, rue des Bouchers</t>
  </si>
  <si>
    <t>Marseille</t>
  </si>
  <si>
    <t>Lebihan</t>
  </si>
  <si>
    <t>Laurence</t>
  </si>
  <si>
    <t>Toms Spezialitten, Ltd</t>
  </si>
  <si>
    <t>0221-5554327</t>
  </si>
  <si>
    <t>Mehrheimerstr. 369</t>
  </si>
  <si>
    <t>Koln</t>
  </si>
  <si>
    <t>Germany</t>
  </si>
  <si>
    <t>Pfalzheim</t>
  </si>
  <si>
    <t>Henriette</t>
  </si>
  <si>
    <t>Vida Sport, Ltd</t>
  </si>
  <si>
    <t>0897-034555</t>
  </si>
  <si>
    <t>Grenzacherweg 237</t>
  </si>
  <si>
    <t>Gensve</t>
  </si>
  <si>
    <t>Switzerland</t>
  </si>
  <si>
    <t>Holz</t>
  </si>
  <si>
    <t>L'ordine Souveniers</t>
  </si>
  <si>
    <t>0522-556555</t>
  </si>
  <si>
    <t>Strada Provinciale 124</t>
  </si>
  <si>
    <t>Reggio Emilia</t>
  </si>
  <si>
    <t>Moroni</t>
  </si>
  <si>
    <t>Maurizio</t>
  </si>
  <si>
    <t>Online Mini Collectables</t>
  </si>
  <si>
    <t>7635 Spinnaker Dr.</t>
  </si>
  <si>
    <t>Barajas</t>
  </si>
  <si>
    <t>Miguel</t>
  </si>
  <si>
    <t>Blauer See Auto, Co.</t>
  </si>
  <si>
    <t>+49 69 66 90 2555</t>
  </si>
  <si>
    <t>Lyonerstr. 34</t>
  </si>
  <si>
    <t>Frankfurt</t>
  </si>
  <si>
    <t>Keitel</t>
  </si>
  <si>
    <t>Suominen Souveniers</t>
  </si>
  <si>
    <t>+358 9 8045 555</t>
  </si>
  <si>
    <t>Software Engineering Center, SEC Oy</t>
  </si>
  <si>
    <t>Espoo</t>
  </si>
  <si>
    <t>FIN-02271</t>
  </si>
  <si>
    <t>Suominen</t>
  </si>
  <si>
    <t>Kalle</t>
  </si>
  <si>
    <t>S12_1108</t>
  </si>
  <si>
    <t>Muscle Machine Inc</t>
  </si>
  <si>
    <t>4092 Furth Circle</t>
  </si>
  <si>
    <t>Suite 400</t>
  </si>
  <si>
    <t>Jeff</t>
  </si>
  <si>
    <t>Clover Collections, Co.</t>
  </si>
  <si>
    <t>+353 1862 1555</t>
  </si>
  <si>
    <t>25 Maiden Lane</t>
  </si>
  <si>
    <t>Floor No. 4</t>
  </si>
  <si>
    <t>Dublin</t>
  </si>
  <si>
    <t>Ireland</t>
  </si>
  <si>
    <t>Cassidy</t>
  </si>
  <si>
    <t>Dean</t>
  </si>
  <si>
    <t>CAF Imports</t>
  </si>
  <si>
    <t>+34 913 728 555</t>
  </si>
  <si>
    <t>Merchants House, 27-30 Merchant's Quay</t>
  </si>
  <si>
    <t>Fernandez</t>
  </si>
  <si>
    <t>Jesus</t>
  </si>
  <si>
    <t>AV Stores, Co.</t>
  </si>
  <si>
    <t>(171) 555-1555</t>
  </si>
  <si>
    <t>Fauntleroy Circus</t>
  </si>
  <si>
    <t>Manchester</t>
  </si>
  <si>
    <t>EC2 5NT</t>
  </si>
  <si>
    <t>Ashworth</t>
  </si>
  <si>
    <t>Heintze Collectables</t>
  </si>
  <si>
    <t>86 21 3555</t>
  </si>
  <si>
    <t>Smagsloget 45</t>
  </si>
  <si>
    <t>Aaarhus</t>
  </si>
  <si>
    <t>Ibsen</t>
  </si>
  <si>
    <t>Palle</t>
  </si>
  <si>
    <t>Trucks and Buses</t>
  </si>
  <si>
    <t>S12_1666</t>
  </si>
  <si>
    <t>S12_2823</t>
  </si>
  <si>
    <t>Microscale Inc.</t>
  </si>
  <si>
    <t>5290 North Pendale Street</t>
  </si>
  <si>
    <t>Suite 200</t>
  </si>
  <si>
    <t>Kuo</t>
  </si>
  <si>
    <t>Kee</t>
  </si>
  <si>
    <t>S12_3148</t>
  </si>
  <si>
    <t>S12_3380</t>
  </si>
  <si>
    <t>Boards &amp; Toys Co.</t>
  </si>
  <si>
    <t>4097 Douglas Av.</t>
  </si>
  <si>
    <t>Glendale</t>
  </si>
  <si>
    <t>S12_3891</t>
  </si>
  <si>
    <t>S12_3990</t>
  </si>
  <si>
    <t>S12_4473</t>
  </si>
  <si>
    <t>Iberia Gift Imports, Corp.</t>
  </si>
  <si>
    <t>(95) 555 82 82</t>
  </si>
  <si>
    <t>C/ Romero, 33</t>
  </si>
  <si>
    <t>Sevilla</t>
  </si>
  <si>
    <t>Roel</t>
  </si>
  <si>
    <t>Jose Pedro</t>
  </si>
  <si>
    <t>Signal Collectibles Ltd.</t>
  </si>
  <si>
    <t>2793 Furth Circle</t>
  </si>
  <si>
    <t>Brisbane</t>
  </si>
  <si>
    <t>Taylor</t>
  </si>
  <si>
    <t>S12_4675</t>
  </si>
  <si>
    <t>Mini Caravy</t>
  </si>
  <si>
    <t>88.60.1555</t>
  </si>
  <si>
    <t>24, place Kluber</t>
  </si>
  <si>
    <t>Strasbourg</t>
  </si>
  <si>
    <t>Citeaux</t>
  </si>
  <si>
    <t>Frederique</t>
  </si>
  <si>
    <t>S18_1097</t>
  </si>
  <si>
    <t>S18_1129</t>
  </si>
  <si>
    <t>Signal Gift Stores</t>
  </si>
  <si>
    <t>8489 Strong St.</t>
  </si>
  <si>
    <t>Las Vegas</t>
  </si>
  <si>
    <t>NV</t>
  </si>
  <si>
    <t>Norway Gifts By Mail, Co.</t>
  </si>
  <si>
    <t>+47 2212 1555</t>
  </si>
  <si>
    <t>Drammensveien 126 A, PB 744 Sentrum</t>
  </si>
  <si>
    <t>Oslo</t>
  </si>
  <si>
    <t>N 0106</t>
  </si>
  <si>
    <t>Klaeboe</t>
  </si>
  <si>
    <t>Jan</t>
  </si>
  <si>
    <t>Vintage Cars</t>
  </si>
  <si>
    <t>S18_1342</t>
  </si>
  <si>
    <t>Rovelli Gifts</t>
  </si>
  <si>
    <t>035-640555</t>
  </si>
  <si>
    <t>Via Ludovico il Moro 22</t>
  </si>
  <si>
    <t>Bergamo</t>
  </si>
  <si>
    <t>Rovelli</t>
  </si>
  <si>
    <t>Giovanni</t>
  </si>
  <si>
    <t>Australian Collectables, Ltd</t>
  </si>
  <si>
    <t>61-9-3844-6555</t>
  </si>
  <si>
    <t>7 Allen Street</t>
  </si>
  <si>
    <t>Glen Waverly</t>
  </si>
  <si>
    <t>Connery</t>
  </si>
  <si>
    <t>Sean</t>
  </si>
  <si>
    <t>S18_1367</t>
  </si>
  <si>
    <t>S18_1589</t>
  </si>
  <si>
    <t>Planes</t>
  </si>
  <si>
    <t>S18_1662</t>
  </si>
  <si>
    <t>Gift Ideas Corp.</t>
  </si>
  <si>
    <t>2440 Pompton St.</t>
  </si>
  <si>
    <t>Lewis</t>
  </si>
  <si>
    <t>Dan</t>
  </si>
  <si>
    <t>Bavarian Collectables Imports, Co.</t>
  </si>
  <si>
    <t>+49 89 61 08 9555</t>
  </si>
  <si>
    <t>Hansastr. 15</t>
  </si>
  <si>
    <t>Munich</t>
  </si>
  <si>
    <t>Donnermeyer</t>
  </si>
  <si>
    <t>Royale Belge</t>
  </si>
  <si>
    <t>(071) 23 67 2555</t>
  </si>
  <si>
    <t>Boulevard Tirou, 255</t>
  </si>
  <si>
    <t>Charleroi</t>
  </si>
  <si>
    <t>B-6000</t>
  </si>
  <si>
    <t>Cartrain</t>
  </si>
  <si>
    <t>Pascale</t>
  </si>
  <si>
    <t>S18_1749</t>
  </si>
  <si>
    <t>S18_1889</t>
  </si>
  <si>
    <t>S18_1984</t>
  </si>
  <si>
    <t>S18_2238</t>
  </si>
  <si>
    <t>S18_2248</t>
  </si>
  <si>
    <t>S18_2319</t>
  </si>
  <si>
    <t>S18_2325</t>
  </si>
  <si>
    <t>S18_2432</t>
  </si>
  <si>
    <t>S18_2581</t>
  </si>
  <si>
    <t>S18_2625</t>
  </si>
  <si>
    <t>S18_2795</t>
  </si>
  <si>
    <t>S18_2870</t>
  </si>
  <si>
    <t>S18_2949</t>
  </si>
  <si>
    <t>S18_2957</t>
  </si>
  <si>
    <t>Ships</t>
  </si>
  <si>
    <t>S18_3029</t>
  </si>
  <si>
    <t>Auto-Moto Classics Inc.</t>
  </si>
  <si>
    <t>16780 Pompton St.</t>
  </si>
  <si>
    <t>S18_3136</t>
  </si>
  <si>
    <t>S18_3140</t>
  </si>
  <si>
    <t>S18_3232</t>
  </si>
  <si>
    <t>Trains</t>
  </si>
  <si>
    <t>S18_3259</t>
  </si>
  <si>
    <t>S18_3278</t>
  </si>
  <si>
    <t>S18_3320</t>
  </si>
  <si>
    <t>S18_3482</t>
  </si>
  <si>
    <t>S18_3685</t>
  </si>
  <si>
    <t>S18_3782</t>
  </si>
  <si>
    <t>S18_3856</t>
  </si>
  <si>
    <t>S18_4027</t>
  </si>
  <si>
    <t>S18_4409</t>
  </si>
  <si>
    <t>S18_4522</t>
  </si>
  <si>
    <t>S18_4600</t>
  </si>
  <si>
    <t>S18_4668</t>
  </si>
  <si>
    <t>S18_4721</t>
  </si>
  <si>
    <t>S18_4933</t>
  </si>
  <si>
    <t>S24_1046</t>
  </si>
  <si>
    <t>S24_1444</t>
  </si>
  <si>
    <t>S24_1578</t>
  </si>
  <si>
    <t>S24_1628</t>
  </si>
  <si>
    <t>S24_1785</t>
  </si>
  <si>
    <t>S24_1937</t>
  </si>
  <si>
    <t>S24_2000</t>
  </si>
  <si>
    <t>S24_2011</t>
  </si>
  <si>
    <t>S24_2022</t>
  </si>
  <si>
    <t>S24_2300</t>
  </si>
  <si>
    <t>S24_2360</t>
  </si>
  <si>
    <t>S24_2766</t>
  </si>
  <si>
    <t>S24_2840</t>
  </si>
  <si>
    <t>S24_2841</t>
  </si>
  <si>
    <t>S24_2887</t>
  </si>
  <si>
    <t>S24_2972</t>
  </si>
  <si>
    <t>S24_3151</t>
  </si>
  <si>
    <t>S24_3191</t>
  </si>
  <si>
    <t>S24_3371</t>
  </si>
  <si>
    <t>S24_3420</t>
  </si>
  <si>
    <t>S24_3432</t>
  </si>
  <si>
    <t>S24_3816</t>
  </si>
  <si>
    <t>S24_3856</t>
  </si>
  <si>
    <t>S24_3949</t>
  </si>
  <si>
    <t>S24_3969</t>
  </si>
  <si>
    <t>S24_4048</t>
  </si>
  <si>
    <t>S24_4258</t>
  </si>
  <si>
    <t>S24_4278</t>
  </si>
  <si>
    <t>S24_4620</t>
  </si>
  <si>
    <t>S32_1268</t>
  </si>
  <si>
    <t>S32_1374</t>
  </si>
  <si>
    <t>S32_2206</t>
  </si>
  <si>
    <t>S32_2509</t>
  </si>
  <si>
    <t>S32_3207</t>
  </si>
  <si>
    <t>S32_3522</t>
  </si>
  <si>
    <t>S32_4289</t>
  </si>
  <si>
    <t>S32_4485</t>
  </si>
  <si>
    <t>S50_1341</t>
  </si>
  <si>
    <t>S50_1392</t>
  </si>
  <si>
    <t>S50_1514</t>
  </si>
  <si>
    <t>S50_4713</t>
  </si>
  <si>
    <t>S700_1138</t>
  </si>
  <si>
    <t>S700_1691</t>
  </si>
  <si>
    <t>S700_1938</t>
  </si>
  <si>
    <t>S700_2047</t>
  </si>
  <si>
    <t>S700_2466</t>
  </si>
  <si>
    <t>S700_2610</t>
  </si>
  <si>
    <t>S700_2824</t>
  </si>
  <si>
    <t>S700_2834</t>
  </si>
  <si>
    <t>S700_3167</t>
  </si>
  <si>
    <t>S700_3505</t>
  </si>
  <si>
    <t>S700_3962</t>
  </si>
  <si>
    <t>S700_4002</t>
  </si>
  <si>
    <t>S72_1253</t>
  </si>
  <si>
    <t>S72_3212</t>
  </si>
  <si>
    <t>JAPAN</t>
  </si>
  <si>
    <t>MONTH-YEAR</t>
  </si>
  <si>
    <t>REVENUE TIER</t>
  </si>
  <si>
    <t>FULFILLED</t>
  </si>
  <si>
    <t>EST.PROFIT</t>
  </si>
  <si>
    <t>Grand Total</t>
  </si>
  <si>
    <t>Feb</t>
  </si>
  <si>
    <t>May</t>
  </si>
  <si>
    <t>Jul</t>
  </si>
  <si>
    <t>Aug</t>
  </si>
  <si>
    <t>Oct</t>
  </si>
  <si>
    <t>Nov</t>
  </si>
  <si>
    <t>Dec</t>
  </si>
  <si>
    <t>Apr</t>
  </si>
  <si>
    <t>Jun</t>
  </si>
  <si>
    <t>Sep</t>
  </si>
  <si>
    <t>Mar</t>
  </si>
  <si>
    <t xml:space="preserve">       Total</t>
  </si>
  <si>
    <t xml:space="preserve">     TOTAL SALES</t>
  </si>
  <si>
    <t>YEAR</t>
  </si>
  <si>
    <t>MONTH</t>
  </si>
  <si>
    <t>TOTALSALES</t>
  </si>
  <si>
    <t xml:space="preserve">   QUANTITY ORDERED</t>
  </si>
  <si>
    <t xml:space="preserve">        % TOTAL</t>
  </si>
  <si>
    <t>CUSTOMER NAME</t>
  </si>
  <si>
    <t>DEAL SIZE</t>
  </si>
  <si>
    <t xml:space="preserve">       RANK</t>
  </si>
  <si>
    <t xml:space="preserve">       TOTAL SALES</t>
  </si>
  <si>
    <t xml:space="preserve">   % REVENUE</t>
  </si>
  <si>
    <t xml:space="preserve">           Total</t>
  </si>
  <si>
    <t xml:space="preserve">    RANK</t>
  </si>
  <si>
    <t xml:space="preserve">          Total</t>
  </si>
  <si>
    <t>Pivot 5 - Sales by Deal Size</t>
  </si>
  <si>
    <t>Pivot 4 - Top 10 Customers by Revenue</t>
  </si>
  <si>
    <t>Pivot 3 - Sales by Country (Ranked)</t>
  </si>
  <si>
    <t>Pivot 1 - Sales of Product Line and Year</t>
  </si>
  <si>
    <t>Pivot 2 - Monthly Sales Trend by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</si>
</sst>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_(* #,##0_);_(* \(#,##0\);_(* &quot;-&quot;??_);_(@_)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1">
    <xf numFmtId="0" fontId="0" fillId="0" borderId="0" xfId="0"/>
    <xf numFmtId="22" fontId="0" fillId="0" borderId="0" xfId="0" applyNumberFormat="1"/>
    <xf numFmtId="14" fontId="0" fillId="0" borderId="0" xfId="0" applyNumberFormat="1"/>
    <xf numFmtId="0" fontId="0" fillId="34" borderId="10" xfId="0" applyFont="1" applyFill="1" applyBorder="1"/>
    <xf numFmtId="14" fontId="0" fillId="34" borderId="10" xfId="0" applyNumberFormat="1" applyFont="1" applyFill="1" applyBorder="1"/>
    <xf numFmtId="0" fontId="0" fillId="0" borderId="10" xfId="0" applyFont="1" applyBorder="1"/>
    <xf numFmtId="14" fontId="0" fillId="0" borderId="10" xfId="0" applyNumberFormat="1" applyFont="1" applyBorder="1"/>
    <xf numFmtId="0" fontId="13" fillId="33" borderId="0" xfId="0" applyFont="1" applyFill="1" applyBorder="1"/>
    <xf numFmtId="14" fontId="13" fillId="33" borderId="0" xfId="0" applyNumberFormat="1" applyFont="1" applyFill="1" applyBorder="1"/>
    <xf numFmtId="0" fontId="0" fillId="0" borderId="0" xfId="0" applyAlignment="1">
      <alignment horizontal="left"/>
    </xf>
    <xf numFmtId="10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0" borderId="0" xfId="0" applyNumberFormat="1"/>
    <xf numFmtId="0" fontId="19" fillId="0" borderId="0" xfId="0" pivotButton="1" applyFont="1"/>
    <xf numFmtId="164" fontId="19" fillId="0" borderId="0" xfId="0" applyNumberFormat="1" applyFont="1"/>
    <xf numFmtId="0" fontId="19" fillId="0" borderId="0" xfId="0" applyFont="1" applyAlignment="1">
      <alignment horizontal="left"/>
    </xf>
    <xf numFmtId="1" fontId="0" fillId="0" borderId="0" xfId="0" applyNumberFormat="1"/>
    <xf numFmtId="0" fontId="16" fillId="0" borderId="0" xfId="0" applyFont="1"/>
    <xf numFmtId="0" fontId="20" fillId="35" borderId="0" xfId="0" applyFont="1" applyFill="1"/>
    <xf numFmtId="0" fontId="21" fillId="35" borderId="0" xfId="0" applyFont="1" applyFill="1"/>
    <xf numFmtId="0" fontId="18" fillId="36" borderId="0" xfId="0" applyFont="1" applyFill="1"/>
    <xf numFmtId="164" fontId="18" fillId="36" borderId="0" xfId="0" applyNumberFormat="1" applyFont="1" applyFill="1"/>
    <xf numFmtId="165" fontId="18" fillId="36" borderId="0" xfId="0" applyNumberFormat="1" applyFont="1" applyFill="1"/>
    <xf numFmtId="0" fontId="19" fillId="36" borderId="0" xfId="0" applyFont="1" applyFill="1" applyAlignment="1">
      <alignment horizontal="left"/>
    </xf>
    <xf numFmtId="10" fontId="19" fillId="36" borderId="0" xfId="0" applyNumberFormat="1" applyFont="1" applyFill="1"/>
    <xf numFmtId="0" fontId="19" fillId="36" borderId="0" xfId="0" applyFont="1" applyFill="1"/>
    <xf numFmtId="164" fontId="19" fillId="36" borderId="0" xfId="0" applyNumberFormat="1" applyFont="1" applyFill="1"/>
    <xf numFmtId="165" fontId="19" fillId="36" borderId="0" xfId="0" applyNumberFormat="1" applyFont="1" applyFill="1"/>
    <xf numFmtId="0" fontId="0" fillId="36" borderId="0" xfId="0" applyFill="1"/>
    <xf numFmtId="0" fontId="22" fillId="35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48"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font>
        <b/>
      </font>
    </dxf>
    <dxf>
      <font>
        <b/>
      </font>
    </dxf>
    <dxf>
      <font>
        <b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sz val="16"/>
      </font>
    </dxf>
    <dxf>
      <fill>
        <patternFill patternType="solid">
          <bgColor theme="4"/>
        </patternFill>
      </fill>
    </dxf>
    <dxf>
      <font>
        <b/>
      </font>
    </dxf>
    <dxf>
      <fill>
        <patternFill patternType="solid">
          <bgColor theme="8"/>
        </patternFill>
      </fill>
    </dxf>
    <dxf>
      <fill>
        <patternFill>
          <bgColor theme="8"/>
        </patternFill>
      </fill>
    </dxf>
    <dxf>
      <fill>
        <patternFill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font>
        <b/>
      </font>
    </dxf>
    <dxf>
      <font>
        <b/>
      </font>
    </dxf>
    <dxf>
      <font>
        <b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sz val="16"/>
      </font>
    </dxf>
    <dxf>
      <fill>
        <patternFill patternType="solid">
          <bgColor theme="4"/>
        </patternFill>
      </fill>
    </dxf>
    <dxf>
      <font>
        <b/>
      </font>
    </dxf>
    <dxf>
      <fill>
        <patternFill patternType="solid">
          <bgColor theme="8"/>
        </patternFill>
      </fill>
    </dxf>
    <dxf>
      <fill>
        <patternFill>
          <bgColor theme="8"/>
        </patternFill>
      </fill>
    </dxf>
    <dxf>
      <fill>
        <patternFill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font>
        <b/>
      </font>
    </dxf>
    <dxf>
      <font>
        <b/>
      </font>
    </dxf>
    <dxf>
      <font>
        <b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sz val="16"/>
      </font>
    </dxf>
    <dxf>
      <fill>
        <patternFill patternType="solid">
          <bgColor theme="4"/>
        </patternFill>
      </fill>
    </dxf>
    <dxf>
      <font>
        <b/>
      </font>
    </dxf>
    <dxf>
      <fill>
        <patternFill patternType="solid">
          <bgColor theme="8"/>
        </patternFill>
      </fill>
    </dxf>
    <dxf>
      <fill>
        <patternFill>
          <bgColor theme="8"/>
        </patternFill>
      </fill>
    </dxf>
    <dxf>
      <fill>
        <patternFill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>
          <bgColor theme="8"/>
        </patternFill>
      </fill>
    </dxf>
    <dxf>
      <fill>
        <patternFill>
          <bgColor theme="8"/>
        </patternFill>
      </fill>
    </dxf>
    <dxf>
      <fill>
        <patternFill patternType="solid">
          <bgColor theme="8"/>
        </patternFill>
      </fill>
    </dxf>
    <dxf>
      <font>
        <b/>
      </font>
    </dxf>
    <dxf>
      <fill>
        <patternFill patternType="solid">
          <bgColor theme="4"/>
        </patternFill>
      </fill>
    </dxf>
    <dxf>
      <font>
        <sz val="16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ont>
        <sz val="12"/>
      </font>
    </dxf>
    <dxf>
      <font>
        <b/>
      </font>
    </dxf>
    <dxf>
      <font>
        <sz val="12"/>
      </font>
    </dxf>
    <dxf>
      <font>
        <b/>
      </font>
    </dxf>
    <dxf>
      <font>
        <sz val="12"/>
      </font>
    </dxf>
    <dxf>
      <font>
        <sz val="12"/>
      </font>
    </dxf>
    <dxf>
      <font>
        <b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sz val="12"/>
      </font>
    </dxf>
    <dxf>
      <font>
        <sz val="12"/>
      </font>
    </dxf>
    <dxf>
      <font>
        <b/>
      </font>
    </dxf>
    <dxf>
      <numFmt numFmtId="164" formatCode="&quot;$&quot;#,##0.00"/>
    </dxf>
    <dxf>
      <numFmt numFmtId="14" formatCode="0.00%"/>
    </dxf>
    <dxf>
      <numFmt numFmtId="165" formatCode="_(* #,##0_);_(* \(#,##0\);_(* &quot;-&quot;??_);_(@_)"/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165" formatCode="_(* #,##0_);_(* \(#,##0\);_(* &quot;-&quot;??_);_(@_)"/>
    </dxf>
    <dxf>
      <numFmt numFmtId="164" formatCode="&quot;$&quot;#,##0.00"/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4"/>
        </patternFill>
      </fill>
    </dxf>
    <dxf>
      <font>
        <sz val="16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font>
        <sz val="14"/>
      </font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4"/>
        </patternFill>
      </fill>
    </dxf>
    <dxf>
      <font>
        <sz val="16"/>
      </font>
    </dxf>
    <dxf>
      <font>
        <b val="0"/>
      </font>
    </dxf>
    <dxf>
      <font>
        <sz val="12"/>
      </font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3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12" Type="http://schemas.openxmlformats.org/officeDocument/2006/relationships/pivotCacheDefinition" Target="pivotCache/pivotCacheDefinition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2.xml"/><Relationship Id="rId11" Type="http://schemas.openxmlformats.org/officeDocument/2006/relationships/chartsheet" Target="chartsheets/sheet4.xml"/><Relationship Id="rId5" Type="http://schemas.openxmlformats.org/officeDocument/2006/relationships/worksheet" Target="worksheets/sheet4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7.xml"/><Relationship Id="rId4" Type="http://schemas.openxmlformats.org/officeDocument/2006/relationships/chartsheet" Target="chartsheets/sheet1.xml"/><Relationship Id="rId9" Type="http://schemas.openxmlformats.org/officeDocument/2006/relationships/worksheet" Target="worksheets/sheet6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[Sales_Analysis_Project.xlsx]Pivot-ProductLine!PivotTable3</c:name>
    <c:fmtId val="12"/>
  </c:pivotSource>
  <c:protection>
    <c:chartObject val="0"/>
    <c:data val="0"/>
    <c:formatting val="0"/>
    <c:selection val="0"/>
    <c:userInterface val="0"/>
  </c:protection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2000" b="1">
                <a:solidFill>
                  <a:schemeClr val="tx1"/>
                </a:solidFill>
              </a:rPr>
              <a:t>Sales of Product Line and Year</a:t>
            </a:r>
          </a:p>
        </c:rich>
      </c:tx>
      <c:layout>
        <c:manualLayout>
          <c:xMode val="edge"/>
          <c:yMode val="edge"/>
          <c:x val="0.32376773966404632"/>
          <c:y val="1.01394169835234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3242064560037695"/>
          <c:y val="0.11862325719923306"/>
          <c:w val="0.7692264491639037"/>
          <c:h val="0.603283334830294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'Pivot-ProductLine'!$B$3:$B$4</c:f>
              <c:strCache>
                <c:ptCount val="1"/>
                <c:pt idx="0">
                  <c:v>2003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'Pivot-ProductLine'!$A$5:$A$12</c:f>
              <c:strCache>
                <c:ptCount val="7"/>
                <c:pt idx="0">
                  <c:v>Classic Cars</c:v>
                </c:pt>
                <c:pt idx="1">
                  <c:v>Vintage Cars</c:v>
                </c:pt>
                <c:pt idx="2">
                  <c:v>Motorcycles</c:v>
                </c:pt>
                <c:pt idx="3">
                  <c:v>Trucks and Buses</c:v>
                </c:pt>
                <c:pt idx="4">
                  <c:v>Planes</c:v>
                </c:pt>
                <c:pt idx="5">
                  <c:v>Ships</c:v>
                </c:pt>
                <c:pt idx="6">
                  <c:v>Trains</c:v>
                </c:pt>
              </c:strCache>
            </c:strRef>
          </c:cat>
          <c:val>
            <c:numRef>
              <c:f>'Pivot-ProductLine'!$B$5:$B$12</c:f>
              <c:numCache>
                <c:formatCode>"$"#,##0.00</c:formatCode>
                <c:ptCount val="7"/>
                <c:pt idx="0">
                  <c:v>1104942.24</c:v>
                </c:pt>
                <c:pt idx="1">
                  <c:v>575626.41</c:v>
                </c:pt>
                <c:pt idx="2">
                  <c:v>310176.50999999989</c:v>
                </c:pt>
                <c:pt idx="3">
                  <c:v>359819.42999999993</c:v>
                </c:pt>
                <c:pt idx="4">
                  <c:v>242883.3</c:v>
                </c:pt>
                <c:pt idx="5">
                  <c:v>233746.80999999997</c:v>
                </c:pt>
                <c:pt idx="6">
                  <c:v>70955.239999999991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66-4633-8A72-A698EC31E013}"/>
            </c:ext>
          </c:extLst>
        </c:ser>
        <c:ser>
          <c:idx val="1"/>
          <c:order val="1"/>
          <c:tx>
            <c:strRef>
              <c:f>'Pivot-ProductLine'!$C$3:$C$4</c:f>
              <c:strCache>
                <c:ptCount val="1"/>
                <c:pt idx="0">
                  <c:v>2004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'Pivot-ProductLine'!$A$5:$A$12</c:f>
              <c:strCache>
                <c:ptCount val="7"/>
                <c:pt idx="0">
                  <c:v>Classic Cars</c:v>
                </c:pt>
                <c:pt idx="1">
                  <c:v>Vintage Cars</c:v>
                </c:pt>
                <c:pt idx="2">
                  <c:v>Motorcycles</c:v>
                </c:pt>
                <c:pt idx="3">
                  <c:v>Trucks and Buses</c:v>
                </c:pt>
                <c:pt idx="4">
                  <c:v>Planes</c:v>
                </c:pt>
                <c:pt idx="5">
                  <c:v>Ships</c:v>
                </c:pt>
                <c:pt idx="6">
                  <c:v>Trains</c:v>
                </c:pt>
              </c:strCache>
            </c:strRef>
          </c:cat>
          <c:val>
            <c:numRef>
              <c:f>'Pivot-ProductLine'!$C$5:$C$12</c:f>
              <c:numCache>
                <c:formatCode>"$"#,##0.00</c:formatCode>
                <c:ptCount val="7"/>
                <c:pt idx="0">
                  <c:v>1335951.9299999992</c:v>
                </c:pt>
                <c:pt idx="1">
                  <c:v>782194.99999999977</c:v>
                </c:pt>
                <c:pt idx="2">
                  <c:v>468423.82000000007</c:v>
                </c:pt>
                <c:pt idx="3">
                  <c:v>440763.39000000007</c:v>
                </c:pt>
                <c:pt idx="4">
                  <c:v>459210.24999999977</c:v>
                </c:pt>
                <c:pt idx="5">
                  <c:v>324998.77999999997</c:v>
                </c:pt>
                <c:pt idx="6">
                  <c:v>102157.7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B66-4633-8A72-A698EC31E013}"/>
            </c:ext>
          </c:extLst>
        </c:ser>
        <c:ser>
          <c:idx val="2"/>
          <c:order val="2"/>
          <c:tx>
            <c:strRef>
              <c:f>'Pivot-ProductLine'!$D$3:$D$4</c:f>
              <c:strCache>
                <c:ptCount val="1"/>
                <c:pt idx="0">
                  <c:v>2005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'Pivot-ProductLine'!$A$5:$A$12</c:f>
              <c:strCache>
                <c:ptCount val="7"/>
                <c:pt idx="0">
                  <c:v>Classic Cars</c:v>
                </c:pt>
                <c:pt idx="1">
                  <c:v>Vintage Cars</c:v>
                </c:pt>
                <c:pt idx="2">
                  <c:v>Motorcycles</c:v>
                </c:pt>
                <c:pt idx="3">
                  <c:v>Trucks and Buses</c:v>
                </c:pt>
                <c:pt idx="4">
                  <c:v>Planes</c:v>
                </c:pt>
                <c:pt idx="5">
                  <c:v>Ships</c:v>
                </c:pt>
                <c:pt idx="6">
                  <c:v>Trains</c:v>
                </c:pt>
              </c:strCache>
            </c:strRef>
          </c:cat>
          <c:val>
            <c:numRef>
              <c:f>'Pivot-ProductLine'!$D$5:$D$12</c:f>
              <c:numCache>
                <c:formatCode>"$"#,##0.00</c:formatCode>
                <c:ptCount val="7"/>
                <c:pt idx="0">
                  <c:v>527652.23</c:v>
                </c:pt>
                <c:pt idx="1">
                  <c:v>286390.64000000007</c:v>
                </c:pt>
                <c:pt idx="2">
                  <c:v>192485.96</c:v>
                </c:pt>
                <c:pt idx="3">
                  <c:v>146772.35999999999</c:v>
                </c:pt>
                <c:pt idx="4">
                  <c:v>175848.65999999997</c:v>
                </c:pt>
                <c:pt idx="5">
                  <c:v>119194.81</c:v>
                </c:pt>
                <c:pt idx="6">
                  <c:v>30691.32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B66-4633-8A72-A698EC31E0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88191263"/>
        <c:axId val="1288183103"/>
      </c:barChart>
      <c:catAx>
        <c:axId val="1288191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83103"/>
        <c:crosses val="autoZero"/>
        <c:auto val="1"/>
        <c:lblAlgn val="ctr"/>
        <c:lblOffset val="100"/>
        <c:noMultiLvlLbl val="0"/>
      </c:catAx>
      <c:valAx>
        <c:axId val="1288183103"/>
        <c:scaling>
          <c:orientation val="minMax"/>
          <c:max val="120000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>
                    <a:solidFill>
                      <a:schemeClr val="tx1">
                        <a:lumMod val="85000"/>
                        <a:lumOff val="15000"/>
                      </a:schemeClr>
                    </a:solidFill>
                  </a:rPr>
                  <a:t>Total Sales ($)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9126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10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90655510433819764"/>
          <c:y val="0.43313584872522903"/>
          <c:w val="8.839048907672642E-2"/>
          <c:h val="0.2256446126052424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[Sales_Analysis_Project.xlsx]Pivot-Monthly!PivotTable4</c:name>
    <c:fmtId val="3"/>
  </c:pivotSource>
  <c:protection>
    <c:chartObject val="0"/>
    <c:data val="0"/>
    <c:formatting val="0"/>
    <c:selection val="0"/>
    <c:userInterface val="0"/>
  </c:protection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2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2400" b="1">
                <a:solidFill>
                  <a:schemeClr val="tx1"/>
                </a:solidFill>
              </a:rPr>
              <a:t>Monthly</a:t>
            </a:r>
            <a:r>
              <a:rPr lang="en-US" sz="2400" b="1" baseline="0">
                <a:solidFill>
                  <a:schemeClr val="tx1"/>
                </a:solidFill>
              </a:rPr>
              <a:t> Sales Treand by Year</a:t>
            </a:r>
          </a:p>
        </c:rich>
      </c:tx>
      <c:layout>
        <c:manualLayout>
          <c:xMode val="edge"/>
          <c:yMode val="edge"/>
          <c:x val="0.27128055094030679"/>
          <c:y val="1.50929462703733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2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3572371114161189"/>
          <c:y val="0.11011998556101504"/>
          <c:w val="0.76675335307857162"/>
          <c:h val="0.74663243730742224"/>
        </c:manualLayout>
      </c:layout>
      <c:lineChart>
        <c:grouping val="standard"/>
        <c:varyColors val="0"/>
        <c:ser>
          <c:idx val="0"/>
          <c:order val="0"/>
          <c:tx>
            <c:strRef>
              <c:f>'Pivot-Monthly'!$B$3:$B$4</c:f>
              <c:strCache>
                <c:ptCount val="1"/>
                <c:pt idx="0">
                  <c:v>2003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'Pivot-Monthly'!$A$5:$A$17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'Pivot-Monthly'!$B$5:$B$17</c:f>
              <c:numCache>
                <c:formatCode>"$"#,##0.00</c:formatCode>
                <c:ptCount val="12"/>
                <c:pt idx="0">
                  <c:v>107885.96</c:v>
                </c:pt>
                <c:pt idx="1">
                  <c:v>120036.80000000002</c:v>
                </c:pt>
                <c:pt idx="2">
                  <c:v>144096.22999999998</c:v>
                </c:pt>
                <c:pt idx="3">
                  <c:v>169421.03</c:v>
                </c:pt>
                <c:pt idx="4">
                  <c:v>163654.12</c:v>
                </c:pt>
                <c:pt idx="5">
                  <c:v>139552.84</c:v>
                </c:pt>
                <c:pt idx="6">
                  <c:v>149869.72999999998</c:v>
                </c:pt>
                <c:pt idx="7">
                  <c:v>166026.31999999992</c:v>
                </c:pt>
                <c:pt idx="8">
                  <c:v>211045.86000000002</c:v>
                </c:pt>
                <c:pt idx="9">
                  <c:v>466240.57000000007</c:v>
                </c:pt>
                <c:pt idx="10">
                  <c:v>850203.27000000037</c:v>
                </c:pt>
                <c:pt idx="11">
                  <c:v>210117.21000000002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77-4608-B0A8-3AAD08D3EA84}"/>
            </c:ext>
          </c:extLst>
        </c:ser>
        <c:ser>
          <c:idx val="1"/>
          <c:order val="1"/>
          <c:tx>
            <c:strRef>
              <c:f>'Pivot-Monthly'!$C$3:$C$4</c:f>
              <c:strCache>
                <c:ptCount val="1"/>
                <c:pt idx="0">
                  <c:v>2004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'Pivot-Monthly'!$A$5:$A$17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'Pivot-Monthly'!$C$5:$C$17</c:f>
              <c:numCache>
                <c:formatCode>"$"#,##0.00</c:formatCode>
                <c:ptCount val="12"/>
                <c:pt idx="0">
                  <c:v>268015.86999999988</c:v>
                </c:pt>
                <c:pt idx="1">
                  <c:v>258389.05000000005</c:v>
                </c:pt>
                <c:pt idx="2">
                  <c:v>166958.55999999997</c:v>
                </c:pt>
                <c:pt idx="3">
                  <c:v>172935.80000000005</c:v>
                </c:pt>
                <c:pt idx="4">
                  <c:v>220815.13999999996</c:v>
                </c:pt>
                <c:pt idx="5">
                  <c:v>245190.75000000006</c:v>
                </c:pt>
                <c:pt idx="6">
                  <c:v>271103.61000000004</c:v>
                </c:pt>
                <c:pt idx="7">
                  <c:v>386106.59</c:v>
                </c:pt>
                <c:pt idx="8">
                  <c:v>263854.26</c:v>
                </c:pt>
                <c:pt idx="9">
                  <c:v>452796.13000000012</c:v>
                </c:pt>
                <c:pt idx="10">
                  <c:v>894479.18000000017</c:v>
                </c:pt>
                <c:pt idx="11">
                  <c:v>313055.92999999988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777-4608-B0A8-3AAD08D3EA84}"/>
            </c:ext>
          </c:extLst>
        </c:ser>
        <c:ser>
          <c:idx val="2"/>
          <c:order val="2"/>
          <c:tx>
            <c:strRef>
              <c:f>'Pivot-Monthly'!$D$3:$D$4</c:f>
              <c:strCache>
                <c:ptCount val="1"/>
                <c:pt idx="0">
                  <c:v>2005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'Pivot-Monthly'!$A$5:$A$17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'Pivot-Monthly'!$D$5:$D$17</c:f>
              <c:numCache>
                <c:formatCode>"$"#,##0.00</c:formatCode>
                <c:ptCount val="12"/>
                <c:pt idx="0">
                  <c:v>283680.46000000008</c:v>
                </c:pt>
                <c:pt idx="1">
                  <c:v>289902.30000000005</c:v>
                </c:pt>
                <c:pt idx="2">
                  <c:v>315131.93999999994</c:v>
                </c:pt>
                <c:pt idx="3">
                  <c:v>217977.63000000006</c:v>
                </c:pt>
                <c:pt idx="4">
                  <c:v>372343.64999999997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777-4608-B0A8-3AAD08D3EA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53730111"/>
        <c:axId val="1853731551"/>
      </c:lineChart>
      <c:catAx>
        <c:axId val="1853730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3731551"/>
        <c:crosses val="autoZero"/>
        <c:auto val="1"/>
        <c:lblAlgn val="ctr"/>
        <c:lblOffset val="100"/>
        <c:noMultiLvlLbl val="0"/>
      </c:catAx>
      <c:valAx>
        <c:axId val="1853731551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95000"/>
                        <a:lumOff val="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>
                    <a:solidFill>
                      <a:schemeClr val="tx1">
                        <a:lumMod val="95000"/>
                        <a:lumOff val="5000"/>
                      </a:schemeClr>
                    </a:solidFill>
                  </a:rPr>
                  <a:t>Total Sales ($)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37301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[Sales_Analysis_Project.xlsx]Pivot-Country!PivotTable5</c:name>
    <c:fmtId val="7"/>
  </c:pivotSource>
  <c:protection>
    <c:chartObject val="0"/>
    <c:data val="0"/>
    <c:formatting val="0"/>
    <c:selection val="0"/>
    <c:userInterface val="0"/>
  </c:protection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2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2400" b="1"/>
              <a:t>Top Countries by Revenue</a:t>
            </a:r>
          </a:p>
        </c:rich>
      </c:tx>
      <c:layout>
        <c:manualLayout>
          <c:xMode val="edge"/>
          <c:yMode val="edge"/>
          <c:x val="0.34750869044595228"/>
          <c:y val="6.5958789133106349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2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tx2">
              <a:lumMod val="50000"/>
            </a:schemeClr>
          </a:solidFill>
          <a:ln w="9525" cmpd="sng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solidFill>
              <a:schemeClr val="bg1">
                <a:lumMod val="50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/>
          </a:solidFill>
          <a:ln>
            <a:solidFill>
              <a:schemeClr val="bg1">
                <a:lumMod val="50000"/>
              </a:schemeClr>
            </a:solidFill>
          </a:ln>
          <a:effectLst/>
        </c:spPr>
      </c:pivotFmt>
      <c:pivotFmt>
        <c:idx val="4"/>
        <c:spPr>
          <a:solidFill>
            <a:schemeClr val="accent3"/>
          </a:solidFill>
          <a:ln>
            <a:solidFill>
              <a:schemeClr val="bg1">
                <a:lumMod val="50000"/>
              </a:schemeClr>
            </a:solidFill>
          </a:ln>
          <a:effectLst/>
        </c:spPr>
      </c:pivotFmt>
      <c:pivotFmt>
        <c:idx val="5"/>
        <c:spPr>
          <a:solidFill>
            <a:schemeClr val="tx2">
              <a:lumMod val="50000"/>
            </a:schemeClr>
          </a:solidFill>
          <a:ln w="9525" cmpd="sng">
            <a:solidFill>
              <a:schemeClr val="accent1"/>
            </a:solidFill>
          </a:ln>
          <a:effectLst/>
        </c:spPr>
      </c:pivotFmt>
      <c:pivotFmt>
        <c:idx val="6"/>
        <c:spPr>
          <a:solidFill>
            <a:schemeClr val="tx2">
              <a:lumMod val="50000"/>
            </a:schemeClr>
          </a:solidFill>
          <a:ln w="9525" cmpd="sng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noFill/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>
            <a:solidFill>
              <a:schemeClr val="bg1">
                <a:lumMod val="50000"/>
              </a:schemeClr>
            </a:solidFill>
          </a:ln>
          <a:effectLst/>
        </c:spPr>
        <c:marker>
          <c:symbol val="none"/>
        </c:marker>
      </c:pivotFmt>
    </c:pivotFmts>
    <c:plotArea>
      <c:layout>
        <c:manualLayout>
          <c:layoutTarget val="inner"/>
          <c:xMode val="edge"/>
          <c:yMode val="edge"/>
          <c:x val="0.20077430591012374"/>
          <c:y val="9.3472828048453832E-2"/>
          <c:w val="0.75944019909210347"/>
          <c:h val="0.7015819467937826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'Pivot-Country'!$C$3</c:f>
              <c:strCache>
                <c:ptCount val="1"/>
                <c:pt idx="0">
                  <c:v>     TOTAL SALES</c:v>
                </c:pt>
              </c:strCache>
            </c:strRef>
          </c:tx>
          <c:spPr>
            <a:solidFill>
              <a:schemeClr val="tx2">
                <a:lumMod val="50000"/>
              </a:schemeClr>
            </a:solidFill>
            <a:ln w="9525" cmpd="sng">
              <a:solidFill>
                <a:schemeClr val="accent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'Pivot-Country'!$B$4:$B$23</c:f>
              <c:strCache>
                <c:ptCount val="19"/>
                <c:pt idx="0">
                  <c:v>USA</c:v>
                </c:pt>
                <c:pt idx="1">
                  <c:v>Spain</c:v>
                </c:pt>
                <c:pt idx="2">
                  <c:v>France</c:v>
                </c:pt>
                <c:pt idx="3">
                  <c:v>Australia</c:v>
                </c:pt>
                <c:pt idx="4">
                  <c:v>UK</c:v>
                </c:pt>
                <c:pt idx="5">
                  <c:v>Italy</c:v>
                </c:pt>
                <c:pt idx="6">
                  <c:v>Finland</c:v>
                </c:pt>
                <c:pt idx="7">
                  <c:v>Norway</c:v>
                </c:pt>
                <c:pt idx="8">
                  <c:v>Singapore</c:v>
                </c:pt>
                <c:pt idx="9">
                  <c:v>Canada</c:v>
                </c:pt>
                <c:pt idx="10">
                  <c:v>Denmark</c:v>
                </c:pt>
                <c:pt idx="11">
                  <c:v>Germany</c:v>
                </c:pt>
                <c:pt idx="12">
                  <c:v>Sweden</c:v>
                </c:pt>
                <c:pt idx="13">
                  <c:v>Austria</c:v>
                </c:pt>
                <c:pt idx="14">
                  <c:v>Japan</c:v>
                </c:pt>
                <c:pt idx="15">
                  <c:v>Belgium</c:v>
                </c:pt>
                <c:pt idx="16">
                  <c:v>Switzerland</c:v>
                </c:pt>
                <c:pt idx="17">
                  <c:v>Philippines</c:v>
                </c:pt>
                <c:pt idx="18">
                  <c:v>Ireland</c:v>
                </c:pt>
              </c:strCache>
            </c:strRef>
          </c:cat>
          <c:val>
            <c:numRef>
              <c:f>'Pivot-Country'!$C$4:$C$23</c:f>
              <c:numCache>
                <c:formatCode>"$"#,##0.00</c:formatCode>
                <c:ptCount val="19"/>
                <c:pt idx="0">
                  <c:v>2986425.2099999995</c:v>
                </c:pt>
                <c:pt idx="1">
                  <c:v>1021705.9700000002</c:v>
                </c:pt>
                <c:pt idx="2">
                  <c:v>919257.84999999974</c:v>
                </c:pt>
                <c:pt idx="3">
                  <c:v>521598.45999999985</c:v>
                </c:pt>
                <c:pt idx="4">
                  <c:v>413203.33999999997</c:v>
                </c:pt>
                <c:pt idx="5">
                  <c:v>309402.86999999988</c:v>
                </c:pt>
                <c:pt idx="6">
                  <c:v>268714.70000000007</c:v>
                </c:pt>
                <c:pt idx="7">
                  <c:v>246115.8000000001</c:v>
                </c:pt>
                <c:pt idx="8">
                  <c:v>227985.50000000009</c:v>
                </c:pt>
                <c:pt idx="9">
                  <c:v>193504.34000000003</c:v>
                </c:pt>
                <c:pt idx="10">
                  <c:v>192747.63</c:v>
                </c:pt>
                <c:pt idx="11">
                  <c:v>178689.08</c:v>
                </c:pt>
                <c:pt idx="12">
                  <c:v>174264.10000000006</c:v>
                </c:pt>
                <c:pt idx="13">
                  <c:v>172793.05000000002</c:v>
                </c:pt>
                <c:pt idx="14">
                  <c:v>153076.68999999994</c:v>
                </c:pt>
                <c:pt idx="15">
                  <c:v>94528.88</c:v>
                </c:pt>
                <c:pt idx="16">
                  <c:v>93344.909999999989</c:v>
                </c:pt>
                <c:pt idx="17">
                  <c:v>80291.169999999984</c:v>
                </c:pt>
                <c:pt idx="18">
                  <c:v>43237.24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05-4CFC-BA0D-750C2F77B85D}"/>
            </c:ext>
          </c:extLst>
        </c:ser>
        <c:ser>
          <c:idx val="1"/>
          <c:order val="1"/>
          <c:tx>
            <c:strRef>
              <c:f>'Pivot-Country'!$D$3</c:f>
              <c:strCache>
                <c:ptCount val="1"/>
                <c:pt idx="0">
                  <c:v>   QUANTITY ORDERED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'Pivot-Country'!$B$4:$B$23</c:f>
              <c:strCache>
                <c:ptCount val="19"/>
                <c:pt idx="0">
                  <c:v>USA</c:v>
                </c:pt>
                <c:pt idx="1">
                  <c:v>Spain</c:v>
                </c:pt>
                <c:pt idx="2">
                  <c:v>France</c:v>
                </c:pt>
                <c:pt idx="3">
                  <c:v>Australia</c:v>
                </c:pt>
                <c:pt idx="4">
                  <c:v>UK</c:v>
                </c:pt>
                <c:pt idx="5">
                  <c:v>Italy</c:v>
                </c:pt>
                <c:pt idx="6">
                  <c:v>Finland</c:v>
                </c:pt>
                <c:pt idx="7">
                  <c:v>Norway</c:v>
                </c:pt>
                <c:pt idx="8">
                  <c:v>Singapore</c:v>
                </c:pt>
                <c:pt idx="9">
                  <c:v>Canada</c:v>
                </c:pt>
                <c:pt idx="10">
                  <c:v>Denmark</c:v>
                </c:pt>
                <c:pt idx="11">
                  <c:v>Germany</c:v>
                </c:pt>
                <c:pt idx="12">
                  <c:v>Sweden</c:v>
                </c:pt>
                <c:pt idx="13">
                  <c:v>Austria</c:v>
                </c:pt>
                <c:pt idx="14">
                  <c:v>Japan</c:v>
                </c:pt>
                <c:pt idx="15">
                  <c:v>Belgium</c:v>
                </c:pt>
                <c:pt idx="16">
                  <c:v>Switzerland</c:v>
                </c:pt>
                <c:pt idx="17">
                  <c:v>Philippines</c:v>
                </c:pt>
                <c:pt idx="18">
                  <c:v>Ireland</c:v>
                </c:pt>
              </c:strCache>
            </c:strRef>
          </c:cat>
          <c:val>
            <c:numRef>
              <c:f>'Pivot-Country'!$D$4:$D$23</c:f>
              <c:numCache>
                <c:formatCode>_(* #,##0_);_(* \(#,##0\);_(* "-"??_);_(@_)</c:formatCode>
                <c:ptCount val="19"/>
                <c:pt idx="0">
                  <c:v>35659</c:v>
                </c:pt>
                <c:pt idx="1">
                  <c:v>12429</c:v>
                </c:pt>
                <c:pt idx="2">
                  <c:v>11090</c:v>
                </c:pt>
                <c:pt idx="3">
                  <c:v>6246</c:v>
                </c:pt>
                <c:pt idx="4">
                  <c:v>5013</c:v>
                </c:pt>
                <c:pt idx="5">
                  <c:v>3773</c:v>
                </c:pt>
                <c:pt idx="6">
                  <c:v>3192</c:v>
                </c:pt>
                <c:pt idx="7">
                  <c:v>2842</c:v>
                </c:pt>
                <c:pt idx="8">
                  <c:v>2760</c:v>
                </c:pt>
                <c:pt idx="9">
                  <c:v>2293</c:v>
                </c:pt>
                <c:pt idx="10">
                  <c:v>2197</c:v>
                </c:pt>
                <c:pt idx="11">
                  <c:v>2148</c:v>
                </c:pt>
                <c:pt idx="12">
                  <c:v>2006</c:v>
                </c:pt>
                <c:pt idx="13">
                  <c:v>1974</c:v>
                </c:pt>
                <c:pt idx="14">
                  <c:v>1842</c:v>
                </c:pt>
                <c:pt idx="15">
                  <c:v>1074</c:v>
                </c:pt>
                <c:pt idx="16">
                  <c:v>1078</c:v>
                </c:pt>
                <c:pt idx="17">
                  <c:v>961</c:v>
                </c:pt>
                <c:pt idx="18">
                  <c:v>490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205-4CFC-BA0D-750C2F77B85D}"/>
            </c:ext>
          </c:extLst>
        </c:ser>
        <c:ser>
          <c:idx val="2"/>
          <c:order val="2"/>
          <c:tx>
            <c:strRef>
              <c:f>'Pivot-Country'!$E$3</c:f>
              <c:strCache>
                <c:ptCount val="1"/>
                <c:pt idx="0">
                  <c:v>        % TOTAL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chemeClr val="bg1">
                  <a:lumMod val="50000"/>
                </a:schemeClr>
              </a:solidFill>
            </a:ln>
            <a:effectLst/>
          </c:spPr>
          <c:invertIfNegative val="0"/>
          <c:dLbls>
            <c:delete val="1"/>
          </c:dLbls>
          <c:cat>
            <c:strRef>
              <c:f>'Pivot-Country'!$B$4:$B$23</c:f>
              <c:strCache>
                <c:ptCount val="19"/>
                <c:pt idx="0">
                  <c:v>USA</c:v>
                </c:pt>
                <c:pt idx="1">
                  <c:v>Spain</c:v>
                </c:pt>
                <c:pt idx="2">
                  <c:v>France</c:v>
                </c:pt>
                <c:pt idx="3">
                  <c:v>Australia</c:v>
                </c:pt>
                <c:pt idx="4">
                  <c:v>UK</c:v>
                </c:pt>
                <c:pt idx="5">
                  <c:v>Italy</c:v>
                </c:pt>
                <c:pt idx="6">
                  <c:v>Finland</c:v>
                </c:pt>
                <c:pt idx="7">
                  <c:v>Norway</c:v>
                </c:pt>
                <c:pt idx="8">
                  <c:v>Singapore</c:v>
                </c:pt>
                <c:pt idx="9">
                  <c:v>Canada</c:v>
                </c:pt>
                <c:pt idx="10">
                  <c:v>Denmark</c:v>
                </c:pt>
                <c:pt idx="11">
                  <c:v>Germany</c:v>
                </c:pt>
                <c:pt idx="12">
                  <c:v>Sweden</c:v>
                </c:pt>
                <c:pt idx="13">
                  <c:v>Austria</c:v>
                </c:pt>
                <c:pt idx="14">
                  <c:v>Japan</c:v>
                </c:pt>
                <c:pt idx="15">
                  <c:v>Belgium</c:v>
                </c:pt>
                <c:pt idx="16">
                  <c:v>Switzerland</c:v>
                </c:pt>
                <c:pt idx="17">
                  <c:v>Philippines</c:v>
                </c:pt>
                <c:pt idx="18">
                  <c:v>Ireland</c:v>
                </c:pt>
              </c:strCache>
            </c:strRef>
          </c:cat>
          <c:val>
            <c:numRef>
              <c:f>'Pivot-Country'!$E$4:$E$23</c:f>
              <c:numCache>
                <c:formatCode>0.00%</c:formatCode>
                <c:ptCount val="19"/>
                <c:pt idx="0">
                  <c:v>0.36020576394820125</c:v>
                </c:pt>
                <c:pt idx="1">
                  <c:v>0.12323241118577623</c:v>
                </c:pt>
                <c:pt idx="2">
                  <c:v>0.11087569680830243</c:v>
                </c:pt>
                <c:pt idx="3">
                  <c:v>6.2912264177714089E-2</c:v>
                </c:pt>
                <c:pt idx="4">
                  <c:v>4.9838256204195498E-2</c:v>
                </c:pt>
                <c:pt idx="5">
                  <c:v>3.7318428997629563E-2</c:v>
                </c:pt>
                <c:pt idx="6">
                  <c:v>3.2410851433179455E-2</c:v>
                </c:pt>
                <c:pt idx="7">
                  <c:v>2.9685099583901101E-2</c:v>
                </c:pt>
                <c:pt idx="8">
                  <c:v>2.7498325061558356E-2</c:v>
                </c:pt>
                <c:pt idx="9">
                  <c:v>2.3339402032770979E-2</c:v>
                </c:pt>
                <c:pt idx="10">
                  <c:v>2.3248131940781215E-2</c:v>
                </c:pt>
                <c:pt idx="11">
                  <c:v>2.1552468936799945E-2</c:v>
                </c:pt>
                <c:pt idx="12">
                  <c:v>2.1018752808226449E-2</c:v>
                </c:pt>
                <c:pt idx="13">
                  <c:v>2.0841323054659636E-2</c:v>
                </c:pt>
                <c:pt idx="14">
                  <c:v>1.8463246921262083E-2</c:v>
                </c:pt>
                <c:pt idx="15">
                  <c:v>1.1401540317015957E-2</c:v>
                </c:pt>
                <c:pt idx="16">
                  <c:v>1.1258736533779156E-2</c:v>
                </c:pt>
                <c:pt idx="17">
                  <c:v>9.6842680443837044E-3</c:v>
                </c:pt>
                <c:pt idx="18">
                  <c:v>5.2150320098629643E-3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205-4CFC-BA0D-750C2F77B85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95"/>
        <c:axId val="1967515151"/>
        <c:axId val="1967517071"/>
      </c:barChart>
      <c:catAx>
        <c:axId val="1967515151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7517071"/>
        <c:crosses val="autoZero"/>
        <c:auto val="1"/>
        <c:lblAlgn val="ctr"/>
        <c:lblOffset val="100"/>
        <c:noMultiLvlLbl val="0"/>
      </c:catAx>
      <c:valAx>
        <c:axId val="1967517071"/>
        <c:scaling>
          <c:orientation val="minMax"/>
          <c:max val="3000000"/>
        </c:scaling>
        <c:delete val="0"/>
        <c:axPos val="b"/>
        <c:numFmt formatCode="&quot;$&quot;#,##0.00" sourceLinked="1"/>
        <c:majorTickMark val="out"/>
        <c:minorTickMark val="none"/>
        <c:tickLblPos val="low"/>
        <c:spPr>
          <a:noFill/>
          <a:ln>
            <a:solidFill>
              <a:schemeClr val="bg1"/>
            </a:solidFill>
          </a:ln>
          <a:effectLst/>
        </c:spPr>
        <c:txPr>
          <a:bodyPr rot="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7515151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>
          <a:glow rad="63500">
            <a:schemeClr val="accent1">
              <a:alpha val="40000"/>
            </a:schemeClr>
          </a:glow>
          <a:outerShdw blurRad="139700" dist="50800" dir="6540000" algn="ctr" rotWithShape="0">
            <a:schemeClr val="bg1"/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>
      <a:outerShdw blurRad="50800" dist="50800" dir="5400000" sx="3000" sy="3000" algn="ctr" rotWithShape="0">
        <a:srgbClr val="000000">
          <a:alpha val="43137"/>
        </a:srgbClr>
      </a:outerShdw>
    </a:effectLst>
  </c:spPr>
  <c:txPr>
    <a:bodyPr/>
    <a:lstStyle/>
    <a:p>
      <a:pPr>
        <a:defRPr sz="1600">
          <a:solidFill>
            <a:schemeClr val="tx1"/>
          </a:solidFill>
        </a:defRPr>
      </a:pPr>
      <a:endParaRPr lang="en-US"/>
    </a:p>
  </c:txPr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[Sales_Analysis_Project.xlsx]Pivot-DealSize!PivotTable7</c:name>
    <c:fmtId val="1"/>
  </c:pivotSource>
  <c:protection>
    <c:chartObject val="0"/>
    <c:data val="0"/>
    <c:formatting val="0"/>
    <c:selection val="0"/>
    <c:userInterface val="0"/>
  </c:protection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chemeClr val="tx1">
                    <a:lumMod val="95000"/>
                    <a:lumOff val="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1">
                <a:solidFill>
                  <a:schemeClr val="tx1">
                    <a:lumMod val="95000"/>
                    <a:lumOff val="5000"/>
                  </a:schemeClr>
                </a:solidFill>
              </a:rPr>
              <a:t>Revenue by Deal Size</a:t>
            </a:r>
          </a:p>
        </c:rich>
      </c:tx>
      <c:layout>
        <c:manualLayout>
          <c:xMode val="edge"/>
          <c:yMode val="edge"/>
          <c:x val="0.32161496074506069"/>
          <c:y val="1.125175808720112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chemeClr val="tx1">
                  <a:lumMod val="95000"/>
                  <a:lumOff val="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4.4270824255490435E-2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1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1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1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25419999490026635"/>
          <c:y val="0.15202564869264756"/>
          <c:w val="0.46740447384905287"/>
          <c:h val="0.77316159104587123"/>
        </c:manualLayout>
      </c:layout>
      <c:doughnutChart>
        <c:varyColors val="1"/>
        <c:ser>
          <c:idx val="0"/>
          <c:order val="0"/>
          <c:tx>
            <c:strRef>
              <c:f>'Pivot-DealSize'!$B$3:$B$4</c:f>
              <c:strCache>
                <c:ptCount val="1"/>
                <c:pt idx="0">
                  <c:v>2003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758-42FC-B589-400F893690F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758-42FC-B589-400F893690F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758-42FC-B589-400F893690F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'Pivot-DealSize'!$A$5:$A$8</c:f>
              <c:strCache>
                <c:ptCount val="3"/>
                <c:pt idx="0">
                  <c:v>Large</c:v>
                </c:pt>
                <c:pt idx="1">
                  <c:v>Medium</c:v>
                </c:pt>
                <c:pt idx="2">
                  <c:v>Small</c:v>
                </c:pt>
              </c:strCache>
            </c:strRef>
          </c:cat>
          <c:val>
            <c:numRef>
              <c:f>'Pivot-DealSize'!$B$5:$B$8</c:f>
              <c:numCache>
                <c:formatCode>"$"#,##0.00</c:formatCode>
                <c:ptCount val="3"/>
                <c:pt idx="0">
                  <c:v>236700</c:v>
                </c:pt>
                <c:pt idx="1">
                  <c:v>1772988.5299999993</c:v>
                </c:pt>
                <c:pt idx="2">
                  <c:v>888461.41000000038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758-42FC-B589-400F893690F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D3DD38A4-290F-430B-9D0A-ED8B7734D112}">
  <sheetPr/>
  <sheetViews>
    <sheetView zoomScale="64" workbookViewId="0" zoomToFit="1"/>
  </sheetViews>
  <sheetProtection objects="1"/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FEC571DF-0F5B-465C-973D-AD714C22C2BD}">
  <sheetPr/>
  <sheetViews>
    <sheetView zoomScale="64" workbookViewId="0" zoomToFit="1"/>
  </sheetViews>
  <sheetProtection objects="1"/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D90ADED2-85C2-43C8-8931-B519C4AE02B6}">
  <sheetPr/>
  <sheetViews>
    <sheetView zoomScale="64" workbookViewId="0" zoomToFit="1"/>
  </sheetViews>
  <sheetProtection objects="1"/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9C6F483C-43E4-4A5D-8947-AACA545AE336}">
  <sheetPr/>
  <sheetViews>
    <sheetView tabSelected="1" zoomScale="64" workbookViewId="0" zoomToFit="1"/>
  </sheetViews>
  <sheetProtection objects="1"/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76680" cy="629543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B71AF37-59A3-2991-33A9-D4330602C842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8676680" cy="629543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EF191CE-3801-0FE7-124F-B1CBFDA9AD7E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8676680" cy="629543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E5D8E69-866C-2182-D189-BB81125784F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8659091" cy="6263409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E174D00-EAAD-BC40-4039-F31A6B527D28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APENT GLOBAL" refreshedDate="46162.550994097219" createdVersion="8" refreshedVersion="8" minRefreshableVersion="3" recordCount="2823" xr:uid="{6880905F-02AA-4C28-B43F-78D8AE8B7366}">
  <cacheSource type="worksheet">
    <worksheetSource name="SalesData"/>
  </cacheSource>
  <cacheFields count="17">
    <cacheField name="ORDERNUMBER" numFmtId="0">
      <sharedItems containsSemiMixedTypes="0" containsString="0" containsNumber="1" containsInteger="1" minValue="10100" maxValue="10425"/>
    </cacheField>
    <cacheField name="QUANTITYORDERED" numFmtId="0">
      <sharedItems containsSemiMixedTypes="0" containsString="0" containsNumber="1" containsInteger="1" minValue="6" maxValue="97"/>
    </cacheField>
    <cacheField name="PRICEEACH" numFmtId="0">
      <sharedItems containsSemiMixedTypes="0" containsString="0" containsNumber="1" minValue="26.88" maxValue="100"/>
    </cacheField>
    <cacheField name="TOTALSALES" numFmtId="0">
      <sharedItems containsSemiMixedTypes="0" containsString="0" containsNumber="1" minValue="482.13" maxValue="9048.16"/>
    </cacheField>
    <cacheField name="REVENUE TIER" numFmtId="0">
      <sharedItems/>
    </cacheField>
    <cacheField name="EST.PROFIT" numFmtId="0">
      <sharedItems containsSemiMixedTypes="0" containsString="0" containsNumber="1" minValue="144.63899999999998" maxValue="2714.4479999999999"/>
    </cacheField>
    <cacheField name="ORDERDATE" numFmtId="14">
      <sharedItems containsSemiMixedTypes="0" containsNonDate="0" containsDate="1" containsString="0" minDate="2003-01-06T00:00:00" maxDate="2005-06-01T00:00:00"/>
    </cacheField>
    <cacheField name="STATUS" numFmtId="0">
      <sharedItems count="6">
        <s v="Shipped"/>
        <s v="Disputed"/>
        <s v="In Process"/>
        <s v="Cancelled"/>
        <s v="On Hold"/>
        <s v="Resolved"/>
      </sharedItems>
    </cacheField>
    <cacheField name="FULFILLED" numFmtId="0">
      <sharedItems count="2">
        <s v="Yes"/>
        <s v="No"/>
      </sharedItems>
    </cacheField>
    <cacheField name="MONTH_ID" numFmtId="0">
      <sharedItems count="12">
        <s v="Feb"/>
        <s v="May"/>
        <s v="Jul"/>
        <s v="Aug"/>
        <s v="Oct"/>
        <s v="Nov"/>
        <s v="Dec"/>
        <s v="Jan"/>
        <s v="Apr"/>
        <s v="Jun"/>
        <s v="Sep"/>
        <s v="Mar"/>
      </sharedItems>
    </cacheField>
    <cacheField name="YEAR_ID" numFmtId="0">
      <sharedItems containsSemiMixedTypes="0" containsString="0" containsNumber="1" containsInteger="1" minValue="2003" maxValue="2005" count="3">
        <n v="2003"/>
        <n v="2004"/>
        <n v="2005"/>
      </sharedItems>
    </cacheField>
    <cacheField name="MONTH-YEAR" numFmtId="0">
      <sharedItems/>
    </cacheField>
    <cacheField name="PRODUCTLINE" numFmtId="0">
      <sharedItems count="7">
        <s v="Motorcycles"/>
        <s v="Classic Cars"/>
        <s v="Trucks and Buses"/>
        <s v="Vintage Cars"/>
        <s v="Planes"/>
        <s v="Ships"/>
        <s v="Trains"/>
      </sharedItems>
    </cacheField>
    <cacheField name="CUSTOMERNAME" numFmtId="0">
      <sharedItems count="92">
        <s v="Land of Toys Inc."/>
        <s v="Reims Collectables"/>
        <s v="Lyon Souveniers"/>
        <s v="Toys4GrownUps.com"/>
        <s v="Corporate Gift Ideas Co."/>
        <s v="Technics Stores Inc."/>
        <s v="Daedalus Designs Imports"/>
        <s v="Herkku Gifts"/>
        <s v="Mini Wheels Co."/>
        <s v="Auto Canal Petit"/>
        <s v="Australian Collectors, Co."/>
        <s v="Vitachrome Inc."/>
        <s v="Tekni Collectables Inc."/>
        <s v="Gift Depot Inc."/>
        <s v="La Rochelle Gifts"/>
        <s v="Marta's Replicas Co."/>
        <s v="Toys of Finland, Co."/>
        <s v="Baane Mini Imports"/>
        <s v="Diecast Classics Inc."/>
        <s v="Salzburg Collectables"/>
        <s v="Souveniers And Things Co."/>
        <s v="FunGiftIdeas.com"/>
        <s v="UK Collectables, Ltd."/>
        <s v="Euro Shopping Channel"/>
        <s v="Volvo Model Replicas, Co"/>
        <s v="Corrida Auto Replicas, Ltd"/>
        <s v="Dragon Souveniers, Ltd."/>
        <s v="Classic Legends Inc."/>
        <s v="Australian Gift Network, Co"/>
        <s v="Classic Gift Ideas, Inc"/>
        <s v="Saveley &amp; Henriot, Co."/>
        <s v="Canadian Gift Exchange Network"/>
        <s v="West Coast Collectables Co."/>
        <s v="Cambridge Collectables Co."/>
        <s v="Super Scale Inc."/>
        <s v="Tokyo Collectables, Ltd"/>
        <s v="Amica Models &amp; Co."/>
        <s v="Scandinavian Gift Ideas"/>
        <s v="Auto Assoc. &amp; Cie."/>
        <s v="Mini Gifts Distributors Ltd."/>
        <s v="Online Diecast Creations Co."/>
        <s v="Collectables For Less Inc."/>
        <s v="Anna's Decorations, Ltd"/>
        <s v="Quebec Home Shopping Network"/>
        <s v="Osaka Souveniers Co."/>
        <s v="Motor Mint Distributors Inc."/>
        <s v="Atelier graphique"/>
        <s v="Mini Classics"/>
        <s v="Danish Wholesale Imports"/>
        <s v="Stylish Desk Decors, Co."/>
        <s v="Mini Creations Ltd."/>
        <s v="Alpha Cognac"/>
        <s v="Double Decker Gift Stores, Ltd"/>
        <s v="Enaco Distributors"/>
        <s v="Men 'R' US Retailers, Ltd."/>
        <s v="Collectable Mini Designs Co."/>
        <s v="Petit Auto"/>
        <s v="Royal Canadian Collectables, Ltd."/>
        <s v="Gifts4AllAges.com"/>
        <s v="giftsbymail.co.uk"/>
        <s v="Oulu Toy Supplies, Inc."/>
        <s v="The Sharp Gifts Warehouse"/>
        <s v="La Corne D'abondance, Co."/>
        <s v="Mini Auto Werke"/>
        <s v="Diecast Collectables"/>
        <s v="Handji Gifts&amp; Co"/>
        <s v="Cruz &amp; Sons Co."/>
        <s v="Marseille Mini Autos"/>
        <s v="Toms Spezialitten, Ltd"/>
        <s v="Vida Sport, Ltd"/>
        <s v="L'ordine Souveniers"/>
        <s v="Online Mini Collectables"/>
        <s v="Blauer See Auto, Co."/>
        <s v="Suominen Souveniers"/>
        <s v="Muscle Machine Inc"/>
        <s v="Clover Collections, Co."/>
        <s v="CAF Imports"/>
        <s v="AV Stores, Co."/>
        <s v="Heintze Collectables"/>
        <s v="Microscale Inc."/>
        <s v="Boards &amp; Toys Co."/>
        <s v="Iberia Gift Imports, Corp."/>
        <s v="Signal Collectibles Ltd."/>
        <s v="Mini Caravy"/>
        <s v="Signal Gift Stores"/>
        <s v="Norway Gifts By Mail, Co."/>
        <s v="Rovelli Gifts"/>
        <s v="Australian Collectables, Ltd"/>
        <s v="Gift Ideas Corp."/>
        <s v="Bavarian Collectables Imports, Co."/>
        <s v="Royale Belge"/>
        <s v="Auto-Moto Classics Inc."/>
      </sharedItems>
    </cacheField>
    <cacheField name="COUNTRY" numFmtId="0">
      <sharedItems count="19">
        <s v="USA"/>
        <s v="France"/>
        <s v="Norway"/>
        <s v="Australia"/>
        <s v="Finland"/>
        <s v="Austria"/>
        <s v="UK"/>
        <s v="Spain"/>
        <s v="Sweden"/>
        <s v="Singapore"/>
        <s v="Canada"/>
        <s v="Japan"/>
        <s v="Italy"/>
        <s v="Denmark"/>
        <s v="Belgium"/>
        <s v="Philippines"/>
        <s v="Germany"/>
        <s v="Switzerland"/>
        <s v="Ireland"/>
      </sharedItems>
    </cacheField>
    <cacheField name="TERRITORY" numFmtId="0">
      <sharedItems count="4">
        <s v="NA"/>
        <s v="EMEA"/>
        <s v="APAC"/>
        <s v="JAPAN"/>
      </sharedItems>
    </cacheField>
    <cacheField name="DEALSIZE" numFmtId="0">
      <sharedItems count="3">
        <s v="Small"/>
        <s v="Medium"/>
        <s v="Larg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23">
  <r>
    <n v="10107"/>
    <n v="30"/>
    <n v="95.7"/>
    <n v="2871"/>
    <s v="Medium"/>
    <n v="861.3"/>
    <d v="2003-02-24T00:00:00"/>
    <x v="0"/>
    <x v="0"/>
    <x v="0"/>
    <x v="0"/>
    <s v="Feb-2003"/>
    <x v="0"/>
    <x v="0"/>
    <x v="0"/>
    <x v="0"/>
    <x v="0"/>
  </r>
  <r>
    <n v="10121"/>
    <n v="34"/>
    <n v="81.349999999999994"/>
    <n v="2765.8999999999996"/>
    <s v="Medium"/>
    <n v="829.76999999999987"/>
    <d v="2003-05-07T00:00:00"/>
    <x v="0"/>
    <x v="0"/>
    <x v="1"/>
    <x v="0"/>
    <s v="May-2003"/>
    <x v="0"/>
    <x v="1"/>
    <x v="1"/>
    <x v="1"/>
    <x v="0"/>
  </r>
  <r>
    <n v="10134"/>
    <n v="41"/>
    <n v="94.74"/>
    <n v="3884.3399999999997"/>
    <s v="Medium"/>
    <n v="1165.3019999999999"/>
    <d v="2003-07-01T00:00:00"/>
    <x v="0"/>
    <x v="0"/>
    <x v="2"/>
    <x v="0"/>
    <s v="Jul-2003"/>
    <x v="0"/>
    <x v="2"/>
    <x v="1"/>
    <x v="1"/>
    <x v="1"/>
  </r>
  <r>
    <n v="10145"/>
    <n v="45"/>
    <n v="83.26"/>
    <n v="3746.7000000000003"/>
    <s v="Medium"/>
    <n v="1124.01"/>
    <d v="2003-08-25T00:00:00"/>
    <x v="0"/>
    <x v="0"/>
    <x v="3"/>
    <x v="0"/>
    <s v="Aug-2003"/>
    <x v="0"/>
    <x v="3"/>
    <x v="0"/>
    <x v="0"/>
    <x v="1"/>
  </r>
  <r>
    <n v="10159"/>
    <n v="49"/>
    <n v="100"/>
    <n v="4900"/>
    <s v="Medium"/>
    <n v="1470"/>
    <d v="2003-10-10T00:00:00"/>
    <x v="0"/>
    <x v="0"/>
    <x v="4"/>
    <x v="0"/>
    <s v="Oct-2003"/>
    <x v="0"/>
    <x v="4"/>
    <x v="0"/>
    <x v="0"/>
    <x v="1"/>
  </r>
  <r>
    <n v="10168"/>
    <n v="36"/>
    <n v="96.66"/>
    <n v="3479.7599999999998"/>
    <s v="Medium"/>
    <n v="1043.9279999999999"/>
    <d v="2003-10-28T00:00:00"/>
    <x v="0"/>
    <x v="0"/>
    <x v="4"/>
    <x v="0"/>
    <s v="Oct-2003"/>
    <x v="0"/>
    <x v="5"/>
    <x v="0"/>
    <x v="0"/>
    <x v="1"/>
  </r>
  <r>
    <n v="10180"/>
    <n v="29"/>
    <n v="86.13"/>
    <n v="2497.77"/>
    <s v="Medium"/>
    <n v="749.33100000000002"/>
    <d v="2003-11-11T00:00:00"/>
    <x v="0"/>
    <x v="0"/>
    <x v="5"/>
    <x v="0"/>
    <s v="Nov-2003"/>
    <x v="0"/>
    <x v="6"/>
    <x v="1"/>
    <x v="1"/>
    <x v="0"/>
  </r>
  <r>
    <n v="10188"/>
    <n v="48"/>
    <n v="100"/>
    <n v="4800"/>
    <s v="Medium"/>
    <n v="1440"/>
    <d v="2003-11-18T00:00:00"/>
    <x v="0"/>
    <x v="0"/>
    <x v="5"/>
    <x v="0"/>
    <s v="Nov-2003"/>
    <x v="0"/>
    <x v="7"/>
    <x v="2"/>
    <x v="1"/>
    <x v="1"/>
  </r>
  <r>
    <n v="10201"/>
    <n v="22"/>
    <n v="98.57"/>
    <n v="2168.54"/>
    <s v="Medium"/>
    <n v="650.56200000000001"/>
    <d v="2003-12-01T00:00:00"/>
    <x v="0"/>
    <x v="0"/>
    <x v="6"/>
    <x v="0"/>
    <s v="Dec-2003"/>
    <x v="0"/>
    <x v="8"/>
    <x v="0"/>
    <x v="0"/>
    <x v="0"/>
  </r>
  <r>
    <n v="10211"/>
    <n v="41"/>
    <n v="100"/>
    <n v="4100"/>
    <s v="Medium"/>
    <n v="1230"/>
    <d v="2004-01-15T00:00:00"/>
    <x v="0"/>
    <x v="0"/>
    <x v="7"/>
    <x v="1"/>
    <s v="Jan-2004"/>
    <x v="0"/>
    <x v="9"/>
    <x v="1"/>
    <x v="1"/>
    <x v="1"/>
  </r>
  <r>
    <n v="10223"/>
    <n v="37"/>
    <n v="100"/>
    <n v="3700"/>
    <s v="Medium"/>
    <n v="1110"/>
    <d v="2004-02-20T00:00:00"/>
    <x v="0"/>
    <x v="0"/>
    <x v="0"/>
    <x v="1"/>
    <s v="Feb-2004"/>
    <x v="0"/>
    <x v="10"/>
    <x v="3"/>
    <x v="2"/>
    <x v="1"/>
  </r>
  <r>
    <n v="10237"/>
    <n v="23"/>
    <n v="100"/>
    <n v="2300"/>
    <s v="Medium"/>
    <n v="690"/>
    <d v="2004-04-05T00:00:00"/>
    <x v="0"/>
    <x v="0"/>
    <x v="8"/>
    <x v="1"/>
    <s v="Apr-2004"/>
    <x v="0"/>
    <x v="11"/>
    <x v="0"/>
    <x v="0"/>
    <x v="0"/>
  </r>
  <r>
    <n v="10251"/>
    <n v="28"/>
    <n v="100"/>
    <n v="2800"/>
    <s v="Medium"/>
    <n v="840"/>
    <d v="2004-05-18T00:00:00"/>
    <x v="0"/>
    <x v="0"/>
    <x v="1"/>
    <x v="1"/>
    <s v="May-2004"/>
    <x v="0"/>
    <x v="12"/>
    <x v="0"/>
    <x v="0"/>
    <x v="1"/>
  </r>
  <r>
    <n v="10263"/>
    <n v="34"/>
    <n v="100"/>
    <n v="3400"/>
    <s v="Medium"/>
    <n v="1020"/>
    <d v="2004-06-28T00:00:00"/>
    <x v="0"/>
    <x v="0"/>
    <x v="9"/>
    <x v="1"/>
    <s v="Jun-2004"/>
    <x v="0"/>
    <x v="13"/>
    <x v="0"/>
    <x v="0"/>
    <x v="1"/>
  </r>
  <r>
    <n v="10275"/>
    <n v="45"/>
    <n v="92.83"/>
    <n v="4177.3500000000004"/>
    <s v="Medium"/>
    <n v="1253.2050000000002"/>
    <d v="2004-07-23T00:00:00"/>
    <x v="0"/>
    <x v="0"/>
    <x v="2"/>
    <x v="1"/>
    <s v="Jul-2004"/>
    <x v="0"/>
    <x v="14"/>
    <x v="1"/>
    <x v="1"/>
    <x v="1"/>
  </r>
  <r>
    <n v="10285"/>
    <n v="36"/>
    <n v="100"/>
    <n v="3600"/>
    <s v="Medium"/>
    <n v="1080"/>
    <d v="2004-08-27T00:00:00"/>
    <x v="0"/>
    <x v="0"/>
    <x v="3"/>
    <x v="1"/>
    <s v="Aug-2004"/>
    <x v="0"/>
    <x v="15"/>
    <x v="0"/>
    <x v="0"/>
    <x v="1"/>
  </r>
  <r>
    <n v="10299"/>
    <n v="23"/>
    <n v="100"/>
    <n v="2300"/>
    <s v="Medium"/>
    <n v="690"/>
    <d v="2004-09-30T00:00:00"/>
    <x v="0"/>
    <x v="0"/>
    <x v="10"/>
    <x v="1"/>
    <s v="Sep-2004"/>
    <x v="0"/>
    <x v="16"/>
    <x v="4"/>
    <x v="1"/>
    <x v="0"/>
  </r>
  <r>
    <n v="10309"/>
    <n v="41"/>
    <n v="100"/>
    <n v="4100"/>
    <s v="Medium"/>
    <n v="1230"/>
    <d v="2004-10-15T00:00:00"/>
    <x v="0"/>
    <x v="0"/>
    <x v="4"/>
    <x v="1"/>
    <s v="Oct-2004"/>
    <x v="0"/>
    <x v="17"/>
    <x v="2"/>
    <x v="1"/>
    <x v="1"/>
  </r>
  <r>
    <n v="10318"/>
    <n v="46"/>
    <n v="94.74"/>
    <n v="4358.04"/>
    <s v="Medium"/>
    <n v="1307.412"/>
    <d v="2004-11-02T00:00:00"/>
    <x v="0"/>
    <x v="0"/>
    <x v="5"/>
    <x v="1"/>
    <s v="Nov-2004"/>
    <x v="0"/>
    <x v="18"/>
    <x v="0"/>
    <x v="0"/>
    <x v="1"/>
  </r>
  <r>
    <n v="10329"/>
    <n v="42"/>
    <n v="100"/>
    <n v="4200"/>
    <s v="Medium"/>
    <n v="1260"/>
    <d v="2004-11-15T00:00:00"/>
    <x v="0"/>
    <x v="0"/>
    <x v="5"/>
    <x v="1"/>
    <s v="Nov-2004"/>
    <x v="0"/>
    <x v="0"/>
    <x v="0"/>
    <x v="0"/>
    <x v="1"/>
  </r>
  <r>
    <n v="10341"/>
    <n v="41"/>
    <n v="100"/>
    <n v="4100"/>
    <s v="Medium"/>
    <n v="1230"/>
    <d v="2004-11-24T00:00:00"/>
    <x v="0"/>
    <x v="0"/>
    <x v="5"/>
    <x v="1"/>
    <s v="Nov-2004"/>
    <x v="0"/>
    <x v="19"/>
    <x v="5"/>
    <x v="1"/>
    <x v="2"/>
  </r>
  <r>
    <n v="10361"/>
    <n v="20"/>
    <n v="72.55"/>
    <n v="1451"/>
    <s v="Low"/>
    <n v="435.3"/>
    <d v="2004-12-17T00:00:00"/>
    <x v="0"/>
    <x v="0"/>
    <x v="6"/>
    <x v="1"/>
    <s v="Dec-2004"/>
    <x v="0"/>
    <x v="20"/>
    <x v="3"/>
    <x v="2"/>
    <x v="0"/>
  </r>
  <r>
    <n v="10375"/>
    <n v="21"/>
    <n v="34.909999999999997"/>
    <n v="733.1099999999999"/>
    <s v="Low"/>
    <n v="219.93299999999996"/>
    <d v="2005-02-03T00:00:00"/>
    <x v="0"/>
    <x v="0"/>
    <x v="0"/>
    <x v="2"/>
    <s v="Feb-2005"/>
    <x v="0"/>
    <x v="14"/>
    <x v="1"/>
    <x v="1"/>
    <x v="0"/>
  </r>
  <r>
    <n v="10388"/>
    <n v="42"/>
    <n v="76.36"/>
    <n v="3207.12"/>
    <s v="Medium"/>
    <n v="962.13599999999997"/>
    <d v="2005-03-03T00:00:00"/>
    <x v="0"/>
    <x v="0"/>
    <x v="11"/>
    <x v="2"/>
    <s v="Mar-2005"/>
    <x v="0"/>
    <x v="21"/>
    <x v="0"/>
    <x v="0"/>
    <x v="1"/>
  </r>
  <r>
    <n v="10403"/>
    <n v="24"/>
    <n v="100"/>
    <n v="2400"/>
    <s v="Medium"/>
    <n v="720"/>
    <d v="2005-04-08T00:00:00"/>
    <x v="0"/>
    <x v="0"/>
    <x v="8"/>
    <x v="2"/>
    <s v="Apr-2005"/>
    <x v="0"/>
    <x v="22"/>
    <x v="6"/>
    <x v="1"/>
    <x v="0"/>
  </r>
  <r>
    <n v="10417"/>
    <n v="66"/>
    <n v="100"/>
    <n v="6600"/>
    <s v="High"/>
    <n v="1980"/>
    <d v="2005-05-13T00:00:00"/>
    <x v="1"/>
    <x v="1"/>
    <x v="1"/>
    <x v="2"/>
    <s v="May-2005"/>
    <x v="0"/>
    <x v="23"/>
    <x v="7"/>
    <x v="1"/>
    <x v="2"/>
  </r>
  <r>
    <n v="10103"/>
    <n v="26"/>
    <n v="100"/>
    <n v="2600"/>
    <s v="Medium"/>
    <n v="780"/>
    <d v="2003-01-29T00:00:00"/>
    <x v="0"/>
    <x v="0"/>
    <x v="7"/>
    <x v="0"/>
    <s v="Jan-2003"/>
    <x v="1"/>
    <x v="17"/>
    <x v="2"/>
    <x v="1"/>
    <x v="1"/>
  </r>
  <r>
    <n v="10112"/>
    <n v="29"/>
    <n v="100"/>
    <n v="2900"/>
    <s v="Medium"/>
    <n v="870"/>
    <d v="2003-03-24T00:00:00"/>
    <x v="0"/>
    <x v="0"/>
    <x v="11"/>
    <x v="0"/>
    <s v="Mar-2003"/>
    <x v="1"/>
    <x v="24"/>
    <x v="8"/>
    <x v="1"/>
    <x v="2"/>
  </r>
  <r>
    <n v="10126"/>
    <n v="38"/>
    <n v="100"/>
    <n v="3800"/>
    <s v="Medium"/>
    <n v="1140"/>
    <d v="2003-05-28T00:00:00"/>
    <x v="0"/>
    <x v="0"/>
    <x v="1"/>
    <x v="0"/>
    <s v="May-2003"/>
    <x v="1"/>
    <x v="25"/>
    <x v="7"/>
    <x v="1"/>
    <x v="2"/>
  </r>
  <r>
    <n v="10140"/>
    <n v="37"/>
    <n v="100"/>
    <n v="3700"/>
    <s v="Medium"/>
    <n v="1110"/>
    <d v="2003-07-24T00:00:00"/>
    <x v="0"/>
    <x v="0"/>
    <x v="2"/>
    <x v="0"/>
    <s v="Jul-2003"/>
    <x v="1"/>
    <x v="5"/>
    <x v="0"/>
    <x v="0"/>
    <x v="2"/>
  </r>
  <r>
    <n v="10150"/>
    <n v="45"/>
    <n v="100"/>
    <n v="4500"/>
    <s v="Medium"/>
    <n v="1350"/>
    <d v="2003-09-19T00:00:00"/>
    <x v="0"/>
    <x v="0"/>
    <x v="10"/>
    <x v="0"/>
    <s v="Sep-2003"/>
    <x v="1"/>
    <x v="26"/>
    <x v="9"/>
    <x v="3"/>
    <x v="2"/>
  </r>
  <r>
    <n v="10163"/>
    <n v="21"/>
    <n v="100"/>
    <n v="2100"/>
    <s v="Medium"/>
    <n v="630"/>
    <d v="2003-10-20T00:00:00"/>
    <x v="0"/>
    <x v="0"/>
    <x v="4"/>
    <x v="0"/>
    <s v="Oct-2003"/>
    <x v="1"/>
    <x v="27"/>
    <x v="0"/>
    <x v="0"/>
    <x v="1"/>
  </r>
  <r>
    <n v="10174"/>
    <n v="34"/>
    <n v="100"/>
    <n v="3400"/>
    <s v="Medium"/>
    <n v="1020"/>
    <d v="2003-11-06T00:00:00"/>
    <x v="0"/>
    <x v="0"/>
    <x v="5"/>
    <x v="0"/>
    <s v="Nov-2003"/>
    <x v="1"/>
    <x v="28"/>
    <x v="3"/>
    <x v="2"/>
    <x v="2"/>
  </r>
  <r>
    <n v="10183"/>
    <n v="23"/>
    <n v="100"/>
    <n v="2300"/>
    <s v="Medium"/>
    <n v="690"/>
    <d v="2003-11-13T00:00:00"/>
    <x v="0"/>
    <x v="0"/>
    <x v="5"/>
    <x v="0"/>
    <s v="Nov-2003"/>
    <x v="1"/>
    <x v="29"/>
    <x v="0"/>
    <x v="0"/>
    <x v="1"/>
  </r>
  <r>
    <n v="10194"/>
    <n v="42"/>
    <n v="100"/>
    <n v="4200"/>
    <s v="Medium"/>
    <n v="1260"/>
    <d v="2003-11-25T00:00:00"/>
    <x v="0"/>
    <x v="0"/>
    <x v="5"/>
    <x v="0"/>
    <s v="Nov-2003"/>
    <x v="1"/>
    <x v="30"/>
    <x v="1"/>
    <x v="1"/>
    <x v="2"/>
  </r>
  <r>
    <n v="10206"/>
    <n v="47"/>
    <n v="100"/>
    <n v="4700"/>
    <s v="Medium"/>
    <n v="1410"/>
    <d v="2003-12-05T00:00:00"/>
    <x v="0"/>
    <x v="0"/>
    <x v="6"/>
    <x v="0"/>
    <s v="Dec-2003"/>
    <x v="1"/>
    <x v="31"/>
    <x v="10"/>
    <x v="0"/>
    <x v="2"/>
  </r>
  <r>
    <n v="10215"/>
    <n v="35"/>
    <n v="100"/>
    <n v="3500"/>
    <s v="Medium"/>
    <n v="1050"/>
    <d v="2004-01-29T00:00:00"/>
    <x v="0"/>
    <x v="0"/>
    <x v="7"/>
    <x v="1"/>
    <s v="Jan-2004"/>
    <x v="1"/>
    <x v="32"/>
    <x v="0"/>
    <x v="0"/>
    <x v="1"/>
  </r>
  <r>
    <n v="10228"/>
    <n v="29"/>
    <n v="100"/>
    <n v="2900"/>
    <s v="Medium"/>
    <n v="870"/>
    <d v="2004-03-10T00:00:00"/>
    <x v="0"/>
    <x v="0"/>
    <x v="11"/>
    <x v="1"/>
    <s v="Mar-2004"/>
    <x v="1"/>
    <x v="33"/>
    <x v="0"/>
    <x v="0"/>
    <x v="1"/>
  </r>
  <r>
    <n v="10245"/>
    <n v="34"/>
    <n v="100"/>
    <n v="3400"/>
    <s v="Medium"/>
    <n v="1020"/>
    <d v="2004-05-04T00:00:00"/>
    <x v="0"/>
    <x v="0"/>
    <x v="1"/>
    <x v="1"/>
    <s v="May-2004"/>
    <x v="1"/>
    <x v="34"/>
    <x v="0"/>
    <x v="0"/>
    <x v="1"/>
  </r>
  <r>
    <n v="10258"/>
    <n v="32"/>
    <n v="100"/>
    <n v="3200"/>
    <s v="Medium"/>
    <n v="960"/>
    <d v="2004-06-15T00:00:00"/>
    <x v="0"/>
    <x v="0"/>
    <x v="9"/>
    <x v="1"/>
    <s v="Jun-2004"/>
    <x v="1"/>
    <x v="35"/>
    <x v="11"/>
    <x v="3"/>
    <x v="2"/>
  </r>
  <r>
    <n v="10270"/>
    <n v="21"/>
    <n v="100"/>
    <n v="2100"/>
    <s v="Medium"/>
    <n v="630"/>
    <d v="2004-07-19T00:00:00"/>
    <x v="0"/>
    <x v="0"/>
    <x v="2"/>
    <x v="1"/>
    <s v="Jul-2004"/>
    <x v="1"/>
    <x v="20"/>
    <x v="3"/>
    <x v="2"/>
    <x v="1"/>
  </r>
  <r>
    <n v="10280"/>
    <n v="34"/>
    <n v="100"/>
    <n v="3400"/>
    <s v="Medium"/>
    <n v="1020"/>
    <d v="2004-08-17T00:00:00"/>
    <x v="0"/>
    <x v="0"/>
    <x v="3"/>
    <x v="1"/>
    <s v="Aug-2004"/>
    <x v="1"/>
    <x v="36"/>
    <x v="12"/>
    <x v="1"/>
    <x v="2"/>
  </r>
  <r>
    <n v="10291"/>
    <n v="37"/>
    <n v="100"/>
    <n v="3700"/>
    <s v="Medium"/>
    <n v="1110"/>
    <d v="2004-09-08T00:00:00"/>
    <x v="0"/>
    <x v="0"/>
    <x v="10"/>
    <x v="1"/>
    <s v="Sep-2004"/>
    <x v="1"/>
    <x v="37"/>
    <x v="8"/>
    <x v="1"/>
    <x v="2"/>
  </r>
  <r>
    <n v="10304"/>
    <n v="47"/>
    <n v="100"/>
    <n v="4700"/>
    <s v="Medium"/>
    <n v="1410"/>
    <d v="2004-10-11T00:00:00"/>
    <x v="0"/>
    <x v="0"/>
    <x v="4"/>
    <x v="1"/>
    <s v="Oct-2004"/>
    <x v="1"/>
    <x v="38"/>
    <x v="1"/>
    <x v="1"/>
    <x v="2"/>
  </r>
  <r>
    <n v="10312"/>
    <n v="48"/>
    <n v="100"/>
    <n v="4800"/>
    <s v="Medium"/>
    <n v="1440"/>
    <d v="2004-10-21T00:00:00"/>
    <x v="0"/>
    <x v="0"/>
    <x v="4"/>
    <x v="1"/>
    <s v="Oct-2004"/>
    <x v="1"/>
    <x v="39"/>
    <x v="0"/>
    <x v="0"/>
    <x v="2"/>
  </r>
  <r>
    <n v="10322"/>
    <n v="40"/>
    <n v="100"/>
    <n v="4000"/>
    <s v="Medium"/>
    <n v="1200"/>
    <d v="2004-11-04T00:00:00"/>
    <x v="0"/>
    <x v="0"/>
    <x v="5"/>
    <x v="1"/>
    <s v="Nov-2004"/>
    <x v="1"/>
    <x v="40"/>
    <x v="0"/>
    <x v="0"/>
    <x v="1"/>
  </r>
  <r>
    <n v="10333"/>
    <n v="26"/>
    <n v="100"/>
    <n v="2600"/>
    <s v="Medium"/>
    <n v="780"/>
    <d v="2004-11-18T00:00:00"/>
    <x v="0"/>
    <x v="0"/>
    <x v="5"/>
    <x v="1"/>
    <s v="Nov-2004"/>
    <x v="1"/>
    <x v="8"/>
    <x v="0"/>
    <x v="0"/>
    <x v="1"/>
  </r>
  <r>
    <n v="10347"/>
    <n v="30"/>
    <n v="100"/>
    <n v="3000"/>
    <s v="Medium"/>
    <n v="900"/>
    <d v="2004-11-29T00:00:00"/>
    <x v="0"/>
    <x v="0"/>
    <x v="5"/>
    <x v="1"/>
    <s v="Nov-2004"/>
    <x v="1"/>
    <x v="10"/>
    <x v="3"/>
    <x v="2"/>
    <x v="1"/>
  </r>
  <r>
    <n v="10357"/>
    <n v="32"/>
    <n v="100"/>
    <n v="3200"/>
    <s v="Medium"/>
    <n v="960"/>
    <d v="2004-12-10T00:00:00"/>
    <x v="0"/>
    <x v="0"/>
    <x v="6"/>
    <x v="1"/>
    <s v="Dec-2004"/>
    <x v="1"/>
    <x v="39"/>
    <x v="0"/>
    <x v="0"/>
    <x v="1"/>
  </r>
  <r>
    <n v="10369"/>
    <n v="41"/>
    <n v="100"/>
    <n v="4100"/>
    <s v="Medium"/>
    <n v="1230"/>
    <d v="2005-01-20T00:00:00"/>
    <x v="0"/>
    <x v="0"/>
    <x v="7"/>
    <x v="2"/>
    <s v="Jan-2005"/>
    <x v="1"/>
    <x v="41"/>
    <x v="0"/>
    <x v="0"/>
    <x v="1"/>
  </r>
  <r>
    <n v="10381"/>
    <n v="36"/>
    <n v="100"/>
    <n v="3600"/>
    <s v="Medium"/>
    <n v="1080"/>
    <d v="2005-02-17T00:00:00"/>
    <x v="0"/>
    <x v="0"/>
    <x v="0"/>
    <x v="2"/>
    <s v="Feb-2005"/>
    <x v="1"/>
    <x v="4"/>
    <x v="0"/>
    <x v="0"/>
    <x v="2"/>
  </r>
  <r>
    <n v="10391"/>
    <n v="24"/>
    <n v="100"/>
    <n v="2400"/>
    <s v="Medium"/>
    <n v="720"/>
    <d v="2005-03-09T00:00:00"/>
    <x v="0"/>
    <x v="0"/>
    <x v="11"/>
    <x v="2"/>
    <s v="Mar-2005"/>
    <x v="1"/>
    <x v="42"/>
    <x v="3"/>
    <x v="2"/>
    <x v="0"/>
  </r>
  <r>
    <n v="10411"/>
    <n v="23"/>
    <n v="100"/>
    <n v="2300"/>
    <s v="Medium"/>
    <n v="690"/>
    <d v="2005-05-01T00:00:00"/>
    <x v="0"/>
    <x v="0"/>
    <x v="1"/>
    <x v="2"/>
    <s v="May-2005"/>
    <x v="1"/>
    <x v="43"/>
    <x v="10"/>
    <x v="0"/>
    <x v="1"/>
  </r>
  <r>
    <n v="10424"/>
    <n v="50"/>
    <n v="100"/>
    <n v="5000"/>
    <s v="High"/>
    <n v="1500"/>
    <d v="2005-05-31T00:00:00"/>
    <x v="2"/>
    <x v="1"/>
    <x v="1"/>
    <x v="2"/>
    <s v="May-2005"/>
    <x v="1"/>
    <x v="23"/>
    <x v="7"/>
    <x v="1"/>
    <x v="2"/>
  </r>
  <r>
    <n v="10107"/>
    <n v="39"/>
    <n v="99.91"/>
    <n v="3896.49"/>
    <s v="Medium"/>
    <n v="1168.9469999999999"/>
    <d v="2003-02-24T00:00:00"/>
    <x v="0"/>
    <x v="0"/>
    <x v="0"/>
    <x v="0"/>
    <s v="Feb-2003"/>
    <x v="0"/>
    <x v="0"/>
    <x v="0"/>
    <x v="0"/>
    <x v="1"/>
  </r>
  <r>
    <n v="10120"/>
    <n v="29"/>
    <n v="96.34"/>
    <n v="2793.86"/>
    <s v="Medium"/>
    <n v="838.15800000000002"/>
    <d v="2003-04-29T00:00:00"/>
    <x v="0"/>
    <x v="0"/>
    <x v="8"/>
    <x v="0"/>
    <s v="Apr-2003"/>
    <x v="0"/>
    <x v="10"/>
    <x v="3"/>
    <x v="2"/>
    <x v="0"/>
  </r>
  <r>
    <n v="10134"/>
    <n v="27"/>
    <n v="100"/>
    <n v="2700"/>
    <s v="Medium"/>
    <n v="810"/>
    <d v="2003-07-01T00:00:00"/>
    <x v="0"/>
    <x v="0"/>
    <x v="2"/>
    <x v="0"/>
    <s v="Jul-2003"/>
    <x v="0"/>
    <x v="2"/>
    <x v="1"/>
    <x v="1"/>
    <x v="1"/>
  </r>
  <r>
    <n v="10145"/>
    <n v="37"/>
    <n v="100"/>
    <n v="3700"/>
    <s v="Medium"/>
    <n v="1110"/>
    <d v="2003-08-25T00:00:00"/>
    <x v="0"/>
    <x v="0"/>
    <x v="3"/>
    <x v="0"/>
    <s v="Aug-2003"/>
    <x v="0"/>
    <x v="3"/>
    <x v="0"/>
    <x v="0"/>
    <x v="1"/>
  </r>
  <r>
    <n v="10159"/>
    <n v="37"/>
    <n v="100"/>
    <n v="3700"/>
    <s v="Medium"/>
    <n v="1110"/>
    <d v="2003-10-10T00:00:00"/>
    <x v="0"/>
    <x v="0"/>
    <x v="4"/>
    <x v="0"/>
    <s v="Oct-2003"/>
    <x v="0"/>
    <x v="4"/>
    <x v="0"/>
    <x v="0"/>
    <x v="1"/>
  </r>
  <r>
    <n v="10168"/>
    <n v="27"/>
    <n v="100"/>
    <n v="2700"/>
    <s v="Medium"/>
    <n v="810"/>
    <d v="2003-10-28T00:00:00"/>
    <x v="0"/>
    <x v="0"/>
    <x v="4"/>
    <x v="0"/>
    <s v="Oct-2003"/>
    <x v="0"/>
    <x v="5"/>
    <x v="0"/>
    <x v="0"/>
    <x v="1"/>
  </r>
  <r>
    <n v="10180"/>
    <n v="42"/>
    <n v="100"/>
    <n v="4200"/>
    <s v="Medium"/>
    <n v="1260"/>
    <d v="2003-11-11T00:00:00"/>
    <x v="0"/>
    <x v="0"/>
    <x v="5"/>
    <x v="0"/>
    <s v="Nov-2003"/>
    <x v="0"/>
    <x v="6"/>
    <x v="1"/>
    <x v="1"/>
    <x v="1"/>
  </r>
  <r>
    <n v="10188"/>
    <n v="38"/>
    <n v="96.34"/>
    <n v="3660.92"/>
    <s v="Medium"/>
    <n v="1098.2760000000001"/>
    <d v="2003-11-18T00:00:00"/>
    <x v="0"/>
    <x v="0"/>
    <x v="5"/>
    <x v="0"/>
    <s v="Nov-2003"/>
    <x v="0"/>
    <x v="7"/>
    <x v="2"/>
    <x v="1"/>
    <x v="1"/>
  </r>
  <r>
    <n v="10201"/>
    <n v="24"/>
    <n v="100"/>
    <n v="2400"/>
    <s v="Medium"/>
    <n v="720"/>
    <d v="2003-12-01T00:00:00"/>
    <x v="0"/>
    <x v="0"/>
    <x v="6"/>
    <x v="0"/>
    <s v="Dec-2003"/>
    <x v="0"/>
    <x v="8"/>
    <x v="0"/>
    <x v="0"/>
    <x v="1"/>
  </r>
  <r>
    <n v="10210"/>
    <n v="23"/>
    <n v="100"/>
    <n v="2300"/>
    <s v="Medium"/>
    <n v="690"/>
    <d v="2004-01-12T00:00:00"/>
    <x v="0"/>
    <x v="0"/>
    <x v="7"/>
    <x v="1"/>
    <s v="Jan-2004"/>
    <x v="0"/>
    <x v="44"/>
    <x v="11"/>
    <x v="3"/>
    <x v="1"/>
  </r>
  <r>
    <n v="10223"/>
    <n v="47"/>
    <n v="100"/>
    <n v="4700"/>
    <s v="Medium"/>
    <n v="1410"/>
    <d v="2004-02-20T00:00:00"/>
    <x v="0"/>
    <x v="0"/>
    <x v="0"/>
    <x v="1"/>
    <s v="Feb-2004"/>
    <x v="0"/>
    <x v="10"/>
    <x v="3"/>
    <x v="2"/>
    <x v="1"/>
  </r>
  <r>
    <n v="10236"/>
    <n v="22"/>
    <n v="100"/>
    <n v="2200"/>
    <s v="Medium"/>
    <n v="660"/>
    <d v="2004-04-03T00:00:00"/>
    <x v="0"/>
    <x v="0"/>
    <x v="8"/>
    <x v="1"/>
    <s v="Apr-2004"/>
    <x v="0"/>
    <x v="45"/>
    <x v="0"/>
    <x v="0"/>
    <x v="0"/>
  </r>
  <r>
    <n v="10251"/>
    <n v="44"/>
    <n v="100"/>
    <n v="4400"/>
    <s v="Medium"/>
    <n v="1320"/>
    <d v="2004-05-18T00:00:00"/>
    <x v="0"/>
    <x v="0"/>
    <x v="1"/>
    <x v="1"/>
    <s v="May-2004"/>
    <x v="0"/>
    <x v="12"/>
    <x v="0"/>
    <x v="0"/>
    <x v="1"/>
  </r>
  <r>
    <n v="10263"/>
    <n v="40"/>
    <n v="100"/>
    <n v="4000"/>
    <s v="Medium"/>
    <n v="1200"/>
    <d v="2004-06-28T00:00:00"/>
    <x v="0"/>
    <x v="0"/>
    <x v="9"/>
    <x v="1"/>
    <s v="Jun-2004"/>
    <x v="0"/>
    <x v="13"/>
    <x v="0"/>
    <x v="0"/>
    <x v="1"/>
  </r>
  <r>
    <n v="10275"/>
    <n v="22"/>
    <n v="100"/>
    <n v="2200"/>
    <s v="Medium"/>
    <n v="660"/>
    <d v="2004-07-23T00:00:00"/>
    <x v="0"/>
    <x v="0"/>
    <x v="2"/>
    <x v="1"/>
    <s v="Jul-2004"/>
    <x v="0"/>
    <x v="14"/>
    <x v="1"/>
    <x v="1"/>
    <x v="0"/>
  </r>
  <r>
    <n v="10285"/>
    <n v="47"/>
    <n v="100"/>
    <n v="4700"/>
    <s v="Medium"/>
    <n v="1410"/>
    <d v="2004-08-27T00:00:00"/>
    <x v="0"/>
    <x v="0"/>
    <x v="3"/>
    <x v="1"/>
    <s v="Aug-2004"/>
    <x v="0"/>
    <x v="15"/>
    <x v="0"/>
    <x v="0"/>
    <x v="1"/>
  </r>
  <r>
    <n v="10298"/>
    <n v="39"/>
    <n v="96.34"/>
    <n v="3757.26"/>
    <s v="Medium"/>
    <n v="1127.1780000000001"/>
    <d v="2004-09-27T00:00:00"/>
    <x v="0"/>
    <x v="0"/>
    <x v="10"/>
    <x v="1"/>
    <s v="Sep-2004"/>
    <x v="0"/>
    <x v="46"/>
    <x v="1"/>
    <x v="1"/>
    <x v="1"/>
  </r>
  <r>
    <n v="10308"/>
    <n v="34"/>
    <n v="100"/>
    <n v="3400"/>
    <s v="Medium"/>
    <n v="1020"/>
    <d v="2004-10-15T00:00:00"/>
    <x v="0"/>
    <x v="0"/>
    <x v="4"/>
    <x v="1"/>
    <s v="Oct-2004"/>
    <x v="0"/>
    <x v="47"/>
    <x v="0"/>
    <x v="0"/>
    <x v="1"/>
  </r>
  <r>
    <n v="10318"/>
    <n v="45"/>
    <n v="100"/>
    <n v="4500"/>
    <s v="Medium"/>
    <n v="1350"/>
    <d v="2004-11-02T00:00:00"/>
    <x v="0"/>
    <x v="0"/>
    <x v="5"/>
    <x v="1"/>
    <s v="Nov-2004"/>
    <x v="0"/>
    <x v="18"/>
    <x v="0"/>
    <x v="0"/>
    <x v="1"/>
  </r>
  <r>
    <n v="10329"/>
    <n v="20"/>
    <n v="100"/>
    <n v="2000"/>
    <s v="Medium"/>
    <n v="600"/>
    <d v="2004-11-15T00:00:00"/>
    <x v="0"/>
    <x v="0"/>
    <x v="5"/>
    <x v="1"/>
    <s v="Nov-2004"/>
    <x v="0"/>
    <x v="0"/>
    <x v="0"/>
    <x v="0"/>
    <x v="1"/>
  </r>
  <r>
    <n v="10339"/>
    <n v="40"/>
    <n v="68.92"/>
    <n v="2756.8"/>
    <s v="Medium"/>
    <n v="827.04000000000008"/>
    <d v="2004-11-23T00:00:00"/>
    <x v="0"/>
    <x v="0"/>
    <x v="5"/>
    <x v="1"/>
    <s v="Nov-2004"/>
    <x v="0"/>
    <x v="35"/>
    <x v="11"/>
    <x v="3"/>
    <x v="0"/>
  </r>
  <r>
    <n v="10361"/>
    <n v="26"/>
    <n v="51.15"/>
    <n v="1329.8999999999999"/>
    <s v="Low"/>
    <n v="398.96999999999997"/>
    <d v="2004-12-17T00:00:00"/>
    <x v="0"/>
    <x v="0"/>
    <x v="6"/>
    <x v="1"/>
    <s v="Dec-2004"/>
    <x v="0"/>
    <x v="20"/>
    <x v="3"/>
    <x v="2"/>
    <x v="0"/>
  </r>
  <r>
    <n v="10374"/>
    <n v="39"/>
    <n v="100"/>
    <n v="3900"/>
    <s v="Medium"/>
    <n v="1170"/>
    <d v="2005-02-02T00:00:00"/>
    <x v="0"/>
    <x v="0"/>
    <x v="0"/>
    <x v="2"/>
    <s v="Feb-2005"/>
    <x v="0"/>
    <x v="28"/>
    <x v="3"/>
    <x v="2"/>
    <x v="1"/>
  </r>
  <r>
    <n v="10388"/>
    <n v="50"/>
    <n v="44.51"/>
    <n v="2225.5"/>
    <s v="Medium"/>
    <n v="667.65"/>
    <d v="2005-03-03T00:00:00"/>
    <x v="0"/>
    <x v="0"/>
    <x v="11"/>
    <x v="2"/>
    <s v="Mar-2005"/>
    <x v="0"/>
    <x v="21"/>
    <x v="0"/>
    <x v="0"/>
    <x v="0"/>
  </r>
  <r>
    <n v="10402"/>
    <n v="45"/>
    <n v="100"/>
    <n v="4500"/>
    <s v="Medium"/>
    <n v="1350"/>
    <d v="2005-04-07T00:00:00"/>
    <x v="0"/>
    <x v="0"/>
    <x v="8"/>
    <x v="2"/>
    <s v="Apr-2005"/>
    <x v="0"/>
    <x v="9"/>
    <x v="1"/>
    <x v="1"/>
    <x v="1"/>
  </r>
  <r>
    <n v="10417"/>
    <n v="45"/>
    <n v="100"/>
    <n v="4500"/>
    <s v="Medium"/>
    <n v="1350"/>
    <d v="2005-05-13T00:00:00"/>
    <x v="1"/>
    <x v="1"/>
    <x v="1"/>
    <x v="2"/>
    <s v="May-2005"/>
    <x v="0"/>
    <x v="23"/>
    <x v="7"/>
    <x v="1"/>
    <x v="1"/>
  </r>
  <r>
    <n v="10107"/>
    <n v="27"/>
    <n v="100"/>
    <n v="2700"/>
    <s v="Medium"/>
    <n v="810"/>
    <d v="2003-02-24T00:00:00"/>
    <x v="0"/>
    <x v="0"/>
    <x v="0"/>
    <x v="0"/>
    <s v="Feb-2003"/>
    <x v="0"/>
    <x v="0"/>
    <x v="0"/>
    <x v="0"/>
    <x v="1"/>
  </r>
  <r>
    <n v="10120"/>
    <n v="46"/>
    <n v="100"/>
    <n v="4600"/>
    <s v="Medium"/>
    <n v="1380"/>
    <d v="2003-04-29T00:00:00"/>
    <x v="0"/>
    <x v="0"/>
    <x v="8"/>
    <x v="0"/>
    <s v="Apr-2003"/>
    <x v="0"/>
    <x v="10"/>
    <x v="3"/>
    <x v="2"/>
    <x v="2"/>
  </r>
  <r>
    <n v="10134"/>
    <n v="31"/>
    <n v="100"/>
    <n v="3100"/>
    <s v="Medium"/>
    <n v="930"/>
    <d v="2003-07-01T00:00:00"/>
    <x v="0"/>
    <x v="0"/>
    <x v="2"/>
    <x v="0"/>
    <s v="Jul-2003"/>
    <x v="0"/>
    <x v="2"/>
    <x v="1"/>
    <x v="1"/>
    <x v="2"/>
  </r>
  <r>
    <n v="10145"/>
    <n v="33"/>
    <n v="100"/>
    <n v="3300"/>
    <s v="Medium"/>
    <n v="990"/>
    <d v="2003-08-25T00:00:00"/>
    <x v="0"/>
    <x v="0"/>
    <x v="3"/>
    <x v="0"/>
    <s v="Aug-2003"/>
    <x v="0"/>
    <x v="3"/>
    <x v="0"/>
    <x v="0"/>
    <x v="1"/>
  </r>
  <r>
    <n v="10159"/>
    <n v="22"/>
    <n v="100"/>
    <n v="2200"/>
    <s v="Medium"/>
    <n v="660"/>
    <d v="2003-10-10T00:00:00"/>
    <x v="0"/>
    <x v="0"/>
    <x v="4"/>
    <x v="0"/>
    <s v="Oct-2003"/>
    <x v="0"/>
    <x v="4"/>
    <x v="0"/>
    <x v="0"/>
    <x v="1"/>
  </r>
  <r>
    <n v="10168"/>
    <n v="20"/>
    <n v="100"/>
    <n v="2000"/>
    <s v="Medium"/>
    <n v="600"/>
    <d v="2003-10-28T00:00:00"/>
    <x v="0"/>
    <x v="0"/>
    <x v="4"/>
    <x v="0"/>
    <s v="Oct-2003"/>
    <x v="0"/>
    <x v="5"/>
    <x v="0"/>
    <x v="0"/>
    <x v="1"/>
  </r>
  <r>
    <n v="10180"/>
    <n v="41"/>
    <n v="100"/>
    <n v="4100"/>
    <s v="Medium"/>
    <n v="1230"/>
    <d v="2003-11-11T00:00:00"/>
    <x v="0"/>
    <x v="0"/>
    <x v="5"/>
    <x v="0"/>
    <s v="Nov-2003"/>
    <x v="0"/>
    <x v="6"/>
    <x v="1"/>
    <x v="1"/>
    <x v="2"/>
  </r>
  <r>
    <n v="10188"/>
    <n v="45"/>
    <n v="100"/>
    <n v="4500"/>
    <s v="Medium"/>
    <n v="1350"/>
    <d v="2003-11-18T00:00:00"/>
    <x v="0"/>
    <x v="0"/>
    <x v="5"/>
    <x v="0"/>
    <s v="Nov-2003"/>
    <x v="0"/>
    <x v="7"/>
    <x v="2"/>
    <x v="1"/>
    <x v="2"/>
  </r>
  <r>
    <n v="10201"/>
    <n v="49"/>
    <n v="100"/>
    <n v="4900"/>
    <s v="Medium"/>
    <n v="1470"/>
    <d v="2003-12-01T00:00:00"/>
    <x v="0"/>
    <x v="0"/>
    <x v="6"/>
    <x v="0"/>
    <s v="Dec-2003"/>
    <x v="0"/>
    <x v="8"/>
    <x v="0"/>
    <x v="0"/>
    <x v="2"/>
  </r>
  <r>
    <n v="10210"/>
    <n v="34"/>
    <n v="100"/>
    <n v="3400"/>
    <s v="Medium"/>
    <n v="1020"/>
    <d v="2004-01-12T00:00:00"/>
    <x v="0"/>
    <x v="0"/>
    <x v="7"/>
    <x v="1"/>
    <s v="Jan-2004"/>
    <x v="0"/>
    <x v="44"/>
    <x v="11"/>
    <x v="3"/>
    <x v="1"/>
  </r>
  <r>
    <n v="10223"/>
    <n v="49"/>
    <n v="100"/>
    <n v="4900"/>
    <s v="Medium"/>
    <n v="1470"/>
    <d v="2004-02-20T00:00:00"/>
    <x v="0"/>
    <x v="0"/>
    <x v="0"/>
    <x v="1"/>
    <s v="Feb-2004"/>
    <x v="0"/>
    <x v="10"/>
    <x v="3"/>
    <x v="2"/>
    <x v="2"/>
  </r>
  <r>
    <n v="10237"/>
    <n v="39"/>
    <n v="100"/>
    <n v="3900"/>
    <s v="Medium"/>
    <n v="1170"/>
    <d v="2004-04-05T00:00:00"/>
    <x v="0"/>
    <x v="0"/>
    <x v="8"/>
    <x v="1"/>
    <s v="Apr-2004"/>
    <x v="0"/>
    <x v="11"/>
    <x v="0"/>
    <x v="0"/>
    <x v="2"/>
  </r>
  <r>
    <n v="10251"/>
    <n v="43"/>
    <n v="100"/>
    <n v="4300"/>
    <s v="Medium"/>
    <n v="1290"/>
    <d v="2004-05-18T00:00:00"/>
    <x v="0"/>
    <x v="0"/>
    <x v="1"/>
    <x v="1"/>
    <s v="May-2004"/>
    <x v="0"/>
    <x v="12"/>
    <x v="0"/>
    <x v="0"/>
    <x v="2"/>
  </r>
  <r>
    <n v="10263"/>
    <n v="41"/>
    <n v="100"/>
    <n v="4100"/>
    <s v="Medium"/>
    <n v="1230"/>
    <d v="2004-06-28T00:00:00"/>
    <x v="0"/>
    <x v="0"/>
    <x v="9"/>
    <x v="1"/>
    <s v="Jun-2004"/>
    <x v="0"/>
    <x v="13"/>
    <x v="0"/>
    <x v="0"/>
    <x v="2"/>
  </r>
  <r>
    <n v="10275"/>
    <n v="36"/>
    <n v="100"/>
    <n v="3600"/>
    <s v="Medium"/>
    <n v="1080"/>
    <d v="2004-07-23T00:00:00"/>
    <x v="0"/>
    <x v="0"/>
    <x v="2"/>
    <x v="1"/>
    <s v="Jul-2004"/>
    <x v="0"/>
    <x v="14"/>
    <x v="1"/>
    <x v="1"/>
    <x v="1"/>
  </r>
  <r>
    <n v="10285"/>
    <n v="27"/>
    <n v="100"/>
    <n v="2700"/>
    <s v="Medium"/>
    <n v="810"/>
    <d v="2004-08-27T00:00:00"/>
    <x v="0"/>
    <x v="0"/>
    <x v="3"/>
    <x v="1"/>
    <s v="Aug-2004"/>
    <x v="0"/>
    <x v="15"/>
    <x v="0"/>
    <x v="0"/>
    <x v="1"/>
  </r>
  <r>
    <n v="10299"/>
    <n v="29"/>
    <n v="100"/>
    <n v="2900"/>
    <s v="Medium"/>
    <n v="870"/>
    <d v="2004-09-30T00:00:00"/>
    <x v="0"/>
    <x v="0"/>
    <x v="10"/>
    <x v="1"/>
    <s v="Sep-2004"/>
    <x v="0"/>
    <x v="16"/>
    <x v="4"/>
    <x v="1"/>
    <x v="1"/>
  </r>
  <r>
    <n v="10308"/>
    <n v="20"/>
    <n v="100"/>
    <n v="2000"/>
    <s v="Medium"/>
    <n v="600"/>
    <d v="2004-10-15T00:00:00"/>
    <x v="0"/>
    <x v="0"/>
    <x v="4"/>
    <x v="1"/>
    <s v="Oct-2004"/>
    <x v="0"/>
    <x v="47"/>
    <x v="0"/>
    <x v="0"/>
    <x v="1"/>
  </r>
  <r>
    <n v="10318"/>
    <n v="37"/>
    <n v="100"/>
    <n v="3700"/>
    <s v="Medium"/>
    <n v="1110"/>
    <d v="2004-11-02T00:00:00"/>
    <x v="0"/>
    <x v="0"/>
    <x v="5"/>
    <x v="1"/>
    <s v="Nov-2004"/>
    <x v="0"/>
    <x v="18"/>
    <x v="0"/>
    <x v="0"/>
    <x v="2"/>
  </r>
  <r>
    <n v="10329"/>
    <n v="26"/>
    <n v="100"/>
    <n v="2600"/>
    <s v="Medium"/>
    <n v="780"/>
    <d v="2004-11-15T00:00:00"/>
    <x v="0"/>
    <x v="0"/>
    <x v="5"/>
    <x v="1"/>
    <s v="Nov-2004"/>
    <x v="0"/>
    <x v="0"/>
    <x v="0"/>
    <x v="0"/>
    <x v="1"/>
  </r>
  <r>
    <n v="10339"/>
    <n v="39"/>
    <n v="76.67"/>
    <n v="2990.13"/>
    <s v="Medium"/>
    <n v="897.03899999999999"/>
    <d v="2004-11-23T00:00:00"/>
    <x v="0"/>
    <x v="0"/>
    <x v="5"/>
    <x v="1"/>
    <s v="Nov-2004"/>
    <x v="0"/>
    <x v="35"/>
    <x v="11"/>
    <x v="3"/>
    <x v="0"/>
  </r>
  <r>
    <n v="10362"/>
    <n v="22"/>
    <n v="100"/>
    <n v="2200"/>
    <s v="Medium"/>
    <n v="660"/>
    <d v="2005-01-05T00:00:00"/>
    <x v="0"/>
    <x v="0"/>
    <x v="7"/>
    <x v="2"/>
    <s v="Jan-2005"/>
    <x v="0"/>
    <x v="5"/>
    <x v="0"/>
    <x v="0"/>
    <x v="1"/>
  </r>
  <r>
    <n v="10374"/>
    <n v="22"/>
    <n v="100"/>
    <n v="2200"/>
    <s v="Medium"/>
    <n v="660"/>
    <d v="2005-02-02T00:00:00"/>
    <x v="0"/>
    <x v="0"/>
    <x v="0"/>
    <x v="2"/>
    <s v="Feb-2005"/>
    <x v="0"/>
    <x v="28"/>
    <x v="3"/>
    <x v="2"/>
    <x v="1"/>
  </r>
  <r>
    <n v="10388"/>
    <n v="21"/>
    <n v="86.77"/>
    <n v="1822.1699999999998"/>
    <s v="Low"/>
    <n v="546.65099999999995"/>
    <d v="2005-03-03T00:00:00"/>
    <x v="0"/>
    <x v="0"/>
    <x v="11"/>
    <x v="2"/>
    <s v="Mar-2005"/>
    <x v="0"/>
    <x v="21"/>
    <x v="0"/>
    <x v="0"/>
    <x v="0"/>
  </r>
  <r>
    <n v="10403"/>
    <n v="66"/>
    <n v="100"/>
    <n v="6600"/>
    <s v="High"/>
    <n v="1980"/>
    <d v="2005-04-08T00:00:00"/>
    <x v="0"/>
    <x v="0"/>
    <x v="8"/>
    <x v="2"/>
    <s v="Apr-2005"/>
    <x v="0"/>
    <x v="22"/>
    <x v="6"/>
    <x v="1"/>
    <x v="2"/>
  </r>
  <r>
    <n v="10417"/>
    <n v="56"/>
    <n v="100"/>
    <n v="5600"/>
    <s v="High"/>
    <n v="1680"/>
    <d v="2005-05-13T00:00:00"/>
    <x v="1"/>
    <x v="1"/>
    <x v="1"/>
    <x v="2"/>
    <s v="May-2005"/>
    <x v="0"/>
    <x v="23"/>
    <x v="7"/>
    <x v="1"/>
    <x v="2"/>
  </r>
  <r>
    <n v="10105"/>
    <n v="50"/>
    <n v="100"/>
    <n v="5000"/>
    <s v="High"/>
    <n v="1500"/>
    <d v="2003-02-11T00:00:00"/>
    <x v="0"/>
    <x v="0"/>
    <x v="0"/>
    <x v="0"/>
    <s v="Feb-2003"/>
    <x v="1"/>
    <x v="48"/>
    <x v="13"/>
    <x v="1"/>
    <x v="2"/>
  </r>
  <r>
    <n v="10119"/>
    <n v="46"/>
    <n v="100"/>
    <n v="4600"/>
    <s v="Medium"/>
    <n v="1380"/>
    <d v="2003-04-28T00:00:00"/>
    <x v="0"/>
    <x v="0"/>
    <x v="8"/>
    <x v="0"/>
    <s v="Apr-2003"/>
    <x v="1"/>
    <x v="19"/>
    <x v="5"/>
    <x v="1"/>
    <x v="1"/>
  </r>
  <r>
    <n v="10129"/>
    <n v="33"/>
    <n v="100"/>
    <n v="3300"/>
    <s v="Medium"/>
    <n v="990"/>
    <d v="2003-06-12T00:00:00"/>
    <x v="0"/>
    <x v="0"/>
    <x v="9"/>
    <x v="0"/>
    <s v="Jun-2003"/>
    <x v="1"/>
    <x v="49"/>
    <x v="6"/>
    <x v="1"/>
    <x v="1"/>
  </r>
  <r>
    <n v="10143"/>
    <n v="49"/>
    <n v="100"/>
    <n v="4900"/>
    <s v="Medium"/>
    <n v="1470"/>
    <d v="2003-08-10T00:00:00"/>
    <x v="0"/>
    <x v="0"/>
    <x v="3"/>
    <x v="0"/>
    <s v="Aug-2003"/>
    <x v="1"/>
    <x v="50"/>
    <x v="0"/>
    <x v="0"/>
    <x v="1"/>
  </r>
  <r>
    <n v="10155"/>
    <n v="32"/>
    <n v="100"/>
    <n v="3200"/>
    <s v="Medium"/>
    <n v="960"/>
    <d v="2003-10-06T00:00:00"/>
    <x v="0"/>
    <x v="0"/>
    <x v="4"/>
    <x v="0"/>
    <s v="Oct-2003"/>
    <x v="1"/>
    <x v="16"/>
    <x v="4"/>
    <x v="1"/>
    <x v="1"/>
  </r>
  <r>
    <n v="10167"/>
    <n v="44"/>
    <n v="100"/>
    <n v="4400"/>
    <s v="Medium"/>
    <n v="1320"/>
    <d v="2003-10-23T00:00:00"/>
    <x v="3"/>
    <x v="1"/>
    <x v="4"/>
    <x v="0"/>
    <s v="Oct-2003"/>
    <x v="1"/>
    <x v="37"/>
    <x v="8"/>
    <x v="1"/>
    <x v="1"/>
  </r>
  <r>
    <n v="10178"/>
    <n v="24"/>
    <n v="100"/>
    <n v="2400"/>
    <s v="Medium"/>
    <n v="720"/>
    <d v="2003-11-08T00:00:00"/>
    <x v="0"/>
    <x v="0"/>
    <x v="5"/>
    <x v="0"/>
    <s v="Nov-2003"/>
    <x v="1"/>
    <x v="51"/>
    <x v="1"/>
    <x v="1"/>
    <x v="1"/>
  </r>
  <r>
    <n v="10186"/>
    <n v="26"/>
    <n v="100"/>
    <n v="2600"/>
    <s v="Medium"/>
    <n v="780"/>
    <d v="2003-11-14T00:00:00"/>
    <x v="0"/>
    <x v="0"/>
    <x v="5"/>
    <x v="0"/>
    <s v="Nov-2003"/>
    <x v="1"/>
    <x v="52"/>
    <x v="6"/>
    <x v="1"/>
    <x v="1"/>
  </r>
  <r>
    <n v="10197"/>
    <n v="45"/>
    <n v="100"/>
    <n v="4500"/>
    <s v="Medium"/>
    <n v="1350"/>
    <d v="2003-11-26T00:00:00"/>
    <x v="0"/>
    <x v="0"/>
    <x v="5"/>
    <x v="0"/>
    <s v="Nov-2003"/>
    <x v="1"/>
    <x v="53"/>
    <x v="7"/>
    <x v="1"/>
    <x v="1"/>
  </r>
  <r>
    <n v="10209"/>
    <n v="39"/>
    <n v="100"/>
    <n v="3900"/>
    <s v="Medium"/>
    <n v="1170"/>
    <d v="2004-01-09T00:00:00"/>
    <x v="0"/>
    <x v="0"/>
    <x v="7"/>
    <x v="1"/>
    <s v="Jan-2004"/>
    <x v="1"/>
    <x v="54"/>
    <x v="0"/>
    <x v="0"/>
    <x v="1"/>
  </r>
  <r>
    <n v="10222"/>
    <n v="49"/>
    <n v="100"/>
    <n v="4900"/>
    <s v="Medium"/>
    <n v="1470"/>
    <d v="2004-02-19T00:00:00"/>
    <x v="0"/>
    <x v="0"/>
    <x v="0"/>
    <x v="1"/>
    <s v="Feb-2004"/>
    <x v="1"/>
    <x v="55"/>
    <x v="0"/>
    <x v="0"/>
    <x v="1"/>
  </r>
  <r>
    <n v="10248"/>
    <n v="20"/>
    <n v="100"/>
    <n v="2000"/>
    <s v="Medium"/>
    <n v="600"/>
    <d v="2004-05-07T00:00:00"/>
    <x v="3"/>
    <x v="1"/>
    <x v="1"/>
    <x v="1"/>
    <s v="May-2004"/>
    <x v="1"/>
    <x v="0"/>
    <x v="0"/>
    <x v="0"/>
    <x v="0"/>
  </r>
  <r>
    <n v="10261"/>
    <n v="27"/>
    <n v="100"/>
    <n v="2700"/>
    <s v="Medium"/>
    <n v="810"/>
    <d v="2004-06-17T00:00:00"/>
    <x v="0"/>
    <x v="0"/>
    <x v="9"/>
    <x v="1"/>
    <s v="Jun-2004"/>
    <x v="1"/>
    <x v="43"/>
    <x v="10"/>
    <x v="0"/>
    <x v="1"/>
  </r>
  <r>
    <n v="10273"/>
    <n v="30"/>
    <n v="100"/>
    <n v="3000"/>
    <s v="Medium"/>
    <n v="900"/>
    <d v="2004-07-21T00:00:00"/>
    <x v="0"/>
    <x v="0"/>
    <x v="2"/>
    <x v="1"/>
    <s v="Jul-2004"/>
    <x v="1"/>
    <x v="56"/>
    <x v="14"/>
    <x v="1"/>
    <x v="1"/>
  </r>
  <r>
    <n v="10283"/>
    <n v="25"/>
    <n v="100"/>
    <n v="2500"/>
    <s v="Medium"/>
    <n v="750"/>
    <d v="2004-08-20T00:00:00"/>
    <x v="0"/>
    <x v="0"/>
    <x v="3"/>
    <x v="1"/>
    <s v="Aug-2004"/>
    <x v="1"/>
    <x v="57"/>
    <x v="10"/>
    <x v="0"/>
    <x v="0"/>
  </r>
  <r>
    <n v="10295"/>
    <n v="24"/>
    <n v="100"/>
    <n v="2400"/>
    <s v="Medium"/>
    <n v="720"/>
    <d v="2004-09-10T00:00:00"/>
    <x v="0"/>
    <x v="0"/>
    <x v="10"/>
    <x v="1"/>
    <s v="Sep-2004"/>
    <x v="1"/>
    <x v="58"/>
    <x v="0"/>
    <x v="0"/>
    <x v="1"/>
  </r>
  <r>
    <n v="10307"/>
    <n v="22"/>
    <n v="100"/>
    <n v="2200"/>
    <s v="Medium"/>
    <n v="660"/>
    <d v="2004-10-14T00:00:00"/>
    <x v="0"/>
    <x v="0"/>
    <x v="4"/>
    <x v="1"/>
    <s v="Oct-2004"/>
    <x v="1"/>
    <x v="29"/>
    <x v="0"/>
    <x v="0"/>
    <x v="0"/>
  </r>
  <r>
    <n v="10316"/>
    <n v="33"/>
    <n v="100"/>
    <n v="3300"/>
    <s v="Medium"/>
    <n v="990"/>
    <d v="2004-11-01T00:00:00"/>
    <x v="0"/>
    <x v="0"/>
    <x v="5"/>
    <x v="1"/>
    <s v="Nov-2004"/>
    <x v="1"/>
    <x v="59"/>
    <x v="6"/>
    <x v="1"/>
    <x v="1"/>
  </r>
  <r>
    <n v="10325"/>
    <n v="47"/>
    <n v="64.930000000000007"/>
    <n v="3051.7100000000005"/>
    <s v="Medium"/>
    <n v="915.51300000000015"/>
    <d v="2004-11-05T00:00:00"/>
    <x v="0"/>
    <x v="0"/>
    <x v="5"/>
    <x v="1"/>
    <s v="Nov-2004"/>
    <x v="1"/>
    <x v="17"/>
    <x v="2"/>
    <x v="1"/>
    <x v="1"/>
  </r>
  <r>
    <n v="10337"/>
    <n v="25"/>
    <n v="48.05"/>
    <n v="1201.25"/>
    <s v="Low"/>
    <n v="360.375"/>
    <d v="2004-11-21T00:00:00"/>
    <x v="0"/>
    <x v="0"/>
    <x v="5"/>
    <x v="1"/>
    <s v="Nov-2004"/>
    <x v="1"/>
    <x v="27"/>
    <x v="0"/>
    <x v="0"/>
    <x v="0"/>
  </r>
  <r>
    <n v="10350"/>
    <n v="26"/>
    <n v="75.47"/>
    <n v="1962.22"/>
    <s v="Low"/>
    <n v="588.66599999999994"/>
    <d v="2004-12-02T00:00:00"/>
    <x v="0"/>
    <x v="0"/>
    <x v="6"/>
    <x v="1"/>
    <s v="Dec-2004"/>
    <x v="1"/>
    <x v="23"/>
    <x v="7"/>
    <x v="1"/>
    <x v="0"/>
  </r>
  <r>
    <n v="10359"/>
    <n v="48"/>
    <n v="54.68"/>
    <n v="2624.64"/>
    <s v="Medium"/>
    <n v="787.39199999999994"/>
    <d v="2004-12-15T00:00:00"/>
    <x v="0"/>
    <x v="0"/>
    <x v="6"/>
    <x v="1"/>
    <s v="Dec-2004"/>
    <x v="1"/>
    <x v="1"/>
    <x v="1"/>
    <x v="1"/>
    <x v="0"/>
  </r>
  <r>
    <n v="10373"/>
    <n v="39"/>
    <n v="100"/>
    <n v="3900"/>
    <s v="Medium"/>
    <n v="1170"/>
    <d v="2005-01-31T00:00:00"/>
    <x v="0"/>
    <x v="0"/>
    <x v="7"/>
    <x v="2"/>
    <s v="Jan-2005"/>
    <x v="1"/>
    <x v="60"/>
    <x v="4"/>
    <x v="1"/>
    <x v="1"/>
  </r>
  <r>
    <n v="10384"/>
    <n v="34"/>
    <n v="100"/>
    <n v="3400"/>
    <s v="Medium"/>
    <n v="1020"/>
    <d v="2005-02-23T00:00:00"/>
    <x v="0"/>
    <x v="0"/>
    <x v="0"/>
    <x v="2"/>
    <s v="Feb-2005"/>
    <x v="1"/>
    <x v="4"/>
    <x v="0"/>
    <x v="0"/>
    <x v="1"/>
  </r>
  <r>
    <n v="10395"/>
    <n v="32"/>
    <n v="100"/>
    <n v="3200"/>
    <s v="Medium"/>
    <n v="960"/>
    <d v="2005-03-17T00:00:00"/>
    <x v="0"/>
    <x v="0"/>
    <x v="11"/>
    <x v="2"/>
    <s v="Mar-2005"/>
    <x v="1"/>
    <x v="2"/>
    <x v="1"/>
    <x v="1"/>
    <x v="1"/>
  </r>
  <r>
    <n v="10400"/>
    <n v="64"/>
    <n v="100"/>
    <n v="6400"/>
    <s v="High"/>
    <n v="1920"/>
    <d v="2005-04-01T00:00:00"/>
    <x v="0"/>
    <x v="0"/>
    <x v="8"/>
    <x v="2"/>
    <s v="Apr-2005"/>
    <x v="1"/>
    <x v="61"/>
    <x v="0"/>
    <x v="0"/>
    <x v="2"/>
  </r>
  <r>
    <n v="10414"/>
    <n v="19"/>
    <n v="100"/>
    <n v="1900"/>
    <s v="Low"/>
    <n v="570"/>
    <d v="2005-05-06T00:00:00"/>
    <x v="4"/>
    <x v="1"/>
    <x v="1"/>
    <x v="2"/>
    <s v="May-2005"/>
    <x v="1"/>
    <x v="58"/>
    <x v="0"/>
    <x v="0"/>
    <x v="0"/>
  </r>
  <r>
    <n v="10103"/>
    <n v="42"/>
    <n v="100"/>
    <n v="4200"/>
    <s v="Medium"/>
    <n v="1260"/>
    <d v="2003-01-29T00:00:00"/>
    <x v="0"/>
    <x v="0"/>
    <x v="7"/>
    <x v="0"/>
    <s v="Jan-2003"/>
    <x v="1"/>
    <x v="17"/>
    <x v="2"/>
    <x v="1"/>
    <x v="1"/>
  </r>
  <r>
    <n v="10114"/>
    <n v="31"/>
    <n v="100"/>
    <n v="3100"/>
    <s v="Medium"/>
    <n v="930"/>
    <d v="2003-04-01T00:00:00"/>
    <x v="0"/>
    <x v="0"/>
    <x v="8"/>
    <x v="0"/>
    <s v="Apr-2003"/>
    <x v="1"/>
    <x v="62"/>
    <x v="1"/>
    <x v="1"/>
    <x v="1"/>
  </r>
  <r>
    <n v="10126"/>
    <n v="22"/>
    <n v="100"/>
    <n v="2200"/>
    <s v="Medium"/>
    <n v="660"/>
    <d v="2003-05-28T00:00:00"/>
    <x v="0"/>
    <x v="0"/>
    <x v="1"/>
    <x v="0"/>
    <s v="May-2003"/>
    <x v="1"/>
    <x v="25"/>
    <x v="7"/>
    <x v="1"/>
    <x v="1"/>
  </r>
  <r>
    <n v="10140"/>
    <n v="26"/>
    <n v="100"/>
    <n v="2600"/>
    <s v="Medium"/>
    <n v="780"/>
    <d v="2003-07-24T00:00:00"/>
    <x v="0"/>
    <x v="0"/>
    <x v="2"/>
    <x v="0"/>
    <s v="Jul-2003"/>
    <x v="1"/>
    <x v="5"/>
    <x v="0"/>
    <x v="0"/>
    <x v="1"/>
  </r>
  <r>
    <n v="10150"/>
    <n v="20"/>
    <n v="100"/>
    <n v="2000"/>
    <s v="Medium"/>
    <n v="600"/>
    <d v="2003-09-19T00:00:00"/>
    <x v="0"/>
    <x v="0"/>
    <x v="10"/>
    <x v="0"/>
    <s v="Sep-2003"/>
    <x v="1"/>
    <x v="26"/>
    <x v="9"/>
    <x v="3"/>
    <x v="1"/>
  </r>
  <r>
    <n v="10164"/>
    <n v="21"/>
    <n v="100"/>
    <n v="2100"/>
    <s v="Medium"/>
    <n v="630"/>
    <d v="2003-10-21T00:00:00"/>
    <x v="5"/>
    <x v="1"/>
    <x v="4"/>
    <x v="0"/>
    <s v="Oct-2003"/>
    <x v="1"/>
    <x v="63"/>
    <x v="5"/>
    <x v="1"/>
    <x v="1"/>
  </r>
  <r>
    <n v="10175"/>
    <n v="33"/>
    <n v="100"/>
    <n v="3300"/>
    <s v="Medium"/>
    <n v="990"/>
    <d v="2003-11-06T00:00:00"/>
    <x v="0"/>
    <x v="0"/>
    <x v="5"/>
    <x v="0"/>
    <s v="Nov-2003"/>
    <x v="1"/>
    <x v="49"/>
    <x v="6"/>
    <x v="1"/>
    <x v="1"/>
  </r>
  <r>
    <n v="10183"/>
    <n v="28"/>
    <n v="100"/>
    <n v="2800"/>
    <s v="Medium"/>
    <n v="840"/>
    <d v="2003-11-13T00:00:00"/>
    <x v="0"/>
    <x v="0"/>
    <x v="5"/>
    <x v="0"/>
    <s v="Nov-2003"/>
    <x v="1"/>
    <x v="29"/>
    <x v="0"/>
    <x v="0"/>
    <x v="1"/>
  </r>
  <r>
    <n v="10194"/>
    <n v="26"/>
    <n v="100"/>
    <n v="2600"/>
    <s v="Medium"/>
    <n v="780"/>
    <d v="2003-11-25T00:00:00"/>
    <x v="0"/>
    <x v="0"/>
    <x v="5"/>
    <x v="0"/>
    <s v="Nov-2003"/>
    <x v="1"/>
    <x v="30"/>
    <x v="1"/>
    <x v="1"/>
    <x v="1"/>
  </r>
  <r>
    <n v="10207"/>
    <n v="31"/>
    <n v="100"/>
    <n v="3100"/>
    <s v="Medium"/>
    <n v="930"/>
    <d v="2003-12-09T00:00:00"/>
    <x v="0"/>
    <x v="0"/>
    <x v="6"/>
    <x v="0"/>
    <s v="Dec-2003"/>
    <x v="1"/>
    <x v="64"/>
    <x v="0"/>
    <x v="0"/>
    <x v="1"/>
  </r>
  <r>
    <n v="10217"/>
    <n v="48"/>
    <n v="100"/>
    <n v="4800"/>
    <s v="Medium"/>
    <n v="1440"/>
    <d v="2004-02-04T00:00:00"/>
    <x v="0"/>
    <x v="0"/>
    <x v="0"/>
    <x v="1"/>
    <s v="Feb-2004"/>
    <x v="1"/>
    <x v="65"/>
    <x v="9"/>
    <x v="2"/>
    <x v="2"/>
  </r>
  <r>
    <n v="10229"/>
    <n v="50"/>
    <n v="100"/>
    <n v="5000"/>
    <s v="High"/>
    <n v="1500"/>
    <d v="2004-03-11T00:00:00"/>
    <x v="0"/>
    <x v="0"/>
    <x v="11"/>
    <x v="1"/>
    <s v="Mar-2004"/>
    <x v="1"/>
    <x v="39"/>
    <x v="0"/>
    <x v="0"/>
    <x v="1"/>
  </r>
  <r>
    <n v="10245"/>
    <n v="28"/>
    <n v="100"/>
    <n v="2800"/>
    <s v="Medium"/>
    <n v="840"/>
    <d v="2004-05-04T00:00:00"/>
    <x v="0"/>
    <x v="0"/>
    <x v="1"/>
    <x v="1"/>
    <s v="May-2004"/>
    <x v="1"/>
    <x v="34"/>
    <x v="0"/>
    <x v="0"/>
    <x v="1"/>
  </r>
  <r>
    <n v="10259"/>
    <n v="26"/>
    <n v="100"/>
    <n v="2600"/>
    <s v="Medium"/>
    <n v="780"/>
    <d v="2004-06-15T00:00:00"/>
    <x v="0"/>
    <x v="0"/>
    <x v="9"/>
    <x v="1"/>
    <s v="Jun-2004"/>
    <x v="1"/>
    <x v="65"/>
    <x v="9"/>
    <x v="2"/>
    <x v="1"/>
  </r>
  <r>
    <n v="10270"/>
    <n v="32"/>
    <n v="100"/>
    <n v="3200"/>
    <s v="Medium"/>
    <n v="960"/>
    <d v="2004-07-19T00:00:00"/>
    <x v="0"/>
    <x v="0"/>
    <x v="2"/>
    <x v="1"/>
    <s v="Jul-2004"/>
    <x v="1"/>
    <x v="20"/>
    <x v="3"/>
    <x v="2"/>
    <x v="1"/>
  </r>
  <r>
    <n v="10281"/>
    <n v="44"/>
    <n v="100"/>
    <n v="4400"/>
    <s v="Medium"/>
    <n v="1320"/>
    <d v="2004-08-19T00:00:00"/>
    <x v="0"/>
    <x v="0"/>
    <x v="3"/>
    <x v="1"/>
    <s v="Aug-2004"/>
    <x v="1"/>
    <x v="18"/>
    <x v="0"/>
    <x v="0"/>
    <x v="2"/>
  </r>
  <r>
    <n v="10291"/>
    <n v="30"/>
    <n v="100"/>
    <n v="3000"/>
    <s v="Medium"/>
    <n v="900"/>
    <d v="2004-09-08T00:00:00"/>
    <x v="0"/>
    <x v="0"/>
    <x v="10"/>
    <x v="1"/>
    <s v="Sep-2004"/>
    <x v="1"/>
    <x v="37"/>
    <x v="8"/>
    <x v="1"/>
    <x v="1"/>
  </r>
  <r>
    <n v="10305"/>
    <n v="38"/>
    <n v="100"/>
    <n v="3800"/>
    <s v="Medium"/>
    <n v="1140"/>
    <d v="2004-10-13T00:00:00"/>
    <x v="0"/>
    <x v="0"/>
    <x v="4"/>
    <x v="1"/>
    <s v="Oct-2004"/>
    <x v="1"/>
    <x v="15"/>
    <x v="0"/>
    <x v="0"/>
    <x v="1"/>
  </r>
  <r>
    <n v="10313"/>
    <n v="40"/>
    <n v="100"/>
    <n v="4000"/>
    <s v="Medium"/>
    <n v="1200"/>
    <d v="2004-10-22T00:00:00"/>
    <x v="0"/>
    <x v="0"/>
    <x v="4"/>
    <x v="1"/>
    <s v="Oct-2004"/>
    <x v="1"/>
    <x v="31"/>
    <x v="10"/>
    <x v="0"/>
    <x v="1"/>
  </r>
  <r>
    <n v="10322"/>
    <n v="46"/>
    <n v="61.99"/>
    <n v="2851.54"/>
    <s v="Medium"/>
    <n v="855.46199999999999"/>
    <d v="2004-11-04T00:00:00"/>
    <x v="0"/>
    <x v="0"/>
    <x v="5"/>
    <x v="1"/>
    <s v="Nov-2004"/>
    <x v="1"/>
    <x v="40"/>
    <x v="0"/>
    <x v="0"/>
    <x v="0"/>
  </r>
  <r>
    <n v="10334"/>
    <n v="26"/>
    <n v="100"/>
    <n v="2600"/>
    <s v="Medium"/>
    <n v="780"/>
    <d v="2004-11-19T00:00:00"/>
    <x v="4"/>
    <x v="1"/>
    <x v="5"/>
    <x v="1"/>
    <s v="Nov-2004"/>
    <x v="1"/>
    <x v="24"/>
    <x v="8"/>
    <x v="1"/>
    <x v="1"/>
  </r>
  <r>
    <n v="10347"/>
    <n v="27"/>
    <n v="100"/>
    <n v="2700"/>
    <s v="Medium"/>
    <n v="810"/>
    <d v="2004-11-29T00:00:00"/>
    <x v="0"/>
    <x v="0"/>
    <x v="5"/>
    <x v="1"/>
    <s v="Nov-2004"/>
    <x v="1"/>
    <x v="10"/>
    <x v="3"/>
    <x v="2"/>
    <x v="1"/>
  </r>
  <r>
    <n v="10357"/>
    <n v="43"/>
    <n v="100"/>
    <n v="4300"/>
    <s v="Medium"/>
    <n v="1290"/>
    <d v="2004-12-10T00:00:00"/>
    <x v="0"/>
    <x v="0"/>
    <x v="6"/>
    <x v="1"/>
    <s v="Dec-2004"/>
    <x v="1"/>
    <x v="39"/>
    <x v="0"/>
    <x v="0"/>
    <x v="1"/>
  </r>
  <r>
    <n v="10370"/>
    <n v="35"/>
    <n v="65.63"/>
    <n v="2297.0499999999997"/>
    <s v="Medium"/>
    <n v="689.1149999999999"/>
    <d v="2005-01-20T00:00:00"/>
    <x v="0"/>
    <x v="0"/>
    <x v="7"/>
    <x v="2"/>
    <s v="Jan-2005"/>
    <x v="1"/>
    <x v="42"/>
    <x v="3"/>
    <x v="2"/>
    <x v="0"/>
  </r>
  <r>
    <n v="10381"/>
    <n v="37"/>
    <n v="100"/>
    <n v="3700"/>
    <s v="Medium"/>
    <n v="1110"/>
    <d v="2005-02-17T00:00:00"/>
    <x v="0"/>
    <x v="0"/>
    <x v="0"/>
    <x v="2"/>
    <s v="Feb-2005"/>
    <x v="1"/>
    <x v="4"/>
    <x v="0"/>
    <x v="0"/>
    <x v="1"/>
  </r>
  <r>
    <n v="10391"/>
    <n v="37"/>
    <n v="46.9"/>
    <n v="1735.3"/>
    <s v="Low"/>
    <n v="520.58999999999992"/>
    <d v="2005-03-09T00:00:00"/>
    <x v="0"/>
    <x v="0"/>
    <x v="11"/>
    <x v="2"/>
    <s v="Mar-2005"/>
    <x v="1"/>
    <x v="42"/>
    <x v="3"/>
    <x v="2"/>
    <x v="0"/>
  </r>
  <r>
    <n v="10411"/>
    <n v="27"/>
    <n v="100"/>
    <n v="2700"/>
    <s v="Medium"/>
    <n v="810"/>
    <d v="2005-05-01T00:00:00"/>
    <x v="0"/>
    <x v="0"/>
    <x v="1"/>
    <x v="2"/>
    <s v="May-2005"/>
    <x v="1"/>
    <x v="43"/>
    <x v="10"/>
    <x v="0"/>
    <x v="1"/>
  </r>
  <r>
    <n v="10425"/>
    <n v="38"/>
    <n v="100"/>
    <n v="3800"/>
    <s v="Medium"/>
    <n v="1140"/>
    <d v="2005-05-31T00:00:00"/>
    <x v="2"/>
    <x v="1"/>
    <x v="1"/>
    <x v="2"/>
    <s v="May-2005"/>
    <x v="1"/>
    <x v="14"/>
    <x v="1"/>
    <x v="1"/>
    <x v="1"/>
  </r>
  <r>
    <n v="10108"/>
    <n v="33"/>
    <n v="100"/>
    <n v="3300"/>
    <s v="Medium"/>
    <n v="990"/>
    <d v="2003-03-03T00:00:00"/>
    <x v="0"/>
    <x v="0"/>
    <x v="11"/>
    <x v="0"/>
    <s v="Mar-2003"/>
    <x v="1"/>
    <x v="66"/>
    <x v="15"/>
    <x v="3"/>
    <x v="1"/>
  </r>
  <r>
    <n v="10122"/>
    <n v="42"/>
    <n v="100"/>
    <n v="4200"/>
    <s v="Medium"/>
    <n v="1260"/>
    <d v="2003-05-08T00:00:00"/>
    <x v="0"/>
    <x v="0"/>
    <x v="1"/>
    <x v="0"/>
    <s v="May-2003"/>
    <x v="1"/>
    <x v="67"/>
    <x v="1"/>
    <x v="1"/>
    <x v="2"/>
  </r>
  <r>
    <n v="10135"/>
    <n v="42"/>
    <n v="100"/>
    <n v="4200"/>
    <s v="Medium"/>
    <n v="1260"/>
    <d v="2003-07-02T00:00:00"/>
    <x v="0"/>
    <x v="0"/>
    <x v="2"/>
    <x v="0"/>
    <s v="Jul-2003"/>
    <x v="1"/>
    <x v="39"/>
    <x v="0"/>
    <x v="0"/>
    <x v="2"/>
  </r>
  <r>
    <n v="10147"/>
    <n v="48"/>
    <n v="100"/>
    <n v="4800"/>
    <s v="Medium"/>
    <n v="1440"/>
    <d v="2003-09-05T00:00:00"/>
    <x v="0"/>
    <x v="0"/>
    <x v="10"/>
    <x v="0"/>
    <s v="Sep-2003"/>
    <x v="1"/>
    <x v="41"/>
    <x v="0"/>
    <x v="0"/>
    <x v="2"/>
  </r>
  <r>
    <n v="10159"/>
    <n v="41"/>
    <n v="100"/>
    <n v="4100"/>
    <s v="Medium"/>
    <n v="1230"/>
    <d v="2003-10-10T00:00:00"/>
    <x v="0"/>
    <x v="0"/>
    <x v="4"/>
    <x v="0"/>
    <s v="Oct-2003"/>
    <x v="1"/>
    <x v="4"/>
    <x v="0"/>
    <x v="0"/>
    <x v="2"/>
  </r>
  <r>
    <n v="10169"/>
    <n v="30"/>
    <n v="100"/>
    <n v="3000"/>
    <s v="Medium"/>
    <n v="900"/>
    <d v="2003-11-04T00:00:00"/>
    <x v="0"/>
    <x v="0"/>
    <x v="5"/>
    <x v="0"/>
    <s v="Nov-2003"/>
    <x v="1"/>
    <x v="42"/>
    <x v="3"/>
    <x v="2"/>
    <x v="1"/>
  </r>
  <r>
    <n v="10181"/>
    <n v="27"/>
    <n v="100"/>
    <n v="2700"/>
    <s v="Medium"/>
    <n v="810"/>
    <d v="2003-11-12T00:00:00"/>
    <x v="0"/>
    <x v="0"/>
    <x v="5"/>
    <x v="0"/>
    <s v="Nov-2003"/>
    <x v="1"/>
    <x v="7"/>
    <x v="2"/>
    <x v="1"/>
    <x v="1"/>
  </r>
  <r>
    <n v="10191"/>
    <n v="21"/>
    <n v="100"/>
    <n v="2100"/>
    <s v="Medium"/>
    <n v="630"/>
    <d v="2003-11-20T00:00:00"/>
    <x v="0"/>
    <x v="0"/>
    <x v="5"/>
    <x v="0"/>
    <s v="Nov-2003"/>
    <x v="1"/>
    <x v="68"/>
    <x v="16"/>
    <x v="1"/>
    <x v="1"/>
  </r>
  <r>
    <n v="10203"/>
    <n v="20"/>
    <n v="100"/>
    <n v="2000"/>
    <s v="Medium"/>
    <n v="600"/>
    <d v="2003-12-02T00:00:00"/>
    <x v="0"/>
    <x v="0"/>
    <x v="6"/>
    <x v="0"/>
    <s v="Dec-2003"/>
    <x v="1"/>
    <x v="23"/>
    <x v="7"/>
    <x v="1"/>
    <x v="1"/>
  </r>
  <r>
    <n v="10211"/>
    <n v="41"/>
    <n v="100"/>
    <n v="4100"/>
    <s v="Medium"/>
    <n v="1230"/>
    <d v="2004-01-15T00:00:00"/>
    <x v="0"/>
    <x v="0"/>
    <x v="7"/>
    <x v="1"/>
    <s v="Jan-2004"/>
    <x v="1"/>
    <x v="9"/>
    <x v="1"/>
    <x v="1"/>
    <x v="2"/>
  </r>
  <r>
    <n v="10225"/>
    <n v="27"/>
    <n v="100"/>
    <n v="2700"/>
    <s v="Medium"/>
    <n v="810"/>
    <d v="2004-02-22T00:00:00"/>
    <x v="0"/>
    <x v="0"/>
    <x v="0"/>
    <x v="1"/>
    <s v="Feb-2004"/>
    <x v="1"/>
    <x v="69"/>
    <x v="17"/>
    <x v="1"/>
    <x v="1"/>
  </r>
  <r>
    <n v="10238"/>
    <n v="28"/>
    <n v="100"/>
    <n v="2800"/>
    <s v="Medium"/>
    <n v="840"/>
    <d v="2004-04-09T00:00:00"/>
    <x v="0"/>
    <x v="0"/>
    <x v="8"/>
    <x v="1"/>
    <s v="Apr-2004"/>
    <x v="1"/>
    <x v="48"/>
    <x v="13"/>
    <x v="1"/>
    <x v="1"/>
  </r>
  <r>
    <n v="10253"/>
    <n v="24"/>
    <n v="100"/>
    <n v="2400"/>
    <s v="Medium"/>
    <n v="720"/>
    <d v="2004-06-01T00:00:00"/>
    <x v="3"/>
    <x v="1"/>
    <x v="9"/>
    <x v="1"/>
    <s v="Jun-2004"/>
    <x v="1"/>
    <x v="22"/>
    <x v="6"/>
    <x v="1"/>
    <x v="1"/>
  </r>
  <r>
    <n v="10266"/>
    <n v="44"/>
    <n v="100"/>
    <n v="4400"/>
    <s v="Medium"/>
    <n v="1320"/>
    <d v="2004-07-06T00:00:00"/>
    <x v="0"/>
    <x v="0"/>
    <x v="2"/>
    <x v="1"/>
    <s v="Jul-2004"/>
    <x v="1"/>
    <x v="70"/>
    <x v="12"/>
    <x v="1"/>
    <x v="2"/>
  </r>
  <r>
    <n v="10276"/>
    <n v="50"/>
    <n v="100"/>
    <n v="5000"/>
    <s v="High"/>
    <n v="1500"/>
    <d v="2004-08-02T00:00:00"/>
    <x v="0"/>
    <x v="0"/>
    <x v="3"/>
    <x v="1"/>
    <s v="Aug-2004"/>
    <x v="1"/>
    <x v="71"/>
    <x v="0"/>
    <x v="0"/>
    <x v="2"/>
  </r>
  <r>
    <n v="10287"/>
    <n v="21"/>
    <n v="100"/>
    <n v="2100"/>
    <s v="Medium"/>
    <n v="630"/>
    <d v="2004-08-30T00:00:00"/>
    <x v="0"/>
    <x v="0"/>
    <x v="3"/>
    <x v="1"/>
    <s v="Aug-2004"/>
    <x v="1"/>
    <x v="69"/>
    <x v="17"/>
    <x v="1"/>
    <x v="1"/>
  </r>
  <r>
    <n v="10300"/>
    <n v="33"/>
    <n v="100"/>
    <n v="3300"/>
    <s v="Medium"/>
    <n v="990"/>
    <d v="2003-10-04T00:00:00"/>
    <x v="0"/>
    <x v="0"/>
    <x v="4"/>
    <x v="0"/>
    <s v="Oct-2003"/>
    <x v="1"/>
    <x v="72"/>
    <x v="16"/>
    <x v="1"/>
    <x v="1"/>
  </r>
  <r>
    <n v="10310"/>
    <n v="33"/>
    <n v="100"/>
    <n v="3300"/>
    <s v="Medium"/>
    <n v="990"/>
    <d v="2004-10-16T00:00:00"/>
    <x v="0"/>
    <x v="0"/>
    <x v="4"/>
    <x v="1"/>
    <s v="Oct-2004"/>
    <x v="1"/>
    <x v="68"/>
    <x v="16"/>
    <x v="1"/>
    <x v="1"/>
  </r>
  <r>
    <n v="10320"/>
    <n v="31"/>
    <n v="100"/>
    <n v="3100"/>
    <s v="Medium"/>
    <n v="930"/>
    <d v="2004-11-03T00:00:00"/>
    <x v="0"/>
    <x v="0"/>
    <x v="5"/>
    <x v="1"/>
    <s v="Nov-2004"/>
    <x v="1"/>
    <x v="24"/>
    <x v="8"/>
    <x v="1"/>
    <x v="1"/>
  </r>
  <r>
    <n v="10329"/>
    <n v="41"/>
    <n v="71.47"/>
    <n v="2930.27"/>
    <s v="Medium"/>
    <n v="879.08100000000002"/>
    <d v="2004-11-15T00:00:00"/>
    <x v="0"/>
    <x v="0"/>
    <x v="5"/>
    <x v="1"/>
    <s v="Nov-2004"/>
    <x v="1"/>
    <x v="0"/>
    <x v="0"/>
    <x v="0"/>
    <x v="0"/>
  </r>
  <r>
    <n v="10341"/>
    <n v="45"/>
    <n v="79.650000000000006"/>
    <n v="3584.2500000000005"/>
    <s v="Medium"/>
    <n v="1075.2750000000001"/>
    <d v="2004-11-24T00:00:00"/>
    <x v="0"/>
    <x v="0"/>
    <x v="5"/>
    <x v="1"/>
    <s v="Nov-2004"/>
    <x v="1"/>
    <x v="19"/>
    <x v="5"/>
    <x v="1"/>
    <x v="1"/>
  </r>
  <r>
    <n v="10363"/>
    <n v="33"/>
    <n v="85.39"/>
    <n v="2817.87"/>
    <s v="Medium"/>
    <n v="845.36099999999999"/>
    <d v="2005-01-06T00:00:00"/>
    <x v="0"/>
    <x v="0"/>
    <x v="7"/>
    <x v="2"/>
    <s v="Jan-2005"/>
    <x v="1"/>
    <x v="73"/>
    <x v="4"/>
    <x v="1"/>
    <x v="0"/>
  </r>
  <r>
    <n v="10375"/>
    <n v="45"/>
    <n v="76"/>
    <n v="3420"/>
    <s v="Medium"/>
    <n v="1026"/>
    <d v="2005-02-03T00:00:00"/>
    <x v="0"/>
    <x v="0"/>
    <x v="0"/>
    <x v="2"/>
    <s v="Feb-2005"/>
    <x v="1"/>
    <x v="14"/>
    <x v="1"/>
    <x v="1"/>
    <x v="1"/>
  </r>
  <r>
    <n v="10389"/>
    <n v="26"/>
    <n v="99.04"/>
    <n v="2575.04"/>
    <s v="Medium"/>
    <n v="772.51199999999994"/>
    <d v="2005-03-03T00:00:00"/>
    <x v="0"/>
    <x v="0"/>
    <x v="11"/>
    <x v="2"/>
    <s v="Mar-2005"/>
    <x v="1"/>
    <x v="37"/>
    <x v="8"/>
    <x v="1"/>
    <x v="0"/>
  </r>
  <r>
    <n v="10419"/>
    <n v="12"/>
    <n v="100"/>
    <n v="1200"/>
    <s v="Low"/>
    <n v="360"/>
    <d v="2005-05-17T00:00:00"/>
    <x v="0"/>
    <x v="0"/>
    <x v="1"/>
    <x v="2"/>
    <s v="May-2005"/>
    <x v="1"/>
    <x v="19"/>
    <x v="5"/>
    <x v="1"/>
    <x v="0"/>
  </r>
  <r>
    <n v="10105"/>
    <n v="41"/>
    <n v="100"/>
    <n v="4100"/>
    <s v="Medium"/>
    <n v="1230"/>
    <d v="2003-02-11T00:00:00"/>
    <x v="0"/>
    <x v="0"/>
    <x v="0"/>
    <x v="0"/>
    <s v="Feb-2003"/>
    <x v="1"/>
    <x v="48"/>
    <x v="13"/>
    <x v="1"/>
    <x v="2"/>
  </r>
  <r>
    <n v="10117"/>
    <n v="33"/>
    <n v="100"/>
    <n v="3300"/>
    <s v="Medium"/>
    <n v="990"/>
    <d v="2003-04-16T00:00:00"/>
    <x v="0"/>
    <x v="0"/>
    <x v="8"/>
    <x v="0"/>
    <s v="Apr-2003"/>
    <x v="1"/>
    <x v="26"/>
    <x v="9"/>
    <x v="3"/>
    <x v="1"/>
  </r>
  <r>
    <n v="10127"/>
    <n v="46"/>
    <n v="100"/>
    <n v="4600"/>
    <s v="Medium"/>
    <n v="1380"/>
    <d v="2003-06-03T00:00:00"/>
    <x v="0"/>
    <x v="0"/>
    <x v="9"/>
    <x v="0"/>
    <s v="Jun-2003"/>
    <x v="1"/>
    <x v="74"/>
    <x v="0"/>
    <x v="0"/>
    <x v="2"/>
  </r>
  <r>
    <n v="10142"/>
    <n v="33"/>
    <n v="100"/>
    <n v="3300"/>
    <s v="Medium"/>
    <n v="990"/>
    <d v="2003-08-08T00:00:00"/>
    <x v="0"/>
    <x v="0"/>
    <x v="3"/>
    <x v="0"/>
    <s v="Aug-2003"/>
    <x v="1"/>
    <x v="39"/>
    <x v="0"/>
    <x v="0"/>
    <x v="2"/>
  </r>
  <r>
    <n v="10153"/>
    <n v="20"/>
    <n v="100"/>
    <n v="2000"/>
    <s v="Medium"/>
    <n v="600"/>
    <d v="2003-09-28T00:00:00"/>
    <x v="0"/>
    <x v="0"/>
    <x v="10"/>
    <x v="0"/>
    <s v="Sep-2003"/>
    <x v="1"/>
    <x v="23"/>
    <x v="7"/>
    <x v="1"/>
    <x v="1"/>
  </r>
  <r>
    <n v="10165"/>
    <n v="44"/>
    <n v="100"/>
    <n v="4400"/>
    <s v="Medium"/>
    <n v="1320"/>
    <d v="2003-10-22T00:00:00"/>
    <x v="0"/>
    <x v="0"/>
    <x v="4"/>
    <x v="0"/>
    <s v="Oct-2003"/>
    <x v="1"/>
    <x v="26"/>
    <x v="9"/>
    <x v="3"/>
    <x v="2"/>
  </r>
  <r>
    <n v="10176"/>
    <n v="33"/>
    <n v="100"/>
    <n v="3300"/>
    <s v="Medium"/>
    <n v="990"/>
    <d v="2003-11-06T00:00:00"/>
    <x v="0"/>
    <x v="0"/>
    <x v="5"/>
    <x v="0"/>
    <s v="Nov-2003"/>
    <x v="1"/>
    <x v="70"/>
    <x v="12"/>
    <x v="1"/>
    <x v="2"/>
  </r>
  <r>
    <n v="10185"/>
    <n v="21"/>
    <n v="100"/>
    <n v="2100"/>
    <s v="Medium"/>
    <n v="630"/>
    <d v="2003-11-14T00:00:00"/>
    <x v="0"/>
    <x v="0"/>
    <x v="5"/>
    <x v="0"/>
    <s v="Nov-2003"/>
    <x v="1"/>
    <x v="50"/>
    <x v="0"/>
    <x v="0"/>
    <x v="1"/>
  </r>
  <r>
    <n v="10196"/>
    <n v="47"/>
    <n v="100"/>
    <n v="4700"/>
    <s v="Medium"/>
    <n v="1410"/>
    <d v="2003-11-26T00:00:00"/>
    <x v="0"/>
    <x v="0"/>
    <x v="5"/>
    <x v="0"/>
    <s v="Nov-2003"/>
    <x v="1"/>
    <x v="34"/>
    <x v="0"/>
    <x v="0"/>
    <x v="2"/>
  </r>
  <r>
    <n v="10208"/>
    <n v="46"/>
    <n v="100"/>
    <n v="4600"/>
    <s v="Medium"/>
    <n v="1380"/>
    <d v="2004-01-02T00:00:00"/>
    <x v="0"/>
    <x v="0"/>
    <x v="7"/>
    <x v="1"/>
    <s v="Jan-2004"/>
    <x v="1"/>
    <x v="30"/>
    <x v="1"/>
    <x v="1"/>
    <x v="2"/>
  </r>
  <r>
    <n v="10220"/>
    <n v="32"/>
    <n v="100"/>
    <n v="3200"/>
    <s v="Medium"/>
    <n v="960"/>
    <d v="2004-02-12T00:00:00"/>
    <x v="0"/>
    <x v="0"/>
    <x v="0"/>
    <x v="1"/>
    <s v="Feb-2004"/>
    <x v="1"/>
    <x v="75"/>
    <x v="18"/>
    <x v="1"/>
    <x v="2"/>
  </r>
  <r>
    <n v="10231"/>
    <n v="42"/>
    <n v="100"/>
    <n v="4200"/>
    <s v="Medium"/>
    <n v="1260"/>
    <d v="2004-03-19T00:00:00"/>
    <x v="0"/>
    <x v="0"/>
    <x v="11"/>
    <x v="1"/>
    <s v="Mar-2004"/>
    <x v="1"/>
    <x v="76"/>
    <x v="7"/>
    <x v="1"/>
    <x v="2"/>
  </r>
  <r>
    <n v="10247"/>
    <n v="44"/>
    <n v="100"/>
    <n v="4400"/>
    <s v="Medium"/>
    <n v="1320"/>
    <d v="2004-05-05T00:00:00"/>
    <x v="0"/>
    <x v="0"/>
    <x v="1"/>
    <x v="1"/>
    <s v="May-2004"/>
    <x v="1"/>
    <x v="73"/>
    <x v="4"/>
    <x v="1"/>
    <x v="2"/>
  </r>
  <r>
    <n v="10272"/>
    <n v="35"/>
    <n v="100"/>
    <n v="3500"/>
    <s v="Medium"/>
    <n v="1050"/>
    <d v="2004-07-20T00:00:00"/>
    <x v="0"/>
    <x v="0"/>
    <x v="2"/>
    <x v="1"/>
    <s v="Jul-2004"/>
    <x v="1"/>
    <x v="18"/>
    <x v="0"/>
    <x v="0"/>
    <x v="1"/>
  </r>
  <r>
    <n v="10282"/>
    <n v="41"/>
    <n v="100"/>
    <n v="4100"/>
    <s v="Medium"/>
    <n v="1230"/>
    <d v="2004-08-20T00:00:00"/>
    <x v="0"/>
    <x v="0"/>
    <x v="3"/>
    <x v="1"/>
    <s v="Aug-2004"/>
    <x v="1"/>
    <x v="39"/>
    <x v="0"/>
    <x v="0"/>
    <x v="2"/>
  </r>
  <r>
    <n v="10293"/>
    <n v="46"/>
    <n v="100"/>
    <n v="4600"/>
    <s v="Medium"/>
    <n v="1380"/>
    <d v="2004-09-09T00:00:00"/>
    <x v="0"/>
    <x v="0"/>
    <x v="10"/>
    <x v="1"/>
    <s v="Sep-2004"/>
    <x v="1"/>
    <x v="36"/>
    <x v="12"/>
    <x v="1"/>
    <x v="2"/>
  </r>
  <r>
    <n v="10306"/>
    <n v="31"/>
    <n v="100"/>
    <n v="3100"/>
    <s v="Medium"/>
    <n v="930"/>
    <d v="2004-10-14T00:00:00"/>
    <x v="0"/>
    <x v="0"/>
    <x v="4"/>
    <x v="1"/>
    <s v="Oct-2004"/>
    <x v="1"/>
    <x v="77"/>
    <x v="6"/>
    <x v="1"/>
    <x v="1"/>
  </r>
  <r>
    <n v="10314"/>
    <n v="38"/>
    <n v="100"/>
    <n v="3800"/>
    <s v="Medium"/>
    <n v="1140"/>
    <d v="2004-10-22T00:00:00"/>
    <x v="0"/>
    <x v="0"/>
    <x v="4"/>
    <x v="1"/>
    <s v="Oct-2004"/>
    <x v="1"/>
    <x v="78"/>
    <x v="13"/>
    <x v="1"/>
    <x v="2"/>
  </r>
  <r>
    <n v="10325"/>
    <n v="42"/>
    <n v="64"/>
    <n v="2688"/>
    <s v="Medium"/>
    <n v="806.4"/>
    <d v="2004-11-05T00:00:00"/>
    <x v="0"/>
    <x v="0"/>
    <x v="5"/>
    <x v="1"/>
    <s v="Nov-2004"/>
    <x v="1"/>
    <x v="17"/>
    <x v="2"/>
    <x v="1"/>
    <x v="0"/>
  </r>
  <r>
    <n v="10336"/>
    <n v="33"/>
    <n v="57.22"/>
    <n v="1888.26"/>
    <s v="Low"/>
    <n v="566.47799999999995"/>
    <d v="2004-11-20T00:00:00"/>
    <x v="0"/>
    <x v="0"/>
    <x v="5"/>
    <x v="1"/>
    <s v="Nov-2004"/>
    <x v="1"/>
    <x v="62"/>
    <x v="1"/>
    <x v="1"/>
    <x v="0"/>
  </r>
  <r>
    <n v="10348"/>
    <n v="48"/>
    <n v="52.36"/>
    <n v="2513.2799999999997"/>
    <s v="Medium"/>
    <n v="753.98399999999992"/>
    <d v="2004-11-01T00:00:00"/>
    <x v="0"/>
    <x v="0"/>
    <x v="5"/>
    <x v="1"/>
    <s v="Nov-2004"/>
    <x v="1"/>
    <x v="25"/>
    <x v="7"/>
    <x v="1"/>
    <x v="0"/>
  </r>
  <r>
    <n v="10359"/>
    <n v="42"/>
    <n v="100"/>
    <n v="4200"/>
    <s v="Medium"/>
    <n v="1260"/>
    <d v="2004-12-15T00:00:00"/>
    <x v="0"/>
    <x v="0"/>
    <x v="6"/>
    <x v="1"/>
    <s v="Dec-2004"/>
    <x v="1"/>
    <x v="1"/>
    <x v="1"/>
    <x v="1"/>
    <x v="1"/>
  </r>
  <r>
    <n v="10371"/>
    <n v="32"/>
    <n v="100"/>
    <n v="3200"/>
    <s v="Medium"/>
    <n v="960"/>
    <d v="2005-01-23T00:00:00"/>
    <x v="0"/>
    <x v="0"/>
    <x v="7"/>
    <x v="2"/>
    <s v="Jan-2005"/>
    <x v="1"/>
    <x v="39"/>
    <x v="0"/>
    <x v="0"/>
    <x v="1"/>
  </r>
  <r>
    <n v="10382"/>
    <n v="34"/>
    <n v="100"/>
    <n v="3400"/>
    <s v="Medium"/>
    <n v="1020"/>
    <d v="2005-02-17T00:00:00"/>
    <x v="0"/>
    <x v="0"/>
    <x v="0"/>
    <x v="2"/>
    <s v="Feb-2005"/>
    <x v="1"/>
    <x v="39"/>
    <x v="0"/>
    <x v="0"/>
    <x v="1"/>
  </r>
  <r>
    <n v="10395"/>
    <n v="33"/>
    <n v="69.12"/>
    <n v="2280.96"/>
    <s v="Medium"/>
    <n v="684.28800000000001"/>
    <d v="2005-03-17T00:00:00"/>
    <x v="0"/>
    <x v="0"/>
    <x v="11"/>
    <x v="2"/>
    <s v="Mar-2005"/>
    <x v="1"/>
    <x v="2"/>
    <x v="1"/>
    <x v="1"/>
    <x v="0"/>
  </r>
  <r>
    <n v="10413"/>
    <n v="36"/>
    <n v="100"/>
    <n v="3600"/>
    <s v="Medium"/>
    <n v="1080"/>
    <d v="2005-05-05T00:00:00"/>
    <x v="0"/>
    <x v="0"/>
    <x v="1"/>
    <x v="2"/>
    <s v="May-2005"/>
    <x v="1"/>
    <x v="13"/>
    <x v="0"/>
    <x v="0"/>
    <x v="2"/>
  </r>
  <r>
    <n v="10103"/>
    <n v="27"/>
    <n v="100"/>
    <n v="2700"/>
    <s v="Medium"/>
    <n v="810"/>
    <d v="2003-01-29T00:00:00"/>
    <x v="0"/>
    <x v="0"/>
    <x v="7"/>
    <x v="0"/>
    <s v="Jan-2003"/>
    <x v="2"/>
    <x v="17"/>
    <x v="2"/>
    <x v="1"/>
    <x v="1"/>
  </r>
  <r>
    <n v="10113"/>
    <n v="21"/>
    <n v="100"/>
    <n v="2100"/>
    <s v="Medium"/>
    <n v="630"/>
    <d v="2003-03-26T00:00:00"/>
    <x v="0"/>
    <x v="0"/>
    <x v="11"/>
    <x v="0"/>
    <s v="Mar-2003"/>
    <x v="2"/>
    <x v="39"/>
    <x v="0"/>
    <x v="0"/>
    <x v="1"/>
  </r>
  <r>
    <n v="10126"/>
    <n v="21"/>
    <n v="100"/>
    <n v="2100"/>
    <s v="Medium"/>
    <n v="630"/>
    <d v="2003-05-28T00:00:00"/>
    <x v="0"/>
    <x v="0"/>
    <x v="1"/>
    <x v="0"/>
    <s v="May-2003"/>
    <x v="2"/>
    <x v="25"/>
    <x v="7"/>
    <x v="1"/>
    <x v="0"/>
  </r>
  <r>
    <n v="10140"/>
    <n v="38"/>
    <n v="100"/>
    <n v="3800"/>
    <s v="Medium"/>
    <n v="1140"/>
    <d v="2003-07-24T00:00:00"/>
    <x v="0"/>
    <x v="0"/>
    <x v="2"/>
    <x v="0"/>
    <s v="Jul-2003"/>
    <x v="2"/>
    <x v="5"/>
    <x v="0"/>
    <x v="0"/>
    <x v="1"/>
  </r>
  <r>
    <n v="10150"/>
    <n v="30"/>
    <n v="100"/>
    <n v="3000"/>
    <s v="Medium"/>
    <n v="900"/>
    <d v="2003-09-19T00:00:00"/>
    <x v="0"/>
    <x v="0"/>
    <x v="10"/>
    <x v="0"/>
    <s v="Sep-2003"/>
    <x v="2"/>
    <x v="26"/>
    <x v="9"/>
    <x v="3"/>
    <x v="1"/>
  </r>
  <r>
    <n v="10164"/>
    <n v="49"/>
    <n v="100"/>
    <n v="4900"/>
    <s v="Medium"/>
    <n v="1470"/>
    <d v="2003-10-21T00:00:00"/>
    <x v="5"/>
    <x v="1"/>
    <x v="4"/>
    <x v="0"/>
    <s v="Oct-2003"/>
    <x v="2"/>
    <x v="63"/>
    <x v="5"/>
    <x v="1"/>
    <x v="1"/>
  </r>
  <r>
    <n v="10174"/>
    <n v="43"/>
    <n v="100"/>
    <n v="4300"/>
    <s v="Medium"/>
    <n v="1290"/>
    <d v="2003-11-06T00:00:00"/>
    <x v="0"/>
    <x v="0"/>
    <x v="5"/>
    <x v="0"/>
    <s v="Nov-2003"/>
    <x v="2"/>
    <x v="28"/>
    <x v="3"/>
    <x v="2"/>
    <x v="1"/>
  </r>
  <r>
    <n v="10183"/>
    <n v="41"/>
    <n v="100"/>
    <n v="4100"/>
    <s v="Medium"/>
    <n v="1230"/>
    <d v="2003-11-13T00:00:00"/>
    <x v="0"/>
    <x v="0"/>
    <x v="5"/>
    <x v="0"/>
    <s v="Nov-2003"/>
    <x v="2"/>
    <x v="29"/>
    <x v="0"/>
    <x v="0"/>
    <x v="1"/>
  </r>
  <r>
    <n v="10194"/>
    <n v="38"/>
    <n v="100"/>
    <n v="3800"/>
    <s v="Medium"/>
    <n v="1140"/>
    <d v="2003-11-25T00:00:00"/>
    <x v="0"/>
    <x v="0"/>
    <x v="5"/>
    <x v="0"/>
    <s v="Nov-2003"/>
    <x v="2"/>
    <x v="30"/>
    <x v="1"/>
    <x v="1"/>
    <x v="1"/>
  </r>
  <r>
    <n v="10206"/>
    <n v="28"/>
    <n v="100"/>
    <n v="2800"/>
    <s v="Medium"/>
    <n v="840"/>
    <d v="2003-12-05T00:00:00"/>
    <x v="0"/>
    <x v="0"/>
    <x v="6"/>
    <x v="0"/>
    <s v="Dec-2003"/>
    <x v="2"/>
    <x v="31"/>
    <x v="10"/>
    <x v="0"/>
    <x v="1"/>
  </r>
  <r>
    <n v="10216"/>
    <n v="43"/>
    <n v="100"/>
    <n v="4300"/>
    <s v="Medium"/>
    <n v="1290"/>
    <d v="2004-02-02T00:00:00"/>
    <x v="0"/>
    <x v="0"/>
    <x v="0"/>
    <x v="1"/>
    <s v="Feb-2004"/>
    <x v="2"/>
    <x v="38"/>
    <x v="1"/>
    <x v="1"/>
    <x v="1"/>
  </r>
  <r>
    <n v="10229"/>
    <n v="25"/>
    <n v="100"/>
    <n v="2500"/>
    <s v="Medium"/>
    <n v="750"/>
    <d v="2004-03-11T00:00:00"/>
    <x v="0"/>
    <x v="0"/>
    <x v="11"/>
    <x v="1"/>
    <s v="Mar-2004"/>
    <x v="2"/>
    <x v="39"/>
    <x v="0"/>
    <x v="0"/>
    <x v="1"/>
  </r>
  <r>
    <n v="10245"/>
    <n v="38"/>
    <n v="100"/>
    <n v="3800"/>
    <s v="Medium"/>
    <n v="1140"/>
    <d v="2004-05-04T00:00:00"/>
    <x v="0"/>
    <x v="0"/>
    <x v="1"/>
    <x v="1"/>
    <s v="May-2004"/>
    <x v="2"/>
    <x v="34"/>
    <x v="0"/>
    <x v="0"/>
    <x v="1"/>
  </r>
  <r>
    <n v="10258"/>
    <n v="41"/>
    <n v="100"/>
    <n v="4100"/>
    <s v="Medium"/>
    <n v="1230"/>
    <d v="2004-06-15T00:00:00"/>
    <x v="0"/>
    <x v="0"/>
    <x v="9"/>
    <x v="1"/>
    <s v="Jun-2004"/>
    <x v="2"/>
    <x v="35"/>
    <x v="11"/>
    <x v="3"/>
    <x v="1"/>
  </r>
  <r>
    <n v="10270"/>
    <n v="28"/>
    <n v="100"/>
    <n v="2800"/>
    <s v="Medium"/>
    <n v="840"/>
    <d v="2004-07-19T00:00:00"/>
    <x v="0"/>
    <x v="0"/>
    <x v="2"/>
    <x v="1"/>
    <s v="Jul-2004"/>
    <x v="2"/>
    <x v="20"/>
    <x v="3"/>
    <x v="2"/>
    <x v="1"/>
  </r>
  <r>
    <n v="10281"/>
    <n v="25"/>
    <n v="100"/>
    <n v="2500"/>
    <s v="Medium"/>
    <n v="750"/>
    <d v="2004-08-19T00:00:00"/>
    <x v="0"/>
    <x v="0"/>
    <x v="3"/>
    <x v="1"/>
    <s v="Aug-2004"/>
    <x v="2"/>
    <x v="18"/>
    <x v="0"/>
    <x v="0"/>
    <x v="0"/>
  </r>
  <r>
    <n v="10291"/>
    <n v="41"/>
    <n v="100"/>
    <n v="4100"/>
    <s v="Medium"/>
    <n v="1230"/>
    <d v="2004-09-08T00:00:00"/>
    <x v="0"/>
    <x v="0"/>
    <x v="10"/>
    <x v="1"/>
    <s v="Sep-2004"/>
    <x v="2"/>
    <x v="37"/>
    <x v="8"/>
    <x v="1"/>
    <x v="1"/>
  </r>
  <r>
    <n v="10304"/>
    <n v="39"/>
    <n v="100"/>
    <n v="3900"/>
    <s v="Medium"/>
    <n v="1170"/>
    <d v="2004-10-11T00:00:00"/>
    <x v="0"/>
    <x v="0"/>
    <x v="4"/>
    <x v="1"/>
    <s v="Oct-2004"/>
    <x v="2"/>
    <x v="38"/>
    <x v="1"/>
    <x v="1"/>
    <x v="1"/>
  </r>
  <r>
    <n v="10313"/>
    <n v="21"/>
    <n v="100"/>
    <n v="2100"/>
    <s v="Medium"/>
    <n v="630"/>
    <d v="2004-10-22T00:00:00"/>
    <x v="0"/>
    <x v="0"/>
    <x v="4"/>
    <x v="1"/>
    <s v="Oct-2004"/>
    <x v="2"/>
    <x v="31"/>
    <x v="10"/>
    <x v="0"/>
    <x v="0"/>
  </r>
  <r>
    <n v="10322"/>
    <n v="27"/>
    <n v="100"/>
    <n v="2700"/>
    <s v="Medium"/>
    <n v="810"/>
    <d v="2004-11-04T00:00:00"/>
    <x v="0"/>
    <x v="0"/>
    <x v="5"/>
    <x v="1"/>
    <s v="Nov-2004"/>
    <x v="2"/>
    <x v="40"/>
    <x v="0"/>
    <x v="0"/>
    <x v="1"/>
  </r>
  <r>
    <n v="10333"/>
    <n v="33"/>
    <n v="99.21"/>
    <n v="3273.93"/>
    <s v="Medium"/>
    <n v="982.17899999999986"/>
    <d v="2004-11-18T00:00:00"/>
    <x v="0"/>
    <x v="0"/>
    <x v="5"/>
    <x v="1"/>
    <s v="Nov-2004"/>
    <x v="2"/>
    <x v="8"/>
    <x v="0"/>
    <x v="0"/>
    <x v="1"/>
  </r>
  <r>
    <n v="10347"/>
    <n v="29"/>
    <n v="100"/>
    <n v="2900"/>
    <s v="Medium"/>
    <n v="870"/>
    <d v="2004-11-29T00:00:00"/>
    <x v="0"/>
    <x v="0"/>
    <x v="5"/>
    <x v="1"/>
    <s v="Nov-2004"/>
    <x v="2"/>
    <x v="10"/>
    <x v="3"/>
    <x v="2"/>
    <x v="1"/>
  </r>
  <r>
    <n v="10357"/>
    <n v="49"/>
    <n v="100"/>
    <n v="4900"/>
    <s v="Medium"/>
    <n v="1470"/>
    <d v="2004-12-10T00:00:00"/>
    <x v="0"/>
    <x v="0"/>
    <x v="6"/>
    <x v="1"/>
    <s v="Dec-2004"/>
    <x v="2"/>
    <x v="39"/>
    <x v="0"/>
    <x v="0"/>
    <x v="1"/>
  </r>
  <r>
    <n v="10370"/>
    <n v="49"/>
    <n v="100"/>
    <n v="4900"/>
    <s v="Medium"/>
    <n v="1470"/>
    <d v="2005-01-20T00:00:00"/>
    <x v="0"/>
    <x v="0"/>
    <x v="7"/>
    <x v="2"/>
    <s v="Jan-2005"/>
    <x v="2"/>
    <x v="42"/>
    <x v="3"/>
    <x v="2"/>
    <x v="2"/>
  </r>
  <r>
    <n v="10381"/>
    <n v="20"/>
    <n v="100"/>
    <n v="2000"/>
    <s v="Medium"/>
    <n v="600"/>
    <d v="2005-02-17T00:00:00"/>
    <x v="0"/>
    <x v="0"/>
    <x v="0"/>
    <x v="2"/>
    <s v="Feb-2005"/>
    <x v="2"/>
    <x v="4"/>
    <x v="0"/>
    <x v="0"/>
    <x v="0"/>
  </r>
  <r>
    <n v="10391"/>
    <n v="39"/>
    <n v="63.2"/>
    <n v="2464.8000000000002"/>
    <s v="Medium"/>
    <n v="739.44"/>
    <d v="2005-03-09T00:00:00"/>
    <x v="0"/>
    <x v="0"/>
    <x v="11"/>
    <x v="2"/>
    <s v="Mar-2005"/>
    <x v="2"/>
    <x v="42"/>
    <x v="3"/>
    <x v="2"/>
    <x v="0"/>
  </r>
  <r>
    <n v="10411"/>
    <n v="40"/>
    <n v="100"/>
    <n v="4000"/>
    <s v="Medium"/>
    <n v="1200"/>
    <d v="2005-05-01T00:00:00"/>
    <x v="0"/>
    <x v="0"/>
    <x v="1"/>
    <x v="2"/>
    <s v="May-2005"/>
    <x v="2"/>
    <x v="43"/>
    <x v="10"/>
    <x v="0"/>
    <x v="1"/>
  </r>
  <r>
    <n v="10424"/>
    <n v="49"/>
    <n v="100"/>
    <n v="4900"/>
    <s v="Medium"/>
    <n v="1470"/>
    <d v="2005-05-31T00:00:00"/>
    <x v="2"/>
    <x v="1"/>
    <x v="1"/>
    <x v="2"/>
    <s v="May-2005"/>
    <x v="2"/>
    <x v="23"/>
    <x v="7"/>
    <x v="1"/>
    <x v="2"/>
  </r>
  <r>
    <n v="10107"/>
    <n v="21"/>
    <n v="100"/>
    <n v="2100"/>
    <s v="Medium"/>
    <n v="630"/>
    <d v="2003-02-24T00:00:00"/>
    <x v="0"/>
    <x v="0"/>
    <x v="0"/>
    <x v="0"/>
    <s v="Feb-2003"/>
    <x v="0"/>
    <x v="0"/>
    <x v="0"/>
    <x v="0"/>
    <x v="1"/>
  </r>
  <r>
    <n v="10121"/>
    <n v="50"/>
    <n v="100"/>
    <n v="5000"/>
    <s v="High"/>
    <n v="1500"/>
    <d v="2003-05-07T00:00:00"/>
    <x v="0"/>
    <x v="0"/>
    <x v="1"/>
    <x v="0"/>
    <s v="May-2003"/>
    <x v="0"/>
    <x v="1"/>
    <x v="1"/>
    <x v="1"/>
    <x v="2"/>
  </r>
  <r>
    <n v="10134"/>
    <n v="20"/>
    <n v="100"/>
    <n v="2000"/>
    <s v="Medium"/>
    <n v="600"/>
    <d v="2003-07-01T00:00:00"/>
    <x v="0"/>
    <x v="0"/>
    <x v="2"/>
    <x v="0"/>
    <s v="Jul-2003"/>
    <x v="0"/>
    <x v="2"/>
    <x v="1"/>
    <x v="1"/>
    <x v="0"/>
  </r>
  <r>
    <n v="10145"/>
    <n v="49"/>
    <n v="100"/>
    <n v="4900"/>
    <s v="Medium"/>
    <n v="1470"/>
    <d v="2003-08-25T00:00:00"/>
    <x v="0"/>
    <x v="0"/>
    <x v="3"/>
    <x v="0"/>
    <s v="Aug-2003"/>
    <x v="0"/>
    <x v="3"/>
    <x v="0"/>
    <x v="0"/>
    <x v="2"/>
  </r>
  <r>
    <n v="10159"/>
    <n v="38"/>
    <n v="100"/>
    <n v="3800"/>
    <s v="Medium"/>
    <n v="1140"/>
    <d v="2003-10-10T00:00:00"/>
    <x v="0"/>
    <x v="0"/>
    <x v="4"/>
    <x v="0"/>
    <s v="Oct-2003"/>
    <x v="0"/>
    <x v="4"/>
    <x v="0"/>
    <x v="0"/>
    <x v="1"/>
  </r>
  <r>
    <n v="10169"/>
    <n v="35"/>
    <n v="100"/>
    <n v="3500"/>
    <s v="Medium"/>
    <n v="1050"/>
    <d v="2003-11-04T00:00:00"/>
    <x v="0"/>
    <x v="0"/>
    <x v="5"/>
    <x v="0"/>
    <s v="Nov-2003"/>
    <x v="0"/>
    <x v="42"/>
    <x v="3"/>
    <x v="2"/>
    <x v="1"/>
  </r>
  <r>
    <n v="10180"/>
    <n v="40"/>
    <n v="100"/>
    <n v="4000"/>
    <s v="Medium"/>
    <n v="1200"/>
    <d v="2003-11-11T00:00:00"/>
    <x v="0"/>
    <x v="0"/>
    <x v="5"/>
    <x v="0"/>
    <s v="Nov-2003"/>
    <x v="0"/>
    <x v="6"/>
    <x v="1"/>
    <x v="1"/>
    <x v="1"/>
  </r>
  <r>
    <n v="10189"/>
    <n v="28"/>
    <n v="100"/>
    <n v="2800"/>
    <s v="Medium"/>
    <n v="840"/>
    <d v="2003-11-18T00:00:00"/>
    <x v="0"/>
    <x v="0"/>
    <x v="5"/>
    <x v="0"/>
    <s v="Nov-2003"/>
    <x v="0"/>
    <x v="3"/>
    <x v="0"/>
    <x v="0"/>
    <x v="1"/>
  </r>
  <r>
    <n v="10201"/>
    <n v="25"/>
    <n v="100"/>
    <n v="2500"/>
    <s v="Medium"/>
    <n v="750"/>
    <d v="2003-12-01T00:00:00"/>
    <x v="0"/>
    <x v="0"/>
    <x v="6"/>
    <x v="0"/>
    <s v="Dec-2003"/>
    <x v="0"/>
    <x v="8"/>
    <x v="0"/>
    <x v="0"/>
    <x v="1"/>
  </r>
  <r>
    <n v="10211"/>
    <n v="36"/>
    <n v="100"/>
    <n v="3600"/>
    <s v="Medium"/>
    <n v="1080"/>
    <d v="2004-01-15T00:00:00"/>
    <x v="0"/>
    <x v="0"/>
    <x v="7"/>
    <x v="1"/>
    <s v="Jan-2004"/>
    <x v="0"/>
    <x v="9"/>
    <x v="1"/>
    <x v="1"/>
    <x v="1"/>
  </r>
  <r>
    <n v="10224"/>
    <n v="43"/>
    <n v="100"/>
    <n v="4300"/>
    <s v="Medium"/>
    <n v="1290"/>
    <d v="2004-02-21T00:00:00"/>
    <x v="0"/>
    <x v="0"/>
    <x v="0"/>
    <x v="1"/>
    <s v="Feb-2004"/>
    <x v="0"/>
    <x v="6"/>
    <x v="1"/>
    <x v="1"/>
    <x v="1"/>
  </r>
  <r>
    <n v="10237"/>
    <n v="32"/>
    <n v="100"/>
    <n v="3200"/>
    <s v="Medium"/>
    <n v="960"/>
    <d v="2004-04-05T00:00:00"/>
    <x v="0"/>
    <x v="0"/>
    <x v="8"/>
    <x v="1"/>
    <s v="Apr-2004"/>
    <x v="0"/>
    <x v="11"/>
    <x v="0"/>
    <x v="0"/>
    <x v="1"/>
  </r>
  <r>
    <n v="10251"/>
    <n v="46"/>
    <n v="100"/>
    <n v="4600"/>
    <s v="Medium"/>
    <n v="1380"/>
    <d v="2004-05-18T00:00:00"/>
    <x v="0"/>
    <x v="0"/>
    <x v="1"/>
    <x v="1"/>
    <s v="May-2004"/>
    <x v="0"/>
    <x v="12"/>
    <x v="0"/>
    <x v="0"/>
    <x v="2"/>
  </r>
  <r>
    <n v="10263"/>
    <n v="48"/>
    <n v="100"/>
    <n v="4800"/>
    <s v="Medium"/>
    <n v="1440"/>
    <d v="2004-06-28T00:00:00"/>
    <x v="0"/>
    <x v="0"/>
    <x v="9"/>
    <x v="1"/>
    <s v="Jun-2004"/>
    <x v="0"/>
    <x v="13"/>
    <x v="0"/>
    <x v="0"/>
    <x v="1"/>
  </r>
  <r>
    <n v="10276"/>
    <n v="43"/>
    <n v="100"/>
    <n v="4300"/>
    <s v="Medium"/>
    <n v="1290"/>
    <d v="2004-08-02T00:00:00"/>
    <x v="0"/>
    <x v="0"/>
    <x v="3"/>
    <x v="1"/>
    <s v="Aug-2004"/>
    <x v="0"/>
    <x v="71"/>
    <x v="0"/>
    <x v="0"/>
    <x v="1"/>
  </r>
  <r>
    <n v="10285"/>
    <n v="49"/>
    <n v="100"/>
    <n v="4900"/>
    <s v="Medium"/>
    <n v="1470"/>
    <d v="2004-08-27T00:00:00"/>
    <x v="0"/>
    <x v="0"/>
    <x v="3"/>
    <x v="1"/>
    <s v="Aug-2004"/>
    <x v="0"/>
    <x v="15"/>
    <x v="0"/>
    <x v="0"/>
    <x v="1"/>
  </r>
  <r>
    <n v="10299"/>
    <n v="24"/>
    <n v="100"/>
    <n v="2400"/>
    <s v="Medium"/>
    <n v="720"/>
    <d v="2004-09-30T00:00:00"/>
    <x v="0"/>
    <x v="0"/>
    <x v="10"/>
    <x v="1"/>
    <s v="Sep-2004"/>
    <x v="0"/>
    <x v="16"/>
    <x v="4"/>
    <x v="1"/>
    <x v="1"/>
  </r>
  <r>
    <n v="10309"/>
    <n v="26"/>
    <n v="100"/>
    <n v="2600"/>
    <s v="Medium"/>
    <n v="780"/>
    <d v="2004-10-15T00:00:00"/>
    <x v="0"/>
    <x v="0"/>
    <x v="4"/>
    <x v="1"/>
    <s v="Oct-2004"/>
    <x v="0"/>
    <x v="17"/>
    <x v="2"/>
    <x v="1"/>
    <x v="1"/>
  </r>
  <r>
    <n v="10319"/>
    <n v="30"/>
    <n v="100"/>
    <n v="3000"/>
    <s v="Medium"/>
    <n v="900"/>
    <d v="2004-11-03T00:00:00"/>
    <x v="0"/>
    <x v="0"/>
    <x v="5"/>
    <x v="1"/>
    <s v="Nov-2004"/>
    <x v="0"/>
    <x v="79"/>
    <x v="0"/>
    <x v="0"/>
    <x v="1"/>
  </r>
  <r>
    <n v="10329"/>
    <n v="24"/>
    <n v="100"/>
    <n v="2400"/>
    <s v="Medium"/>
    <n v="720"/>
    <d v="2004-11-15T00:00:00"/>
    <x v="0"/>
    <x v="0"/>
    <x v="5"/>
    <x v="1"/>
    <s v="Nov-2004"/>
    <x v="0"/>
    <x v="0"/>
    <x v="0"/>
    <x v="0"/>
    <x v="1"/>
  </r>
  <r>
    <n v="10341"/>
    <n v="55"/>
    <n v="100"/>
    <n v="5500"/>
    <s v="High"/>
    <n v="1650"/>
    <d v="2004-11-24T00:00:00"/>
    <x v="0"/>
    <x v="0"/>
    <x v="5"/>
    <x v="1"/>
    <s v="Nov-2004"/>
    <x v="0"/>
    <x v="19"/>
    <x v="5"/>
    <x v="1"/>
    <x v="2"/>
  </r>
  <r>
    <n v="10362"/>
    <n v="22"/>
    <n v="100"/>
    <n v="2200"/>
    <s v="Medium"/>
    <n v="660"/>
    <d v="2005-01-05T00:00:00"/>
    <x v="0"/>
    <x v="0"/>
    <x v="7"/>
    <x v="2"/>
    <s v="Jan-2005"/>
    <x v="0"/>
    <x v="5"/>
    <x v="0"/>
    <x v="0"/>
    <x v="1"/>
  </r>
  <r>
    <n v="10375"/>
    <n v="49"/>
    <n v="78.92"/>
    <n v="3867.08"/>
    <s v="Medium"/>
    <n v="1160.124"/>
    <d v="2005-02-03T00:00:00"/>
    <x v="0"/>
    <x v="0"/>
    <x v="0"/>
    <x v="2"/>
    <s v="Feb-2005"/>
    <x v="0"/>
    <x v="14"/>
    <x v="1"/>
    <x v="1"/>
    <x v="1"/>
  </r>
  <r>
    <n v="10388"/>
    <n v="44"/>
    <n v="100"/>
    <n v="4400"/>
    <s v="Medium"/>
    <n v="1320"/>
    <d v="2005-03-03T00:00:00"/>
    <x v="0"/>
    <x v="0"/>
    <x v="11"/>
    <x v="2"/>
    <s v="Mar-2005"/>
    <x v="0"/>
    <x v="21"/>
    <x v="0"/>
    <x v="0"/>
    <x v="1"/>
  </r>
  <r>
    <n v="10403"/>
    <n v="66"/>
    <n v="100"/>
    <n v="6600"/>
    <s v="High"/>
    <n v="1980"/>
    <d v="2005-04-08T00:00:00"/>
    <x v="0"/>
    <x v="0"/>
    <x v="8"/>
    <x v="2"/>
    <s v="Apr-2005"/>
    <x v="0"/>
    <x v="22"/>
    <x v="6"/>
    <x v="1"/>
    <x v="2"/>
  </r>
  <r>
    <n v="10417"/>
    <n v="21"/>
    <n v="100"/>
    <n v="2100"/>
    <s v="Medium"/>
    <n v="630"/>
    <d v="2005-05-13T00:00:00"/>
    <x v="1"/>
    <x v="1"/>
    <x v="1"/>
    <x v="2"/>
    <s v="May-2005"/>
    <x v="0"/>
    <x v="23"/>
    <x v="7"/>
    <x v="1"/>
    <x v="1"/>
  </r>
  <r>
    <n v="10104"/>
    <n v="34"/>
    <n v="100"/>
    <n v="3400"/>
    <s v="Medium"/>
    <n v="1020"/>
    <d v="2003-01-31T00:00:00"/>
    <x v="0"/>
    <x v="0"/>
    <x v="7"/>
    <x v="0"/>
    <s v="Jan-2003"/>
    <x v="1"/>
    <x v="23"/>
    <x v="7"/>
    <x v="1"/>
    <x v="1"/>
  </r>
  <r>
    <n v="10117"/>
    <n v="43"/>
    <n v="100"/>
    <n v="4300"/>
    <s v="Medium"/>
    <n v="1290"/>
    <d v="2003-04-16T00:00:00"/>
    <x v="0"/>
    <x v="0"/>
    <x v="8"/>
    <x v="0"/>
    <s v="Apr-2003"/>
    <x v="1"/>
    <x v="26"/>
    <x v="9"/>
    <x v="3"/>
    <x v="1"/>
  </r>
  <r>
    <n v="10127"/>
    <n v="46"/>
    <n v="100"/>
    <n v="4600"/>
    <s v="Medium"/>
    <n v="1380"/>
    <d v="2003-06-03T00:00:00"/>
    <x v="0"/>
    <x v="0"/>
    <x v="9"/>
    <x v="0"/>
    <s v="Jun-2003"/>
    <x v="1"/>
    <x v="74"/>
    <x v="0"/>
    <x v="0"/>
    <x v="2"/>
  </r>
  <r>
    <n v="10142"/>
    <n v="33"/>
    <n v="100"/>
    <n v="3300"/>
    <s v="Medium"/>
    <n v="990"/>
    <d v="2003-08-08T00:00:00"/>
    <x v="0"/>
    <x v="0"/>
    <x v="3"/>
    <x v="0"/>
    <s v="Aug-2003"/>
    <x v="1"/>
    <x v="39"/>
    <x v="0"/>
    <x v="0"/>
    <x v="1"/>
  </r>
  <r>
    <n v="10153"/>
    <n v="42"/>
    <n v="100"/>
    <n v="4200"/>
    <s v="Medium"/>
    <n v="1260"/>
    <d v="2003-09-28T00:00:00"/>
    <x v="0"/>
    <x v="0"/>
    <x v="10"/>
    <x v="0"/>
    <s v="Sep-2003"/>
    <x v="1"/>
    <x v="23"/>
    <x v="7"/>
    <x v="1"/>
    <x v="1"/>
  </r>
  <r>
    <n v="10165"/>
    <n v="34"/>
    <n v="100"/>
    <n v="3400"/>
    <s v="Medium"/>
    <n v="1020"/>
    <d v="2003-10-22T00:00:00"/>
    <x v="0"/>
    <x v="0"/>
    <x v="4"/>
    <x v="0"/>
    <s v="Oct-2003"/>
    <x v="1"/>
    <x v="26"/>
    <x v="9"/>
    <x v="3"/>
    <x v="1"/>
  </r>
  <r>
    <n v="10176"/>
    <n v="47"/>
    <n v="100"/>
    <n v="4700"/>
    <s v="Medium"/>
    <n v="1410"/>
    <d v="2003-11-06T00:00:00"/>
    <x v="0"/>
    <x v="0"/>
    <x v="5"/>
    <x v="0"/>
    <s v="Nov-2003"/>
    <x v="1"/>
    <x v="70"/>
    <x v="12"/>
    <x v="1"/>
    <x v="2"/>
  </r>
  <r>
    <n v="10185"/>
    <n v="33"/>
    <n v="100"/>
    <n v="3300"/>
    <s v="Medium"/>
    <n v="990"/>
    <d v="2003-11-14T00:00:00"/>
    <x v="0"/>
    <x v="0"/>
    <x v="5"/>
    <x v="0"/>
    <s v="Nov-2003"/>
    <x v="1"/>
    <x v="50"/>
    <x v="0"/>
    <x v="0"/>
    <x v="1"/>
  </r>
  <r>
    <n v="10196"/>
    <n v="24"/>
    <n v="100"/>
    <n v="2400"/>
    <s v="Medium"/>
    <n v="720"/>
    <d v="2003-11-26T00:00:00"/>
    <x v="0"/>
    <x v="0"/>
    <x v="5"/>
    <x v="0"/>
    <s v="Nov-2003"/>
    <x v="1"/>
    <x v="34"/>
    <x v="0"/>
    <x v="0"/>
    <x v="1"/>
  </r>
  <r>
    <n v="10208"/>
    <n v="26"/>
    <n v="100"/>
    <n v="2600"/>
    <s v="Medium"/>
    <n v="780"/>
    <d v="2004-01-02T00:00:00"/>
    <x v="0"/>
    <x v="0"/>
    <x v="7"/>
    <x v="1"/>
    <s v="Jan-2004"/>
    <x v="1"/>
    <x v="30"/>
    <x v="1"/>
    <x v="1"/>
    <x v="1"/>
  </r>
  <r>
    <n v="10220"/>
    <n v="30"/>
    <n v="100"/>
    <n v="3000"/>
    <s v="Medium"/>
    <n v="900"/>
    <d v="2004-02-12T00:00:00"/>
    <x v="0"/>
    <x v="0"/>
    <x v="0"/>
    <x v="1"/>
    <s v="Feb-2004"/>
    <x v="1"/>
    <x v="75"/>
    <x v="18"/>
    <x v="1"/>
    <x v="1"/>
  </r>
  <r>
    <n v="10230"/>
    <n v="43"/>
    <n v="100"/>
    <n v="4300"/>
    <s v="Medium"/>
    <n v="1290"/>
    <d v="2004-03-15T00:00:00"/>
    <x v="0"/>
    <x v="0"/>
    <x v="11"/>
    <x v="1"/>
    <s v="Mar-2004"/>
    <x v="1"/>
    <x v="72"/>
    <x v="16"/>
    <x v="1"/>
    <x v="2"/>
  </r>
  <r>
    <n v="10247"/>
    <n v="25"/>
    <n v="100"/>
    <n v="2500"/>
    <s v="Medium"/>
    <n v="750"/>
    <d v="2004-05-05T00:00:00"/>
    <x v="0"/>
    <x v="0"/>
    <x v="1"/>
    <x v="1"/>
    <s v="May-2004"/>
    <x v="1"/>
    <x v="73"/>
    <x v="4"/>
    <x v="1"/>
    <x v="1"/>
  </r>
  <r>
    <n v="10272"/>
    <n v="27"/>
    <n v="100"/>
    <n v="2700"/>
    <s v="Medium"/>
    <n v="810"/>
    <d v="2004-07-20T00:00:00"/>
    <x v="0"/>
    <x v="0"/>
    <x v="2"/>
    <x v="1"/>
    <s v="Jul-2004"/>
    <x v="1"/>
    <x v="18"/>
    <x v="0"/>
    <x v="0"/>
    <x v="1"/>
  </r>
  <r>
    <n v="10282"/>
    <n v="27"/>
    <n v="100"/>
    <n v="2700"/>
    <s v="Medium"/>
    <n v="810"/>
    <d v="2004-08-20T00:00:00"/>
    <x v="0"/>
    <x v="0"/>
    <x v="3"/>
    <x v="1"/>
    <s v="Aug-2004"/>
    <x v="1"/>
    <x v="39"/>
    <x v="0"/>
    <x v="0"/>
    <x v="1"/>
  </r>
  <r>
    <n v="10293"/>
    <n v="24"/>
    <n v="100"/>
    <n v="2400"/>
    <s v="Medium"/>
    <n v="720"/>
    <d v="2004-09-09T00:00:00"/>
    <x v="0"/>
    <x v="0"/>
    <x v="10"/>
    <x v="1"/>
    <s v="Sep-2004"/>
    <x v="1"/>
    <x v="36"/>
    <x v="12"/>
    <x v="1"/>
    <x v="1"/>
  </r>
  <r>
    <n v="10306"/>
    <n v="34"/>
    <n v="100"/>
    <n v="3400"/>
    <s v="Medium"/>
    <n v="1020"/>
    <d v="2004-10-14T00:00:00"/>
    <x v="0"/>
    <x v="0"/>
    <x v="4"/>
    <x v="1"/>
    <s v="Oct-2004"/>
    <x v="1"/>
    <x v="77"/>
    <x v="6"/>
    <x v="1"/>
    <x v="1"/>
  </r>
  <r>
    <n v="10314"/>
    <n v="46"/>
    <n v="100"/>
    <n v="4600"/>
    <s v="Medium"/>
    <n v="1380"/>
    <d v="2004-10-22T00:00:00"/>
    <x v="0"/>
    <x v="0"/>
    <x v="4"/>
    <x v="1"/>
    <s v="Oct-2004"/>
    <x v="1"/>
    <x v="78"/>
    <x v="13"/>
    <x v="1"/>
    <x v="1"/>
  </r>
  <r>
    <n v="10324"/>
    <n v="27"/>
    <n v="54.33"/>
    <n v="1466.9099999999999"/>
    <s v="Low"/>
    <n v="440.07299999999992"/>
    <d v="2004-11-05T00:00:00"/>
    <x v="0"/>
    <x v="0"/>
    <x v="5"/>
    <x v="1"/>
    <s v="Nov-2004"/>
    <x v="1"/>
    <x v="11"/>
    <x v="0"/>
    <x v="0"/>
    <x v="0"/>
  </r>
  <r>
    <n v="10336"/>
    <n v="33"/>
    <n v="100"/>
    <n v="3300"/>
    <s v="Medium"/>
    <n v="990"/>
    <d v="2004-11-20T00:00:00"/>
    <x v="0"/>
    <x v="0"/>
    <x v="5"/>
    <x v="1"/>
    <s v="Nov-2004"/>
    <x v="1"/>
    <x v="62"/>
    <x v="1"/>
    <x v="1"/>
    <x v="1"/>
  </r>
  <r>
    <n v="10348"/>
    <n v="47"/>
    <n v="100"/>
    <n v="4700"/>
    <s v="Medium"/>
    <n v="1410"/>
    <d v="2004-11-01T00:00:00"/>
    <x v="0"/>
    <x v="0"/>
    <x v="5"/>
    <x v="1"/>
    <s v="Nov-2004"/>
    <x v="1"/>
    <x v="25"/>
    <x v="7"/>
    <x v="1"/>
    <x v="1"/>
  </r>
  <r>
    <n v="10358"/>
    <n v="49"/>
    <n v="55.34"/>
    <n v="2711.6600000000003"/>
    <s v="Medium"/>
    <n v="813.49800000000005"/>
    <d v="2004-12-10T00:00:00"/>
    <x v="0"/>
    <x v="0"/>
    <x v="6"/>
    <x v="1"/>
    <s v="Dec-2004"/>
    <x v="1"/>
    <x v="23"/>
    <x v="7"/>
    <x v="1"/>
    <x v="0"/>
  </r>
  <r>
    <n v="10372"/>
    <n v="40"/>
    <n v="100"/>
    <n v="4000"/>
    <s v="Medium"/>
    <n v="1200"/>
    <d v="2005-01-26T00:00:00"/>
    <x v="0"/>
    <x v="0"/>
    <x v="7"/>
    <x v="2"/>
    <s v="Jan-2005"/>
    <x v="1"/>
    <x v="35"/>
    <x v="11"/>
    <x v="3"/>
    <x v="1"/>
  </r>
  <r>
    <n v="10382"/>
    <n v="37"/>
    <n v="100"/>
    <n v="3700"/>
    <s v="Medium"/>
    <n v="1110"/>
    <d v="2005-02-17T00:00:00"/>
    <x v="0"/>
    <x v="0"/>
    <x v="0"/>
    <x v="2"/>
    <s v="Feb-2005"/>
    <x v="1"/>
    <x v="39"/>
    <x v="0"/>
    <x v="0"/>
    <x v="1"/>
  </r>
  <r>
    <n v="10413"/>
    <n v="47"/>
    <n v="100"/>
    <n v="4700"/>
    <s v="Medium"/>
    <n v="1410"/>
    <d v="2005-05-05T00:00:00"/>
    <x v="0"/>
    <x v="0"/>
    <x v="1"/>
    <x v="2"/>
    <s v="May-2005"/>
    <x v="1"/>
    <x v="13"/>
    <x v="0"/>
    <x v="0"/>
    <x v="2"/>
  </r>
  <r>
    <n v="10108"/>
    <n v="45"/>
    <n v="100"/>
    <n v="4500"/>
    <s v="Medium"/>
    <n v="1350"/>
    <d v="2003-03-03T00:00:00"/>
    <x v="0"/>
    <x v="0"/>
    <x v="11"/>
    <x v="0"/>
    <s v="Mar-2003"/>
    <x v="1"/>
    <x v="66"/>
    <x v="15"/>
    <x v="3"/>
    <x v="1"/>
  </r>
  <r>
    <n v="10122"/>
    <n v="37"/>
    <n v="99.82"/>
    <n v="3693.3399999999997"/>
    <s v="Medium"/>
    <n v="1108.002"/>
    <d v="2003-05-08T00:00:00"/>
    <x v="0"/>
    <x v="0"/>
    <x v="1"/>
    <x v="0"/>
    <s v="May-2003"/>
    <x v="1"/>
    <x v="67"/>
    <x v="1"/>
    <x v="1"/>
    <x v="1"/>
  </r>
  <r>
    <n v="10135"/>
    <n v="48"/>
    <n v="100"/>
    <n v="4800"/>
    <s v="Medium"/>
    <n v="1440"/>
    <d v="2003-07-02T00:00:00"/>
    <x v="0"/>
    <x v="0"/>
    <x v="2"/>
    <x v="0"/>
    <s v="Jul-2003"/>
    <x v="1"/>
    <x v="39"/>
    <x v="0"/>
    <x v="0"/>
    <x v="1"/>
  </r>
  <r>
    <n v="10147"/>
    <n v="31"/>
    <n v="100"/>
    <n v="3100"/>
    <s v="Medium"/>
    <n v="930"/>
    <d v="2003-09-05T00:00:00"/>
    <x v="0"/>
    <x v="0"/>
    <x v="10"/>
    <x v="0"/>
    <s v="Sep-2003"/>
    <x v="1"/>
    <x v="41"/>
    <x v="0"/>
    <x v="0"/>
    <x v="1"/>
  </r>
  <r>
    <n v="10160"/>
    <n v="46"/>
    <n v="100"/>
    <n v="4600"/>
    <s v="Medium"/>
    <n v="1380"/>
    <d v="2003-10-11T00:00:00"/>
    <x v="0"/>
    <x v="0"/>
    <x v="4"/>
    <x v="0"/>
    <s v="Oct-2003"/>
    <x v="1"/>
    <x v="54"/>
    <x v="0"/>
    <x v="0"/>
    <x v="1"/>
  </r>
  <r>
    <n v="10170"/>
    <n v="47"/>
    <n v="100"/>
    <n v="4700"/>
    <s v="Medium"/>
    <n v="1410"/>
    <d v="2003-11-04T00:00:00"/>
    <x v="0"/>
    <x v="0"/>
    <x v="5"/>
    <x v="0"/>
    <s v="Nov-2003"/>
    <x v="1"/>
    <x v="63"/>
    <x v="5"/>
    <x v="1"/>
    <x v="1"/>
  </r>
  <r>
    <n v="10181"/>
    <n v="28"/>
    <n v="100"/>
    <n v="2800"/>
    <s v="Medium"/>
    <n v="840"/>
    <d v="2003-11-12T00:00:00"/>
    <x v="0"/>
    <x v="0"/>
    <x v="5"/>
    <x v="0"/>
    <s v="Nov-2003"/>
    <x v="1"/>
    <x v="7"/>
    <x v="2"/>
    <x v="1"/>
    <x v="0"/>
  </r>
  <r>
    <n v="10191"/>
    <n v="40"/>
    <n v="100"/>
    <n v="4000"/>
    <s v="Medium"/>
    <n v="1200"/>
    <d v="2003-11-20T00:00:00"/>
    <x v="0"/>
    <x v="0"/>
    <x v="5"/>
    <x v="0"/>
    <s v="Nov-2003"/>
    <x v="1"/>
    <x v="68"/>
    <x v="16"/>
    <x v="1"/>
    <x v="1"/>
  </r>
  <r>
    <n v="10203"/>
    <n v="20"/>
    <n v="100"/>
    <n v="2000"/>
    <s v="Medium"/>
    <n v="600"/>
    <d v="2003-12-02T00:00:00"/>
    <x v="0"/>
    <x v="0"/>
    <x v="6"/>
    <x v="0"/>
    <s v="Dec-2003"/>
    <x v="1"/>
    <x v="23"/>
    <x v="7"/>
    <x v="1"/>
    <x v="0"/>
  </r>
  <r>
    <n v="10212"/>
    <n v="39"/>
    <n v="100"/>
    <n v="3900"/>
    <s v="Medium"/>
    <n v="1170"/>
    <d v="2004-01-16T00:00:00"/>
    <x v="0"/>
    <x v="0"/>
    <x v="7"/>
    <x v="1"/>
    <s v="Jan-2004"/>
    <x v="1"/>
    <x v="23"/>
    <x v="7"/>
    <x v="1"/>
    <x v="1"/>
  </r>
  <r>
    <n v="10225"/>
    <n v="25"/>
    <n v="99.82"/>
    <n v="2495.5"/>
    <s v="Medium"/>
    <n v="748.65"/>
    <d v="2004-02-22T00:00:00"/>
    <x v="0"/>
    <x v="0"/>
    <x v="0"/>
    <x v="1"/>
    <s v="Feb-2004"/>
    <x v="1"/>
    <x v="69"/>
    <x v="17"/>
    <x v="1"/>
    <x v="0"/>
  </r>
  <r>
    <n v="10238"/>
    <n v="29"/>
    <n v="100"/>
    <n v="2900"/>
    <s v="Medium"/>
    <n v="870"/>
    <d v="2004-04-09T00:00:00"/>
    <x v="0"/>
    <x v="0"/>
    <x v="8"/>
    <x v="1"/>
    <s v="Apr-2004"/>
    <x v="1"/>
    <x v="48"/>
    <x v="13"/>
    <x v="1"/>
    <x v="1"/>
  </r>
  <r>
    <n v="10253"/>
    <n v="22"/>
    <n v="100"/>
    <n v="2200"/>
    <s v="Medium"/>
    <n v="660"/>
    <d v="2004-06-01T00:00:00"/>
    <x v="3"/>
    <x v="1"/>
    <x v="9"/>
    <x v="1"/>
    <s v="Jun-2004"/>
    <x v="1"/>
    <x v="22"/>
    <x v="6"/>
    <x v="1"/>
    <x v="0"/>
  </r>
  <r>
    <n v="10266"/>
    <n v="22"/>
    <n v="100"/>
    <n v="2200"/>
    <s v="Medium"/>
    <n v="660"/>
    <d v="2004-07-06T00:00:00"/>
    <x v="0"/>
    <x v="0"/>
    <x v="2"/>
    <x v="1"/>
    <s v="Jul-2004"/>
    <x v="1"/>
    <x v="70"/>
    <x v="12"/>
    <x v="1"/>
    <x v="0"/>
  </r>
  <r>
    <n v="10276"/>
    <n v="47"/>
    <n v="100"/>
    <n v="4700"/>
    <s v="Medium"/>
    <n v="1410"/>
    <d v="2004-08-02T00:00:00"/>
    <x v="0"/>
    <x v="0"/>
    <x v="3"/>
    <x v="1"/>
    <s v="Aug-2004"/>
    <x v="1"/>
    <x v="71"/>
    <x v="0"/>
    <x v="0"/>
    <x v="1"/>
  </r>
  <r>
    <n v="10287"/>
    <n v="45"/>
    <n v="100"/>
    <n v="4500"/>
    <s v="Medium"/>
    <n v="1350"/>
    <d v="2004-08-30T00:00:00"/>
    <x v="0"/>
    <x v="0"/>
    <x v="3"/>
    <x v="1"/>
    <s v="Aug-2004"/>
    <x v="1"/>
    <x v="69"/>
    <x v="17"/>
    <x v="1"/>
    <x v="1"/>
  </r>
  <r>
    <n v="10300"/>
    <n v="29"/>
    <n v="100"/>
    <n v="2900"/>
    <s v="Medium"/>
    <n v="870"/>
    <d v="2003-10-04T00:00:00"/>
    <x v="0"/>
    <x v="0"/>
    <x v="4"/>
    <x v="0"/>
    <s v="Oct-2003"/>
    <x v="1"/>
    <x v="72"/>
    <x v="16"/>
    <x v="1"/>
    <x v="1"/>
  </r>
  <r>
    <n v="10310"/>
    <n v="24"/>
    <n v="100"/>
    <n v="2400"/>
    <s v="Medium"/>
    <n v="720"/>
    <d v="2004-10-16T00:00:00"/>
    <x v="0"/>
    <x v="0"/>
    <x v="4"/>
    <x v="1"/>
    <s v="Oct-2004"/>
    <x v="1"/>
    <x v="68"/>
    <x v="16"/>
    <x v="1"/>
    <x v="1"/>
  </r>
  <r>
    <n v="10320"/>
    <n v="35"/>
    <n v="100"/>
    <n v="3500"/>
    <s v="Medium"/>
    <n v="1050"/>
    <d v="2004-11-03T00:00:00"/>
    <x v="0"/>
    <x v="0"/>
    <x v="5"/>
    <x v="1"/>
    <s v="Nov-2004"/>
    <x v="1"/>
    <x v="24"/>
    <x v="8"/>
    <x v="1"/>
    <x v="1"/>
  </r>
  <r>
    <n v="10329"/>
    <n v="46"/>
    <n v="83.63"/>
    <n v="3846.9799999999996"/>
    <s v="Medium"/>
    <n v="1154.0939999999998"/>
    <d v="2004-11-15T00:00:00"/>
    <x v="0"/>
    <x v="0"/>
    <x v="5"/>
    <x v="1"/>
    <s v="Nov-2004"/>
    <x v="1"/>
    <x v="0"/>
    <x v="0"/>
    <x v="0"/>
    <x v="1"/>
  </r>
  <r>
    <n v="10341"/>
    <n v="44"/>
    <n v="95.93"/>
    <n v="4220.92"/>
    <s v="Medium"/>
    <n v="1266.2760000000001"/>
    <d v="2004-11-24T00:00:00"/>
    <x v="0"/>
    <x v="0"/>
    <x v="5"/>
    <x v="1"/>
    <s v="Nov-2004"/>
    <x v="1"/>
    <x v="19"/>
    <x v="5"/>
    <x v="1"/>
    <x v="1"/>
  </r>
  <r>
    <n v="10363"/>
    <n v="34"/>
    <n v="96.73"/>
    <n v="3288.82"/>
    <s v="Medium"/>
    <n v="986.64599999999996"/>
    <d v="2005-01-06T00:00:00"/>
    <x v="0"/>
    <x v="0"/>
    <x v="7"/>
    <x v="2"/>
    <s v="Jan-2005"/>
    <x v="1"/>
    <x v="73"/>
    <x v="4"/>
    <x v="1"/>
    <x v="1"/>
  </r>
  <r>
    <n v="10376"/>
    <n v="35"/>
    <n v="100"/>
    <n v="3500"/>
    <s v="Medium"/>
    <n v="1050"/>
    <d v="2005-02-08T00:00:00"/>
    <x v="0"/>
    <x v="0"/>
    <x v="0"/>
    <x v="2"/>
    <s v="Feb-2005"/>
    <x v="1"/>
    <x v="80"/>
    <x v="0"/>
    <x v="0"/>
    <x v="1"/>
  </r>
  <r>
    <n v="10389"/>
    <n v="25"/>
    <n v="72.38"/>
    <n v="1809.5"/>
    <s v="Low"/>
    <n v="542.85"/>
    <d v="2005-03-03T00:00:00"/>
    <x v="0"/>
    <x v="0"/>
    <x v="11"/>
    <x v="2"/>
    <s v="Mar-2005"/>
    <x v="1"/>
    <x v="37"/>
    <x v="8"/>
    <x v="1"/>
    <x v="0"/>
  </r>
  <r>
    <n v="10419"/>
    <n v="10"/>
    <n v="100"/>
    <n v="1000"/>
    <s v="Low"/>
    <n v="300"/>
    <d v="2005-05-17T00:00:00"/>
    <x v="0"/>
    <x v="0"/>
    <x v="1"/>
    <x v="2"/>
    <s v="May-2005"/>
    <x v="1"/>
    <x v="19"/>
    <x v="5"/>
    <x v="1"/>
    <x v="0"/>
  </r>
  <r>
    <n v="10105"/>
    <n v="29"/>
    <n v="100"/>
    <n v="2900"/>
    <s v="Medium"/>
    <n v="870"/>
    <d v="2003-02-11T00:00:00"/>
    <x v="0"/>
    <x v="0"/>
    <x v="0"/>
    <x v="0"/>
    <s v="Feb-2003"/>
    <x v="1"/>
    <x v="48"/>
    <x v="13"/>
    <x v="1"/>
    <x v="1"/>
  </r>
  <r>
    <n v="10117"/>
    <n v="39"/>
    <n v="100"/>
    <n v="3900"/>
    <s v="Medium"/>
    <n v="1170"/>
    <d v="2003-04-16T00:00:00"/>
    <x v="0"/>
    <x v="0"/>
    <x v="8"/>
    <x v="0"/>
    <s v="Apr-2003"/>
    <x v="1"/>
    <x v="26"/>
    <x v="9"/>
    <x v="3"/>
    <x v="1"/>
  </r>
  <r>
    <n v="10127"/>
    <n v="42"/>
    <n v="100"/>
    <n v="4200"/>
    <s v="Medium"/>
    <n v="1260"/>
    <d v="2003-06-03T00:00:00"/>
    <x v="0"/>
    <x v="0"/>
    <x v="9"/>
    <x v="0"/>
    <s v="Jun-2003"/>
    <x v="1"/>
    <x v="74"/>
    <x v="0"/>
    <x v="0"/>
    <x v="2"/>
  </r>
  <r>
    <n v="10142"/>
    <n v="46"/>
    <n v="100"/>
    <n v="4600"/>
    <s v="Medium"/>
    <n v="1380"/>
    <d v="2003-08-08T00:00:00"/>
    <x v="0"/>
    <x v="0"/>
    <x v="3"/>
    <x v="0"/>
    <s v="Aug-2003"/>
    <x v="1"/>
    <x v="39"/>
    <x v="0"/>
    <x v="0"/>
    <x v="2"/>
  </r>
  <r>
    <n v="10153"/>
    <n v="49"/>
    <n v="100"/>
    <n v="4900"/>
    <s v="Medium"/>
    <n v="1470"/>
    <d v="2003-09-28T00:00:00"/>
    <x v="0"/>
    <x v="0"/>
    <x v="10"/>
    <x v="0"/>
    <s v="Sep-2003"/>
    <x v="1"/>
    <x v="23"/>
    <x v="7"/>
    <x v="1"/>
    <x v="2"/>
  </r>
  <r>
    <n v="10165"/>
    <n v="27"/>
    <n v="100"/>
    <n v="2700"/>
    <s v="Medium"/>
    <n v="810"/>
    <d v="2003-10-22T00:00:00"/>
    <x v="0"/>
    <x v="0"/>
    <x v="4"/>
    <x v="0"/>
    <s v="Oct-2003"/>
    <x v="1"/>
    <x v="26"/>
    <x v="9"/>
    <x v="3"/>
    <x v="1"/>
  </r>
  <r>
    <n v="10176"/>
    <n v="50"/>
    <n v="100"/>
    <n v="5000"/>
    <s v="High"/>
    <n v="1500"/>
    <d v="2003-11-06T00:00:00"/>
    <x v="0"/>
    <x v="0"/>
    <x v="5"/>
    <x v="0"/>
    <s v="Nov-2003"/>
    <x v="1"/>
    <x v="70"/>
    <x v="12"/>
    <x v="1"/>
    <x v="2"/>
  </r>
  <r>
    <n v="10185"/>
    <n v="43"/>
    <n v="100"/>
    <n v="4300"/>
    <s v="Medium"/>
    <n v="1290"/>
    <d v="2003-11-14T00:00:00"/>
    <x v="0"/>
    <x v="0"/>
    <x v="5"/>
    <x v="0"/>
    <s v="Nov-2003"/>
    <x v="1"/>
    <x v="50"/>
    <x v="0"/>
    <x v="0"/>
    <x v="2"/>
  </r>
  <r>
    <n v="10196"/>
    <n v="38"/>
    <n v="100"/>
    <n v="3800"/>
    <s v="Medium"/>
    <n v="1140"/>
    <d v="2003-11-26T00:00:00"/>
    <x v="0"/>
    <x v="0"/>
    <x v="5"/>
    <x v="0"/>
    <s v="Nov-2003"/>
    <x v="1"/>
    <x v="34"/>
    <x v="0"/>
    <x v="0"/>
    <x v="2"/>
  </r>
  <r>
    <n v="10208"/>
    <n v="20"/>
    <n v="100"/>
    <n v="2000"/>
    <s v="Medium"/>
    <n v="600"/>
    <d v="2004-01-02T00:00:00"/>
    <x v="0"/>
    <x v="0"/>
    <x v="7"/>
    <x v="1"/>
    <s v="Jan-2004"/>
    <x v="1"/>
    <x v="30"/>
    <x v="1"/>
    <x v="1"/>
    <x v="1"/>
  </r>
  <r>
    <n v="10220"/>
    <n v="27"/>
    <n v="100"/>
    <n v="2700"/>
    <s v="Medium"/>
    <n v="810"/>
    <d v="2004-02-12T00:00:00"/>
    <x v="0"/>
    <x v="0"/>
    <x v="0"/>
    <x v="1"/>
    <s v="Feb-2004"/>
    <x v="1"/>
    <x v="75"/>
    <x v="18"/>
    <x v="1"/>
    <x v="1"/>
  </r>
  <r>
    <n v="10231"/>
    <n v="49"/>
    <n v="100"/>
    <n v="4900"/>
    <s v="Medium"/>
    <n v="1470"/>
    <d v="2004-03-19T00:00:00"/>
    <x v="0"/>
    <x v="0"/>
    <x v="11"/>
    <x v="1"/>
    <s v="Mar-2004"/>
    <x v="1"/>
    <x v="76"/>
    <x v="7"/>
    <x v="1"/>
    <x v="1"/>
  </r>
  <r>
    <n v="10247"/>
    <n v="27"/>
    <n v="100"/>
    <n v="2700"/>
    <s v="Medium"/>
    <n v="810"/>
    <d v="2004-05-05T00:00:00"/>
    <x v="0"/>
    <x v="0"/>
    <x v="1"/>
    <x v="1"/>
    <s v="May-2004"/>
    <x v="1"/>
    <x v="73"/>
    <x v="4"/>
    <x v="1"/>
    <x v="1"/>
  </r>
  <r>
    <n v="10272"/>
    <n v="39"/>
    <n v="100"/>
    <n v="3900"/>
    <s v="Medium"/>
    <n v="1170"/>
    <d v="2004-07-20T00:00:00"/>
    <x v="0"/>
    <x v="0"/>
    <x v="2"/>
    <x v="1"/>
    <s v="Jul-2004"/>
    <x v="1"/>
    <x v="18"/>
    <x v="0"/>
    <x v="0"/>
    <x v="2"/>
  </r>
  <r>
    <n v="10282"/>
    <n v="24"/>
    <n v="100"/>
    <n v="2400"/>
    <s v="Medium"/>
    <n v="720"/>
    <d v="2004-08-20T00:00:00"/>
    <x v="0"/>
    <x v="0"/>
    <x v="3"/>
    <x v="1"/>
    <s v="Aug-2004"/>
    <x v="1"/>
    <x v="39"/>
    <x v="0"/>
    <x v="0"/>
    <x v="1"/>
  </r>
  <r>
    <n v="10293"/>
    <n v="45"/>
    <n v="100"/>
    <n v="4500"/>
    <s v="Medium"/>
    <n v="1350"/>
    <d v="2004-09-09T00:00:00"/>
    <x v="0"/>
    <x v="0"/>
    <x v="10"/>
    <x v="1"/>
    <s v="Sep-2004"/>
    <x v="1"/>
    <x v="36"/>
    <x v="12"/>
    <x v="1"/>
    <x v="2"/>
  </r>
  <r>
    <n v="10306"/>
    <n v="20"/>
    <n v="100"/>
    <n v="2000"/>
    <s v="Medium"/>
    <n v="600"/>
    <d v="2004-10-14T00:00:00"/>
    <x v="0"/>
    <x v="0"/>
    <x v="4"/>
    <x v="1"/>
    <s v="Oct-2004"/>
    <x v="1"/>
    <x v="77"/>
    <x v="6"/>
    <x v="1"/>
    <x v="1"/>
  </r>
  <r>
    <n v="10314"/>
    <n v="36"/>
    <n v="100"/>
    <n v="3600"/>
    <s v="Medium"/>
    <n v="1080"/>
    <d v="2004-10-22T00:00:00"/>
    <x v="0"/>
    <x v="0"/>
    <x v="4"/>
    <x v="1"/>
    <s v="Oct-2004"/>
    <x v="1"/>
    <x v="78"/>
    <x v="13"/>
    <x v="1"/>
    <x v="1"/>
  </r>
  <r>
    <n v="10325"/>
    <n v="24"/>
    <n v="100"/>
    <n v="2400"/>
    <s v="Medium"/>
    <n v="720"/>
    <d v="2004-11-05T00:00:00"/>
    <x v="0"/>
    <x v="0"/>
    <x v="5"/>
    <x v="1"/>
    <s v="Nov-2004"/>
    <x v="1"/>
    <x v="17"/>
    <x v="2"/>
    <x v="1"/>
    <x v="0"/>
  </r>
  <r>
    <n v="10336"/>
    <n v="49"/>
    <n v="63.38"/>
    <n v="3105.6200000000003"/>
    <s v="Medium"/>
    <n v="931.68600000000004"/>
    <d v="2004-11-20T00:00:00"/>
    <x v="0"/>
    <x v="0"/>
    <x v="5"/>
    <x v="1"/>
    <s v="Nov-2004"/>
    <x v="1"/>
    <x v="62"/>
    <x v="1"/>
    <x v="1"/>
    <x v="1"/>
  </r>
  <r>
    <n v="10349"/>
    <n v="26"/>
    <n v="100"/>
    <n v="2600"/>
    <s v="Medium"/>
    <n v="780"/>
    <d v="2004-12-01T00:00:00"/>
    <x v="0"/>
    <x v="0"/>
    <x v="6"/>
    <x v="1"/>
    <s v="Dec-2004"/>
    <x v="1"/>
    <x v="74"/>
    <x v="0"/>
    <x v="0"/>
    <x v="1"/>
  </r>
  <r>
    <n v="10359"/>
    <n v="49"/>
    <n v="62.09"/>
    <n v="3042.4100000000003"/>
    <s v="Medium"/>
    <n v="912.72300000000007"/>
    <d v="2004-12-15T00:00:00"/>
    <x v="0"/>
    <x v="0"/>
    <x v="6"/>
    <x v="1"/>
    <s v="Dec-2004"/>
    <x v="1"/>
    <x v="1"/>
    <x v="1"/>
    <x v="1"/>
    <x v="1"/>
  </r>
  <r>
    <n v="10372"/>
    <n v="34"/>
    <n v="100"/>
    <n v="3400"/>
    <s v="Medium"/>
    <n v="1020"/>
    <d v="2005-01-26T00:00:00"/>
    <x v="0"/>
    <x v="0"/>
    <x v="7"/>
    <x v="2"/>
    <s v="Jan-2005"/>
    <x v="1"/>
    <x v="35"/>
    <x v="11"/>
    <x v="3"/>
    <x v="1"/>
  </r>
  <r>
    <n v="10382"/>
    <n v="34"/>
    <n v="95.35"/>
    <n v="3241.8999999999996"/>
    <s v="Medium"/>
    <n v="972.56999999999982"/>
    <d v="2005-02-17T00:00:00"/>
    <x v="0"/>
    <x v="0"/>
    <x v="0"/>
    <x v="2"/>
    <s v="Feb-2005"/>
    <x v="1"/>
    <x v="39"/>
    <x v="0"/>
    <x v="0"/>
    <x v="1"/>
  </r>
  <r>
    <n v="10396"/>
    <n v="33"/>
    <n v="100"/>
    <n v="3300"/>
    <s v="Medium"/>
    <n v="990"/>
    <d v="2005-03-23T00:00:00"/>
    <x v="0"/>
    <x v="0"/>
    <x v="11"/>
    <x v="2"/>
    <s v="Mar-2005"/>
    <x v="1"/>
    <x v="39"/>
    <x v="0"/>
    <x v="0"/>
    <x v="1"/>
  </r>
  <r>
    <n v="10413"/>
    <n v="22"/>
    <n v="100"/>
    <n v="2200"/>
    <s v="Medium"/>
    <n v="660"/>
    <d v="2005-05-05T00:00:00"/>
    <x v="0"/>
    <x v="0"/>
    <x v="1"/>
    <x v="2"/>
    <s v="May-2005"/>
    <x v="1"/>
    <x v="13"/>
    <x v="0"/>
    <x v="0"/>
    <x v="1"/>
  </r>
  <r>
    <n v="10108"/>
    <n v="39"/>
    <n v="89.38"/>
    <n v="3485.8199999999997"/>
    <s v="Medium"/>
    <n v="1045.7459999999999"/>
    <d v="2003-03-03T00:00:00"/>
    <x v="0"/>
    <x v="0"/>
    <x v="11"/>
    <x v="0"/>
    <s v="Mar-2003"/>
    <x v="1"/>
    <x v="66"/>
    <x v="15"/>
    <x v="3"/>
    <x v="1"/>
  </r>
  <r>
    <n v="10122"/>
    <n v="32"/>
    <n v="63.84"/>
    <n v="2042.88"/>
    <s v="Medium"/>
    <n v="612.86400000000003"/>
    <d v="2003-05-08T00:00:00"/>
    <x v="0"/>
    <x v="0"/>
    <x v="1"/>
    <x v="0"/>
    <s v="May-2003"/>
    <x v="1"/>
    <x v="67"/>
    <x v="1"/>
    <x v="1"/>
    <x v="0"/>
  </r>
  <r>
    <n v="10135"/>
    <n v="24"/>
    <n v="75.010000000000005"/>
    <n v="1800.2400000000002"/>
    <s v="Low"/>
    <n v="540.072"/>
    <d v="2003-07-02T00:00:00"/>
    <x v="0"/>
    <x v="0"/>
    <x v="2"/>
    <x v="0"/>
    <s v="Jul-2003"/>
    <x v="1"/>
    <x v="39"/>
    <x v="0"/>
    <x v="0"/>
    <x v="0"/>
  </r>
  <r>
    <n v="10147"/>
    <n v="21"/>
    <n v="63.84"/>
    <n v="1340.64"/>
    <s v="Low"/>
    <n v="402.19200000000001"/>
    <d v="2003-09-05T00:00:00"/>
    <x v="0"/>
    <x v="0"/>
    <x v="10"/>
    <x v="0"/>
    <s v="Sep-2003"/>
    <x v="1"/>
    <x v="41"/>
    <x v="0"/>
    <x v="0"/>
    <x v="0"/>
  </r>
  <r>
    <n v="10159"/>
    <n v="24"/>
    <n v="73.42"/>
    <n v="1762.08"/>
    <s v="Low"/>
    <n v="528.62399999999991"/>
    <d v="2003-10-10T00:00:00"/>
    <x v="0"/>
    <x v="0"/>
    <x v="4"/>
    <x v="0"/>
    <s v="Oct-2003"/>
    <x v="1"/>
    <x v="4"/>
    <x v="0"/>
    <x v="0"/>
    <x v="0"/>
  </r>
  <r>
    <n v="10169"/>
    <n v="36"/>
    <n v="63.84"/>
    <n v="2298.2400000000002"/>
    <s v="Medium"/>
    <n v="689.47200000000009"/>
    <d v="2003-11-04T00:00:00"/>
    <x v="0"/>
    <x v="0"/>
    <x v="5"/>
    <x v="0"/>
    <s v="Nov-2003"/>
    <x v="1"/>
    <x v="42"/>
    <x v="3"/>
    <x v="2"/>
    <x v="0"/>
  </r>
  <r>
    <n v="10181"/>
    <n v="20"/>
    <n v="81.400000000000006"/>
    <n v="1628"/>
    <s v="Low"/>
    <n v="488.4"/>
    <d v="2003-11-12T00:00:00"/>
    <x v="0"/>
    <x v="0"/>
    <x v="5"/>
    <x v="0"/>
    <s v="Nov-2003"/>
    <x v="1"/>
    <x v="7"/>
    <x v="2"/>
    <x v="1"/>
    <x v="0"/>
  </r>
  <r>
    <n v="10191"/>
    <n v="30"/>
    <n v="64.64"/>
    <n v="1939.2"/>
    <s v="Low"/>
    <n v="581.76"/>
    <d v="2003-11-20T00:00:00"/>
    <x v="0"/>
    <x v="0"/>
    <x v="5"/>
    <x v="0"/>
    <s v="Nov-2003"/>
    <x v="1"/>
    <x v="68"/>
    <x v="16"/>
    <x v="1"/>
    <x v="0"/>
  </r>
  <r>
    <n v="10203"/>
    <n v="44"/>
    <n v="82.99"/>
    <n v="3651.56"/>
    <s v="Medium"/>
    <n v="1095.4679999999998"/>
    <d v="2003-12-02T00:00:00"/>
    <x v="0"/>
    <x v="0"/>
    <x v="6"/>
    <x v="0"/>
    <s v="Dec-2003"/>
    <x v="1"/>
    <x v="23"/>
    <x v="7"/>
    <x v="1"/>
    <x v="1"/>
  </r>
  <r>
    <n v="10211"/>
    <n v="28"/>
    <n v="92.57"/>
    <n v="2591.96"/>
    <s v="Medium"/>
    <n v="777.58799999999997"/>
    <d v="2004-01-15T00:00:00"/>
    <x v="0"/>
    <x v="0"/>
    <x v="7"/>
    <x v="1"/>
    <s v="Jan-2004"/>
    <x v="1"/>
    <x v="9"/>
    <x v="1"/>
    <x v="1"/>
    <x v="0"/>
  </r>
  <r>
    <n v="10225"/>
    <n v="37"/>
    <n v="77.41"/>
    <n v="2864.17"/>
    <s v="Medium"/>
    <n v="859.25099999999998"/>
    <d v="2004-02-22T00:00:00"/>
    <x v="0"/>
    <x v="0"/>
    <x v="0"/>
    <x v="1"/>
    <s v="Feb-2004"/>
    <x v="1"/>
    <x v="69"/>
    <x v="17"/>
    <x v="1"/>
    <x v="0"/>
  </r>
  <r>
    <n v="10238"/>
    <n v="20"/>
    <n v="74.209999999999994"/>
    <n v="1484.1999999999998"/>
    <s v="Low"/>
    <n v="445.25999999999993"/>
    <d v="2004-04-09T00:00:00"/>
    <x v="0"/>
    <x v="0"/>
    <x v="8"/>
    <x v="1"/>
    <s v="Apr-2004"/>
    <x v="1"/>
    <x v="48"/>
    <x v="13"/>
    <x v="1"/>
    <x v="0"/>
  </r>
  <r>
    <n v="10253"/>
    <n v="25"/>
    <n v="90.17"/>
    <n v="2254.25"/>
    <s v="Medium"/>
    <n v="676.27499999999998"/>
    <d v="2004-06-01T00:00:00"/>
    <x v="3"/>
    <x v="1"/>
    <x v="9"/>
    <x v="1"/>
    <s v="Jun-2004"/>
    <x v="1"/>
    <x v="22"/>
    <x v="6"/>
    <x v="1"/>
    <x v="0"/>
  </r>
  <r>
    <n v="10266"/>
    <n v="35"/>
    <n v="76.61"/>
    <n v="2681.35"/>
    <s v="Medium"/>
    <n v="804.40499999999997"/>
    <d v="2004-07-06T00:00:00"/>
    <x v="0"/>
    <x v="0"/>
    <x v="2"/>
    <x v="1"/>
    <s v="Jul-2004"/>
    <x v="1"/>
    <x v="70"/>
    <x v="12"/>
    <x v="1"/>
    <x v="0"/>
  </r>
  <r>
    <n v="10276"/>
    <n v="38"/>
    <n v="83.79"/>
    <n v="3184.0200000000004"/>
    <s v="Medium"/>
    <n v="955.20600000000013"/>
    <d v="2004-08-02T00:00:00"/>
    <x v="0"/>
    <x v="0"/>
    <x v="3"/>
    <x v="1"/>
    <s v="Aug-2004"/>
    <x v="1"/>
    <x v="71"/>
    <x v="0"/>
    <x v="0"/>
    <x v="1"/>
  </r>
  <r>
    <n v="10287"/>
    <n v="41"/>
    <n v="69.430000000000007"/>
    <n v="2846.63"/>
    <s v="Medium"/>
    <n v="853.98900000000003"/>
    <d v="2004-08-30T00:00:00"/>
    <x v="0"/>
    <x v="0"/>
    <x v="3"/>
    <x v="1"/>
    <s v="Aug-2004"/>
    <x v="1"/>
    <x v="69"/>
    <x v="17"/>
    <x v="1"/>
    <x v="0"/>
  </r>
  <r>
    <n v="10300"/>
    <n v="22"/>
    <n v="76.61"/>
    <n v="1685.42"/>
    <s v="Low"/>
    <n v="505.62599999999998"/>
    <d v="2003-10-04T00:00:00"/>
    <x v="0"/>
    <x v="0"/>
    <x v="4"/>
    <x v="0"/>
    <s v="Oct-2003"/>
    <x v="1"/>
    <x v="72"/>
    <x v="16"/>
    <x v="1"/>
    <x v="0"/>
  </r>
  <r>
    <n v="10310"/>
    <n v="49"/>
    <n v="81.400000000000006"/>
    <n v="3988.6000000000004"/>
    <s v="Medium"/>
    <n v="1196.5800000000002"/>
    <d v="2004-10-16T00:00:00"/>
    <x v="0"/>
    <x v="0"/>
    <x v="4"/>
    <x v="1"/>
    <s v="Oct-2004"/>
    <x v="1"/>
    <x v="68"/>
    <x v="16"/>
    <x v="1"/>
    <x v="1"/>
  </r>
  <r>
    <n v="10320"/>
    <n v="38"/>
    <n v="73.42"/>
    <n v="2789.96"/>
    <s v="Medium"/>
    <n v="836.98799999999994"/>
    <d v="2004-11-03T00:00:00"/>
    <x v="0"/>
    <x v="0"/>
    <x v="5"/>
    <x v="1"/>
    <s v="Nov-2004"/>
    <x v="1"/>
    <x v="24"/>
    <x v="8"/>
    <x v="1"/>
    <x v="0"/>
  </r>
  <r>
    <n v="10329"/>
    <n v="33"/>
    <n v="100"/>
    <n v="3300"/>
    <s v="Medium"/>
    <n v="990"/>
    <d v="2004-11-15T00:00:00"/>
    <x v="0"/>
    <x v="0"/>
    <x v="5"/>
    <x v="1"/>
    <s v="Nov-2004"/>
    <x v="1"/>
    <x v="0"/>
    <x v="0"/>
    <x v="0"/>
    <x v="1"/>
  </r>
  <r>
    <n v="10341"/>
    <n v="36"/>
    <n v="93.56"/>
    <n v="3368.16"/>
    <s v="Medium"/>
    <n v="1010.4479999999999"/>
    <d v="2004-11-24T00:00:00"/>
    <x v="0"/>
    <x v="0"/>
    <x v="5"/>
    <x v="1"/>
    <s v="Nov-2004"/>
    <x v="1"/>
    <x v="19"/>
    <x v="5"/>
    <x v="1"/>
    <x v="1"/>
  </r>
  <r>
    <n v="10363"/>
    <n v="34"/>
    <n v="81.62"/>
    <n v="2775.08"/>
    <s v="Medium"/>
    <n v="832.524"/>
    <d v="2005-01-06T00:00:00"/>
    <x v="0"/>
    <x v="0"/>
    <x v="7"/>
    <x v="2"/>
    <s v="Jan-2005"/>
    <x v="1"/>
    <x v="73"/>
    <x v="4"/>
    <x v="1"/>
    <x v="0"/>
  </r>
  <r>
    <n v="10377"/>
    <n v="24"/>
    <n v="67.83"/>
    <n v="1627.92"/>
    <s v="Low"/>
    <n v="488.37599999999998"/>
    <d v="2005-02-09T00:00:00"/>
    <x v="0"/>
    <x v="0"/>
    <x v="0"/>
    <x v="2"/>
    <s v="Feb-2005"/>
    <x v="1"/>
    <x v="16"/>
    <x v="4"/>
    <x v="1"/>
    <x v="0"/>
  </r>
  <r>
    <n v="10389"/>
    <n v="36"/>
    <n v="70.260000000000005"/>
    <n v="2529.36"/>
    <s v="Medium"/>
    <n v="758.80799999999999"/>
    <d v="2005-03-03T00:00:00"/>
    <x v="0"/>
    <x v="0"/>
    <x v="11"/>
    <x v="2"/>
    <s v="Mar-2005"/>
    <x v="1"/>
    <x v="37"/>
    <x v="8"/>
    <x v="1"/>
    <x v="0"/>
  </r>
  <r>
    <n v="10419"/>
    <n v="34"/>
    <n v="90.17"/>
    <n v="3065.78"/>
    <s v="Medium"/>
    <n v="919.73400000000004"/>
    <d v="2005-05-17T00:00:00"/>
    <x v="0"/>
    <x v="0"/>
    <x v="1"/>
    <x v="2"/>
    <s v="May-2005"/>
    <x v="1"/>
    <x v="19"/>
    <x v="5"/>
    <x v="1"/>
    <x v="1"/>
  </r>
  <r>
    <n v="10104"/>
    <n v="41"/>
    <n v="100"/>
    <n v="4100"/>
    <s v="Medium"/>
    <n v="1230"/>
    <d v="2003-01-31T00:00:00"/>
    <x v="0"/>
    <x v="0"/>
    <x v="7"/>
    <x v="0"/>
    <s v="Jan-2003"/>
    <x v="2"/>
    <x v="23"/>
    <x v="7"/>
    <x v="1"/>
    <x v="1"/>
  </r>
  <r>
    <n v="10115"/>
    <n v="46"/>
    <n v="100"/>
    <n v="4600"/>
    <s v="Medium"/>
    <n v="1380"/>
    <d v="2003-04-04T00:00:00"/>
    <x v="0"/>
    <x v="0"/>
    <x v="8"/>
    <x v="0"/>
    <s v="Apr-2003"/>
    <x v="2"/>
    <x v="27"/>
    <x v="0"/>
    <x v="0"/>
    <x v="1"/>
  </r>
  <r>
    <n v="10127"/>
    <n v="24"/>
    <n v="100"/>
    <n v="2400"/>
    <s v="Medium"/>
    <n v="720"/>
    <d v="2003-06-03T00:00:00"/>
    <x v="0"/>
    <x v="0"/>
    <x v="9"/>
    <x v="0"/>
    <s v="Jun-2003"/>
    <x v="2"/>
    <x v="74"/>
    <x v="0"/>
    <x v="0"/>
    <x v="0"/>
  </r>
  <r>
    <n v="10141"/>
    <n v="21"/>
    <n v="100"/>
    <n v="2100"/>
    <s v="Medium"/>
    <n v="630"/>
    <d v="2003-08-01T00:00:00"/>
    <x v="0"/>
    <x v="0"/>
    <x v="3"/>
    <x v="0"/>
    <s v="Aug-2003"/>
    <x v="2"/>
    <x v="73"/>
    <x v="4"/>
    <x v="1"/>
    <x v="0"/>
  </r>
  <r>
    <n v="10151"/>
    <n v="24"/>
    <n v="100"/>
    <n v="2400"/>
    <s v="Medium"/>
    <n v="720"/>
    <d v="2003-09-21T00:00:00"/>
    <x v="0"/>
    <x v="0"/>
    <x v="10"/>
    <x v="0"/>
    <s v="Sep-2003"/>
    <x v="2"/>
    <x v="60"/>
    <x v="4"/>
    <x v="1"/>
    <x v="1"/>
  </r>
  <r>
    <n v="10165"/>
    <n v="48"/>
    <n v="100"/>
    <n v="4800"/>
    <s v="Medium"/>
    <n v="1440"/>
    <d v="2003-10-22T00:00:00"/>
    <x v="0"/>
    <x v="0"/>
    <x v="4"/>
    <x v="0"/>
    <s v="Oct-2003"/>
    <x v="2"/>
    <x v="26"/>
    <x v="9"/>
    <x v="3"/>
    <x v="1"/>
  </r>
  <r>
    <n v="10175"/>
    <n v="26"/>
    <n v="100"/>
    <n v="2600"/>
    <s v="Medium"/>
    <n v="780"/>
    <d v="2003-11-06T00:00:00"/>
    <x v="0"/>
    <x v="0"/>
    <x v="5"/>
    <x v="0"/>
    <s v="Nov-2003"/>
    <x v="2"/>
    <x v="49"/>
    <x v="6"/>
    <x v="1"/>
    <x v="1"/>
  </r>
  <r>
    <n v="10184"/>
    <n v="37"/>
    <n v="100"/>
    <n v="3700"/>
    <s v="Medium"/>
    <n v="1110"/>
    <d v="2003-11-14T00:00:00"/>
    <x v="0"/>
    <x v="0"/>
    <x v="5"/>
    <x v="0"/>
    <s v="Nov-2003"/>
    <x v="2"/>
    <x v="81"/>
    <x v="7"/>
    <x v="1"/>
    <x v="1"/>
  </r>
  <r>
    <n v="10195"/>
    <n v="49"/>
    <n v="100"/>
    <n v="4900"/>
    <s v="Medium"/>
    <n v="1470"/>
    <d v="2003-11-25T00:00:00"/>
    <x v="0"/>
    <x v="0"/>
    <x v="5"/>
    <x v="0"/>
    <s v="Nov-2003"/>
    <x v="2"/>
    <x v="47"/>
    <x v="0"/>
    <x v="0"/>
    <x v="1"/>
  </r>
  <r>
    <n v="10207"/>
    <n v="34"/>
    <n v="99.54"/>
    <n v="3384.36"/>
    <s v="Medium"/>
    <n v="1015.308"/>
    <d v="2003-12-09T00:00:00"/>
    <x v="0"/>
    <x v="0"/>
    <x v="6"/>
    <x v="0"/>
    <s v="Dec-2003"/>
    <x v="2"/>
    <x v="64"/>
    <x v="0"/>
    <x v="0"/>
    <x v="1"/>
  </r>
  <r>
    <n v="10219"/>
    <n v="48"/>
    <n v="100"/>
    <n v="4800"/>
    <s v="Medium"/>
    <n v="1440"/>
    <d v="2004-02-10T00:00:00"/>
    <x v="0"/>
    <x v="0"/>
    <x v="0"/>
    <x v="1"/>
    <s v="Feb-2004"/>
    <x v="2"/>
    <x v="82"/>
    <x v="0"/>
    <x v="0"/>
    <x v="1"/>
  </r>
  <r>
    <n v="10229"/>
    <n v="36"/>
    <n v="100"/>
    <n v="3600"/>
    <s v="Medium"/>
    <n v="1080"/>
    <d v="2004-03-11T00:00:00"/>
    <x v="0"/>
    <x v="0"/>
    <x v="11"/>
    <x v="1"/>
    <s v="Mar-2004"/>
    <x v="2"/>
    <x v="39"/>
    <x v="0"/>
    <x v="0"/>
    <x v="1"/>
  </r>
  <r>
    <n v="10246"/>
    <n v="46"/>
    <n v="100"/>
    <n v="4600"/>
    <s v="Medium"/>
    <n v="1380"/>
    <d v="2004-05-05T00:00:00"/>
    <x v="0"/>
    <x v="0"/>
    <x v="1"/>
    <x v="1"/>
    <s v="May-2004"/>
    <x v="2"/>
    <x v="23"/>
    <x v="7"/>
    <x v="1"/>
    <x v="1"/>
  </r>
  <r>
    <n v="10259"/>
    <n v="46"/>
    <n v="100"/>
    <n v="4600"/>
    <s v="Medium"/>
    <n v="1380"/>
    <d v="2004-06-15T00:00:00"/>
    <x v="0"/>
    <x v="0"/>
    <x v="9"/>
    <x v="1"/>
    <s v="Jun-2004"/>
    <x v="2"/>
    <x v="65"/>
    <x v="9"/>
    <x v="2"/>
    <x v="1"/>
  </r>
  <r>
    <n v="10271"/>
    <n v="31"/>
    <n v="97.17"/>
    <n v="3012.27"/>
    <s v="Medium"/>
    <n v="903.68099999999993"/>
    <d v="2004-07-20T00:00:00"/>
    <x v="0"/>
    <x v="0"/>
    <x v="2"/>
    <x v="1"/>
    <s v="Jul-2004"/>
    <x v="2"/>
    <x v="39"/>
    <x v="0"/>
    <x v="0"/>
    <x v="1"/>
  </r>
  <r>
    <n v="10281"/>
    <n v="41"/>
    <n v="100"/>
    <n v="4100"/>
    <s v="Medium"/>
    <n v="1230"/>
    <d v="2004-08-19T00:00:00"/>
    <x v="0"/>
    <x v="0"/>
    <x v="3"/>
    <x v="1"/>
    <s v="Aug-2004"/>
    <x v="2"/>
    <x v="18"/>
    <x v="0"/>
    <x v="0"/>
    <x v="1"/>
  </r>
  <r>
    <n v="10292"/>
    <n v="21"/>
    <n v="100"/>
    <n v="2100"/>
    <s v="Medium"/>
    <n v="630"/>
    <d v="2004-09-08T00:00:00"/>
    <x v="0"/>
    <x v="0"/>
    <x v="10"/>
    <x v="1"/>
    <s v="Sep-2004"/>
    <x v="2"/>
    <x v="0"/>
    <x v="0"/>
    <x v="0"/>
    <x v="0"/>
  </r>
  <r>
    <n v="10305"/>
    <n v="38"/>
    <n v="100"/>
    <n v="3800"/>
    <s v="Medium"/>
    <n v="1140"/>
    <d v="2004-10-13T00:00:00"/>
    <x v="0"/>
    <x v="0"/>
    <x v="4"/>
    <x v="1"/>
    <s v="Oct-2004"/>
    <x v="2"/>
    <x v="15"/>
    <x v="0"/>
    <x v="0"/>
    <x v="1"/>
  </r>
  <r>
    <n v="10314"/>
    <n v="45"/>
    <n v="100"/>
    <n v="4500"/>
    <s v="Medium"/>
    <n v="1350"/>
    <d v="2004-10-22T00:00:00"/>
    <x v="0"/>
    <x v="0"/>
    <x v="4"/>
    <x v="1"/>
    <s v="Oct-2004"/>
    <x v="2"/>
    <x v="78"/>
    <x v="13"/>
    <x v="1"/>
    <x v="1"/>
  </r>
  <r>
    <n v="10324"/>
    <n v="26"/>
    <n v="58.38"/>
    <n v="1517.88"/>
    <s v="Low"/>
    <n v="455.36400000000003"/>
    <d v="2004-11-05T00:00:00"/>
    <x v="0"/>
    <x v="0"/>
    <x v="5"/>
    <x v="1"/>
    <s v="Nov-2004"/>
    <x v="2"/>
    <x v="11"/>
    <x v="0"/>
    <x v="0"/>
    <x v="0"/>
  </r>
  <r>
    <n v="10336"/>
    <n v="38"/>
    <n v="100"/>
    <n v="3800"/>
    <s v="Medium"/>
    <n v="1140"/>
    <d v="2004-11-20T00:00:00"/>
    <x v="0"/>
    <x v="0"/>
    <x v="5"/>
    <x v="1"/>
    <s v="Nov-2004"/>
    <x v="2"/>
    <x v="62"/>
    <x v="1"/>
    <x v="1"/>
    <x v="1"/>
  </r>
  <r>
    <n v="10349"/>
    <n v="48"/>
    <n v="100"/>
    <n v="4800"/>
    <s v="Medium"/>
    <n v="1440"/>
    <d v="2004-12-01T00:00:00"/>
    <x v="0"/>
    <x v="0"/>
    <x v="6"/>
    <x v="1"/>
    <s v="Dec-2004"/>
    <x v="2"/>
    <x v="74"/>
    <x v="0"/>
    <x v="0"/>
    <x v="1"/>
  </r>
  <r>
    <n v="10358"/>
    <n v="42"/>
    <n v="64.16"/>
    <n v="2694.72"/>
    <s v="Medium"/>
    <n v="808.41599999999994"/>
    <d v="2004-12-10T00:00:00"/>
    <x v="0"/>
    <x v="0"/>
    <x v="6"/>
    <x v="1"/>
    <s v="Dec-2004"/>
    <x v="2"/>
    <x v="23"/>
    <x v="7"/>
    <x v="1"/>
    <x v="0"/>
  </r>
  <r>
    <n v="10371"/>
    <n v="49"/>
    <n v="35.71"/>
    <n v="1749.79"/>
    <s v="Low"/>
    <n v="524.93700000000001"/>
    <d v="2005-01-23T00:00:00"/>
    <x v="0"/>
    <x v="0"/>
    <x v="7"/>
    <x v="2"/>
    <s v="Jan-2005"/>
    <x v="2"/>
    <x v="39"/>
    <x v="0"/>
    <x v="0"/>
    <x v="0"/>
  </r>
  <r>
    <n v="10382"/>
    <n v="32"/>
    <n v="66.58"/>
    <n v="2130.56"/>
    <s v="Medium"/>
    <n v="639.16800000000001"/>
    <d v="2005-02-17T00:00:00"/>
    <x v="0"/>
    <x v="0"/>
    <x v="0"/>
    <x v="2"/>
    <s v="Feb-2005"/>
    <x v="2"/>
    <x v="39"/>
    <x v="0"/>
    <x v="0"/>
    <x v="0"/>
  </r>
  <r>
    <n v="10412"/>
    <n v="54"/>
    <n v="100"/>
    <n v="5400"/>
    <s v="High"/>
    <n v="1620"/>
    <d v="2005-05-03T00:00:00"/>
    <x v="0"/>
    <x v="0"/>
    <x v="1"/>
    <x v="2"/>
    <s v="May-2005"/>
    <x v="2"/>
    <x v="23"/>
    <x v="7"/>
    <x v="1"/>
    <x v="1"/>
  </r>
  <r>
    <n v="10425"/>
    <n v="33"/>
    <n v="100"/>
    <n v="3300"/>
    <s v="Medium"/>
    <n v="990"/>
    <d v="2005-05-31T00:00:00"/>
    <x v="2"/>
    <x v="1"/>
    <x v="1"/>
    <x v="2"/>
    <s v="May-2005"/>
    <x v="2"/>
    <x v="14"/>
    <x v="1"/>
    <x v="1"/>
    <x v="1"/>
  </r>
  <r>
    <n v="10108"/>
    <n v="36"/>
    <n v="100"/>
    <n v="3600"/>
    <s v="Medium"/>
    <n v="1080"/>
    <d v="2003-03-03T00:00:00"/>
    <x v="0"/>
    <x v="0"/>
    <x v="11"/>
    <x v="0"/>
    <s v="Mar-2003"/>
    <x v="1"/>
    <x v="66"/>
    <x v="15"/>
    <x v="3"/>
    <x v="1"/>
  </r>
  <r>
    <n v="10122"/>
    <n v="20"/>
    <n v="100"/>
    <n v="2000"/>
    <s v="Medium"/>
    <n v="600"/>
    <d v="2003-05-08T00:00:00"/>
    <x v="0"/>
    <x v="0"/>
    <x v="1"/>
    <x v="0"/>
    <s v="May-2003"/>
    <x v="1"/>
    <x v="67"/>
    <x v="1"/>
    <x v="1"/>
    <x v="0"/>
  </r>
  <r>
    <n v="10135"/>
    <n v="29"/>
    <n v="97.89"/>
    <n v="2838.81"/>
    <s v="Medium"/>
    <n v="851.64299999999992"/>
    <d v="2003-07-02T00:00:00"/>
    <x v="0"/>
    <x v="0"/>
    <x v="2"/>
    <x v="0"/>
    <s v="Jul-2003"/>
    <x v="1"/>
    <x v="39"/>
    <x v="0"/>
    <x v="0"/>
    <x v="0"/>
  </r>
  <r>
    <n v="10147"/>
    <n v="33"/>
    <n v="97.89"/>
    <n v="3230.37"/>
    <s v="Medium"/>
    <n v="969.11099999999988"/>
    <d v="2003-09-05T00:00:00"/>
    <x v="0"/>
    <x v="0"/>
    <x v="10"/>
    <x v="0"/>
    <s v="Sep-2003"/>
    <x v="1"/>
    <x v="41"/>
    <x v="0"/>
    <x v="0"/>
    <x v="1"/>
  </r>
  <r>
    <n v="10160"/>
    <n v="50"/>
    <n v="100"/>
    <n v="5000"/>
    <s v="High"/>
    <n v="1500"/>
    <d v="2003-10-11T00:00:00"/>
    <x v="0"/>
    <x v="0"/>
    <x v="4"/>
    <x v="0"/>
    <s v="Oct-2003"/>
    <x v="1"/>
    <x v="54"/>
    <x v="0"/>
    <x v="0"/>
    <x v="1"/>
  </r>
  <r>
    <n v="10170"/>
    <n v="41"/>
    <n v="100"/>
    <n v="4100"/>
    <s v="Medium"/>
    <n v="1230"/>
    <d v="2003-11-04T00:00:00"/>
    <x v="0"/>
    <x v="0"/>
    <x v="5"/>
    <x v="0"/>
    <s v="Nov-2003"/>
    <x v="1"/>
    <x v="63"/>
    <x v="5"/>
    <x v="1"/>
    <x v="1"/>
  </r>
  <r>
    <n v="10181"/>
    <n v="36"/>
    <n v="100"/>
    <n v="3600"/>
    <s v="Medium"/>
    <n v="1080"/>
    <d v="2003-11-12T00:00:00"/>
    <x v="0"/>
    <x v="0"/>
    <x v="5"/>
    <x v="0"/>
    <s v="Nov-2003"/>
    <x v="1"/>
    <x v="7"/>
    <x v="2"/>
    <x v="1"/>
    <x v="1"/>
  </r>
  <r>
    <n v="10192"/>
    <n v="27"/>
    <n v="100"/>
    <n v="2700"/>
    <s v="Medium"/>
    <n v="810"/>
    <d v="2003-11-20T00:00:00"/>
    <x v="0"/>
    <x v="0"/>
    <x v="5"/>
    <x v="0"/>
    <s v="Nov-2003"/>
    <x v="1"/>
    <x v="40"/>
    <x v="0"/>
    <x v="0"/>
    <x v="1"/>
  </r>
  <r>
    <n v="10203"/>
    <n v="47"/>
    <n v="100"/>
    <n v="4700"/>
    <s v="Medium"/>
    <n v="1410"/>
    <d v="2003-12-02T00:00:00"/>
    <x v="0"/>
    <x v="0"/>
    <x v="6"/>
    <x v="0"/>
    <s v="Dec-2003"/>
    <x v="1"/>
    <x v="23"/>
    <x v="7"/>
    <x v="1"/>
    <x v="1"/>
  </r>
  <r>
    <n v="10212"/>
    <n v="33"/>
    <n v="100"/>
    <n v="3300"/>
    <s v="Medium"/>
    <n v="990"/>
    <d v="2004-01-16T00:00:00"/>
    <x v="0"/>
    <x v="0"/>
    <x v="7"/>
    <x v="1"/>
    <s v="Jan-2004"/>
    <x v="1"/>
    <x v="23"/>
    <x v="7"/>
    <x v="1"/>
    <x v="1"/>
  </r>
  <r>
    <n v="10225"/>
    <n v="21"/>
    <n v="100"/>
    <n v="2100"/>
    <s v="Medium"/>
    <n v="630"/>
    <d v="2004-02-22T00:00:00"/>
    <x v="0"/>
    <x v="0"/>
    <x v="0"/>
    <x v="1"/>
    <s v="Feb-2004"/>
    <x v="1"/>
    <x v="69"/>
    <x v="17"/>
    <x v="1"/>
    <x v="0"/>
  </r>
  <r>
    <n v="10239"/>
    <n v="21"/>
    <n v="93.28"/>
    <n v="1958.88"/>
    <s v="Low"/>
    <n v="587.66399999999999"/>
    <d v="2004-04-12T00:00:00"/>
    <x v="0"/>
    <x v="0"/>
    <x v="8"/>
    <x v="1"/>
    <s v="Apr-2004"/>
    <x v="1"/>
    <x v="60"/>
    <x v="4"/>
    <x v="1"/>
    <x v="0"/>
  </r>
  <r>
    <n v="10253"/>
    <n v="41"/>
    <n v="100"/>
    <n v="4100"/>
    <s v="Medium"/>
    <n v="1230"/>
    <d v="2004-06-01T00:00:00"/>
    <x v="3"/>
    <x v="1"/>
    <x v="9"/>
    <x v="1"/>
    <s v="Jun-2004"/>
    <x v="1"/>
    <x v="22"/>
    <x v="6"/>
    <x v="1"/>
    <x v="1"/>
  </r>
  <r>
    <n v="10266"/>
    <n v="40"/>
    <n v="100"/>
    <n v="4000"/>
    <s v="Medium"/>
    <n v="1200"/>
    <d v="2004-07-06T00:00:00"/>
    <x v="0"/>
    <x v="0"/>
    <x v="2"/>
    <x v="1"/>
    <s v="Jul-2004"/>
    <x v="1"/>
    <x v="70"/>
    <x v="12"/>
    <x v="1"/>
    <x v="1"/>
  </r>
  <r>
    <n v="10277"/>
    <n v="28"/>
    <n v="100"/>
    <n v="2800"/>
    <s v="Medium"/>
    <n v="840"/>
    <d v="2004-08-04T00:00:00"/>
    <x v="0"/>
    <x v="0"/>
    <x v="3"/>
    <x v="1"/>
    <s v="Aug-2004"/>
    <x v="1"/>
    <x v="26"/>
    <x v="9"/>
    <x v="3"/>
    <x v="1"/>
  </r>
  <r>
    <n v="10287"/>
    <n v="23"/>
    <n v="100"/>
    <n v="2300"/>
    <s v="Medium"/>
    <n v="690"/>
    <d v="2004-08-30T00:00:00"/>
    <x v="0"/>
    <x v="0"/>
    <x v="3"/>
    <x v="1"/>
    <s v="Aug-2004"/>
    <x v="1"/>
    <x v="69"/>
    <x v="17"/>
    <x v="1"/>
    <x v="0"/>
  </r>
  <r>
    <n v="10300"/>
    <n v="23"/>
    <n v="100"/>
    <n v="2300"/>
    <s v="Medium"/>
    <n v="690"/>
    <d v="2003-10-04T00:00:00"/>
    <x v="0"/>
    <x v="0"/>
    <x v="4"/>
    <x v="0"/>
    <s v="Oct-2003"/>
    <x v="1"/>
    <x v="72"/>
    <x v="16"/>
    <x v="1"/>
    <x v="0"/>
  </r>
  <r>
    <n v="10310"/>
    <n v="25"/>
    <n v="100"/>
    <n v="2500"/>
    <s v="Medium"/>
    <n v="750"/>
    <d v="2004-10-16T00:00:00"/>
    <x v="0"/>
    <x v="0"/>
    <x v="4"/>
    <x v="1"/>
    <s v="Oct-2004"/>
    <x v="1"/>
    <x v="68"/>
    <x v="16"/>
    <x v="1"/>
    <x v="0"/>
  </r>
  <r>
    <n v="10321"/>
    <n v="24"/>
    <n v="100"/>
    <n v="2400"/>
    <s v="Medium"/>
    <n v="720"/>
    <d v="2004-11-04T00:00:00"/>
    <x v="0"/>
    <x v="0"/>
    <x v="5"/>
    <x v="1"/>
    <s v="Nov-2004"/>
    <x v="1"/>
    <x v="21"/>
    <x v="0"/>
    <x v="0"/>
    <x v="0"/>
  </r>
  <r>
    <n v="10329"/>
    <n v="39"/>
    <n v="64.739999999999995"/>
    <n v="2524.8599999999997"/>
    <s v="Medium"/>
    <n v="757.45799999999986"/>
    <d v="2004-11-15T00:00:00"/>
    <x v="0"/>
    <x v="0"/>
    <x v="5"/>
    <x v="1"/>
    <s v="Nov-2004"/>
    <x v="1"/>
    <x v="0"/>
    <x v="0"/>
    <x v="0"/>
    <x v="0"/>
  </r>
  <r>
    <n v="10341"/>
    <n v="55"/>
    <n v="75.2"/>
    <n v="4136"/>
    <s v="Medium"/>
    <n v="1240.8"/>
    <d v="2004-11-24T00:00:00"/>
    <x v="0"/>
    <x v="0"/>
    <x v="5"/>
    <x v="1"/>
    <s v="Nov-2004"/>
    <x v="1"/>
    <x v="19"/>
    <x v="5"/>
    <x v="1"/>
    <x v="1"/>
  </r>
  <r>
    <n v="10363"/>
    <n v="46"/>
    <n v="88.45"/>
    <n v="4068.7000000000003"/>
    <s v="Medium"/>
    <n v="1220.6100000000001"/>
    <d v="2005-01-06T00:00:00"/>
    <x v="0"/>
    <x v="0"/>
    <x v="7"/>
    <x v="2"/>
    <s v="Jan-2005"/>
    <x v="1"/>
    <x v="73"/>
    <x v="4"/>
    <x v="1"/>
    <x v="1"/>
  </r>
  <r>
    <n v="10377"/>
    <n v="50"/>
    <n v="100"/>
    <n v="5000"/>
    <s v="High"/>
    <n v="1500"/>
    <d v="2005-02-09T00:00:00"/>
    <x v="0"/>
    <x v="0"/>
    <x v="0"/>
    <x v="2"/>
    <s v="Feb-2005"/>
    <x v="1"/>
    <x v="16"/>
    <x v="4"/>
    <x v="1"/>
    <x v="1"/>
  </r>
  <r>
    <n v="10389"/>
    <n v="47"/>
    <n v="100"/>
    <n v="4700"/>
    <s v="Medium"/>
    <n v="1410"/>
    <d v="2005-03-03T00:00:00"/>
    <x v="0"/>
    <x v="0"/>
    <x v="11"/>
    <x v="2"/>
    <s v="Mar-2005"/>
    <x v="1"/>
    <x v="37"/>
    <x v="8"/>
    <x v="1"/>
    <x v="1"/>
  </r>
  <r>
    <n v="10405"/>
    <n v="97"/>
    <n v="93.28"/>
    <n v="9048.16"/>
    <s v="High"/>
    <n v="2714.4479999999999"/>
    <d v="2005-04-14T00:00:00"/>
    <x v="0"/>
    <x v="0"/>
    <x v="8"/>
    <x v="2"/>
    <s v="Apr-2005"/>
    <x v="1"/>
    <x v="83"/>
    <x v="1"/>
    <x v="1"/>
    <x v="2"/>
  </r>
  <r>
    <n v="10419"/>
    <n v="32"/>
    <n v="100"/>
    <n v="3200"/>
    <s v="Medium"/>
    <n v="960"/>
    <d v="2005-05-17T00:00:00"/>
    <x v="0"/>
    <x v="0"/>
    <x v="1"/>
    <x v="2"/>
    <s v="May-2005"/>
    <x v="1"/>
    <x v="19"/>
    <x v="5"/>
    <x v="1"/>
    <x v="1"/>
  </r>
  <r>
    <n v="10103"/>
    <n v="35"/>
    <n v="100"/>
    <n v="3500"/>
    <s v="Medium"/>
    <n v="1050"/>
    <d v="2003-01-29T00:00:00"/>
    <x v="0"/>
    <x v="0"/>
    <x v="7"/>
    <x v="0"/>
    <s v="Jan-2003"/>
    <x v="2"/>
    <x v="17"/>
    <x v="2"/>
    <x v="1"/>
    <x v="1"/>
  </r>
  <r>
    <n v="10113"/>
    <n v="49"/>
    <n v="100"/>
    <n v="4900"/>
    <s v="Medium"/>
    <n v="1470"/>
    <d v="2003-03-26T00:00:00"/>
    <x v="0"/>
    <x v="0"/>
    <x v="11"/>
    <x v="0"/>
    <s v="Mar-2003"/>
    <x v="2"/>
    <x v="39"/>
    <x v="0"/>
    <x v="0"/>
    <x v="1"/>
  </r>
  <r>
    <n v="10126"/>
    <n v="38"/>
    <n v="100"/>
    <n v="3800"/>
    <s v="Medium"/>
    <n v="1140"/>
    <d v="2003-05-28T00:00:00"/>
    <x v="0"/>
    <x v="0"/>
    <x v="1"/>
    <x v="0"/>
    <s v="May-2003"/>
    <x v="2"/>
    <x v="25"/>
    <x v="7"/>
    <x v="1"/>
    <x v="1"/>
  </r>
  <r>
    <n v="10140"/>
    <n v="32"/>
    <n v="100"/>
    <n v="3200"/>
    <s v="Medium"/>
    <n v="960"/>
    <d v="2003-07-24T00:00:00"/>
    <x v="0"/>
    <x v="0"/>
    <x v="2"/>
    <x v="0"/>
    <s v="Jul-2003"/>
    <x v="2"/>
    <x v="5"/>
    <x v="0"/>
    <x v="0"/>
    <x v="1"/>
  </r>
  <r>
    <n v="10150"/>
    <n v="34"/>
    <n v="100"/>
    <n v="3400"/>
    <s v="Medium"/>
    <n v="1020"/>
    <d v="2003-09-19T00:00:00"/>
    <x v="0"/>
    <x v="0"/>
    <x v="10"/>
    <x v="0"/>
    <s v="Sep-2003"/>
    <x v="2"/>
    <x v="26"/>
    <x v="9"/>
    <x v="3"/>
    <x v="1"/>
  </r>
  <r>
    <n v="10164"/>
    <n v="36"/>
    <n v="99.17"/>
    <n v="3570.12"/>
    <s v="Medium"/>
    <n v="1071.0359999999998"/>
    <d v="2003-10-21T00:00:00"/>
    <x v="5"/>
    <x v="1"/>
    <x v="4"/>
    <x v="0"/>
    <s v="Oct-2003"/>
    <x v="2"/>
    <x v="63"/>
    <x v="5"/>
    <x v="1"/>
    <x v="1"/>
  </r>
  <r>
    <n v="10174"/>
    <n v="48"/>
    <n v="93.34"/>
    <n v="4480.32"/>
    <s v="Medium"/>
    <n v="1344.0959999999998"/>
    <d v="2003-11-06T00:00:00"/>
    <x v="0"/>
    <x v="0"/>
    <x v="5"/>
    <x v="0"/>
    <s v="Nov-2003"/>
    <x v="2"/>
    <x v="28"/>
    <x v="3"/>
    <x v="2"/>
    <x v="1"/>
  </r>
  <r>
    <n v="10183"/>
    <n v="21"/>
    <n v="96.84"/>
    <n v="2033.64"/>
    <s v="Medium"/>
    <n v="610.09199999999998"/>
    <d v="2003-11-13T00:00:00"/>
    <x v="0"/>
    <x v="0"/>
    <x v="5"/>
    <x v="0"/>
    <s v="Nov-2003"/>
    <x v="2"/>
    <x v="29"/>
    <x v="0"/>
    <x v="0"/>
    <x v="0"/>
  </r>
  <r>
    <n v="10194"/>
    <n v="21"/>
    <n v="93.34"/>
    <n v="1960.14"/>
    <s v="Low"/>
    <n v="588.04200000000003"/>
    <d v="2003-11-25T00:00:00"/>
    <x v="0"/>
    <x v="0"/>
    <x v="5"/>
    <x v="0"/>
    <s v="Nov-2003"/>
    <x v="2"/>
    <x v="30"/>
    <x v="1"/>
    <x v="1"/>
    <x v="0"/>
  </r>
  <r>
    <n v="10206"/>
    <n v="34"/>
    <n v="100"/>
    <n v="3400"/>
    <s v="Medium"/>
    <n v="1020"/>
    <d v="2003-12-05T00:00:00"/>
    <x v="0"/>
    <x v="0"/>
    <x v="6"/>
    <x v="0"/>
    <s v="Dec-2003"/>
    <x v="2"/>
    <x v="31"/>
    <x v="10"/>
    <x v="0"/>
    <x v="1"/>
  </r>
  <r>
    <n v="10215"/>
    <n v="46"/>
    <n v="100"/>
    <n v="4600"/>
    <s v="Medium"/>
    <n v="1380"/>
    <d v="2004-01-29T00:00:00"/>
    <x v="0"/>
    <x v="0"/>
    <x v="7"/>
    <x v="1"/>
    <s v="Jan-2004"/>
    <x v="2"/>
    <x v="32"/>
    <x v="0"/>
    <x v="0"/>
    <x v="1"/>
  </r>
  <r>
    <n v="10228"/>
    <n v="32"/>
    <n v="100"/>
    <n v="3200"/>
    <s v="Medium"/>
    <n v="960"/>
    <d v="2004-03-10T00:00:00"/>
    <x v="0"/>
    <x v="0"/>
    <x v="11"/>
    <x v="1"/>
    <s v="Mar-2004"/>
    <x v="2"/>
    <x v="33"/>
    <x v="0"/>
    <x v="0"/>
    <x v="1"/>
  </r>
  <r>
    <n v="10245"/>
    <n v="29"/>
    <n v="100"/>
    <n v="2900"/>
    <s v="Medium"/>
    <n v="870"/>
    <d v="2004-05-04T00:00:00"/>
    <x v="0"/>
    <x v="0"/>
    <x v="1"/>
    <x v="1"/>
    <s v="May-2004"/>
    <x v="2"/>
    <x v="34"/>
    <x v="0"/>
    <x v="0"/>
    <x v="1"/>
  </r>
  <r>
    <n v="10258"/>
    <n v="41"/>
    <n v="100"/>
    <n v="4100"/>
    <s v="Medium"/>
    <n v="1230"/>
    <d v="2004-06-15T00:00:00"/>
    <x v="0"/>
    <x v="0"/>
    <x v="9"/>
    <x v="1"/>
    <s v="Jun-2004"/>
    <x v="2"/>
    <x v="35"/>
    <x v="11"/>
    <x v="3"/>
    <x v="1"/>
  </r>
  <r>
    <n v="10270"/>
    <n v="43"/>
    <n v="96.84"/>
    <n v="4164.12"/>
    <s v="Medium"/>
    <n v="1249.2359999999999"/>
    <d v="2004-07-19T00:00:00"/>
    <x v="0"/>
    <x v="0"/>
    <x v="2"/>
    <x v="1"/>
    <s v="Jul-2004"/>
    <x v="2"/>
    <x v="20"/>
    <x v="3"/>
    <x v="2"/>
    <x v="1"/>
  </r>
  <r>
    <n v="10280"/>
    <n v="24"/>
    <n v="100"/>
    <n v="2400"/>
    <s v="Medium"/>
    <n v="720"/>
    <d v="2004-08-17T00:00:00"/>
    <x v="0"/>
    <x v="0"/>
    <x v="3"/>
    <x v="1"/>
    <s v="Aug-2004"/>
    <x v="2"/>
    <x v="36"/>
    <x v="12"/>
    <x v="1"/>
    <x v="0"/>
  </r>
  <r>
    <n v="10291"/>
    <n v="41"/>
    <n v="100"/>
    <n v="4100"/>
    <s v="Medium"/>
    <n v="1230"/>
    <d v="2004-09-08T00:00:00"/>
    <x v="0"/>
    <x v="0"/>
    <x v="10"/>
    <x v="1"/>
    <s v="Sep-2004"/>
    <x v="2"/>
    <x v="37"/>
    <x v="8"/>
    <x v="1"/>
    <x v="1"/>
  </r>
  <r>
    <n v="10304"/>
    <n v="46"/>
    <n v="98"/>
    <n v="4508"/>
    <s v="Medium"/>
    <n v="1352.3999999999999"/>
    <d v="2004-10-11T00:00:00"/>
    <x v="0"/>
    <x v="0"/>
    <x v="4"/>
    <x v="1"/>
    <s v="Oct-2004"/>
    <x v="2"/>
    <x v="38"/>
    <x v="1"/>
    <x v="1"/>
    <x v="1"/>
  </r>
  <r>
    <n v="10312"/>
    <n v="32"/>
    <n v="100"/>
    <n v="3200"/>
    <s v="Medium"/>
    <n v="960"/>
    <d v="2004-10-21T00:00:00"/>
    <x v="0"/>
    <x v="0"/>
    <x v="4"/>
    <x v="1"/>
    <s v="Oct-2004"/>
    <x v="2"/>
    <x v="39"/>
    <x v="0"/>
    <x v="0"/>
    <x v="1"/>
  </r>
  <r>
    <n v="10322"/>
    <n v="22"/>
    <n v="100"/>
    <n v="2200"/>
    <s v="Medium"/>
    <n v="660"/>
    <d v="2004-11-04T00:00:00"/>
    <x v="0"/>
    <x v="0"/>
    <x v="5"/>
    <x v="1"/>
    <s v="Nov-2004"/>
    <x v="2"/>
    <x v="40"/>
    <x v="0"/>
    <x v="0"/>
    <x v="0"/>
  </r>
  <r>
    <n v="10333"/>
    <n v="29"/>
    <n v="40.25"/>
    <n v="1167.25"/>
    <s v="Low"/>
    <n v="350.17500000000001"/>
    <d v="2004-11-18T00:00:00"/>
    <x v="0"/>
    <x v="0"/>
    <x v="5"/>
    <x v="1"/>
    <s v="Nov-2004"/>
    <x v="2"/>
    <x v="8"/>
    <x v="0"/>
    <x v="0"/>
    <x v="0"/>
  </r>
  <r>
    <n v="10347"/>
    <n v="42"/>
    <n v="49.6"/>
    <n v="2083.2000000000003"/>
    <s v="Medium"/>
    <n v="624.96"/>
    <d v="2004-11-29T00:00:00"/>
    <x v="0"/>
    <x v="0"/>
    <x v="5"/>
    <x v="1"/>
    <s v="Nov-2004"/>
    <x v="2"/>
    <x v="10"/>
    <x v="3"/>
    <x v="2"/>
    <x v="0"/>
  </r>
  <r>
    <n v="10357"/>
    <n v="39"/>
    <n v="98"/>
    <n v="3822"/>
    <s v="Medium"/>
    <n v="1146.5999999999999"/>
    <d v="2004-12-10T00:00:00"/>
    <x v="0"/>
    <x v="0"/>
    <x v="6"/>
    <x v="1"/>
    <s v="Dec-2004"/>
    <x v="2"/>
    <x v="39"/>
    <x v="0"/>
    <x v="0"/>
    <x v="1"/>
  </r>
  <r>
    <n v="10370"/>
    <n v="27"/>
    <n v="100"/>
    <n v="2700"/>
    <s v="Medium"/>
    <n v="810"/>
    <d v="2005-01-20T00:00:00"/>
    <x v="0"/>
    <x v="0"/>
    <x v="7"/>
    <x v="2"/>
    <s v="Jan-2005"/>
    <x v="2"/>
    <x v="42"/>
    <x v="3"/>
    <x v="2"/>
    <x v="1"/>
  </r>
  <r>
    <n v="10381"/>
    <n v="48"/>
    <n v="98"/>
    <n v="4704"/>
    <s v="Medium"/>
    <n v="1411.2"/>
    <d v="2005-02-17T00:00:00"/>
    <x v="0"/>
    <x v="0"/>
    <x v="0"/>
    <x v="2"/>
    <s v="Feb-2005"/>
    <x v="2"/>
    <x v="4"/>
    <x v="0"/>
    <x v="0"/>
    <x v="1"/>
  </r>
  <r>
    <n v="10391"/>
    <n v="29"/>
    <n v="85.1"/>
    <n v="2467.8999999999996"/>
    <s v="Medium"/>
    <n v="740.36999999999989"/>
    <d v="2005-03-09T00:00:00"/>
    <x v="0"/>
    <x v="0"/>
    <x v="11"/>
    <x v="2"/>
    <s v="Mar-2005"/>
    <x v="2"/>
    <x v="42"/>
    <x v="3"/>
    <x v="2"/>
    <x v="0"/>
  </r>
  <r>
    <n v="10411"/>
    <n v="27"/>
    <n v="100"/>
    <n v="2700"/>
    <s v="Medium"/>
    <n v="810"/>
    <d v="2005-05-01T00:00:00"/>
    <x v="0"/>
    <x v="0"/>
    <x v="1"/>
    <x v="2"/>
    <s v="May-2005"/>
    <x v="2"/>
    <x v="43"/>
    <x v="10"/>
    <x v="0"/>
    <x v="1"/>
  </r>
  <r>
    <n v="10424"/>
    <n v="54"/>
    <n v="100"/>
    <n v="5400"/>
    <s v="High"/>
    <n v="1620"/>
    <d v="2005-05-31T00:00:00"/>
    <x v="2"/>
    <x v="1"/>
    <x v="1"/>
    <x v="2"/>
    <s v="May-2005"/>
    <x v="2"/>
    <x v="23"/>
    <x v="7"/>
    <x v="1"/>
    <x v="2"/>
  </r>
  <r>
    <n v="10109"/>
    <n v="26"/>
    <n v="100"/>
    <n v="2600"/>
    <s v="Medium"/>
    <n v="780"/>
    <d v="2003-03-10T00:00:00"/>
    <x v="0"/>
    <x v="0"/>
    <x v="11"/>
    <x v="0"/>
    <s v="Mar-2003"/>
    <x v="1"/>
    <x v="45"/>
    <x v="0"/>
    <x v="0"/>
    <x v="1"/>
  </r>
  <r>
    <n v="10122"/>
    <n v="34"/>
    <n v="100"/>
    <n v="3400"/>
    <s v="Medium"/>
    <n v="1020"/>
    <d v="2003-05-08T00:00:00"/>
    <x v="0"/>
    <x v="0"/>
    <x v="1"/>
    <x v="0"/>
    <s v="May-2003"/>
    <x v="1"/>
    <x v="67"/>
    <x v="1"/>
    <x v="1"/>
    <x v="1"/>
  </r>
  <r>
    <n v="10136"/>
    <n v="25"/>
    <n v="100"/>
    <n v="2500"/>
    <s v="Medium"/>
    <n v="750"/>
    <d v="2003-07-04T00:00:00"/>
    <x v="0"/>
    <x v="0"/>
    <x v="2"/>
    <x v="0"/>
    <s v="Jul-2003"/>
    <x v="1"/>
    <x v="51"/>
    <x v="1"/>
    <x v="1"/>
    <x v="1"/>
  </r>
  <r>
    <n v="10148"/>
    <n v="23"/>
    <n v="100"/>
    <n v="2300"/>
    <s v="Medium"/>
    <n v="690"/>
    <d v="2003-09-11T00:00:00"/>
    <x v="0"/>
    <x v="0"/>
    <x v="10"/>
    <x v="0"/>
    <s v="Sep-2003"/>
    <x v="1"/>
    <x v="42"/>
    <x v="3"/>
    <x v="2"/>
    <x v="0"/>
  </r>
  <r>
    <n v="10161"/>
    <n v="28"/>
    <n v="100"/>
    <n v="2800"/>
    <s v="Medium"/>
    <n v="840"/>
    <d v="2003-10-17T00:00:00"/>
    <x v="0"/>
    <x v="0"/>
    <x v="4"/>
    <x v="0"/>
    <s v="Oct-2003"/>
    <x v="1"/>
    <x v="78"/>
    <x v="13"/>
    <x v="1"/>
    <x v="1"/>
  </r>
  <r>
    <n v="10171"/>
    <n v="35"/>
    <n v="100"/>
    <n v="3500"/>
    <s v="Medium"/>
    <n v="1050"/>
    <d v="2003-11-05T00:00:00"/>
    <x v="0"/>
    <x v="0"/>
    <x v="5"/>
    <x v="0"/>
    <s v="Nov-2003"/>
    <x v="1"/>
    <x v="43"/>
    <x v="10"/>
    <x v="0"/>
    <x v="1"/>
  </r>
  <r>
    <n v="10181"/>
    <n v="44"/>
    <n v="100"/>
    <n v="4400"/>
    <s v="Medium"/>
    <n v="1320"/>
    <d v="2003-11-12T00:00:00"/>
    <x v="0"/>
    <x v="0"/>
    <x v="5"/>
    <x v="0"/>
    <s v="Nov-2003"/>
    <x v="1"/>
    <x v="7"/>
    <x v="2"/>
    <x v="1"/>
    <x v="1"/>
  </r>
  <r>
    <n v="10192"/>
    <n v="22"/>
    <n v="100"/>
    <n v="2200"/>
    <s v="Medium"/>
    <n v="660"/>
    <d v="2003-11-20T00:00:00"/>
    <x v="0"/>
    <x v="0"/>
    <x v="5"/>
    <x v="0"/>
    <s v="Nov-2003"/>
    <x v="1"/>
    <x v="40"/>
    <x v="0"/>
    <x v="0"/>
    <x v="1"/>
  </r>
  <r>
    <n v="10204"/>
    <n v="42"/>
    <n v="100"/>
    <n v="4200"/>
    <s v="Medium"/>
    <n v="1260"/>
    <d v="2003-12-02T00:00:00"/>
    <x v="0"/>
    <x v="0"/>
    <x v="6"/>
    <x v="0"/>
    <s v="Dec-2003"/>
    <x v="1"/>
    <x v="74"/>
    <x v="0"/>
    <x v="0"/>
    <x v="1"/>
  </r>
  <r>
    <n v="10212"/>
    <n v="29"/>
    <n v="100"/>
    <n v="2900"/>
    <s v="Medium"/>
    <n v="870"/>
    <d v="2004-01-16T00:00:00"/>
    <x v="0"/>
    <x v="0"/>
    <x v="7"/>
    <x v="1"/>
    <s v="Jan-2004"/>
    <x v="1"/>
    <x v="23"/>
    <x v="7"/>
    <x v="1"/>
    <x v="1"/>
  </r>
  <r>
    <n v="10225"/>
    <n v="32"/>
    <n v="100"/>
    <n v="3200"/>
    <s v="Medium"/>
    <n v="960"/>
    <d v="2004-02-22T00:00:00"/>
    <x v="0"/>
    <x v="0"/>
    <x v="0"/>
    <x v="1"/>
    <s v="Feb-2004"/>
    <x v="1"/>
    <x v="69"/>
    <x v="17"/>
    <x v="1"/>
    <x v="1"/>
  </r>
  <r>
    <n v="10240"/>
    <n v="41"/>
    <n v="100"/>
    <n v="4100"/>
    <s v="Medium"/>
    <n v="1230"/>
    <d v="2004-04-13T00:00:00"/>
    <x v="0"/>
    <x v="0"/>
    <x v="8"/>
    <x v="1"/>
    <s v="Apr-2004"/>
    <x v="1"/>
    <x v="44"/>
    <x v="11"/>
    <x v="3"/>
    <x v="1"/>
  </r>
  <r>
    <n v="10253"/>
    <n v="26"/>
    <n v="100"/>
    <n v="2600"/>
    <s v="Medium"/>
    <n v="780"/>
    <d v="2004-06-01T00:00:00"/>
    <x v="3"/>
    <x v="1"/>
    <x v="9"/>
    <x v="1"/>
    <s v="Jun-2004"/>
    <x v="1"/>
    <x v="22"/>
    <x v="6"/>
    <x v="1"/>
    <x v="1"/>
  </r>
  <r>
    <n v="10266"/>
    <n v="21"/>
    <n v="100"/>
    <n v="2100"/>
    <s v="Medium"/>
    <n v="630"/>
    <d v="2004-07-06T00:00:00"/>
    <x v="0"/>
    <x v="0"/>
    <x v="2"/>
    <x v="1"/>
    <s v="Jul-2004"/>
    <x v="1"/>
    <x v="70"/>
    <x v="12"/>
    <x v="1"/>
    <x v="0"/>
  </r>
  <r>
    <n v="10278"/>
    <n v="34"/>
    <n v="100"/>
    <n v="3400"/>
    <s v="Medium"/>
    <n v="1020"/>
    <d v="2004-08-06T00:00:00"/>
    <x v="0"/>
    <x v="0"/>
    <x v="3"/>
    <x v="1"/>
    <s v="Aug-2004"/>
    <x v="1"/>
    <x v="84"/>
    <x v="0"/>
    <x v="0"/>
    <x v="1"/>
  </r>
  <r>
    <n v="10287"/>
    <n v="41"/>
    <n v="100"/>
    <n v="4100"/>
    <s v="Medium"/>
    <n v="1230"/>
    <d v="2004-08-30T00:00:00"/>
    <x v="0"/>
    <x v="0"/>
    <x v="3"/>
    <x v="1"/>
    <s v="Aug-2004"/>
    <x v="1"/>
    <x v="69"/>
    <x v="17"/>
    <x v="1"/>
    <x v="1"/>
  </r>
  <r>
    <n v="10301"/>
    <n v="37"/>
    <n v="100"/>
    <n v="3700"/>
    <s v="Medium"/>
    <n v="1110"/>
    <d v="2003-10-05T00:00:00"/>
    <x v="0"/>
    <x v="0"/>
    <x v="4"/>
    <x v="0"/>
    <s v="Oct-2003"/>
    <x v="1"/>
    <x v="85"/>
    <x v="2"/>
    <x v="1"/>
    <x v="1"/>
  </r>
  <r>
    <n v="10310"/>
    <n v="37"/>
    <n v="100"/>
    <n v="3700"/>
    <s v="Medium"/>
    <n v="1110"/>
    <d v="2004-10-16T00:00:00"/>
    <x v="0"/>
    <x v="0"/>
    <x v="4"/>
    <x v="1"/>
    <s v="Oct-2004"/>
    <x v="1"/>
    <x v="68"/>
    <x v="16"/>
    <x v="1"/>
    <x v="1"/>
  </r>
  <r>
    <n v="10321"/>
    <n v="41"/>
    <n v="100"/>
    <n v="4100"/>
    <s v="Medium"/>
    <n v="1230"/>
    <d v="2004-11-04T00:00:00"/>
    <x v="0"/>
    <x v="0"/>
    <x v="5"/>
    <x v="1"/>
    <s v="Nov-2004"/>
    <x v="1"/>
    <x v="21"/>
    <x v="0"/>
    <x v="0"/>
    <x v="1"/>
  </r>
  <r>
    <n v="10331"/>
    <n v="46"/>
    <n v="100"/>
    <n v="4600"/>
    <s v="Medium"/>
    <n v="1380"/>
    <d v="2004-11-17T00:00:00"/>
    <x v="0"/>
    <x v="0"/>
    <x v="5"/>
    <x v="1"/>
    <s v="Nov-2004"/>
    <x v="1"/>
    <x v="45"/>
    <x v="0"/>
    <x v="0"/>
    <x v="1"/>
  </r>
  <r>
    <n v="10342"/>
    <n v="40"/>
    <n v="100"/>
    <n v="4000"/>
    <s v="Medium"/>
    <n v="1200"/>
    <d v="2004-11-24T00:00:00"/>
    <x v="0"/>
    <x v="0"/>
    <x v="5"/>
    <x v="1"/>
    <s v="Nov-2004"/>
    <x v="1"/>
    <x v="10"/>
    <x v="3"/>
    <x v="2"/>
    <x v="1"/>
  </r>
  <r>
    <n v="10356"/>
    <n v="43"/>
    <n v="97.6"/>
    <n v="4196.8"/>
    <s v="Medium"/>
    <n v="1259.04"/>
    <d v="2004-12-09T00:00:00"/>
    <x v="0"/>
    <x v="0"/>
    <x v="6"/>
    <x v="1"/>
    <s v="Dec-2004"/>
    <x v="1"/>
    <x v="2"/>
    <x v="1"/>
    <x v="1"/>
    <x v="1"/>
  </r>
  <r>
    <n v="10365"/>
    <n v="30"/>
    <n v="87.06"/>
    <n v="2611.8000000000002"/>
    <s v="Medium"/>
    <n v="783.54000000000008"/>
    <d v="2005-01-07T00:00:00"/>
    <x v="0"/>
    <x v="0"/>
    <x v="7"/>
    <x v="2"/>
    <s v="Jan-2005"/>
    <x v="1"/>
    <x v="50"/>
    <x v="0"/>
    <x v="0"/>
    <x v="0"/>
  </r>
  <r>
    <n v="10377"/>
    <n v="35"/>
    <n v="100"/>
    <n v="3500"/>
    <s v="Medium"/>
    <n v="1050"/>
    <d v="2005-02-09T00:00:00"/>
    <x v="0"/>
    <x v="0"/>
    <x v="0"/>
    <x v="2"/>
    <s v="Feb-2005"/>
    <x v="1"/>
    <x v="16"/>
    <x v="4"/>
    <x v="1"/>
    <x v="1"/>
  </r>
  <r>
    <n v="10390"/>
    <n v="36"/>
    <n v="93.77"/>
    <n v="3375.72"/>
    <s v="Medium"/>
    <n v="1012.7159999999999"/>
    <d v="2005-03-04T00:00:00"/>
    <x v="0"/>
    <x v="0"/>
    <x v="11"/>
    <x v="2"/>
    <s v="Mar-2005"/>
    <x v="1"/>
    <x v="39"/>
    <x v="0"/>
    <x v="0"/>
    <x v="1"/>
  </r>
  <r>
    <n v="10406"/>
    <n v="61"/>
    <n v="100"/>
    <n v="6100"/>
    <s v="High"/>
    <n v="1830"/>
    <d v="2005-04-15T00:00:00"/>
    <x v="1"/>
    <x v="1"/>
    <x v="8"/>
    <x v="2"/>
    <s v="Apr-2005"/>
    <x v="1"/>
    <x v="48"/>
    <x v="13"/>
    <x v="1"/>
    <x v="2"/>
  </r>
  <r>
    <n v="10419"/>
    <n v="38"/>
    <n v="100"/>
    <n v="3800"/>
    <s v="Medium"/>
    <n v="1140"/>
    <d v="2005-05-17T00:00:00"/>
    <x v="0"/>
    <x v="0"/>
    <x v="1"/>
    <x v="2"/>
    <s v="May-2005"/>
    <x v="1"/>
    <x v="19"/>
    <x v="5"/>
    <x v="1"/>
    <x v="1"/>
  </r>
  <r>
    <n v="10102"/>
    <n v="39"/>
    <n v="100"/>
    <n v="3900"/>
    <s v="Medium"/>
    <n v="1170"/>
    <d v="2003-01-10T00:00:00"/>
    <x v="0"/>
    <x v="0"/>
    <x v="7"/>
    <x v="0"/>
    <s v="Jan-2003"/>
    <x v="3"/>
    <x v="11"/>
    <x v="0"/>
    <x v="0"/>
    <x v="1"/>
  </r>
  <r>
    <n v="10111"/>
    <n v="33"/>
    <n v="99.66"/>
    <n v="3288.7799999999997"/>
    <s v="Medium"/>
    <n v="986.6339999999999"/>
    <d v="2003-03-25T00:00:00"/>
    <x v="0"/>
    <x v="0"/>
    <x v="11"/>
    <x v="0"/>
    <s v="Mar-2003"/>
    <x v="3"/>
    <x v="8"/>
    <x v="0"/>
    <x v="0"/>
    <x v="1"/>
  </r>
  <r>
    <n v="10125"/>
    <n v="32"/>
    <n v="100"/>
    <n v="3200"/>
    <s v="Medium"/>
    <n v="960"/>
    <d v="2003-05-21T00:00:00"/>
    <x v="0"/>
    <x v="0"/>
    <x v="1"/>
    <x v="0"/>
    <s v="May-2003"/>
    <x v="3"/>
    <x v="10"/>
    <x v="3"/>
    <x v="2"/>
    <x v="1"/>
  </r>
  <r>
    <n v="10139"/>
    <n v="31"/>
    <n v="100"/>
    <n v="3100"/>
    <s v="Medium"/>
    <n v="930"/>
    <d v="2003-07-16T00:00:00"/>
    <x v="0"/>
    <x v="0"/>
    <x v="2"/>
    <x v="0"/>
    <s v="Jul-2003"/>
    <x v="3"/>
    <x v="20"/>
    <x v="3"/>
    <x v="2"/>
    <x v="1"/>
  </r>
  <r>
    <n v="10149"/>
    <n v="50"/>
    <n v="100"/>
    <n v="5000"/>
    <s v="High"/>
    <n v="1500"/>
    <d v="2003-09-12T00:00:00"/>
    <x v="0"/>
    <x v="0"/>
    <x v="10"/>
    <x v="0"/>
    <s v="Sep-2003"/>
    <x v="3"/>
    <x v="82"/>
    <x v="0"/>
    <x v="0"/>
    <x v="1"/>
  </r>
  <r>
    <n v="10162"/>
    <n v="48"/>
    <n v="91.44"/>
    <n v="4389.12"/>
    <s v="Medium"/>
    <n v="1316.7359999999999"/>
    <d v="2003-10-18T00:00:00"/>
    <x v="0"/>
    <x v="0"/>
    <x v="4"/>
    <x v="0"/>
    <s v="Oct-2003"/>
    <x v="3"/>
    <x v="4"/>
    <x v="0"/>
    <x v="0"/>
    <x v="1"/>
  </r>
  <r>
    <n v="10173"/>
    <n v="43"/>
    <n v="100"/>
    <n v="4300"/>
    <s v="Medium"/>
    <n v="1290"/>
    <d v="2003-11-05T00:00:00"/>
    <x v="0"/>
    <x v="0"/>
    <x v="5"/>
    <x v="0"/>
    <s v="Nov-2003"/>
    <x v="3"/>
    <x v="86"/>
    <x v="12"/>
    <x v="1"/>
    <x v="1"/>
  </r>
  <r>
    <n v="10182"/>
    <n v="25"/>
    <n v="87.33"/>
    <n v="2183.25"/>
    <s v="Medium"/>
    <n v="654.97500000000002"/>
    <d v="2003-11-12T00:00:00"/>
    <x v="0"/>
    <x v="0"/>
    <x v="5"/>
    <x v="0"/>
    <s v="Nov-2003"/>
    <x v="3"/>
    <x v="39"/>
    <x v="0"/>
    <x v="0"/>
    <x v="0"/>
  </r>
  <r>
    <n v="10193"/>
    <n v="28"/>
    <n v="100"/>
    <n v="2800"/>
    <s v="Medium"/>
    <n v="840"/>
    <d v="2003-11-21T00:00:00"/>
    <x v="0"/>
    <x v="0"/>
    <x v="5"/>
    <x v="0"/>
    <s v="Nov-2003"/>
    <x v="3"/>
    <x v="87"/>
    <x v="3"/>
    <x v="2"/>
    <x v="1"/>
  </r>
  <r>
    <n v="10205"/>
    <n v="36"/>
    <n v="100"/>
    <n v="3600"/>
    <s v="Medium"/>
    <n v="1080"/>
    <d v="2003-12-03T00:00:00"/>
    <x v="0"/>
    <x v="0"/>
    <x v="6"/>
    <x v="0"/>
    <s v="Dec-2003"/>
    <x v="3"/>
    <x v="23"/>
    <x v="7"/>
    <x v="1"/>
    <x v="1"/>
  </r>
  <r>
    <n v="10215"/>
    <n v="27"/>
    <n v="89.38"/>
    <n v="2413.2599999999998"/>
    <s v="Medium"/>
    <n v="723.97799999999995"/>
    <d v="2004-01-29T00:00:00"/>
    <x v="0"/>
    <x v="0"/>
    <x v="7"/>
    <x v="1"/>
    <s v="Jan-2004"/>
    <x v="3"/>
    <x v="32"/>
    <x v="0"/>
    <x v="0"/>
    <x v="0"/>
  </r>
  <r>
    <n v="10227"/>
    <n v="25"/>
    <n v="100"/>
    <n v="2500"/>
    <s v="Medium"/>
    <n v="750"/>
    <d v="2004-03-02T00:00:00"/>
    <x v="0"/>
    <x v="0"/>
    <x v="11"/>
    <x v="1"/>
    <s v="Mar-2004"/>
    <x v="3"/>
    <x v="30"/>
    <x v="1"/>
    <x v="1"/>
    <x v="0"/>
  </r>
  <r>
    <n v="10244"/>
    <n v="40"/>
    <n v="100"/>
    <n v="4000"/>
    <s v="Medium"/>
    <n v="1200"/>
    <d v="2004-04-29T00:00:00"/>
    <x v="0"/>
    <x v="0"/>
    <x v="8"/>
    <x v="1"/>
    <s v="Apr-2004"/>
    <x v="3"/>
    <x v="23"/>
    <x v="7"/>
    <x v="1"/>
    <x v="1"/>
  </r>
  <r>
    <n v="10256"/>
    <n v="34"/>
    <n v="95.55"/>
    <n v="3248.7"/>
    <s v="Medium"/>
    <n v="974.6099999999999"/>
    <d v="2004-06-08T00:00:00"/>
    <x v="0"/>
    <x v="0"/>
    <x v="9"/>
    <x v="1"/>
    <s v="Jun-2004"/>
    <x v="3"/>
    <x v="48"/>
    <x v="13"/>
    <x v="1"/>
    <x v="1"/>
  </r>
  <r>
    <n v="10280"/>
    <n v="50"/>
    <n v="100"/>
    <n v="5000"/>
    <s v="High"/>
    <n v="1500"/>
    <d v="2004-08-17T00:00:00"/>
    <x v="0"/>
    <x v="0"/>
    <x v="3"/>
    <x v="1"/>
    <s v="Aug-2004"/>
    <x v="3"/>
    <x v="36"/>
    <x v="12"/>
    <x v="1"/>
    <x v="1"/>
  </r>
  <r>
    <n v="10289"/>
    <n v="38"/>
    <n v="100"/>
    <n v="3800"/>
    <s v="Medium"/>
    <n v="1140"/>
    <d v="2004-09-03T00:00:00"/>
    <x v="0"/>
    <x v="0"/>
    <x v="10"/>
    <x v="1"/>
    <s v="Sep-2004"/>
    <x v="3"/>
    <x v="7"/>
    <x v="2"/>
    <x v="1"/>
    <x v="1"/>
  </r>
  <r>
    <n v="10304"/>
    <n v="37"/>
    <n v="95.55"/>
    <n v="3535.35"/>
    <s v="Medium"/>
    <n v="1060.605"/>
    <d v="2004-10-11T00:00:00"/>
    <x v="0"/>
    <x v="0"/>
    <x v="4"/>
    <x v="1"/>
    <s v="Oct-2004"/>
    <x v="3"/>
    <x v="38"/>
    <x v="1"/>
    <x v="1"/>
    <x v="1"/>
  </r>
  <r>
    <n v="10312"/>
    <n v="43"/>
    <n v="89.38"/>
    <n v="3843.3399999999997"/>
    <s v="Medium"/>
    <n v="1153.002"/>
    <d v="2004-10-21T00:00:00"/>
    <x v="0"/>
    <x v="0"/>
    <x v="4"/>
    <x v="1"/>
    <s v="Oct-2004"/>
    <x v="3"/>
    <x v="39"/>
    <x v="0"/>
    <x v="0"/>
    <x v="1"/>
  </r>
  <r>
    <n v="10322"/>
    <n v="43"/>
    <n v="86.3"/>
    <n v="3710.9"/>
    <s v="Medium"/>
    <n v="1113.27"/>
    <d v="2004-11-04T00:00:00"/>
    <x v="0"/>
    <x v="0"/>
    <x v="5"/>
    <x v="1"/>
    <s v="Nov-2004"/>
    <x v="3"/>
    <x v="40"/>
    <x v="0"/>
    <x v="0"/>
    <x v="1"/>
  </r>
  <r>
    <n v="10332"/>
    <n v="46"/>
    <n v="95.13"/>
    <n v="4375.9799999999996"/>
    <s v="Medium"/>
    <n v="1312.7939999999999"/>
    <d v="2004-11-17T00:00:00"/>
    <x v="0"/>
    <x v="0"/>
    <x v="5"/>
    <x v="1"/>
    <s v="Nov-2004"/>
    <x v="3"/>
    <x v="77"/>
    <x v="6"/>
    <x v="1"/>
    <x v="1"/>
  </r>
  <r>
    <n v="10346"/>
    <n v="42"/>
    <n v="36.11"/>
    <n v="1516.62"/>
    <s v="Low"/>
    <n v="454.98599999999993"/>
    <d v="2004-11-29T00:00:00"/>
    <x v="0"/>
    <x v="0"/>
    <x v="5"/>
    <x v="1"/>
    <s v="Nov-2004"/>
    <x v="3"/>
    <x v="84"/>
    <x v="0"/>
    <x v="0"/>
    <x v="0"/>
  </r>
  <r>
    <n v="10356"/>
    <n v="50"/>
    <n v="50.18"/>
    <n v="2509"/>
    <s v="Medium"/>
    <n v="752.69999999999993"/>
    <d v="2004-12-09T00:00:00"/>
    <x v="0"/>
    <x v="0"/>
    <x v="6"/>
    <x v="1"/>
    <s v="Dec-2004"/>
    <x v="3"/>
    <x v="2"/>
    <x v="1"/>
    <x v="1"/>
    <x v="0"/>
  </r>
  <r>
    <n v="10369"/>
    <n v="44"/>
    <n v="100"/>
    <n v="4400"/>
    <s v="Medium"/>
    <n v="1320"/>
    <d v="2005-01-20T00:00:00"/>
    <x v="0"/>
    <x v="0"/>
    <x v="7"/>
    <x v="2"/>
    <s v="Jan-2005"/>
    <x v="3"/>
    <x v="41"/>
    <x v="0"/>
    <x v="0"/>
    <x v="2"/>
  </r>
  <r>
    <n v="10380"/>
    <n v="27"/>
    <n v="93.16"/>
    <n v="2515.3199999999997"/>
    <s v="Medium"/>
    <n v="754.59599999999989"/>
    <d v="2005-02-16T00:00:00"/>
    <x v="0"/>
    <x v="0"/>
    <x v="0"/>
    <x v="2"/>
    <s v="Feb-2005"/>
    <x v="3"/>
    <x v="23"/>
    <x v="7"/>
    <x v="1"/>
    <x v="0"/>
  </r>
  <r>
    <n v="10391"/>
    <n v="35"/>
    <n v="100"/>
    <n v="3500"/>
    <s v="Medium"/>
    <n v="1050"/>
    <d v="2005-03-09T00:00:00"/>
    <x v="0"/>
    <x v="0"/>
    <x v="11"/>
    <x v="2"/>
    <s v="Mar-2005"/>
    <x v="3"/>
    <x v="42"/>
    <x v="3"/>
    <x v="2"/>
    <x v="1"/>
  </r>
  <r>
    <n v="10422"/>
    <n v="51"/>
    <n v="95.55"/>
    <n v="4873.05"/>
    <s v="Medium"/>
    <n v="1461.915"/>
    <d v="2005-05-30T00:00:00"/>
    <x v="2"/>
    <x v="1"/>
    <x v="1"/>
    <x v="2"/>
    <s v="May-2005"/>
    <x v="3"/>
    <x v="18"/>
    <x v="0"/>
    <x v="0"/>
    <x v="1"/>
  </r>
  <r>
    <n v="10102"/>
    <n v="41"/>
    <n v="50.14"/>
    <n v="2055.7400000000002"/>
    <s v="Medium"/>
    <n v="616.72200000000009"/>
    <d v="2003-01-10T00:00:00"/>
    <x v="0"/>
    <x v="0"/>
    <x v="7"/>
    <x v="0"/>
    <s v="Jan-2003"/>
    <x v="3"/>
    <x v="11"/>
    <x v="0"/>
    <x v="0"/>
    <x v="0"/>
  </r>
  <r>
    <n v="10111"/>
    <n v="48"/>
    <n v="49.06"/>
    <n v="2354.88"/>
    <s v="Medium"/>
    <n v="706.46400000000006"/>
    <d v="2003-03-25T00:00:00"/>
    <x v="0"/>
    <x v="0"/>
    <x v="11"/>
    <x v="0"/>
    <s v="Mar-2003"/>
    <x v="3"/>
    <x v="8"/>
    <x v="0"/>
    <x v="0"/>
    <x v="0"/>
  </r>
  <r>
    <n v="10126"/>
    <n v="42"/>
    <n v="54.99"/>
    <n v="2309.58"/>
    <s v="Medium"/>
    <n v="692.87399999999991"/>
    <d v="2003-05-28T00:00:00"/>
    <x v="0"/>
    <x v="0"/>
    <x v="1"/>
    <x v="0"/>
    <s v="May-2003"/>
    <x v="3"/>
    <x v="25"/>
    <x v="7"/>
    <x v="1"/>
    <x v="0"/>
  </r>
  <r>
    <n v="10139"/>
    <n v="49"/>
    <n v="43.13"/>
    <n v="2113.3700000000003"/>
    <s v="Medium"/>
    <n v="634.01100000000008"/>
    <d v="2003-07-16T00:00:00"/>
    <x v="0"/>
    <x v="0"/>
    <x v="2"/>
    <x v="0"/>
    <s v="Jul-2003"/>
    <x v="3"/>
    <x v="20"/>
    <x v="3"/>
    <x v="2"/>
    <x v="0"/>
  </r>
  <r>
    <n v="10149"/>
    <n v="30"/>
    <n v="58.22"/>
    <n v="1746.6"/>
    <s v="Low"/>
    <n v="523.9799999999999"/>
    <d v="2003-09-12T00:00:00"/>
    <x v="0"/>
    <x v="0"/>
    <x v="10"/>
    <x v="0"/>
    <s v="Sep-2003"/>
    <x v="3"/>
    <x v="82"/>
    <x v="0"/>
    <x v="0"/>
    <x v="0"/>
  </r>
  <r>
    <n v="10162"/>
    <n v="45"/>
    <n v="51.21"/>
    <n v="2304.4499999999998"/>
    <s v="Medium"/>
    <n v="691.33499999999992"/>
    <d v="2003-10-18T00:00:00"/>
    <x v="0"/>
    <x v="0"/>
    <x v="4"/>
    <x v="0"/>
    <s v="Oct-2003"/>
    <x v="3"/>
    <x v="4"/>
    <x v="0"/>
    <x v="0"/>
    <x v="0"/>
  </r>
  <r>
    <n v="10173"/>
    <n v="48"/>
    <n v="44.21"/>
    <n v="2122.08"/>
    <s v="Medium"/>
    <n v="636.62399999999991"/>
    <d v="2003-11-05T00:00:00"/>
    <x v="0"/>
    <x v="0"/>
    <x v="5"/>
    <x v="0"/>
    <s v="Nov-2003"/>
    <x v="3"/>
    <x v="86"/>
    <x v="12"/>
    <x v="1"/>
    <x v="0"/>
  </r>
  <r>
    <n v="10182"/>
    <n v="32"/>
    <n v="54.45"/>
    <n v="1742.4"/>
    <s v="Low"/>
    <n v="522.72"/>
    <d v="2003-11-12T00:00:00"/>
    <x v="0"/>
    <x v="0"/>
    <x v="5"/>
    <x v="0"/>
    <s v="Nov-2003"/>
    <x v="3"/>
    <x v="39"/>
    <x v="0"/>
    <x v="0"/>
    <x v="0"/>
  </r>
  <r>
    <n v="10193"/>
    <n v="46"/>
    <n v="53.37"/>
    <n v="2455.02"/>
    <s v="Medium"/>
    <n v="736.50599999999997"/>
    <d v="2003-11-21T00:00:00"/>
    <x v="0"/>
    <x v="0"/>
    <x v="5"/>
    <x v="0"/>
    <s v="Nov-2003"/>
    <x v="3"/>
    <x v="87"/>
    <x v="3"/>
    <x v="2"/>
    <x v="0"/>
  </r>
  <r>
    <n v="10205"/>
    <n v="48"/>
    <n v="63.61"/>
    <n v="3053.2799999999997"/>
    <s v="Medium"/>
    <n v="915.98399999999992"/>
    <d v="2003-12-03T00:00:00"/>
    <x v="0"/>
    <x v="0"/>
    <x v="6"/>
    <x v="0"/>
    <s v="Dec-2003"/>
    <x v="3"/>
    <x v="23"/>
    <x v="7"/>
    <x v="1"/>
    <x v="1"/>
  </r>
  <r>
    <n v="10215"/>
    <n v="33"/>
    <n v="43.13"/>
    <n v="1423.2900000000002"/>
    <s v="Low"/>
    <n v="426.98700000000002"/>
    <d v="2004-01-29T00:00:00"/>
    <x v="0"/>
    <x v="0"/>
    <x v="7"/>
    <x v="1"/>
    <s v="Jan-2004"/>
    <x v="3"/>
    <x v="32"/>
    <x v="0"/>
    <x v="0"/>
    <x v="0"/>
  </r>
  <r>
    <n v="10227"/>
    <n v="31"/>
    <n v="48.52"/>
    <n v="1504.1200000000001"/>
    <s v="Low"/>
    <n v="451.23600000000005"/>
    <d v="2004-03-02T00:00:00"/>
    <x v="0"/>
    <x v="0"/>
    <x v="11"/>
    <x v="1"/>
    <s v="Mar-2004"/>
    <x v="3"/>
    <x v="30"/>
    <x v="1"/>
    <x v="1"/>
    <x v="0"/>
  </r>
  <r>
    <n v="10244"/>
    <n v="20"/>
    <n v="58.22"/>
    <n v="1164.4000000000001"/>
    <s v="Low"/>
    <n v="349.32"/>
    <d v="2004-04-29T00:00:00"/>
    <x v="0"/>
    <x v="0"/>
    <x v="8"/>
    <x v="1"/>
    <s v="Apr-2004"/>
    <x v="3"/>
    <x v="23"/>
    <x v="7"/>
    <x v="1"/>
    <x v="0"/>
  </r>
  <r>
    <n v="10256"/>
    <n v="29"/>
    <n v="51.75"/>
    <n v="1500.75"/>
    <s v="Low"/>
    <n v="450.22499999999997"/>
    <d v="2004-06-08T00:00:00"/>
    <x v="0"/>
    <x v="0"/>
    <x v="9"/>
    <x v="1"/>
    <s v="Jun-2004"/>
    <x v="3"/>
    <x v="48"/>
    <x v="13"/>
    <x v="1"/>
    <x v="0"/>
  </r>
  <r>
    <n v="10280"/>
    <n v="27"/>
    <n v="57.68"/>
    <n v="1557.36"/>
    <s v="Low"/>
    <n v="467.20799999999997"/>
    <d v="2004-08-17T00:00:00"/>
    <x v="0"/>
    <x v="0"/>
    <x v="3"/>
    <x v="1"/>
    <s v="Aug-2004"/>
    <x v="3"/>
    <x v="36"/>
    <x v="12"/>
    <x v="1"/>
    <x v="0"/>
  </r>
  <r>
    <n v="10289"/>
    <n v="24"/>
    <n v="56.07"/>
    <n v="1345.68"/>
    <s v="Low"/>
    <n v="403.70400000000001"/>
    <d v="2004-09-03T00:00:00"/>
    <x v="0"/>
    <x v="0"/>
    <x v="10"/>
    <x v="1"/>
    <s v="Sep-2004"/>
    <x v="3"/>
    <x v="7"/>
    <x v="2"/>
    <x v="1"/>
    <x v="0"/>
  </r>
  <r>
    <n v="10304"/>
    <n v="37"/>
    <n v="48.52"/>
    <n v="1795.24"/>
    <s v="Low"/>
    <n v="538.572"/>
    <d v="2004-10-11T00:00:00"/>
    <x v="0"/>
    <x v="0"/>
    <x v="4"/>
    <x v="1"/>
    <s v="Oct-2004"/>
    <x v="3"/>
    <x v="38"/>
    <x v="1"/>
    <x v="1"/>
    <x v="0"/>
  </r>
  <r>
    <n v="10312"/>
    <n v="25"/>
    <n v="44.21"/>
    <n v="1105.25"/>
    <s v="Low"/>
    <n v="331.57499999999999"/>
    <d v="2004-10-21T00:00:00"/>
    <x v="0"/>
    <x v="0"/>
    <x v="4"/>
    <x v="1"/>
    <s v="Oct-2004"/>
    <x v="3"/>
    <x v="39"/>
    <x v="0"/>
    <x v="0"/>
    <x v="0"/>
  </r>
  <r>
    <n v="10322"/>
    <n v="41"/>
    <n v="57.68"/>
    <n v="2364.88"/>
    <s v="Medium"/>
    <n v="709.46400000000006"/>
    <d v="2004-11-04T00:00:00"/>
    <x v="0"/>
    <x v="0"/>
    <x v="5"/>
    <x v="1"/>
    <s v="Nov-2004"/>
    <x v="3"/>
    <x v="40"/>
    <x v="0"/>
    <x v="0"/>
    <x v="0"/>
  </r>
  <r>
    <n v="10332"/>
    <n v="27"/>
    <n v="89.89"/>
    <n v="2427.0300000000002"/>
    <s v="Medium"/>
    <n v="728.10900000000004"/>
    <d v="2004-11-17T00:00:00"/>
    <x v="0"/>
    <x v="0"/>
    <x v="5"/>
    <x v="1"/>
    <s v="Nov-2004"/>
    <x v="3"/>
    <x v="77"/>
    <x v="6"/>
    <x v="1"/>
    <x v="0"/>
  </r>
  <r>
    <n v="10347"/>
    <n v="21"/>
    <n v="58.95"/>
    <n v="1237.95"/>
    <s v="Low"/>
    <n v="371.38499999999999"/>
    <d v="2004-11-29T00:00:00"/>
    <x v="0"/>
    <x v="0"/>
    <x v="5"/>
    <x v="1"/>
    <s v="Nov-2004"/>
    <x v="3"/>
    <x v="10"/>
    <x v="3"/>
    <x v="2"/>
    <x v="0"/>
  </r>
  <r>
    <n v="10356"/>
    <n v="22"/>
    <n v="72.41"/>
    <n v="1593.02"/>
    <s v="Low"/>
    <n v="477.90599999999995"/>
    <d v="2004-12-09T00:00:00"/>
    <x v="0"/>
    <x v="0"/>
    <x v="6"/>
    <x v="1"/>
    <s v="Dec-2004"/>
    <x v="3"/>
    <x v="2"/>
    <x v="1"/>
    <x v="1"/>
    <x v="0"/>
  </r>
  <r>
    <n v="10369"/>
    <n v="32"/>
    <n v="98.63"/>
    <n v="3156.16"/>
    <s v="Medium"/>
    <n v="946.84799999999996"/>
    <d v="2005-01-20T00:00:00"/>
    <x v="0"/>
    <x v="0"/>
    <x v="7"/>
    <x v="2"/>
    <s v="Jan-2005"/>
    <x v="3"/>
    <x v="41"/>
    <x v="0"/>
    <x v="0"/>
    <x v="1"/>
  </r>
  <r>
    <n v="10381"/>
    <n v="25"/>
    <n v="52.83"/>
    <n v="1320.75"/>
    <s v="Low"/>
    <n v="396.22499999999997"/>
    <d v="2005-02-17T00:00:00"/>
    <x v="0"/>
    <x v="0"/>
    <x v="0"/>
    <x v="2"/>
    <s v="Feb-2005"/>
    <x v="3"/>
    <x v="4"/>
    <x v="0"/>
    <x v="0"/>
    <x v="0"/>
  </r>
  <r>
    <n v="10391"/>
    <n v="42"/>
    <n v="100"/>
    <n v="4200"/>
    <s v="Medium"/>
    <n v="1260"/>
    <d v="2005-03-09T00:00:00"/>
    <x v="0"/>
    <x v="0"/>
    <x v="11"/>
    <x v="2"/>
    <s v="Mar-2005"/>
    <x v="3"/>
    <x v="42"/>
    <x v="3"/>
    <x v="2"/>
    <x v="1"/>
  </r>
  <r>
    <n v="10422"/>
    <n v="25"/>
    <n v="51.75"/>
    <n v="1293.75"/>
    <s v="Low"/>
    <n v="388.125"/>
    <d v="2005-05-30T00:00:00"/>
    <x v="2"/>
    <x v="1"/>
    <x v="1"/>
    <x v="2"/>
    <s v="May-2005"/>
    <x v="3"/>
    <x v="18"/>
    <x v="0"/>
    <x v="0"/>
    <x v="0"/>
  </r>
  <r>
    <n v="10110"/>
    <n v="37"/>
    <n v="100"/>
    <n v="3700"/>
    <s v="Medium"/>
    <n v="1110"/>
    <d v="2003-03-18T00:00:00"/>
    <x v="0"/>
    <x v="0"/>
    <x v="11"/>
    <x v="0"/>
    <s v="Mar-2003"/>
    <x v="1"/>
    <x v="77"/>
    <x v="6"/>
    <x v="1"/>
    <x v="1"/>
  </r>
  <r>
    <n v="10123"/>
    <n v="26"/>
    <n v="100"/>
    <n v="2600"/>
    <s v="Medium"/>
    <n v="780"/>
    <d v="2003-05-20T00:00:00"/>
    <x v="0"/>
    <x v="0"/>
    <x v="1"/>
    <x v="0"/>
    <s v="May-2003"/>
    <x v="1"/>
    <x v="46"/>
    <x v="1"/>
    <x v="1"/>
    <x v="1"/>
  </r>
  <r>
    <n v="10137"/>
    <n v="44"/>
    <n v="99.55"/>
    <n v="4380.2"/>
    <s v="Medium"/>
    <n v="1314.06"/>
    <d v="2003-07-10T00:00:00"/>
    <x v="0"/>
    <x v="0"/>
    <x v="2"/>
    <x v="0"/>
    <s v="Jul-2003"/>
    <x v="1"/>
    <x v="1"/>
    <x v="1"/>
    <x v="1"/>
    <x v="1"/>
  </r>
  <r>
    <n v="10148"/>
    <n v="47"/>
    <n v="100"/>
    <n v="4700"/>
    <s v="Medium"/>
    <n v="1410"/>
    <d v="2003-09-11T00:00:00"/>
    <x v="0"/>
    <x v="0"/>
    <x v="10"/>
    <x v="0"/>
    <s v="Sep-2003"/>
    <x v="1"/>
    <x v="42"/>
    <x v="3"/>
    <x v="2"/>
    <x v="1"/>
  </r>
  <r>
    <n v="10161"/>
    <n v="43"/>
    <n v="100"/>
    <n v="4300"/>
    <s v="Medium"/>
    <n v="1290"/>
    <d v="2003-10-17T00:00:00"/>
    <x v="0"/>
    <x v="0"/>
    <x v="4"/>
    <x v="0"/>
    <s v="Oct-2003"/>
    <x v="1"/>
    <x v="78"/>
    <x v="13"/>
    <x v="1"/>
    <x v="1"/>
  </r>
  <r>
    <n v="10172"/>
    <n v="42"/>
    <n v="100"/>
    <n v="4200"/>
    <s v="Medium"/>
    <n v="1260"/>
    <d v="2003-11-05T00:00:00"/>
    <x v="0"/>
    <x v="0"/>
    <x v="5"/>
    <x v="0"/>
    <s v="Nov-2003"/>
    <x v="1"/>
    <x v="13"/>
    <x v="0"/>
    <x v="0"/>
    <x v="1"/>
  </r>
  <r>
    <n v="10181"/>
    <n v="42"/>
    <n v="100"/>
    <n v="4200"/>
    <s v="Medium"/>
    <n v="1260"/>
    <d v="2003-11-12T00:00:00"/>
    <x v="0"/>
    <x v="0"/>
    <x v="5"/>
    <x v="0"/>
    <s v="Nov-2003"/>
    <x v="1"/>
    <x v="7"/>
    <x v="2"/>
    <x v="1"/>
    <x v="1"/>
  </r>
  <r>
    <n v="10192"/>
    <n v="29"/>
    <n v="100"/>
    <n v="2900"/>
    <s v="Medium"/>
    <n v="870"/>
    <d v="2003-11-20T00:00:00"/>
    <x v="0"/>
    <x v="0"/>
    <x v="5"/>
    <x v="0"/>
    <s v="Nov-2003"/>
    <x v="1"/>
    <x v="40"/>
    <x v="0"/>
    <x v="0"/>
    <x v="1"/>
  </r>
  <r>
    <n v="10204"/>
    <n v="40"/>
    <n v="100"/>
    <n v="4000"/>
    <s v="Medium"/>
    <n v="1200"/>
    <d v="2003-12-02T00:00:00"/>
    <x v="0"/>
    <x v="0"/>
    <x v="6"/>
    <x v="0"/>
    <s v="Dec-2003"/>
    <x v="1"/>
    <x v="74"/>
    <x v="0"/>
    <x v="0"/>
    <x v="1"/>
  </r>
  <r>
    <n v="10212"/>
    <n v="38"/>
    <n v="100"/>
    <n v="3800"/>
    <s v="Medium"/>
    <n v="1140"/>
    <d v="2004-01-16T00:00:00"/>
    <x v="0"/>
    <x v="0"/>
    <x v="7"/>
    <x v="1"/>
    <s v="Jan-2004"/>
    <x v="1"/>
    <x v="23"/>
    <x v="7"/>
    <x v="1"/>
    <x v="1"/>
  </r>
  <r>
    <n v="10226"/>
    <n v="38"/>
    <n v="100"/>
    <n v="3800"/>
    <s v="Medium"/>
    <n v="1140"/>
    <d v="2004-02-26T00:00:00"/>
    <x v="0"/>
    <x v="0"/>
    <x v="0"/>
    <x v="1"/>
    <s v="Feb-2004"/>
    <x v="1"/>
    <x v="55"/>
    <x v="0"/>
    <x v="0"/>
    <x v="1"/>
  </r>
  <r>
    <n v="10241"/>
    <n v="21"/>
    <n v="100"/>
    <n v="2100"/>
    <s v="Medium"/>
    <n v="630"/>
    <d v="2004-04-13T00:00:00"/>
    <x v="0"/>
    <x v="0"/>
    <x v="8"/>
    <x v="1"/>
    <s v="Apr-2004"/>
    <x v="1"/>
    <x v="83"/>
    <x v="1"/>
    <x v="1"/>
    <x v="0"/>
  </r>
  <r>
    <n v="10253"/>
    <n v="24"/>
    <n v="100"/>
    <n v="2400"/>
    <s v="Medium"/>
    <n v="720"/>
    <d v="2004-06-01T00:00:00"/>
    <x v="3"/>
    <x v="1"/>
    <x v="9"/>
    <x v="1"/>
    <s v="Jun-2004"/>
    <x v="1"/>
    <x v="22"/>
    <x v="6"/>
    <x v="1"/>
    <x v="1"/>
  </r>
  <r>
    <n v="10266"/>
    <n v="36"/>
    <n v="100"/>
    <n v="3600"/>
    <s v="Medium"/>
    <n v="1080"/>
    <d v="2004-07-06T00:00:00"/>
    <x v="0"/>
    <x v="0"/>
    <x v="2"/>
    <x v="1"/>
    <s v="Jul-2004"/>
    <x v="1"/>
    <x v="70"/>
    <x v="12"/>
    <x v="1"/>
    <x v="1"/>
  </r>
  <r>
    <n v="10278"/>
    <n v="23"/>
    <n v="100"/>
    <n v="2300"/>
    <s v="Medium"/>
    <n v="690"/>
    <d v="2004-08-06T00:00:00"/>
    <x v="0"/>
    <x v="0"/>
    <x v="3"/>
    <x v="1"/>
    <s v="Aug-2004"/>
    <x v="1"/>
    <x v="84"/>
    <x v="0"/>
    <x v="0"/>
    <x v="0"/>
  </r>
  <r>
    <n v="10288"/>
    <n v="20"/>
    <n v="100"/>
    <n v="2000"/>
    <s v="Medium"/>
    <n v="600"/>
    <d v="2004-09-01T00:00:00"/>
    <x v="0"/>
    <x v="0"/>
    <x v="10"/>
    <x v="1"/>
    <s v="Sep-2004"/>
    <x v="1"/>
    <x v="65"/>
    <x v="9"/>
    <x v="2"/>
    <x v="0"/>
  </r>
  <r>
    <n v="10301"/>
    <n v="32"/>
    <n v="100"/>
    <n v="3200"/>
    <s v="Medium"/>
    <n v="960"/>
    <d v="2003-10-05T00:00:00"/>
    <x v="0"/>
    <x v="0"/>
    <x v="4"/>
    <x v="0"/>
    <s v="Oct-2003"/>
    <x v="1"/>
    <x v="85"/>
    <x v="2"/>
    <x v="1"/>
    <x v="1"/>
  </r>
  <r>
    <n v="10311"/>
    <n v="29"/>
    <n v="100"/>
    <n v="2900"/>
    <s v="Medium"/>
    <n v="870"/>
    <d v="2004-10-16T00:00:00"/>
    <x v="0"/>
    <x v="0"/>
    <x v="4"/>
    <x v="1"/>
    <s v="Oct-2004"/>
    <x v="1"/>
    <x v="23"/>
    <x v="7"/>
    <x v="1"/>
    <x v="0"/>
  </r>
  <r>
    <n v="10321"/>
    <n v="44"/>
    <n v="100"/>
    <n v="4400"/>
    <s v="Medium"/>
    <n v="1320"/>
    <d v="2004-11-04T00:00:00"/>
    <x v="0"/>
    <x v="0"/>
    <x v="5"/>
    <x v="1"/>
    <s v="Nov-2004"/>
    <x v="1"/>
    <x v="21"/>
    <x v="0"/>
    <x v="0"/>
    <x v="1"/>
  </r>
  <r>
    <n v="10331"/>
    <n v="44"/>
    <n v="100"/>
    <n v="4400"/>
    <s v="Medium"/>
    <n v="1320"/>
    <d v="2004-11-17T00:00:00"/>
    <x v="0"/>
    <x v="0"/>
    <x v="5"/>
    <x v="1"/>
    <s v="Nov-2004"/>
    <x v="1"/>
    <x v="45"/>
    <x v="0"/>
    <x v="0"/>
    <x v="1"/>
  </r>
  <r>
    <n v="10343"/>
    <n v="36"/>
    <n v="100"/>
    <n v="3600"/>
    <s v="Medium"/>
    <n v="1080"/>
    <d v="2004-11-24T00:00:00"/>
    <x v="0"/>
    <x v="0"/>
    <x v="5"/>
    <x v="1"/>
    <s v="Nov-2004"/>
    <x v="1"/>
    <x v="1"/>
    <x v="1"/>
    <x v="1"/>
    <x v="1"/>
  </r>
  <r>
    <n v="10367"/>
    <n v="49"/>
    <n v="56.3"/>
    <n v="2758.7"/>
    <s v="Medium"/>
    <n v="827.6099999999999"/>
    <d v="2005-01-12T00:00:00"/>
    <x v="5"/>
    <x v="1"/>
    <x v="7"/>
    <x v="2"/>
    <s v="Jan-2005"/>
    <x v="1"/>
    <x v="3"/>
    <x v="0"/>
    <x v="0"/>
    <x v="0"/>
  </r>
  <r>
    <n v="10378"/>
    <n v="34"/>
    <n v="42.64"/>
    <n v="1449.76"/>
    <s v="Low"/>
    <n v="434.928"/>
    <d v="2005-02-10T00:00:00"/>
    <x v="0"/>
    <x v="0"/>
    <x v="0"/>
    <x v="2"/>
    <s v="Feb-2005"/>
    <x v="1"/>
    <x v="23"/>
    <x v="7"/>
    <x v="1"/>
    <x v="0"/>
  </r>
  <r>
    <n v="10407"/>
    <n v="59"/>
    <n v="100"/>
    <n v="5900"/>
    <s v="High"/>
    <n v="1770"/>
    <d v="2005-04-22T00:00:00"/>
    <x v="4"/>
    <x v="1"/>
    <x v="8"/>
    <x v="2"/>
    <s v="Apr-2005"/>
    <x v="1"/>
    <x v="61"/>
    <x v="0"/>
    <x v="0"/>
    <x v="2"/>
  </r>
  <r>
    <n v="10419"/>
    <n v="37"/>
    <n v="100"/>
    <n v="3700"/>
    <s v="Medium"/>
    <n v="1110"/>
    <d v="2005-05-17T00:00:00"/>
    <x v="0"/>
    <x v="0"/>
    <x v="1"/>
    <x v="2"/>
    <s v="May-2005"/>
    <x v="1"/>
    <x v="19"/>
    <x v="5"/>
    <x v="1"/>
    <x v="1"/>
  </r>
  <r>
    <n v="10106"/>
    <n v="36"/>
    <n v="100"/>
    <n v="3600"/>
    <s v="Medium"/>
    <n v="1080"/>
    <d v="2003-02-17T00:00:00"/>
    <x v="0"/>
    <x v="0"/>
    <x v="0"/>
    <x v="0"/>
    <s v="Feb-2003"/>
    <x v="4"/>
    <x v="86"/>
    <x v="12"/>
    <x v="1"/>
    <x v="1"/>
  </r>
  <r>
    <n v="10119"/>
    <n v="43"/>
    <n v="100"/>
    <n v="4300"/>
    <s v="Medium"/>
    <n v="1290"/>
    <d v="2003-04-28T00:00:00"/>
    <x v="0"/>
    <x v="0"/>
    <x v="8"/>
    <x v="0"/>
    <s v="Apr-2003"/>
    <x v="4"/>
    <x v="19"/>
    <x v="5"/>
    <x v="1"/>
    <x v="1"/>
  </r>
  <r>
    <n v="10131"/>
    <n v="21"/>
    <n v="100"/>
    <n v="2100"/>
    <s v="Medium"/>
    <n v="630"/>
    <d v="2003-06-16T00:00:00"/>
    <x v="0"/>
    <x v="0"/>
    <x v="9"/>
    <x v="0"/>
    <s v="Jun-2003"/>
    <x v="4"/>
    <x v="88"/>
    <x v="0"/>
    <x v="0"/>
    <x v="0"/>
  </r>
  <r>
    <n v="10143"/>
    <n v="32"/>
    <n v="100"/>
    <n v="3200"/>
    <s v="Medium"/>
    <n v="960"/>
    <d v="2003-08-10T00:00:00"/>
    <x v="0"/>
    <x v="0"/>
    <x v="3"/>
    <x v="0"/>
    <s v="Aug-2003"/>
    <x v="4"/>
    <x v="50"/>
    <x v="0"/>
    <x v="0"/>
    <x v="1"/>
  </r>
  <r>
    <n v="10155"/>
    <n v="38"/>
    <n v="100"/>
    <n v="3800"/>
    <s v="Medium"/>
    <n v="1140"/>
    <d v="2003-10-06T00:00:00"/>
    <x v="0"/>
    <x v="0"/>
    <x v="4"/>
    <x v="0"/>
    <s v="Oct-2003"/>
    <x v="4"/>
    <x v="16"/>
    <x v="4"/>
    <x v="1"/>
    <x v="1"/>
  </r>
  <r>
    <n v="10167"/>
    <n v="43"/>
    <n v="100"/>
    <n v="4300"/>
    <s v="Medium"/>
    <n v="1290"/>
    <d v="2003-10-23T00:00:00"/>
    <x v="3"/>
    <x v="1"/>
    <x v="4"/>
    <x v="0"/>
    <s v="Oct-2003"/>
    <x v="4"/>
    <x v="37"/>
    <x v="8"/>
    <x v="1"/>
    <x v="1"/>
  </r>
  <r>
    <n v="10178"/>
    <n v="42"/>
    <n v="100"/>
    <n v="4200"/>
    <s v="Medium"/>
    <n v="1260"/>
    <d v="2003-11-08T00:00:00"/>
    <x v="0"/>
    <x v="0"/>
    <x v="5"/>
    <x v="0"/>
    <s v="Nov-2003"/>
    <x v="4"/>
    <x v="51"/>
    <x v="1"/>
    <x v="1"/>
    <x v="1"/>
  </r>
  <r>
    <n v="10186"/>
    <n v="32"/>
    <n v="100"/>
    <n v="3200"/>
    <s v="Medium"/>
    <n v="960"/>
    <d v="2003-11-14T00:00:00"/>
    <x v="0"/>
    <x v="0"/>
    <x v="5"/>
    <x v="0"/>
    <s v="Nov-2003"/>
    <x v="4"/>
    <x v="52"/>
    <x v="6"/>
    <x v="1"/>
    <x v="1"/>
  </r>
  <r>
    <n v="10198"/>
    <n v="42"/>
    <n v="100"/>
    <n v="4200"/>
    <s v="Medium"/>
    <n v="1260"/>
    <d v="2003-11-27T00:00:00"/>
    <x v="0"/>
    <x v="0"/>
    <x v="5"/>
    <x v="0"/>
    <s v="Nov-2003"/>
    <x v="4"/>
    <x v="66"/>
    <x v="15"/>
    <x v="3"/>
    <x v="2"/>
  </r>
  <r>
    <n v="10210"/>
    <n v="31"/>
    <n v="100"/>
    <n v="3100"/>
    <s v="Medium"/>
    <n v="930"/>
    <d v="2004-01-12T00:00:00"/>
    <x v="0"/>
    <x v="0"/>
    <x v="7"/>
    <x v="1"/>
    <s v="Jan-2004"/>
    <x v="4"/>
    <x v="44"/>
    <x v="11"/>
    <x v="3"/>
    <x v="1"/>
  </r>
  <r>
    <n v="10222"/>
    <n v="49"/>
    <n v="100"/>
    <n v="4900"/>
    <s v="Medium"/>
    <n v="1470"/>
    <d v="2004-02-19T00:00:00"/>
    <x v="0"/>
    <x v="0"/>
    <x v="0"/>
    <x v="1"/>
    <s v="Feb-2004"/>
    <x v="4"/>
    <x v="55"/>
    <x v="0"/>
    <x v="0"/>
    <x v="1"/>
  </r>
  <r>
    <n v="10250"/>
    <n v="45"/>
    <n v="100"/>
    <n v="4500"/>
    <s v="Medium"/>
    <n v="1350"/>
    <d v="2004-05-11T00:00:00"/>
    <x v="0"/>
    <x v="0"/>
    <x v="1"/>
    <x v="1"/>
    <s v="May-2004"/>
    <x v="4"/>
    <x v="61"/>
    <x v="0"/>
    <x v="0"/>
    <x v="2"/>
  </r>
  <r>
    <n v="10262"/>
    <n v="49"/>
    <n v="100"/>
    <n v="4900"/>
    <s v="Medium"/>
    <n v="1470"/>
    <d v="2004-06-24T00:00:00"/>
    <x v="3"/>
    <x v="1"/>
    <x v="9"/>
    <x v="1"/>
    <s v="Jun-2004"/>
    <x v="4"/>
    <x v="23"/>
    <x v="7"/>
    <x v="1"/>
    <x v="1"/>
  </r>
  <r>
    <n v="10274"/>
    <n v="41"/>
    <n v="100"/>
    <n v="4100"/>
    <s v="Medium"/>
    <n v="1230"/>
    <d v="2004-07-21T00:00:00"/>
    <x v="0"/>
    <x v="0"/>
    <x v="2"/>
    <x v="1"/>
    <s v="Jul-2004"/>
    <x v="4"/>
    <x v="41"/>
    <x v="0"/>
    <x v="0"/>
    <x v="1"/>
  </r>
  <r>
    <n v="10284"/>
    <n v="45"/>
    <n v="100"/>
    <n v="4500"/>
    <s v="Medium"/>
    <n v="1350"/>
    <d v="2004-08-21T00:00:00"/>
    <x v="0"/>
    <x v="0"/>
    <x v="3"/>
    <x v="1"/>
    <s v="Aug-2004"/>
    <x v="4"/>
    <x v="85"/>
    <x v="2"/>
    <x v="1"/>
    <x v="1"/>
  </r>
  <r>
    <n v="10296"/>
    <n v="36"/>
    <n v="100"/>
    <n v="3600"/>
    <s v="Medium"/>
    <n v="1080"/>
    <d v="2004-09-15T00:00:00"/>
    <x v="0"/>
    <x v="0"/>
    <x v="10"/>
    <x v="1"/>
    <s v="Sep-2004"/>
    <x v="4"/>
    <x v="89"/>
    <x v="16"/>
    <x v="1"/>
    <x v="1"/>
  </r>
  <r>
    <n v="10307"/>
    <n v="39"/>
    <n v="100"/>
    <n v="3900"/>
    <s v="Medium"/>
    <n v="1170"/>
    <d v="2004-10-14T00:00:00"/>
    <x v="0"/>
    <x v="0"/>
    <x v="4"/>
    <x v="1"/>
    <s v="Oct-2004"/>
    <x v="4"/>
    <x v="29"/>
    <x v="0"/>
    <x v="0"/>
    <x v="2"/>
  </r>
  <r>
    <n v="10316"/>
    <n v="27"/>
    <n v="100"/>
    <n v="2700"/>
    <s v="Medium"/>
    <n v="810"/>
    <d v="2004-11-01T00:00:00"/>
    <x v="0"/>
    <x v="0"/>
    <x v="5"/>
    <x v="1"/>
    <s v="Nov-2004"/>
    <x v="4"/>
    <x v="59"/>
    <x v="6"/>
    <x v="1"/>
    <x v="1"/>
  </r>
  <r>
    <n v="10327"/>
    <n v="25"/>
    <n v="100"/>
    <n v="2500"/>
    <s v="Medium"/>
    <n v="750"/>
    <d v="2004-11-10T00:00:00"/>
    <x v="5"/>
    <x v="1"/>
    <x v="5"/>
    <x v="1"/>
    <s v="Nov-2004"/>
    <x v="4"/>
    <x v="48"/>
    <x v="13"/>
    <x v="1"/>
    <x v="0"/>
  </r>
  <r>
    <n v="10338"/>
    <n v="41"/>
    <n v="100"/>
    <n v="4100"/>
    <s v="Medium"/>
    <n v="1230"/>
    <d v="2004-11-22T00:00:00"/>
    <x v="0"/>
    <x v="0"/>
    <x v="5"/>
    <x v="1"/>
    <s v="Nov-2004"/>
    <x v="4"/>
    <x v="90"/>
    <x v="14"/>
    <x v="1"/>
    <x v="1"/>
  </r>
  <r>
    <n v="10351"/>
    <n v="39"/>
    <n v="99.52"/>
    <n v="3881.2799999999997"/>
    <s v="Medium"/>
    <n v="1164.3839999999998"/>
    <d v="2004-12-03T00:00:00"/>
    <x v="0"/>
    <x v="0"/>
    <x v="6"/>
    <x v="1"/>
    <s v="Dec-2004"/>
    <x v="4"/>
    <x v="49"/>
    <x v="6"/>
    <x v="1"/>
    <x v="1"/>
  </r>
  <r>
    <n v="10373"/>
    <n v="28"/>
    <n v="57.55"/>
    <n v="1611.3999999999999"/>
    <s v="Low"/>
    <n v="483.41999999999996"/>
    <d v="2005-01-31T00:00:00"/>
    <x v="0"/>
    <x v="0"/>
    <x v="7"/>
    <x v="2"/>
    <s v="Jan-2005"/>
    <x v="4"/>
    <x v="60"/>
    <x v="4"/>
    <x v="1"/>
    <x v="0"/>
  </r>
  <r>
    <n v="10386"/>
    <n v="25"/>
    <n v="54.57"/>
    <n v="1364.25"/>
    <s v="Low"/>
    <n v="409.27499999999998"/>
    <d v="2005-03-01T00:00:00"/>
    <x v="5"/>
    <x v="1"/>
    <x v="11"/>
    <x v="2"/>
    <s v="Mar-2005"/>
    <x v="4"/>
    <x v="23"/>
    <x v="7"/>
    <x v="1"/>
    <x v="0"/>
  </r>
  <r>
    <n v="10398"/>
    <n v="33"/>
    <n v="100"/>
    <n v="3300"/>
    <s v="Medium"/>
    <n v="990"/>
    <d v="2005-03-30T00:00:00"/>
    <x v="0"/>
    <x v="0"/>
    <x v="11"/>
    <x v="2"/>
    <s v="Mar-2005"/>
    <x v="4"/>
    <x v="1"/>
    <x v="1"/>
    <x v="1"/>
    <x v="1"/>
  </r>
  <r>
    <n v="10400"/>
    <n v="34"/>
    <n v="100"/>
    <n v="3400"/>
    <s v="Medium"/>
    <n v="1020"/>
    <d v="2005-04-01T00:00:00"/>
    <x v="0"/>
    <x v="0"/>
    <x v="8"/>
    <x v="2"/>
    <s v="Apr-2005"/>
    <x v="4"/>
    <x v="61"/>
    <x v="0"/>
    <x v="0"/>
    <x v="1"/>
  </r>
  <r>
    <n v="10416"/>
    <n v="24"/>
    <n v="100"/>
    <n v="2400"/>
    <s v="Medium"/>
    <n v="720"/>
    <d v="2005-05-10T00:00:00"/>
    <x v="0"/>
    <x v="0"/>
    <x v="1"/>
    <x v="2"/>
    <s v="May-2005"/>
    <x v="4"/>
    <x v="70"/>
    <x v="12"/>
    <x v="1"/>
    <x v="1"/>
  </r>
  <r>
    <n v="10100"/>
    <n v="30"/>
    <n v="100"/>
    <n v="3000"/>
    <s v="Medium"/>
    <n v="900"/>
    <d v="2003-01-06T00:00:00"/>
    <x v="0"/>
    <x v="0"/>
    <x v="7"/>
    <x v="0"/>
    <s v="Jan-2003"/>
    <x v="3"/>
    <x v="40"/>
    <x v="0"/>
    <x v="0"/>
    <x v="1"/>
  </r>
  <r>
    <n v="10110"/>
    <n v="42"/>
    <n v="100"/>
    <n v="4200"/>
    <s v="Medium"/>
    <n v="1260"/>
    <d v="2003-03-18T00:00:00"/>
    <x v="0"/>
    <x v="0"/>
    <x v="11"/>
    <x v="0"/>
    <s v="Mar-2003"/>
    <x v="3"/>
    <x v="77"/>
    <x v="6"/>
    <x v="1"/>
    <x v="1"/>
  </r>
  <r>
    <n v="10124"/>
    <n v="21"/>
    <n v="100"/>
    <n v="2100"/>
    <s v="Medium"/>
    <n v="630"/>
    <d v="2003-05-21T00:00:00"/>
    <x v="0"/>
    <x v="0"/>
    <x v="1"/>
    <x v="0"/>
    <s v="May-2003"/>
    <x v="3"/>
    <x v="84"/>
    <x v="0"/>
    <x v="0"/>
    <x v="0"/>
  </r>
  <r>
    <n v="10149"/>
    <n v="34"/>
    <n v="100"/>
    <n v="3400"/>
    <s v="Medium"/>
    <n v="1020"/>
    <d v="2003-09-12T00:00:00"/>
    <x v="0"/>
    <x v="0"/>
    <x v="10"/>
    <x v="0"/>
    <s v="Sep-2003"/>
    <x v="3"/>
    <x v="82"/>
    <x v="0"/>
    <x v="0"/>
    <x v="1"/>
  </r>
  <r>
    <n v="10162"/>
    <n v="29"/>
    <n v="100"/>
    <n v="2900"/>
    <s v="Medium"/>
    <n v="870"/>
    <d v="2003-10-18T00:00:00"/>
    <x v="0"/>
    <x v="0"/>
    <x v="4"/>
    <x v="0"/>
    <s v="Oct-2003"/>
    <x v="3"/>
    <x v="4"/>
    <x v="0"/>
    <x v="0"/>
    <x v="1"/>
  </r>
  <r>
    <n v="10173"/>
    <n v="24"/>
    <n v="100"/>
    <n v="2400"/>
    <s v="Medium"/>
    <n v="720"/>
    <d v="2003-11-05T00:00:00"/>
    <x v="0"/>
    <x v="0"/>
    <x v="5"/>
    <x v="0"/>
    <s v="Nov-2003"/>
    <x v="3"/>
    <x v="86"/>
    <x v="12"/>
    <x v="1"/>
    <x v="1"/>
  </r>
  <r>
    <n v="10182"/>
    <n v="44"/>
    <n v="100"/>
    <n v="4400"/>
    <s v="Medium"/>
    <n v="1320"/>
    <d v="2003-11-12T00:00:00"/>
    <x v="0"/>
    <x v="0"/>
    <x v="5"/>
    <x v="0"/>
    <s v="Nov-2003"/>
    <x v="3"/>
    <x v="39"/>
    <x v="0"/>
    <x v="0"/>
    <x v="2"/>
  </r>
  <r>
    <n v="10193"/>
    <n v="21"/>
    <n v="100"/>
    <n v="2100"/>
    <s v="Medium"/>
    <n v="630"/>
    <d v="2003-11-21T00:00:00"/>
    <x v="0"/>
    <x v="0"/>
    <x v="5"/>
    <x v="0"/>
    <s v="Nov-2003"/>
    <x v="3"/>
    <x v="87"/>
    <x v="3"/>
    <x v="2"/>
    <x v="1"/>
  </r>
  <r>
    <n v="10204"/>
    <n v="33"/>
    <n v="100"/>
    <n v="3300"/>
    <s v="Medium"/>
    <n v="990"/>
    <d v="2003-12-02T00:00:00"/>
    <x v="0"/>
    <x v="0"/>
    <x v="6"/>
    <x v="0"/>
    <s v="Dec-2003"/>
    <x v="3"/>
    <x v="74"/>
    <x v="0"/>
    <x v="0"/>
    <x v="1"/>
  </r>
  <r>
    <n v="10214"/>
    <n v="30"/>
    <n v="100"/>
    <n v="3000"/>
    <s v="Medium"/>
    <n v="900"/>
    <d v="2004-01-26T00:00:00"/>
    <x v="0"/>
    <x v="0"/>
    <x v="7"/>
    <x v="1"/>
    <s v="Jan-2004"/>
    <x v="3"/>
    <x v="25"/>
    <x v="7"/>
    <x v="1"/>
    <x v="1"/>
  </r>
  <r>
    <n v="10227"/>
    <n v="26"/>
    <n v="100"/>
    <n v="2600"/>
    <s v="Medium"/>
    <n v="780"/>
    <d v="2004-03-02T00:00:00"/>
    <x v="0"/>
    <x v="0"/>
    <x v="11"/>
    <x v="1"/>
    <s v="Mar-2004"/>
    <x v="3"/>
    <x v="30"/>
    <x v="1"/>
    <x v="1"/>
    <x v="1"/>
  </r>
  <r>
    <n v="10241"/>
    <n v="41"/>
    <n v="100"/>
    <n v="4100"/>
    <s v="Medium"/>
    <n v="1230"/>
    <d v="2004-04-13T00:00:00"/>
    <x v="0"/>
    <x v="0"/>
    <x v="8"/>
    <x v="1"/>
    <s v="Apr-2004"/>
    <x v="3"/>
    <x v="83"/>
    <x v="1"/>
    <x v="1"/>
    <x v="2"/>
  </r>
  <r>
    <n v="10280"/>
    <n v="26"/>
    <n v="100"/>
    <n v="2600"/>
    <s v="Medium"/>
    <n v="780"/>
    <d v="2004-08-17T00:00:00"/>
    <x v="0"/>
    <x v="0"/>
    <x v="3"/>
    <x v="1"/>
    <s v="Aug-2004"/>
    <x v="3"/>
    <x v="36"/>
    <x v="12"/>
    <x v="1"/>
    <x v="1"/>
  </r>
  <r>
    <n v="10288"/>
    <n v="32"/>
    <n v="100"/>
    <n v="3200"/>
    <s v="Medium"/>
    <n v="960"/>
    <d v="2004-09-01T00:00:00"/>
    <x v="0"/>
    <x v="0"/>
    <x v="10"/>
    <x v="1"/>
    <s v="Sep-2004"/>
    <x v="3"/>
    <x v="65"/>
    <x v="9"/>
    <x v="2"/>
    <x v="1"/>
  </r>
  <r>
    <n v="10302"/>
    <n v="43"/>
    <n v="100"/>
    <n v="4300"/>
    <s v="Medium"/>
    <n v="1290"/>
    <d v="2003-10-06T00:00:00"/>
    <x v="0"/>
    <x v="0"/>
    <x v="4"/>
    <x v="0"/>
    <s v="Oct-2003"/>
    <x v="3"/>
    <x v="22"/>
    <x v="6"/>
    <x v="1"/>
    <x v="2"/>
  </r>
  <r>
    <n v="10312"/>
    <n v="48"/>
    <n v="100"/>
    <n v="4800"/>
    <s v="Medium"/>
    <n v="1440"/>
    <d v="2004-10-21T00:00:00"/>
    <x v="0"/>
    <x v="0"/>
    <x v="4"/>
    <x v="1"/>
    <s v="Oct-2004"/>
    <x v="3"/>
    <x v="39"/>
    <x v="0"/>
    <x v="0"/>
    <x v="2"/>
  </r>
  <r>
    <n v="10331"/>
    <n v="44"/>
    <n v="74.040000000000006"/>
    <n v="3257.76"/>
    <s v="Medium"/>
    <n v="977.32799999999997"/>
    <d v="2004-11-17T00:00:00"/>
    <x v="0"/>
    <x v="0"/>
    <x v="5"/>
    <x v="1"/>
    <s v="Nov-2004"/>
    <x v="3"/>
    <x v="45"/>
    <x v="0"/>
    <x v="0"/>
    <x v="1"/>
  </r>
  <r>
    <n v="10344"/>
    <n v="45"/>
    <n v="100"/>
    <n v="4500"/>
    <s v="Medium"/>
    <n v="1350"/>
    <d v="2004-11-25T00:00:00"/>
    <x v="0"/>
    <x v="0"/>
    <x v="5"/>
    <x v="1"/>
    <s v="Nov-2004"/>
    <x v="3"/>
    <x v="67"/>
    <x v="1"/>
    <x v="1"/>
    <x v="2"/>
  </r>
  <r>
    <n v="10367"/>
    <n v="37"/>
    <n v="100"/>
    <n v="3700"/>
    <s v="Medium"/>
    <n v="1110"/>
    <d v="2005-01-12T00:00:00"/>
    <x v="5"/>
    <x v="1"/>
    <x v="7"/>
    <x v="2"/>
    <s v="Jan-2005"/>
    <x v="3"/>
    <x v="3"/>
    <x v="0"/>
    <x v="0"/>
    <x v="1"/>
  </r>
  <r>
    <n v="10379"/>
    <n v="39"/>
    <n v="100"/>
    <n v="3900"/>
    <s v="Medium"/>
    <n v="1170"/>
    <d v="2005-02-10T00:00:00"/>
    <x v="0"/>
    <x v="0"/>
    <x v="0"/>
    <x v="2"/>
    <s v="Feb-2005"/>
    <x v="3"/>
    <x v="23"/>
    <x v="7"/>
    <x v="1"/>
    <x v="1"/>
  </r>
  <r>
    <n v="10407"/>
    <n v="76"/>
    <n v="100"/>
    <n v="7600"/>
    <s v="High"/>
    <n v="2280"/>
    <d v="2005-04-22T00:00:00"/>
    <x v="4"/>
    <x v="1"/>
    <x v="8"/>
    <x v="2"/>
    <s v="Apr-2005"/>
    <x v="3"/>
    <x v="61"/>
    <x v="0"/>
    <x v="0"/>
    <x v="2"/>
  </r>
  <r>
    <n v="10420"/>
    <n v="37"/>
    <n v="100"/>
    <n v="3700"/>
    <s v="Medium"/>
    <n v="1110"/>
    <d v="2005-05-29T00:00:00"/>
    <x v="2"/>
    <x v="1"/>
    <x v="1"/>
    <x v="2"/>
    <s v="May-2005"/>
    <x v="3"/>
    <x v="20"/>
    <x v="3"/>
    <x v="2"/>
    <x v="1"/>
  </r>
  <r>
    <n v="10108"/>
    <n v="38"/>
    <n v="82.39"/>
    <n v="3130.82"/>
    <s v="Medium"/>
    <n v="939.24599999999998"/>
    <d v="2003-03-03T00:00:00"/>
    <x v="0"/>
    <x v="0"/>
    <x v="11"/>
    <x v="0"/>
    <s v="Mar-2003"/>
    <x v="1"/>
    <x v="66"/>
    <x v="15"/>
    <x v="3"/>
    <x v="1"/>
  </r>
  <r>
    <n v="10122"/>
    <n v="43"/>
    <n v="72.38"/>
    <n v="3112.3399999999997"/>
    <s v="Medium"/>
    <n v="933.70199999999988"/>
    <d v="2003-05-08T00:00:00"/>
    <x v="0"/>
    <x v="0"/>
    <x v="1"/>
    <x v="0"/>
    <s v="May-2003"/>
    <x v="1"/>
    <x v="67"/>
    <x v="1"/>
    <x v="1"/>
    <x v="1"/>
  </r>
  <r>
    <n v="10135"/>
    <n v="48"/>
    <n v="79.31"/>
    <n v="3806.88"/>
    <s v="Medium"/>
    <n v="1142.0640000000001"/>
    <d v="2003-07-02T00:00:00"/>
    <x v="0"/>
    <x v="0"/>
    <x v="2"/>
    <x v="0"/>
    <s v="Jul-2003"/>
    <x v="1"/>
    <x v="39"/>
    <x v="0"/>
    <x v="0"/>
    <x v="1"/>
  </r>
  <r>
    <n v="10147"/>
    <n v="26"/>
    <n v="82.39"/>
    <n v="2142.14"/>
    <s v="Medium"/>
    <n v="642.64199999999994"/>
    <d v="2003-09-05T00:00:00"/>
    <x v="0"/>
    <x v="0"/>
    <x v="10"/>
    <x v="0"/>
    <s v="Sep-2003"/>
    <x v="1"/>
    <x v="41"/>
    <x v="0"/>
    <x v="0"/>
    <x v="0"/>
  </r>
  <r>
    <n v="10160"/>
    <n v="38"/>
    <n v="88.55"/>
    <n v="3364.9"/>
    <s v="Medium"/>
    <n v="1009.47"/>
    <d v="2003-10-11T00:00:00"/>
    <x v="0"/>
    <x v="0"/>
    <x v="4"/>
    <x v="0"/>
    <s v="Oct-2003"/>
    <x v="1"/>
    <x v="54"/>
    <x v="0"/>
    <x v="0"/>
    <x v="1"/>
  </r>
  <r>
    <n v="10170"/>
    <n v="20"/>
    <n v="63.14"/>
    <n v="1262.8"/>
    <s v="Low"/>
    <n v="378.84"/>
    <d v="2003-11-04T00:00:00"/>
    <x v="0"/>
    <x v="0"/>
    <x v="5"/>
    <x v="0"/>
    <s v="Nov-2003"/>
    <x v="1"/>
    <x v="63"/>
    <x v="5"/>
    <x v="1"/>
    <x v="0"/>
  </r>
  <r>
    <n v="10181"/>
    <n v="22"/>
    <n v="73.92"/>
    <n v="1626.24"/>
    <s v="Low"/>
    <n v="487.87199999999996"/>
    <d v="2003-11-12T00:00:00"/>
    <x v="0"/>
    <x v="0"/>
    <x v="5"/>
    <x v="0"/>
    <s v="Nov-2003"/>
    <x v="1"/>
    <x v="7"/>
    <x v="2"/>
    <x v="1"/>
    <x v="0"/>
  </r>
  <r>
    <n v="10192"/>
    <n v="45"/>
    <n v="90.86"/>
    <n v="4088.7"/>
    <s v="Medium"/>
    <n v="1226.6099999999999"/>
    <d v="2003-11-20T00:00:00"/>
    <x v="0"/>
    <x v="0"/>
    <x v="5"/>
    <x v="0"/>
    <s v="Nov-2003"/>
    <x v="1"/>
    <x v="40"/>
    <x v="0"/>
    <x v="0"/>
    <x v="1"/>
  </r>
  <r>
    <n v="10203"/>
    <n v="45"/>
    <n v="85.47"/>
    <n v="3846.15"/>
    <s v="Medium"/>
    <n v="1153.845"/>
    <d v="2003-12-02T00:00:00"/>
    <x v="0"/>
    <x v="0"/>
    <x v="6"/>
    <x v="0"/>
    <s v="Dec-2003"/>
    <x v="1"/>
    <x v="23"/>
    <x v="7"/>
    <x v="1"/>
    <x v="1"/>
  </r>
  <r>
    <n v="10212"/>
    <n v="20"/>
    <n v="66.989999999999995"/>
    <n v="1339.8"/>
    <s v="Low"/>
    <n v="401.94"/>
    <d v="2004-01-16T00:00:00"/>
    <x v="0"/>
    <x v="0"/>
    <x v="7"/>
    <x v="1"/>
    <s v="Jan-2004"/>
    <x v="1"/>
    <x v="23"/>
    <x v="7"/>
    <x v="1"/>
    <x v="0"/>
  </r>
  <r>
    <n v="10225"/>
    <n v="47"/>
    <n v="64.680000000000007"/>
    <n v="3039.9600000000005"/>
    <s v="Medium"/>
    <n v="911.98800000000017"/>
    <d v="2004-02-22T00:00:00"/>
    <x v="0"/>
    <x v="0"/>
    <x v="0"/>
    <x v="1"/>
    <s v="Feb-2004"/>
    <x v="1"/>
    <x v="69"/>
    <x v="17"/>
    <x v="1"/>
    <x v="1"/>
  </r>
  <r>
    <n v="10239"/>
    <n v="46"/>
    <n v="73.92"/>
    <n v="3400.32"/>
    <s v="Medium"/>
    <n v="1020.096"/>
    <d v="2004-04-12T00:00:00"/>
    <x v="0"/>
    <x v="0"/>
    <x v="8"/>
    <x v="1"/>
    <s v="Apr-2004"/>
    <x v="1"/>
    <x v="60"/>
    <x v="4"/>
    <x v="1"/>
    <x v="1"/>
  </r>
  <r>
    <n v="10253"/>
    <n v="23"/>
    <n v="83.93"/>
    <n v="1930.39"/>
    <s v="Low"/>
    <n v="579.11699999999996"/>
    <d v="2004-06-01T00:00:00"/>
    <x v="3"/>
    <x v="1"/>
    <x v="9"/>
    <x v="1"/>
    <s v="Jun-2004"/>
    <x v="1"/>
    <x v="22"/>
    <x v="6"/>
    <x v="1"/>
    <x v="0"/>
  </r>
  <r>
    <n v="10266"/>
    <n v="33"/>
    <n v="74.69"/>
    <n v="2464.77"/>
    <s v="Medium"/>
    <n v="739.43099999999993"/>
    <d v="2004-07-06T00:00:00"/>
    <x v="0"/>
    <x v="0"/>
    <x v="2"/>
    <x v="1"/>
    <s v="Jul-2004"/>
    <x v="1"/>
    <x v="70"/>
    <x v="12"/>
    <x v="1"/>
    <x v="0"/>
  </r>
  <r>
    <n v="10278"/>
    <n v="29"/>
    <n v="90.86"/>
    <n v="2634.94"/>
    <s v="Medium"/>
    <n v="790.48199999999997"/>
    <d v="2004-08-06T00:00:00"/>
    <x v="0"/>
    <x v="0"/>
    <x v="3"/>
    <x v="1"/>
    <s v="Aug-2004"/>
    <x v="1"/>
    <x v="84"/>
    <x v="0"/>
    <x v="0"/>
    <x v="0"/>
  </r>
  <r>
    <n v="10287"/>
    <n v="44"/>
    <n v="82.39"/>
    <n v="3625.16"/>
    <s v="Medium"/>
    <n v="1087.548"/>
    <d v="2004-08-30T00:00:00"/>
    <x v="0"/>
    <x v="0"/>
    <x v="3"/>
    <x v="1"/>
    <s v="Aug-2004"/>
    <x v="1"/>
    <x v="69"/>
    <x v="17"/>
    <x v="1"/>
    <x v="1"/>
  </r>
  <r>
    <n v="10300"/>
    <n v="41"/>
    <n v="92.4"/>
    <n v="3788.4"/>
    <s v="Medium"/>
    <n v="1136.52"/>
    <d v="2003-10-04T00:00:00"/>
    <x v="0"/>
    <x v="0"/>
    <x v="4"/>
    <x v="0"/>
    <s v="Oct-2003"/>
    <x v="1"/>
    <x v="72"/>
    <x v="16"/>
    <x v="1"/>
    <x v="1"/>
  </r>
  <r>
    <n v="10310"/>
    <n v="20"/>
    <n v="91.63"/>
    <n v="1832.6"/>
    <s v="Low"/>
    <n v="549.78"/>
    <d v="2004-10-16T00:00:00"/>
    <x v="0"/>
    <x v="0"/>
    <x v="4"/>
    <x v="1"/>
    <s v="Oct-2004"/>
    <x v="1"/>
    <x v="68"/>
    <x v="16"/>
    <x v="1"/>
    <x v="0"/>
  </r>
  <r>
    <n v="10321"/>
    <n v="37"/>
    <n v="78.540000000000006"/>
    <n v="2905.98"/>
    <s v="Medium"/>
    <n v="871.79399999999998"/>
    <d v="2004-11-04T00:00:00"/>
    <x v="0"/>
    <x v="0"/>
    <x v="5"/>
    <x v="1"/>
    <s v="Nov-2004"/>
    <x v="1"/>
    <x v="21"/>
    <x v="0"/>
    <x v="0"/>
    <x v="0"/>
  </r>
  <r>
    <n v="10329"/>
    <n v="29"/>
    <n v="100"/>
    <n v="2900"/>
    <s v="Medium"/>
    <n v="870"/>
    <d v="2004-11-15T00:00:00"/>
    <x v="0"/>
    <x v="0"/>
    <x v="5"/>
    <x v="1"/>
    <s v="Nov-2004"/>
    <x v="1"/>
    <x v="0"/>
    <x v="0"/>
    <x v="0"/>
    <x v="0"/>
  </r>
  <r>
    <n v="10342"/>
    <n v="55"/>
    <n v="65.45"/>
    <n v="3599.75"/>
    <s v="Medium"/>
    <n v="1079.925"/>
    <d v="2004-11-24T00:00:00"/>
    <x v="0"/>
    <x v="0"/>
    <x v="5"/>
    <x v="1"/>
    <s v="Nov-2004"/>
    <x v="1"/>
    <x v="10"/>
    <x v="3"/>
    <x v="2"/>
    <x v="1"/>
  </r>
  <r>
    <n v="10363"/>
    <n v="22"/>
    <n v="100"/>
    <n v="2200"/>
    <s v="Medium"/>
    <n v="660"/>
    <d v="2005-01-06T00:00:00"/>
    <x v="0"/>
    <x v="0"/>
    <x v="7"/>
    <x v="2"/>
    <s v="Jan-2005"/>
    <x v="1"/>
    <x v="73"/>
    <x v="4"/>
    <x v="1"/>
    <x v="1"/>
  </r>
  <r>
    <n v="10377"/>
    <n v="31"/>
    <n v="67.760000000000005"/>
    <n v="2100.56"/>
    <s v="Medium"/>
    <n v="630.16800000000001"/>
    <d v="2005-02-09T00:00:00"/>
    <x v="0"/>
    <x v="0"/>
    <x v="0"/>
    <x v="2"/>
    <s v="Feb-2005"/>
    <x v="1"/>
    <x v="16"/>
    <x v="4"/>
    <x v="1"/>
    <x v="0"/>
  </r>
  <r>
    <n v="10389"/>
    <n v="49"/>
    <n v="79.22"/>
    <n v="3881.7799999999997"/>
    <s v="Medium"/>
    <n v="1164.5339999999999"/>
    <d v="2005-03-03T00:00:00"/>
    <x v="0"/>
    <x v="0"/>
    <x v="11"/>
    <x v="2"/>
    <s v="Mar-2005"/>
    <x v="1"/>
    <x v="37"/>
    <x v="8"/>
    <x v="1"/>
    <x v="1"/>
  </r>
  <r>
    <n v="10405"/>
    <n v="61"/>
    <n v="73.92"/>
    <n v="4509.12"/>
    <s v="Medium"/>
    <n v="1352.7359999999999"/>
    <d v="2005-04-14T00:00:00"/>
    <x v="0"/>
    <x v="0"/>
    <x v="8"/>
    <x v="2"/>
    <s v="Apr-2005"/>
    <x v="1"/>
    <x v="83"/>
    <x v="1"/>
    <x v="1"/>
    <x v="1"/>
  </r>
  <r>
    <n v="10419"/>
    <n v="39"/>
    <n v="83.93"/>
    <n v="3273.2700000000004"/>
    <s v="Medium"/>
    <n v="981.98100000000011"/>
    <d v="2005-05-17T00:00:00"/>
    <x v="0"/>
    <x v="0"/>
    <x v="1"/>
    <x v="2"/>
    <s v="May-2005"/>
    <x v="1"/>
    <x v="19"/>
    <x v="5"/>
    <x v="1"/>
    <x v="1"/>
  </r>
  <r>
    <n v="10109"/>
    <n v="38"/>
    <n v="100"/>
    <n v="3800"/>
    <s v="Medium"/>
    <n v="1140"/>
    <d v="2003-03-10T00:00:00"/>
    <x v="0"/>
    <x v="0"/>
    <x v="11"/>
    <x v="0"/>
    <s v="Mar-2003"/>
    <x v="1"/>
    <x v="45"/>
    <x v="0"/>
    <x v="0"/>
    <x v="1"/>
  </r>
  <r>
    <n v="10122"/>
    <n v="31"/>
    <n v="100"/>
    <n v="3100"/>
    <s v="Medium"/>
    <n v="930"/>
    <d v="2003-05-08T00:00:00"/>
    <x v="0"/>
    <x v="0"/>
    <x v="1"/>
    <x v="0"/>
    <s v="May-2003"/>
    <x v="1"/>
    <x v="67"/>
    <x v="1"/>
    <x v="1"/>
    <x v="1"/>
  </r>
  <r>
    <n v="10136"/>
    <n v="36"/>
    <n v="100"/>
    <n v="3600"/>
    <s v="Medium"/>
    <n v="1080"/>
    <d v="2003-07-04T00:00:00"/>
    <x v="0"/>
    <x v="0"/>
    <x v="2"/>
    <x v="0"/>
    <s v="Jul-2003"/>
    <x v="1"/>
    <x v="51"/>
    <x v="1"/>
    <x v="1"/>
    <x v="1"/>
  </r>
  <r>
    <n v="10148"/>
    <n v="25"/>
    <n v="100"/>
    <n v="2500"/>
    <s v="Medium"/>
    <n v="750"/>
    <d v="2003-09-11T00:00:00"/>
    <x v="0"/>
    <x v="0"/>
    <x v="10"/>
    <x v="0"/>
    <s v="Sep-2003"/>
    <x v="1"/>
    <x v="42"/>
    <x v="3"/>
    <x v="2"/>
    <x v="1"/>
  </r>
  <r>
    <n v="10161"/>
    <n v="48"/>
    <n v="100"/>
    <n v="4800"/>
    <s v="Medium"/>
    <n v="1440"/>
    <d v="2003-10-17T00:00:00"/>
    <x v="0"/>
    <x v="0"/>
    <x v="4"/>
    <x v="0"/>
    <s v="Oct-2003"/>
    <x v="1"/>
    <x v="78"/>
    <x v="13"/>
    <x v="1"/>
    <x v="1"/>
  </r>
  <r>
    <n v="10171"/>
    <n v="35"/>
    <n v="100"/>
    <n v="3500"/>
    <s v="Medium"/>
    <n v="1050"/>
    <d v="2003-11-05T00:00:00"/>
    <x v="0"/>
    <x v="0"/>
    <x v="5"/>
    <x v="0"/>
    <s v="Nov-2003"/>
    <x v="1"/>
    <x v="43"/>
    <x v="10"/>
    <x v="0"/>
    <x v="1"/>
  </r>
  <r>
    <n v="10181"/>
    <n v="21"/>
    <n v="100"/>
    <n v="2100"/>
    <s v="Medium"/>
    <n v="630"/>
    <d v="2003-11-12T00:00:00"/>
    <x v="0"/>
    <x v="0"/>
    <x v="5"/>
    <x v="0"/>
    <s v="Nov-2003"/>
    <x v="1"/>
    <x v="7"/>
    <x v="2"/>
    <x v="1"/>
    <x v="1"/>
  </r>
  <r>
    <n v="10192"/>
    <n v="47"/>
    <n v="100"/>
    <n v="4700"/>
    <s v="Medium"/>
    <n v="1410"/>
    <d v="2003-11-20T00:00:00"/>
    <x v="0"/>
    <x v="0"/>
    <x v="5"/>
    <x v="0"/>
    <s v="Nov-2003"/>
    <x v="1"/>
    <x v="40"/>
    <x v="0"/>
    <x v="0"/>
    <x v="2"/>
  </r>
  <r>
    <n v="10204"/>
    <n v="38"/>
    <n v="100"/>
    <n v="3800"/>
    <s v="Medium"/>
    <n v="1140"/>
    <d v="2003-12-02T00:00:00"/>
    <x v="0"/>
    <x v="0"/>
    <x v="6"/>
    <x v="0"/>
    <s v="Dec-2003"/>
    <x v="1"/>
    <x v="74"/>
    <x v="0"/>
    <x v="0"/>
    <x v="1"/>
  </r>
  <r>
    <n v="10212"/>
    <n v="41"/>
    <n v="100"/>
    <n v="4100"/>
    <s v="Medium"/>
    <n v="1230"/>
    <d v="2004-01-16T00:00:00"/>
    <x v="0"/>
    <x v="0"/>
    <x v="7"/>
    <x v="1"/>
    <s v="Jan-2004"/>
    <x v="1"/>
    <x v="23"/>
    <x v="7"/>
    <x v="1"/>
    <x v="1"/>
  </r>
  <r>
    <n v="10226"/>
    <n v="24"/>
    <n v="100"/>
    <n v="2400"/>
    <s v="Medium"/>
    <n v="720"/>
    <d v="2004-02-26T00:00:00"/>
    <x v="0"/>
    <x v="0"/>
    <x v="0"/>
    <x v="1"/>
    <s v="Feb-2004"/>
    <x v="1"/>
    <x v="55"/>
    <x v="0"/>
    <x v="0"/>
    <x v="1"/>
  </r>
  <r>
    <n v="10240"/>
    <n v="37"/>
    <n v="100"/>
    <n v="3700"/>
    <s v="Medium"/>
    <n v="1110"/>
    <d v="2004-04-13T00:00:00"/>
    <x v="0"/>
    <x v="0"/>
    <x v="8"/>
    <x v="1"/>
    <s v="Apr-2004"/>
    <x v="1"/>
    <x v="44"/>
    <x v="11"/>
    <x v="3"/>
    <x v="1"/>
  </r>
  <r>
    <n v="10253"/>
    <n v="33"/>
    <n v="100"/>
    <n v="3300"/>
    <s v="Medium"/>
    <n v="990"/>
    <d v="2004-06-01T00:00:00"/>
    <x v="3"/>
    <x v="1"/>
    <x v="9"/>
    <x v="1"/>
    <s v="Jun-2004"/>
    <x v="1"/>
    <x v="22"/>
    <x v="6"/>
    <x v="1"/>
    <x v="1"/>
  </r>
  <r>
    <n v="10266"/>
    <n v="49"/>
    <n v="100"/>
    <n v="4900"/>
    <s v="Medium"/>
    <n v="1470"/>
    <d v="2004-07-06T00:00:00"/>
    <x v="0"/>
    <x v="0"/>
    <x v="2"/>
    <x v="1"/>
    <s v="Jul-2004"/>
    <x v="1"/>
    <x v="70"/>
    <x v="12"/>
    <x v="1"/>
    <x v="1"/>
  </r>
  <r>
    <n v="10278"/>
    <n v="29"/>
    <n v="100"/>
    <n v="2900"/>
    <s v="Medium"/>
    <n v="870"/>
    <d v="2004-08-06T00:00:00"/>
    <x v="0"/>
    <x v="0"/>
    <x v="3"/>
    <x v="1"/>
    <s v="Aug-2004"/>
    <x v="1"/>
    <x v="84"/>
    <x v="0"/>
    <x v="0"/>
    <x v="1"/>
  </r>
  <r>
    <n v="10287"/>
    <n v="24"/>
    <n v="100"/>
    <n v="2400"/>
    <s v="Medium"/>
    <n v="720"/>
    <d v="2004-08-30T00:00:00"/>
    <x v="0"/>
    <x v="0"/>
    <x v="3"/>
    <x v="1"/>
    <s v="Aug-2004"/>
    <x v="1"/>
    <x v="69"/>
    <x v="17"/>
    <x v="1"/>
    <x v="1"/>
  </r>
  <r>
    <n v="10301"/>
    <n v="47"/>
    <n v="100"/>
    <n v="4700"/>
    <s v="Medium"/>
    <n v="1410"/>
    <d v="2003-10-05T00:00:00"/>
    <x v="0"/>
    <x v="0"/>
    <x v="4"/>
    <x v="0"/>
    <s v="Oct-2003"/>
    <x v="1"/>
    <x v="85"/>
    <x v="2"/>
    <x v="1"/>
    <x v="2"/>
  </r>
  <r>
    <n v="10310"/>
    <n v="24"/>
    <n v="100"/>
    <n v="2400"/>
    <s v="Medium"/>
    <n v="720"/>
    <d v="2004-10-16T00:00:00"/>
    <x v="0"/>
    <x v="0"/>
    <x v="4"/>
    <x v="1"/>
    <s v="Oct-2004"/>
    <x v="1"/>
    <x v="68"/>
    <x v="16"/>
    <x v="1"/>
    <x v="1"/>
  </r>
  <r>
    <n v="10321"/>
    <n v="25"/>
    <n v="100"/>
    <n v="2500"/>
    <s v="Medium"/>
    <n v="750"/>
    <d v="2004-11-04T00:00:00"/>
    <x v="0"/>
    <x v="0"/>
    <x v="5"/>
    <x v="1"/>
    <s v="Nov-2004"/>
    <x v="1"/>
    <x v="21"/>
    <x v="0"/>
    <x v="0"/>
    <x v="1"/>
  </r>
  <r>
    <n v="10331"/>
    <n v="30"/>
    <n v="32.47"/>
    <n v="974.09999999999991"/>
    <s v="Low"/>
    <n v="292.22999999999996"/>
    <d v="2004-11-17T00:00:00"/>
    <x v="0"/>
    <x v="0"/>
    <x v="5"/>
    <x v="1"/>
    <s v="Nov-2004"/>
    <x v="1"/>
    <x v="45"/>
    <x v="0"/>
    <x v="0"/>
    <x v="0"/>
  </r>
  <r>
    <n v="10342"/>
    <n v="22"/>
    <n v="100"/>
    <n v="2200"/>
    <s v="Medium"/>
    <n v="660"/>
    <d v="2004-11-24T00:00:00"/>
    <x v="0"/>
    <x v="0"/>
    <x v="5"/>
    <x v="1"/>
    <s v="Nov-2004"/>
    <x v="1"/>
    <x v="10"/>
    <x v="3"/>
    <x v="2"/>
    <x v="1"/>
  </r>
  <r>
    <n v="10356"/>
    <n v="27"/>
    <n v="64.69"/>
    <n v="1746.6299999999999"/>
    <s v="Low"/>
    <n v="523.98899999999992"/>
    <d v="2004-12-09T00:00:00"/>
    <x v="0"/>
    <x v="0"/>
    <x v="6"/>
    <x v="1"/>
    <s v="Dec-2004"/>
    <x v="1"/>
    <x v="2"/>
    <x v="1"/>
    <x v="1"/>
    <x v="0"/>
  </r>
  <r>
    <n v="10366"/>
    <n v="34"/>
    <n v="100"/>
    <n v="3400"/>
    <s v="Medium"/>
    <n v="1020"/>
    <d v="2005-01-10T00:00:00"/>
    <x v="0"/>
    <x v="0"/>
    <x v="7"/>
    <x v="2"/>
    <s v="Jan-2005"/>
    <x v="1"/>
    <x v="90"/>
    <x v="14"/>
    <x v="1"/>
    <x v="1"/>
  </r>
  <r>
    <n v="10377"/>
    <n v="36"/>
    <n v="100"/>
    <n v="3600"/>
    <s v="Medium"/>
    <n v="1080"/>
    <d v="2005-02-09T00:00:00"/>
    <x v="0"/>
    <x v="0"/>
    <x v="0"/>
    <x v="2"/>
    <s v="Feb-2005"/>
    <x v="1"/>
    <x v="16"/>
    <x v="4"/>
    <x v="1"/>
    <x v="1"/>
  </r>
  <r>
    <n v="10390"/>
    <n v="34"/>
    <n v="43.05"/>
    <n v="1463.6999999999998"/>
    <s v="Low"/>
    <n v="439.10999999999996"/>
    <d v="2005-03-04T00:00:00"/>
    <x v="0"/>
    <x v="0"/>
    <x v="11"/>
    <x v="2"/>
    <s v="Mar-2005"/>
    <x v="1"/>
    <x v="39"/>
    <x v="0"/>
    <x v="0"/>
    <x v="0"/>
  </r>
  <r>
    <n v="10406"/>
    <n v="48"/>
    <n v="100"/>
    <n v="4800"/>
    <s v="Medium"/>
    <n v="1440"/>
    <d v="2005-04-15T00:00:00"/>
    <x v="1"/>
    <x v="1"/>
    <x v="8"/>
    <x v="2"/>
    <s v="Apr-2005"/>
    <x v="1"/>
    <x v="48"/>
    <x v="13"/>
    <x v="1"/>
    <x v="2"/>
  </r>
  <r>
    <n v="10419"/>
    <n v="34"/>
    <n v="100"/>
    <n v="3400"/>
    <s v="Medium"/>
    <n v="1020"/>
    <d v="2005-05-17T00:00:00"/>
    <x v="0"/>
    <x v="0"/>
    <x v="1"/>
    <x v="2"/>
    <s v="May-2005"/>
    <x v="1"/>
    <x v="19"/>
    <x v="5"/>
    <x v="1"/>
    <x v="1"/>
  </r>
  <r>
    <n v="10104"/>
    <n v="24"/>
    <n v="100"/>
    <n v="2400"/>
    <s v="Medium"/>
    <n v="720"/>
    <d v="2003-01-31T00:00:00"/>
    <x v="0"/>
    <x v="0"/>
    <x v="7"/>
    <x v="0"/>
    <s v="Jan-2003"/>
    <x v="1"/>
    <x v="23"/>
    <x v="7"/>
    <x v="1"/>
    <x v="1"/>
  </r>
  <r>
    <n v="10115"/>
    <n v="46"/>
    <n v="100"/>
    <n v="4600"/>
    <s v="Medium"/>
    <n v="1380"/>
    <d v="2003-04-04T00:00:00"/>
    <x v="0"/>
    <x v="0"/>
    <x v="8"/>
    <x v="0"/>
    <s v="Apr-2003"/>
    <x v="1"/>
    <x v="27"/>
    <x v="0"/>
    <x v="0"/>
    <x v="2"/>
  </r>
  <r>
    <n v="10127"/>
    <n v="45"/>
    <n v="100"/>
    <n v="4500"/>
    <s v="Medium"/>
    <n v="1350"/>
    <d v="2003-06-03T00:00:00"/>
    <x v="0"/>
    <x v="0"/>
    <x v="9"/>
    <x v="0"/>
    <s v="Jun-2003"/>
    <x v="1"/>
    <x v="74"/>
    <x v="0"/>
    <x v="0"/>
    <x v="2"/>
  </r>
  <r>
    <n v="10141"/>
    <n v="39"/>
    <n v="100"/>
    <n v="3900"/>
    <s v="Medium"/>
    <n v="1170"/>
    <d v="2003-08-01T00:00:00"/>
    <x v="0"/>
    <x v="0"/>
    <x v="3"/>
    <x v="0"/>
    <s v="Aug-2003"/>
    <x v="1"/>
    <x v="73"/>
    <x v="4"/>
    <x v="1"/>
    <x v="1"/>
  </r>
  <r>
    <n v="10151"/>
    <n v="43"/>
    <n v="100"/>
    <n v="4300"/>
    <s v="Medium"/>
    <n v="1290"/>
    <d v="2003-09-21T00:00:00"/>
    <x v="0"/>
    <x v="0"/>
    <x v="10"/>
    <x v="0"/>
    <s v="Sep-2003"/>
    <x v="1"/>
    <x v="60"/>
    <x v="4"/>
    <x v="1"/>
    <x v="2"/>
  </r>
  <r>
    <n v="10165"/>
    <n v="29"/>
    <n v="100"/>
    <n v="2900"/>
    <s v="Medium"/>
    <n v="870"/>
    <d v="2003-10-22T00:00:00"/>
    <x v="0"/>
    <x v="0"/>
    <x v="4"/>
    <x v="0"/>
    <s v="Oct-2003"/>
    <x v="1"/>
    <x v="26"/>
    <x v="9"/>
    <x v="3"/>
    <x v="1"/>
  </r>
  <r>
    <n v="10176"/>
    <n v="20"/>
    <n v="100"/>
    <n v="2000"/>
    <s v="Medium"/>
    <n v="600"/>
    <d v="2003-11-06T00:00:00"/>
    <x v="0"/>
    <x v="0"/>
    <x v="5"/>
    <x v="0"/>
    <s v="Nov-2003"/>
    <x v="1"/>
    <x v="70"/>
    <x v="12"/>
    <x v="1"/>
    <x v="1"/>
  </r>
  <r>
    <n v="10184"/>
    <n v="46"/>
    <n v="100"/>
    <n v="4600"/>
    <s v="Medium"/>
    <n v="1380"/>
    <d v="2003-11-14T00:00:00"/>
    <x v="0"/>
    <x v="0"/>
    <x v="5"/>
    <x v="0"/>
    <s v="Nov-2003"/>
    <x v="1"/>
    <x v="81"/>
    <x v="7"/>
    <x v="1"/>
    <x v="2"/>
  </r>
  <r>
    <n v="10195"/>
    <n v="27"/>
    <n v="100"/>
    <n v="2700"/>
    <s v="Medium"/>
    <n v="810"/>
    <d v="2003-11-25T00:00:00"/>
    <x v="0"/>
    <x v="0"/>
    <x v="5"/>
    <x v="0"/>
    <s v="Nov-2003"/>
    <x v="1"/>
    <x v="47"/>
    <x v="0"/>
    <x v="0"/>
    <x v="1"/>
  </r>
  <r>
    <n v="10207"/>
    <n v="44"/>
    <n v="100"/>
    <n v="4400"/>
    <s v="Medium"/>
    <n v="1320"/>
    <d v="2003-12-09T00:00:00"/>
    <x v="0"/>
    <x v="0"/>
    <x v="6"/>
    <x v="0"/>
    <s v="Dec-2003"/>
    <x v="1"/>
    <x v="64"/>
    <x v="0"/>
    <x v="0"/>
    <x v="2"/>
  </r>
  <r>
    <n v="10219"/>
    <n v="43"/>
    <n v="100"/>
    <n v="4300"/>
    <s v="Medium"/>
    <n v="1290"/>
    <d v="2004-02-10T00:00:00"/>
    <x v="0"/>
    <x v="0"/>
    <x v="0"/>
    <x v="1"/>
    <s v="Feb-2004"/>
    <x v="1"/>
    <x v="82"/>
    <x v="0"/>
    <x v="0"/>
    <x v="2"/>
  </r>
  <r>
    <n v="10230"/>
    <n v="49"/>
    <n v="100"/>
    <n v="4900"/>
    <s v="Medium"/>
    <n v="1470"/>
    <d v="2004-03-15T00:00:00"/>
    <x v="0"/>
    <x v="0"/>
    <x v="11"/>
    <x v="1"/>
    <s v="Mar-2004"/>
    <x v="1"/>
    <x v="72"/>
    <x v="16"/>
    <x v="1"/>
    <x v="2"/>
  </r>
  <r>
    <n v="10246"/>
    <n v="40"/>
    <n v="100"/>
    <n v="4000"/>
    <s v="Medium"/>
    <n v="1200"/>
    <d v="2004-05-05T00:00:00"/>
    <x v="0"/>
    <x v="0"/>
    <x v="1"/>
    <x v="1"/>
    <s v="May-2004"/>
    <x v="1"/>
    <x v="23"/>
    <x v="7"/>
    <x v="1"/>
    <x v="1"/>
  </r>
  <r>
    <n v="10259"/>
    <n v="30"/>
    <n v="100"/>
    <n v="3000"/>
    <s v="Medium"/>
    <n v="900"/>
    <d v="2004-06-15T00:00:00"/>
    <x v="0"/>
    <x v="0"/>
    <x v="9"/>
    <x v="1"/>
    <s v="Jun-2004"/>
    <x v="1"/>
    <x v="65"/>
    <x v="9"/>
    <x v="2"/>
    <x v="1"/>
  </r>
  <r>
    <n v="10271"/>
    <n v="50"/>
    <n v="100"/>
    <n v="5000"/>
    <s v="High"/>
    <n v="1500"/>
    <d v="2004-07-20T00:00:00"/>
    <x v="0"/>
    <x v="0"/>
    <x v="2"/>
    <x v="1"/>
    <s v="Jul-2004"/>
    <x v="1"/>
    <x v="39"/>
    <x v="0"/>
    <x v="0"/>
    <x v="2"/>
  </r>
  <r>
    <n v="10282"/>
    <n v="23"/>
    <n v="100"/>
    <n v="2300"/>
    <s v="Medium"/>
    <n v="690"/>
    <d v="2004-08-20T00:00:00"/>
    <x v="0"/>
    <x v="0"/>
    <x v="3"/>
    <x v="1"/>
    <s v="Aug-2004"/>
    <x v="1"/>
    <x v="39"/>
    <x v="0"/>
    <x v="0"/>
    <x v="1"/>
  </r>
  <r>
    <n v="10292"/>
    <n v="26"/>
    <n v="100"/>
    <n v="2600"/>
    <s v="Medium"/>
    <n v="780"/>
    <d v="2004-09-08T00:00:00"/>
    <x v="0"/>
    <x v="0"/>
    <x v="10"/>
    <x v="1"/>
    <s v="Sep-2004"/>
    <x v="1"/>
    <x v="0"/>
    <x v="0"/>
    <x v="0"/>
    <x v="1"/>
  </r>
  <r>
    <n v="10305"/>
    <n v="27"/>
    <n v="100"/>
    <n v="2700"/>
    <s v="Medium"/>
    <n v="810"/>
    <d v="2004-10-13T00:00:00"/>
    <x v="0"/>
    <x v="0"/>
    <x v="4"/>
    <x v="1"/>
    <s v="Oct-2004"/>
    <x v="1"/>
    <x v="15"/>
    <x v="0"/>
    <x v="0"/>
    <x v="1"/>
  </r>
  <r>
    <n v="10314"/>
    <n v="42"/>
    <n v="100"/>
    <n v="4200"/>
    <s v="Medium"/>
    <n v="1260"/>
    <d v="2004-10-22T00:00:00"/>
    <x v="0"/>
    <x v="0"/>
    <x v="4"/>
    <x v="1"/>
    <s v="Oct-2004"/>
    <x v="1"/>
    <x v="78"/>
    <x v="13"/>
    <x v="1"/>
    <x v="1"/>
  </r>
  <r>
    <n v="10324"/>
    <n v="47"/>
    <n v="100"/>
    <n v="4700"/>
    <s v="Medium"/>
    <n v="1410"/>
    <d v="2004-11-05T00:00:00"/>
    <x v="0"/>
    <x v="0"/>
    <x v="5"/>
    <x v="1"/>
    <s v="Nov-2004"/>
    <x v="1"/>
    <x v="11"/>
    <x v="0"/>
    <x v="0"/>
    <x v="2"/>
  </r>
  <r>
    <n v="10336"/>
    <n v="49"/>
    <n v="100"/>
    <n v="4900"/>
    <s v="Medium"/>
    <n v="1470"/>
    <d v="2004-11-20T00:00:00"/>
    <x v="0"/>
    <x v="0"/>
    <x v="5"/>
    <x v="1"/>
    <s v="Nov-2004"/>
    <x v="1"/>
    <x v="62"/>
    <x v="1"/>
    <x v="1"/>
    <x v="2"/>
  </r>
  <r>
    <n v="10349"/>
    <n v="38"/>
    <n v="100"/>
    <n v="3800"/>
    <s v="Medium"/>
    <n v="1140"/>
    <d v="2004-12-01T00:00:00"/>
    <x v="0"/>
    <x v="0"/>
    <x v="6"/>
    <x v="1"/>
    <s v="Dec-2004"/>
    <x v="1"/>
    <x v="74"/>
    <x v="0"/>
    <x v="0"/>
    <x v="1"/>
  </r>
  <r>
    <n v="10358"/>
    <n v="20"/>
    <n v="100"/>
    <n v="2000"/>
    <s v="Medium"/>
    <n v="600"/>
    <d v="2004-12-10T00:00:00"/>
    <x v="0"/>
    <x v="0"/>
    <x v="6"/>
    <x v="1"/>
    <s v="Dec-2004"/>
    <x v="1"/>
    <x v="23"/>
    <x v="7"/>
    <x v="1"/>
    <x v="0"/>
  </r>
  <r>
    <n v="10371"/>
    <n v="25"/>
    <n v="100"/>
    <n v="2500"/>
    <s v="Medium"/>
    <n v="750"/>
    <d v="2005-01-23T00:00:00"/>
    <x v="0"/>
    <x v="0"/>
    <x v="7"/>
    <x v="2"/>
    <s v="Jan-2005"/>
    <x v="1"/>
    <x v="39"/>
    <x v="0"/>
    <x v="0"/>
    <x v="0"/>
  </r>
  <r>
    <n v="10382"/>
    <n v="25"/>
    <n v="88"/>
    <n v="2200"/>
    <s v="Medium"/>
    <n v="660"/>
    <d v="2005-02-17T00:00:00"/>
    <x v="0"/>
    <x v="0"/>
    <x v="0"/>
    <x v="2"/>
    <s v="Feb-2005"/>
    <x v="1"/>
    <x v="39"/>
    <x v="0"/>
    <x v="0"/>
    <x v="0"/>
  </r>
  <r>
    <n v="10412"/>
    <n v="41"/>
    <n v="100"/>
    <n v="4100"/>
    <s v="Medium"/>
    <n v="1230"/>
    <d v="2005-05-03T00:00:00"/>
    <x v="0"/>
    <x v="0"/>
    <x v="1"/>
    <x v="2"/>
    <s v="May-2005"/>
    <x v="1"/>
    <x v="23"/>
    <x v="7"/>
    <x v="1"/>
    <x v="1"/>
  </r>
  <r>
    <n v="10425"/>
    <n v="28"/>
    <n v="100"/>
    <n v="2800"/>
    <s v="Medium"/>
    <n v="840"/>
    <d v="2005-05-31T00:00:00"/>
    <x v="2"/>
    <x v="1"/>
    <x v="1"/>
    <x v="2"/>
    <s v="May-2005"/>
    <x v="1"/>
    <x v="14"/>
    <x v="1"/>
    <x v="1"/>
    <x v="1"/>
  </r>
  <r>
    <n v="10100"/>
    <n v="50"/>
    <n v="67.8"/>
    <n v="3390"/>
    <s v="Medium"/>
    <n v="1017"/>
    <d v="2003-01-06T00:00:00"/>
    <x v="0"/>
    <x v="0"/>
    <x v="7"/>
    <x v="0"/>
    <s v="Jan-2003"/>
    <x v="3"/>
    <x v="40"/>
    <x v="0"/>
    <x v="0"/>
    <x v="1"/>
  </r>
  <r>
    <n v="10110"/>
    <n v="32"/>
    <n v="50.25"/>
    <n v="1608"/>
    <s v="Low"/>
    <n v="482.4"/>
    <d v="2003-03-18T00:00:00"/>
    <x v="0"/>
    <x v="0"/>
    <x v="11"/>
    <x v="0"/>
    <s v="Mar-2003"/>
    <x v="3"/>
    <x v="77"/>
    <x v="6"/>
    <x v="1"/>
    <x v="0"/>
  </r>
  <r>
    <n v="10124"/>
    <n v="42"/>
    <n v="53.88"/>
    <n v="2262.96"/>
    <s v="Medium"/>
    <n v="678.88800000000003"/>
    <d v="2003-05-21T00:00:00"/>
    <x v="0"/>
    <x v="0"/>
    <x v="1"/>
    <x v="0"/>
    <s v="May-2003"/>
    <x v="3"/>
    <x v="84"/>
    <x v="0"/>
    <x v="0"/>
    <x v="0"/>
  </r>
  <r>
    <n v="10149"/>
    <n v="24"/>
    <n v="62.36"/>
    <n v="1496.6399999999999"/>
    <s v="Low"/>
    <n v="448.99199999999996"/>
    <d v="2003-09-12T00:00:00"/>
    <x v="0"/>
    <x v="0"/>
    <x v="10"/>
    <x v="0"/>
    <s v="Sep-2003"/>
    <x v="3"/>
    <x v="82"/>
    <x v="0"/>
    <x v="0"/>
    <x v="0"/>
  </r>
  <r>
    <n v="10162"/>
    <n v="27"/>
    <n v="69.62"/>
    <n v="1879.7400000000002"/>
    <s v="Low"/>
    <n v="563.92200000000003"/>
    <d v="2003-10-18T00:00:00"/>
    <x v="0"/>
    <x v="0"/>
    <x v="4"/>
    <x v="0"/>
    <s v="Oct-2003"/>
    <x v="3"/>
    <x v="4"/>
    <x v="0"/>
    <x v="0"/>
    <x v="0"/>
  </r>
  <r>
    <n v="10173"/>
    <n v="26"/>
    <n v="57.51"/>
    <n v="1495.26"/>
    <s v="Low"/>
    <n v="448.57799999999997"/>
    <d v="2003-11-05T00:00:00"/>
    <x v="0"/>
    <x v="0"/>
    <x v="5"/>
    <x v="0"/>
    <s v="Nov-2003"/>
    <x v="3"/>
    <x v="86"/>
    <x v="12"/>
    <x v="1"/>
    <x v="0"/>
  </r>
  <r>
    <n v="10182"/>
    <n v="38"/>
    <n v="61.15"/>
    <n v="2323.6999999999998"/>
    <s v="Medium"/>
    <n v="697.1099999999999"/>
    <d v="2003-11-12T00:00:00"/>
    <x v="0"/>
    <x v="0"/>
    <x v="5"/>
    <x v="0"/>
    <s v="Nov-2003"/>
    <x v="3"/>
    <x v="39"/>
    <x v="0"/>
    <x v="0"/>
    <x v="0"/>
  </r>
  <r>
    <n v="10193"/>
    <n v="42"/>
    <n v="59.33"/>
    <n v="2491.86"/>
    <s v="Medium"/>
    <n v="747.55799999999999"/>
    <d v="2003-11-21T00:00:00"/>
    <x v="0"/>
    <x v="0"/>
    <x v="5"/>
    <x v="0"/>
    <s v="Nov-2003"/>
    <x v="3"/>
    <x v="87"/>
    <x v="3"/>
    <x v="2"/>
    <x v="0"/>
  </r>
  <r>
    <n v="10204"/>
    <n v="23"/>
    <n v="71.44"/>
    <n v="1643.12"/>
    <s v="Low"/>
    <n v="492.93599999999992"/>
    <d v="2003-12-02T00:00:00"/>
    <x v="0"/>
    <x v="0"/>
    <x v="6"/>
    <x v="0"/>
    <s v="Dec-2003"/>
    <x v="3"/>
    <x v="74"/>
    <x v="0"/>
    <x v="0"/>
    <x v="0"/>
  </r>
  <r>
    <n v="10214"/>
    <n v="21"/>
    <n v="62.96"/>
    <n v="1322.16"/>
    <s v="Low"/>
    <n v="396.64800000000002"/>
    <d v="2004-01-26T00:00:00"/>
    <x v="0"/>
    <x v="0"/>
    <x v="7"/>
    <x v="1"/>
    <s v="Jan-2004"/>
    <x v="3"/>
    <x v="25"/>
    <x v="7"/>
    <x v="1"/>
    <x v="0"/>
  </r>
  <r>
    <n v="10227"/>
    <n v="28"/>
    <n v="50.85"/>
    <n v="1423.8"/>
    <s v="Low"/>
    <n v="427.14"/>
    <d v="2004-03-02T00:00:00"/>
    <x v="0"/>
    <x v="0"/>
    <x v="11"/>
    <x v="1"/>
    <s v="Mar-2004"/>
    <x v="3"/>
    <x v="30"/>
    <x v="1"/>
    <x v="1"/>
    <x v="0"/>
  </r>
  <r>
    <n v="10241"/>
    <n v="33"/>
    <n v="72.650000000000006"/>
    <n v="2397.4500000000003"/>
    <s v="Medium"/>
    <n v="719.23500000000001"/>
    <d v="2004-04-13T00:00:00"/>
    <x v="0"/>
    <x v="0"/>
    <x v="8"/>
    <x v="1"/>
    <s v="Apr-2004"/>
    <x v="3"/>
    <x v="83"/>
    <x v="1"/>
    <x v="1"/>
    <x v="0"/>
  </r>
  <r>
    <n v="10280"/>
    <n v="25"/>
    <n v="62.96"/>
    <n v="1574"/>
    <s v="Low"/>
    <n v="472.2"/>
    <d v="2004-08-17T00:00:00"/>
    <x v="0"/>
    <x v="0"/>
    <x v="3"/>
    <x v="1"/>
    <s v="Aug-2004"/>
    <x v="3"/>
    <x v="36"/>
    <x v="12"/>
    <x v="1"/>
    <x v="0"/>
  </r>
  <r>
    <n v="10288"/>
    <n v="28"/>
    <n v="61.75"/>
    <n v="1729"/>
    <s v="Low"/>
    <n v="518.69999999999993"/>
    <d v="2004-09-01T00:00:00"/>
    <x v="0"/>
    <x v="0"/>
    <x v="10"/>
    <x v="1"/>
    <s v="Sep-2004"/>
    <x v="3"/>
    <x v="65"/>
    <x v="9"/>
    <x v="2"/>
    <x v="0"/>
  </r>
  <r>
    <n v="10303"/>
    <n v="46"/>
    <n v="49.04"/>
    <n v="2255.84"/>
    <s v="Medium"/>
    <n v="676.75200000000007"/>
    <d v="2004-10-06T00:00:00"/>
    <x v="0"/>
    <x v="0"/>
    <x v="4"/>
    <x v="1"/>
    <s v="Oct-2004"/>
    <x v="3"/>
    <x v="81"/>
    <x v="7"/>
    <x v="1"/>
    <x v="0"/>
  </r>
  <r>
    <n v="10312"/>
    <n v="30"/>
    <n v="61.15"/>
    <n v="1834.5"/>
    <s v="Low"/>
    <n v="550.35"/>
    <d v="2004-10-21T00:00:00"/>
    <x v="0"/>
    <x v="0"/>
    <x v="4"/>
    <x v="1"/>
    <s v="Oct-2004"/>
    <x v="3"/>
    <x v="39"/>
    <x v="0"/>
    <x v="0"/>
    <x v="0"/>
  </r>
  <r>
    <n v="10332"/>
    <n v="38"/>
    <n v="84.25"/>
    <n v="3201.5"/>
    <s v="Medium"/>
    <n v="960.44999999999993"/>
    <d v="2004-11-17T00:00:00"/>
    <x v="0"/>
    <x v="0"/>
    <x v="5"/>
    <x v="1"/>
    <s v="Nov-2004"/>
    <x v="3"/>
    <x v="77"/>
    <x v="6"/>
    <x v="1"/>
    <x v="1"/>
  </r>
  <r>
    <n v="10344"/>
    <n v="40"/>
    <n v="56.91"/>
    <n v="2276.3999999999996"/>
    <s v="Medium"/>
    <n v="682.91999999999985"/>
    <d v="2004-11-25T00:00:00"/>
    <x v="0"/>
    <x v="0"/>
    <x v="5"/>
    <x v="1"/>
    <s v="Nov-2004"/>
    <x v="3"/>
    <x v="67"/>
    <x v="1"/>
    <x v="1"/>
    <x v="0"/>
  </r>
  <r>
    <n v="10367"/>
    <n v="45"/>
    <n v="100"/>
    <n v="4500"/>
    <s v="Medium"/>
    <n v="1350"/>
    <d v="2005-01-12T00:00:00"/>
    <x v="5"/>
    <x v="1"/>
    <x v="7"/>
    <x v="2"/>
    <s v="Jan-2005"/>
    <x v="3"/>
    <x v="3"/>
    <x v="0"/>
    <x v="0"/>
    <x v="2"/>
  </r>
  <r>
    <n v="10379"/>
    <n v="27"/>
    <n v="49.3"/>
    <n v="1331.1"/>
    <s v="Low"/>
    <n v="399.33"/>
    <d v="2005-02-10T00:00:00"/>
    <x v="0"/>
    <x v="0"/>
    <x v="0"/>
    <x v="2"/>
    <s v="Feb-2005"/>
    <x v="3"/>
    <x v="23"/>
    <x v="7"/>
    <x v="1"/>
    <x v="0"/>
  </r>
  <r>
    <n v="10407"/>
    <n v="42"/>
    <n v="72.650000000000006"/>
    <n v="3051.3"/>
    <s v="Medium"/>
    <n v="915.39"/>
    <d v="2005-04-22T00:00:00"/>
    <x v="4"/>
    <x v="1"/>
    <x v="8"/>
    <x v="2"/>
    <s v="Apr-2005"/>
    <x v="3"/>
    <x v="61"/>
    <x v="0"/>
    <x v="0"/>
    <x v="1"/>
  </r>
  <r>
    <n v="10420"/>
    <n v="36"/>
    <n v="63.57"/>
    <n v="2288.52"/>
    <s v="Medium"/>
    <n v="686.55599999999993"/>
    <d v="2005-05-29T00:00:00"/>
    <x v="2"/>
    <x v="1"/>
    <x v="1"/>
    <x v="2"/>
    <s v="May-2005"/>
    <x v="3"/>
    <x v="20"/>
    <x v="3"/>
    <x v="2"/>
    <x v="0"/>
  </r>
  <r>
    <n v="10104"/>
    <n v="29"/>
    <n v="100"/>
    <n v="2900"/>
    <s v="Medium"/>
    <n v="870"/>
    <d v="2003-01-31T00:00:00"/>
    <x v="0"/>
    <x v="0"/>
    <x v="7"/>
    <x v="0"/>
    <s v="Jan-2003"/>
    <x v="2"/>
    <x v="23"/>
    <x v="7"/>
    <x v="1"/>
    <x v="1"/>
  </r>
  <r>
    <n v="10114"/>
    <n v="39"/>
    <n v="100"/>
    <n v="3900"/>
    <s v="Medium"/>
    <n v="1170"/>
    <d v="2003-04-01T00:00:00"/>
    <x v="0"/>
    <x v="0"/>
    <x v="8"/>
    <x v="0"/>
    <s v="Apr-2003"/>
    <x v="2"/>
    <x v="62"/>
    <x v="1"/>
    <x v="1"/>
    <x v="1"/>
  </r>
  <r>
    <n v="10127"/>
    <n v="45"/>
    <n v="100"/>
    <n v="4500"/>
    <s v="Medium"/>
    <n v="1350"/>
    <d v="2003-06-03T00:00:00"/>
    <x v="0"/>
    <x v="0"/>
    <x v="9"/>
    <x v="0"/>
    <s v="Jun-2003"/>
    <x v="2"/>
    <x v="74"/>
    <x v="0"/>
    <x v="0"/>
    <x v="1"/>
  </r>
  <r>
    <n v="10141"/>
    <n v="47"/>
    <n v="100"/>
    <n v="4700"/>
    <s v="Medium"/>
    <n v="1410"/>
    <d v="2003-08-01T00:00:00"/>
    <x v="0"/>
    <x v="0"/>
    <x v="3"/>
    <x v="0"/>
    <s v="Aug-2003"/>
    <x v="2"/>
    <x v="73"/>
    <x v="4"/>
    <x v="1"/>
    <x v="1"/>
  </r>
  <r>
    <n v="10151"/>
    <n v="49"/>
    <n v="100"/>
    <n v="4900"/>
    <s v="Medium"/>
    <n v="1470"/>
    <d v="2003-09-21T00:00:00"/>
    <x v="0"/>
    <x v="0"/>
    <x v="10"/>
    <x v="0"/>
    <s v="Sep-2003"/>
    <x v="2"/>
    <x v="60"/>
    <x v="4"/>
    <x v="1"/>
    <x v="1"/>
  </r>
  <r>
    <n v="10165"/>
    <n v="46"/>
    <n v="100"/>
    <n v="4600"/>
    <s v="Medium"/>
    <n v="1380"/>
    <d v="2003-10-22T00:00:00"/>
    <x v="0"/>
    <x v="0"/>
    <x v="4"/>
    <x v="0"/>
    <s v="Oct-2003"/>
    <x v="2"/>
    <x v="26"/>
    <x v="9"/>
    <x v="3"/>
    <x v="1"/>
  </r>
  <r>
    <n v="10175"/>
    <n v="48"/>
    <n v="100"/>
    <n v="4800"/>
    <s v="Medium"/>
    <n v="1440"/>
    <d v="2003-11-06T00:00:00"/>
    <x v="0"/>
    <x v="0"/>
    <x v="5"/>
    <x v="0"/>
    <s v="Nov-2003"/>
    <x v="2"/>
    <x v="49"/>
    <x v="6"/>
    <x v="1"/>
    <x v="1"/>
  </r>
  <r>
    <n v="10184"/>
    <n v="46"/>
    <n v="100"/>
    <n v="4600"/>
    <s v="Medium"/>
    <n v="1380"/>
    <d v="2003-11-14T00:00:00"/>
    <x v="0"/>
    <x v="0"/>
    <x v="5"/>
    <x v="0"/>
    <s v="Nov-2003"/>
    <x v="2"/>
    <x v="81"/>
    <x v="7"/>
    <x v="1"/>
    <x v="1"/>
  </r>
  <r>
    <n v="10195"/>
    <n v="35"/>
    <n v="100"/>
    <n v="3500"/>
    <s v="Medium"/>
    <n v="1050"/>
    <d v="2003-11-25T00:00:00"/>
    <x v="0"/>
    <x v="0"/>
    <x v="5"/>
    <x v="0"/>
    <s v="Nov-2003"/>
    <x v="2"/>
    <x v="47"/>
    <x v="0"/>
    <x v="0"/>
    <x v="1"/>
  </r>
  <r>
    <n v="10207"/>
    <n v="43"/>
    <n v="100"/>
    <n v="4300"/>
    <s v="Medium"/>
    <n v="1290"/>
    <d v="2003-12-09T00:00:00"/>
    <x v="0"/>
    <x v="0"/>
    <x v="6"/>
    <x v="0"/>
    <s v="Dec-2003"/>
    <x v="2"/>
    <x v="64"/>
    <x v="0"/>
    <x v="0"/>
    <x v="1"/>
  </r>
  <r>
    <n v="10229"/>
    <n v="26"/>
    <n v="100"/>
    <n v="2600"/>
    <s v="Medium"/>
    <n v="780"/>
    <d v="2004-03-11T00:00:00"/>
    <x v="0"/>
    <x v="0"/>
    <x v="11"/>
    <x v="1"/>
    <s v="Mar-2004"/>
    <x v="2"/>
    <x v="39"/>
    <x v="0"/>
    <x v="0"/>
    <x v="1"/>
  </r>
  <r>
    <n v="10246"/>
    <n v="22"/>
    <n v="98.18"/>
    <n v="2159.96"/>
    <s v="Medium"/>
    <n v="647.98799999999994"/>
    <d v="2004-05-05T00:00:00"/>
    <x v="0"/>
    <x v="0"/>
    <x v="1"/>
    <x v="1"/>
    <s v="May-2004"/>
    <x v="2"/>
    <x v="23"/>
    <x v="7"/>
    <x v="1"/>
    <x v="0"/>
  </r>
  <r>
    <n v="10259"/>
    <n v="34"/>
    <n v="99.41"/>
    <n v="3379.94"/>
    <s v="Medium"/>
    <n v="1013.982"/>
    <d v="2004-06-15T00:00:00"/>
    <x v="0"/>
    <x v="0"/>
    <x v="9"/>
    <x v="1"/>
    <s v="Jun-2004"/>
    <x v="2"/>
    <x v="65"/>
    <x v="9"/>
    <x v="2"/>
    <x v="1"/>
  </r>
  <r>
    <n v="10271"/>
    <n v="50"/>
    <n v="100"/>
    <n v="5000"/>
    <s v="High"/>
    <n v="1500"/>
    <d v="2004-07-20T00:00:00"/>
    <x v="0"/>
    <x v="0"/>
    <x v="2"/>
    <x v="1"/>
    <s v="Jul-2004"/>
    <x v="2"/>
    <x v="39"/>
    <x v="0"/>
    <x v="0"/>
    <x v="1"/>
  </r>
  <r>
    <n v="10281"/>
    <n v="48"/>
    <n v="100"/>
    <n v="4800"/>
    <s v="Medium"/>
    <n v="1440"/>
    <d v="2004-08-19T00:00:00"/>
    <x v="0"/>
    <x v="0"/>
    <x v="3"/>
    <x v="1"/>
    <s v="Aug-2004"/>
    <x v="2"/>
    <x v="18"/>
    <x v="0"/>
    <x v="0"/>
    <x v="1"/>
  </r>
  <r>
    <n v="10292"/>
    <n v="41"/>
    <n v="100"/>
    <n v="4100"/>
    <s v="Medium"/>
    <n v="1230"/>
    <d v="2004-09-08T00:00:00"/>
    <x v="0"/>
    <x v="0"/>
    <x v="10"/>
    <x v="1"/>
    <s v="Sep-2004"/>
    <x v="2"/>
    <x v="0"/>
    <x v="0"/>
    <x v="0"/>
    <x v="1"/>
  </r>
  <r>
    <n v="10305"/>
    <n v="36"/>
    <n v="100"/>
    <n v="3600"/>
    <s v="Medium"/>
    <n v="1080"/>
    <d v="2004-10-13T00:00:00"/>
    <x v="0"/>
    <x v="0"/>
    <x v="4"/>
    <x v="1"/>
    <s v="Oct-2004"/>
    <x v="2"/>
    <x v="15"/>
    <x v="0"/>
    <x v="0"/>
    <x v="1"/>
  </r>
  <r>
    <n v="10313"/>
    <n v="29"/>
    <n v="100"/>
    <n v="2900"/>
    <s v="Medium"/>
    <n v="870"/>
    <d v="2004-10-22T00:00:00"/>
    <x v="0"/>
    <x v="0"/>
    <x v="4"/>
    <x v="1"/>
    <s v="Oct-2004"/>
    <x v="2"/>
    <x v="31"/>
    <x v="10"/>
    <x v="0"/>
    <x v="1"/>
  </r>
  <r>
    <n v="10324"/>
    <n v="33"/>
    <n v="37.479999999999997"/>
    <n v="1236.8399999999999"/>
    <s v="Low"/>
    <n v="371.05199999999996"/>
    <d v="2004-11-05T00:00:00"/>
    <x v="0"/>
    <x v="0"/>
    <x v="5"/>
    <x v="1"/>
    <s v="Nov-2004"/>
    <x v="2"/>
    <x v="11"/>
    <x v="0"/>
    <x v="0"/>
    <x v="0"/>
  </r>
  <r>
    <n v="10334"/>
    <n v="46"/>
    <n v="100"/>
    <n v="4600"/>
    <s v="Medium"/>
    <n v="1380"/>
    <d v="2004-11-19T00:00:00"/>
    <x v="4"/>
    <x v="1"/>
    <x v="5"/>
    <x v="1"/>
    <s v="Nov-2004"/>
    <x v="2"/>
    <x v="24"/>
    <x v="8"/>
    <x v="1"/>
    <x v="1"/>
  </r>
  <r>
    <n v="10349"/>
    <n v="38"/>
    <n v="100"/>
    <n v="3800"/>
    <s v="Medium"/>
    <n v="1140"/>
    <d v="2004-12-01T00:00:00"/>
    <x v="0"/>
    <x v="0"/>
    <x v="6"/>
    <x v="1"/>
    <s v="Dec-2004"/>
    <x v="2"/>
    <x v="74"/>
    <x v="0"/>
    <x v="0"/>
    <x v="1"/>
  </r>
  <r>
    <n v="10358"/>
    <n v="20"/>
    <n v="36.42"/>
    <n v="728.40000000000009"/>
    <s v="Low"/>
    <n v="218.52"/>
    <d v="2004-12-10T00:00:00"/>
    <x v="0"/>
    <x v="0"/>
    <x v="6"/>
    <x v="1"/>
    <s v="Dec-2004"/>
    <x v="2"/>
    <x v="23"/>
    <x v="7"/>
    <x v="1"/>
    <x v="0"/>
  </r>
  <r>
    <n v="10370"/>
    <n v="22"/>
    <n v="100"/>
    <n v="2200"/>
    <s v="Medium"/>
    <n v="660"/>
    <d v="2005-01-20T00:00:00"/>
    <x v="0"/>
    <x v="0"/>
    <x v="7"/>
    <x v="2"/>
    <s v="Jan-2005"/>
    <x v="2"/>
    <x v="42"/>
    <x v="3"/>
    <x v="2"/>
    <x v="1"/>
  </r>
  <r>
    <n v="10383"/>
    <n v="27"/>
    <n v="100"/>
    <n v="2700"/>
    <s v="Medium"/>
    <n v="810"/>
    <d v="2005-02-22T00:00:00"/>
    <x v="0"/>
    <x v="0"/>
    <x v="0"/>
    <x v="2"/>
    <s v="Feb-2005"/>
    <x v="2"/>
    <x v="23"/>
    <x v="7"/>
    <x v="1"/>
    <x v="1"/>
  </r>
  <r>
    <n v="10412"/>
    <n v="56"/>
    <n v="98.18"/>
    <n v="5498.08"/>
    <s v="High"/>
    <n v="1649.424"/>
    <d v="2005-05-03T00:00:00"/>
    <x v="0"/>
    <x v="0"/>
    <x v="1"/>
    <x v="2"/>
    <s v="May-2005"/>
    <x v="2"/>
    <x v="23"/>
    <x v="7"/>
    <x v="1"/>
    <x v="1"/>
  </r>
  <r>
    <n v="10425"/>
    <n v="38"/>
    <n v="99.41"/>
    <n v="3777.58"/>
    <s v="Medium"/>
    <n v="1133.2739999999999"/>
    <d v="2005-05-31T00:00:00"/>
    <x v="2"/>
    <x v="1"/>
    <x v="1"/>
    <x v="2"/>
    <s v="May-2005"/>
    <x v="2"/>
    <x v="14"/>
    <x v="1"/>
    <x v="1"/>
    <x v="1"/>
  </r>
  <r>
    <n v="10101"/>
    <n v="25"/>
    <n v="100"/>
    <n v="2500"/>
    <s v="Medium"/>
    <n v="750"/>
    <d v="2003-01-09T00:00:00"/>
    <x v="0"/>
    <x v="0"/>
    <x v="7"/>
    <x v="0"/>
    <s v="Jan-2003"/>
    <x v="3"/>
    <x v="72"/>
    <x v="16"/>
    <x v="1"/>
    <x v="1"/>
  </r>
  <r>
    <n v="10110"/>
    <n v="33"/>
    <n v="100"/>
    <n v="3300"/>
    <s v="Medium"/>
    <n v="990"/>
    <d v="2003-03-18T00:00:00"/>
    <x v="0"/>
    <x v="0"/>
    <x v="11"/>
    <x v="0"/>
    <s v="Mar-2003"/>
    <x v="3"/>
    <x v="77"/>
    <x v="6"/>
    <x v="1"/>
    <x v="1"/>
  </r>
  <r>
    <n v="10124"/>
    <n v="42"/>
    <n v="100"/>
    <n v="4200"/>
    <s v="Medium"/>
    <n v="1260"/>
    <d v="2003-05-21T00:00:00"/>
    <x v="0"/>
    <x v="0"/>
    <x v="1"/>
    <x v="0"/>
    <s v="May-2003"/>
    <x v="3"/>
    <x v="84"/>
    <x v="0"/>
    <x v="0"/>
    <x v="1"/>
  </r>
  <r>
    <n v="10149"/>
    <n v="33"/>
    <n v="100"/>
    <n v="3300"/>
    <s v="Medium"/>
    <n v="990"/>
    <d v="2003-09-12T00:00:00"/>
    <x v="0"/>
    <x v="0"/>
    <x v="10"/>
    <x v="0"/>
    <s v="Sep-2003"/>
    <x v="3"/>
    <x v="82"/>
    <x v="0"/>
    <x v="0"/>
    <x v="1"/>
  </r>
  <r>
    <n v="10162"/>
    <n v="38"/>
    <n v="100"/>
    <n v="3800"/>
    <s v="Medium"/>
    <n v="1140"/>
    <d v="2003-10-18T00:00:00"/>
    <x v="0"/>
    <x v="0"/>
    <x v="4"/>
    <x v="0"/>
    <s v="Oct-2003"/>
    <x v="3"/>
    <x v="4"/>
    <x v="0"/>
    <x v="0"/>
    <x v="1"/>
  </r>
  <r>
    <n v="10173"/>
    <n v="31"/>
    <n v="100"/>
    <n v="3100"/>
    <s v="Medium"/>
    <n v="930"/>
    <d v="2003-11-05T00:00:00"/>
    <x v="0"/>
    <x v="0"/>
    <x v="5"/>
    <x v="0"/>
    <s v="Nov-2003"/>
    <x v="3"/>
    <x v="86"/>
    <x v="12"/>
    <x v="1"/>
    <x v="1"/>
  </r>
  <r>
    <n v="10182"/>
    <n v="20"/>
    <n v="100"/>
    <n v="2000"/>
    <s v="Medium"/>
    <n v="600"/>
    <d v="2003-11-12T00:00:00"/>
    <x v="0"/>
    <x v="0"/>
    <x v="5"/>
    <x v="0"/>
    <s v="Nov-2003"/>
    <x v="3"/>
    <x v="39"/>
    <x v="0"/>
    <x v="0"/>
    <x v="0"/>
  </r>
  <r>
    <n v="10193"/>
    <n v="44"/>
    <n v="100"/>
    <n v="4400"/>
    <s v="Medium"/>
    <n v="1320"/>
    <d v="2003-11-21T00:00:00"/>
    <x v="0"/>
    <x v="0"/>
    <x v="5"/>
    <x v="0"/>
    <s v="Nov-2003"/>
    <x v="3"/>
    <x v="87"/>
    <x v="3"/>
    <x v="2"/>
    <x v="1"/>
  </r>
  <r>
    <n v="10204"/>
    <n v="26"/>
    <n v="100"/>
    <n v="2600"/>
    <s v="Medium"/>
    <n v="780"/>
    <d v="2003-12-02T00:00:00"/>
    <x v="0"/>
    <x v="0"/>
    <x v="6"/>
    <x v="0"/>
    <s v="Dec-2003"/>
    <x v="3"/>
    <x v="74"/>
    <x v="0"/>
    <x v="0"/>
    <x v="1"/>
  </r>
  <r>
    <n v="10214"/>
    <n v="27"/>
    <n v="100"/>
    <n v="2700"/>
    <s v="Medium"/>
    <n v="810"/>
    <d v="2004-01-26T00:00:00"/>
    <x v="0"/>
    <x v="0"/>
    <x v="7"/>
    <x v="1"/>
    <s v="Jan-2004"/>
    <x v="3"/>
    <x v="25"/>
    <x v="7"/>
    <x v="1"/>
    <x v="1"/>
  </r>
  <r>
    <n v="10227"/>
    <n v="46"/>
    <n v="100"/>
    <n v="4600"/>
    <s v="Medium"/>
    <n v="1380"/>
    <d v="2004-03-02T00:00:00"/>
    <x v="0"/>
    <x v="0"/>
    <x v="11"/>
    <x v="1"/>
    <s v="Mar-2004"/>
    <x v="3"/>
    <x v="30"/>
    <x v="1"/>
    <x v="1"/>
    <x v="2"/>
  </r>
  <r>
    <n v="10243"/>
    <n v="47"/>
    <n v="100"/>
    <n v="4700"/>
    <s v="Medium"/>
    <n v="1410"/>
    <d v="2004-04-26T00:00:00"/>
    <x v="0"/>
    <x v="0"/>
    <x v="8"/>
    <x v="1"/>
    <s v="Apr-2004"/>
    <x v="3"/>
    <x v="64"/>
    <x v="0"/>
    <x v="0"/>
    <x v="1"/>
  </r>
  <r>
    <n v="10280"/>
    <n v="37"/>
    <n v="100"/>
    <n v="3700"/>
    <s v="Medium"/>
    <n v="1110"/>
    <d v="2004-08-17T00:00:00"/>
    <x v="0"/>
    <x v="0"/>
    <x v="3"/>
    <x v="1"/>
    <s v="Aug-2004"/>
    <x v="3"/>
    <x v="36"/>
    <x v="12"/>
    <x v="1"/>
    <x v="1"/>
  </r>
  <r>
    <n v="10288"/>
    <n v="31"/>
    <n v="100"/>
    <n v="3100"/>
    <s v="Medium"/>
    <n v="930"/>
    <d v="2004-09-01T00:00:00"/>
    <x v="0"/>
    <x v="0"/>
    <x v="10"/>
    <x v="1"/>
    <s v="Sep-2004"/>
    <x v="3"/>
    <x v="65"/>
    <x v="9"/>
    <x v="2"/>
    <x v="1"/>
  </r>
  <r>
    <n v="10304"/>
    <n v="24"/>
    <n v="100"/>
    <n v="2400"/>
    <s v="Medium"/>
    <n v="720"/>
    <d v="2004-10-11T00:00:00"/>
    <x v="0"/>
    <x v="0"/>
    <x v="4"/>
    <x v="1"/>
    <s v="Oct-2004"/>
    <x v="3"/>
    <x v="38"/>
    <x v="1"/>
    <x v="1"/>
    <x v="0"/>
  </r>
  <r>
    <n v="10312"/>
    <n v="31"/>
    <n v="100"/>
    <n v="3100"/>
    <s v="Medium"/>
    <n v="930"/>
    <d v="2004-10-21T00:00:00"/>
    <x v="0"/>
    <x v="0"/>
    <x v="4"/>
    <x v="1"/>
    <s v="Oct-2004"/>
    <x v="3"/>
    <x v="39"/>
    <x v="0"/>
    <x v="0"/>
    <x v="1"/>
  </r>
  <r>
    <n v="10322"/>
    <n v="50"/>
    <n v="100"/>
    <n v="5000"/>
    <s v="High"/>
    <n v="1500"/>
    <d v="2004-11-04T00:00:00"/>
    <x v="0"/>
    <x v="0"/>
    <x v="5"/>
    <x v="1"/>
    <s v="Nov-2004"/>
    <x v="3"/>
    <x v="40"/>
    <x v="0"/>
    <x v="0"/>
    <x v="2"/>
  </r>
  <r>
    <n v="10332"/>
    <n v="35"/>
    <n v="64.69"/>
    <n v="2264.15"/>
    <s v="Medium"/>
    <n v="679.245"/>
    <d v="2004-11-17T00:00:00"/>
    <x v="0"/>
    <x v="0"/>
    <x v="5"/>
    <x v="1"/>
    <s v="Nov-2004"/>
    <x v="3"/>
    <x v="77"/>
    <x v="6"/>
    <x v="1"/>
    <x v="0"/>
  </r>
  <r>
    <n v="10344"/>
    <n v="30"/>
    <n v="100"/>
    <n v="3000"/>
    <s v="Medium"/>
    <n v="900"/>
    <d v="2004-11-25T00:00:00"/>
    <x v="0"/>
    <x v="0"/>
    <x v="5"/>
    <x v="1"/>
    <s v="Nov-2004"/>
    <x v="3"/>
    <x v="67"/>
    <x v="1"/>
    <x v="1"/>
    <x v="1"/>
  </r>
  <r>
    <n v="10356"/>
    <n v="29"/>
    <n v="100"/>
    <n v="2900"/>
    <s v="Medium"/>
    <n v="870"/>
    <d v="2004-12-09T00:00:00"/>
    <x v="0"/>
    <x v="0"/>
    <x v="6"/>
    <x v="1"/>
    <s v="Dec-2004"/>
    <x v="3"/>
    <x v="2"/>
    <x v="1"/>
    <x v="1"/>
    <x v="1"/>
  </r>
  <r>
    <n v="10367"/>
    <n v="27"/>
    <n v="100"/>
    <n v="2700"/>
    <s v="Medium"/>
    <n v="810"/>
    <d v="2005-01-12T00:00:00"/>
    <x v="5"/>
    <x v="1"/>
    <x v="7"/>
    <x v="2"/>
    <s v="Jan-2005"/>
    <x v="3"/>
    <x v="3"/>
    <x v="0"/>
    <x v="0"/>
    <x v="1"/>
  </r>
  <r>
    <n v="10380"/>
    <n v="40"/>
    <n v="100"/>
    <n v="4000"/>
    <s v="Medium"/>
    <n v="1200"/>
    <d v="2005-02-16T00:00:00"/>
    <x v="0"/>
    <x v="0"/>
    <x v="0"/>
    <x v="2"/>
    <s v="Feb-2005"/>
    <x v="3"/>
    <x v="23"/>
    <x v="7"/>
    <x v="1"/>
    <x v="1"/>
  </r>
  <r>
    <n v="10390"/>
    <n v="31"/>
    <n v="98.99"/>
    <n v="3068.69"/>
    <s v="Medium"/>
    <n v="920.60699999999997"/>
    <d v="2005-03-04T00:00:00"/>
    <x v="0"/>
    <x v="0"/>
    <x v="11"/>
    <x v="2"/>
    <s v="Mar-2005"/>
    <x v="3"/>
    <x v="39"/>
    <x v="0"/>
    <x v="0"/>
    <x v="1"/>
  </r>
  <r>
    <n v="10409"/>
    <n v="6"/>
    <n v="100"/>
    <n v="600"/>
    <s v="Low"/>
    <n v="180"/>
    <d v="2005-04-23T00:00:00"/>
    <x v="0"/>
    <x v="0"/>
    <x v="8"/>
    <x v="2"/>
    <s v="Apr-2005"/>
    <x v="3"/>
    <x v="65"/>
    <x v="9"/>
    <x v="2"/>
    <x v="0"/>
  </r>
  <r>
    <n v="10420"/>
    <n v="45"/>
    <n v="100"/>
    <n v="4500"/>
    <s v="Medium"/>
    <n v="1350"/>
    <d v="2005-05-29T00:00:00"/>
    <x v="2"/>
    <x v="1"/>
    <x v="1"/>
    <x v="2"/>
    <s v="May-2005"/>
    <x v="3"/>
    <x v="20"/>
    <x v="3"/>
    <x v="2"/>
    <x v="1"/>
  </r>
  <r>
    <n v="10103"/>
    <n v="22"/>
    <n v="54.09"/>
    <n v="1189.98"/>
    <s v="Low"/>
    <n v="356.99399999999997"/>
    <d v="2003-01-29T00:00:00"/>
    <x v="0"/>
    <x v="0"/>
    <x v="7"/>
    <x v="0"/>
    <s v="Jan-2003"/>
    <x v="2"/>
    <x v="17"/>
    <x v="2"/>
    <x v="1"/>
    <x v="0"/>
  </r>
  <r>
    <n v="10114"/>
    <n v="45"/>
    <n v="68.67"/>
    <n v="3090.15"/>
    <s v="Medium"/>
    <n v="927.04499999999996"/>
    <d v="2003-04-01T00:00:00"/>
    <x v="0"/>
    <x v="0"/>
    <x v="8"/>
    <x v="0"/>
    <s v="Apr-2003"/>
    <x v="2"/>
    <x v="62"/>
    <x v="1"/>
    <x v="1"/>
    <x v="1"/>
  </r>
  <r>
    <n v="10126"/>
    <n v="43"/>
    <n v="65.02"/>
    <n v="2795.8599999999997"/>
    <s v="Medium"/>
    <n v="838.75799999999992"/>
    <d v="2003-05-28T00:00:00"/>
    <x v="0"/>
    <x v="0"/>
    <x v="1"/>
    <x v="0"/>
    <s v="May-2003"/>
    <x v="2"/>
    <x v="25"/>
    <x v="7"/>
    <x v="1"/>
    <x v="0"/>
  </r>
  <r>
    <n v="10140"/>
    <n v="46"/>
    <n v="61.99"/>
    <n v="2851.54"/>
    <s v="Medium"/>
    <n v="855.46199999999999"/>
    <d v="2003-07-24T00:00:00"/>
    <x v="0"/>
    <x v="0"/>
    <x v="2"/>
    <x v="0"/>
    <s v="Jul-2003"/>
    <x v="2"/>
    <x v="5"/>
    <x v="0"/>
    <x v="0"/>
    <x v="0"/>
  </r>
  <r>
    <n v="10151"/>
    <n v="39"/>
    <n v="69.28"/>
    <n v="2701.92"/>
    <s v="Medium"/>
    <n v="810.57600000000002"/>
    <d v="2003-09-21T00:00:00"/>
    <x v="0"/>
    <x v="0"/>
    <x v="10"/>
    <x v="0"/>
    <s v="Sep-2003"/>
    <x v="2"/>
    <x v="60"/>
    <x v="4"/>
    <x v="1"/>
    <x v="0"/>
  </r>
  <r>
    <n v="10165"/>
    <n v="31"/>
    <n v="71.099999999999994"/>
    <n v="2204.1"/>
    <s v="Medium"/>
    <n v="661.2299999999999"/>
    <d v="2003-10-22T00:00:00"/>
    <x v="0"/>
    <x v="0"/>
    <x v="4"/>
    <x v="0"/>
    <s v="Oct-2003"/>
    <x v="2"/>
    <x v="26"/>
    <x v="9"/>
    <x v="3"/>
    <x v="0"/>
  </r>
  <r>
    <n v="10175"/>
    <n v="41"/>
    <n v="69.28"/>
    <n v="2840.48"/>
    <s v="Medium"/>
    <n v="852.14400000000001"/>
    <d v="2003-11-06T00:00:00"/>
    <x v="0"/>
    <x v="0"/>
    <x v="5"/>
    <x v="0"/>
    <s v="Nov-2003"/>
    <x v="2"/>
    <x v="49"/>
    <x v="6"/>
    <x v="1"/>
    <x v="0"/>
  </r>
  <r>
    <n v="10184"/>
    <n v="44"/>
    <n v="60.16"/>
    <n v="2647.04"/>
    <s v="Medium"/>
    <n v="794.11199999999997"/>
    <d v="2003-11-14T00:00:00"/>
    <x v="0"/>
    <x v="0"/>
    <x v="5"/>
    <x v="0"/>
    <s v="Nov-2003"/>
    <x v="2"/>
    <x v="81"/>
    <x v="7"/>
    <x v="1"/>
    <x v="0"/>
  </r>
  <r>
    <n v="10194"/>
    <n v="45"/>
    <n v="70.489999999999995"/>
    <n v="3172.0499999999997"/>
    <s v="Medium"/>
    <n v="951.6149999999999"/>
    <d v="2003-11-25T00:00:00"/>
    <x v="0"/>
    <x v="0"/>
    <x v="5"/>
    <x v="0"/>
    <s v="Nov-2003"/>
    <x v="2"/>
    <x v="30"/>
    <x v="1"/>
    <x v="1"/>
    <x v="1"/>
  </r>
  <r>
    <n v="10207"/>
    <n v="37"/>
    <n v="69.89"/>
    <n v="2585.9299999999998"/>
    <s v="Medium"/>
    <n v="775.77899999999988"/>
    <d v="2003-12-09T00:00:00"/>
    <x v="0"/>
    <x v="0"/>
    <x v="6"/>
    <x v="0"/>
    <s v="Dec-2003"/>
    <x v="2"/>
    <x v="64"/>
    <x v="0"/>
    <x v="0"/>
    <x v="0"/>
  </r>
  <r>
    <n v="10217"/>
    <n v="35"/>
    <n v="61.38"/>
    <n v="2148.3000000000002"/>
    <s v="Medium"/>
    <n v="644.49"/>
    <d v="2004-02-04T00:00:00"/>
    <x v="0"/>
    <x v="0"/>
    <x v="0"/>
    <x v="1"/>
    <s v="Feb-2004"/>
    <x v="2"/>
    <x v="65"/>
    <x v="9"/>
    <x v="2"/>
    <x v="0"/>
  </r>
  <r>
    <n v="10229"/>
    <n v="28"/>
    <n v="59.55"/>
    <n v="1667.3999999999999"/>
    <s v="Low"/>
    <n v="500.21999999999991"/>
    <d v="2004-03-11T00:00:00"/>
    <x v="0"/>
    <x v="0"/>
    <x v="11"/>
    <x v="1"/>
    <s v="Mar-2004"/>
    <x v="2"/>
    <x v="39"/>
    <x v="0"/>
    <x v="0"/>
    <x v="0"/>
  </r>
  <r>
    <n v="10246"/>
    <n v="30"/>
    <n v="61.99"/>
    <n v="1859.7"/>
    <s v="Low"/>
    <n v="557.91"/>
    <d v="2004-05-05T00:00:00"/>
    <x v="0"/>
    <x v="0"/>
    <x v="1"/>
    <x v="1"/>
    <s v="May-2004"/>
    <x v="2"/>
    <x v="23"/>
    <x v="7"/>
    <x v="1"/>
    <x v="0"/>
  </r>
  <r>
    <n v="10259"/>
    <n v="30"/>
    <n v="49.22"/>
    <n v="1476.6"/>
    <s v="Low"/>
    <n v="442.97999999999996"/>
    <d v="2004-06-15T00:00:00"/>
    <x v="0"/>
    <x v="0"/>
    <x v="9"/>
    <x v="1"/>
    <s v="Jun-2004"/>
    <x v="2"/>
    <x v="65"/>
    <x v="9"/>
    <x v="2"/>
    <x v="0"/>
  </r>
  <r>
    <n v="10271"/>
    <n v="25"/>
    <n v="69.28"/>
    <n v="1732"/>
    <s v="Low"/>
    <n v="519.6"/>
    <d v="2004-07-20T00:00:00"/>
    <x v="0"/>
    <x v="0"/>
    <x v="2"/>
    <x v="1"/>
    <s v="Jul-2004"/>
    <x v="2"/>
    <x v="39"/>
    <x v="0"/>
    <x v="0"/>
    <x v="0"/>
  </r>
  <r>
    <n v="10281"/>
    <n v="29"/>
    <n v="57.73"/>
    <n v="1674.1699999999998"/>
    <s v="Low"/>
    <n v="502.25099999999992"/>
    <d v="2004-08-19T00:00:00"/>
    <x v="0"/>
    <x v="0"/>
    <x v="3"/>
    <x v="1"/>
    <s v="Aug-2004"/>
    <x v="2"/>
    <x v="18"/>
    <x v="0"/>
    <x v="0"/>
    <x v="0"/>
  </r>
  <r>
    <n v="10291"/>
    <n v="26"/>
    <n v="57.73"/>
    <n v="1500.98"/>
    <s v="Low"/>
    <n v="450.29399999999998"/>
    <d v="2004-09-08T00:00:00"/>
    <x v="0"/>
    <x v="0"/>
    <x v="10"/>
    <x v="1"/>
    <s v="Sep-2004"/>
    <x v="2"/>
    <x v="37"/>
    <x v="8"/>
    <x v="1"/>
    <x v="0"/>
  </r>
  <r>
    <n v="10305"/>
    <n v="41"/>
    <n v="53.48"/>
    <n v="2192.6799999999998"/>
    <s v="Medium"/>
    <n v="657.80399999999997"/>
    <d v="2004-10-13T00:00:00"/>
    <x v="0"/>
    <x v="0"/>
    <x v="4"/>
    <x v="1"/>
    <s v="Oct-2004"/>
    <x v="2"/>
    <x v="15"/>
    <x v="0"/>
    <x v="0"/>
    <x v="0"/>
  </r>
  <r>
    <n v="10313"/>
    <n v="34"/>
    <n v="52.87"/>
    <n v="1797.58"/>
    <s v="Low"/>
    <n v="539.274"/>
    <d v="2004-10-22T00:00:00"/>
    <x v="0"/>
    <x v="0"/>
    <x v="4"/>
    <x v="1"/>
    <s v="Oct-2004"/>
    <x v="2"/>
    <x v="31"/>
    <x v="10"/>
    <x v="0"/>
    <x v="0"/>
  </r>
  <r>
    <n v="10322"/>
    <n v="35"/>
    <n v="61.21"/>
    <n v="2142.35"/>
    <s v="Medium"/>
    <n v="642.70499999999993"/>
    <d v="2004-11-04T00:00:00"/>
    <x v="0"/>
    <x v="0"/>
    <x v="5"/>
    <x v="1"/>
    <s v="Nov-2004"/>
    <x v="2"/>
    <x v="40"/>
    <x v="0"/>
    <x v="0"/>
    <x v="0"/>
  </r>
  <r>
    <n v="10334"/>
    <n v="34"/>
    <n v="61.38"/>
    <n v="2086.92"/>
    <s v="Medium"/>
    <n v="626.07600000000002"/>
    <d v="2004-11-19T00:00:00"/>
    <x v="4"/>
    <x v="1"/>
    <x v="5"/>
    <x v="1"/>
    <s v="Nov-2004"/>
    <x v="2"/>
    <x v="24"/>
    <x v="8"/>
    <x v="1"/>
    <x v="0"/>
  </r>
  <r>
    <n v="10347"/>
    <n v="50"/>
    <n v="100"/>
    <n v="5000"/>
    <s v="High"/>
    <n v="1500"/>
    <d v="2004-11-29T00:00:00"/>
    <x v="0"/>
    <x v="0"/>
    <x v="5"/>
    <x v="1"/>
    <s v="Nov-2004"/>
    <x v="2"/>
    <x v="10"/>
    <x v="3"/>
    <x v="2"/>
    <x v="1"/>
  </r>
  <r>
    <n v="10357"/>
    <n v="41"/>
    <n v="61.99"/>
    <n v="2541.59"/>
    <s v="Medium"/>
    <n v="762.47699999999998"/>
    <d v="2004-12-10T00:00:00"/>
    <x v="0"/>
    <x v="0"/>
    <x v="6"/>
    <x v="1"/>
    <s v="Dec-2004"/>
    <x v="2"/>
    <x v="39"/>
    <x v="0"/>
    <x v="0"/>
    <x v="0"/>
  </r>
  <r>
    <n v="10370"/>
    <n v="22"/>
    <n v="96.86"/>
    <n v="2130.92"/>
    <s v="Medium"/>
    <n v="639.27599999999995"/>
    <d v="2005-01-20T00:00:00"/>
    <x v="0"/>
    <x v="0"/>
    <x v="7"/>
    <x v="2"/>
    <s v="Jan-2005"/>
    <x v="2"/>
    <x v="42"/>
    <x v="3"/>
    <x v="2"/>
    <x v="0"/>
  </r>
  <r>
    <n v="10381"/>
    <n v="35"/>
    <n v="48.62"/>
    <n v="1701.6999999999998"/>
    <s v="Low"/>
    <n v="510.50999999999993"/>
    <d v="2005-02-17T00:00:00"/>
    <x v="0"/>
    <x v="0"/>
    <x v="0"/>
    <x v="2"/>
    <s v="Feb-2005"/>
    <x v="2"/>
    <x v="4"/>
    <x v="0"/>
    <x v="0"/>
    <x v="0"/>
  </r>
  <r>
    <n v="10391"/>
    <n v="44"/>
    <n v="38.5"/>
    <n v="1694"/>
    <s v="Low"/>
    <n v="508.2"/>
    <d v="2005-03-09T00:00:00"/>
    <x v="0"/>
    <x v="0"/>
    <x v="11"/>
    <x v="2"/>
    <s v="Mar-2005"/>
    <x v="2"/>
    <x v="42"/>
    <x v="3"/>
    <x v="2"/>
    <x v="0"/>
  </r>
  <r>
    <n v="10412"/>
    <n v="47"/>
    <n v="61.99"/>
    <n v="2913.53"/>
    <s v="Medium"/>
    <n v="874.05900000000008"/>
    <d v="2005-05-03T00:00:00"/>
    <x v="0"/>
    <x v="0"/>
    <x v="1"/>
    <x v="2"/>
    <s v="May-2005"/>
    <x v="2"/>
    <x v="23"/>
    <x v="7"/>
    <x v="1"/>
    <x v="0"/>
  </r>
  <r>
    <n v="10425"/>
    <n v="19"/>
    <n v="49.22"/>
    <n v="935.18"/>
    <s v="Low"/>
    <n v="280.55399999999997"/>
    <d v="2005-05-31T00:00:00"/>
    <x v="2"/>
    <x v="1"/>
    <x v="1"/>
    <x v="2"/>
    <s v="May-2005"/>
    <x v="2"/>
    <x v="14"/>
    <x v="1"/>
    <x v="1"/>
    <x v="0"/>
  </r>
  <r>
    <n v="10106"/>
    <n v="34"/>
    <n v="90.39"/>
    <n v="3073.26"/>
    <s v="Medium"/>
    <n v="921.97800000000007"/>
    <d v="2003-02-17T00:00:00"/>
    <x v="0"/>
    <x v="0"/>
    <x v="0"/>
    <x v="0"/>
    <s v="Feb-2003"/>
    <x v="4"/>
    <x v="86"/>
    <x v="12"/>
    <x v="1"/>
    <x v="1"/>
  </r>
  <r>
    <n v="10120"/>
    <n v="29"/>
    <n v="71.81"/>
    <n v="2082.4900000000002"/>
    <s v="Medium"/>
    <n v="624.74700000000007"/>
    <d v="2003-04-29T00:00:00"/>
    <x v="0"/>
    <x v="0"/>
    <x v="8"/>
    <x v="0"/>
    <s v="Apr-2003"/>
    <x v="4"/>
    <x v="10"/>
    <x v="3"/>
    <x v="2"/>
    <x v="0"/>
  </r>
  <r>
    <n v="10133"/>
    <n v="49"/>
    <n v="69.27"/>
    <n v="3394.23"/>
    <s v="Medium"/>
    <n v="1018.269"/>
    <d v="2003-06-27T00:00:00"/>
    <x v="0"/>
    <x v="0"/>
    <x v="9"/>
    <x v="0"/>
    <s v="Jun-2003"/>
    <x v="4"/>
    <x v="23"/>
    <x v="7"/>
    <x v="1"/>
    <x v="1"/>
  </r>
  <r>
    <n v="10145"/>
    <n v="30"/>
    <n v="85.32"/>
    <n v="2559.6"/>
    <s v="Medium"/>
    <n v="767.88"/>
    <d v="2003-08-25T00:00:00"/>
    <x v="0"/>
    <x v="0"/>
    <x v="3"/>
    <x v="0"/>
    <s v="Aug-2003"/>
    <x v="4"/>
    <x v="3"/>
    <x v="0"/>
    <x v="0"/>
    <x v="0"/>
  </r>
  <r>
    <n v="10168"/>
    <n v="21"/>
    <n v="70.959999999999994"/>
    <n v="1490.1599999999999"/>
    <s v="Low"/>
    <n v="447.04799999999994"/>
    <d v="2003-10-28T00:00:00"/>
    <x v="0"/>
    <x v="0"/>
    <x v="4"/>
    <x v="0"/>
    <s v="Oct-2003"/>
    <x v="4"/>
    <x v="5"/>
    <x v="0"/>
    <x v="0"/>
    <x v="0"/>
  </r>
  <r>
    <n v="10210"/>
    <n v="50"/>
    <n v="76.88"/>
    <n v="3844"/>
    <s v="Medium"/>
    <n v="1153.2"/>
    <d v="2004-01-12T00:00:00"/>
    <x v="0"/>
    <x v="0"/>
    <x v="7"/>
    <x v="1"/>
    <s v="Jan-2004"/>
    <x v="4"/>
    <x v="44"/>
    <x v="11"/>
    <x v="3"/>
    <x v="1"/>
  </r>
  <r>
    <n v="10223"/>
    <n v="47"/>
    <n v="100"/>
    <n v="4700"/>
    <s v="Medium"/>
    <n v="1410"/>
    <d v="2004-02-20T00:00:00"/>
    <x v="0"/>
    <x v="0"/>
    <x v="0"/>
    <x v="1"/>
    <s v="Feb-2004"/>
    <x v="4"/>
    <x v="10"/>
    <x v="3"/>
    <x v="2"/>
    <x v="1"/>
  </r>
  <r>
    <n v="10235"/>
    <n v="24"/>
    <n v="76.03"/>
    <n v="1824.72"/>
    <s v="Low"/>
    <n v="547.41599999999994"/>
    <d v="2004-04-02T00:00:00"/>
    <x v="0"/>
    <x v="0"/>
    <x v="8"/>
    <x v="1"/>
    <s v="Apr-2004"/>
    <x v="4"/>
    <x v="57"/>
    <x v="10"/>
    <x v="0"/>
    <x v="0"/>
  </r>
  <r>
    <n v="10250"/>
    <n v="27"/>
    <n v="98.84"/>
    <n v="2668.6800000000003"/>
    <s v="Medium"/>
    <n v="800.60400000000004"/>
    <d v="2004-05-11T00:00:00"/>
    <x v="0"/>
    <x v="0"/>
    <x v="1"/>
    <x v="1"/>
    <s v="May-2004"/>
    <x v="4"/>
    <x v="61"/>
    <x v="0"/>
    <x v="0"/>
    <x v="0"/>
  </r>
  <r>
    <n v="10263"/>
    <n v="33"/>
    <n v="86.17"/>
    <n v="2843.61"/>
    <s v="Medium"/>
    <n v="853.08299999999997"/>
    <d v="2004-06-28T00:00:00"/>
    <x v="0"/>
    <x v="0"/>
    <x v="9"/>
    <x v="1"/>
    <s v="Jun-2004"/>
    <x v="4"/>
    <x v="13"/>
    <x v="0"/>
    <x v="0"/>
    <x v="0"/>
  </r>
  <r>
    <n v="10275"/>
    <n v="35"/>
    <n v="90.39"/>
    <n v="3163.65"/>
    <s v="Medium"/>
    <n v="949.09500000000003"/>
    <d v="2004-07-23T00:00:00"/>
    <x v="0"/>
    <x v="0"/>
    <x v="2"/>
    <x v="1"/>
    <s v="Jul-2004"/>
    <x v="4"/>
    <x v="14"/>
    <x v="1"/>
    <x v="1"/>
    <x v="1"/>
  </r>
  <r>
    <n v="10284"/>
    <n v="31"/>
    <n v="71.81"/>
    <n v="2226.11"/>
    <s v="Medium"/>
    <n v="667.83299999999997"/>
    <d v="2004-08-21T00:00:00"/>
    <x v="0"/>
    <x v="0"/>
    <x v="3"/>
    <x v="1"/>
    <s v="Aug-2004"/>
    <x v="4"/>
    <x v="85"/>
    <x v="2"/>
    <x v="1"/>
    <x v="0"/>
  </r>
  <r>
    <n v="10297"/>
    <n v="25"/>
    <n v="82.79"/>
    <n v="2069.75"/>
    <s v="Medium"/>
    <n v="620.92499999999995"/>
    <d v="2004-09-16T00:00:00"/>
    <x v="0"/>
    <x v="0"/>
    <x v="10"/>
    <x v="1"/>
    <s v="Sep-2004"/>
    <x v="4"/>
    <x v="75"/>
    <x v="18"/>
    <x v="1"/>
    <x v="0"/>
  </r>
  <r>
    <n v="10308"/>
    <n v="27"/>
    <n v="82.79"/>
    <n v="2235.3300000000004"/>
    <s v="Medium"/>
    <n v="670.59900000000005"/>
    <d v="2004-10-15T00:00:00"/>
    <x v="0"/>
    <x v="0"/>
    <x v="4"/>
    <x v="1"/>
    <s v="Oct-2004"/>
    <x v="4"/>
    <x v="47"/>
    <x v="0"/>
    <x v="0"/>
    <x v="0"/>
  </r>
  <r>
    <n v="10318"/>
    <n v="31"/>
    <n v="100"/>
    <n v="3100"/>
    <s v="Medium"/>
    <n v="930"/>
    <d v="2004-11-02T00:00:00"/>
    <x v="0"/>
    <x v="0"/>
    <x v="5"/>
    <x v="1"/>
    <s v="Nov-2004"/>
    <x v="4"/>
    <x v="18"/>
    <x v="0"/>
    <x v="0"/>
    <x v="1"/>
  </r>
  <r>
    <n v="10327"/>
    <n v="45"/>
    <n v="100"/>
    <n v="4500"/>
    <s v="Medium"/>
    <n v="1350"/>
    <d v="2004-11-10T00:00:00"/>
    <x v="5"/>
    <x v="1"/>
    <x v="5"/>
    <x v="1"/>
    <s v="Nov-2004"/>
    <x v="4"/>
    <x v="48"/>
    <x v="13"/>
    <x v="1"/>
    <x v="1"/>
  </r>
  <r>
    <n v="10339"/>
    <n v="27"/>
    <n v="100"/>
    <n v="2700"/>
    <s v="Medium"/>
    <n v="810"/>
    <d v="2004-11-23T00:00:00"/>
    <x v="0"/>
    <x v="0"/>
    <x v="5"/>
    <x v="1"/>
    <s v="Nov-2004"/>
    <x v="4"/>
    <x v="35"/>
    <x v="11"/>
    <x v="3"/>
    <x v="0"/>
  </r>
  <r>
    <n v="10353"/>
    <n v="27"/>
    <n v="100"/>
    <n v="2700"/>
    <s v="Medium"/>
    <n v="810"/>
    <d v="2004-12-04T00:00:00"/>
    <x v="0"/>
    <x v="0"/>
    <x v="6"/>
    <x v="1"/>
    <s v="Dec-2004"/>
    <x v="4"/>
    <x v="88"/>
    <x v="0"/>
    <x v="0"/>
    <x v="1"/>
  </r>
  <r>
    <n v="10374"/>
    <n v="42"/>
    <n v="69.27"/>
    <n v="2909.3399999999997"/>
    <s v="Medium"/>
    <n v="872.80199999999991"/>
    <d v="2005-02-02T00:00:00"/>
    <x v="0"/>
    <x v="0"/>
    <x v="0"/>
    <x v="2"/>
    <s v="Feb-2005"/>
    <x v="4"/>
    <x v="28"/>
    <x v="3"/>
    <x v="2"/>
    <x v="0"/>
  </r>
  <r>
    <n v="10386"/>
    <n v="21"/>
    <n v="74.77"/>
    <n v="1570.1699999999998"/>
    <s v="Low"/>
    <n v="471.05099999999993"/>
    <d v="2005-03-01T00:00:00"/>
    <x v="5"/>
    <x v="1"/>
    <x v="11"/>
    <x v="2"/>
    <s v="Mar-2005"/>
    <x v="4"/>
    <x v="23"/>
    <x v="7"/>
    <x v="1"/>
    <x v="0"/>
  </r>
  <r>
    <n v="10398"/>
    <n v="34"/>
    <n v="76.88"/>
    <n v="2613.92"/>
    <s v="Medium"/>
    <n v="784.17600000000004"/>
    <d v="2005-03-30T00:00:00"/>
    <x v="0"/>
    <x v="0"/>
    <x v="11"/>
    <x v="2"/>
    <s v="Mar-2005"/>
    <x v="4"/>
    <x v="1"/>
    <x v="1"/>
    <x v="1"/>
    <x v="0"/>
  </r>
  <r>
    <n v="10401"/>
    <n v="42"/>
    <n v="76.03"/>
    <n v="3193.26"/>
    <s v="Medium"/>
    <n v="957.97800000000007"/>
    <d v="2005-04-03T00:00:00"/>
    <x v="4"/>
    <x v="1"/>
    <x v="8"/>
    <x v="2"/>
    <s v="Apr-2005"/>
    <x v="4"/>
    <x v="12"/>
    <x v="0"/>
    <x v="0"/>
    <x v="1"/>
  </r>
  <r>
    <n v="10416"/>
    <n v="15"/>
    <n v="98.84"/>
    <n v="1482.6000000000001"/>
    <s v="Low"/>
    <n v="444.78000000000003"/>
    <d v="2005-05-10T00:00:00"/>
    <x v="0"/>
    <x v="0"/>
    <x v="1"/>
    <x v="2"/>
    <s v="May-2005"/>
    <x v="4"/>
    <x v="70"/>
    <x v="12"/>
    <x v="1"/>
    <x v="0"/>
  </r>
  <r>
    <n v="10107"/>
    <n v="29"/>
    <n v="70.87"/>
    <n v="2055.23"/>
    <s v="Medium"/>
    <n v="616.56899999999996"/>
    <d v="2003-02-24T00:00:00"/>
    <x v="0"/>
    <x v="0"/>
    <x v="0"/>
    <x v="0"/>
    <s v="Feb-2003"/>
    <x v="0"/>
    <x v="0"/>
    <x v="0"/>
    <x v="0"/>
    <x v="0"/>
  </r>
  <r>
    <n v="10120"/>
    <n v="46"/>
    <n v="58.15"/>
    <n v="2674.9"/>
    <s v="Medium"/>
    <n v="802.47"/>
    <d v="2003-04-29T00:00:00"/>
    <x v="0"/>
    <x v="0"/>
    <x v="8"/>
    <x v="0"/>
    <s v="Apr-2003"/>
    <x v="0"/>
    <x v="10"/>
    <x v="3"/>
    <x v="2"/>
    <x v="0"/>
  </r>
  <r>
    <n v="10134"/>
    <n v="30"/>
    <n v="61.78"/>
    <n v="1853.4"/>
    <s v="Low"/>
    <n v="556.02"/>
    <d v="2003-07-01T00:00:00"/>
    <x v="0"/>
    <x v="0"/>
    <x v="2"/>
    <x v="0"/>
    <s v="Jul-2003"/>
    <x v="0"/>
    <x v="2"/>
    <x v="1"/>
    <x v="1"/>
    <x v="0"/>
  </r>
  <r>
    <n v="10145"/>
    <n v="30"/>
    <n v="49.67"/>
    <n v="1490.1000000000001"/>
    <s v="Low"/>
    <n v="447.03000000000003"/>
    <d v="2003-08-25T00:00:00"/>
    <x v="0"/>
    <x v="0"/>
    <x v="3"/>
    <x v="0"/>
    <s v="Aug-2003"/>
    <x v="0"/>
    <x v="3"/>
    <x v="0"/>
    <x v="0"/>
    <x v="0"/>
  </r>
  <r>
    <n v="10159"/>
    <n v="42"/>
    <n v="51.48"/>
    <n v="2162.16"/>
    <s v="Medium"/>
    <n v="648.64799999999991"/>
    <d v="2003-10-10T00:00:00"/>
    <x v="0"/>
    <x v="0"/>
    <x v="4"/>
    <x v="0"/>
    <s v="Oct-2003"/>
    <x v="0"/>
    <x v="4"/>
    <x v="0"/>
    <x v="0"/>
    <x v="0"/>
  </r>
  <r>
    <n v="10168"/>
    <n v="46"/>
    <n v="61.18"/>
    <n v="2814.28"/>
    <s v="Medium"/>
    <n v="844.28399999999999"/>
    <d v="2003-10-28T00:00:00"/>
    <x v="0"/>
    <x v="0"/>
    <x v="4"/>
    <x v="0"/>
    <s v="Oct-2003"/>
    <x v="0"/>
    <x v="5"/>
    <x v="0"/>
    <x v="0"/>
    <x v="0"/>
  </r>
  <r>
    <n v="10180"/>
    <n v="25"/>
    <n v="64.2"/>
    <n v="1605"/>
    <s v="Low"/>
    <n v="481.5"/>
    <d v="2003-11-11T00:00:00"/>
    <x v="0"/>
    <x v="0"/>
    <x v="5"/>
    <x v="0"/>
    <s v="Nov-2003"/>
    <x v="0"/>
    <x v="6"/>
    <x v="1"/>
    <x v="1"/>
    <x v="0"/>
  </r>
  <r>
    <n v="10188"/>
    <n v="32"/>
    <n v="65.42"/>
    <n v="2093.44"/>
    <s v="Medium"/>
    <n v="628.03200000000004"/>
    <d v="2003-11-18T00:00:00"/>
    <x v="0"/>
    <x v="0"/>
    <x v="5"/>
    <x v="0"/>
    <s v="Nov-2003"/>
    <x v="0"/>
    <x v="7"/>
    <x v="2"/>
    <x v="1"/>
    <x v="0"/>
  </r>
  <r>
    <n v="10201"/>
    <n v="30"/>
    <n v="64.81"/>
    <n v="1944.3000000000002"/>
    <s v="Low"/>
    <n v="583.29000000000008"/>
    <d v="2003-12-01T00:00:00"/>
    <x v="0"/>
    <x v="0"/>
    <x v="6"/>
    <x v="0"/>
    <s v="Dec-2003"/>
    <x v="0"/>
    <x v="8"/>
    <x v="0"/>
    <x v="0"/>
    <x v="0"/>
  </r>
  <r>
    <n v="10210"/>
    <n v="40"/>
    <n v="49.67"/>
    <n v="1986.8000000000002"/>
    <s v="Low"/>
    <n v="596.04000000000008"/>
    <d v="2004-01-12T00:00:00"/>
    <x v="0"/>
    <x v="0"/>
    <x v="7"/>
    <x v="1"/>
    <s v="Jan-2004"/>
    <x v="0"/>
    <x v="44"/>
    <x v="11"/>
    <x v="3"/>
    <x v="0"/>
  </r>
  <r>
    <n v="10223"/>
    <n v="28"/>
    <n v="60.57"/>
    <n v="1695.96"/>
    <s v="Low"/>
    <n v="508.78800000000001"/>
    <d v="2004-02-20T00:00:00"/>
    <x v="0"/>
    <x v="0"/>
    <x v="0"/>
    <x v="1"/>
    <s v="Feb-2004"/>
    <x v="0"/>
    <x v="10"/>
    <x v="3"/>
    <x v="2"/>
    <x v="0"/>
  </r>
  <r>
    <n v="10236"/>
    <n v="23"/>
    <n v="55.72"/>
    <n v="1281.56"/>
    <s v="Low"/>
    <n v="384.46799999999996"/>
    <d v="2004-04-03T00:00:00"/>
    <x v="0"/>
    <x v="0"/>
    <x v="8"/>
    <x v="1"/>
    <s v="Apr-2004"/>
    <x v="0"/>
    <x v="45"/>
    <x v="0"/>
    <x v="0"/>
    <x v="0"/>
  </r>
  <r>
    <n v="10251"/>
    <n v="29"/>
    <n v="61.18"/>
    <n v="1774.22"/>
    <s v="Low"/>
    <n v="532.26599999999996"/>
    <d v="2004-05-18T00:00:00"/>
    <x v="0"/>
    <x v="0"/>
    <x v="1"/>
    <x v="1"/>
    <s v="May-2004"/>
    <x v="0"/>
    <x v="12"/>
    <x v="0"/>
    <x v="0"/>
    <x v="0"/>
  </r>
  <r>
    <n v="10263"/>
    <n v="34"/>
    <n v="58.75"/>
    <n v="1997.5"/>
    <s v="Low"/>
    <n v="599.25"/>
    <d v="2004-06-28T00:00:00"/>
    <x v="0"/>
    <x v="0"/>
    <x v="9"/>
    <x v="1"/>
    <s v="Jun-2004"/>
    <x v="0"/>
    <x v="13"/>
    <x v="0"/>
    <x v="0"/>
    <x v="0"/>
  </r>
  <r>
    <n v="10275"/>
    <n v="37"/>
    <n v="63.6"/>
    <n v="2353.2000000000003"/>
    <s v="Medium"/>
    <n v="705.96"/>
    <d v="2004-07-23T00:00:00"/>
    <x v="0"/>
    <x v="0"/>
    <x v="2"/>
    <x v="1"/>
    <s v="Jul-2004"/>
    <x v="0"/>
    <x v="14"/>
    <x v="1"/>
    <x v="1"/>
    <x v="0"/>
  </r>
  <r>
    <n v="10285"/>
    <n v="20"/>
    <n v="49.06"/>
    <n v="981.2"/>
    <s v="Low"/>
    <n v="294.36"/>
    <d v="2004-08-27T00:00:00"/>
    <x v="0"/>
    <x v="0"/>
    <x v="3"/>
    <x v="1"/>
    <s v="Aug-2004"/>
    <x v="0"/>
    <x v="15"/>
    <x v="0"/>
    <x v="0"/>
    <x v="0"/>
  </r>
  <r>
    <n v="10298"/>
    <n v="32"/>
    <n v="48.46"/>
    <n v="1550.72"/>
    <s v="Low"/>
    <n v="465.21600000000001"/>
    <d v="2004-09-27T00:00:00"/>
    <x v="0"/>
    <x v="0"/>
    <x v="10"/>
    <x v="1"/>
    <s v="Sep-2004"/>
    <x v="0"/>
    <x v="46"/>
    <x v="1"/>
    <x v="1"/>
    <x v="0"/>
  </r>
  <r>
    <n v="10308"/>
    <n v="34"/>
    <n v="52.09"/>
    <n v="1771.0600000000002"/>
    <s v="Low"/>
    <n v="531.31799999999998"/>
    <d v="2004-10-15T00:00:00"/>
    <x v="0"/>
    <x v="0"/>
    <x v="4"/>
    <x v="1"/>
    <s v="Oct-2004"/>
    <x v="0"/>
    <x v="47"/>
    <x v="0"/>
    <x v="0"/>
    <x v="0"/>
  </r>
  <r>
    <n v="10318"/>
    <n v="42"/>
    <n v="52.7"/>
    <n v="2213.4"/>
    <s v="Medium"/>
    <n v="664.02"/>
    <d v="2004-11-02T00:00:00"/>
    <x v="0"/>
    <x v="0"/>
    <x v="5"/>
    <x v="1"/>
    <s v="Nov-2004"/>
    <x v="0"/>
    <x v="18"/>
    <x v="0"/>
    <x v="0"/>
    <x v="0"/>
  </r>
  <r>
    <n v="10329"/>
    <n v="38"/>
    <n v="100"/>
    <n v="3800"/>
    <s v="Medium"/>
    <n v="1140"/>
    <d v="2004-11-15T00:00:00"/>
    <x v="0"/>
    <x v="0"/>
    <x v="5"/>
    <x v="1"/>
    <s v="Nov-2004"/>
    <x v="0"/>
    <x v="0"/>
    <x v="0"/>
    <x v="0"/>
    <x v="1"/>
  </r>
  <r>
    <n v="10339"/>
    <n v="30"/>
    <n v="62.16"/>
    <n v="1864.8"/>
    <s v="Low"/>
    <n v="559.43999999999994"/>
    <d v="2004-11-23T00:00:00"/>
    <x v="0"/>
    <x v="0"/>
    <x v="5"/>
    <x v="1"/>
    <s v="Nov-2004"/>
    <x v="0"/>
    <x v="35"/>
    <x v="11"/>
    <x v="3"/>
    <x v="0"/>
  </r>
  <r>
    <n v="10362"/>
    <n v="23"/>
    <n v="49.67"/>
    <n v="1142.4100000000001"/>
    <s v="Low"/>
    <n v="342.72300000000001"/>
    <d v="2005-01-05T00:00:00"/>
    <x v="0"/>
    <x v="0"/>
    <x v="7"/>
    <x v="2"/>
    <s v="Jan-2005"/>
    <x v="0"/>
    <x v="5"/>
    <x v="0"/>
    <x v="0"/>
    <x v="0"/>
  </r>
  <r>
    <n v="10374"/>
    <n v="22"/>
    <n v="53.3"/>
    <n v="1172.5999999999999"/>
    <s v="Low"/>
    <n v="351.78"/>
    <d v="2005-02-02T00:00:00"/>
    <x v="0"/>
    <x v="0"/>
    <x v="0"/>
    <x v="2"/>
    <s v="Feb-2005"/>
    <x v="0"/>
    <x v="28"/>
    <x v="3"/>
    <x v="2"/>
    <x v="0"/>
  </r>
  <r>
    <n v="10389"/>
    <n v="39"/>
    <n v="100"/>
    <n v="3900"/>
    <s v="Medium"/>
    <n v="1170"/>
    <d v="2005-03-03T00:00:00"/>
    <x v="0"/>
    <x v="0"/>
    <x v="11"/>
    <x v="2"/>
    <s v="Mar-2005"/>
    <x v="0"/>
    <x v="37"/>
    <x v="8"/>
    <x v="1"/>
    <x v="1"/>
  </r>
  <r>
    <n v="10402"/>
    <n v="55"/>
    <n v="55.72"/>
    <n v="3064.6"/>
    <s v="Medium"/>
    <n v="919.38"/>
    <d v="2005-04-07T00:00:00"/>
    <x v="0"/>
    <x v="0"/>
    <x v="8"/>
    <x v="2"/>
    <s v="Apr-2005"/>
    <x v="0"/>
    <x v="9"/>
    <x v="1"/>
    <x v="1"/>
    <x v="1"/>
  </r>
  <r>
    <n v="10417"/>
    <n v="36"/>
    <n v="61.18"/>
    <n v="2202.48"/>
    <s v="Medium"/>
    <n v="660.74400000000003"/>
    <d v="2005-05-13T00:00:00"/>
    <x v="1"/>
    <x v="1"/>
    <x v="1"/>
    <x v="2"/>
    <s v="May-2005"/>
    <x v="0"/>
    <x v="23"/>
    <x v="7"/>
    <x v="1"/>
    <x v="0"/>
  </r>
  <r>
    <n v="10101"/>
    <n v="26"/>
    <n v="100"/>
    <n v="2600"/>
    <s v="Medium"/>
    <n v="780"/>
    <d v="2003-01-09T00:00:00"/>
    <x v="0"/>
    <x v="0"/>
    <x v="7"/>
    <x v="0"/>
    <s v="Jan-2003"/>
    <x v="3"/>
    <x v="72"/>
    <x v="16"/>
    <x v="1"/>
    <x v="1"/>
  </r>
  <r>
    <n v="10110"/>
    <n v="31"/>
    <n v="100"/>
    <n v="3100"/>
    <s v="Medium"/>
    <n v="930"/>
    <d v="2003-03-18T00:00:00"/>
    <x v="0"/>
    <x v="0"/>
    <x v="11"/>
    <x v="0"/>
    <s v="Mar-2003"/>
    <x v="3"/>
    <x v="77"/>
    <x v="6"/>
    <x v="1"/>
    <x v="1"/>
  </r>
  <r>
    <n v="10125"/>
    <n v="34"/>
    <n v="100"/>
    <n v="3400"/>
    <s v="Medium"/>
    <n v="1020"/>
    <d v="2003-05-21T00:00:00"/>
    <x v="0"/>
    <x v="0"/>
    <x v="1"/>
    <x v="0"/>
    <s v="May-2003"/>
    <x v="3"/>
    <x v="10"/>
    <x v="3"/>
    <x v="2"/>
    <x v="1"/>
  </r>
  <r>
    <n v="10139"/>
    <n v="41"/>
    <n v="100"/>
    <n v="4100"/>
    <s v="Medium"/>
    <n v="1230"/>
    <d v="2003-07-16T00:00:00"/>
    <x v="0"/>
    <x v="0"/>
    <x v="2"/>
    <x v="0"/>
    <s v="Jul-2003"/>
    <x v="3"/>
    <x v="20"/>
    <x v="3"/>
    <x v="2"/>
    <x v="2"/>
  </r>
  <r>
    <n v="10149"/>
    <n v="23"/>
    <n v="100"/>
    <n v="2300"/>
    <s v="Medium"/>
    <n v="690"/>
    <d v="2003-09-12T00:00:00"/>
    <x v="0"/>
    <x v="0"/>
    <x v="10"/>
    <x v="0"/>
    <s v="Sep-2003"/>
    <x v="3"/>
    <x v="82"/>
    <x v="0"/>
    <x v="0"/>
    <x v="1"/>
  </r>
  <r>
    <n v="10162"/>
    <n v="48"/>
    <n v="100"/>
    <n v="4800"/>
    <s v="Medium"/>
    <n v="1440"/>
    <d v="2003-10-18T00:00:00"/>
    <x v="0"/>
    <x v="0"/>
    <x v="4"/>
    <x v="0"/>
    <s v="Oct-2003"/>
    <x v="3"/>
    <x v="4"/>
    <x v="0"/>
    <x v="0"/>
    <x v="2"/>
  </r>
  <r>
    <n v="10173"/>
    <n v="22"/>
    <n v="100"/>
    <n v="2200"/>
    <s v="Medium"/>
    <n v="660"/>
    <d v="2003-11-05T00:00:00"/>
    <x v="0"/>
    <x v="0"/>
    <x v="5"/>
    <x v="0"/>
    <s v="Nov-2003"/>
    <x v="3"/>
    <x v="86"/>
    <x v="12"/>
    <x v="1"/>
    <x v="1"/>
  </r>
  <r>
    <n v="10182"/>
    <n v="21"/>
    <n v="100"/>
    <n v="2100"/>
    <s v="Medium"/>
    <n v="630"/>
    <d v="2003-11-12T00:00:00"/>
    <x v="0"/>
    <x v="0"/>
    <x v="5"/>
    <x v="0"/>
    <s v="Nov-2003"/>
    <x v="3"/>
    <x v="39"/>
    <x v="0"/>
    <x v="0"/>
    <x v="1"/>
  </r>
  <r>
    <n v="10193"/>
    <n v="22"/>
    <n v="100"/>
    <n v="2200"/>
    <s v="Medium"/>
    <n v="660"/>
    <d v="2003-11-21T00:00:00"/>
    <x v="0"/>
    <x v="0"/>
    <x v="5"/>
    <x v="0"/>
    <s v="Nov-2003"/>
    <x v="3"/>
    <x v="87"/>
    <x v="3"/>
    <x v="2"/>
    <x v="1"/>
  </r>
  <r>
    <n v="10205"/>
    <n v="40"/>
    <n v="100"/>
    <n v="4000"/>
    <s v="Medium"/>
    <n v="1200"/>
    <d v="2003-12-03T00:00:00"/>
    <x v="0"/>
    <x v="0"/>
    <x v="6"/>
    <x v="0"/>
    <s v="Dec-2003"/>
    <x v="3"/>
    <x v="23"/>
    <x v="7"/>
    <x v="1"/>
    <x v="2"/>
  </r>
  <r>
    <n v="10214"/>
    <n v="50"/>
    <n v="100"/>
    <n v="5000"/>
    <s v="High"/>
    <n v="1500"/>
    <d v="2004-01-26T00:00:00"/>
    <x v="0"/>
    <x v="0"/>
    <x v="7"/>
    <x v="1"/>
    <s v="Jan-2004"/>
    <x v="3"/>
    <x v="25"/>
    <x v="7"/>
    <x v="1"/>
    <x v="2"/>
  </r>
  <r>
    <n v="10227"/>
    <n v="29"/>
    <n v="100"/>
    <n v="2900"/>
    <s v="Medium"/>
    <n v="870"/>
    <d v="2004-03-02T00:00:00"/>
    <x v="0"/>
    <x v="0"/>
    <x v="11"/>
    <x v="1"/>
    <s v="Mar-2004"/>
    <x v="3"/>
    <x v="30"/>
    <x v="1"/>
    <x v="1"/>
    <x v="1"/>
  </r>
  <r>
    <n v="10244"/>
    <n v="43"/>
    <n v="100"/>
    <n v="4300"/>
    <s v="Medium"/>
    <n v="1290"/>
    <d v="2004-04-29T00:00:00"/>
    <x v="0"/>
    <x v="0"/>
    <x v="8"/>
    <x v="1"/>
    <s v="Apr-2004"/>
    <x v="3"/>
    <x v="23"/>
    <x v="7"/>
    <x v="1"/>
    <x v="1"/>
  </r>
  <r>
    <n v="10255"/>
    <n v="24"/>
    <n v="100"/>
    <n v="2400"/>
    <s v="Medium"/>
    <n v="720"/>
    <d v="2004-06-04T00:00:00"/>
    <x v="0"/>
    <x v="0"/>
    <x v="9"/>
    <x v="1"/>
    <s v="Jun-2004"/>
    <x v="3"/>
    <x v="83"/>
    <x v="1"/>
    <x v="1"/>
    <x v="1"/>
  </r>
  <r>
    <n v="10280"/>
    <n v="22"/>
    <n v="100"/>
    <n v="2200"/>
    <s v="Medium"/>
    <n v="660"/>
    <d v="2004-08-17T00:00:00"/>
    <x v="0"/>
    <x v="0"/>
    <x v="3"/>
    <x v="1"/>
    <s v="Aug-2004"/>
    <x v="3"/>
    <x v="36"/>
    <x v="12"/>
    <x v="1"/>
    <x v="1"/>
  </r>
  <r>
    <n v="10289"/>
    <n v="43"/>
    <n v="100"/>
    <n v="4300"/>
    <s v="Medium"/>
    <n v="1290"/>
    <d v="2004-09-03T00:00:00"/>
    <x v="0"/>
    <x v="0"/>
    <x v="10"/>
    <x v="1"/>
    <s v="Sep-2004"/>
    <x v="3"/>
    <x v="7"/>
    <x v="2"/>
    <x v="1"/>
    <x v="2"/>
  </r>
  <r>
    <n v="10304"/>
    <n v="20"/>
    <n v="100"/>
    <n v="2000"/>
    <s v="Medium"/>
    <n v="600"/>
    <d v="2004-10-11T00:00:00"/>
    <x v="0"/>
    <x v="0"/>
    <x v="4"/>
    <x v="1"/>
    <s v="Oct-2004"/>
    <x v="3"/>
    <x v="38"/>
    <x v="1"/>
    <x v="1"/>
    <x v="1"/>
  </r>
  <r>
    <n v="10312"/>
    <n v="25"/>
    <n v="100"/>
    <n v="2500"/>
    <s v="Medium"/>
    <n v="750"/>
    <d v="2004-10-21T00:00:00"/>
    <x v="0"/>
    <x v="0"/>
    <x v="4"/>
    <x v="1"/>
    <s v="Oct-2004"/>
    <x v="3"/>
    <x v="39"/>
    <x v="0"/>
    <x v="0"/>
    <x v="1"/>
  </r>
  <r>
    <n v="10322"/>
    <n v="36"/>
    <n v="100"/>
    <n v="3600"/>
    <s v="Medium"/>
    <n v="1080"/>
    <d v="2004-11-04T00:00:00"/>
    <x v="0"/>
    <x v="0"/>
    <x v="5"/>
    <x v="1"/>
    <s v="Nov-2004"/>
    <x v="3"/>
    <x v="40"/>
    <x v="0"/>
    <x v="0"/>
    <x v="1"/>
  </r>
  <r>
    <n v="10332"/>
    <n v="24"/>
    <n v="52.67"/>
    <n v="1264.08"/>
    <s v="Low"/>
    <n v="379.22399999999999"/>
    <d v="2004-11-17T00:00:00"/>
    <x v="0"/>
    <x v="0"/>
    <x v="5"/>
    <x v="1"/>
    <s v="Nov-2004"/>
    <x v="3"/>
    <x v="77"/>
    <x v="6"/>
    <x v="1"/>
    <x v="0"/>
  </r>
  <r>
    <n v="10347"/>
    <n v="21"/>
    <n v="100"/>
    <n v="2100"/>
    <s v="Medium"/>
    <n v="630"/>
    <d v="2004-11-29T00:00:00"/>
    <x v="0"/>
    <x v="0"/>
    <x v="5"/>
    <x v="1"/>
    <s v="Nov-2004"/>
    <x v="3"/>
    <x v="10"/>
    <x v="3"/>
    <x v="2"/>
    <x v="1"/>
  </r>
  <r>
    <n v="10356"/>
    <n v="30"/>
    <n v="100"/>
    <n v="3000"/>
    <s v="Medium"/>
    <n v="900"/>
    <d v="2004-12-09T00:00:00"/>
    <x v="0"/>
    <x v="0"/>
    <x v="6"/>
    <x v="1"/>
    <s v="Dec-2004"/>
    <x v="3"/>
    <x v="2"/>
    <x v="1"/>
    <x v="1"/>
    <x v="1"/>
  </r>
  <r>
    <n v="10367"/>
    <n v="32"/>
    <n v="94.79"/>
    <n v="3033.28"/>
    <s v="Medium"/>
    <n v="909.98400000000004"/>
    <d v="2005-01-12T00:00:00"/>
    <x v="5"/>
    <x v="1"/>
    <x v="7"/>
    <x v="2"/>
    <s v="Jan-2005"/>
    <x v="3"/>
    <x v="3"/>
    <x v="0"/>
    <x v="0"/>
    <x v="1"/>
  </r>
  <r>
    <n v="10380"/>
    <n v="21"/>
    <n v="47.18"/>
    <n v="990.78"/>
    <s v="Low"/>
    <n v="297.23399999999998"/>
    <d v="2005-02-16T00:00:00"/>
    <x v="0"/>
    <x v="0"/>
    <x v="0"/>
    <x v="2"/>
    <s v="Feb-2005"/>
    <x v="3"/>
    <x v="23"/>
    <x v="7"/>
    <x v="1"/>
    <x v="0"/>
  </r>
  <r>
    <n v="10390"/>
    <n v="26"/>
    <n v="78.11"/>
    <n v="2030.86"/>
    <s v="Medium"/>
    <n v="609.25799999999992"/>
    <d v="2005-03-04T00:00:00"/>
    <x v="0"/>
    <x v="0"/>
    <x v="11"/>
    <x v="2"/>
    <s v="Mar-2005"/>
    <x v="3"/>
    <x v="39"/>
    <x v="0"/>
    <x v="0"/>
    <x v="0"/>
  </r>
  <r>
    <n v="10421"/>
    <n v="35"/>
    <n v="100"/>
    <n v="3500"/>
    <s v="Medium"/>
    <n v="1050"/>
    <d v="2005-05-29T00:00:00"/>
    <x v="2"/>
    <x v="1"/>
    <x v="1"/>
    <x v="2"/>
    <s v="May-2005"/>
    <x v="3"/>
    <x v="39"/>
    <x v="0"/>
    <x v="0"/>
    <x v="1"/>
  </r>
  <r>
    <n v="10109"/>
    <n v="26"/>
    <n v="100"/>
    <n v="2600"/>
    <s v="Medium"/>
    <n v="780"/>
    <d v="2003-03-10T00:00:00"/>
    <x v="0"/>
    <x v="0"/>
    <x v="11"/>
    <x v="0"/>
    <s v="Mar-2003"/>
    <x v="1"/>
    <x v="45"/>
    <x v="0"/>
    <x v="0"/>
    <x v="1"/>
  </r>
  <r>
    <n v="10123"/>
    <n v="46"/>
    <n v="100"/>
    <n v="4600"/>
    <s v="Medium"/>
    <n v="1380"/>
    <d v="2003-05-20T00:00:00"/>
    <x v="0"/>
    <x v="0"/>
    <x v="1"/>
    <x v="0"/>
    <s v="May-2003"/>
    <x v="1"/>
    <x v="46"/>
    <x v="1"/>
    <x v="1"/>
    <x v="1"/>
  </r>
  <r>
    <n v="10137"/>
    <n v="37"/>
    <n v="100"/>
    <n v="3700"/>
    <s v="Medium"/>
    <n v="1110"/>
    <d v="2003-07-10T00:00:00"/>
    <x v="0"/>
    <x v="0"/>
    <x v="2"/>
    <x v="0"/>
    <s v="Jul-2003"/>
    <x v="1"/>
    <x v="1"/>
    <x v="1"/>
    <x v="1"/>
    <x v="1"/>
  </r>
  <r>
    <n v="10148"/>
    <n v="27"/>
    <n v="100"/>
    <n v="2700"/>
    <s v="Medium"/>
    <n v="810"/>
    <d v="2003-09-11T00:00:00"/>
    <x v="0"/>
    <x v="0"/>
    <x v="10"/>
    <x v="0"/>
    <s v="Sep-2003"/>
    <x v="1"/>
    <x v="42"/>
    <x v="3"/>
    <x v="2"/>
    <x v="1"/>
  </r>
  <r>
    <n v="10161"/>
    <n v="23"/>
    <n v="100"/>
    <n v="2300"/>
    <s v="Medium"/>
    <n v="690"/>
    <d v="2003-10-17T00:00:00"/>
    <x v="0"/>
    <x v="0"/>
    <x v="4"/>
    <x v="0"/>
    <s v="Oct-2003"/>
    <x v="1"/>
    <x v="78"/>
    <x v="13"/>
    <x v="1"/>
    <x v="1"/>
  </r>
  <r>
    <n v="10172"/>
    <n v="39"/>
    <n v="100"/>
    <n v="3900"/>
    <s v="Medium"/>
    <n v="1170"/>
    <d v="2003-11-05T00:00:00"/>
    <x v="0"/>
    <x v="0"/>
    <x v="5"/>
    <x v="0"/>
    <s v="Nov-2003"/>
    <x v="1"/>
    <x v="13"/>
    <x v="0"/>
    <x v="0"/>
    <x v="1"/>
  </r>
  <r>
    <n v="10181"/>
    <n v="27"/>
    <n v="100"/>
    <n v="2700"/>
    <s v="Medium"/>
    <n v="810"/>
    <d v="2003-11-12T00:00:00"/>
    <x v="0"/>
    <x v="0"/>
    <x v="5"/>
    <x v="0"/>
    <s v="Nov-2003"/>
    <x v="1"/>
    <x v="7"/>
    <x v="2"/>
    <x v="1"/>
    <x v="1"/>
  </r>
  <r>
    <n v="10192"/>
    <n v="38"/>
    <n v="100"/>
    <n v="3800"/>
    <s v="Medium"/>
    <n v="1140"/>
    <d v="2003-11-20T00:00:00"/>
    <x v="0"/>
    <x v="0"/>
    <x v="5"/>
    <x v="0"/>
    <s v="Nov-2003"/>
    <x v="1"/>
    <x v="40"/>
    <x v="0"/>
    <x v="0"/>
    <x v="1"/>
  </r>
  <r>
    <n v="10204"/>
    <n v="27"/>
    <n v="100"/>
    <n v="2700"/>
    <s v="Medium"/>
    <n v="810"/>
    <d v="2003-12-02T00:00:00"/>
    <x v="0"/>
    <x v="0"/>
    <x v="6"/>
    <x v="0"/>
    <s v="Dec-2003"/>
    <x v="1"/>
    <x v="74"/>
    <x v="0"/>
    <x v="0"/>
    <x v="1"/>
  </r>
  <r>
    <n v="10212"/>
    <n v="40"/>
    <n v="100"/>
    <n v="4000"/>
    <s v="Medium"/>
    <n v="1200"/>
    <d v="2004-01-16T00:00:00"/>
    <x v="0"/>
    <x v="0"/>
    <x v="7"/>
    <x v="1"/>
    <s v="Jan-2004"/>
    <x v="1"/>
    <x v="23"/>
    <x v="7"/>
    <x v="1"/>
    <x v="1"/>
  </r>
  <r>
    <n v="10226"/>
    <n v="24"/>
    <n v="100"/>
    <n v="2400"/>
    <s v="Medium"/>
    <n v="720"/>
    <d v="2004-02-26T00:00:00"/>
    <x v="0"/>
    <x v="0"/>
    <x v="0"/>
    <x v="1"/>
    <s v="Feb-2004"/>
    <x v="1"/>
    <x v="55"/>
    <x v="0"/>
    <x v="0"/>
    <x v="1"/>
  </r>
  <r>
    <n v="10241"/>
    <n v="44"/>
    <n v="100"/>
    <n v="4400"/>
    <s v="Medium"/>
    <n v="1320"/>
    <d v="2004-04-13T00:00:00"/>
    <x v="0"/>
    <x v="0"/>
    <x v="8"/>
    <x v="1"/>
    <s v="Apr-2004"/>
    <x v="1"/>
    <x v="83"/>
    <x v="1"/>
    <x v="1"/>
    <x v="1"/>
  </r>
  <r>
    <n v="10253"/>
    <n v="37"/>
    <n v="100"/>
    <n v="3700"/>
    <s v="Medium"/>
    <n v="1110"/>
    <d v="2004-06-01T00:00:00"/>
    <x v="3"/>
    <x v="1"/>
    <x v="9"/>
    <x v="1"/>
    <s v="Jun-2004"/>
    <x v="1"/>
    <x v="22"/>
    <x v="6"/>
    <x v="1"/>
    <x v="1"/>
  </r>
  <r>
    <n v="10266"/>
    <n v="20"/>
    <n v="100"/>
    <n v="2000"/>
    <s v="Medium"/>
    <n v="600"/>
    <d v="2004-07-06T00:00:00"/>
    <x v="0"/>
    <x v="0"/>
    <x v="2"/>
    <x v="1"/>
    <s v="Jul-2004"/>
    <x v="1"/>
    <x v="70"/>
    <x v="12"/>
    <x v="1"/>
    <x v="0"/>
  </r>
  <r>
    <n v="10278"/>
    <n v="39"/>
    <n v="100"/>
    <n v="3900"/>
    <s v="Medium"/>
    <n v="1170"/>
    <d v="2004-08-06T00:00:00"/>
    <x v="0"/>
    <x v="0"/>
    <x v="3"/>
    <x v="1"/>
    <s v="Aug-2004"/>
    <x v="1"/>
    <x v="84"/>
    <x v="0"/>
    <x v="0"/>
    <x v="1"/>
  </r>
  <r>
    <n v="10287"/>
    <n v="44"/>
    <n v="100"/>
    <n v="4400"/>
    <s v="Medium"/>
    <n v="1320"/>
    <d v="2004-08-30T00:00:00"/>
    <x v="0"/>
    <x v="0"/>
    <x v="3"/>
    <x v="1"/>
    <s v="Aug-2004"/>
    <x v="1"/>
    <x v="69"/>
    <x v="17"/>
    <x v="1"/>
    <x v="1"/>
  </r>
  <r>
    <n v="10301"/>
    <n v="22"/>
    <n v="100"/>
    <n v="2200"/>
    <s v="Medium"/>
    <n v="660"/>
    <d v="2003-10-05T00:00:00"/>
    <x v="0"/>
    <x v="0"/>
    <x v="4"/>
    <x v="0"/>
    <s v="Oct-2003"/>
    <x v="1"/>
    <x v="85"/>
    <x v="2"/>
    <x v="1"/>
    <x v="1"/>
  </r>
  <r>
    <n v="10311"/>
    <n v="43"/>
    <n v="100"/>
    <n v="4300"/>
    <s v="Medium"/>
    <n v="1290"/>
    <d v="2004-10-16T00:00:00"/>
    <x v="0"/>
    <x v="0"/>
    <x v="4"/>
    <x v="1"/>
    <s v="Oct-2004"/>
    <x v="1"/>
    <x v="23"/>
    <x v="7"/>
    <x v="1"/>
    <x v="1"/>
  </r>
  <r>
    <n v="10321"/>
    <n v="27"/>
    <n v="100"/>
    <n v="2700"/>
    <s v="Medium"/>
    <n v="810"/>
    <d v="2004-11-04T00:00:00"/>
    <x v="0"/>
    <x v="0"/>
    <x v="5"/>
    <x v="1"/>
    <s v="Nov-2004"/>
    <x v="1"/>
    <x v="21"/>
    <x v="0"/>
    <x v="0"/>
    <x v="0"/>
  </r>
  <r>
    <n v="10331"/>
    <n v="26"/>
    <n v="64.900000000000006"/>
    <n v="1687.4"/>
    <s v="Low"/>
    <n v="506.22"/>
    <d v="2004-11-17T00:00:00"/>
    <x v="0"/>
    <x v="0"/>
    <x v="5"/>
    <x v="1"/>
    <s v="Nov-2004"/>
    <x v="1"/>
    <x v="45"/>
    <x v="0"/>
    <x v="0"/>
    <x v="0"/>
  </r>
  <r>
    <n v="10343"/>
    <n v="25"/>
    <n v="52.32"/>
    <n v="1308"/>
    <s v="Low"/>
    <n v="392.4"/>
    <d v="2004-11-24T00:00:00"/>
    <x v="0"/>
    <x v="0"/>
    <x v="5"/>
    <x v="1"/>
    <s v="Nov-2004"/>
    <x v="1"/>
    <x v="1"/>
    <x v="1"/>
    <x v="1"/>
    <x v="0"/>
  </r>
  <r>
    <n v="10366"/>
    <n v="49"/>
    <n v="100"/>
    <n v="4900"/>
    <s v="Medium"/>
    <n v="1470"/>
    <d v="2005-01-10T00:00:00"/>
    <x v="0"/>
    <x v="0"/>
    <x v="7"/>
    <x v="2"/>
    <s v="Jan-2005"/>
    <x v="1"/>
    <x v="90"/>
    <x v="14"/>
    <x v="1"/>
    <x v="1"/>
  </r>
  <r>
    <n v="10379"/>
    <n v="29"/>
    <n v="100"/>
    <n v="2900"/>
    <s v="Medium"/>
    <n v="870"/>
    <d v="2005-02-10T00:00:00"/>
    <x v="0"/>
    <x v="0"/>
    <x v="0"/>
    <x v="2"/>
    <s v="Feb-2005"/>
    <x v="1"/>
    <x v="23"/>
    <x v="7"/>
    <x v="1"/>
    <x v="1"/>
  </r>
  <r>
    <n v="10407"/>
    <n v="41"/>
    <n v="100"/>
    <n v="4100"/>
    <s v="Medium"/>
    <n v="1230"/>
    <d v="2005-04-22T00:00:00"/>
    <x v="4"/>
    <x v="1"/>
    <x v="8"/>
    <x v="2"/>
    <s v="Apr-2005"/>
    <x v="1"/>
    <x v="61"/>
    <x v="0"/>
    <x v="0"/>
    <x v="1"/>
  </r>
  <r>
    <n v="10419"/>
    <n v="55"/>
    <n v="100"/>
    <n v="5500"/>
    <s v="High"/>
    <n v="1650"/>
    <d v="2005-05-17T00:00:00"/>
    <x v="0"/>
    <x v="0"/>
    <x v="1"/>
    <x v="2"/>
    <s v="May-2005"/>
    <x v="1"/>
    <x v="19"/>
    <x v="5"/>
    <x v="1"/>
    <x v="2"/>
  </r>
  <r>
    <n v="10103"/>
    <n v="27"/>
    <n v="83.07"/>
    <n v="2242.89"/>
    <s v="Medium"/>
    <n v="672.86699999999996"/>
    <d v="2003-01-29T00:00:00"/>
    <x v="0"/>
    <x v="0"/>
    <x v="7"/>
    <x v="0"/>
    <s v="Jan-2003"/>
    <x v="3"/>
    <x v="17"/>
    <x v="2"/>
    <x v="1"/>
    <x v="0"/>
  </r>
  <r>
    <n v="10112"/>
    <n v="23"/>
    <n v="100"/>
    <n v="2300"/>
    <s v="Medium"/>
    <n v="690"/>
    <d v="2003-03-24T00:00:00"/>
    <x v="0"/>
    <x v="0"/>
    <x v="11"/>
    <x v="0"/>
    <s v="Mar-2003"/>
    <x v="3"/>
    <x v="24"/>
    <x v="8"/>
    <x v="1"/>
    <x v="0"/>
  </r>
  <r>
    <n v="10126"/>
    <n v="31"/>
    <n v="90.17"/>
    <n v="2795.27"/>
    <s v="Medium"/>
    <n v="838.58100000000002"/>
    <d v="2003-05-28T00:00:00"/>
    <x v="0"/>
    <x v="0"/>
    <x v="1"/>
    <x v="0"/>
    <s v="May-2003"/>
    <x v="3"/>
    <x v="25"/>
    <x v="7"/>
    <x v="1"/>
    <x v="0"/>
  </r>
  <r>
    <n v="10139"/>
    <n v="46"/>
    <n v="100"/>
    <n v="4600"/>
    <s v="Medium"/>
    <n v="1380"/>
    <d v="2003-07-16T00:00:00"/>
    <x v="0"/>
    <x v="0"/>
    <x v="2"/>
    <x v="0"/>
    <s v="Jul-2003"/>
    <x v="3"/>
    <x v="20"/>
    <x v="3"/>
    <x v="2"/>
    <x v="1"/>
  </r>
  <r>
    <n v="10150"/>
    <n v="47"/>
    <n v="91.18"/>
    <n v="4285.46"/>
    <s v="Medium"/>
    <n v="1285.6379999999999"/>
    <d v="2003-09-19T00:00:00"/>
    <x v="0"/>
    <x v="0"/>
    <x v="10"/>
    <x v="0"/>
    <s v="Sep-2003"/>
    <x v="3"/>
    <x v="26"/>
    <x v="9"/>
    <x v="3"/>
    <x v="1"/>
  </r>
  <r>
    <n v="10163"/>
    <n v="31"/>
    <n v="100"/>
    <n v="3100"/>
    <s v="Medium"/>
    <n v="930"/>
    <d v="2003-10-20T00:00:00"/>
    <x v="0"/>
    <x v="0"/>
    <x v="4"/>
    <x v="0"/>
    <s v="Oct-2003"/>
    <x v="3"/>
    <x v="27"/>
    <x v="0"/>
    <x v="0"/>
    <x v="1"/>
  </r>
  <r>
    <n v="10174"/>
    <n v="46"/>
    <n v="100"/>
    <n v="4600"/>
    <s v="Medium"/>
    <n v="1380"/>
    <d v="2003-11-06T00:00:00"/>
    <x v="0"/>
    <x v="0"/>
    <x v="5"/>
    <x v="0"/>
    <s v="Nov-2003"/>
    <x v="3"/>
    <x v="28"/>
    <x v="3"/>
    <x v="2"/>
    <x v="1"/>
  </r>
  <r>
    <n v="10183"/>
    <n v="37"/>
    <n v="89.15"/>
    <n v="3298.55"/>
    <s v="Medium"/>
    <n v="989.56500000000005"/>
    <d v="2003-11-13T00:00:00"/>
    <x v="0"/>
    <x v="0"/>
    <x v="5"/>
    <x v="0"/>
    <s v="Nov-2003"/>
    <x v="3"/>
    <x v="29"/>
    <x v="0"/>
    <x v="0"/>
    <x v="1"/>
  </r>
  <r>
    <n v="10193"/>
    <n v="28"/>
    <n v="93.21"/>
    <n v="2609.8799999999997"/>
    <s v="Medium"/>
    <n v="782.96399999999983"/>
    <d v="2003-11-21T00:00:00"/>
    <x v="0"/>
    <x v="0"/>
    <x v="5"/>
    <x v="0"/>
    <s v="Nov-2003"/>
    <x v="3"/>
    <x v="87"/>
    <x v="3"/>
    <x v="2"/>
    <x v="0"/>
  </r>
  <r>
    <n v="10206"/>
    <n v="37"/>
    <n v="90.17"/>
    <n v="3336.29"/>
    <s v="Medium"/>
    <n v="1000.8869999999999"/>
    <d v="2003-12-05T00:00:00"/>
    <x v="0"/>
    <x v="0"/>
    <x v="6"/>
    <x v="0"/>
    <s v="Dec-2003"/>
    <x v="3"/>
    <x v="31"/>
    <x v="10"/>
    <x v="0"/>
    <x v="1"/>
  </r>
  <r>
    <n v="10215"/>
    <n v="49"/>
    <n v="100"/>
    <n v="4900"/>
    <s v="Medium"/>
    <n v="1470"/>
    <d v="2004-01-29T00:00:00"/>
    <x v="0"/>
    <x v="0"/>
    <x v="7"/>
    <x v="1"/>
    <s v="Jan-2004"/>
    <x v="3"/>
    <x v="32"/>
    <x v="0"/>
    <x v="0"/>
    <x v="1"/>
  </r>
  <r>
    <n v="10228"/>
    <n v="24"/>
    <n v="100"/>
    <n v="2400"/>
    <s v="Medium"/>
    <n v="720"/>
    <d v="2004-03-10T00:00:00"/>
    <x v="0"/>
    <x v="0"/>
    <x v="11"/>
    <x v="1"/>
    <s v="Mar-2004"/>
    <x v="3"/>
    <x v="33"/>
    <x v="0"/>
    <x v="0"/>
    <x v="0"/>
  </r>
  <r>
    <n v="10244"/>
    <n v="30"/>
    <n v="100"/>
    <n v="3000"/>
    <s v="Medium"/>
    <n v="900"/>
    <d v="2004-04-29T00:00:00"/>
    <x v="0"/>
    <x v="0"/>
    <x v="8"/>
    <x v="1"/>
    <s v="Apr-2004"/>
    <x v="3"/>
    <x v="23"/>
    <x v="7"/>
    <x v="1"/>
    <x v="1"/>
  </r>
  <r>
    <n v="10257"/>
    <n v="50"/>
    <n v="88.14"/>
    <n v="4407"/>
    <s v="Medium"/>
    <n v="1322.1"/>
    <d v="2004-06-14T00:00:00"/>
    <x v="0"/>
    <x v="0"/>
    <x v="9"/>
    <x v="1"/>
    <s v="Jun-2004"/>
    <x v="3"/>
    <x v="61"/>
    <x v="0"/>
    <x v="0"/>
    <x v="1"/>
  </r>
  <r>
    <n v="10270"/>
    <n v="31"/>
    <n v="96.24"/>
    <n v="2983.44"/>
    <s v="Medium"/>
    <n v="895.03200000000004"/>
    <d v="2004-07-19T00:00:00"/>
    <x v="0"/>
    <x v="0"/>
    <x v="2"/>
    <x v="1"/>
    <s v="Jul-2004"/>
    <x v="3"/>
    <x v="20"/>
    <x v="3"/>
    <x v="2"/>
    <x v="0"/>
  </r>
  <r>
    <n v="10280"/>
    <n v="46"/>
    <n v="100"/>
    <n v="4600"/>
    <s v="Medium"/>
    <n v="1380"/>
    <d v="2004-08-17T00:00:00"/>
    <x v="0"/>
    <x v="0"/>
    <x v="3"/>
    <x v="1"/>
    <s v="Aug-2004"/>
    <x v="3"/>
    <x v="36"/>
    <x v="12"/>
    <x v="1"/>
    <x v="1"/>
  </r>
  <r>
    <n v="10291"/>
    <n v="47"/>
    <n v="100"/>
    <n v="4700"/>
    <s v="Medium"/>
    <n v="1410"/>
    <d v="2004-09-08T00:00:00"/>
    <x v="0"/>
    <x v="0"/>
    <x v="10"/>
    <x v="1"/>
    <s v="Sep-2004"/>
    <x v="3"/>
    <x v="37"/>
    <x v="8"/>
    <x v="1"/>
    <x v="1"/>
  </r>
  <r>
    <n v="10304"/>
    <n v="46"/>
    <n v="100"/>
    <n v="4600"/>
    <s v="Medium"/>
    <n v="1380"/>
    <d v="2004-10-11T00:00:00"/>
    <x v="0"/>
    <x v="0"/>
    <x v="4"/>
    <x v="1"/>
    <s v="Oct-2004"/>
    <x v="3"/>
    <x v="38"/>
    <x v="1"/>
    <x v="1"/>
    <x v="1"/>
  </r>
  <r>
    <n v="10312"/>
    <n v="37"/>
    <n v="100"/>
    <n v="3700"/>
    <s v="Medium"/>
    <n v="1110"/>
    <d v="2004-10-21T00:00:00"/>
    <x v="0"/>
    <x v="0"/>
    <x v="4"/>
    <x v="1"/>
    <s v="Oct-2004"/>
    <x v="3"/>
    <x v="39"/>
    <x v="0"/>
    <x v="0"/>
    <x v="1"/>
  </r>
  <r>
    <n v="10322"/>
    <n v="33"/>
    <n v="100"/>
    <n v="3300"/>
    <s v="Medium"/>
    <n v="990"/>
    <d v="2004-11-04T00:00:00"/>
    <x v="0"/>
    <x v="0"/>
    <x v="5"/>
    <x v="1"/>
    <s v="Nov-2004"/>
    <x v="3"/>
    <x v="40"/>
    <x v="0"/>
    <x v="0"/>
    <x v="1"/>
  </r>
  <r>
    <n v="10333"/>
    <n v="31"/>
    <n v="90.17"/>
    <n v="2795.27"/>
    <s v="Medium"/>
    <n v="838.58100000000002"/>
    <d v="2004-11-18T00:00:00"/>
    <x v="0"/>
    <x v="0"/>
    <x v="5"/>
    <x v="1"/>
    <s v="Nov-2004"/>
    <x v="3"/>
    <x v="8"/>
    <x v="0"/>
    <x v="0"/>
    <x v="0"/>
  </r>
  <r>
    <n v="10347"/>
    <n v="48"/>
    <n v="100"/>
    <n v="4800"/>
    <s v="Medium"/>
    <n v="1440"/>
    <d v="2004-11-29T00:00:00"/>
    <x v="0"/>
    <x v="0"/>
    <x v="5"/>
    <x v="1"/>
    <s v="Nov-2004"/>
    <x v="3"/>
    <x v="10"/>
    <x v="3"/>
    <x v="2"/>
    <x v="1"/>
  </r>
  <r>
    <n v="10357"/>
    <n v="41"/>
    <n v="87.13"/>
    <n v="3572.33"/>
    <s v="Medium"/>
    <n v="1071.6989999999998"/>
    <d v="2004-12-10T00:00:00"/>
    <x v="0"/>
    <x v="0"/>
    <x v="6"/>
    <x v="1"/>
    <s v="Dec-2004"/>
    <x v="3"/>
    <x v="39"/>
    <x v="0"/>
    <x v="0"/>
    <x v="1"/>
  </r>
  <r>
    <n v="10369"/>
    <n v="42"/>
    <n v="100"/>
    <n v="4200"/>
    <s v="Medium"/>
    <n v="1260"/>
    <d v="2005-01-20T00:00:00"/>
    <x v="0"/>
    <x v="0"/>
    <x v="7"/>
    <x v="2"/>
    <s v="Jan-2005"/>
    <x v="3"/>
    <x v="41"/>
    <x v="0"/>
    <x v="0"/>
    <x v="1"/>
  </r>
  <r>
    <n v="10381"/>
    <n v="41"/>
    <n v="100"/>
    <n v="4100"/>
    <s v="Medium"/>
    <n v="1230"/>
    <d v="2005-02-17T00:00:00"/>
    <x v="0"/>
    <x v="0"/>
    <x v="0"/>
    <x v="2"/>
    <s v="Feb-2005"/>
    <x v="3"/>
    <x v="4"/>
    <x v="0"/>
    <x v="0"/>
    <x v="1"/>
  </r>
  <r>
    <n v="10391"/>
    <n v="32"/>
    <n v="45.25"/>
    <n v="1448"/>
    <s v="Low"/>
    <n v="434.4"/>
    <d v="2005-03-09T00:00:00"/>
    <x v="0"/>
    <x v="0"/>
    <x v="11"/>
    <x v="2"/>
    <s v="Mar-2005"/>
    <x v="3"/>
    <x v="42"/>
    <x v="3"/>
    <x v="2"/>
    <x v="0"/>
  </r>
  <r>
    <n v="10423"/>
    <n v="10"/>
    <n v="88.14"/>
    <n v="881.4"/>
    <s v="Low"/>
    <n v="264.41999999999996"/>
    <d v="2005-05-30T00:00:00"/>
    <x v="2"/>
    <x v="1"/>
    <x v="1"/>
    <x v="2"/>
    <s v="May-2005"/>
    <x v="3"/>
    <x v="56"/>
    <x v="14"/>
    <x v="1"/>
    <x v="0"/>
  </r>
  <r>
    <n v="10103"/>
    <n v="35"/>
    <n v="57.46"/>
    <n v="2011.1000000000001"/>
    <s v="Medium"/>
    <n v="603.33000000000004"/>
    <d v="2003-01-29T00:00:00"/>
    <x v="0"/>
    <x v="0"/>
    <x v="7"/>
    <x v="0"/>
    <s v="Jan-2003"/>
    <x v="3"/>
    <x v="17"/>
    <x v="2"/>
    <x v="1"/>
    <x v="0"/>
  </r>
  <r>
    <n v="10111"/>
    <n v="28"/>
    <n v="64.33"/>
    <n v="1801.24"/>
    <s v="Low"/>
    <n v="540.37199999999996"/>
    <d v="2003-03-25T00:00:00"/>
    <x v="0"/>
    <x v="0"/>
    <x v="11"/>
    <x v="0"/>
    <s v="Mar-2003"/>
    <x v="3"/>
    <x v="8"/>
    <x v="0"/>
    <x v="0"/>
    <x v="0"/>
  </r>
  <r>
    <n v="10126"/>
    <n v="46"/>
    <n v="73.7"/>
    <n v="3390.2000000000003"/>
    <s v="Medium"/>
    <n v="1017.0600000000001"/>
    <d v="2003-05-28T00:00:00"/>
    <x v="0"/>
    <x v="0"/>
    <x v="1"/>
    <x v="0"/>
    <s v="May-2003"/>
    <x v="3"/>
    <x v="25"/>
    <x v="7"/>
    <x v="1"/>
    <x v="1"/>
  </r>
  <r>
    <n v="10139"/>
    <n v="20"/>
    <n v="71.2"/>
    <n v="1424"/>
    <s v="Low"/>
    <n v="427.2"/>
    <d v="2003-07-16T00:00:00"/>
    <x v="0"/>
    <x v="0"/>
    <x v="2"/>
    <x v="0"/>
    <s v="Jul-2003"/>
    <x v="3"/>
    <x v="20"/>
    <x v="3"/>
    <x v="2"/>
    <x v="0"/>
  </r>
  <r>
    <n v="10150"/>
    <n v="30"/>
    <n v="49.97"/>
    <n v="1499.1"/>
    <s v="Low"/>
    <n v="449.72999999999996"/>
    <d v="2003-09-19T00:00:00"/>
    <x v="0"/>
    <x v="0"/>
    <x v="10"/>
    <x v="0"/>
    <s v="Sep-2003"/>
    <x v="3"/>
    <x v="26"/>
    <x v="9"/>
    <x v="3"/>
    <x v="0"/>
  </r>
  <r>
    <n v="10163"/>
    <n v="48"/>
    <n v="69.959999999999994"/>
    <n v="3358.08"/>
    <s v="Medium"/>
    <n v="1007.424"/>
    <d v="2003-10-20T00:00:00"/>
    <x v="0"/>
    <x v="0"/>
    <x v="4"/>
    <x v="0"/>
    <s v="Oct-2003"/>
    <x v="3"/>
    <x v="27"/>
    <x v="0"/>
    <x v="0"/>
    <x v="1"/>
  </r>
  <r>
    <n v="10173"/>
    <n v="28"/>
    <n v="53.72"/>
    <n v="1504.1599999999999"/>
    <s v="Low"/>
    <n v="451.24799999999993"/>
    <d v="2003-11-05T00:00:00"/>
    <x v="0"/>
    <x v="0"/>
    <x v="5"/>
    <x v="0"/>
    <s v="Nov-2003"/>
    <x v="3"/>
    <x v="86"/>
    <x v="12"/>
    <x v="1"/>
    <x v="0"/>
  </r>
  <r>
    <n v="10183"/>
    <n v="39"/>
    <n v="68.08"/>
    <n v="2655.12"/>
    <s v="Medium"/>
    <n v="796.53599999999994"/>
    <d v="2003-11-13T00:00:00"/>
    <x v="0"/>
    <x v="0"/>
    <x v="5"/>
    <x v="0"/>
    <s v="Nov-2003"/>
    <x v="3"/>
    <x v="29"/>
    <x v="0"/>
    <x v="0"/>
    <x v="0"/>
  </r>
  <r>
    <n v="10193"/>
    <n v="24"/>
    <n v="51.84"/>
    <n v="1244.1600000000001"/>
    <s v="Low"/>
    <n v="373.24799999999999"/>
    <d v="2003-11-21T00:00:00"/>
    <x v="0"/>
    <x v="0"/>
    <x v="5"/>
    <x v="0"/>
    <s v="Nov-2003"/>
    <x v="3"/>
    <x v="87"/>
    <x v="3"/>
    <x v="2"/>
    <x v="0"/>
  </r>
  <r>
    <n v="10206"/>
    <n v="28"/>
    <n v="67.459999999999994"/>
    <n v="1888.8799999999999"/>
    <s v="Low"/>
    <n v="566.66399999999999"/>
    <d v="2003-12-05T00:00:00"/>
    <x v="0"/>
    <x v="0"/>
    <x v="6"/>
    <x v="0"/>
    <s v="Dec-2003"/>
    <x v="3"/>
    <x v="31"/>
    <x v="10"/>
    <x v="0"/>
    <x v="0"/>
  </r>
  <r>
    <n v="10215"/>
    <n v="31"/>
    <n v="58.71"/>
    <n v="1820.01"/>
    <s v="Low"/>
    <n v="546.00299999999993"/>
    <d v="2004-01-29T00:00:00"/>
    <x v="0"/>
    <x v="0"/>
    <x v="7"/>
    <x v="1"/>
    <s v="Jan-2004"/>
    <x v="3"/>
    <x v="32"/>
    <x v="0"/>
    <x v="0"/>
    <x v="0"/>
  </r>
  <r>
    <n v="10228"/>
    <n v="45"/>
    <n v="63.71"/>
    <n v="2866.95"/>
    <s v="Medium"/>
    <n v="860.08499999999992"/>
    <d v="2004-03-10T00:00:00"/>
    <x v="0"/>
    <x v="0"/>
    <x v="11"/>
    <x v="1"/>
    <s v="Mar-2004"/>
    <x v="3"/>
    <x v="33"/>
    <x v="0"/>
    <x v="0"/>
    <x v="0"/>
  </r>
  <r>
    <n v="10244"/>
    <n v="24"/>
    <n v="58.09"/>
    <n v="1394.16"/>
    <s v="Low"/>
    <n v="418.24799999999999"/>
    <d v="2004-04-29T00:00:00"/>
    <x v="0"/>
    <x v="0"/>
    <x v="8"/>
    <x v="1"/>
    <s v="Apr-2004"/>
    <x v="3"/>
    <x v="23"/>
    <x v="7"/>
    <x v="1"/>
    <x v="0"/>
  </r>
  <r>
    <n v="10257"/>
    <n v="49"/>
    <n v="53.72"/>
    <n v="2632.2799999999997"/>
    <s v="Medium"/>
    <n v="789.68399999999986"/>
    <d v="2004-06-14T00:00:00"/>
    <x v="0"/>
    <x v="0"/>
    <x v="9"/>
    <x v="1"/>
    <s v="Jun-2004"/>
    <x v="3"/>
    <x v="61"/>
    <x v="0"/>
    <x v="0"/>
    <x v="0"/>
  </r>
  <r>
    <n v="10269"/>
    <n v="32"/>
    <n v="63.08"/>
    <n v="2018.56"/>
    <s v="Medium"/>
    <n v="605.56799999999998"/>
    <d v="2004-07-16T00:00:00"/>
    <x v="0"/>
    <x v="0"/>
    <x v="2"/>
    <x v="1"/>
    <s v="Jul-2004"/>
    <x v="3"/>
    <x v="19"/>
    <x v="5"/>
    <x v="1"/>
    <x v="0"/>
  </r>
  <r>
    <n v="10280"/>
    <n v="43"/>
    <n v="68.709999999999994"/>
    <n v="2954.5299999999997"/>
    <s v="Medium"/>
    <n v="886.35899999999992"/>
    <d v="2004-08-17T00:00:00"/>
    <x v="0"/>
    <x v="0"/>
    <x v="3"/>
    <x v="1"/>
    <s v="Aug-2004"/>
    <x v="3"/>
    <x v="36"/>
    <x v="12"/>
    <x v="1"/>
    <x v="0"/>
  </r>
  <r>
    <n v="10291"/>
    <n v="37"/>
    <n v="50.59"/>
    <n v="1871.8300000000002"/>
    <s v="Low"/>
    <n v="561.54899999999998"/>
    <d v="2004-09-08T00:00:00"/>
    <x v="0"/>
    <x v="0"/>
    <x v="10"/>
    <x v="1"/>
    <s v="Sep-2004"/>
    <x v="3"/>
    <x v="37"/>
    <x v="8"/>
    <x v="1"/>
    <x v="0"/>
  </r>
  <r>
    <n v="10304"/>
    <n v="24"/>
    <n v="64.959999999999994"/>
    <n v="1559.04"/>
    <s v="Low"/>
    <n v="467.71199999999999"/>
    <d v="2004-10-11T00:00:00"/>
    <x v="0"/>
    <x v="0"/>
    <x v="4"/>
    <x v="1"/>
    <s v="Oct-2004"/>
    <x v="3"/>
    <x v="38"/>
    <x v="1"/>
    <x v="1"/>
    <x v="0"/>
  </r>
  <r>
    <n v="10312"/>
    <n v="35"/>
    <n v="53.72"/>
    <n v="1880.2"/>
    <s v="Low"/>
    <n v="564.05999999999995"/>
    <d v="2004-10-21T00:00:00"/>
    <x v="0"/>
    <x v="0"/>
    <x v="4"/>
    <x v="1"/>
    <s v="Oct-2004"/>
    <x v="3"/>
    <x v="39"/>
    <x v="0"/>
    <x v="0"/>
    <x v="0"/>
  </r>
  <r>
    <n v="10322"/>
    <n v="41"/>
    <n v="29.87"/>
    <n v="1224.67"/>
    <s v="Low"/>
    <n v="367.40100000000001"/>
    <d v="2004-11-04T00:00:00"/>
    <x v="0"/>
    <x v="0"/>
    <x v="5"/>
    <x v="1"/>
    <s v="Nov-2004"/>
    <x v="3"/>
    <x v="40"/>
    <x v="0"/>
    <x v="0"/>
    <x v="0"/>
  </r>
  <r>
    <n v="10332"/>
    <n v="26"/>
    <n v="100"/>
    <n v="2600"/>
    <s v="Medium"/>
    <n v="780"/>
    <d v="2004-11-17T00:00:00"/>
    <x v="0"/>
    <x v="0"/>
    <x v="5"/>
    <x v="1"/>
    <s v="Nov-2004"/>
    <x v="3"/>
    <x v="77"/>
    <x v="6"/>
    <x v="1"/>
    <x v="0"/>
  </r>
  <r>
    <n v="10347"/>
    <n v="34"/>
    <n v="64.959999999999994"/>
    <n v="2208.64"/>
    <s v="Medium"/>
    <n v="662.59199999999998"/>
    <d v="2004-11-29T00:00:00"/>
    <x v="0"/>
    <x v="0"/>
    <x v="5"/>
    <x v="1"/>
    <s v="Nov-2004"/>
    <x v="3"/>
    <x v="10"/>
    <x v="3"/>
    <x v="2"/>
    <x v="0"/>
  </r>
  <r>
    <n v="10357"/>
    <n v="49"/>
    <n v="70.58"/>
    <n v="3458.42"/>
    <s v="Medium"/>
    <n v="1037.5260000000001"/>
    <d v="2004-12-10T00:00:00"/>
    <x v="0"/>
    <x v="0"/>
    <x v="6"/>
    <x v="1"/>
    <s v="Dec-2004"/>
    <x v="3"/>
    <x v="39"/>
    <x v="0"/>
    <x v="0"/>
    <x v="1"/>
  </r>
  <r>
    <n v="10369"/>
    <n v="28"/>
    <n v="44.21"/>
    <n v="1237.8800000000001"/>
    <s v="Low"/>
    <n v="371.36400000000003"/>
    <d v="2005-01-20T00:00:00"/>
    <x v="0"/>
    <x v="0"/>
    <x v="7"/>
    <x v="2"/>
    <s v="Jan-2005"/>
    <x v="3"/>
    <x v="41"/>
    <x v="0"/>
    <x v="0"/>
    <x v="0"/>
  </r>
  <r>
    <n v="10381"/>
    <n v="40"/>
    <n v="68.08"/>
    <n v="2723.2"/>
    <s v="Medium"/>
    <n v="816.95999999999992"/>
    <d v="2005-02-17T00:00:00"/>
    <x v="0"/>
    <x v="0"/>
    <x v="0"/>
    <x v="2"/>
    <s v="Feb-2005"/>
    <x v="3"/>
    <x v="4"/>
    <x v="0"/>
    <x v="0"/>
    <x v="0"/>
  </r>
  <r>
    <n v="10392"/>
    <n v="37"/>
    <n v="59.96"/>
    <n v="2218.52"/>
    <s v="Medium"/>
    <n v="665.55599999999993"/>
    <d v="2005-03-10T00:00:00"/>
    <x v="0"/>
    <x v="0"/>
    <x v="11"/>
    <x v="2"/>
    <s v="Mar-2005"/>
    <x v="3"/>
    <x v="63"/>
    <x v="5"/>
    <x v="1"/>
    <x v="0"/>
  </r>
  <r>
    <n v="10423"/>
    <n v="31"/>
    <n v="53.72"/>
    <n v="1665.32"/>
    <s v="Low"/>
    <n v="499.59599999999995"/>
    <d v="2005-05-30T00:00:00"/>
    <x v="2"/>
    <x v="1"/>
    <x v="1"/>
    <x v="2"/>
    <s v="May-2005"/>
    <x v="3"/>
    <x v="56"/>
    <x v="14"/>
    <x v="1"/>
    <x v="0"/>
  </r>
  <r>
    <n v="10106"/>
    <n v="41"/>
    <n v="83.44"/>
    <n v="3421.04"/>
    <s v="Medium"/>
    <n v="1026.3119999999999"/>
    <d v="2003-02-17T00:00:00"/>
    <x v="0"/>
    <x v="0"/>
    <x v="0"/>
    <x v="0"/>
    <s v="Feb-2003"/>
    <x v="5"/>
    <x v="86"/>
    <x v="12"/>
    <x v="1"/>
    <x v="1"/>
  </r>
  <r>
    <n v="10119"/>
    <n v="21"/>
    <n v="89.46"/>
    <n v="1878.6599999999999"/>
    <s v="Low"/>
    <n v="563.59799999999996"/>
    <d v="2003-04-28T00:00:00"/>
    <x v="0"/>
    <x v="0"/>
    <x v="8"/>
    <x v="0"/>
    <s v="Apr-2003"/>
    <x v="5"/>
    <x v="19"/>
    <x v="5"/>
    <x v="1"/>
    <x v="0"/>
  </r>
  <r>
    <n v="10130"/>
    <n v="40"/>
    <n v="96.34"/>
    <n v="3853.6000000000004"/>
    <s v="Medium"/>
    <n v="1156.0800000000002"/>
    <d v="2003-06-16T00:00:00"/>
    <x v="0"/>
    <x v="0"/>
    <x v="9"/>
    <x v="0"/>
    <s v="Jun-2003"/>
    <x v="5"/>
    <x v="91"/>
    <x v="0"/>
    <x v="0"/>
    <x v="1"/>
  </r>
  <r>
    <n v="10143"/>
    <n v="46"/>
    <n v="74.84"/>
    <n v="3442.6400000000003"/>
    <s v="Medium"/>
    <n v="1032.7920000000001"/>
    <d v="2003-08-10T00:00:00"/>
    <x v="0"/>
    <x v="0"/>
    <x v="3"/>
    <x v="0"/>
    <s v="Aug-2003"/>
    <x v="5"/>
    <x v="50"/>
    <x v="0"/>
    <x v="0"/>
    <x v="1"/>
  </r>
  <r>
    <n v="10155"/>
    <n v="44"/>
    <n v="79.14"/>
    <n v="3482.16"/>
    <s v="Medium"/>
    <n v="1044.6479999999999"/>
    <d v="2003-10-06T00:00:00"/>
    <x v="0"/>
    <x v="0"/>
    <x v="4"/>
    <x v="0"/>
    <s v="Oct-2003"/>
    <x v="5"/>
    <x v="16"/>
    <x v="4"/>
    <x v="1"/>
    <x v="1"/>
  </r>
  <r>
    <n v="10167"/>
    <n v="46"/>
    <n v="73.12"/>
    <n v="3363.5200000000004"/>
    <s v="Medium"/>
    <n v="1009.056"/>
    <d v="2003-10-23T00:00:00"/>
    <x v="3"/>
    <x v="1"/>
    <x v="4"/>
    <x v="0"/>
    <s v="Oct-2003"/>
    <x v="5"/>
    <x v="37"/>
    <x v="8"/>
    <x v="1"/>
    <x v="1"/>
  </r>
  <r>
    <n v="10178"/>
    <n v="41"/>
    <n v="81.72"/>
    <n v="3350.52"/>
    <s v="Medium"/>
    <n v="1005.1559999999999"/>
    <d v="2003-11-08T00:00:00"/>
    <x v="0"/>
    <x v="0"/>
    <x v="5"/>
    <x v="0"/>
    <s v="Nov-2003"/>
    <x v="5"/>
    <x v="51"/>
    <x v="1"/>
    <x v="1"/>
    <x v="1"/>
  </r>
  <r>
    <n v="10186"/>
    <n v="32"/>
    <n v="89.46"/>
    <n v="2862.72"/>
    <s v="Medium"/>
    <n v="858.81599999999992"/>
    <d v="2003-11-14T00:00:00"/>
    <x v="0"/>
    <x v="0"/>
    <x v="5"/>
    <x v="0"/>
    <s v="Nov-2003"/>
    <x v="5"/>
    <x v="52"/>
    <x v="6"/>
    <x v="1"/>
    <x v="0"/>
  </r>
  <r>
    <n v="10197"/>
    <n v="46"/>
    <n v="87.74"/>
    <n v="4036.04"/>
    <s v="Medium"/>
    <n v="1210.8119999999999"/>
    <d v="2003-11-26T00:00:00"/>
    <x v="0"/>
    <x v="0"/>
    <x v="5"/>
    <x v="0"/>
    <s v="Nov-2003"/>
    <x v="5"/>
    <x v="53"/>
    <x v="7"/>
    <x v="1"/>
    <x v="1"/>
  </r>
  <r>
    <n v="10209"/>
    <n v="28"/>
    <n v="100"/>
    <n v="2800"/>
    <s v="Medium"/>
    <n v="840"/>
    <d v="2004-01-09T00:00:00"/>
    <x v="0"/>
    <x v="0"/>
    <x v="7"/>
    <x v="1"/>
    <s v="Jan-2004"/>
    <x v="5"/>
    <x v="54"/>
    <x v="0"/>
    <x v="0"/>
    <x v="0"/>
  </r>
  <r>
    <n v="10222"/>
    <n v="49"/>
    <n v="94.62"/>
    <n v="4636.38"/>
    <s v="Medium"/>
    <n v="1390.914"/>
    <d v="2004-02-19T00:00:00"/>
    <x v="0"/>
    <x v="0"/>
    <x v="0"/>
    <x v="1"/>
    <s v="Feb-2004"/>
    <x v="5"/>
    <x v="55"/>
    <x v="0"/>
    <x v="0"/>
    <x v="1"/>
  </r>
  <r>
    <n v="10248"/>
    <n v="21"/>
    <n v="73.98"/>
    <n v="1553.5800000000002"/>
    <s v="Low"/>
    <n v="466.07400000000001"/>
    <d v="2004-05-07T00:00:00"/>
    <x v="3"/>
    <x v="1"/>
    <x v="1"/>
    <x v="1"/>
    <s v="May-2004"/>
    <x v="5"/>
    <x v="0"/>
    <x v="0"/>
    <x v="0"/>
    <x v="0"/>
  </r>
  <r>
    <n v="10262"/>
    <n v="32"/>
    <n v="84.3"/>
    <n v="2697.6"/>
    <s v="Medium"/>
    <n v="809.28"/>
    <d v="2004-06-24T00:00:00"/>
    <x v="3"/>
    <x v="1"/>
    <x v="9"/>
    <x v="1"/>
    <s v="Jun-2004"/>
    <x v="5"/>
    <x v="23"/>
    <x v="7"/>
    <x v="1"/>
    <x v="0"/>
  </r>
  <r>
    <n v="10273"/>
    <n v="34"/>
    <n v="98.06"/>
    <n v="3334.04"/>
    <s v="Medium"/>
    <n v="1000.212"/>
    <d v="2004-07-21T00:00:00"/>
    <x v="0"/>
    <x v="0"/>
    <x v="2"/>
    <x v="1"/>
    <s v="Jul-2004"/>
    <x v="5"/>
    <x v="56"/>
    <x v="14"/>
    <x v="1"/>
    <x v="1"/>
  </r>
  <r>
    <n v="10283"/>
    <n v="21"/>
    <n v="98.06"/>
    <n v="2059.2600000000002"/>
    <s v="Medium"/>
    <n v="617.77800000000002"/>
    <d v="2004-08-20T00:00:00"/>
    <x v="0"/>
    <x v="0"/>
    <x v="3"/>
    <x v="1"/>
    <s v="Aug-2004"/>
    <x v="5"/>
    <x v="57"/>
    <x v="10"/>
    <x v="0"/>
    <x v="0"/>
  </r>
  <r>
    <n v="10296"/>
    <n v="21"/>
    <n v="96.34"/>
    <n v="2023.14"/>
    <s v="Medium"/>
    <n v="606.94200000000001"/>
    <d v="2004-09-15T00:00:00"/>
    <x v="0"/>
    <x v="0"/>
    <x v="10"/>
    <x v="1"/>
    <s v="Sep-2004"/>
    <x v="5"/>
    <x v="89"/>
    <x v="16"/>
    <x v="1"/>
    <x v="0"/>
  </r>
  <r>
    <n v="10307"/>
    <n v="31"/>
    <n v="83.44"/>
    <n v="2586.64"/>
    <s v="Medium"/>
    <n v="775.99199999999996"/>
    <d v="2004-10-14T00:00:00"/>
    <x v="0"/>
    <x v="0"/>
    <x v="4"/>
    <x v="1"/>
    <s v="Oct-2004"/>
    <x v="5"/>
    <x v="29"/>
    <x v="0"/>
    <x v="0"/>
    <x v="0"/>
  </r>
  <r>
    <n v="10316"/>
    <n v="21"/>
    <n v="94.62"/>
    <n v="1987.02"/>
    <s v="Low"/>
    <n v="596.10599999999999"/>
    <d v="2004-11-01T00:00:00"/>
    <x v="0"/>
    <x v="0"/>
    <x v="5"/>
    <x v="1"/>
    <s v="Nov-2004"/>
    <x v="5"/>
    <x v="59"/>
    <x v="6"/>
    <x v="1"/>
    <x v="0"/>
  </r>
  <r>
    <n v="10327"/>
    <n v="25"/>
    <n v="45.86"/>
    <n v="1146.5"/>
    <s v="Low"/>
    <n v="343.95"/>
    <d v="2004-11-10T00:00:00"/>
    <x v="5"/>
    <x v="1"/>
    <x v="5"/>
    <x v="1"/>
    <s v="Nov-2004"/>
    <x v="5"/>
    <x v="48"/>
    <x v="13"/>
    <x v="1"/>
    <x v="0"/>
  </r>
  <r>
    <n v="10338"/>
    <n v="28"/>
    <n v="82.58"/>
    <n v="2312.2399999999998"/>
    <s v="Medium"/>
    <n v="693.67199999999991"/>
    <d v="2004-11-22T00:00:00"/>
    <x v="0"/>
    <x v="0"/>
    <x v="5"/>
    <x v="1"/>
    <s v="Nov-2004"/>
    <x v="5"/>
    <x v="90"/>
    <x v="14"/>
    <x v="1"/>
    <x v="0"/>
  </r>
  <r>
    <n v="10350"/>
    <n v="43"/>
    <n v="64.97"/>
    <n v="2793.71"/>
    <s v="Medium"/>
    <n v="838.11299999999994"/>
    <d v="2004-12-02T00:00:00"/>
    <x v="0"/>
    <x v="0"/>
    <x v="6"/>
    <x v="1"/>
    <s v="Dec-2004"/>
    <x v="5"/>
    <x v="23"/>
    <x v="7"/>
    <x v="1"/>
    <x v="0"/>
  </r>
  <r>
    <n v="10373"/>
    <n v="22"/>
    <n v="86.74"/>
    <n v="1908.28"/>
    <s v="Low"/>
    <n v="572.48399999999992"/>
    <d v="2005-01-31T00:00:00"/>
    <x v="0"/>
    <x v="0"/>
    <x v="7"/>
    <x v="2"/>
    <s v="Jan-2005"/>
    <x v="5"/>
    <x v="60"/>
    <x v="4"/>
    <x v="1"/>
    <x v="0"/>
  </r>
  <r>
    <n v="10386"/>
    <n v="37"/>
    <n v="93.01"/>
    <n v="3441.3700000000003"/>
    <s v="Medium"/>
    <n v="1032.4110000000001"/>
    <d v="2005-03-01T00:00:00"/>
    <x v="5"/>
    <x v="1"/>
    <x v="11"/>
    <x v="2"/>
    <s v="Mar-2005"/>
    <x v="5"/>
    <x v="23"/>
    <x v="7"/>
    <x v="1"/>
    <x v="1"/>
  </r>
  <r>
    <n v="10398"/>
    <n v="28"/>
    <n v="72.260000000000005"/>
    <n v="2023.2800000000002"/>
    <s v="Medium"/>
    <n v="606.98400000000004"/>
    <d v="2005-03-30T00:00:00"/>
    <x v="0"/>
    <x v="0"/>
    <x v="11"/>
    <x v="2"/>
    <s v="Mar-2005"/>
    <x v="5"/>
    <x v="1"/>
    <x v="1"/>
    <x v="1"/>
    <x v="0"/>
  </r>
  <r>
    <n v="10400"/>
    <n v="30"/>
    <n v="74.84"/>
    <n v="2245.2000000000003"/>
    <s v="Medium"/>
    <n v="673.56000000000006"/>
    <d v="2005-04-01T00:00:00"/>
    <x v="0"/>
    <x v="0"/>
    <x v="8"/>
    <x v="2"/>
    <s v="Apr-2005"/>
    <x v="5"/>
    <x v="61"/>
    <x v="0"/>
    <x v="0"/>
    <x v="0"/>
  </r>
  <r>
    <n v="10414"/>
    <n v="44"/>
    <n v="73.98"/>
    <n v="3255.1200000000003"/>
    <s v="Medium"/>
    <n v="976.53600000000006"/>
    <d v="2005-05-06T00:00:00"/>
    <x v="4"/>
    <x v="1"/>
    <x v="1"/>
    <x v="2"/>
    <s v="May-2005"/>
    <x v="5"/>
    <x v="58"/>
    <x v="0"/>
    <x v="0"/>
    <x v="1"/>
  </r>
  <r>
    <n v="10103"/>
    <n v="25"/>
    <n v="100"/>
    <n v="2500"/>
    <s v="Medium"/>
    <n v="750"/>
    <d v="2003-01-29T00:00:00"/>
    <x v="0"/>
    <x v="0"/>
    <x v="7"/>
    <x v="0"/>
    <s v="Jan-2003"/>
    <x v="3"/>
    <x v="17"/>
    <x v="2"/>
    <x v="1"/>
    <x v="0"/>
  </r>
  <r>
    <n v="10111"/>
    <n v="43"/>
    <n v="100"/>
    <n v="4300"/>
    <s v="Medium"/>
    <n v="1290"/>
    <d v="2003-03-25T00:00:00"/>
    <x v="0"/>
    <x v="0"/>
    <x v="11"/>
    <x v="0"/>
    <s v="Mar-2003"/>
    <x v="3"/>
    <x v="8"/>
    <x v="0"/>
    <x v="0"/>
    <x v="1"/>
  </r>
  <r>
    <n v="10126"/>
    <n v="30"/>
    <n v="97.39"/>
    <n v="2921.7"/>
    <s v="Medium"/>
    <n v="876.50999999999988"/>
    <d v="2003-05-28T00:00:00"/>
    <x v="0"/>
    <x v="0"/>
    <x v="1"/>
    <x v="0"/>
    <s v="May-2003"/>
    <x v="3"/>
    <x v="25"/>
    <x v="7"/>
    <x v="1"/>
    <x v="0"/>
  </r>
  <r>
    <n v="10139"/>
    <n v="20"/>
    <n v="90.06"/>
    <n v="1801.2"/>
    <s v="Low"/>
    <n v="540.36"/>
    <d v="2003-07-16T00:00:00"/>
    <x v="0"/>
    <x v="0"/>
    <x v="2"/>
    <x v="0"/>
    <s v="Jul-2003"/>
    <x v="3"/>
    <x v="20"/>
    <x v="3"/>
    <x v="2"/>
    <x v="0"/>
  </r>
  <r>
    <n v="10150"/>
    <n v="26"/>
    <n v="100"/>
    <n v="2600"/>
    <s v="Medium"/>
    <n v="780"/>
    <d v="2003-09-19T00:00:00"/>
    <x v="0"/>
    <x v="0"/>
    <x v="10"/>
    <x v="0"/>
    <s v="Sep-2003"/>
    <x v="3"/>
    <x v="26"/>
    <x v="9"/>
    <x v="3"/>
    <x v="0"/>
  </r>
  <r>
    <n v="10163"/>
    <n v="40"/>
    <n v="100"/>
    <n v="4000"/>
    <s v="Medium"/>
    <n v="1200"/>
    <d v="2003-10-20T00:00:00"/>
    <x v="0"/>
    <x v="0"/>
    <x v="4"/>
    <x v="0"/>
    <s v="Oct-2003"/>
    <x v="3"/>
    <x v="27"/>
    <x v="0"/>
    <x v="0"/>
    <x v="1"/>
  </r>
  <r>
    <n v="10173"/>
    <n v="31"/>
    <n v="89.01"/>
    <n v="2759.31"/>
    <s v="Medium"/>
    <n v="827.79300000000001"/>
    <d v="2003-11-05T00:00:00"/>
    <x v="0"/>
    <x v="0"/>
    <x v="5"/>
    <x v="0"/>
    <s v="Nov-2003"/>
    <x v="3"/>
    <x v="86"/>
    <x v="12"/>
    <x v="1"/>
    <x v="0"/>
  </r>
  <r>
    <n v="10183"/>
    <n v="22"/>
    <n v="100"/>
    <n v="2200"/>
    <s v="Medium"/>
    <n v="660"/>
    <d v="2003-11-13T00:00:00"/>
    <x v="0"/>
    <x v="0"/>
    <x v="5"/>
    <x v="0"/>
    <s v="Nov-2003"/>
    <x v="3"/>
    <x v="29"/>
    <x v="0"/>
    <x v="0"/>
    <x v="0"/>
  </r>
  <r>
    <n v="10193"/>
    <n v="23"/>
    <n v="100"/>
    <n v="2300"/>
    <s v="Medium"/>
    <n v="690"/>
    <d v="2003-11-21T00:00:00"/>
    <x v="0"/>
    <x v="0"/>
    <x v="5"/>
    <x v="0"/>
    <s v="Nov-2003"/>
    <x v="3"/>
    <x v="87"/>
    <x v="3"/>
    <x v="2"/>
    <x v="0"/>
  </r>
  <r>
    <n v="10206"/>
    <n v="30"/>
    <n v="100"/>
    <n v="3000"/>
    <s v="Medium"/>
    <n v="900"/>
    <d v="2003-12-05T00:00:00"/>
    <x v="0"/>
    <x v="0"/>
    <x v="6"/>
    <x v="0"/>
    <s v="Dec-2003"/>
    <x v="3"/>
    <x v="31"/>
    <x v="10"/>
    <x v="0"/>
    <x v="1"/>
  </r>
  <r>
    <n v="10215"/>
    <n v="49"/>
    <n v="100"/>
    <n v="4900"/>
    <s v="Medium"/>
    <n v="1470"/>
    <d v="2004-01-29T00:00:00"/>
    <x v="0"/>
    <x v="0"/>
    <x v="7"/>
    <x v="1"/>
    <s v="Jan-2004"/>
    <x v="3"/>
    <x v="32"/>
    <x v="0"/>
    <x v="0"/>
    <x v="1"/>
  </r>
  <r>
    <n v="10228"/>
    <n v="31"/>
    <n v="100"/>
    <n v="3100"/>
    <s v="Medium"/>
    <n v="930"/>
    <d v="2004-03-10T00:00:00"/>
    <x v="0"/>
    <x v="0"/>
    <x v="11"/>
    <x v="1"/>
    <s v="Mar-2004"/>
    <x v="3"/>
    <x v="33"/>
    <x v="0"/>
    <x v="0"/>
    <x v="1"/>
  </r>
  <r>
    <n v="10244"/>
    <n v="29"/>
    <n v="100"/>
    <n v="2900"/>
    <s v="Medium"/>
    <n v="870"/>
    <d v="2004-04-29T00:00:00"/>
    <x v="0"/>
    <x v="0"/>
    <x v="8"/>
    <x v="1"/>
    <s v="Apr-2004"/>
    <x v="3"/>
    <x v="23"/>
    <x v="7"/>
    <x v="1"/>
    <x v="1"/>
  </r>
  <r>
    <n v="10257"/>
    <n v="37"/>
    <n v="84.82"/>
    <n v="3138.3399999999997"/>
    <s v="Medium"/>
    <n v="941.50199999999984"/>
    <d v="2004-06-14T00:00:00"/>
    <x v="0"/>
    <x v="0"/>
    <x v="9"/>
    <x v="1"/>
    <s v="Jun-2004"/>
    <x v="3"/>
    <x v="61"/>
    <x v="0"/>
    <x v="0"/>
    <x v="1"/>
  </r>
  <r>
    <n v="10270"/>
    <n v="38"/>
    <n v="100"/>
    <n v="3800"/>
    <s v="Medium"/>
    <n v="1140"/>
    <d v="2004-07-19T00:00:00"/>
    <x v="0"/>
    <x v="0"/>
    <x v="2"/>
    <x v="1"/>
    <s v="Jul-2004"/>
    <x v="3"/>
    <x v="20"/>
    <x v="3"/>
    <x v="2"/>
    <x v="1"/>
  </r>
  <r>
    <n v="10280"/>
    <n v="29"/>
    <n v="100"/>
    <n v="2900"/>
    <s v="Medium"/>
    <n v="870"/>
    <d v="2004-08-17T00:00:00"/>
    <x v="0"/>
    <x v="0"/>
    <x v="3"/>
    <x v="1"/>
    <s v="Aug-2004"/>
    <x v="3"/>
    <x v="36"/>
    <x v="12"/>
    <x v="1"/>
    <x v="1"/>
  </r>
  <r>
    <n v="10291"/>
    <n v="23"/>
    <n v="100"/>
    <n v="2300"/>
    <s v="Medium"/>
    <n v="690"/>
    <d v="2004-09-08T00:00:00"/>
    <x v="0"/>
    <x v="0"/>
    <x v="10"/>
    <x v="1"/>
    <s v="Sep-2004"/>
    <x v="3"/>
    <x v="37"/>
    <x v="8"/>
    <x v="1"/>
    <x v="0"/>
  </r>
  <r>
    <n v="10304"/>
    <n v="26"/>
    <n v="85.87"/>
    <n v="2232.62"/>
    <s v="Medium"/>
    <n v="669.78599999999994"/>
    <d v="2004-10-11T00:00:00"/>
    <x v="0"/>
    <x v="0"/>
    <x v="4"/>
    <x v="1"/>
    <s v="Oct-2004"/>
    <x v="3"/>
    <x v="38"/>
    <x v="1"/>
    <x v="1"/>
    <x v="0"/>
  </r>
  <r>
    <n v="10312"/>
    <n v="38"/>
    <n v="100"/>
    <n v="3800"/>
    <s v="Medium"/>
    <n v="1140"/>
    <d v="2004-10-21T00:00:00"/>
    <x v="0"/>
    <x v="0"/>
    <x v="4"/>
    <x v="1"/>
    <s v="Oct-2004"/>
    <x v="3"/>
    <x v="39"/>
    <x v="0"/>
    <x v="0"/>
    <x v="1"/>
  </r>
  <r>
    <n v="10322"/>
    <n v="48"/>
    <n v="47.04"/>
    <n v="2257.92"/>
    <s v="Medium"/>
    <n v="677.37599999999998"/>
    <d v="2004-11-04T00:00:00"/>
    <x v="0"/>
    <x v="0"/>
    <x v="5"/>
    <x v="1"/>
    <s v="Nov-2004"/>
    <x v="3"/>
    <x v="40"/>
    <x v="0"/>
    <x v="0"/>
    <x v="0"/>
  </r>
  <r>
    <n v="10332"/>
    <n v="40"/>
    <n v="39.799999999999997"/>
    <n v="1592"/>
    <s v="Low"/>
    <n v="477.59999999999997"/>
    <d v="2004-11-17T00:00:00"/>
    <x v="0"/>
    <x v="0"/>
    <x v="5"/>
    <x v="1"/>
    <s v="Nov-2004"/>
    <x v="3"/>
    <x v="77"/>
    <x v="6"/>
    <x v="1"/>
    <x v="0"/>
  </r>
  <r>
    <n v="10347"/>
    <n v="45"/>
    <n v="100"/>
    <n v="4500"/>
    <s v="Medium"/>
    <n v="1350"/>
    <d v="2004-11-29T00:00:00"/>
    <x v="0"/>
    <x v="0"/>
    <x v="5"/>
    <x v="1"/>
    <s v="Nov-2004"/>
    <x v="3"/>
    <x v="10"/>
    <x v="3"/>
    <x v="2"/>
    <x v="1"/>
  </r>
  <r>
    <n v="10357"/>
    <n v="44"/>
    <n v="100"/>
    <n v="4400"/>
    <s v="Medium"/>
    <n v="1320"/>
    <d v="2004-12-10T00:00:00"/>
    <x v="0"/>
    <x v="0"/>
    <x v="6"/>
    <x v="1"/>
    <s v="Dec-2004"/>
    <x v="3"/>
    <x v="39"/>
    <x v="0"/>
    <x v="0"/>
    <x v="1"/>
  </r>
  <r>
    <n v="10369"/>
    <n v="21"/>
    <n v="94.22"/>
    <n v="1978.62"/>
    <s v="Low"/>
    <n v="593.5859999999999"/>
    <d v="2005-01-20T00:00:00"/>
    <x v="0"/>
    <x v="0"/>
    <x v="7"/>
    <x v="2"/>
    <s v="Jan-2005"/>
    <x v="3"/>
    <x v="41"/>
    <x v="0"/>
    <x v="0"/>
    <x v="0"/>
  </r>
  <r>
    <n v="10381"/>
    <n v="35"/>
    <n v="100"/>
    <n v="3500"/>
    <s v="Medium"/>
    <n v="1050"/>
    <d v="2005-02-17T00:00:00"/>
    <x v="0"/>
    <x v="0"/>
    <x v="0"/>
    <x v="2"/>
    <s v="Feb-2005"/>
    <x v="3"/>
    <x v="4"/>
    <x v="0"/>
    <x v="0"/>
    <x v="1"/>
  </r>
  <r>
    <n v="10392"/>
    <n v="29"/>
    <n v="86.92"/>
    <n v="2520.6799999999998"/>
    <s v="Medium"/>
    <n v="756.20399999999995"/>
    <d v="2005-03-10T00:00:00"/>
    <x v="0"/>
    <x v="0"/>
    <x v="11"/>
    <x v="2"/>
    <s v="Mar-2005"/>
    <x v="3"/>
    <x v="63"/>
    <x v="5"/>
    <x v="1"/>
    <x v="0"/>
  </r>
  <r>
    <n v="10423"/>
    <n v="21"/>
    <n v="84.82"/>
    <n v="1781.2199999999998"/>
    <s v="Low"/>
    <n v="534.36599999999987"/>
    <d v="2005-05-30T00:00:00"/>
    <x v="2"/>
    <x v="1"/>
    <x v="1"/>
    <x v="2"/>
    <s v="May-2005"/>
    <x v="3"/>
    <x v="56"/>
    <x v="14"/>
    <x v="1"/>
    <x v="0"/>
  </r>
  <r>
    <n v="10105"/>
    <n v="22"/>
    <n v="100"/>
    <n v="2200"/>
    <s v="Medium"/>
    <n v="660"/>
    <d v="2003-02-11T00:00:00"/>
    <x v="0"/>
    <x v="0"/>
    <x v="0"/>
    <x v="0"/>
    <s v="Feb-2003"/>
    <x v="3"/>
    <x v="48"/>
    <x v="13"/>
    <x v="1"/>
    <x v="1"/>
  </r>
  <r>
    <n v="10117"/>
    <n v="26"/>
    <n v="100"/>
    <n v="2600"/>
    <s v="Medium"/>
    <n v="780"/>
    <d v="2003-04-16T00:00:00"/>
    <x v="0"/>
    <x v="0"/>
    <x v="8"/>
    <x v="0"/>
    <s v="Apr-2003"/>
    <x v="3"/>
    <x v="26"/>
    <x v="9"/>
    <x v="3"/>
    <x v="1"/>
  </r>
  <r>
    <n v="10128"/>
    <n v="41"/>
    <n v="100"/>
    <n v="4100"/>
    <s v="Medium"/>
    <n v="1230"/>
    <d v="2003-06-06T00:00:00"/>
    <x v="0"/>
    <x v="0"/>
    <x v="9"/>
    <x v="0"/>
    <s v="Jun-2003"/>
    <x v="3"/>
    <x v="23"/>
    <x v="7"/>
    <x v="1"/>
    <x v="1"/>
  </r>
  <r>
    <n v="10142"/>
    <n v="47"/>
    <n v="100"/>
    <n v="4700"/>
    <s v="Medium"/>
    <n v="1410"/>
    <d v="2003-08-08T00:00:00"/>
    <x v="0"/>
    <x v="0"/>
    <x v="3"/>
    <x v="0"/>
    <s v="Aug-2003"/>
    <x v="3"/>
    <x v="39"/>
    <x v="0"/>
    <x v="0"/>
    <x v="1"/>
  </r>
  <r>
    <n v="10153"/>
    <n v="31"/>
    <n v="100"/>
    <n v="3100"/>
    <s v="Medium"/>
    <n v="930"/>
    <d v="2003-09-28T00:00:00"/>
    <x v="0"/>
    <x v="0"/>
    <x v="10"/>
    <x v="0"/>
    <s v="Sep-2003"/>
    <x v="3"/>
    <x v="23"/>
    <x v="7"/>
    <x v="1"/>
    <x v="1"/>
  </r>
  <r>
    <n v="10166"/>
    <n v="43"/>
    <n v="100"/>
    <n v="4300"/>
    <s v="Medium"/>
    <n v="1290"/>
    <d v="2003-10-21T00:00:00"/>
    <x v="0"/>
    <x v="0"/>
    <x v="4"/>
    <x v="0"/>
    <s v="Oct-2003"/>
    <x v="3"/>
    <x v="21"/>
    <x v="0"/>
    <x v="0"/>
    <x v="1"/>
  </r>
  <r>
    <n v="10177"/>
    <n v="23"/>
    <n v="100"/>
    <n v="2300"/>
    <s v="Medium"/>
    <n v="690"/>
    <d v="2003-11-07T00:00:00"/>
    <x v="0"/>
    <x v="0"/>
    <x v="5"/>
    <x v="0"/>
    <s v="Nov-2003"/>
    <x v="3"/>
    <x v="76"/>
    <x v="7"/>
    <x v="1"/>
    <x v="1"/>
  </r>
  <r>
    <n v="10185"/>
    <n v="28"/>
    <n v="100"/>
    <n v="2800"/>
    <s v="Medium"/>
    <n v="840"/>
    <d v="2003-11-14T00:00:00"/>
    <x v="0"/>
    <x v="0"/>
    <x v="5"/>
    <x v="0"/>
    <s v="Nov-2003"/>
    <x v="3"/>
    <x v="50"/>
    <x v="0"/>
    <x v="0"/>
    <x v="1"/>
  </r>
  <r>
    <n v="10196"/>
    <n v="49"/>
    <n v="100"/>
    <n v="4900"/>
    <s v="Medium"/>
    <n v="1470"/>
    <d v="2003-11-26T00:00:00"/>
    <x v="0"/>
    <x v="0"/>
    <x v="5"/>
    <x v="0"/>
    <s v="Nov-2003"/>
    <x v="3"/>
    <x v="34"/>
    <x v="0"/>
    <x v="0"/>
    <x v="1"/>
  </r>
  <r>
    <n v="10208"/>
    <n v="24"/>
    <n v="100"/>
    <n v="2400"/>
    <s v="Medium"/>
    <n v="720"/>
    <d v="2004-01-02T00:00:00"/>
    <x v="0"/>
    <x v="0"/>
    <x v="7"/>
    <x v="1"/>
    <s v="Jan-2004"/>
    <x v="3"/>
    <x v="30"/>
    <x v="1"/>
    <x v="1"/>
    <x v="0"/>
  </r>
  <r>
    <n v="10221"/>
    <n v="33"/>
    <n v="100"/>
    <n v="3300"/>
    <s v="Medium"/>
    <n v="990"/>
    <d v="2004-02-18T00:00:00"/>
    <x v="0"/>
    <x v="0"/>
    <x v="0"/>
    <x v="1"/>
    <s v="Feb-2004"/>
    <x v="3"/>
    <x v="56"/>
    <x v="14"/>
    <x v="1"/>
    <x v="1"/>
  </r>
  <r>
    <n v="10232"/>
    <n v="22"/>
    <n v="100"/>
    <n v="2200"/>
    <s v="Medium"/>
    <n v="660"/>
    <d v="2004-03-20T00:00:00"/>
    <x v="0"/>
    <x v="0"/>
    <x v="11"/>
    <x v="1"/>
    <s v="Mar-2004"/>
    <x v="3"/>
    <x v="59"/>
    <x v="6"/>
    <x v="1"/>
    <x v="1"/>
  </r>
  <r>
    <n v="10248"/>
    <n v="32"/>
    <n v="100"/>
    <n v="3200"/>
    <s v="Medium"/>
    <n v="960"/>
    <d v="2004-05-07T00:00:00"/>
    <x v="3"/>
    <x v="1"/>
    <x v="1"/>
    <x v="1"/>
    <s v="May-2004"/>
    <x v="3"/>
    <x v="0"/>
    <x v="0"/>
    <x v="0"/>
    <x v="1"/>
  </r>
  <r>
    <n v="10273"/>
    <n v="40"/>
    <n v="100"/>
    <n v="4000"/>
    <s v="Medium"/>
    <n v="1200"/>
    <d v="2004-07-21T00:00:00"/>
    <x v="0"/>
    <x v="0"/>
    <x v="2"/>
    <x v="1"/>
    <s v="Jul-2004"/>
    <x v="3"/>
    <x v="56"/>
    <x v="14"/>
    <x v="1"/>
    <x v="1"/>
  </r>
  <r>
    <n v="10282"/>
    <n v="43"/>
    <n v="100"/>
    <n v="4300"/>
    <s v="Medium"/>
    <n v="1290"/>
    <d v="2004-08-20T00:00:00"/>
    <x v="0"/>
    <x v="0"/>
    <x v="3"/>
    <x v="1"/>
    <s v="Aug-2004"/>
    <x v="3"/>
    <x v="39"/>
    <x v="0"/>
    <x v="0"/>
    <x v="1"/>
  </r>
  <r>
    <n v="10293"/>
    <n v="24"/>
    <n v="100"/>
    <n v="2400"/>
    <s v="Medium"/>
    <n v="720"/>
    <d v="2004-09-09T00:00:00"/>
    <x v="0"/>
    <x v="0"/>
    <x v="10"/>
    <x v="1"/>
    <s v="Sep-2004"/>
    <x v="3"/>
    <x v="36"/>
    <x v="12"/>
    <x v="1"/>
    <x v="0"/>
  </r>
  <r>
    <n v="10306"/>
    <n v="32"/>
    <n v="100"/>
    <n v="3200"/>
    <s v="Medium"/>
    <n v="960"/>
    <d v="2004-10-14T00:00:00"/>
    <x v="0"/>
    <x v="0"/>
    <x v="4"/>
    <x v="1"/>
    <s v="Oct-2004"/>
    <x v="3"/>
    <x v="77"/>
    <x v="6"/>
    <x v="1"/>
    <x v="1"/>
  </r>
  <r>
    <n v="10314"/>
    <n v="20"/>
    <n v="100"/>
    <n v="2000"/>
    <s v="Medium"/>
    <n v="600"/>
    <d v="2004-10-22T00:00:00"/>
    <x v="0"/>
    <x v="0"/>
    <x v="4"/>
    <x v="1"/>
    <s v="Oct-2004"/>
    <x v="3"/>
    <x v="78"/>
    <x v="13"/>
    <x v="1"/>
    <x v="0"/>
  </r>
  <r>
    <n v="10325"/>
    <n v="24"/>
    <n v="69.12"/>
    <n v="1658.88"/>
    <s v="Low"/>
    <n v="497.66399999999999"/>
    <d v="2004-11-05T00:00:00"/>
    <x v="0"/>
    <x v="0"/>
    <x v="5"/>
    <x v="1"/>
    <s v="Nov-2004"/>
    <x v="3"/>
    <x v="17"/>
    <x v="2"/>
    <x v="1"/>
    <x v="0"/>
  </r>
  <r>
    <n v="10336"/>
    <n v="48"/>
    <n v="100"/>
    <n v="4800"/>
    <s v="Medium"/>
    <n v="1440"/>
    <d v="2004-11-20T00:00:00"/>
    <x v="0"/>
    <x v="0"/>
    <x v="5"/>
    <x v="1"/>
    <s v="Nov-2004"/>
    <x v="3"/>
    <x v="62"/>
    <x v="1"/>
    <x v="1"/>
    <x v="1"/>
  </r>
  <r>
    <n v="10350"/>
    <n v="44"/>
    <n v="100"/>
    <n v="4400"/>
    <s v="Medium"/>
    <n v="1320"/>
    <d v="2004-12-02T00:00:00"/>
    <x v="0"/>
    <x v="0"/>
    <x v="6"/>
    <x v="1"/>
    <s v="Dec-2004"/>
    <x v="3"/>
    <x v="23"/>
    <x v="7"/>
    <x v="1"/>
    <x v="1"/>
  </r>
  <r>
    <n v="10372"/>
    <n v="28"/>
    <n v="100"/>
    <n v="2800"/>
    <s v="Medium"/>
    <n v="840"/>
    <d v="2005-01-26T00:00:00"/>
    <x v="0"/>
    <x v="0"/>
    <x v="7"/>
    <x v="2"/>
    <s v="Jan-2005"/>
    <x v="3"/>
    <x v="35"/>
    <x v="11"/>
    <x v="3"/>
    <x v="1"/>
  </r>
  <r>
    <n v="10383"/>
    <n v="24"/>
    <n v="61.52"/>
    <n v="1476.48"/>
    <s v="Low"/>
    <n v="442.94400000000002"/>
    <d v="2005-02-22T00:00:00"/>
    <x v="0"/>
    <x v="0"/>
    <x v="0"/>
    <x v="2"/>
    <s v="Feb-2005"/>
    <x v="3"/>
    <x v="23"/>
    <x v="7"/>
    <x v="1"/>
    <x v="0"/>
  </r>
  <r>
    <n v="10396"/>
    <n v="33"/>
    <n v="100"/>
    <n v="3300"/>
    <s v="Medium"/>
    <n v="990"/>
    <d v="2005-03-23T00:00:00"/>
    <x v="0"/>
    <x v="0"/>
    <x v="11"/>
    <x v="2"/>
    <s v="Mar-2005"/>
    <x v="3"/>
    <x v="39"/>
    <x v="0"/>
    <x v="0"/>
    <x v="1"/>
  </r>
  <r>
    <n v="10414"/>
    <n v="41"/>
    <n v="100"/>
    <n v="4100"/>
    <s v="Medium"/>
    <n v="1230"/>
    <d v="2005-05-06T00:00:00"/>
    <x v="4"/>
    <x v="1"/>
    <x v="1"/>
    <x v="2"/>
    <s v="May-2005"/>
    <x v="3"/>
    <x v="58"/>
    <x v="0"/>
    <x v="0"/>
    <x v="1"/>
  </r>
  <r>
    <n v="10104"/>
    <n v="23"/>
    <n v="100"/>
    <n v="2300"/>
    <s v="Medium"/>
    <n v="690"/>
    <d v="2003-01-31T00:00:00"/>
    <x v="0"/>
    <x v="0"/>
    <x v="7"/>
    <x v="0"/>
    <s v="Jan-2003"/>
    <x v="1"/>
    <x v="23"/>
    <x v="7"/>
    <x v="1"/>
    <x v="1"/>
  </r>
  <r>
    <n v="10109"/>
    <n v="46"/>
    <n v="100"/>
    <n v="4600"/>
    <s v="Medium"/>
    <n v="1380"/>
    <d v="2003-03-10T00:00:00"/>
    <x v="0"/>
    <x v="0"/>
    <x v="11"/>
    <x v="0"/>
    <s v="Mar-2003"/>
    <x v="1"/>
    <x v="45"/>
    <x v="0"/>
    <x v="0"/>
    <x v="2"/>
  </r>
  <r>
    <n v="10114"/>
    <n v="48"/>
    <n v="100"/>
    <n v="4800"/>
    <s v="Medium"/>
    <n v="1440"/>
    <d v="2003-04-01T00:00:00"/>
    <x v="0"/>
    <x v="0"/>
    <x v="8"/>
    <x v="0"/>
    <s v="Apr-2003"/>
    <x v="1"/>
    <x v="62"/>
    <x v="1"/>
    <x v="1"/>
    <x v="2"/>
  </r>
  <r>
    <n v="10122"/>
    <n v="25"/>
    <n v="100"/>
    <n v="2500"/>
    <s v="Medium"/>
    <n v="750"/>
    <d v="2003-05-08T00:00:00"/>
    <x v="0"/>
    <x v="0"/>
    <x v="1"/>
    <x v="0"/>
    <s v="May-2003"/>
    <x v="1"/>
    <x v="67"/>
    <x v="1"/>
    <x v="1"/>
    <x v="1"/>
  </r>
  <r>
    <n v="10127"/>
    <n v="22"/>
    <n v="100"/>
    <n v="2200"/>
    <s v="Medium"/>
    <n v="660"/>
    <d v="2003-06-03T00:00:00"/>
    <x v="0"/>
    <x v="0"/>
    <x v="9"/>
    <x v="0"/>
    <s v="Jun-2003"/>
    <x v="1"/>
    <x v="74"/>
    <x v="0"/>
    <x v="0"/>
    <x v="1"/>
  </r>
  <r>
    <n v="10136"/>
    <n v="41"/>
    <n v="100"/>
    <n v="4100"/>
    <s v="Medium"/>
    <n v="1230"/>
    <d v="2003-07-04T00:00:00"/>
    <x v="0"/>
    <x v="0"/>
    <x v="2"/>
    <x v="0"/>
    <s v="Jul-2003"/>
    <x v="1"/>
    <x v="51"/>
    <x v="1"/>
    <x v="1"/>
    <x v="2"/>
  </r>
  <r>
    <n v="10141"/>
    <n v="34"/>
    <n v="100"/>
    <n v="3400"/>
    <s v="Medium"/>
    <n v="1020"/>
    <d v="2003-08-01T00:00:00"/>
    <x v="0"/>
    <x v="0"/>
    <x v="3"/>
    <x v="0"/>
    <s v="Aug-2003"/>
    <x v="1"/>
    <x v="73"/>
    <x v="4"/>
    <x v="1"/>
    <x v="1"/>
  </r>
  <r>
    <n v="10148"/>
    <n v="32"/>
    <n v="100"/>
    <n v="3200"/>
    <s v="Medium"/>
    <n v="960"/>
    <d v="2003-09-11T00:00:00"/>
    <x v="0"/>
    <x v="0"/>
    <x v="10"/>
    <x v="0"/>
    <s v="Sep-2003"/>
    <x v="1"/>
    <x v="42"/>
    <x v="3"/>
    <x v="2"/>
    <x v="1"/>
  </r>
  <r>
    <n v="10151"/>
    <n v="21"/>
    <n v="100"/>
    <n v="2100"/>
    <s v="Medium"/>
    <n v="630"/>
    <d v="2003-09-21T00:00:00"/>
    <x v="0"/>
    <x v="0"/>
    <x v="10"/>
    <x v="0"/>
    <s v="Sep-2003"/>
    <x v="1"/>
    <x v="60"/>
    <x v="4"/>
    <x v="1"/>
    <x v="1"/>
  </r>
  <r>
    <n v="10160"/>
    <n v="20"/>
    <n v="100"/>
    <n v="2000"/>
    <s v="Medium"/>
    <n v="600"/>
    <d v="2003-10-11T00:00:00"/>
    <x v="0"/>
    <x v="0"/>
    <x v="4"/>
    <x v="0"/>
    <s v="Oct-2003"/>
    <x v="1"/>
    <x v="54"/>
    <x v="0"/>
    <x v="0"/>
    <x v="1"/>
  </r>
  <r>
    <n v="10165"/>
    <n v="47"/>
    <n v="100"/>
    <n v="4700"/>
    <s v="Medium"/>
    <n v="1410"/>
    <d v="2003-10-22T00:00:00"/>
    <x v="0"/>
    <x v="0"/>
    <x v="4"/>
    <x v="0"/>
    <s v="Oct-2003"/>
    <x v="1"/>
    <x v="26"/>
    <x v="9"/>
    <x v="3"/>
    <x v="2"/>
  </r>
  <r>
    <n v="10171"/>
    <n v="39"/>
    <n v="100"/>
    <n v="3900"/>
    <s v="Medium"/>
    <n v="1170"/>
    <d v="2003-11-05T00:00:00"/>
    <x v="0"/>
    <x v="0"/>
    <x v="5"/>
    <x v="0"/>
    <s v="Nov-2003"/>
    <x v="1"/>
    <x v="43"/>
    <x v="10"/>
    <x v="0"/>
    <x v="1"/>
  </r>
  <r>
    <n v="10175"/>
    <n v="29"/>
    <n v="100"/>
    <n v="2900"/>
    <s v="Medium"/>
    <n v="870"/>
    <d v="2003-11-06T00:00:00"/>
    <x v="0"/>
    <x v="0"/>
    <x v="5"/>
    <x v="0"/>
    <s v="Nov-2003"/>
    <x v="1"/>
    <x v="49"/>
    <x v="6"/>
    <x v="1"/>
    <x v="1"/>
  </r>
  <r>
    <n v="10181"/>
    <n v="45"/>
    <n v="100"/>
    <n v="4500"/>
    <s v="Medium"/>
    <n v="1350"/>
    <d v="2003-11-12T00:00:00"/>
    <x v="0"/>
    <x v="0"/>
    <x v="5"/>
    <x v="0"/>
    <s v="Nov-2003"/>
    <x v="1"/>
    <x v="7"/>
    <x v="2"/>
    <x v="1"/>
    <x v="1"/>
  </r>
  <r>
    <n v="10184"/>
    <n v="28"/>
    <n v="100"/>
    <n v="2800"/>
    <s v="Medium"/>
    <n v="840"/>
    <d v="2003-11-14T00:00:00"/>
    <x v="0"/>
    <x v="0"/>
    <x v="5"/>
    <x v="0"/>
    <s v="Nov-2003"/>
    <x v="1"/>
    <x v="81"/>
    <x v="7"/>
    <x v="1"/>
    <x v="1"/>
  </r>
  <r>
    <n v="10192"/>
    <n v="26"/>
    <n v="100"/>
    <n v="2600"/>
    <s v="Medium"/>
    <n v="780"/>
    <d v="2003-11-20T00:00:00"/>
    <x v="0"/>
    <x v="0"/>
    <x v="5"/>
    <x v="0"/>
    <s v="Nov-2003"/>
    <x v="1"/>
    <x v="40"/>
    <x v="0"/>
    <x v="0"/>
    <x v="1"/>
  </r>
  <r>
    <n v="10195"/>
    <n v="50"/>
    <n v="100"/>
    <n v="5000"/>
    <s v="High"/>
    <n v="1500"/>
    <d v="2003-11-25T00:00:00"/>
    <x v="0"/>
    <x v="0"/>
    <x v="5"/>
    <x v="0"/>
    <s v="Nov-2003"/>
    <x v="1"/>
    <x v="47"/>
    <x v="0"/>
    <x v="0"/>
    <x v="2"/>
  </r>
  <r>
    <n v="10203"/>
    <n v="48"/>
    <n v="100"/>
    <n v="4800"/>
    <s v="Medium"/>
    <n v="1440"/>
    <d v="2003-12-02T00:00:00"/>
    <x v="0"/>
    <x v="0"/>
    <x v="6"/>
    <x v="0"/>
    <s v="Dec-2003"/>
    <x v="1"/>
    <x v="23"/>
    <x v="7"/>
    <x v="1"/>
    <x v="2"/>
  </r>
  <r>
    <n v="10207"/>
    <n v="25"/>
    <n v="100"/>
    <n v="2500"/>
    <s v="Medium"/>
    <n v="750"/>
    <d v="2003-12-09T00:00:00"/>
    <x v="0"/>
    <x v="0"/>
    <x v="6"/>
    <x v="0"/>
    <s v="Dec-2003"/>
    <x v="1"/>
    <x v="64"/>
    <x v="0"/>
    <x v="0"/>
    <x v="1"/>
  </r>
  <r>
    <n v="10212"/>
    <n v="40"/>
    <n v="100"/>
    <n v="4000"/>
    <s v="Medium"/>
    <n v="1200"/>
    <d v="2004-01-16T00:00:00"/>
    <x v="0"/>
    <x v="0"/>
    <x v="7"/>
    <x v="1"/>
    <s v="Jan-2004"/>
    <x v="1"/>
    <x v="23"/>
    <x v="7"/>
    <x v="1"/>
    <x v="1"/>
  </r>
  <r>
    <n v="10225"/>
    <n v="43"/>
    <n v="100"/>
    <n v="4300"/>
    <s v="Medium"/>
    <n v="1290"/>
    <d v="2004-02-22T00:00:00"/>
    <x v="0"/>
    <x v="0"/>
    <x v="0"/>
    <x v="1"/>
    <s v="Feb-2004"/>
    <x v="1"/>
    <x v="69"/>
    <x v="17"/>
    <x v="1"/>
    <x v="1"/>
  </r>
  <r>
    <n v="10229"/>
    <n v="22"/>
    <n v="100"/>
    <n v="2200"/>
    <s v="Medium"/>
    <n v="660"/>
    <d v="2004-03-11T00:00:00"/>
    <x v="0"/>
    <x v="0"/>
    <x v="11"/>
    <x v="1"/>
    <s v="Mar-2004"/>
    <x v="1"/>
    <x v="39"/>
    <x v="0"/>
    <x v="0"/>
    <x v="1"/>
  </r>
  <r>
    <n v="10239"/>
    <n v="47"/>
    <n v="100"/>
    <n v="4700"/>
    <s v="Medium"/>
    <n v="1410"/>
    <d v="2004-04-12T00:00:00"/>
    <x v="0"/>
    <x v="0"/>
    <x v="8"/>
    <x v="1"/>
    <s v="Apr-2004"/>
    <x v="1"/>
    <x v="60"/>
    <x v="4"/>
    <x v="1"/>
    <x v="2"/>
  </r>
  <r>
    <n v="10246"/>
    <n v="36"/>
    <n v="100"/>
    <n v="3600"/>
    <s v="Medium"/>
    <n v="1080"/>
    <d v="2004-05-05T00:00:00"/>
    <x v="0"/>
    <x v="0"/>
    <x v="1"/>
    <x v="1"/>
    <s v="May-2004"/>
    <x v="1"/>
    <x v="23"/>
    <x v="7"/>
    <x v="1"/>
    <x v="2"/>
  </r>
  <r>
    <n v="10253"/>
    <n v="40"/>
    <n v="100"/>
    <n v="4000"/>
    <s v="Medium"/>
    <n v="1200"/>
    <d v="2004-06-01T00:00:00"/>
    <x v="3"/>
    <x v="1"/>
    <x v="9"/>
    <x v="1"/>
    <s v="Jun-2004"/>
    <x v="1"/>
    <x v="22"/>
    <x v="6"/>
    <x v="1"/>
    <x v="1"/>
  </r>
  <r>
    <n v="10259"/>
    <n v="27"/>
    <n v="100"/>
    <n v="2700"/>
    <s v="Medium"/>
    <n v="810"/>
    <d v="2004-06-15T00:00:00"/>
    <x v="0"/>
    <x v="0"/>
    <x v="9"/>
    <x v="1"/>
    <s v="Jun-2004"/>
    <x v="1"/>
    <x v="65"/>
    <x v="9"/>
    <x v="2"/>
    <x v="1"/>
  </r>
  <r>
    <n v="10266"/>
    <n v="29"/>
    <n v="100"/>
    <n v="2900"/>
    <s v="Medium"/>
    <n v="870"/>
    <d v="2004-07-06T00:00:00"/>
    <x v="0"/>
    <x v="0"/>
    <x v="2"/>
    <x v="1"/>
    <s v="Jul-2004"/>
    <x v="1"/>
    <x v="70"/>
    <x v="12"/>
    <x v="1"/>
    <x v="1"/>
  </r>
  <r>
    <n v="10271"/>
    <n v="20"/>
    <n v="100"/>
    <n v="2000"/>
    <s v="Medium"/>
    <n v="600"/>
    <d v="2004-07-20T00:00:00"/>
    <x v="0"/>
    <x v="0"/>
    <x v="2"/>
    <x v="1"/>
    <s v="Jul-2004"/>
    <x v="1"/>
    <x v="39"/>
    <x v="0"/>
    <x v="0"/>
    <x v="1"/>
  </r>
  <r>
    <n v="10278"/>
    <n v="42"/>
    <n v="100"/>
    <n v="4200"/>
    <s v="Medium"/>
    <n v="1260"/>
    <d v="2004-08-06T00:00:00"/>
    <x v="0"/>
    <x v="0"/>
    <x v="3"/>
    <x v="1"/>
    <s v="Aug-2004"/>
    <x v="1"/>
    <x v="84"/>
    <x v="0"/>
    <x v="0"/>
    <x v="1"/>
  </r>
  <r>
    <n v="10281"/>
    <n v="25"/>
    <n v="100"/>
    <n v="2500"/>
    <s v="Medium"/>
    <n v="750"/>
    <d v="2004-08-19T00:00:00"/>
    <x v="0"/>
    <x v="0"/>
    <x v="3"/>
    <x v="1"/>
    <s v="Aug-2004"/>
    <x v="1"/>
    <x v="18"/>
    <x v="0"/>
    <x v="0"/>
    <x v="1"/>
  </r>
  <r>
    <n v="10287"/>
    <n v="36"/>
    <n v="100"/>
    <n v="3600"/>
    <s v="Medium"/>
    <n v="1080"/>
    <d v="2004-08-30T00:00:00"/>
    <x v="0"/>
    <x v="0"/>
    <x v="3"/>
    <x v="1"/>
    <s v="Aug-2004"/>
    <x v="1"/>
    <x v="69"/>
    <x v="17"/>
    <x v="1"/>
    <x v="1"/>
  </r>
  <r>
    <n v="10292"/>
    <n v="21"/>
    <n v="100"/>
    <n v="2100"/>
    <s v="Medium"/>
    <n v="630"/>
    <d v="2004-09-08T00:00:00"/>
    <x v="0"/>
    <x v="0"/>
    <x v="10"/>
    <x v="1"/>
    <s v="Sep-2004"/>
    <x v="1"/>
    <x v="0"/>
    <x v="0"/>
    <x v="0"/>
    <x v="0"/>
  </r>
  <r>
    <n v="10301"/>
    <n v="23"/>
    <n v="100"/>
    <n v="2300"/>
    <s v="Medium"/>
    <n v="690"/>
    <d v="2003-10-05T00:00:00"/>
    <x v="0"/>
    <x v="0"/>
    <x v="4"/>
    <x v="0"/>
    <s v="Oct-2003"/>
    <x v="1"/>
    <x v="85"/>
    <x v="2"/>
    <x v="1"/>
    <x v="1"/>
  </r>
  <r>
    <n v="10305"/>
    <n v="37"/>
    <n v="100"/>
    <n v="3700"/>
    <s v="Medium"/>
    <n v="1110"/>
    <d v="2004-10-13T00:00:00"/>
    <x v="0"/>
    <x v="0"/>
    <x v="4"/>
    <x v="1"/>
    <s v="Oct-2004"/>
    <x v="1"/>
    <x v="15"/>
    <x v="0"/>
    <x v="0"/>
    <x v="2"/>
  </r>
  <r>
    <n v="10310"/>
    <n v="48"/>
    <n v="100"/>
    <n v="4800"/>
    <s v="Medium"/>
    <n v="1440"/>
    <d v="2004-10-16T00:00:00"/>
    <x v="0"/>
    <x v="0"/>
    <x v="4"/>
    <x v="1"/>
    <s v="Oct-2004"/>
    <x v="1"/>
    <x v="68"/>
    <x v="16"/>
    <x v="1"/>
    <x v="2"/>
  </r>
  <r>
    <n v="10313"/>
    <n v="25"/>
    <n v="100"/>
    <n v="2500"/>
    <s v="Medium"/>
    <n v="750"/>
    <d v="2004-10-22T00:00:00"/>
    <x v="0"/>
    <x v="0"/>
    <x v="4"/>
    <x v="1"/>
    <s v="Oct-2004"/>
    <x v="1"/>
    <x v="31"/>
    <x v="10"/>
    <x v="0"/>
    <x v="1"/>
  </r>
  <r>
    <n v="10321"/>
    <n v="33"/>
    <n v="100"/>
    <n v="3300"/>
    <s v="Medium"/>
    <n v="990"/>
    <d v="2004-11-04T00:00:00"/>
    <x v="0"/>
    <x v="0"/>
    <x v="5"/>
    <x v="1"/>
    <s v="Nov-2004"/>
    <x v="1"/>
    <x v="21"/>
    <x v="0"/>
    <x v="0"/>
    <x v="1"/>
  </r>
  <r>
    <n v="10324"/>
    <n v="27"/>
    <n v="100"/>
    <n v="2700"/>
    <s v="Medium"/>
    <n v="810"/>
    <d v="2004-11-05T00:00:00"/>
    <x v="0"/>
    <x v="0"/>
    <x v="5"/>
    <x v="1"/>
    <s v="Nov-2004"/>
    <x v="1"/>
    <x v="11"/>
    <x v="0"/>
    <x v="0"/>
    <x v="1"/>
  </r>
  <r>
    <n v="10331"/>
    <n v="27"/>
    <n v="100"/>
    <n v="2700"/>
    <s v="Medium"/>
    <n v="810"/>
    <d v="2004-11-17T00:00:00"/>
    <x v="0"/>
    <x v="0"/>
    <x v="5"/>
    <x v="1"/>
    <s v="Nov-2004"/>
    <x v="1"/>
    <x v="45"/>
    <x v="0"/>
    <x v="0"/>
    <x v="1"/>
  </r>
  <r>
    <n v="10334"/>
    <n v="20"/>
    <n v="100"/>
    <n v="2000"/>
    <s v="Medium"/>
    <n v="600"/>
    <d v="2004-11-19T00:00:00"/>
    <x v="4"/>
    <x v="1"/>
    <x v="5"/>
    <x v="1"/>
    <s v="Nov-2004"/>
    <x v="1"/>
    <x v="24"/>
    <x v="8"/>
    <x v="1"/>
    <x v="0"/>
  </r>
  <r>
    <n v="10342"/>
    <n v="30"/>
    <n v="100"/>
    <n v="3000"/>
    <s v="Medium"/>
    <n v="900"/>
    <d v="2004-11-24T00:00:00"/>
    <x v="0"/>
    <x v="0"/>
    <x v="5"/>
    <x v="1"/>
    <s v="Nov-2004"/>
    <x v="1"/>
    <x v="10"/>
    <x v="3"/>
    <x v="2"/>
    <x v="1"/>
  </r>
  <r>
    <n v="10349"/>
    <n v="48"/>
    <n v="100"/>
    <n v="4800"/>
    <s v="Medium"/>
    <n v="1440"/>
    <d v="2004-12-01T00:00:00"/>
    <x v="0"/>
    <x v="0"/>
    <x v="6"/>
    <x v="1"/>
    <s v="Dec-2004"/>
    <x v="1"/>
    <x v="74"/>
    <x v="0"/>
    <x v="0"/>
    <x v="2"/>
  </r>
  <r>
    <n v="10358"/>
    <n v="32"/>
    <n v="93.49"/>
    <n v="2991.68"/>
    <s v="Medium"/>
    <n v="897.50399999999991"/>
    <d v="2004-12-10T00:00:00"/>
    <x v="0"/>
    <x v="0"/>
    <x v="6"/>
    <x v="1"/>
    <s v="Dec-2004"/>
    <x v="1"/>
    <x v="23"/>
    <x v="7"/>
    <x v="1"/>
    <x v="0"/>
  </r>
  <r>
    <n v="10366"/>
    <n v="34"/>
    <n v="100"/>
    <n v="3400"/>
    <s v="Medium"/>
    <n v="1020"/>
    <d v="2005-01-10T00:00:00"/>
    <x v="0"/>
    <x v="0"/>
    <x v="7"/>
    <x v="2"/>
    <s v="Jan-2005"/>
    <x v="1"/>
    <x v="90"/>
    <x v="14"/>
    <x v="1"/>
    <x v="1"/>
  </r>
  <r>
    <n v="10370"/>
    <n v="27"/>
    <n v="56.85"/>
    <n v="1534.95"/>
    <s v="Low"/>
    <n v="460.48500000000001"/>
    <d v="2005-01-20T00:00:00"/>
    <x v="0"/>
    <x v="0"/>
    <x v="7"/>
    <x v="2"/>
    <s v="Jan-2005"/>
    <x v="1"/>
    <x v="42"/>
    <x v="3"/>
    <x v="2"/>
    <x v="0"/>
  </r>
  <r>
    <n v="10377"/>
    <n v="39"/>
    <n v="100"/>
    <n v="3900"/>
    <s v="Medium"/>
    <n v="1170"/>
    <d v="2005-02-09T00:00:00"/>
    <x v="0"/>
    <x v="0"/>
    <x v="0"/>
    <x v="2"/>
    <s v="Feb-2005"/>
    <x v="1"/>
    <x v="16"/>
    <x v="4"/>
    <x v="1"/>
    <x v="2"/>
  </r>
  <r>
    <n v="10383"/>
    <n v="47"/>
    <n v="100"/>
    <n v="4700"/>
    <s v="Medium"/>
    <n v="1410"/>
    <d v="2005-02-22T00:00:00"/>
    <x v="0"/>
    <x v="0"/>
    <x v="0"/>
    <x v="2"/>
    <s v="Feb-2005"/>
    <x v="1"/>
    <x v="23"/>
    <x v="7"/>
    <x v="1"/>
    <x v="1"/>
  </r>
  <r>
    <n v="10394"/>
    <n v="22"/>
    <n v="100"/>
    <n v="2200"/>
    <s v="Medium"/>
    <n v="660"/>
    <d v="2005-03-15T00:00:00"/>
    <x v="0"/>
    <x v="0"/>
    <x v="11"/>
    <x v="2"/>
    <s v="Mar-2005"/>
    <x v="1"/>
    <x v="23"/>
    <x v="7"/>
    <x v="1"/>
    <x v="1"/>
  </r>
  <r>
    <n v="10405"/>
    <n v="55"/>
    <n v="100"/>
    <n v="5500"/>
    <s v="High"/>
    <n v="1650"/>
    <d v="2005-04-14T00:00:00"/>
    <x v="0"/>
    <x v="0"/>
    <x v="8"/>
    <x v="2"/>
    <s v="Apr-2005"/>
    <x v="1"/>
    <x v="83"/>
    <x v="1"/>
    <x v="1"/>
    <x v="2"/>
  </r>
  <r>
    <n v="10412"/>
    <n v="60"/>
    <n v="100"/>
    <n v="6000"/>
    <s v="High"/>
    <n v="1800"/>
    <d v="2005-05-03T00:00:00"/>
    <x v="0"/>
    <x v="0"/>
    <x v="1"/>
    <x v="2"/>
    <s v="May-2005"/>
    <x v="1"/>
    <x v="23"/>
    <x v="7"/>
    <x v="1"/>
    <x v="2"/>
  </r>
  <r>
    <n v="10419"/>
    <n v="35"/>
    <n v="100"/>
    <n v="3500"/>
    <s v="Medium"/>
    <n v="1050"/>
    <d v="2005-05-17T00:00:00"/>
    <x v="0"/>
    <x v="0"/>
    <x v="1"/>
    <x v="2"/>
    <s v="May-2005"/>
    <x v="1"/>
    <x v="19"/>
    <x v="5"/>
    <x v="1"/>
    <x v="1"/>
  </r>
  <r>
    <n v="10425"/>
    <n v="28"/>
    <n v="100"/>
    <n v="2800"/>
    <s v="Medium"/>
    <n v="840"/>
    <d v="2005-05-31T00:00:00"/>
    <x v="2"/>
    <x v="1"/>
    <x v="1"/>
    <x v="2"/>
    <s v="May-2005"/>
    <x v="1"/>
    <x v="14"/>
    <x v="1"/>
    <x v="1"/>
    <x v="1"/>
  </r>
  <r>
    <n v="10105"/>
    <n v="38"/>
    <n v="100"/>
    <n v="3800"/>
    <s v="Medium"/>
    <n v="1140"/>
    <d v="2003-02-11T00:00:00"/>
    <x v="0"/>
    <x v="0"/>
    <x v="0"/>
    <x v="0"/>
    <s v="Feb-2003"/>
    <x v="6"/>
    <x v="48"/>
    <x v="13"/>
    <x v="1"/>
    <x v="1"/>
  </r>
  <r>
    <n v="10117"/>
    <n v="21"/>
    <n v="95.8"/>
    <n v="2011.8"/>
    <s v="Medium"/>
    <n v="603.54"/>
    <d v="2003-04-16T00:00:00"/>
    <x v="0"/>
    <x v="0"/>
    <x v="8"/>
    <x v="0"/>
    <s v="Apr-2003"/>
    <x v="6"/>
    <x v="26"/>
    <x v="9"/>
    <x v="3"/>
    <x v="0"/>
  </r>
  <r>
    <n v="10128"/>
    <n v="41"/>
    <n v="100"/>
    <n v="4100"/>
    <s v="Medium"/>
    <n v="1230"/>
    <d v="2003-06-06T00:00:00"/>
    <x v="0"/>
    <x v="0"/>
    <x v="9"/>
    <x v="0"/>
    <s v="Jun-2003"/>
    <x v="6"/>
    <x v="23"/>
    <x v="7"/>
    <x v="1"/>
    <x v="1"/>
  </r>
  <r>
    <n v="10142"/>
    <n v="22"/>
    <n v="97.81"/>
    <n v="2151.8200000000002"/>
    <s v="Medium"/>
    <n v="645.54600000000005"/>
    <d v="2003-08-08T00:00:00"/>
    <x v="0"/>
    <x v="0"/>
    <x v="3"/>
    <x v="0"/>
    <s v="Aug-2003"/>
    <x v="6"/>
    <x v="39"/>
    <x v="0"/>
    <x v="0"/>
    <x v="0"/>
  </r>
  <r>
    <n v="10153"/>
    <n v="29"/>
    <n v="88.74"/>
    <n v="2573.46"/>
    <s v="Medium"/>
    <n v="772.03800000000001"/>
    <d v="2003-09-28T00:00:00"/>
    <x v="0"/>
    <x v="0"/>
    <x v="10"/>
    <x v="0"/>
    <s v="Sep-2003"/>
    <x v="6"/>
    <x v="23"/>
    <x v="7"/>
    <x v="1"/>
    <x v="0"/>
  </r>
  <r>
    <n v="10165"/>
    <n v="50"/>
    <n v="100"/>
    <n v="5000"/>
    <s v="High"/>
    <n v="1500"/>
    <d v="2003-10-22T00:00:00"/>
    <x v="0"/>
    <x v="0"/>
    <x v="4"/>
    <x v="0"/>
    <s v="Oct-2003"/>
    <x v="6"/>
    <x v="26"/>
    <x v="9"/>
    <x v="3"/>
    <x v="1"/>
  </r>
  <r>
    <n v="10177"/>
    <n v="29"/>
    <n v="100"/>
    <n v="2900"/>
    <s v="Medium"/>
    <n v="870"/>
    <d v="2003-11-07T00:00:00"/>
    <x v="0"/>
    <x v="0"/>
    <x v="5"/>
    <x v="0"/>
    <s v="Nov-2003"/>
    <x v="6"/>
    <x v="76"/>
    <x v="7"/>
    <x v="1"/>
    <x v="1"/>
  </r>
  <r>
    <n v="10185"/>
    <n v="49"/>
    <n v="80.67"/>
    <n v="3952.83"/>
    <s v="Medium"/>
    <n v="1185.8489999999999"/>
    <d v="2003-11-14T00:00:00"/>
    <x v="0"/>
    <x v="0"/>
    <x v="5"/>
    <x v="0"/>
    <s v="Nov-2003"/>
    <x v="6"/>
    <x v="50"/>
    <x v="0"/>
    <x v="0"/>
    <x v="1"/>
  </r>
  <r>
    <n v="10196"/>
    <n v="35"/>
    <n v="100"/>
    <n v="3500"/>
    <s v="Medium"/>
    <n v="1050"/>
    <d v="2003-11-26T00:00:00"/>
    <x v="0"/>
    <x v="0"/>
    <x v="5"/>
    <x v="0"/>
    <s v="Nov-2003"/>
    <x v="6"/>
    <x v="34"/>
    <x v="0"/>
    <x v="0"/>
    <x v="1"/>
  </r>
  <r>
    <n v="10208"/>
    <n v="48"/>
    <n v="100"/>
    <n v="4800"/>
    <s v="Medium"/>
    <n v="1440"/>
    <d v="2004-01-02T00:00:00"/>
    <x v="0"/>
    <x v="0"/>
    <x v="7"/>
    <x v="1"/>
    <s v="Jan-2004"/>
    <x v="6"/>
    <x v="30"/>
    <x v="1"/>
    <x v="1"/>
    <x v="1"/>
  </r>
  <r>
    <n v="10221"/>
    <n v="23"/>
    <n v="80.67"/>
    <n v="1855.41"/>
    <s v="Low"/>
    <n v="556.62300000000005"/>
    <d v="2004-02-18T00:00:00"/>
    <x v="0"/>
    <x v="0"/>
    <x v="0"/>
    <x v="1"/>
    <s v="Feb-2004"/>
    <x v="6"/>
    <x v="56"/>
    <x v="14"/>
    <x v="1"/>
    <x v="0"/>
  </r>
  <r>
    <n v="10232"/>
    <n v="48"/>
    <n v="95.8"/>
    <n v="4598.3999999999996"/>
    <s v="Medium"/>
    <n v="1379.5199999999998"/>
    <d v="2004-03-20T00:00:00"/>
    <x v="0"/>
    <x v="0"/>
    <x v="11"/>
    <x v="1"/>
    <s v="Mar-2004"/>
    <x v="6"/>
    <x v="59"/>
    <x v="6"/>
    <x v="1"/>
    <x v="1"/>
  </r>
  <r>
    <n v="10248"/>
    <n v="42"/>
    <n v="100"/>
    <n v="4200"/>
    <s v="Medium"/>
    <n v="1260"/>
    <d v="2004-05-07T00:00:00"/>
    <x v="3"/>
    <x v="1"/>
    <x v="1"/>
    <x v="1"/>
    <s v="May-2004"/>
    <x v="6"/>
    <x v="0"/>
    <x v="0"/>
    <x v="0"/>
    <x v="1"/>
  </r>
  <r>
    <n v="10273"/>
    <n v="47"/>
    <n v="100"/>
    <n v="4700"/>
    <s v="Medium"/>
    <n v="1410"/>
    <d v="2004-07-21T00:00:00"/>
    <x v="0"/>
    <x v="0"/>
    <x v="2"/>
    <x v="1"/>
    <s v="Jul-2004"/>
    <x v="6"/>
    <x v="56"/>
    <x v="14"/>
    <x v="1"/>
    <x v="1"/>
  </r>
  <r>
    <n v="10282"/>
    <n v="36"/>
    <n v="100"/>
    <n v="3600"/>
    <s v="Medium"/>
    <n v="1080"/>
    <d v="2004-08-20T00:00:00"/>
    <x v="0"/>
    <x v="0"/>
    <x v="3"/>
    <x v="1"/>
    <s v="Aug-2004"/>
    <x v="6"/>
    <x v="39"/>
    <x v="0"/>
    <x v="0"/>
    <x v="1"/>
  </r>
  <r>
    <n v="10293"/>
    <n v="22"/>
    <n v="100"/>
    <n v="2200"/>
    <s v="Medium"/>
    <n v="660"/>
    <d v="2004-09-09T00:00:00"/>
    <x v="0"/>
    <x v="0"/>
    <x v="10"/>
    <x v="1"/>
    <s v="Sep-2004"/>
    <x v="6"/>
    <x v="36"/>
    <x v="12"/>
    <x v="1"/>
    <x v="0"/>
  </r>
  <r>
    <n v="10306"/>
    <n v="40"/>
    <n v="91.76"/>
    <n v="3670.4"/>
    <s v="Medium"/>
    <n v="1101.1199999999999"/>
    <d v="2004-10-14T00:00:00"/>
    <x v="0"/>
    <x v="0"/>
    <x v="4"/>
    <x v="1"/>
    <s v="Oct-2004"/>
    <x v="6"/>
    <x v="77"/>
    <x v="6"/>
    <x v="1"/>
    <x v="1"/>
  </r>
  <r>
    <n v="10314"/>
    <n v="23"/>
    <n v="100"/>
    <n v="2300"/>
    <s v="Medium"/>
    <n v="690"/>
    <d v="2004-10-22T00:00:00"/>
    <x v="0"/>
    <x v="0"/>
    <x v="4"/>
    <x v="1"/>
    <s v="Oct-2004"/>
    <x v="6"/>
    <x v="78"/>
    <x v="13"/>
    <x v="1"/>
    <x v="0"/>
  </r>
  <r>
    <n v="10326"/>
    <n v="32"/>
    <n v="100"/>
    <n v="3200"/>
    <s v="Medium"/>
    <n v="960"/>
    <d v="2004-11-09T00:00:00"/>
    <x v="0"/>
    <x v="0"/>
    <x v="5"/>
    <x v="1"/>
    <s v="Nov-2004"/>
    <x v="6"/>
    <x v="24"/>
    <x v="8"/>
    <x v="1"/>
    <x v="1"/>
  </r>
  <r>
    <n v="10336"/>
    <n v="21"/>
    <n v="100"/>
    <n v="2100"/>
    <s v="Medium"/>
    <n v="630"/>
    <d v="2004-11-20T00:00:00"/>
    <x v="0"/>
    <x v="0"/>
    <x v="5"/>
    <x v="1"/>
    <s v="Nov-2004"/>
    <x v="6"/>
    <x v="62"/>
    <x v="1"/>
    <x v="1"/>
    <x v="0"/>
  </r>
  <r>
    <n v="10350"/>
    <n v="41"/>
    <n v="93.04"/>
    <n v="3814.6400000000003"/>
    <s v="Medium"/>
    <n v="1144.3920000000001"/>
    <d v="2004-12-02T00:00:00"/>
    <x v="0"/>
    <x v="0"/>
    <x v="6"/>
    <x v="1"/>
    <s v="Dec-2004"/>
    <x v="6"/>
    <x v="23"/>
    <x v="7"/>
    <x v="1"/>
    <x v="1"/>
  </r>
  <r>
    <n v="10372"/>
    <n v="25"/>
    <n v="84.71"/>
    <n v="2117.75"/>
    <s v="Medium"/>
    <n v="635.32499999999993"/>
    <d v="2005-01-26T00:00:00"/>
    <x v="0"/>
    <x v="0"/>
    <x v="7"/>
    <x v="2"/>
    <s v="Jan-2005"/>
    <x v="6"/>
    <x v="35"/>
    <x v="11"/>
    <x v="3"/>
    <x v="0"/>
  </r>
  <r>
    <n v="10383"/>
    <n v="26"/>
    <n v="100"/>
    <n v="2600"/>
    <s v="Medium"/>
    <n v="780"/>
    <d v="2005-02-22T00:00:00"/>
    <x v="0"/>
    <x v="0"/>
    <x v="0"/>
    <x v="2"/>
    <s v="Feb-2005"/>
    <x v="6"/>
    <x v="23"/>
    <x v="7"/>
    <x v="1"/>
    <x v="1"/>
  </r>
  <r>
    <n v="10396"/>
    <n v="24"/>
    <n v="89.75"/>
    <n v="2154"/>
    <s v="Medium"/>
    <n v="646.19999999999993"/>
    <d v="2005-03-23T00:00:00"/>
    <x v="0"/>
    <x v="0"/>
    <x v="11"/>
    <x v="2"/>
    <s v="Mar-2005"/>
    <x v="6"/>
    <x v="39"/>
    <x v="0"/>
    <x v="0"/>
    <x v="0"/>
  </r>
  <r>
    <n v="10414"/>
    <n v="48"/>
    <n v="100"/>
    <n v="4800"/>
    <s v="Medium"/>
    <n v="1440"/>
    <d v="2005-05-06T00:00:00"/>
    <x v="4"/>
    <x v="1"/>
    <x v="1"/>
    <x v="2"/>
    <s v="May-2005"/>
    <x v="6"/>
    <x v="58"/>
    <x v="0"/>
    <x v="0"/>
    <x v="1"/>
  </r>
  <r>
    <n v="10108"/>
    <n v="26"/>
    <n v="68.349999999999994"/>
    <n v="1777.1"/>
    <s v="Low"/>
    <n v="533.13"/>
    <d v="2003-03-03T00:00:00"/>
    <x v="0"/>
    <x v="0"/>
    <x v="11"/>
    <x v="0"/>
    <s v="Mar-2003"/>
    <x v="1"/>
    <x v="66"/>
    <x v="15"/>
    <x v="3"/>
    <x v="0"/>
  </r>
  <r>
    <n v="10122"/>
    <n v="21"/>
    <n v="73.17"/>
    <n v="1536.57"/>
    <s v="Low"/>
    <n v="460.97099999999995"/>
    <d v="2003-05-08T00:00:00"/>
    <x v="0"/>
    <x v="0"/>
    <x v="1"/>
    <x v="0"/>
    <s v="May-2003"/>
    <x v="1"/>
    <x v="67"/>
    <x v="1"/>
    <x v="1"/>
    <x v="0"/>
  </r>
  <r>
    <n v="10135"/>
    <n v="45"/>
    <n v="78"/>
    <n v="3510"/>
    <s v="Medium"/>
    <n v="1053"/>
    <d v="2003-07-02T00:00:00"/>
    <x v="0"/>
    <x v="0"/>
    <x v="2"/>
    <x v="0"/>
    <s v="Jul-2003"/>
    <x v="1"/>
    <x v="39"/>
    <x v="0"/>
    <x v="0"/>
    <x v="1"/>
  </r>
  <r>
    <n v="10147"/>
    <n v="36"/>
    <n v="86.04"/>
    <n v="3097.44"/>
    <s v="Medium"/>
    <n v="929.23199999999997"/>
    <d v="2003-09-05T00:00:00"/>
    <x v="0"/>
    <x v="0"/>
    <x v="10"/>
    <x v="0"/>
    <s v="Sep-2003"/>
    <x v="1"/>
    <x v="41"/>
    <x v="0"/>
    <x v="0"/>
    <x v="1"/>
  </r>
  <r>
    <n v="10159"/>
    <n v="21"/>
    <n v="81.209999999999994"/>
    <n v="1705.4099999999999"/>
    <s v="Low"/>
    <n v="511.62299999999993"/>
    <d v="2003-10-10T00:00:00"/>
    <x v="0"/>
    <x v="0"/>
    <x v="4"/>
    <x v="0"/>
    <s v="Oct-2003"/>
    <x v="1"/>
    <x v="4"/>
    <x v="0"/>
    <x v="0"/>
    <x v="0"/>
  </r>
  <r>
    <n v="10169"/>
    <n v="32"/>
    <n v="70.760000000000005"/>
    <n v="2264.3200000000002"/>
    <s v="Medium"/>
    <n v="679.29600000000005"/>
    <d v="2003-11-04T00:00:00"/>
    <x v="0"/>
    <x v="0"/>
    <x v="5"/>
    <x v="0"/>
    <s v="Nov-2003"/>
    <x v="1"/>
    <x v="42"/>
    <x v="3"/>
    <x v="2"/>
    <x v="0"/>
  </r>
  <r>
    <n v="10181"/>
    <n v="30"/>
    <n v="82.82"/>
    <n v="2484.6"/>
    <s v="Medium"/>
    <n v="745.38"/>
    <d v="2003-11-12T00:00:00"/>
    <x v="0"/>
    <x v="0"/>
    <x v="5"/>
    <x v="0"/>
    <s v="Nov-2003"/>
    <x v="1"/>
    <x v="7"/>
    <x v="2"/>
    <x v="1"/>
    <x v="0"/>
  </r>
  <r>
    <n v="10191"/>
    <n v="36"/>
    <n v="94.88"/>
    <n v="3415.68"/>
    <s v="Medium"/>
    <n v="1024.704"/>
    <d v="2003-11-20T00:00:00"/>
    <x v="0"/>
    <x v="0"/>
    <x v="5"/>
    <x v="0"/>
    <s v="Nov-2003"/>
    <x v="1"/>
    <x v="68"/>
    <x v="16"/>
    <x v="1"/>
    <x v="1"/>
  </r>
  <r>
    <n v="10203"/>
    <n v="33"/>
    <n v="86.04"/>
    <n v="2839.32"/>
    <s v="Medium"/>
    <n v="851.79600000000005"/>
    <d v="2003-12-02T00:00:00"/>
    <x v="0"/>
    <x v="0"/>
    <x v="6"/>
    <x v="0"/>
    <s v="Dec-2003"/>
    <x v="1"/>
    <x v="23"/>
    <x v="7"/>
    <x v="1"/>
    <x v="0"/>
  </r>
  <r>
    <n v="10211"/>
    <n v="35"/>
    <n v="78"/>
    <n v="2730"/>
    <s v="Medium"/>
    <n v="819"/>
    <d v="2004-01-15T00:00:00"/>
    <x v="0"/>
    <x v="0"/>
    <x v="7"/>
    <x v="1"/>
    <s v="Jan-2004"/>
    <x v="1"/>
    <x v="9"/>
    <x v="1"/>
    <x v="1"/>
    <x v="0"/>
  </r>
  <r>
    <n v="10225"/>
    <n v="37"/>
    <n v="95.69"/>
    <n v="3540.5299999999997"/>
    <s v="Medium"/>
    <n v="1062.1589999999999"/>
    <d v="2004-02-22T00:00:00"/>
    <x v="0"/>
    <x v="0"/>
    <x v="0"/>
    <x v="1"/>
    <s v="Feb-2004"/>
    <x v="1"/>
    <x v="69"/>
    <x v="17"/>
    <x v="1"/>
    <x v="1"/>
  </r>
  <r>
    <n v="10238"/>
    <n v="41"/>
    <n v="73.17"/>
    <n v="2999.9700000000003"/>
    <s v="Medium"/>
    <n v="899.9910000000001"/>
    <d v="2004-04-09T00:00:00"/>
    <x v="0"/>
    <x v="0"/>
    <x v="8"/>
    <x v="1"/>
    <s v="Apr-2004"/>
    <x v="1"/>
    <x v="48"/>
    <x v="13"/>
    <x v="1"/>
    <x v="0"/>
  </r>
  <r>
    <n v="10252"/>
    <n v="20"/>
    <n v="76.39"/>
    <n v="1527.8"/>
    <s v="Low"/>
    <n v="458.34"/>
    <d v="2004-05-26T00:00:00"/>
    <x v="0"/>
    <x v="0"/>
    <x v="1"/>
    <x v="1"/>
    <s v="May-2004"/>
    <x v="1"/>
    <x v="9"/>
    <x v="1"/>
    <x v="1"/>
    <x v="0"/>
  </r>
  <r>
    <n v="10265"/>
    <n v="45"/>
    <n v="86.84"/>
    <n v="3907.8"/>
    <s v="Medium"/>
    <n v="1172.3399999999999"/>
    <d v="2004-07-02T00:00:00"/>
    <x v="0"/>
    <x v="0"/>
    <x v="2"/>
    <x v="1"/>
    <s v="Jul-2004"/>
    <x v="1"/>
    <x v="87"/>
    <x v="3"/>
    <x v="2"/>
    <x v="1"/>
  </r>
  <r>
    <n v="10276"/>
    <n v="38"/>
    <n v="69.959999999999994"/>
    <n v="2658.4799999999996"/>
    <s v="Medium"/>
    <n v="797.54399999999987"/>
    <d v="2004-08-02T00:00:00"/>
    <x v="0"/>
    <x v="0"/>
    <x v="3"/>
    <x v="1"/>
    <s v="Aug-2004"/>
    <x v="1"/>
    <x v="71"/>
    <x v="0"/>
    <x v="0"/>
    <x v="0"/>
  </r>
  <r>
    <n v="10287"/>
    <n v="43"/>
    <n v="70.760000000000005"/>
    <n v="3042.6800000000003"/>
    <s v="Medium"/>
    <n v="912.80400000000009"/>
    <d v="2004-08-30T00:00:00"/>
    <x v="0"/>
    <x v="0"/>
    <x v="3"/>
    <x v="1"/>
    <s v="Aug-2004"/>
    <x v="1"/>
    <x v="69"/>
    <x v="17"/>
    <x v="1"/>
    <x v="1"/>
  </r>
  <r>
    <n v="10300"/>
    <n v="49"/>
    <n v="78.8"/>
    <n v="3861.2"/>
    <s v="Medium"/>
    <n v="1158.3599999999999"/>
    <d v="2003-10-04T00:00:00"/>
    <x v="0"/>
    <x v="0"/>
    <x v="4"/>
    <x v="0"/>
    <s v="Oct-2003"/>
    <x v="1"/>
    <x v="72"/>
    <x v="16"/>
    <x v="1"/>
    <x v="1"/>
  </r>
  <r>
    <n v="10310"/>
    <n v="27"/>
    <n v="80.41"/>
    <n v="2171.0699999999997"/>
    <s v="Medium"/>
    <n v="651.32099999999991"/>
    <d v="2004-10-16T00:00:00"/>
    <x v="0"/>
    <x v="0"/>
    <x v="4"/>
    <x v="1"/>
    <s v="Oct-2004"/>
    <x v="1"/>
    <x v="68"/>
    <x v="16"/>
    <x v="1"/>
    <x v="0"/>
  </r>
  <r>
    <n v="10319"/>
    <n v="46"/>
    <n v="73.98"/>
    <n v="3403.0800000000004"/>
    <s v="Medium"/>
    <n v="1020.9240000000001"/>
    <d v="2004-11-03T00:00:00"/>
    <x v="0"/>
    <x v="0"/>
    <x v="5"/>
    <x v="1"/>
    <s v="Nov-2004"/>
    <x v="1"/>
    <x v="79"/>
    <x v="0"/>
    <x v="0"/>
    <x v="1"/>
  </r>
  <r>
    <n v="10329"/>
    <n v="38"/>
    <n v="59.1"/>
    <n v="2245.8000000000002"/>
    <s v="Medium"/>
    <n v="673.74"/>
    <d v="2004-11-15T00:00:00"/>
    <x v="0"/>
    <x v="0"/>
    <x v="5"/>
    <x v="1"/>
    <s v="Nov-2004"/>
    <x v="1"/>
    <x v="0"/>
    <x v="0"/>
    <x v="0"/>
    <x v="0"/>
  </r>
  <r>
    <n v="10342"/>
    <n v="25"/>
    <n v="66.739999999999995"/>
    <n v="1668.4999999999998"/>
    <s v="Low"/>
    <n v="500.5499999999999"/>
    <d v="2004-11-24T00:00:00"/>
    <x v="0"/>
    <x v="0"/>
    <x v="5"/>
    <x v="1"/>
    <s v="Nov-2004"/>
    <x v="1"/>
    <x v="10"/>
    <x v="3"/>
    <x v="2"/>
    <x v="0"/>
  </r>
  <r>
    <n v="10363"/>
    <n v="46"/>
    <n v="60.3"/>
    <n v="2773.7999999999997"/>
    <s v="Medium"/>
    <n v="832.13999999999987"/>
    <d v="2005-01-06T00:00:00"/>
    <x v="0"/>
    <x v="0"/>
    <x v="7"/>
    <x v="2"/>
    <s v="Jan-2005"/>
    <x v="1"/>
    <x v="73"/>
    <x v="4"/>
    <x v="1"/>
    <x v="0"/>
  </r>
  <r>
    <n v="10378"/>
    <n v="22"/>
    <n v="100"/>
    <n v="2200"/>
    <s v="Medium"/>
    <n v="660"/>
    <d v="2005-02-10T00:00:00"/>
    <x v="0"/>
    <x v="0"/>
    <x v="0"/>
    <x v="2"/>
    <s v="Feb-2005"/>
    <x v="1"/>
    <x v="23"/>
    <x v="7"/>
    <x v="1"/>
    <x v="0"/>
  </r>
  <r>
    <n v="10390"/>
    <n v="40"/>
    <n v="100"/>
    <n v="4000"/>
    <s v="Medium"/>
    <n v="1200"/>
    <d v="2005-03-04T00:00:00"/>
    <x v="0"/>
    <x v="0"/>
    <x v="11"/>
    <x v="2"/>
    <s v="Mar-2005"/>
    <x v="1"/>
    <x v="39"/>
    <x v="0"/>
    <x v="0"/>
    <x v="1"/>
  </r>
  <r>
    <n v="10103"/>
    <n v="46"/>
    <n v="100"/>
    <n v="4600"/>
    <s v="Medium"/>
    <n v="1380"/>
    <d v="2003-01-29T00:00:00"/>
    <x v="0"/>
    <x v="0"/>
    <x v="7"/>
    <x v="0"/>
    <s v="Jan-2003"/>
    <x v="3"/>
    <x v="17"/>
    <x v="2"/>
    <x v="1"/>
    <x v="1"/>
  </r>
  <r>
    <n v="10111"/>
    <n v="39"/>
    <n v="100"/>
    <n v="3900"/>
    <s v="Medium"/>
    <n v="1170"/>
    <d v="2003-03-25T00:00:00"/>
    <x v="0"/>
    <x v="0"/>
    <x v="11"/>
    <x v="0"/>
    <s v="Mar-2003"/>
    <x v="3"/>
    <x v="8"/>
    <x v="0"/>
    <x v="0"/>
    <x v="1"/>
  </r>
  <r>
    <n v="10126"/>
    <n v="38"/>
    <n v="82.34"/>
    <n v="3128.92"/>
    <s v="Medium"/>
    <n v="938.67599999999993"/>
    <d v="2003-05-28T00:00:00"/>
    <x v="0"/>
    <x v="0"/>
    <x v="1"/>
    <x v="0"/>
    <s v="May-2003"/>
    <x v="3"/>
    <x v="25"/>
    <x v="7"/>
    <x v="1"/>
    <x v="1"/>
  </r>
  <r>
    <n v="10139"/>
    <n v="30"/>
    <n v="100"/>
    <n v="3000"/>
    <s v="Medium"/>
    <n v="900"/>
    <d v="2003-07-16T00:00:00"/>
    <x v="0"/>
    <x v="0"/>
    <x v="2"/>
    <x v="0"/>
    <s v="Jul-2003"/>
    <x v="3"/>
    <x v="20"/>
    <x v="3"/>
    <x v="2"/>
    <x v="1"/>
  </r>
  <r>
    <n v="10149"/>
    <n v="42"/>
    <n v="94.25"/>
    <n v="3958.5"/>
    <s v="Medium"/>
    <n v="1187.55"/>
    <d v="2003-09-12T00:00:00"/>
    <x v="0"/>
    <x v="0"/>
    <x v="10"/>
    <x v="0"/>
    <s v="Sep-2003"/>
    <x v="3"/>
    <x v="82"/>
    <x v="0"/>
    <x v="0"/>
    <x v="1"/>
  </r>
  <r>
    <n v="10163"/>
    <n v="43"/>
    <n v="100"/>
    <n v="4300"/>
    <s v="Medium"/>
    <n v="1290"/>
    <d v="2003-10-20T00:00:00"/>
    <x v="0"/>
    <x v="0"/>
    <x v="4"/>
    <x v="0"/>
    <s v="Oct-2003"/>
    <x v="3"/>
    <x v="27"/>
    <x v="0"/>
    <x v="0"/>
    <x v="1"/>
  </r>
  <r>
    <n v="10173"/>
    <n v="29"/>
    <n v="95.24"/>
    <n v="2761.96"/>
    <s v="Medium"/>
    <n v="828.58799999999997"/>
    <d v="2003-11-05T00:00:00"/>
    <x v="0"/>
    <x v="0"/>
    <x v="5"/>
    <x v="0"/>
    <s v="Nov-2003"/>
    <x v="3"/>
    <x v="86"/>
    <x v="12"/>
    <x v="1"/>
    <x v="0"/>
  </r>
  <r>
    <n v="10182"/>
    <n v="33"/>
    <n v="86.31"/>
    <n v="2848.23"/>
    <s v="Medium"/>
    <n v="854.46899999999994"/>
    <d v="2003-11-12T00:00:00"/>
    <x v="0"/>
    <x v="0"/>
    <x v="5"/>
    <x v="0"/>
    <s v="Nov-2003"/>
    <x v="3"/>
    <x v="39"/>
    <x v="0"/>
    <x v="0"/>
    <x v="0"/>
  </r>
  <r>
    <n v="10193"/>
    <n v="32"/>
    <n v="79.37"/>
    <n v="2539.84"/>
    <s v="Medium"/>
    <n v="761.952"/>
    <d v="2003-11-21T00:00:00"/>
    <x v="0"/>
    <x v="0"/>
    <x v="5"/>
    <x v="0"/>
    <s v="Nov-2003"/>
    <x v="3"/>
    <x v="87"/>
    <x v="3"/>
    <x v="2"/>
    <x v="0"/>
  </r>
  <r>
    <n v="10206"/>
    <n v="28"/>
    <n v="87.3"/>
    <n v="2444.4"/>
    <s v="Medium"/>
    <n v="733.32"/>
    <d v="2003-12-05T00:00:00"/>
    <x v="0"/>
    <x v="0"/>
    <x v="6"/>
    <x v="0"/>
    <s v="Dec-2003"/>
    <x v="3"/>
    <x v="31"/>
    <x v="10"/>
    <x v="0"/>
    <x v="0"/>
  </r>
  <r>
    <n v="10215"/>
    <n v="41"/>
    <n v="100"/>
    <n v="4100"/>
    <s v="Medium"/>
    <n v="1230"/>
    <d v="2004-01-29T00:00:00"/>
    <x v="0"/>
    <x v="0"/>
    <x v="7"/>
    <x v="1"/>
    <s v="Jan-2004"/>
    <x v="3"/>
    <x v="32"/>
    <x v="0"/>
    <x v="0"/>
    <x v="1"/>
  </r>
  <r>
    <n v="10227"/>
    <n v="33"/>
    <n v="100"/>
    <n v="3300"/>
    <s v="Medium"/>
    <n v="990"/>
    <d v="2004-03-02T00:00:00"/>
    <x v="0"/>
    <x v="0"/>
    <x v="11"/>
    <x v="1"/>
    <s v="Mar-2004"/>
    <x v="3"/>
    <x v="30"/>
    <x v="1"/>
    <x v="1"/>
    <x v="1"/>
  </r>
  <r>
    <n v="10244"/>
    <n v="36"/>
    <n v="84.33"/>
    <n v="3035.88"/>
    <s v="Medium"/>
    <n v="910.76400000000001"/>
    <d v="2004-04-29T00:00:00"/>
    <x v="0"/>
    <x v="0"/>
    <x v="8"/>
    <x v="1"/>
    <s v="Apr-2004"/>
    <x v="3"/>
    <x v="23"/>
    <x v="7"/>
    <x v="1"/>
    <x v="1"/>
  </r>
  <r>
    <n v="10257"/>
    <n v="26"/>
    <n v="89.29"/>
    <n v="2321.54"/>
    <s v="Medium"/>
    <n v="696.46199999999999"/>
    <d v="2004-06-14T00:00:00"/>
    <x v="0"/>
    <x v="0"/>
    <x v="9"/>
    <x v="1"/>
    <s v="Jun-2004"/>
    <x v="3"/>
    <x v="61"/>
    <x v="0"/>
    <x v="0"/>
    <x v="0"/>
  </r>
  <r>
    <n v="10280"/>
    <n v="34"/>
    <n v="100"/>
    <n v="3400"/>
    <s v="Medium"/>
    <n v="1020"/>
    <d v="2004-08-17T00:00:00"/>
    <x v="0"/>
    <x v="0"/>
    <x v="3"/>
    <x v="1"/>
    <s v="Aug-2004"/>
    <x v="3"/>
    <x v="36"/>
    <x v="12"/>
    <x v="1"/>
    <x v="1"/>
  </r>
  <r>
    <n v="10290"/>
    <n v="26"/>
    <n v="96.23"/>
    <n v="2501.98"/>
    <s v="Medium"/>
    <n v="750.59399999999994"/>
    <d v="2004-09-07T00:00:00"/>
    <x v="0"/>
    <x v="0"/>
    <x v="10"/>
    <x v="1"/>
    <s v="Sep-2004"/>
    <x v="3"/>
    <x v="91"/>
    <x v="0"/>
    <x v="0"/>
    <x v="0"/>
  </r>
  <r>
    <n v="10304"/>
    <n v="38"/>
    <n v="100"/>
    <n v="3800"/>
    <s v="Medium"/>
    <n v="1140"/>
    <d v="2004-10-11T00:00:00"/>
    <x v="0"/>
    <x v="0"/>
    <x v="4"/>
    <x v="1"/>
    <s v="Oct-2004"/>
    <x v="3"/>
    <x v="38"/>
    <x v="1"/>
    <x v="1"/>
    <x v="1"/>
  </r>
  <r>
    <n v="10312"/>
    <n v="33"/>
    <n v="100"/>
    <n v="3300"/>
    <s v="Medium"/>
    <n v="990"/>
    <d v="2004-10-21T00:00:00"/>
    <x v="0"/>
    <x v="0"/>
    <x v="4"/>
    <x v="1"/>
    <s v="Oct-2004"/>
    <x v="3"/>
    <x v="39"/>
    <x v="0"/>
    <x v="0"/>
    <x v="1"/>
  </r>
  <r>
    <n v="10323"/>
    <n v="33"/>
    <n v="91.27"/>
    <n v="3011.91"/>
    <s v="Medium"/>
    <n v="903.57299999999998"/>
    <d v="2004-11-05T00:00:00"/>
    <x v="0"/>
    <x v="0"/>
    <x v="5"/>
    <x v="1"/>
    <s v="Nov-2004"/>
    <x v="3"/>
    <x v="72"/>
    <x v="16"/>
    <x v="1"/>
    <x v="1"/>
  </r>
  <r>
    <n v="10333"/>
    <n v="46"/>
    <n v="100"/>
    <n v="4600"/>
    <s v="Medium"/>
    <n v="1380"/>
    <d v="2004-11-18T00:00:00"/>
    <x v="0"/>
    <x v="0"/>
    <x v="5"/>
    <x v="1"/>
    <s v="Nov-2004"/>
    <x v="3"/>
    <x v="8"/>
    <x v="0"/>
    <x v="0"/>
    <x v="2"/>
  </r>
  <r>
    <n v="10347"/>
    <n v="26"/>
    <n v="100"/>
    <n v="2600"/>
    <s v="Medium"/>
    <n v="780"/>
    <d v="2004-11-29T00:00:00"/>
    <x v="0"/>
    <x v="0"/>
    <x v="5"/>
    <x v="1"/>
    <s v="Nov-2004"/>
    <x v="3"/>
    <x v="10"/>
    <x v="3"/>
    <x v="2"/>
    <x v="0"/>
  </r>
  <r>
    <n v="10357"/>
    <n v="25"/>
    <n v="100"/>
    <n v="2500"/>
    <s v="Medium"/>
    <n v="750"/>
    <d v="2004-12-10T00:00:00"/>
    <x v="0"/>
    <x v="0"/>
    <x v="6"/>
    <x v="1"/>
    <s v="Dec-2004"/>
    <x v="3"/>
    <x v="39"/>
    <x v="0"/>
    <x v="0"/>
    <x v="0"/>
  </r>
  <r>
    <n v="10369"/>
    <n v="45"/>
    <n v="73.08"/>
    <n v="3288.6"/>
    <s v="Medium"/>
    <n v="986.57999999999993"/>
    <d v="2005-01-20T00:00:00"/>
    <x v="0"/>
    <x v="0"/>
    <x v="7"/>
    <x v="2"/>
    <s v="Jan-2005"/>
    <x v="3"/>
    <x v="41"/>
    <x v="0"/>
    <x v="0"/>
    <x v="1"/>
  </r>
  <r>
    <n v="10382"/>
    <n v="50"/>
    <n v="100"/>
    <n v="5000"/>
    <s v="High"/>
    <n v="1500"/>
    <d v="2005-02-17T00:00:00"/>
    <x v="0"/>
    <x v="0"/>
    <x v="0"/>
    <x v="2"/>
    <s v="Feb-2005"/>
    <x v="3"/>
    <x v="39"/>
    <x v="0"/>
    <x v="0"/>
    <x v="2"/>
  </r>
  <r>
    <n v="10392"/>
    <n v="36"/>
    <n v="100"/>
    <n v="3600"/>
    <s v="Medium"/>
    <n v="1080"/>
    <d v="2005-03-10T00:00:00"/>
    <x v="0"/>
    <x v="0"/>
    <x v="11"/>
    <x v="2"/>
    <s v="Mar-2005"/>
    <x v="3"/>
    <x v="63"/>
    <x v="5"/>
    <x v="1"/>
    <x v="1"/>
  </r>
  <r>
    <n v="10423"/>
    <n v="21"/>
    <n v="89.29"/>
    <n v="1875.0900000000001"/>
    <s v="Low"/>
    <n v="562.52700000000004"/>
    <d v="2005-05-30T00:00:00"/>
    <x v="2"/>
    <x v="1"/>
    <x v="1"/>
    <x v="2"/>
    <s v="May-2005"/>
    <x v="3"/>
    <x v="56"/>
    <x v="14"/>
    <x v="1"/>
    <x v="0"/>
  </r>
  <r>
    <n v="10108"/>
    <n v="29"/>
    <n v="100"/>
    <n v="2900"/>
    <s v="Medium"/>
    <n v="870"/>
    <d v="2003-03-03T00:00:00"/>
    <x v="0"/>
    <x v="0"/>
    <x v="11"/>
    <x v="0"/>
    <s v="Mar-2003"/>
    <x v="1"/>
    <x v="66"/>
    <x v="15"/>
    <x v="3"/>
    <x v="1"/>
  </r>
  <r>
    <n v="10122"/>
    <n v="21"/>
    <n v="100"/>
    <n v="2100"/>
    <s v="Medium"/>
    <n v="630"/>
    <d v="2003-05-08T00:00:00"/>
    <x v="0"/>
    <x v="0"/>
    <x v="1"/>
    <x v="0"/>
    <s v="May-2003"/>
    <x v="1"/>
    <x v="67"/>
    <x v="1"/>
    <x v="1"/>
    <x v="0"/>
  </r>
  <r>
    <n v="10135"/>
    <n v="42"/>
    <n v="100"/>
    <n v="4200"/>
    <s v="Medium"/>
    <n v="1260"/>
    <d v="2003-07-02T00:00:00"/>
    <x v="0"/>
    <x v="0"/>
    <x v="2"/>
    <x v="0"/>
    <s v="Jul-2003"/>
    <x v="1"/>
    <x v="39"/>
    <x v="0"/>
    <x v="0"/>
    <x v="1"/>
  </r>
  <r>
    <n v="10147"/>
    <n v="37"/>
    <n v="100"/>
    <n v="3700"/>
    <s v="Medium"/>
    <n v="1110"/>
    <d v="2003-09-05T00:00:00"/>
    <x v="0"/>
    <x v="0"/>
    <x v="10"/>
    <x v="0"/>
    <s v="Sep-2003"/>
    <x v="1"/>
    <x v="41"/>
    <x v="0"/>
    <x v="0"/>
    <x v="1"/>
  </r>
  <r>
    <n v="10159"/>
    <n v="25"/>
    <n v="100"/>
    <n v="2500"/>
    <s v="Medium"/>
    <n v="750"/>
    <d v="2003-10-10T00:00:00"/>
    <x v="0"/>
    <x v="0"/>
    <x v="4"/>
    <x v="0"/>
    <s v="Oct-2003"/>
    <x v="1"/>
    <x v="4"/>
    <x v="0"/>
    <x v="0"/>
    <x v="1"/>
  </r>
  <r>
    <n v="10169"/>
    <n v="36"/>
    <n v="100"/>
    <n v="3600"/>
    <s v="Medium"/>
    <n v="1080"/>
    <d v="2003-11-04T00:00:00"/>
    <x v="0"/>
    <x v="0"/>
    <x v="5"/>
    <x v="0"/>
    <s v="Nov-2003"/>
    <x v="1"/>
    <x v="42"/>
    <x v="3"/>
    <x v="2"/>
    <x v="1"/>
  </r>
  <r>
    <n v="10181"/>
    <n v="22"/>
    <n v="100"/>
    <n v="2200"/>
    <s v="Medium"/>
    <n v="660"/>
    <d v="2003-11-12T00:00:00"/>
    <x v="0"/>
    <x v="0"/>
    <x v="5"/>
    <x v="0"/>
    <s v="Nov-2003"/>
    <x v="1"/>
    <x v="7"/>
    <x v="2"/>
    <x v="1"/>
    <x v="1"/>
  </r>
  <r>
    <n v="10191"/>
    <n v="23"/>
    <n v="100"/>
    <n v="2300"/>
    <s v="Medium"/>
    <n v="690"/>
    <d v="2003-11-20T00:00:00"/>
    <x v="0"/>
    <x v="0"/>
    <x v="5"/>
    <x v="0"/>
    <s v="Nov-2003"/>
    <x v="1"/>
    <x v="68"/>
    <x v="16"/>
    <x v="1"/>
    <x v="1"/>
  </r>
  <r>
    <n v="10203"/>
    <n v="32"/>
    <n v="100"/>
    <n v="3200"/>
    <s v="Medium"/>
    <n v="960"/>
    <d v="2003-12-02T00:00:00"/>
    <x v="0"/>
    <x v="0"/>
    <x v="6"/>
    <x v="0"/>
    <s v="Dec-2003"/>
    <x v="1"/>
    <x v="23"/>
    <x v="7"/>
    <x v="1"/>
    <x v="1"/>
  </r>
  <r>
    <n v="10211"/>
    <n v="28"/>
    <n v="100"/>
    <n v="2800"/>
    <s v="Medium"/>
    <n v="840"/>
    <d v="2004-01-15T00:00:00"/>
    <x v="0"/>
    <x v="0"/>
    <x v="7"/>
    <x v="1"/>
    <s v="Jan-2004"/>
    <x v="1"/>
    <x v="9"/>
    <x v="1"/>
    <x v="1"/>
    <x v="1"/>
  </r>
  <r>
    <n v="10225"/>
    <n v="27"/>
    <n v="100"/>
    <n v="2700"/>
    <s v="Medium"/>
    <n v="810"/>
    <d v="2004-02-22T00:00:00"/>
    <x v="0"/>
    <x v="0"/>
    <x v="0"/>
    <x v="1"/>
    <s v="Feb-2004"/>
    <x v="1"/>
    <x v="69"/>
    <x v="17"/>
    <x v="1"/>
    <x v="1"/>
  </r>
  <r>
    <n v="10238"/>
    <n v="49"/>
    <n v="100"/>
    <n v="4900"/>
    <s v="Medium"/>
    <n v="1470"/>
    <d v="2004-04-09T00:00:00"/>
    <x v="0"/>
    <x v="0"/>
    <x v="8"/>
    <x v="1"/>
    <s v="Apr-2004"/>
    <x v="1"/>
    <x v="48"/>
    <x v="13"/>
    <x v="1"/>
    <x v="1"/>
  </r>
  <r>
    <n v="10252"/>
    <n v="41"/>
    <n v="100"/>
    <n v="4100"/>
    <s v="Medium"/>
    <n v="1230"/>
    <d v="2004-05-26T00:00:00"/>
    <x v="0"/>
    <x v="0"/>
    <x v="1"/>
    <x v="1"/>
    <s v="May-2004"/>
    <x v="1"/>
    <x v="9"/>
    <x v="1"/>
    <x v="1"/>
    <x v="1"/>
  </r>
  <r>
    <n v="10265"/>
    <n v="49"/>
    <n v="100"/>
    <n v="4900"/>
    <s v="Medium"/>
    <n v="1470"/>
    <d v="2004-07-02T00:00:00"/>
    <x v="0"/>
    <x v="0"/>
    <x v="2"/>
    <x v="1"/>
    <s v="Jul-2004"/>
    <x v="1"/>
    <x v="87"/>
    <x v="3"/>
    <x v="2"/>
    <x v="2"/>
  </r>
  <r>
    <n v="10276"/>
    <n v="30"/>
    <n v="100"/>
    <n v="3000"/>
    <s v="Medium"/>
    <n v="900"/>
    <d v="2004-08-02T00:00:00"/>
    <x v="0"/>
    <x v="0"/>
    <x v="3"/>
    <x v="1"/>
    <s v="Aug-2004"/>
    <x v="1"/>
    <x v="71"/>
    <x v="0"/>
    <x v="0"/>
    <x v="1"/>
  </r>
  <r>
    <n v="10287"/>
    <n v="40"/>
    <n v="100"/>
    <n v="4000"/>
    <s v="Medium"/>
    <n v="1200"/>
    <d v="2004-08-30T00:00:00"/>
    <x v="0"/>
    <x v="0"/>
    <x v="3"/>
    <x v="1"/>
    <s v="Aug-2004"/>
    <x v="1"/>
    <x v="69"/>
    <x v="17"/>
    <x v="1"/>
    <x v="1"/>
  </r>
  <r>
    <n v="10300"/>
    <n v="23"/>
    <n v="100"/>
    <n v="2300"/>
    <s v="Medium"/>
    <n v="690"/>
    <d v="2003-10-04T00:00:00"/>
    <x v="0"/>
    <x v="0"/>
    <x v="4"/>
    <x v="0"/>
    <s v="Oct-2003"/>
    <x v="1"/>
    <x v="72"/>
    <x v="16"/>
    <x v="1"/>
    <x v="1"/>
  </r>
  <r>
    <n v="10310"/>
    <n v="49"/>
    <n v="100"/>
    <n v="4900"/>
    <s v="Medium"/>
    <n v="1470"/>
    <d v="2004-10-16T00:00:00"/>
    <x v="0"/>
    <x v="0"/>
    <x v="4"/>
    <x v="1"/>
    <s v="Oct-2004"/>
    <x v="1"/>
    <x v="68"/>
    <x v="16"/>
    <x v="1"/>
    <x v="1"/>
  </r>
  <r>
    <n v="10320"/>
    <n v="25"/>
    <n v="100"/>
    <n v="2500"/>
    <s v="Medium"/>
    <n v="750"/>
    <d v="2004-11-03T00:00:00"/>
    <x v="0"/>
    <x v="0"/>
    <x v="5"/>
    <x v="1"/>
    <s v="Nov-2004"/>
    <x v="1"/>
    <x v="24"/>
    <x v="8"/>
    <x v="1"/>
    <x v="1"/>
  </r>
  <r>
    <n v="10330"/>
    <n v="37"/>
    <n v="100"/>
    <n v="3700"/>
    <s v="Medium"/>
    <n v="1110"/>
    <d v="2004-11-16T00:00:00"/>
    <x v="0"/>
    <x v="0"/>
    <x v="5"/>
    <x v="1"/>
    <s v="Nov-2004"/>
    <x v="1"/>
    <x v="66"/>
    <x v="15"/>
    <x v="3"/>
    <x v="1"/>
  </r>
  <r>
    <n v="10342"/>
    <n v="55"/>
    <n v="100"/>
    <n v="5500"/>
    <s v="High"/>
    <n v="1650"/>
    <d v="2004-11-24T00:00:00"/>
    <x v="0"/>
    <x v="0"/>
    <x v="5"/>
    <x v="1"/>
    <s v="Nov-2004"/>
    <x v="1"/>
    <x v="10"/>
    <x v="3"/>
    <x v="2"/>
    <x v="1"/>
  </r>
  <r>
    <n v="10355"/>
    <n v="23"/>
    <n v="100"/>
    <n v="2300"/>
    <s v="Medium"/>
    <n v="690"/>
    <d v="2004-12-07T00:00:00"/>
    <x v="0"/>
    <x v="0"/>
    <x v="6"/>
    <x v="1"/>
    <s v="Dec-2004"/>
    <x v="1"/>
    <x v="23"/>
    <x v="7"/>
    <x v="1"/>
    <x v="1"/>
  </r>
  <r>
    <n v="10363"/>
    <n v="24"/>
    <n v="100"/>
    <n v="2400"/>
    <s v="Medium"/>
    <n v="720"/>
    <d v="2005-01-06T00:00:00"/>
    <x v="0"/>
    <x v="0"/>
    <x v="7"/>
    <x v="2"/>
    <s v="Jan-2005"/>
    <x v="1"/>
    <x v="73"/>
    <x v="4"/>
    <x v="1"/>
    <x v="1"/>
  </r>
  <r>
    <n v="10378"/>
    <n v="43"/>
    <n v="96.49"/>
    <n v="4149.07"/>
    <s v="Medium"/>
    <n v="1244.7209999999998"/>
    <d v="2005-02-10T00:00:00"/>
    <x v="0"/>
    <x v="0"/>
    <x v="0"/>
    <x v="2"/>
    <s v="Feb-2005"/>
    <x v="1"/>
    <x v="23"/>
    <x v="7"/>
    <x v="1"/>
    <x v="1"/>
  </r>
  <r>
    <n v="10390"/>
    <n v="50"/>
    <n v="100"/>
    <n v="5000"/>
    <s v="High"/>
    <n v="1500"/>
    <d v="2005-03-04T00:00:00"/>
    <x v="0"/>
    <x v="0"/>
    <x v="11"/>
    <x v="2"/>
    <s v="Mar-2005"/>
    <x v="1"/>
    <x v="39"/>
    <x v="0"/>
    <x v="0"/>
    <x v="2"/>
  </r>
  <r>
    <n v="10109"/>
    <n v="47"/>
    <n v="100"/>
    <n v="4700"/>
    <s v="Medium"/>
    <n v="1410"/>
    <d v="2003-03-10T00:00:00"/>
    <x v="0"/>
    <x v="0"/>
    <x v="11"/>
    <x v="0"/>
    <s v="Mar-2003"/>
    <x v="1"/>
    <x v="45"/>
    <x v="0"/>
    <x v="0"/>
    <x v="1"/>
  </r>
  <r>
    <n v="10123"/>
    <n v="34"/>
    <n v="100"/>
    <n v="3400"/>
    <s v="Medium"/>
    <n v="1020"/>
    <d v="2003-05-20T00:00:00"/>
    <x v="0"/>
    <x v="0"/>
    <x v="1"/>
    <x v="0"/>
    <s v="May-2003"/>
    <x v="1"/>
    <x v="46"/>
    <x v="1"/>
    <x v="1"/>
    <x v="1"/>
  </r>
  <r>
    <n v="10137"/>
    <n v="31"/>
    <n v="100"/>
    <n v="3100"/>
    <s v="Medium"/>
    <n v="930"/>
    <d v="2003-07-10T00:00:00"/>
    <x v="0"/>
    <x v="0"/>
    <x v="2"/>
    <x v="0"/>
    <s v="Jul-2003"/>
    <x v="1"/>
    <x v="1"/>
    <x v="1"/>
    <x v="1"/>
    <x v="1"/>
  </r>
  <r>
    <n v="10148"/>
    <n v="28"/>
    <n v="100"/>
    <n v="2800"/>
    <s v="Medium"/>
    <n v="840"/>
    <d v="2003-09-11T00:00:00"/>
    <x v="0"/>
    <x v="0"/>
    <x v="10"/>
    <x v="0"/>
    <s v="Sep-2003"/>
    <x v="1"/>
    <x v="42"/>
    <x v="3"/>
    <x v="2"/>
    <x v="1"/>
  </r>
  <r>
    <n v="10161"/>
    <n v="36"/>
    <n v="100"/>
    <n v="3600"/>
    <s v="Medium"/>
    <n v="1080"/>
    <d v="2003-10-17T00:00:00"/>
    <x v="0"/>
    <x v="0"/>
    <x v="4"/>
    <x v="0"/>
    <s v="Oct-2003"/>
    <x v="1"/>
    <x v="78"/>
    <x v="13"/>
    <x v="1"/>
    <x v="1"/>
  </r>
  <r>
    <n v="10172"/>
    <n v="48"/>
    <n v="100"/>
    <n v="4800"/>
    <s v="Medium"/>
    <n v="1440"/>
    <d v="2003-11-05T00:00:00"/>
    <x v="0"/>
    <x v="0"/>
    <x v="5"/>
    <x v="0"/>
    <s v="Nov-2003"/>
    <x v="1"/>
    <x v="13"/>
    <x v="0"/>
    <x v="0"/>
    <x v="1"/>
  </r>
  <r>
    <n v="10181"/>
    <n v="39"/>
    <n v="100"/>
    <n v="3900"/>
    <s v="Medium"/>
    <n v="1170"/>
    <d v="2003-11-12T00:00:00"/>
    <x v="0"/>
    <x v="0"/>
    <x v="5"/>
    <x v="0"/>
    <s v="Nov-2003"/>
    <x v="1"/>
    <x v="7"/>
    <x v="2"/>
    <x v="1"/>
    <x v="1"/>
  </r>
  <r>
    <n v="10192"/>
    <n v="45"/>
    <n v="100"/>
    <n v="4500"/>
    <s v="Medium"/>
    <n v="1350"/>
    <d v="2003-11-20T00:00:00"/>
    <x v="0"/>
    <x v="0"/>
    <x v="5"/>
    <x v="0"/>
    <s v="Nov-2003"/>
    <x v="1"/>
    <x v="40"/>
    <x v="0"/>
    <x v="0"/>
    <x v="1"/>
  </r>
  <r>
    <n v="10204"/>
    <n v="35"/>
    <n v="100"/>
    <n v="3500"/>
    <s v="Medium"/>
    <n v="1050"/>
    <d v="2003-12-02T00:00:00"/>
    <x v="0"/>
    <x v="0"/>
    <x v="6"/>
    <x v="0"/>
    <s v="Dec-2003"/>
    <x v="1"/>
    <x v="74"/>
    <x v="0"/>
    <x v="0"/>
    <x v="1"/>
  </r>
  <r>
    <n v="10212"/>
    <n v="45"/>
    <n v="100"/>
    <n v="4500"/>
    <s v="Medium"/>
    <n v="1350"/>
    <d v="2004-01-16T00:00:00"/>
    <x v="0"/>
    <x v="0"/>
    <x v="7"/>
    <x v="1"/>
    <s v="Jan-2004"/>
    <x v="1"/>
    <x v="23"/>
    <x v="7"/>
    <x v="1"/>
    <x v="1"/>
  </r>
  <r>
    <n v="10226"/>
    <n v="46"/>
    <n v="100"/>
    <n v="4600"/>
    <s v="Medium"/>
    <n v="1380"/>
    <d v="2004-02-26T00:00:00"/>
    <x v="0"/>
    <x v="0"/>
    <x v="0"/>
    <x v="1"/>
    <s v="Feb-2004"/>
    <x v="1"/>
    <x v="55"/>
    <x v="0"/>
    <x v="0"/>
    <x v="2"/>
  </r>
  <r>
    <n v="10240"/>
    <n v="37"/>
    <n v="100"/>
    <n v="3700"/>
    <s v="Medium"/>
    <n v="1110"/>
    <d v="2004-04-13T00:00:00"/>
    <x v="0"/>
    <x v="0"/>
    <x v="8"/>
    <x v="1"/>
    <s v="Apr-2004"/>
    <x v="1"/>
    <x v="44"/>
    <x v="11"/>
    <x v="3"/>
    <x v="1"/>
  </r>
  <r>
    <n v="10253"/>
    <n v="31"/>
    <n v="100"/>
    <n v="3100"/>
    <s v="Medium"/>
    <n v="930"/>
    <d v="2004-06-01T00:00:00"/>
    <x v="3"/>
    <x v="1"/>
    <x v="9"/>
    <x v="1"/>
    <s v="Jun-2004"/>
    <x v="1"/>
    <x v="22"/>
    <x v="6"/>
    <x v="1"/>
    <x v="1"/>
  </r>
  <r>
    <n v="10266"/>
    <n v="33"/>
    <n v="100"/>
    <n v="3300"/>
    <s v="Medium"/>
    <n v="990"/>
    <d v="2004-07-06T00:00:00"/>
    <x v="0"/>
    <x v="0"/>
    <x v="2"/>
    <x v="1"/>
    <s v="Jul-2004"/>
    <x v="1"/>
    <x v="70"/>
    <x v="12"/>
    <x v="1"/>
    <x v="1"/>
  </r>
  <r>
    <n v="10278"/>
    <n v="31"/>
    <n v="100"/>
    <n v="3100"/>
    <s v="Medium"/>
    <n v="930"/>
    <d v="2004-08-06T00:00:00"/>
    <x v="0"/>
    <x v="0"/>
    <x v="3"/>
    <x v="1"/>
    <s v="Aug-2004"/>
    <x v="1"/>
    <x v="84"/>
    <x v="0"/>
    <x v="0"/>
    <x v="1"/>
  </r>
  <r>
    <n v="10287"/>
    <n v="27"/>
    <n v="100"/>
    <n v="2700"/>
    <s v="Medium"/>
    <n v="810"/>
    <d v="2004-08-30T00:00:00"/>
    <x v="0"/>
    <x v="0"/>
    <x v="3"/>
    <x v="1"/>
    <s v="Aug-2004"/>
    <x v="1"/>
    <x v="69"/>
    <x v="17"/>
    <x v="1"/>
    <x v="1"/>
  </r>
  <r>
    <n v="10301"/>
    <n v="39"/>
    <n v="100"/>
    <n v="3900"/>
    <s v="Medium"/>
    <n v="1170"/>
    <d v="2003-10-05T00:00:00"/>
    <x v="0"/>
    <x v="0"/>
    <x v="4"/>
    <x v="0"/>
    <s v="Oct-2003"/>
    <x v="1"/>
    <x v="85"/>
    <x v="2"/>
    <x v="1"/>
    <x v="1"/>
  </r>
  <r>
    <n v="10311"/>
    <n v="32"/>
    <n v="100"/>
    <n v="3200"/>
    <s v="Medium"/>
    <n v="960"/>
    <d v="2004-10-16T00:00:00"/>
    <x v="0"/>
    <x v="0"/>
    <x v="4"/>
    <x v="1"/>
    <s v="Oct-2004"/>
    <x v="1"/>
    <x v="23"/>
    <x v="7"/>
    <x v="1"/>
    <x v="1"/>
  </r>
  <r>
    <n v="10321"/>
    <n v="28"/>
    <n v="100"/>
    <n v="2800"/>
    <s v="Medium"/>
    <n v="840"/>
    <d v="2004-11-04T00:00:00"/>
    <x v="0"/>
    <x v="0"/>
    <x v="5"/>
    <x v="1"/>
    <s v="Nov-2004"/>
    <x v="1"/>
    <x v="21"/>
    <x v="0"/>
    <x v="0"/>
    <x v="1"/>
  </r>
  <r>
    <n v="10331"/>
    <n v="26"/>
    <n v="67.91"/>
    <n v="1765.6599999999999"/>
    <s v="Low"/>
    <n v="529.69799999999998"/>
    <d v="2004-11-17T00:00:00"/>
    <x v="0"/>
    <x v="0"/>
    <x v="5"/>
    <x v="1"/>
    <s v="Nov-2004"/>
    <x v="1"/>
    <x v="45"/>
    <x v="0"/>
    <x v="0"/>
    <x v="0"/>
  </r>
  <r>
    <n v="10343"/>
    <n v="44"/>
    <n v="84.88"/>
    <n v="3734.72"/>
    <s v="Medium"/>
    <n v="1120.4159999999999"/>
    <d v="2004-11-24T00:00:00"/>
    <x v="0"/>
    <x v="0"/>
    <x v="5"/>
    <x v="1"/>
    <s v="Nov-2004"/>
    <x v="1"/>
    <x v="1"/>
    <x v="1"/>
    <x v="1"/>
    <x v="1"/>
  </r>
  <r>
    <n v="10367"/>
    <n v="46"/>
    <n v="100"/>
    <n v="4600"/>
    <s v="Medium"/>
    <n v="1380"/>
    <d v="2005-01-12T00:00:00"/>
    <x v="5"/>
    <x v="1"/>
    <x v="7"/>
    <x v="2"/>
    <s v="Jan-2005"/>
    <x v="1"/>
    <x v="3"/>
    <x v="0"/>
    <x v="0"/>
    <x v="1"/>
  </r>
  <r>
    <n v="10379"/>
    <n v="32"/>
    <n v="70.83"/>
    <n v="2266.56"/>
    <s v="Medium"/>
    <n v="679.96799999999996"/>
    <d v="2005-02-10T00:00:00"/>
    <x v="0"/>
    <x v="0"/>
    <x v="0"/>
    <x v="2"/>
    <s v="Feb-2005"/>
    <x v="1"/>
    <x v="23"/>
    <x v="7"/>
    <x v="1"/>
    <x v="0"/>
  </r>
  <r>
    <n v="10406"/>
    <n v="65"/>
    <n v="100"/>
    <n v="6500"/>
    <s v="High"/>
    <n v="1950"/>
    <d v="2005-04-15T00:00:00"/>
    <x v="1"/>
    <x v="1"/>
    <x v="8"/>
    <x v="2"/>
    <s v="Apr-2005"/>
    <x v="1"/>
    <x v="48"/>
    <x v="13"/>
    <x v="1"/>
    <x v="2"/>
  </r>
  <r>
    <n v="10419"/>
    <n v="43"/>
    <n v="100"/>
    <n v="4300"/>
    <s v="Medium"/>
    <n v="1290"/>
    <d v="2005-05-17T00:00:00"/>
    <x v="0"/>
    <x v="0"/>
    <x v="1"/>
    <x v="2"/>
    <s v="May-2005"/>
    <x v="1"/>
    <x v="19"/>
    <x v="5"/>
    <x v="1"/>
    <x v="1"/>
  </r>
  <r>
    <n v="10108"/>
    <n v="43"/>
    <n v="67.77"/>
    <n v="2914.1099999999997"/>
    <s v="Medium"/>
    <n v="874.23299999999983"/>
    <d v="2003-03-03T00:00:00"/>
    <x v="0"/>
    <x v="0"/>
    <x v="11"/>
    <x v="0"/>
    <s v="Mar-2003"/>
    <x v="0"/>
    <x v="66"/>
    <x v="15"/>
    <x v="3"/>
    <x v="0"/>
  </r>
  <r>
    <n v="10122"/>
    <n v="35"/>
    <n v="49.74"/>
    <n v="1740.9"/>
    <s v="Low"/>
    <n v="522.27"/>
    <d v="2003-05-08T00:00:00"/>
    <x v="0"/>
    <x v="0"/>
    <x v="1"/>
    <x v="0"/>
    <s v="May-2003"/>
    <x v="0"/>
    <x v="67"/>
    <x v="1"/>
    <x v="1"/>
    <x v="0"/>
  </r>
  <r>
    <n v="10135"/>
    <n v="45"/>
    <n v="50.36"/>
    <n v="2266.1999999999998"/>
    <s v="Medium"/>
    <n v="679.8599999999999"/>
    <d v="2003-07-02T00:00:00"/>
    <x v="0"/>
    <x v="0"/>
    <x v="2"/>
    <x v="0"/>
    <s v="Jul-2003"/>
    <x v="0"/>
    <x v="39"/>
    <x v="0"/>
    <x v="0"/>
    <x v="0"/>
  </r>
  <r>
    <n v="10146"/>
    <n v="47"/>
    <n v="67.14"/>
    <n v="3155.58"/>
    <s v="Medium"/>
    <n v="946.67399999999998"/>
    <d v="2003-09-03T00:00:00"/>
    <x v="0"/>
    <x v="0"/>
    <x v="10"/>
    <x v="0"/>
    <s v="Sep-2003"/>
    <x v="0"/>
    <x v="88"/>
    <x v="0"/>
    <x v="0"/>
    <x v="1"/>
  </r>
  <r>
    <n v="10159"/>
    <n v="21"/>
    <n v="64.66"/>
    <n v="1357.86"/>
    <s v="Low"/>
    <n v="407.35799999999995"/>
    <d v="2003-10-10T00:00:00"/>
    <x v="0"/>
    <x v="0"/>
    <x v="4"/>
    <x v="0"/>
    <s v="Oct-2003"/>
    <x v="0"/>
    <x v="4"/>
    <x v="0"/>
    <x v="0"/>
    <x v="0"/>
  </r>
  <r>
    <n v="10169"/>
    <n v="38"/>
    <n v="68.39"/>
    <n v="2598.8200000000002"/>
    <s v="Medium"/>
    <n v="779.64600000000007"/>
    <d v="2003-11-04T00:00:00"/>
    <x v="0"/>
    <x v="0"/>
    <x v="5"/>
    <x v="0"/>
    <s v="Nov-2003"/>
    <x v="0"/>
    <x v="42"/>
    <x v="3"/>
    <x v="2"/>
    <x v="0"/>
  </r>
  <r>
    <n v="10180"/>
    <n v="21"/>
    <n v="50.36"/>
    <n v="1057.56"/>
    <s v="Low"/>
    <n v="317.26799999999997"/>
    <d v="2003-11-11T00:00:00"/>
    <x v="0"/>
    <x v="0"/>
    <x v="5"/>
    <x v="0"/>
    <s v="Nov-2003"/>
    <x v="0"/>
    <x v="6"/>
    <x v="1"/>
    <x v="1"/>
    <x v="0"/>
  </r>
  <r>
    <n v="10191"/>
    <n v="43"/>
    <n v="72.739999999999995"/>
    <n v="3127.8199999999997"/>
    <s v="Medium"/>
    <n v="938.34599999999989"/>
    <d v="2003-11-20T00:00:00"/>
    <x v="0"/>
    <x v="0"/>
    <x v="5"/>
    <x v="0"/>
    <s v="Nov-2003"/>
    <x v="0"/>
    <x v="68"/>
    <x v="16"/>
    <x v="1"/>
    <x v="1"/>
  </r>
  <r>
    <n v="10211"/>
    <n v="46"/>
    <n v="54.09"/>
    <n v="2488.1400000000003"/>
    <s v="Medium"/>
    <n v="746.44200000000012"/>
    <d v="2004-01-15T00:00:00"/>
    <x v="0"/>
    <x v="0"/>
    <x v="7"/>
    <x v="1"/>
    <s v="Jan-2004"/>
    <x v="0"/>
    <x v="9"/>
    <x v="1"/>
    <x v="1"/>
    <x v="0"/>
  </r>
  <r>
    <n v="10224"/>
    <n v="38"/>
    <n v="58.44"/>
    <n v="2220.7199999999998"/>
    <s v="Medium"/>
    <n v="666.21599999999989"/>
    <d v="2004-02-21T00:00:00"/>
    <x v="0"/>
    <x v="0"/>
    <x v="0"/>
    <x v="1"/>
    <s v="Feb-2004"/>
    <x v="0"/>
    <x v="6"/>
    <x v="1"/>
    <x v="1"/>
    <x v="0"/>
  </r>
  <r>
    <n v="10237"/>
    <n v="26"/>
    <n v="52.22"/>
    <n v="1357.72"/>
    <s v="Low"/>
    <n v="407.31599999999997"/>
    <d v="2004-04-05T00:00:00"/>
    <x v="0"/>
    <x v="0"/>
    <x v="8"/>
    <x v="1"/>
    <s v="Apr-2004"/>
    <x v="0"/>
    <x v="11"/>
    <x v="0"/>
    <x v="0"/>
    <x v="0"/>
  </r>
  <r>
    <n v="10252"/>
    <n v="31"/>
    <n v="52.84"/>
    <n v="1638.0400000000002"/>
    <s v="Low"/>
    <n v="491.41200000000003"/>
    <d v="2004-05-26T00:00:00"/>
    <x v="0"/>
    <x v="0"/>
    <x v="1"/>
    <x v="1"/>
    <s v="May-2004"/>
    <x v="0"/>
    <x v="9"/>
    <x v="1"/>
    <x v="1"/>
    <x v="0"/>
  </r>
  <r>
    <n v="10264"/>
    <n v="48"/>
    <n v="54.71"/>
    <n v="2626.08"/>
    <s v="Medium"/>
    <n v="787.82399999999996"/>
    <d v="2004-06-30T00:00:00"/>
    <x v="0"/>
    <x v="0"/>
    <x v="9"/>
    <x v="1"/>
    <s v="Jun-2004"/>
    <x v="0"/>
    <x v="58"/>
    <x v="0"/>
    <x v="0"/>
    <x v="0"/>
  </r>
  <r>
    <n v="10276"/>
    <n v="33"/>
    <n v="50.36"/>
    <n v="1661.8799999999999"/>
    <s v="Low"/>
    <n v="498.56399999999996"/>
    <d v="2004-08-02T00:00:00"/>
    <x v="0"/>
    <x v="0"/>
    <x v="3"/>
    <x v="1"/>
    <s v="Aug-2004"/>
    <x v="0"/>
    <x v="71"/>
    <x v="0"/>
    <x v="0"/>
    <x v="0"/>
  </r>
  <r>
    <n v="10286"/>
    <n v="38"/>
    <n v="57.2"/>
    <n v="2173.6"/>
    <s v="Medium"/>
    <n v="652.07999999999993"/>
    <d v="2004-08-28T00:00:00"/>
    <x v="0"/>
    <x v="0"/>
    <x v="3"/>
    <x v="1"/>
    <s v="Aug-2004"/>
    <x v="0"/>
    <x v="62"/>
    <x v="1"/>
    <x v="1"/>
    <x v="0"/>
  </r>
  <r>
    <n v="10299"/>
    <n v="39"/>
    <n v="55.95"/>
    <n v="2182.0500000000002"/>
    <s v="Medium"/>
    <n v="654.61500000000001"/>
    <d v="2004-09-30T00:00:00"/>
    <x v="0"/>
    <x v="0"/>
    <x v="10"/>
    <x v="1"/>
    <s v="Sep-2004"/>
    <x v="0"/>
    <x v="16"/>
    <x v="4"/>
    <x v="1"/>
    <x v="0"/>
  </r>
  <r>
    <n v="10310"/>
    <n v="42"/>
    <n v="67.14"/>
    <n v="2819.88"/>
    <s v="Medium"/>
    <n v="845.96400000000006"/>
    <d v="2004-10-16T00:00:00"/>
    <x v="0"/>
    <x v="0"/>
    <x v="4"/>
    <x v="1"/>
    <s v="Oct-2004"/>
    <x v="0"/>
    <x v="68"/>
    <x v="16"/>
    <x v="1"/>
    <x v="0"/>
  </r>
  <r>
    <n v="10319"/>
    <n v="44"/>
    <n v="59.06"/>
    <n v="2598.6400000000003"/>
    <s v="Medium"/>
    <n v="779.5920000000001"/>
    <d v="2004-11-03T00:00:00"/>
    <x v="0"/>
    <x v="0"/>
    <x v="5"/>
    <x v="1"/>
    <s v="Nov-2004"/>
    <x v="0"/>
    <x v="79"/>
    <x v="0"/>
    <x v="0"/>
    <x v="0"/>
  </r>
  <r>
    <n v="10330"/>
    <n v="29"/>
    <n v="69.63"/>
    <n v="2019.27"/>
    <s v="Medium"/>
    <n v="605.78099999999995"/>
    <d v="2004-11-16T00:00:00"/>
    <x v="0"/>
    <x v="0"/>
    <x v="5"/>
    <x v="1"/>
    <s v="Nov-2004"/>
    <x v="0"/>
    <x v="66"/>
    <x v="15"/>
    <x v="3"/>
    <x v="0"/>
  </r>
  <r>
    <n v="10342"/>
    <n v="26"/>
    <n v="55.95"/>
    <n v="1454.7"/>
    <s v="Low"/>
    <n v="436.41"/>
    <d v="2004-11-24T00:00:00"/>
    <x v="0"/>
    <x v="0"/>
    <x v="5"/>
    <x v="1"/>
    <s v="Nov-2004"/>
    <x v="0"/>
    <x v="10"/>
    <x v="3"/>
    <x v="2"/>
    <x v="0"/>
  </r>
  <r>
    <n v="10355"/>
    <n v="31"/>
    <n v="53.47"/>
    <n v="1657.57"/>
    <s v="Low"/>
    <n v="497.27099999999996"/>
    <d v="2004-12-07T00:00:00"/>
    <x v="0"/>
    <x v="0"/>
    <x v="6"/>
    <x v="1"/>
    <s v="Dec-2004"/>
    <x v="0"/>
    <x v="23"/>
    <x v="7"/>
    <x v="1"/>
    <x v="0"/>
  </r>
  <r>
    <n v="10363"/>
    <n v="32"/>
    <n v="89.12"/>
    <n v="2851.84"/>
    <s v="Medium"/>
    <n v="855.55200000000002"/>
    <d v="2005-01-06T00:00:00"/>
    <x v="0"/>
    <x v="0"/>
    <x v="7"/>
    <x v="2"/>
    <s v="Jan-2005"/>
    <x v="0"/>
    <x v="73"/>
    <x v="4"/>
    <x v="1"/>
    <x v="0"/>
  </r>
  <r>
    <n v="10378"/>
    <n v="28"/>
    <n v="100"/>
    <n v="2800"/>
    <s v="Medium"/>
    <n v="840"/>
    <d v="2005-02-10T00:00:00"/>
    <x v="0"/>
    <x v="0"/>
    <x v="0"/>
    <x v="2"/>
    <s v="Feb-2005"/>
    <x v="0"/>
    <x v="23"/>
    <x v="7"/>
    <x v="1"/>
    <x v="1"/>
  </r>
  <r>
    <n v="10390"/>
    <n v="36"/>
    <n v="100"/>
    <n v="3600"/>
    <s v="Medium"/>
    <n v="1080"/>
    <d v="2005-03-04T00:00:00"/>
    <x v="0"/>
    <x v="0"/>
    <x v="11"/>
    <x v="2"/>
    <s v="Mar-2005"/>
    <x v="0"/>
    <x v="39"/>
    <x v="0"/>
    <x v="0"/>
    <x v="1"/>
  </r>
  <r>
    <n v="10403"/>
    <n v="36"/>
    <n v="52.22"/>
    <n v="1879.92"/>
    <s v="Low"/>
    <n v="563.976"/>
    <d v="2005-04-08T00:00:00"/>
    <x v="0"/>
    <x v="0"/>
    <x v="8"/>
    <x v="2"/>
    <s v="Apr-2005"/>
    <x v="0"/>
    <x v="22"/>
    <x v="6"/>
    <x v="1"/>
    <x v="0"/>
  </r>
  <r>
    <n v="10106"/>
    <n v="41"/>
    <n v="100"/>
    <n v="4100"/>
    <s v="Medium"/>
    <n v="1230"/>
    <d v="2003-02-17T00:00:00"/>
    <x v="0"/>
    <x v="0"/>
    <x v="0"/>
    <x v="0"/>
    <s v="Feb-2003"/>
    <x v="3"/>
    <x v="86"/>
    <x v="12"/>
    <x v="1"/>
    <x v="1"/>
  </r>
  <r>
    <n v="10119"/>
    <n v="27"/>
    <n v="99.52"/>
    <n v="2687.04"/>
    <s v="Medium"/>
    <n v="806.11199999999997"/>
    <d v="2003-04-28T00:00:00"/>
    <x v="0"/>
    <x v="0"/>
    <x v="8"/>
    <x v="0"/>
    <s v="Apr-2003"/>
    <x v="3"/>
    <x v="19"/>
    <x v="5"/>
    <x v="1"/>
    <x v="0"/>
  </r>
  <r>
    <n v="10130"/>
    <n v="33"/>
    <n v="100"/>
    <n v="3300"/>
    <s v="Medium"/>
    <n v="990"/>
    <d v="2003-06-16T00:00:00"/>
    <x v="0"/>
    <x v="0"/>
    <x v="9"/>
    <x v="0"/>
    <s v="Jun-2003"/>
    <x v="3"/>
    <x v="91"/>
    <x v="0"/>
    <x v="0"/>
    <x v="1"/>
  </r>
  <r>
    <n v="10143"/>
    <n v="34"/>
    <n v="100"/>
    <n v="3400"/>
    <s v="Medium"/>
    <n v="1020"/>
    <d v="2003-08-10T00:00:00"/>
    <x v="0"/>
    <x v="0"/>
    <x v="3"/>
    <x v="0"/>
    <s v="Aug-2003"/>
    <x v="3"/>
    <x v="50"/>
    <x v="0"/>
    <x v="0"/>
    <x v="1"/>
  </r>
  <r>
    <n v="10155"/>
    <n v="29"/>
    <n v="100"/>
    <n v="2900"/>
    <s v="Medium"/>
    <n v="870"/>
    <d v="2003-10-06T00:00:00"/>
    <x v="0"/>
    <x v="0"/>
    <x v="4"/>
    <x v="0"/>
    <s v="Oct-2003"/>
    <x v="3"/>
    <x v="16"/>
    <x v="4"/>
    <x v="1"/>
    <x v="1"/>
  </r>
  <r>
    <n v="10167"/>
    <n v="34"/>
    <n v="100"/>
    <n v="3400"/>
    <s v="Medium"/>
    <n v="1020"/>
    <d v="2003-10-23T00:00:00"/>
    <x v="3"/>
    <x v="1"/>
    <x v="4"/>
    <x v="0"/>
    <s v="Oct-2003"/>
    <x v="3"/>
    <x v="37"/>
    <x v="8"/>
    <x v="1"/>
    <x v="1"/>
  </r>
  <r>
    <n v="10178"/>
    <n v="48"/>
    <n v="100"/>
    <n v="4800"/>
    <s v="Medium"/>
    <n v="1440"/>
    <d v="2003-11-08T00:00:00"/>
    <x v="0"/>
    <x v="0"/>
    <x v="5"/>
    <x v="0"/>
    <s v="Nov-2003"/>
    <x v="3"/>
    <x v="51"/>
    <x v="1"/>
    <x v="1"/>
    <x v="1"/>
  </r>
  <r>
    <n v="10186"/>
    <n v="46"/>
    <n v="100"/>
    <n v="4600"/>
    <s v="Medium"/>
    <n v="1380"/>
    <d v="2003-11-14T00:00:00"/>
    <x v="0"/>
    <x v="0"/>
    <x v="5"/>
    <x v="0"/>
    <s v="Nov-2003"/>
    <x v="3"/>
    <x v="52"/>
    <x v="6"/>
    <x v="1"/>
    <x v="1"/>
  </r>
  <r>
    <n v="10197"/>
    <n v="22"/>
    <n v="100"/>
    <n v="2200"/>
    <s v="Medium"/>
    <n v="660"/>
    <d v="2003-11-26T00:00:00"/>
    <x v="0"/>
    <x v="0"/>
    <x v="5"/>
    <x v="0"/>
    <s v="Nov-2003"/>
    <x v="3"/>
    <x v="53"/>
    <x v="7"/>
    <x v="1"/>
    <x v="0"/>
  </r>
  <r>
    <n v="10209"/>
    <n v="20"/>
    <n v="100"/>
    <n v="2000"/>
    <s v="Medium"/>
    <n v="600"/>
    <d v="2004-01-09T00:00:00"/>
    <x v="0"/>
    <x v="0"/>
    <x v="7"/>
    <x v="1"/>
    <s v="Jan-2004"/>
    <x v="3"/>
    <x v="54"/>
    <x v="0"/>
    <x v="0"/>
    <x v="0"/>
  </r>
  <r>
    <n v="10222"/>
    <n v="45"/>
    <n v="85.75"/>
    <n v="3858.75"/>
    <s v="Medium"/>
    <n v="1157.625"/>
    <d v="2004-02-19T00:00:00"/>
    <x v="0"/>
    <x v="0"/>
    <x v="0"/>
    <x v="1"/>
    <s v="Feb-2004"/>
    <x v="3"/>
    <x v="55"/>
    <x v="0"/>
    <x v="0"/>
    <x v="1"/>
  </r>
  <r>
    <n v="10249"/>
    <n v="46"/>
    <n v="100"/>
    <n v="4600"/>
    <s v="Medium"/>
    <n v="1380"/>
    <d v="2004-05-08T00:00:00"/>
    <x v="0"/>
    <x v="0"/>
    <x v="1"/>
    <x v="1"/>
    <s v="May-2004"/>
    <x v="3"/>
    <x v="33"/>
    <x v="0"/>
    <x v="0"/>
    <x v="1"/>
  </r>
  <r>
    <n v="10262"/>
    <n v="34"/>
    <n v="100"/>
    <n v="3400"/>
    <s v="Medium"/>
    <n v="1020"/>
    <d v="2004-06-24T00:00:00"/>
    <x v="3"/>
    <x v="1"/>
    <x v="9"/>
    <x v="1"/>
    <s v="Jun-2004"/>
    <x v="3"/>
    <x v="23"/>
    <x v="7"/>
    <x v="1"/>
    <x v="1"/>
  </r>
  <r>
    <n v="10273"/>
    <n v="50"/>
    <n v="85.75"/>
    <n v="4287.5"/>
    <s v="Medium"/>
    <n v="1286.25"/>
    <d v="2004-07-21T00:00:00"/>
    <x v="0"/>
    <x v="0"/>
    <x v="2"/>
    <x v="1"/>
    <s v="Jul-2004"/>
    <x v="3"/>
    <x v="56"/>
    <x v="14"/>
    <x v="1"/>
    <x v="1"/>
  </r>
  <r>
    <n v="10283"/>
    <n v="46"/>
    <n v="100"/>
    <n v="4600"/>
    <s v="Medium"/>
    <n v="1380"/>
    <d v="2004-08-20T00:00:00"/>
    <x v="0"/>
    <x v="0"/>
    <x v="3"/>
    <x v="1"/>
    <s v="Aug-2004"/>
    <x v="3"/>
    <x v="57"/>
    <x v="10"/>
    <x v="0"/>
    <x v="1"/>
  </r>
  <r>
    <n v="10296"/>
    <n v="22"/>
    <n v="84.7"/>
    <n v="1863.4"/>
    <s v="Low"/>
    <n v="559.02"/>
    <d v="2004-09-15T00:00:00"/>
    <x v="0"/>
    <x v="0"/>
    <x v="10"/>
    <x v="1"/>
    <s v="Sep-2004"/>
    <x v="3"/>
    <x v="89"/>
    <x v="16"/>
    <x v="1"/>
    <x v="0"/>
  </r>
  <r>
    <n v="10307"/>
    <n v="48"/>
    <n v="86.81"/>
    <n v="4166.88"/>
    <s v="Medium"/>
    <n v="1250.0640000000001"/>
    <d v="2004-10-14T00:00:00"/>
    <x v="0"/>
    <x v="0"/>
    <x v="4"/>
    <x v="1"/>
    <s v="Oct-2004"/>
    <x v="3"/>
    <x v="29"/>
    <x v="0"/>
    <x v="0"/>
    <x v="1"/>
  </r>
  <r>
    <n v="10316"/>
    <n v="47"/>
    <n v="86.81"/>
    <n v="4080.07"/>
    <s v="Medium"/>
    <n v="1224.021"/>
    <d v="2004-11-01T00:00:00"/>
    <x v="0"/>
    <x v="0"/>
    <x v="5"/>
    <x v="1"/>
    <s v="Nov-2004"/>
    <x v="3"/>
    <x v="59"/>
    <x v="6"/>
    <x v="1"/>
    <x v="1"/>
  </r>
  <r>
    <n v="10328"/>
    <n v="34"/>
    <n v="100"/>
    <n v="3400"/>
    <s v="Medium"/>
    <n v="1020"/>
    <d v="2004-11-12T00:00:00"/>
    <x v="0"/>
    <x v="0"/>
    <x v="5"/>
    <x v="1"/>
    <s v="Nov-2004"/>
    <x v="3"/>
    <x v="86"/>
    <x v="12"/>
    <x v="1"/>
    <x v="1"/>
  </r>
  <r>
    <n v="10338"/>
    <n v="45"/>
    <n v="100"/>
    <n v="4500"/>
    <s v="Medium"/>
    <n v="1350"/>
    <d v="2004-11-22T00:00:00"/>
    <x v="0"/>
    <x v="0"/>
    <x v="5"/>
    <x v="1"/>
    <s v="Nov-2004"/>
    <x v="3"/>
    <x v="90"/>
    <x v="14"/>
    <x v="1"/>
    <x v="1"/>
  </r>
  <r>
    <n v="10351"/>
    <n v="20"/>
    <n v="100"/>
    <n v="2000"/>
    <s v="Medium"/>
    <n v="600"/>
    <d v="2004-12-03T00:00:00"/>
    <x v="0"/>
    <x v="0"/>
    <x v="6"/>
    <x v="1"/>
    <s v="Dec-2004"/>
    <x v="3"/>
    <x v="49"/>
    <x v="6"/>
    <x v="1"/>
    <x v="1"/>
  </r>
  <r>
    <n v="10373"/>
    <n v="50"/>
    <n v="60.49"/>
    <n v="3024.5"/>
    <s v="Medium"/>
    <n v="907.35"/>
    <d v="2005-01-31T00:00:00"/>
    <x v="0"/>
    <x v="0"/>
    <x v="7"/>
    <x v="2"/>
    <s v="Jan-2005"/>
    <x v="3"/>
    <x v="60"/>
    <x v="4"/>
    <x v="1"/>
    <x v="1"/>
  </r>
  <r>
    <n v="10386"/>
    <n v="22"/>
    <n v="57.55"/>
    <n v="1266.0999999999999"/>
    <s v="Low"/>
    <n v="379.83"/>
    <d v="2005-03-01T00:00:00"/>
    <x v="5"/>
    <x v="1"/>
    <x v="11"/>
    <x v="2"/>
    <s v="Mar-2005"/>
    <x v="3"/>
    <x v="23"/>
    <x v="7"/>
    <x v="1"/>
    <x v="0"/>
  </r>
  <r>
    <n v="10398"/>
    <n v="45"/>
    <n v="100"/>
    <n v="4500"/>
    <s v="Medium"/>
    <n v="1350"/>
    <d v="2005-03-30T00:00:00"/>
    <x v="0"/>
    <x v="0"/>
    <x v="11"/>
    <x v="2"/>
    <s v="Mar-2005"/>
    <x v="3"/>
    <x v="1"/>
    <x v="1"/>
    <x v="1"/>
    <x v="1"/>
  </r>
  <r>
    <n v="10400"/>
    <n v="58"/>
    <n v="100"/>
    <n v="5800"/>
    <s v="High"/>
    <n v="1740"/>
    <d v="2005-04-01T00:00:00"/>
    <x v="0"/>
    <x v="0"/>
    <x v="8"/>
    <x v="2"/>
    <s v="Apr-2005"/>
    <x v="3"/>
    <x v="61"/>
    <x v="0"/>
    <x v="0"/>
    <x v="2"/>
  </r>
  <r>
    <n v="10415"/>
    <n v="51"/>
    <n v="100"/>
    <n v="5100"/>
    <s v="High"/>
    <n v="1530"/>
    <d v="2005-05-09T00:00:00"/>
    <x v="1"/>
    <x v="1"/>
    <x v="1"/>
    <x v="2"/>
    <s v="May-2005"/>
    <x v="3"/>
    <x v="87"/>
    <x v="3"/>
    <x v="2"/>
    <x v="1"/>
  </r>
  <r>
    <n v="10104"/>
    <n v="38"/>
    <n v="100"/>
    <n v="3800"/>
    <s v="Medium"/>
    <n v="1140"/>
    <d v="2003-01-31T00:00:00"/>
    <x v="0"/>
    <x v="0"/>
    <x v="7"/>
    <x v="0"/>
    <s v="Jan-2003"/>
    <x v="1"/>
    <x v="23"/>
    <x v="7"/>
    <x v="1"/>
    <x v="1"/>
  </r>
  <r>
    <n v="10117"/>
    <n v="22"/>
    <n v="100"/>
    <n v="2200"/>
    <s v="Medium"/>
    <n v="660"/>
    <d v="2003-04-16T00:00:00"/>
    <x v="0"/>
    <x v="0"/>
    <x v="8"/>
    <x v="0"/>
    <s v="Apr-2003"/>
    <x v="1"/>
    <x v="26"/>
    <x v="9"/>
    <x v="3"/>
    <x v="0"/>
  </r>
  <r>
    <n v="10127"/>
    <n v="25"/>
    <n v="100"/>
    <n v="2500"/>
    <s v="Medium"/>
    <n v="750"/>
    <d v="2003-06-03T00:00:00"/>
    <x v="0"/>
    <x v="0"/>
    <x v="9"/>
    <x v="0"/>
    <s v="Jun-2003"/>
    <x v="1"/>
    <x v="74"/>
    <x v="0"/>
    <x v="0"/>
    <x v="1"/>
  </r>
  <r>
    <n v="10142"/>
    <n v="24"/>
    <n v="100"/>
    <n v="2400"/>
    <s v="Medium"/>
    <n v="720"/>
    <d v="2003-08-08T00:00:00"/>
    <x v="0"/>
    <x v="0"/>
    <x v="3"/>
    <x v="0"/>
    <s v="Aug-2003"/>
    <x v="1"/>
    <x v="39"/>
    <x v="0"/>
    <x v="0"/>
    <x v="1"/>
  </r>
  <r>
    <n v="10152"/>
    <n v="35"/>
    <n v="100"/>
    <n v="3500"/>
    <s v="Medium"/>
    <n v="1050"/>
    <d v="2003-09-25T00:00:00"/>
    <x v="0"/>
    <x v="0"/>
    <x v="10"/>
    <x v="0"/>
    <s v="Sep-2003"/>
    <x v="1"/>
    <x v="28"/>
    <x v="3"/>
    <x v="2"/>
    <x v="1"/>
  </r>
  <r>
    <n v="10165"/>
    <n v="28"/>
    <n v="100"/>
    <n v="2800"/>
    <s v="Medium"/>
    <n v="840"/>
    <d v="2003-10-22T00:00:00"/>
    <x v="0"/>
    <x v="0"/>
    <x v="4"/>
    <x v="0"/>
    <s v="Oct-2003"/>
    <x v="1"/>
    <x v="26"/>
    <x v="9"/>
    <x v="3"/>
    <x v="1"/>
  </r>
  <r>
    <n v="10176"/>
    <n v="36"/>
    <n v="100"/>
    <n v="3600"/>
    <s v="Medium"/>
    <n v="1080"/>
    <d v="2003-11-06T00:00:00"/>
    <x v="0"/>
    <x v="0"/>
    <x v="5"/>
    <x v="0"/>
    <s v="Nov-2003"/>
    <x v="1"/>
    <x v="70"/>
    <x v="12"/>
    <x v="1"/>
    <x v="1"/>
  </r>
  <r>
    <n v="10185"/>
    <n v="39"/>
    <n v="100"/>
    <n v="3900"/>
    <s v="Medium"/>
    <n v="1170"/>
    <d v="2003-11-14T00:00:00"/>
    <x v="0"/>
    <x v="0"/>
    <x v="5"/>
    <x v="0"/>
    <s v="Nov-2003"/>
    <x v="1"/>
    <x v="50"/>
    <x v="0"/>
    <x v="0"/>
    <x v="1"/>
  </r>
  <r>
    <n v="10196"/>
    <n v="27"/>
    <n v="100"/>
    <n v="2700"/>
    <s v="Medium"/>
    <n v="810"/>
    <d v="2003-11-26T00:00:00"/>
    <x v="0"/>
    <x v="0"/>
    <x v="5"/>
    <x v="0"/>
    <s v="Nov-2003"/>
    <x v="1"/>
    <x v="34"/>
    <x v="0"/>
    <x v="0"/>
    <x v="1"/>
  </r>
  <r>
    <n v="10207"/>
    <n v="40"/>
    <n v="100"/>
    <n v="4000"/>
    <s v="Medium"/>
    <n v="1200"/>
    <d v="2003-12-09T00:00:00"/>
    <x v="0"/>
    <x v="0"/>
    <x v="6"/>
    <x v="0"/>
    <s v="Dec-2003"/>
    <x v="1"/>
    <x v="64"/>
    <x v="0"/>
    <x v="0"/>
    <x v="1"/>
  </r>
  <r>
    <n v="10220"/>
    <n v="50"/>
    <n v="100"/>
    <n v="5000"/>
    <s v="High"/>
    <n v="1500"/>
    <d v="2004-02-12T00:00:00"/>
    <x v="0"/>
    <x v="0"/>
    <x v="0"/>
    <x v="1"/>
    <s v="Feb-2004"/>
    <x v="1"/>
    <x v="75"/>
    <x v="18"/>
    <x v="1"/>
    <x v="2"/>
  </r>
  <r>
    <n v="10230"/>
    <n v="42"/>
    <n v="100"/>
    <n v="4200"/>
    <s v="Medium"/>
    <n v="1260"/>
    <d v="2004-03-15T00:00:00"/>
    <x v="0"/>
    <x v="0"/>
    <x v="11"/>
    <x v="1"/>
    <s v="Mar-2004"/>
    <x v="1"/>
    <x v="72"/>
    <x v="16"/>
    <x v="1"/>
    <x v="2"/>
  </r>
  <r>
    <n v="10247"/>
    <n v="48"/>
    <n v="100"/>
    <n v="4800"/>
    <s v="Medium"/>
    <n v="1440"/>
    <d v="2004-05-05T00:00:00"/>
    <x v="0"/>
    <x v="0"/>
    <x v="1"/>
    <x v="1"/>
    <s v="May-2004"/>
    <x v="1"/>
    <x v="73"/>
    <x v="4"/>
    <x v="1"/>
    <x v="1"/>
  </r>
  <r>
    <n v="10272"/>
    <n v="25"/>
    <n v="100"/>
    <n v="2500"/>
    <s v="Medium"/>
    <n v="750"/>
    <d v="2004-07-20T00:00:00"/>
    <x v="0"/>
    <x v="0"/>
    <x v="2"/>
    <x v="1"/>
    <s v="Jul-2004"/>
    <x v="1"/>
    <x v="18"/>
    <x v="0"/>
    <x v="0"/>
    <x v="1"/>
  </r>
  <r>
    <n v="10282"/>
    <n v="31"/>
    <n v="100"/>
    <n v="3100"/>
    <s v="Medium"/>
    <n v="930"/>
    <d v="2004-08-20T00:00:00"/>
    <x v="0"/>
    <x v="0"/>
    <x v="3"/>
    <x v="1"/>
    <s v="Aug-2004"/>
    <x v="1"/>
    <x v="39"/>
    <x v="0"/>
    <x v="0"/>
    <x v="1"/>
  </r>
  <r>
    <n v="10292"/>
    <n v="44"/>
    <n v="100"/>
    <n v="4400"/>
    <s v="Medium"/>
    <n v="1320"/>
    <d v="2004-09-08T00:00:00"/>
    <x v="0"/>
    <x v="0"/>
    <x v="10"/>
    <x v="1"/>
    <s v="Sep-2004"/>
    <x v="1"/>
    <x v="0"/>
    <x v="0"/>
    <x v="0"/>
    <x v="2"/>
  </r>
  <r>
    <n v="10306"/>
    <n v="23"/>
    <n v="100"/>
    <n v="2300"/>
    <s v="Medium"/>
    <n v="690"/>
    <d v="2004-10-14T00:00:00"/>
    <x v="0"/>
    <x v="0"/>
    <x v="4"/>
    <x v="1"/>
    <s v="Oct-2004"/>
    <x v="1"/>
    <x v="77"/>
    <x v="6"/>
    <x v="1"/>
    <x v="1"/>
  </r>
  <r>
    <n v="10314"/>
    <n v="29"/>
    <n v="100"/>
    <n v="2900"/>
    <s v="Medium"/>
    <n v="870"/>
    <d v="2004-10-22T00:00:00"/>
    <x v="0"/>
    <x v="0"/>
    <x v="4"/>
    <x v="1"/>
    <s v="Oct-2004"/>
    <x v="1"/>
    <x v="78"/>
    <x v="13"/>
    <x v="1"/>
    <x v="1"/>
  </r>
  <r>
    <n v="10324"/>
    <n v="49"/>
    <n v="100"/>
    <n v="4900"/>
    <s v="Medium"/>
    <n v="1470"/>
    <d v="2004-11-05T00:00:00"/>
    <x v="0"/>
    <x v="0"/>
    <x v="5"/>
    <x v="1"/>
    <s v="Nov-2004"/>
    <x v="1"/>
    <x v="11"/>
    <x v="0"/>
    <x v="0"/>
    <x v="1"/>
  </r>
  <r>
    <n v="10337"/>
    <n v="36"/>
    <n v="100"/>
    <n v="3600"/>
    <s v="Medium"/>
    <n v="1080"/>
    <d v="2004-11-21T00:00:00"/>
    <x v="0"/>
    <x v="0"/>
    <x v="5"/>
    <x v="1"/>
    <s v="Nov-2004"/>
    <x v="1"/>
    <x v="27"/>
    <x v="0"/>
    <x v="0"/>
    <x v="1"/>
  </r>
  <r>
    <n v="10349"/>
    <n v="34"/>
    <n v="100"/>
    <n v="3400"/>
    <s v="Medium"/>
    <n v="1020"/>
    <d v="2004-12-01T00:00:00"/>
    <x v="0"/>
    <x v="0"/>
    <x v="6"/>
    <x v="1"/>
    <s v="Dec-2004"/>
    <x v="1"/>
    <x v="74"/>
    <x v="0"/>
    <x v="0"/>
    <x v="1"/>
  </r>
  <r>
    <n v="10358"/>
    <n v="25"/>
    <n v="100"/>
    <n v="2500"/>
    <s v="Medium"/>
    <n v="750"/>
    <d v="2004-12-10T00:00:00"/>
    <x v="0"/>
    <x v="0"/>
    <x v="6"/>
    <x v="1"/>
    <s v="Dec-2004"/>
    <x v="1"/>
    <x v="23"/>
    <x v="7"/>
    <x v="1"/>
    <x v="0"/>
  </r>
  <r>
    <n v="10372"/>
    <n v="48"/>
    <n v="100"/>
    <n v="4800"/>
    <s v="Medium"/>
    <n v="1440"/>
    <d v="2005-01-26T00:00:00"/>
    <x v="0"/>
    <x v="0"/>
    <x v="7"/>
    <x v="2"/>
    <s v="Jan-2005"/>
    <x v="1"/>
    <x v="35"/>
    <x v="11"/>
    <x v="3"/>
    <x v="2"/>
  </r>
  <r>
    <n v="10383"/>
    <n v="38"/>
    <n v="100"/>
    <n v="3800"/>
    <s v="Medium"/>
    <n v="1140"/>
    <d v="2005-02-22T00:00:00"/>
    <x v="0"/>
    <x v="0"/>
    <x v="0"/>
    <x v="2"/>
    <s v="Feb-2005"/>
    <x v="1"/>
    <x v="23"/>
    <x v="7"/>
    <x v="1"/>
    <x v="1"/>
  </r>
  <r>
    <n v="10394"/>
    <n v="37"/>
    <n v="100"/>
    <n v="3700"/>
    <s v="Medium"/>
    <n v="1110"/>
    <d v="2005-03-15T00:00:00"/>
    <x v="0"/>
    <x v="0"/>
    <x v="11"/>
    <x v="2"/>
    <s v="Mar-2005"/>
    <x v="1"/>
    <x v="23"/>
    <x v="7"/>
    <x v="1"/>
    <x v="1"/>
  </r>
  <r>
    <n v="10413"/>
    <n v="49"/>
    <n v="100"/>
    <n v="4900"/>
    <s v="Medium"/>
    <n v="1470"/>
    <d v="2005-05-05T00:00:00"/>
    <x v="0"/>
    <x v="0"/>
    <x v="1"/>
    <x v="2"/>
    <s v="May-2005"/>
    <x v="1"/>
    <x v="13"/>
    <x v="0"/>
    <x v="0"/>
    <x v="1"/>
  </r>
  <r>
    <n v="10100"/>
    <n v="22"/>
    <n v="86.51"/>
    <n v="1903.22"/>
    <s v="Low"/>
    <n v="570.96600000000001"/>
    <d v="2003-01-06T00:00:00"/>
    <x v="0"/>
    <x v="0"/>
    <x v="7"/>
    <x v="0"/>
    <s v="Jan-2003"/>
    <x v="3"/>
    <x v="40"/>
    <x v="0"/>
    <x v="0"/>
    <x v="0"/>
  </r>
  <r>
    <n v="10110"/>
    <n v="28"/>
    <n v="89.27"/>
    <n v="2499.56"/>
    <s v="Medium"/>
    <n v="749.86799999999994"/>
    <d v="2003-03-18T00:00:00"/>
    <x v="0"/>
    <x v="0"/>
    <x v="11"/>
    <x v="0"/>
    <s v="Mar-2003"/>
    <x v="3"/>
    <x v="77"/>
    <x v="6"/>
    <x v="1"/>
    <x v="0"/>
  </r>
  <r>
    <n v="10124"/>
    <n v="36"/>
    <n v="85.59"/>
    <n v="3081.2400000000002"/>
    <s v="Medium"/>
    <n v="924.37200000000007"/>
    <d v="2003-05-21T00:00:00"/>
    <x v="0"/>
    <x v="0"/>
    <x v="1"/>
    <x v="0"/>
    <s v="May-2003"/>
    <x v="3"/>
    <x v="84"/>
    <x v="0"/>
    <x v="0"/>
    <x v="1"/>
  </r>
  <r>
    <n v="10148"/>
    <n v="34"/>
    <n v="100"/>
    <n v="3400"/>
    <s v="Medium"/>
    <n v="1020"/>
    <d v="2003-09-11T00:00:00"/>
    <x v="0"/>
    <x v="0"/>
    <x v="10"/>
    <x v="0"/>
    <s v="Sep-2003"/>
    <x v="3"/>
    <x v="42"/>
    <x v="3"/>
    <x v="2"/>
    <x v="1"/>
  </r>
  <r>
    <n v="10162"/>
    <n v="39"/>
    <n v="100"/>
    <n v="3900"/>
    <s v="Medium"/>
    <n v="1170"/>
    <d v="2003-10-18T00:00:00"/>
    <x v="0"/>
    <x v="0"/>
    <x v="4"/>
    <x v="0"/>
    <s v="Oct-2003"/>
    <x v="3"/>
    <x v="4"/>
    <x v="0"/>
    <x v="0"/>
    <x v="1"/>
  </r>
  <r>
    <n v="10173"/>
    <n v="21"/>
    <n v="75.459999999999994"/>
    <n v="1584.6599999999999"/>
    <s v="Low"/>
    <n v="475.39799999999991"/>
    <d v="2003-11-05T00:00:00"/>
    <x v="0"/>
    <x v="0"/>
    <x v="5"/>
    <x v="0"/>
    <s v="Nov-2003"/>
    <x v="3"/>
    <x v="86"/>
    <x v="12"/>
    <x v="1"/>
    <x v="0"/>
  </r>
  <r>
    <n v="10182"/>
    <n v="36"/>
    <n v="100"/>
    <n v="3600"/>
    <s v="Medium"/>
    <n v="1080"/>
    <d v="2003-11-12T00:00:00"/>
    <x v="0"/>
    <x v="0"/>
    <x v="5"/>
    <x v="0"/>
    <s v="Nov-2003"/>
    <x v="3"/>
    <x v="39"/>
    <x v="0"/>
    <x v="0"/>
    <x v="1"/>
  </r>
  <r>
    <n v="10193"/>
    <n v="24"/>
    <n v="97.55"/>
    <n v="2341.1999999999998"/>
    <s v="Medium"/>
    <n v="702.3599999999999"/>
    <d v="2003-11-21T00:00:00"/>
    <x v="0"/>
    <x v="0"/>
    <x v="5"/>
    <x v="0"/>
    <s v="Nov-2003"/>
    <x v="3"/>
    <x v="87"/>
    <x v="3"/>
    <x v="2"/>
    <x v="0"/>
  </r>
  <r>
    <n v="10204"/>
    <n v="29"/>
    <n v="85.59"/>
    <n v="2482.11"/>
    <s v="Medium"/>
    <n v="744.63300000000004"/>
    <d v="2003-12-02T00:00:00"/>
    <x v="0"/>
    <x v="0"/>
    <x v="6"/>
    <x v="0"/>
    <s v="Dec-2003"/>
    <x v="3"/>
    <x v="74"/>
    <x v="0"/>
    <x v="0"/>
    <x v="0"/>
  </r>
  <r>
    <n v="10213"/>
    <n v="38"/>
    <n v="94.79"/>
    <n v="3602.0200000000004"/>
    <s v="Medium"/>
    <n v="1080.606"/>
    <d v="2004-01-22T00:00:00"/>
    <x v="0"/>
    <x v="0"/>
    <x v="7"/>
    <x v="1"/>
    <s v="Jan-2004"/>
    <x v="3"/>
    <x v="52"/>
    <x v="6"/>
    <x v="1"/>
    <x v="1"/>
  </r>
  <r>
    <n v="10227"/>
    <n v="34"/>
    <n v="100"/>
    <n v="3400"/>
    <s v="Medium"/>
    <n v="1020"/>
    <d v="2004-03-02T00:00:00"/>
    <x v="0"/>
    <x v="0"/>
    <x v="11"/>
    <x v="1"/>
    <s v="Mar-2004"/>
    <x v="3"/>
    <x v="30"/>
    <x v="1"/>
    <x v="1"/>
    <x v="1"/>
  </r>
  <r>
    <n v="10241"/>
    <n v="42"/>
    <n v="90.19"/>
    <n v="3787.98"/>
    <s v="Medium"/>
    <n v="1136.394"/>
    <d v="2004-04-13T00:00:00"/>
    <x v="0"/>
    <x v="0"/>
    <x v="8"/>
    <x v="1"/>
    <s v="Apr-2004"/>
    <x v="3"/>
    <x v="83"/>
    <x v="1"/>
    <x v="1"/>
    <x v="1"/>
  </r>
  <r>
    <n v="10280"/>
    <n v="35"/>
    <n v="100"/>
    <n v="3500"/>
    <s v="Medium"/>
    <n v="1050"/>
    <d v="2004-08-17T00:00:00"/>
    <x v="0"/>
    <x v="0"/>
    <x v="3"/>
    <x v="1"/>
    <s v="Aug-2004"/>
    <x v="3"/>
    <x v="36"/>
    <x v="12"/>
    <x v="1"/>
    <x v="1"/>
  </r>
  <r>
    <n v="10288"/>
    <n v="35"/>
    <n v="80.989999999999995"/>
    <n v="2834.6499999999996"/>
    <s v="Medium"/>
    <n v="850.39499999999987"/>
    <d v="2004-09-01T00:00:00"/>
    <x v="0"/>
    <x v="0"/>
    <x v="10"/>
    <x v="1"/>
    <s v="Sep-2004"/>
    <x v="3"/>
    <x v="65"/>
    <x v="9"/>
    <x v="2"/>
    <x v="0"/>
  </r>
  <r>
    <n v="10302"/>
    <n v="38"/>
    <n v="89.27"/>
    <n v="3392.2599999999998"/>
    <s v="Medium"/>
    <n v="1017.6779999999999"/>
    <d v="2003-10-06T00:00:00"/>
    <x v="0"/>
    <x v="0"/>
    <x v="4"/>
    <x v="0"/>
    <s v="Oct-2003"/>
    <x v="3"/>
    <x v="22"/>
    <x v="6"/>
    <x v="1"/>
    <x v="1"/>
  </r>
  <r>
    <n v="10311"/>
    <n v="41"/>
    <n v="81.91"/>
    <n v="3358.31"/>
    <s v="Medium"/>
    <n v="1007.4929999999999"/>
    <d v="2004-10-16T00:00:00"/>
    <x v="0"/>
    <x v="0"/>
    <x v="4"/>
    <x v="1"/>
    <s v="Oct-2004"/>
    <x v="3"/>
    <x v="23"/>
    <x v="7"/>
    <x v="1"/>
    <x v="1"/>
  </r>
  <r>
    <n v="10332"/>
    <n v="50"/>
    <n v="100"/>
    <n v="5000"/>
    <s v="High"/>
    <n v="1500"/>
    <d v="2004-11-17T00:00:00"/>
    <x v="0"/>
    <x v="0"/>
    <x v="5"/>
    <x v="1"/>
    <s v="Nov-2004"/>
    <x v="3"/>
    <x v="77"/>
    <x v="6"/>
    <x v="1"/>
    <x v="2"/>
  </r>
  <r>
    <n v="10344"/>
    <n v="21"/>
    <n v="100"/>
    <n v="2100"/>
    <s v="Medium"/>
    <n v="630"/>
    <d v="2004-11-25T00:00:00"/>
    <x v="0"/>
    <x v="0"/>
    <x v="5"/>
    <x v="1"/>
    <s v="Nov-2004"/>
    <x v="3"/>
    <x v="67"/>
    <x v="1"/>
    <x v="1"/>
    <x v="0"/>
  </r>
  <r>
    <n v="10367"/>
    <n v="43"/>
    <n v="62.72"/>
    <n v="2696.96"/>
    <s v="Medium"/>
    <n v="809.08799999999997"/>
    <d v="2005-01-12T00:00:00"/>
    <x v="5"/>
    <x v="1"/>
    <x v="7"/>
    <x v="2"/>
    <s v="Jan-2005"/>
    <x v="3"/>
    <x v="3"/>
    <x v="0"/>
    <x v="0"/>
    <x v="0"/>
  </r>
  <r>
    <n v="10380"/>
    <n v="32"/>
    <n v="100"/>
    <n v="3200"/>
    <s v="Medium"/>
    <n v="960"/>
    <d v="2005-02-16T00:00:00"/>
    <x v="0"/>
    <x v="0"/>
    <x v="0"/>
    <x v="2"/>
    <s v="Feb-2005"/>
    <x v="3"/>
    <x v="23"/>
    <x v="7"/>
    <x v="1"/>
    <x v="1"/>
  </r>
  <r>
    <n v="10407"/>
    <n v="6"/>
    <n v="90.19"/>
    <n v="541.14"/>
    <s v="Low"/>
    <n v="162.34199999999998"/>
    <d v="2005-04-22T00:00:00"/>
    <x v="4"/>
    <x v="1"/>
    <x v="8"/>
    <x v="2"/>
    <s v="Apr-2005"/>
    <x v="3"/>
    <x v="61"/>
    <x v="0"/>
    <x v="0"/>
    <x v="0"/>
  </r>
  <r>
    <n v="10420"/>
    <n v="66"/>
    <n v="92.95"/>
    <n v="6134.7"/>
    <s v="High"/>
    <n v="1840.4099999999999"/>
    <d v="2005-05-29T00:00:00"/>
    <x v="2"/>
    <x v="1"/>
    <x v="1"/>
    <x v="2"/>
    <s v="May-2005"/>
    <x v="3"/>
    <x v="20"/>
    <x v="3"/>
    <x v="2"/>
    <x v="1"/>
  </r>
  <r>
    <n v="10105"/>
    <n v="41"/>
    <n v="82.5"/>
    <n v="3382.5"/>
    <s v="Medium"/>
    <n v="1014.75"/>
    <d v="2003-02-11T00:00:00"/>
    <x v="0"/>
    <x v="0"/>
    <x v="0"/>
    <x v="0"/>
    <s v="Feb-2003"/>
    <x v="3"/>
    <x v="48"/>
    <x v="13"/>
    <x v="1"/>
    <x v="1"/>
  </r>
  <r>
    <n v="10117"/>
    <n v="23"/>
    <n v="97.42"/>
    <n v="2240.66"/>
    <s v="Medium"/>
    <n v="672.19799999999998"/>
    <d v="2003-04-16T00:00:00"/>
    <x v="0"/>
    <x v="0"/>
    <x v="8"/>
    <x v="0"/>
    <s v="Apr-2003"/>
    <x v="3"/>
    <x v="26"/>
    <x v="9"/>
    <x v="3"/>
    <x v="0"/>
  </r>
  <r>
    <n v="10128"/>
    <n v="43"/>
    <n v="92.16"/>
    <n v="3962.8799999999997"/>
    <s v="Medium"/>
    <n v="1188.8639999999998"/>
    <d v="2003-06-06T00:00:00"/>
    <x v="0"/>
    <x v="0"/>
    <x v="9"/>
    <x v="0"/>
    <s v="Jun-2003"/>
    <x v="3"/>
    <x v="23"/>
    <x v="7"/>
    <x v="1"/>
    <x v="1"/>
  </r>
  <r>
    <n v="10142"/>
    <n v="24"/>
    <n v="70.22"/>
    <n v="1685.28"/>
    <s v="Low"/>
    <n v="505.58399999999995"/>
    <d v="2003-08-08T00:00:00"/>
    <x v="0"/>
    <x v="0"/>
    <x v="3"/>
    <x v="0"/>
    <s v="Aug-2003"/>
    <x v="3"/>
    <x v="39"/>
    <x v="0"/>
    <x v="0"/>
    <x v="0"/>
  </r>
  <r>
    <n v="10153"/>
    <n v="22"/>
    <n v="83.38"/>
    <n v="1834.36"/>
    <s v="Low"/>
    <n v="550.30799999999999"/>
    <d v="2003-09-28T00:00:00"/>
    <x v="0"/>
    <x v="0"/>
    <x v="10"/>
    <x v="0"/>
    <s v="Sep-2003"/>
    <x v="3"/>
    <x v="23"/>
    <x v="7"/>
    <x v="1"/>
    <x v="0"/>
  </r>
  <r>
    <n v="10166"/>
    <n v="26"/>
    <n v="73.73"/>
    <n v="1916.98"/>
    <s v="Low"/>
    <n v="575.09399999999994"/>
    <d v="2003-10-21T00:00:00"/>
    <x v="0"/>
    <x v="0"/>
    <x v="4"/>
    <x v="0"/>
    <s v="Oct-2003"/>
    <x v="3"/>
    <x v="21"/>
    <x v="0"/>
    <x v="0"/>
    <x v="0"/>
  </r>
  <r>
    <n v="10177"/>
    <n v="35"/>
    <n v="74.599999999999994"/>
    <n v="2611"/>
    <s v="Medium"/>
    <n v="783.3"/>
    <d v="2003-11-07T00:00:00"/>
    <x v="0"/>
    <x v="0"/>
    <x v="5"/>
    <x v="0"/>
    <s v="Nov-2003"/>
    <x v="3"/>
    <x v="76"/>
    <x v="7"/>
    <x v="1"/>
    <x v="0"/>
  </r>
  <r>
    <n v="10185"/>
    <n v="47"/>
    <n v="77.239999999999995"/>
    <n v="3630.2799999999997"/>
    <s v="Medium"/>
    <n v="1089.0839999999998"/>
    <d v="2003-11-14T00:00:00"/>
    <x v="0"/>
    <x v="0"/>
    <x v="5"/>
    <x v="0"/>
    <s v="Nov-2003"/>
    <x v="3"/>
    <x v="50"/>
    <x v="0"/>
    <x v="0"/>
    <x v="1"/>
  </r>
  <r>
    <n v="10197"/>
    <n v="50"/>
    <n v="100"/>
    <n v="5000"/>
    <s v="High"/>
    <n v="1500"/>
    <d v="2003-11-26T00:00:00"/>
    <x v="0"/>
    <x v="0"/>
    <x v="5"/>
    <x v="0"/>
    <s v="Nov-2003"/>
    <x v="3"/>
    <x v="53"/>
    <x v="7"/>
    <x v="1"/>
    <x v="1"/>
  </r>
  <r>
    <n v="10208"/>
    <n v="45"/>
    <n v="87.77"/>
    <n v="3949.6499999999996"/>
    <s v="Medium"/>
    <n v="1184.8949999999998"/>
    <d v="2004-01-02T00:00:00"/>
    <x v="0"/>
    <x v="0"/>
    <x v="7"/>
    <x v="1"/>
    <s v="Jan-2004"/>
    <x v="3"/>
    <x v="30"/>
    <x v="1"/>
    <x v="1"/>
    <x v="1"/>
  </r>
  <r>
    <n v="10221"/>
    <n v="39"/>
    <n v="89.53"/>
    <n v="3491.67"/>
    <s v="Medium"/>
    <n v="1047.501"/>
    <d v="2004-02-18T00:00:00"/>
    <x v="0"/>
    <x v="0"/>
    <x v="0"/>
    <x v="1"/>
    <s v="Feb-2004"/>
    <x v="3"/>
    <x v="56"/>
    <x v="14"/>
    <x v="1"/>
    <x v="1"/>
  </r>
  <r>
    <n v="10232"/>
    <n v="23"/>
    <n v="89.53"/>
    <n v="2059.19"/>
    <s v="Medium"/>
    <n v="617.75699999999995"/>
    <d v="2004-03-20T00:00:00"/>
    <x v="0"/>
    <x v="0"/>
    <x v="11"/>
    <x v="1"/>
    <s v="Mar-2004"/>
    <x v="3"/>
    <x v="59"/>
    <x v="6"/>
    <x v="1"/>
    <x v="0"/>
  </r>
  <r>
    <n v="10248"/>
    <n v="42"/>
    <n v="75.48"/>
    <n v="3170.1600000000003"/>
    <s v="Medium"/>
    <n v="951.048"/>
    <d v="2004-05-07T00:00:00"/>
    <x v="3"/>
    <x v="1"/>
    <x v="1"/>
    <x v="1"/>
    <s v="May-2004"/>
    <x v="3"/>
    <x v="0"/>
    <x v="0"/>
    <x v="0"/>
    <x v="1"/>
  </r>
  <r>
    <n v="10261"/>
    <n v="20"/>
    <n v="89.53"/>
    <n v="1790.6"/>
    <s v="Low"/>
    <n v="537.17999999999995"/>
    <d v="2004-06-17T00:00:00"/>
    <x v="0"/>
    <x v="0"/>
    <x v="9"/>
    <x v="1"/>
    <s v="Jun-2004"/>
    <x v="3"/>
    <x v="43"/>
    <x v="10"/>
    <x v="0"/>
    <x v="0"/>
  </r>
  <r>
    <n v="10273"/>
    <n v="33"/>
    <n v="71.09"/>
    <n v="2345.9700000000003"/>
    <s v="Medium"/>
    <n v="703.79100000000005"/>
    <d v="2004-07-21T00:00:00"/>
    <x v="0"/>
    <x v="0"/>
    <x v="2"/>
    <x v="1"/>
    <s v="Jul-2004"/>
    <x v="3"/>
    <x v="56"/>
    <x v="14"/>
    <x v="1"/>
    <x v="0"/>
  </r>
  <r>
    <n v="10283"/>
    <n v="34"/>
    <n v="100"/>
    <n v="3400"/>
    <s v="Medium"/>
    <n v="1020"/>
    <d v="2004-08-20T00:00:00"/>
    <x v="0"/>
    <x v="0"/>
    <x v="3"/>
    <x v="1"/>
    <s v="Aug-2004"/>
    <x v="3"/>
    <x v="57"/>
    <x v="10"/>
    <x v="0"/>
    <x v="1"/>
  </r>
  <r>
    <n v="10293"/>
    <n v="49"/>
    <n v="100"/>
    <n v="4900"/>
    <s v="Medium"/>
    <n v="1470"/>
    <d v="2004-09-09T00:00:00"/>
    <x v="0"/>
    <x v="0"/>
    <x v="10"/>
    <x v="1"/>
    <s v="Sep-2004"/>
    <x v="3"/>
    <x v="36"/>
    <x v="12"/>
    <x v="1"/>
    <x v="1"/>
  </r>
  <r>
    <n v="10306"/>
    <n v="39"/>
    <n v="90.4"/>
    <n v="3525.6000000000004"/>
    <s v="Medium"/>
    <n v="1057.68"/>
    <d v="2004-10-14T00:00:00"/>
    <x v="0"/>
    <x v="0"/>
    <x v="4"/>
    <x v="1"/>
    <s v="Oct-2004"/>
    <x v="3"/>
    <x v="77"/>
    <x v="6"/>
    <x v="1"/>
    <x v="1"/>
  </r>
  <r>
    <n v="10315"/>
    <n v="36"/>
    <n v="100"/>
    <n v="3600"/>
    <s v="Medium"/>
    <n v="1080"/>
    <d v="2004-10-29T00:00:00"/>
    <x v="0"/>
    <x v="0"/>
    <x v="4"/>
    <x v="1"/>
    <s v="Oct-2004"/>
    <x v="3"/>
    <x v="14"/>
    <x v="1"/>
    <x v="1"/>
    <x v="1"/>
  </r>
  <r>
    <n v="10326"/>
    <n v="50"/>
    <n v="86.01"/>
    <n v="4300.5"/>
    <s v="Medium"/>
    <n v="1290.1499999999999"/>
    <d v="2004-11-09T00:00:00"/>
    <x v="0"/>
    <x v="0"/>
    <x v="5"/>
    <x v="1"/>
    <s v="Nov-2004"/>
    <x v="3"/>
    <x v="24"/>
    <x v="8"/>
    <x v="1"/>
    <x v="1"/>
  </r>
  <r>
    <n v="10337"/>
    <n v="29"/>
    <n v="100"/>
    <n v="2900"/>
    <s v="Medium"/>
    <n v="870"/>
    <d v="2004-11-21T00:00:00"/>
    <x v="0"/>
    <x v="0"/>
    <x v="5"/>
    <x v="1"/>
    <s v="Nov-2004"/>
    <x v="3"/>
    <x v="27"/>
    <x v="0"/>
    <x v="0"/>
    <x v="1"/>
  </r>
  <r>
    <n v="10350"/>
    <n v="30"/>
    <n v="100"/>
    <n v="3000"/>
    <s v="Medium"/>
    <n v="900"/>
    <d v="2004-12-02T00:00:00"/>
    <x v="0"/>
    <x v="0"/>
    <x v="6"/>
    <x v="1"/>
    <s v="Dec-2004"/>
    <x v="3"/>
    <x v="23"/>
    <x v="7"/>
    <x v="1"/>
    <x v="1"/>
  </r>
  <r>
    <n v="10372"/>
    <n v="41"/>
    <n v="86.89"/>
    <n v="3562.4900000000002"/>
    <s v="Medium"/>
    <n v="1068.7470000000001"/>
    <d v="2005-01-26T00:00:00"/>
    <x v="0"/>
    <x v="0"/>
    <x v="7"/>
    <x v="2"/>
    <s v="Jan-2005"/>
    <x v="3"/>
    <x v="35"/>
    <x v="11"/>
    <x v="3"/>
    <x v="1"/>
  </r>
  <r>
    <n v="10383"/>
    <n v="28"/>
    <n v="58.58"/>
    <n v="1640.24"/>
    <s v="Low"/>
    <n v="492.072"/>
    <d v="2005-02-22T00:00:00"/>
    <x v="0"/>
    <x v="0"/>
    <x v="0"/>
    <x v="2"/>
    <s v="Feb-2005"/>
    <x v="3"/>
    <x v="23"/>
    <x v="7"/>
    <x v="1"/>
    <x v="0"/>
  </r>
  <r>
    <n v="10396"/>
    <n v="45"/>
    <n v="100"/>
    <n v="4500"/>
    <s v="Medium"/>
    <n v="1350"/>
    <d v="2005-03-23T00:00:00"/>
    <x v="0"/>
    <x v="0"/>
    <x v="11"/>
    <x v="2"/>
    <s v="Mar-2005"/>
    <x v="3"/>
    <x v="39"/>
    <x v="0"/>
    <x v="0"/>
    <x v="1"/>
  </r>
  <r>
    <n v="10414"/>
    <n v="16"/>
    <n v="75.48"/>
    <n v="1207.68"/>
    <s v="Low"/>
    <n v="362.30400000000003"/>
    <d v="2005-05-06T00:00:00"/>
    <x v="4"/>
    <x v="1"/>
    <x v="1"/>
    <x v="2"/>
    <s v="May-2005"/>
    <x v="3"/>
    <x v="58"/>
    <x v="0"/>
    <x v="0"/>
    <x v="0"/>
  </r>
  <r>
    <n v="10103"/>
    <n v="36"/>
    <n v="100"/>
    <n v="3600"/>
    <s v="Medium"/>
    <n v="1080"/>
    <d v="2003-01-29T00:00:00"/>
    <x v="0"/>
    <x v="0"/>
    <x v="7"/>
    <x v="0"/>
    <s v="Jan-2003"/>
    <x v="2"/>
    <x v="17"/>
    <x v="2"/>
    <x v="1"/>
    <x v="1"/>
  </r>
  <r>
    <n v="10114"/>
    <n v="41"/>
    <n v="100"/>
    <n v="4100"/>
    <s v="Medium"/>
    <n v="1230"/>
    <d v="2003-04-01T00:00:00"/>
    <x v="0"/>
    <x v="0"/>
    <x v="8"/>
    <x v="0"/>
    <s v="Apr-2003"/>
    <x v="2"/>
    <x v="62"/>
    <x v="1"/>
    <x v="1"/>
    <x v="1"/>
  </r>
  <r>
    <n v="10126"/>
    <n v="50"/>
    <n v="100"/>
    <n v="5000"/>
    <s v="High"/>
    <n v="1500"/>
    <d v="2003-05-28T00:00:00"/>
    <x v="0"/>
    <x v="0"/>
    <x v="1"/>
    <x v="0"/>
    <s v="May-2003"/>
    <x v="2"/>
    <x v="25"/>
    <x v="7"/>
    <x v="1"/>
    <x v="2"/>
  </r>
  <r>
    <n v="10140"/>
    <n v="40"/>
    <n v="100"/>
    <n v="4000"/>
    <s v="Medium"/>
    <n v="1200"/>
    <d v="2003-07-24T00:00:00"/>
    <x v="0"/>
    <x v="0"/>
    <x v="2"/>
    <x v="0"/>
    <s v="Jul-2003"/>
    <x v="2"/>
    <x v="5"/>
    <x v="0"/>
    <x v="0"/>
    <x v="1"/>
  </r>
  <r>
    <n v="10150"/>
    <n v="49"/>
    <n v="100"/>
    <n v="4900"/>
    <s v="Medium"/>
    <n v="1470"/>
    <d v="2003-09-19T00:00:00"/>
    <x v="0"/>
    <x v="0"/>
    <x v="10"/>
    <x v="0"/>
    <s v="Sep-2003"/>
    <x v="2"/>
    <x v="26"/>
    <x v="9"/>
    <x v="3"/>
    <x v="1"/>
  </r>
  <r>
    <n v="10164"/>
    <n v="45"/>
    <n v="100"/>
    <n v="4500"/>
    <s v="Medium"/>
    <n v="1350"/>
    <d v="2003-10-21T00:00:00"/>
    <x v="5"/>
    <x v="1"/>
    <x v="4"/>
    <x v="0"/>
    <s v="Oct-2003"/>
    <x v="2"/>
    <x v="63"/>
    <x v="5"/>
    <x v="1"/>
    <x v="1"/>
  </r>
  <r>
    <n v="10175"/>
    <n v="47"/>
    <n v="100"/>
    <n v="4700"/>
    <s v="Medium"/>
    <n v="1410"/>
    <d v="2003-11-06T00:00:00"/>
    <x v="0"/>
    <x v="0"/>
    <x v="5"/>
    <x v="0"/>
    <s v="Nov-2003"/>
    <x v="2"/>
    <x v="49"/>
    <x v="6"/>
    <x v="1"/>
    <x v="1"/>
  </r>
  <r>
    <n v="10183"/>
    <n v="21"/>
    <n v="100"/>
    <n v="2100"/>
    <s v="Medium"/>
    <n v="630"/>
    <d v="2003-11-13T00:00:00"/>
    <x v="0"/>
    <x v="0"/>
    <x v="5"/>
    <x v="0"/>
    <s v="Nov-2003"/>
    <x v="2"/>
    <x v="29"/>
    <x v="0"/>
    <x v="0"/>
    <x v="0"/>
  </r>
  <r>
    <n v="10194"/>
    <n v="32"/>
    <n v="100"/>
    <n v="3200"/>
    <s v="Medium"/>
    <n v="960"/>
    <d v="2003-11-25T00:00:00"/>
    <x v="0"/>
    <x v="0"/>
    <x v="5"/>
    <x v="0"/>
    <s v="Nov-2003"/>
    <x v="2"/>
    <x v="30"/>
    <x v="1"/>
    <x v="1"/>
    <x v="1"/>
  </r>
  <r>
    <n v="10207"/>
    <n v="47"/>
    <n v="100"/>
    <n v="4700"/>
    <s v="Medium"/>
    <n v="1410"/>
    <d v="2003-12-09T00:00:00"/>
    <x v="0"/>
    <x v="0"/>
    <x v="6"/>
    <x v="0"/>
    <s v="Dec-2003"/>
    <x v="2"/>
    <x v="64"/>
    <x v="0"/>
    <x v="0"/>
    <x v="1"/>
  </r>
  <r>
    <n v="10217"/>
    <n v="38"/>
    <n v="100"/>
    <n v="3800"/>
    <s v="Medium"/>
    <n v="1140"/>
    <d v="2004-02-04T00:00:00"/>
    <x v="0"/>
    <x v="0"/>
    <x v="0"/>
    <x v="1"/>
    <s v="Feb-2004"/>
    <x v="2"/>
    <x v="65"/>
    <x v="9"/>
    <x v="2"/>
    <x v="1"/>
  </r>
  <r>
    <n v="10229"/>
    <n v="41"/>
    <n v="100"/>
    <n v="4100"/>
    <s v="Medium"/>
    <n v="1230"/>
    <d v="2004-03-11T00:00:00"/>
    <x v="0"/>
    <x v="0"/>
    <x v="11"/>
    <x v="1"/>
    <s v="Mar-2004"/>
    <x v="2"/>
    <x v="39"/>
    <x v="0"/>
    <x v="0"/>
    <x v="1"/>
  </r>
  <r>
    <n v="10245"/>
    <n v="21"/>
    <n v="100"/>
    <n v="2100"/>
    <s v="Medium"/>
    <n v="630"/>
    <d v="2004-05-04T00:00:00"/>
    <x v="0"/>
    <x v="0"/>
    <x v="1"/>
    <x v="1"/>
    <s v="May-2004"/>
    <x v="2"/>
    <x v="34"/>
    <x v="0"/>
    <x v="0"/>
    <x v="0"/>
  </r>
  <r>
    <n v="10259"/>
    <n v="41"/>
    <n v="100"/>
    <n v="4100"/>
    <s v="Medium"/>
    <n v="1230"/>
    <d v="2004-06-15T00:00:00"/>
    <x v="0"/>
    <x v="0"/>
    <x v="9"/>
    <x v="1"/>
    <s v="Jun-2004"/>
    <x v="2"/>
    <x v="65"/>
    <x v="9"/>
    <x v="2"/>
    <x v="1"/>
  </r>
  <r>
    <n v="10270"/>
    <n v="38"/>
    <n v="100"/>
    <n v="3800"/>
    <s v="Medium"/>
    <n v="1140"/>
    <d v="2004-07-19T00:00:00"/>
    <x v="0"/>
    <x v="0"/>
    <x v="2"/>
    <x v="1"/>
    <s v="Jul-2004"/>
    <x v="2"/>
    <x v="20"/>
    <x v="3"/>
    <x v="2"/>
    <x v="1"/>
  </r>
  <r>
    <n v="10281"/>
    <n v="25"/>
    <n v="99.29"/>
    <n v="2482.25"/>
    <s v="Medium"/>
    <n v="744.67499999999995"/>
    <d v="2004-08-19T00:00:00"/>
    <x v="0"/>
    <x v="0"/>
    <x v="3"/>
    <x v="1"/>
    <s v="Aug-2004"/>
    <x v="2"/>
    <x v="18"/>
    <x v="0"/>
    <x v="0"/>
    <x v="0"/>
  </r>
  <r>
    <n v="10291"/>
    <n v="48"/>
    <n v="100"/>
    <n v="4800"/>
    <s v="Medium"/>
    <n v="1440"/>
    <d v="2004-09-08T00:00:00"/>
    <x v="0"/>
    <x v="0"/>
    <x v="10"/>
    <x v="1"/>
    <s v="Sep-2004"/>
    <x v="2"/>
    <x v="37"/>
    <x v="8"/>
    <x v="1"/>
    <x v="1"/>
  </r>
  <r>
    <n v="10305"/>
    <n v="22"/>
    <n v="99.29"/>
    <n v="2184.38"/>
    <s v="Medium"/>
    <n v="655.31399999999996"/>
    <d v="2004-10-13T00:00:00"/>
    <x v="0"/>
    <x v="0"/>
    <x v="4"/>
    <x v="1"/>
    <s v="Oct-2004"/>
    <x v="2"/>
    <x v="15"/>
    <x v="0"/>
    <x v="0"/>
    <x v="0"/>
  </r>
  <r>
    <n v="10313"/>
    <n v="28"/>
    <n v="100"/>
    <n v="2800"/>
    <s v="Medium"/>
    <n v="840"/>
    <d v="2004-10-22T00:00:00"/>
    <x v="0"/>
    <x v="0"/>
    <x v="4"/>
    <x v="1"/>
    <s v="Oct-2004"/>
    <x v="2"/>
    <x v="31"/>
    <x v="10"/>
    <x v="0"/>
    <x v="0"/>
  </r>
  <r>
    <n v="10323"/>
    <n v="47"/>
    <n v="100"/>
    <n v="4700"/>
    <s v="Medium"/>
    <n v="1410"/>
    <d v="2004-11-05T00:00:00"/>
    <x v="0"/>
    <x v="0"/>
    <x v="5"/>
    <x v="1"/>
    <s v="Nov-2004"/>
    <x v="2"/>
    <x v="72"/>
    <x v="16"/>
    <x v="1"/>
    <x v="1"/>
  </r>
  <r>
    <n v="10334"/>
    <n v="49"/>
    <n v="100"/>
    <n v="4900"/>
    <s v="Medium"/>
    <n v="1470"/>
    <d v="2004-11-19T00:00:00"/>
    <x v="4"/>
    <x v="1"/>
    <x v="5"/>
    <x v="1"/>
    <s v="Nov-2004"/>
    <x v="2"/>
    <x v="24"/>
    <x v="8"/>
    <x v="1"/>
    <x v="1"/>
  </r>
  <r>
    <n v="10347"/>
    <n v="45"/>
    <n v="100"/>
    <n v="4500"/>
    <s v="Medium"/>
    <n v="1350"/>
    <d v="2004-11-29T00:00:00"/>
    <x v="0"/>
    <x v="0"/>
    <x v="5"/>
    <x v="1"/>
    <s v="Nov-2004"/>
    <x v="2"/>
    <x v="10"/>
    <x v="3"/>
    <x v="2"/>
    <x v="1"/>
  </r>
  <r>
    <n v="10357"/>
    <n v="28"/>
    <n v="100"/>
    <n v="2800"/>
    <s v="Medium"/>
    <n v="840"/>
    <d v="2004-12-10T00:00:00"/>
    <x v="0"/>
    <x v="0"/>
    <x v="6"/>
    <x v="1"/>
    <s v="Dec-2004"/>
    <x v="2"/>
    <x v="39"/>
    <x v="0"/>
    <x v="0"/>
    <x v="1"/>
  </r>
  <r>
    <n v="10370"/>
    <n v="29"/>
    <n v="57.53"/>
    <n v="1668.3700000000001"/>
    <s v="Low"/>
    <n v="500.51100000000002"/>
    <d v="2005-01-20T00:00:00"/>
    <x v="0"/>
    <x v="0"/>
    <x v="7"/>
    <x v="2"/>
    <s v="Jan-2005"/>
    <x v="2"/>
    <x v="42"/>
    <x v="3"/>
    <x v="2"/>
    <x v="0"/>
  </r>
  <r>
    <n v="10382"/>
    <n v="39"/>
    <n v="100"/>
    <n v="3900"/>
    <s v="Medium"/>
    <n v="1170"/>
    <d v="2005-02-17T00:00:00"/>
    <x v="0"/>
    <x v="0"/>
    <x v="0"/>
    <x v="2"/>
    <s v="Feb-2005"/>
    <x v="2"/>
    <x v="39"/>
    <x v="0"/>
    <x v="0"/>
    <x v="1"/>
  </r>
  <r>
    <n v="10411"/>
    <n v="46"/>
    <n v="100"/>
    <n v="4600"/>
    <s v="Medium"/>
    <n v="1380"/>
    <d v="2005-05-01T00:00:00"/>
    <x v="0"/>
    <x v="0"/>
    <x v="1"/>
    <x v="2"/>
    <s v="May-2005"/>
    <x v="2"/>
    <x v="43"/>
    <x v="10"/>
    <x v="0"/>
    <x v="1"/>
  </r>
  <r>
    <n v="10425"/>
    <n v="38"/>
    <n v="100"/>
    <n v="3800"/>
    <s v="Medium"/>
    <n v="1140"/>
    <d v="2005-05-31T00:00:00"/>
    <x v="2"/>
    <x v="1"/>
    <x v="1"/>
    <x v="2"/>
    <s v="May-2005"/>
    <x v="2"/>
    <x v="14"/>
    <x v="1"/>
    <x v="1"/>
    <x v="1"/>
  </r>
  <r>
    <n v="10103"/>
    <n v="41"/>
    <n v="47.29"/>
    <n v="1938.8899999999999"/>
    <s v="Low"/>
    <n v="581.66699999999992"/>
    <d v="2003-01-29T00:00:00"/>
    <x v="0"/>
    <x v="0"/>
    <x v="7"/>
    <x v="0"/>
    <s v="Jan-2003"/>
    <x v="3"/>
    <x v="17"/>
    <x v="2"/>
    <x v="1"/>
    <x v="0"/>
  </r>
  <r>
    <n v="10113"/>
    <n v="50"/>
    <n v="49.81"/>
    <n v="2490.5"/>
    <s v="Medium"/>
    <n v="747.15"/>
    <d v="2003-03-26T00:00:00"/>
    <x v="0"/>
    <x v="0"/>
    <x v="11"/>
    <x v="0"/>
    <s v="Mar-2003"/>
    <x v="3"/>
    <x v="39"/>
    <x v="0"/>
    <x v="0"/>
    <x v="0"/>
  </r>
  <r>
    <n v="10126"/>
    <n v="43"/>
    <n v="53.83"/>
    <n v="2314.69"/>
    <s v="Medium"/>
    <n v="694.40700000000004"/>
    <d v="2003-05-28T00:00:00"/>
    <x v="0"/>
    <x v="0"/>
    <x v="1"/>
    <x v="0"/>
    <s v="May-2003"/>
    <x v="3"/>
    <x v="25"/>
    <x v="7"/>
    <x v="1"/>
    <x v="0"/>
  </r>
  <r>
    <n v="10140"/>
    <n v="29"/>
    <n v="43.27"/>
    <n v="1254.8300000000002"/>
    <s v="Low"/>
    <n v="376.44900000000001"/>
    <d v="2003-07-24T00:00:00"/>
    <x v="0"/>
    <x v="0"/>
    <x v="2"/>
    <x v="0"/>
    <s v="Jul-2003"/>
    <x v="3"/>
    <x v="5"/>
    <x v="0"/>
    <x v="0"/>
    <x v="0"/>
  </r>
  <r>
    <n v="10150"/>
    <n v="30"/>
    <n v="42.76"/>
    <n v="1282.8"/>
    <s v="Low"/>
    <n v="384.84"/>
    <d v="2003-09-19T00:00:00"/>
    <x v="0"/>
    <x v="0"/>
    <x v="10"/>
    <x v="0"/>
    <s v="Sep-2003"/>
    <x v="3"/>
    <x v="26"/>
    <x v="9"/>
    <x v="3"/>
    <x v="0"/>
  </r>
  <r>
    <n v="10164"/>
    <n v="25"/>
    <n v="53.83"/>
    <n v="1345.75"/>
    <s v="Low"/>
    <n v="403.72499999999997"/>
    <d v="2003-10-21T00:00:00"/>
    <x v="5"/>
    <x v="1"/>
    <x v="4"/>
    <x v="0"/>
    <s v="Oct-2003"/>
    <x v="3"/>
    <x v="63"/>
    <x v="5"/>
    <x v="1"/>
    <x v="0"/>
  </r>
  <r>
    <n v="10174"/>
    <n v="49"/>
    <n v="44.78"/>
    <n v="2194.2200000000003"/>
    <s v="Medium"/>
    <n v="658.26600000000008"/>
    <d v="2003-11-06T00:00:00"/>
    <x v="0"/>
    <x v="0"/>
    <x v="5"/>
    <x v="0"/>
    <s v="Nov-2003"/>
    <x v="3"/>
    <x v="28"/>
    <x v="3"/>
    <x v="2"/>
    <x v="0"/>
  </r>
  <r>
    <n v="10183"/>
    <n v="40"/>
    <n v="49.3"/>
    <n v="1972"/>
    <s v="Low"/>
    <n v="591.6"/>
    <d v="2003-11-13T00:00:00"/>
    <x v="0"/>
    <x v="0"/>
    <x v="5"/>
    <x v="0"/>
    <s v="Nov-2003"/>
    <x v="3"/>
    <x v="29"/>
    <x v="0"/>
    <x v="0"/>
    <x v="0"/>
  </r>
  <r>
    <n v="10194"/>
    <n v="41"/>
    <n v="44.78"/>
    <n v="1835.98"/>
    <s v="Low"/>
    <n v="550.79399999999998"/>
    <d v="2003-11-25T00:00:00"/>
    <x v="0"/>
    <x v="0"/>
    <x v="5"/>
    <x v="0"/>
    <s v="Nov-2003"/>
    <x v="3"/>
    <x v="30"/>
    <x v="1"/>
    <x v="1"/>
    <x v="0"/>
  </r>
  <r>
    <n v="10206"/>
    <n v="21"/>
    <n v="53.33"/>
    <n v="1119.93"/>
    <s v="Low"/>
    <n v="335.97899999999998"/>
    <d v="2003-12-05T00:00:00"/>
    <x v="0"/>
    <x v="0"/>
    <x v="6"/>
    <x v="0"/>
    <s v="Dec-2003"/>
    <x v="3"/>
    <x v="31"/>
    <x v="10"/>
    <x v="0"/>
    <x v="0"/>
  </r>
  <r>
    <n v="10215"/>
    <n v="46"/>
    <n v="45.28"/>
    <n v="2082.88"/>
    <s v="Medium"/>
    <n v="624.86400000000003"/>
    <d v="2004-01-29T00:00:00"/>
    <x v="0"/>
    <x v="0"/>
    <x v="7"/>
    <x v="1"/>
    <s v="Jan-2004"/>
    <x v="3"/>
    <x v="32"/>
    <x v="0"/>
    <x v="0"/>
    <x v="0"/>
  </r>
  <r>
    <n v="10229"/>
    <n v="39"/>
    <n v="40.25"/>
    <n v="1569.75"/>
    <s v="Low"/>
    <n v="470.92499999999995"/>
    <d v="2004-03-11T00:00:00"/>
    <x v="0"/>
    <x v="0"/>
    <x v="11"/>
    <x v="1"/>
    <s v="Mar-2004"/>
    <x v="3"/>
    <x v="39"/>
    <x v="0"/>
    <x v="0"/>
    <x v="0"/>
  </r>
  <r>
    <n v="10245"/>
    <n v="45"/>
    <n v="59.87"/>
    <n v="2694.15"/>
    <s v="Medium"/>
    <n v="808.245"/>
    <d v="2004-05-04T00:00:00"/>
    <x v="0"/>
    <x v="0"/>
    <x v="1"/>
    <x v="1"/>
    <s v="May-2004"/>
    <x v="3"/>
    <x v="34"/>
    <x v="0"/>
    <x v="0"/>
    <x v="0"/>
  </r>
  <r>
    <n v="10258"/>
    <n v="21"/>
    <n v="59.87"/>
    <n v="1257.27"/>
    <s v="Low"/>
    <n v="377.18099999999998"/>
    <d v="2004-06-15T00:00:00"/>
    <x v="0"/>
    <x v="0"/>
    <x v="9"/>
    <x v="1"/>
    <s v="Jun-2004"/>
    <x v="3"/>
    <x v="35"/>
    <x v="11"/>
    <x v="3"/>
    <x v="0"/>
  </r>
  <r>
    <n v="10270"/>
    <n v="44"/>
    <n v="58.36"/>
    <n v="2567.84"/>
    <s v="Medium"/>
    <n v="770.35199999999998"/>
    <d v="2004-07-19T00:00:00"/>
    <x v="0"/>
    <x v="0"/>
    <x v="2"/>
    <x v="1"/>
    <s v="Jul-2004"/>
    <x v="3"/>
    <x v="20"/>
    <x v="3"/>
    <x v="2"/>
    <x v="0"/>
  </r>
  <r>
    <n v="10281"/>
    <n v="44"/>
    <n v="59.87"/>
    <n v="2634.2799999999997"/>
    <s v="Medium"/>
    <n v="790.28399999999988"/>
    <d v="2004-08-19T00:00:00"/>
    <x v="0"/>
    <x v="0"/>
    <x v="3"/>
    <x v="1"/>
    <s v="Aug-2004"/>
    <x v="3"/>
    <x v="18"/>
    <x v="0"/>
    <x v="0"/>
    <x v="0"/>
  </r>
  <r>
    <n v="10291"/>
    <n v="29"/>
    <n v="51.82"/>
    <n v="1502.78"/>
    <s v="Low"/>
    <n v="450.834"/>
    <d v="2004-09-08T00:00:00"/>
    <x v="0"/>
    <x v="0"/>
    <x v="10"/>
    <x v="1"/>
    <s v="Sep-2004"/>
    <x v="3"/>
    <x v="37"/>
    <x v="8"/>
    <x v="1"/>
    <x v="0"/>
  </r>
  <r>
    <n v="10304"/>
    <n v="34"/>
    <n v="49.3"/>
    <n v="1676.1999999999998"/>
    <s v="Low"/>
    <n v="502.8599999999999"/>
    <d v="2004-10-11T00:00:00"/>
    <x v="0"/>
    <x v="0"/>
    <x v="4"/>
    <x v="1"/>
    <s v="Oct-2004"/>
    <x v="3"/>
    <x v="38"/>
    <x v="1"/>
    <x v="1"/>
    <x v="0"/>
  </r>
  <r>
    <n v="10312"/>
    <n v="39"/>
    <n v="56.85"/>
    <n v="2217.15"/>
    <s v="Medium"/>
    <n v="665.14499999999998"/>
    <d v="2004-10-21T00:00:00"/>
    <x v="0"/>
    <x v="0"/>
    <x v="4"/>
    <x v="1"/>
    <s v="Oct-2004"/>
    <x v="3"/>
    <x v="39"/>
    <x v="0"/>
    <x v="0"/>
    <x v="0"/>
  </r>
  <r>
    <n v="10324"/>
    <n v="38"/>
    <n v="100"/>
    <n v="3800"/>
    <s v="Medium"/>
    <n v="1140"/>
    <d v="2004-11-05T00:00:00"/>
    <x v="0"/>
    <x v="0"/>
    <x v="5"/>
    <x v="1"/>
    <s v="Nov-2004"/>
    <x v="3"/>
    <x v="11"/>
    <x v="0"/>
    <x v="0"/>
    <x v="1"/>
  </r>
  <r>
    <n v="10333"/>
    <n v="24"/>
    <n v="79.86"/>
    <n v="1916.6399999999999"/>
    <s v="Low"/>
    <n v="574.99199999999996"/>
    <d v="2004-11-18T00:00:00"/>
    <x v="0"/>
    <x v="0"/>
    <x v="5"/>
    <x v="1"/>
    <s v="Nov-2004"/>
    <x v="3"/>
    <x v="8"/>
    <x v="0"/>
    <x v="0"/>
    <x v="0"/>
  </r>
  <r>
    <n v="10348"/>
    <n v="29"/>
    <n v="100"/>
    <n v="2900"/>
    <s v="Medium"/>
    <n v="870"/>
    <d v="2004-11-01T00:00:00"/>
    <x v="0"/>
    <x v="0"/>
    <x v="5"/>
    <x v="1"/>
    <s v="Nov-2004"/>
    <x v="3"/>
    <x v="25"/>
    <x v="7"/>
    <x v="1"/>
    <x v="2"/>
  </r>
  <r>
    <n v="10358"/>
    <n v="30"/>
    <n v="100"/>
    <n v="3000"/>
    <s v="Medium"/>
    <n v="900"/>
    <d v="2004-12-10T00:00:00"/>
    <x v="0"/>
    <x v="0"/>
    <x v="6"/>
    <x v="1"/>
    <s v="Dec-2004"/>
    <x v="3"/>
    <x v="23"/>
    <x v="7"/>
    <x v="1"/>
    <x v="1"/>
  </r>
  <r>
    <n v="10370"/>
    <n v="20"/>
    <n v="100"/>
    <n v="2000"/>
    <s v="Medium"/>
    <n v="600"/>
    <d v="2005-01-20T00:00:00"/>
    <x v="0"/>
    <x v="0"/>
    <x v="7"/>
    <x v="2"/>
    <s v="Jan-2005"/>
    <x v="3"/>
    <x v="42"/>
    <x v="3"/>
    <x v="2"/>
    <x v="0"/>
  </r>
  <r>
    <n v="10382"/>
    <n v="39"/>
    <n v="100"/>
    <n v="3900"/>
    <s v="Medium"/>
    <n v="1170"/>
    <d v="2005-02-17T00:00:00"/>
    <x v="0"/>
    <x v="0"/>
    <x v="0"/>
    <x v="2"/>
    <s v="Feb-2005"/>
    <x v="3"/>
    <x v="39"/>
    <x v="0"/>
    <x v="0"/>
    <x v="2"/>
  </r>
  <r>
    <n v="10411"/>
    <n v="35"/>
    <n v="59.87"/>
    <n v="2095.4499999999998"/>
    <s v="Medium"/>
    <n v="628.63499999999988"/>
    <d v="2005-05-01T00:00:00"/>
    <x v="0"/>
    <x v="0"/>
    <x v="1"/>
    <x v="2"/>
    <s v="May-2005"/>
    <x v="3"/>
    <x v="43"/>
    <x v="10"/>
    <x v="0"/>
    <x v="0"/>
  </r>
  <r>
    <n v="10424"/>
    <n v="26"/>
    <n v="59.87"/>
    <n v="1556.62"/>
    <s v="Low"/>
    <n v="466.98599999999993"/>
    <d v="2005-05-31T00:00:00"/>
    <x v="2"/>
    <x v="1"/>
    <x v="1"/>
    <x v="2"/>
    <s v="May-2005"/>
    <x v="3"/>
    <x v="23"/>
    <x v="7"/>
    <x v="1"/>
    <x v="0"/>
  </r>
  <r>
    <n v="10108"/>
    <n v="44"/>
    <n v="100"/>
    <n v="4400"/>
    <s v="Medium"/>
    <n v="1320"/>
    <d v="2003-03-03T00:00:00"/>
    <x v="0"/>
    <x v="0"/>
    <x v="11"/>
    <x v="0"/>
    <s v="Mar-2003"/>
    <x v="1"/>
    <x v="66"/>
    <x v="15"/>
    <x v="3"/>
    <x v="1"/>
  </r>
  <r>
    <n v="10122"/>
    <n v="28"/>
    <n v="100"/>
    <n v="2800"/>
    <s v="Medium"/>
    <n v="840"/>
    <d v="2003-05-08T00:00:00"/>
    <x v="0"/>
    <x v="0"/>
    <x v="1"/>
    <x v="0"/>
    <s v="May-2003"/>
    <x v="1"/>
    <x v="67"/>
    <x v="1"/>
    <x v="1"/>
    <x v="1"/>
  </r>
  <r>
    <n v="10135"/>
    <n v="31"/>
    <n v="100"/>
    <n v="3100"/>
    <s v="Medium"/>
    <n v="930"/>
    <d v="2003-07-02T00:00:00"/>
    <x v="0"/>
    <x v="0"/>
    <x v="2"/>
    <x v="0"/>
    <s v="Jul-2003"/>
    <x v="1"/>
    <x v="39"/>
    <x v="0"/>
    <x v="0"/>
    <x v="1"/>
  </r>
  <r>
    <n v="10146"/>
    <n v="29"/>
    <n v="100"/>
    <n v="2900"/>
    <s v="Medium"/>
    <n v="870"/>
    <d v="2003-09-03T00:00:00"/>
    <x v="0"/>
    <x v="0"/>
    <x v="10"/>
    <x v="0"/>
    <s v="Sep-2003"/>
    <x v="1"/>
    <x v="88"/>
    <x v="0"/>
    <x v="0"/>
    <x v="1"/>
  </r>
  <r>
    <n v="10159"/>
    <n v="32"/>
    <n v="100"/>
    <n v="3200"/>
    <s v="Medium"/>
    <n v="960"/>
    <d v="2003-10-10T00:00:00"/>
    <x v="0"/>
    <x v="0"/>
    <x v="4"/>
    <x v="0"/>
    <s v="Oct-2003"/>
    <x v="1"/>
    <x v="4"/>
    <x v="0"/>
    <x v="0"/>
    <x v="1"/>
  </r>
  <r>
    <n v="10169"/>
    <n v="33"/>
    <n v="100"/>
    <n v="3300"/>
    <s v="Medium"/>
    <n v="990"/>
    <d v="2003-11-04T00:00:00"/>
    <x v="0"/>
    <x v="0"/>
    <x v="5"/>
    <x v="0"/>
    <s v="Nov-2003"/>
    <x v="1"/>
    <x v="42"/>
    <x v="3"/>
    <x v="2"/>
    <x v="1"/>
  </r>
  <r>
    <n v="10180"/>
    <n v="44"/>
    <n v="100"/>
    <n v="4400"/>
    <s v="Medium"/>
    <n v="1320"/>
    <d v="2003-11-11T00:00:00"/>
    <x v="0"/>
    <x v="0"/>
    <x v="5"/>
    <x v="0"/>
    <s v="Nov-2003"/>
    <x v="1"/>
    <x v="6"/>
    <x v="1"/>
    <x v="1"/>
    <x v="1"/>
  </r>
  <r>
    <n v="10191"/>
    <n v="32"/>
    <n v="100"/>
    <n v="3200"/>
    <s v="Medium"/>
    <n v="960"/>
    <d v="2003-11-20T00:00:00"/>
    <x v="0"/>
    <x v="0"/>
    <x v="5"/>
    <x v="0"/>
    <s v="Nov-2003"/>
    <x v="1"/>
    <x v="68"/>
    <x v="16"/>
    <x v="1"/>
    <x v="1"/>
  </r>
  <r>
    <n v="10211"/>
    <n v="41"/>
    <n v="100"/>
    <n v="4100"/>
    <s v="Medium"/>
    <n v="1230"/>
    <d v="2004-01-15T00:00:00"/>
    <x v="0"/>
    <x v="0"/>
    <x v="7"/>
    <x v="1"/>
    <s v="Jan-2004"/>
    <x v="1"/>
    <x v="9"/>
    <x v="1"/>
    <x v="1"/>
    <x v="1"/>
  </r>
  <r>
    <n v="10225"/>
    <n v="35"/>
    <n v="100"/>
    <n v="3500"/>
    <s v="Medium"/>
    <n v="1050"/>
    <d v="2004-02-22T00:00:00"/>
    <x v="0"/>
    <x v="0"/>
    <x v="0"/>
    <x v="1"/>
    <s v="Feb-2004"/>
    <x v="1"/>
    <x v="69"/>
    <x v="17"/>
    <x v="1"/>
    <x v="1"/>
  </r>
  <r>
    <n v="10238"/>
    <n v="44"/>
    <n v="100"/>
    <n v="4400"/>
    <s v="Medium"/>
    <n v="1320"/>
    <d v="2004-04-09T00:00:00"/>
    <x v="0"/>
    <x v="0"/>
    <x v="8"/>
    <x v="1"/>
    <s v="Apr-2004"/>
    <x v="1"/>
    <x v="48"/>
    <x v="13"/>
    <x v="1"/>
    <x v="1"/>
  </r>
  <r>
    <n v="10252"/>
    <n v="26"/>
    <n v="100"/>
    <n v="2600"/>
    <s v="Medium"/>
    <n v="780"/>
    <d v="2004-05-26T00:00:00"/>
    <x v="0"/>
    <x v="0"/>
    <x v="1"/>
    <x v="1"/>
    <s v="May-2004"/>
    <x v="1"/>
    <x v="9"/>
    <x v="1"/>
    <x v="1"/>
    <x v="1"/>
  </r>
  <r>
    <n v="10264"/>
    <n v="20"/>
    <n v="100"/>
    <n v="2000"/>
    <s v="Medium"/>
    <n v="600"/>
    <d v="2004-06-30T00:00:00"/>
    <x v="0"/>
    <x v="0"/>
    <x v="9"/>
    <x v="1"/>
    <s v="Jun-2004"/>
    <x v="1"/>
    <x v="58"/>
    <x v="0"/>
    <x v="0"/>
    <x v="0"/>
  </r>
  <r>
    <n v="10276"/>
    <n v="48"/>
    <n v="100"/>
    <n v="4800"/>
    <s v="Medium"/>
    <n v="1440"/>
    <d v="2004-08-02T00:00:00"/>
    <x v="0"/>
    <x v="0"/>
    <x v="3"/>
    <x v="1"/>
    <s v="Aug-2004"/>
    <x v="1"/>
    <x v="71"/>
    <x v="0"/>
    <x v="0"/>
    <x v="1"/>
  </r>
  <r>
    <n v="10287"/>
    <n v="34"/>
    <n v="100"/>
    <n v="3400"/>
    <s v="Medium"/>
    <n v="1020"/>
    <d v="2004-08-30T00:00:00"/>
    <x v="0"/>
    <x v="0"/>
    <x v="3"/>
    <x v="1"/>
    <s v="Aug-2004"/>
    <x v="1"/>
    <x v="69"/>
    <x v="17"/>
    <x v="1"/>
    <x v="1"/>
  </r>
  <r>
    <n v="10299"/>
    <n v="49"/>
    <n v="100"/>
    <n v="4900"/>
    <s v="Medium"/>
    <n v="1470"/>
    <d v="2004-09-30T00:00:00"/>
    <x v="0"/>
    <x v="0"/>
    <x v="10"/>
    <x v="1"/>
    <s v="Sep-2004"/>
    <x v="1"/>
    <x v="16"/>
    <x v="4"/>
    <x v="1"/>
    <x v="2"/>
  </r>
  <r>
    <n v="10310"/>
    <n v="40"/>
    <n v="100"/>
    <n v="4000"/>
    <s v="Medium"/>
    <n v="1200"/>
    <d v="2004-10-16T00:00:00"/>
    <x v="0"/>
    <x v="0"/>
    <x v="4"/>
    <x v="1"/>
    <s v="Oct-2004"/>
    <x v="1"/>
    <x v="68"/>
    <x v="16"/>
    <x v="1"/>
    <x v="1"/>
  </r>
  <r>
    <n v="10319"/>
    <n v="45"/>
    <n v="100"/>
    <n v="4500"/>
    <s v="Medium"/>
    <n v="1350"/>
    <d v="2004-11-03T00:00:00"/>
    <x v="0"/>
    <x v="0"/>
    <x v="5"/>
    <x v="1"/>
    <s v="Nov-2004"/>
    <x v="1"/>
    <x v="79"/>
    <x v="0"/>
    <x v="0"/>
    <x v="2"/>
  </r>
  <r>
    <n v="10330"/>
    <n v="50"/>
    <n v="100"/>
    <n v="5000"/>
    <s v="High"/>
    <n v="1500"/>
    <d v="2004-11-16T00:00:00"/>
    <x v="0"/>
    <x v="0"/>
    <x v="5"/>
    <x v="1"/>
    <s v="Nov-2004"/>
    <x v="1"/>
    <x v="66"/>
    <x v="15"/>
    <x v="3"/>
    <x v="1"/>
  </r>
  <r>
    <n v="10342"/>
    <n v="38"/>
    <n v="100"/>
    <n v="3800"/>
    <s v="Medium"/>
    <n v="1140"/>
    <d v="2004-11-24T00:00:00"/>
    <x v="0"/>
    <x v="0"/>
    <x v="5"/>
    <x v="1"/>
    <s v="Nov-2004"/>
    <x v="1"/>
    <x v="10"/>
    <x v="3"/>
    <x v="2"/>
    <x v="1"/>
  </r>
  <r>
    <n v="10355"/>
    <n v="25"/>
    <n v="100"/>
    <n v="2500"/>
    <s v="Medium"/>
    <n v="750"/>
    <d v="2004-12-07T00:00:00"/>
    <x v="0"/>
    <x v="0"/>
    <x v="6"/>
    <x v="1"/>
    <s v="Dec-2004"/>
    <x v="1"/>
    <x v="23"/>
    <x v="7"/>
    <x v="1"/>
    <x v="1"/>
  </r>
  <r>
    <n v="10363"/>
    <n v="28"/>
    <n v="58.18"/>
    <n v="1629.04"/>
    <s v="Low"/>
    <n v="488.71199999999999"/>
    <d v="2005-01-06T00:00:00"/>
    <x v="0"/>
    <x v="0"/>
    <x v="7"/>
    <x v="2"/>
    <s v="Jan-2005"/>
    <x v="1"/>
    <x v="73"/>
    <x v="4"/>
    <x v="1"/>
    <x v="0"/>
  </r>
  <r>
    <n v="10378"/>
    <n v="49"/>
    <n v="67.14"/>
    <n v="3289.86"/>
    <s v="Medium"/>
    <n v="986.95799999999997"/>
    <d v="2005-02-10T00:00:00"/>
    <x v="0"/>
    <x v="0"/>
    <x v="0"/>
    <x v="2"/>
    <s v="Feb-2005"/>
    <x v="1"/>
    <x v="23"/>
    <x v="7"/>
    <x v="1"/>
    <x v="1"/>
  </r>
  <r>
    <n v="10390"/>
    <n v="49"/>
    <n v="100"/>
    <n v="4900"/>
    <s v="Medium"/>
    <n v="1470"/>
    <d v="2005-03-04T00:00:00"/>
    <x v="0"/>
    <x v="0"/>
    <x v="11"/>
    <x v="2"/>
    <s v="Mar-2005"/>
    <x v="1"/>
    <x v="39"/>
    <x v="0"/>
    <x v="0"/>
    <x v="1"/>
  </r>
  <r>
    <n v="10110"/>
    <n v="42"/>
    <n v="61.29"/>
    <n v="2574.1799999999998"/>
    <s v="Medium"/>
    <n v="772.25399999999991"/>
    <d v="2003-03-18T00:00:00"/>
    <x v="0"/>
    <x v="0"/>
    <x v="11"/>
    <x v="0"/>
    <s v="Mar-2003"/>
    <x v="1"/>
    <x v="77"/>
    <x v="6"/>
    <x v="1"/>
    <x v="0"/>
  </r>
  <r>
    <n v="10124"/>
    <n v="23"/>
    <n v="57.73"/>
    <n v="1327.79"/>
    <s v="Low"/>
    <n v="398.33699999999999"/>
    <d v="2003-05-21T00:00:00"/>
    <x v="0"/>
    <x v="0"/>
    <x v="1"/>
    <x v="0"/>
    <s v="May-2003"/>
    <x v="1"/>
    <x v="84"/>
    <x v="0"/>
    <x v="0"/>
    <x v="0"/>
  </r>
  <r>
    <n v="10148"/>
    <n v="29"/>
    <n v="81.25"/>
    <n v="2356.25"/>
    <s v="Medium"/>
    <n v="706.875"/>
    <d v="2003-09-11T00:00:00"/>
    <x v="0"/>
    <x v="0"/>
    <x v="10"/>
    <x v="0"/>
    <s v="Sep-2003"/>
    <x v="1"/>
    <x v="42"/>
    <x v="3"/>
    <x v="2"/>
    <x v="0"/>
  </r>
  <r>
    <n v="10161"/>
    <n v="25"/>
    <n v="80.540000000000006"/>
    <n v="2013.5000000000002"/>
    <s v="Medium"/>
    <n v="604.05000000000007"/>
    <d v="2003-10-17T00:00:00"/>
    <x v="0"/>
    <x v="0"/>
    <x v="4"/>
    <x v="0"/>
    <s v="Oct-2003"/>
    <x v="1"/>
    <x v="78"/>
    <x v="13"/>
    <x v="1"/>
    <x v="0"/>
  </r>
  <r>
    <n v="10173"/>
    <n v="39"/>
    <n v="71.98"/>
    <n v="2807.2200000000003"/>
    <s v="Medium"/>
    <n v="842.16600000000005"/>
    <d v="2003-11-05T00:00:00"/>
    <x v="0"/>
    <x v="0"/>
    <x v="5"/>
    <x v="0"/>
    <s v="Nov-2003"/>
    <x v="1"/>
    <x v="86"/>
    <x v="12"/>
    <x v="1"/>
    <x v="0"/>
  </r>
  <r>
    <n v="10182"/>
    <n v="44"/>
    <n v="69.84"/>
    <n v="3072.96"/>
    <s v="Medium"/>
    <n v="921.88799999999992"/>
    <d v="2003-11-12T00:00:00"/>
    <x v="0"/>
    <x v="0"/>
    <x v="5"/>
    <x v="0"/>
    <s v="Nov-2003"/>
    <x v="1"/>
    <x v="39"/>
    <x v="0"/>
    <x v="0"/>
    <x v="1"/>
  </r>
  <r>
    <n v="10193"/>
    <n v="25"/>
    <n v="76.260000000000005"/>
    <n v="1906.5000000000002"/>
    <s v="Low"/>
    <n v="571.95000000000005"/>
    <d v="2003-11-21T00:00:00"/>
    <x v="0"/>
    <x v="0"/>
    <x v="5"/>
    <x v="0"/>
    <s v="Nov-2003"/>
    <x v="1"/>
    <x v="87"/>
    <x v="3"/>
    <x v="2"/>
    <x v="0"/>
  </r>
  <r>
    <n v="10204"/>
    <n v="45"/>
    <n v="76.260000000000005"/>
    <n v="3431.7000000000003"/>
    <s v="Medium"/>
    <n v="1029.51"/>
    <d v="2003-12-02T00:00:00"/>
    <x v="0"/>
    <x v="0"/>
    <x v="6"/>
    <x v="0"/>
    <s v="Dec-2003"/>
    <x v="1"/>
    <x v="74"/>
    <x v="0"/>
    <x v="0"/>
    <x v="1"/>
  </r>
  <r>
    <n v="10213"/>
    <n v="25"/>
    <n v="83.39"/>
    <n v="2084.75"/>
    <s v="Medium"/>
    <n v="625.42499999999995"/>
    <d v="2004-01-22T00:00:00"/>
    <x v="0"/>
    <x v="0"/>
    <x v="7"/>
    <x v="1"/>
    <s v="Jan-2004"/>
    <x v="1"/>
    <x v="52"/>
    <x v="6"/>
    <x v="1"/>
    <x v="0"/>
  </r>
  <r>
    <n v="10227"/>
    <n v="37"/>
    <n v="57.73"/>
    <n v="2136.0099999999998"/>
    <s v="Medium"/>
    <n v="640.80299999999988"/>
    <d v="2004-03-02T00:00:00"/>
    <x v="0"/>
    <x v="0"/>
    <x v="11"/>
    <x v="1"/>
    <s v="Mar-2004"/>
    <x v="1"/>
    <x v="30"/>
    <x v="1"/>
    <x v="1"/>
    <x v="0"/>
  </r>
  <r>
    <n v="10241"/>
    <n v="30"/>
    <n v="66.989999999999995"/>
    <n v="2009.6999999999998"/>
    <s v="Medium"/>
    <n v="602.91"/>
    <d v="2004-04-13T00:00:00"/>
    <x v="0"/>
    <x v="0"/>
    <x v="8"/>
    <x v="1"/>
    <s v="Apr-2004"/>
    <x v="1"/>
    <x v="83"/>
    <x v="1"/>
    <x v="1"/>
    <x v="0"/>
  </r>
  <r>
    <n v="10267"/>
    <n v="36"/>
    <n v="75.55"/>
    <n v="2719.7999999999997"/>
    <s v="Medium"/>
    <n v="815.93999999999994"/>
    <d v="2004-07-07T00:00:00"/>
    <x v="0"/>
    <x v="0"/>
    <x v="2"/>
    <x v="1"/>
    <s v="Jul-2004"/>
    <x v="1"/>
    <x v="74"/>
    <x v="0"/>
    <x v="0"/>
    <x v="0"/>
  </r>
  <r>
    <n v="10279"/>
    <n v="26"/>
    <n v="60.58"/>
    <n v="1575.08"/>
    <s v="Low"/>
    <n v="472.52399999999994"/>
    <d v="2004-08-09T00:00:00"/>
    <x v="0"/>
    <x v="0"/>
    <x v="3"/>
    <x v="1"/>
    <s v="Aug-2004"/>
    <x v="1"/>
    <x v="23"/>
    <x v="7"/>
    <x v="1"/>
    <x v="0"/>
  </r>
  <r>
    <n v="10288"/>
    <n v="23"/>
    <n v="73.41"/>
    <n v="1688.4299999999998"/>
    <s v="Low"/>
    <n v="506.52899999999994"/>
    <d v="2004-09-01T00:00:00"/>
    <x v="0"/>
    <x v="0"/>
    <x v="10"/>
    <x v="1"/>
    <s v="Sep-2004"/>
    <x v="1"/>
    <x v="65"/>
    <x v="9"/>
    <x v="2"/>
    <x v="0"/>
  </r>
  <r>
    <n v="10302"/>
    <n v="23"/>
    <n v="72.7"/>
    <n v="1672.1000000000001"/>
    <s v="Low"/>
    <n v="501.63"/>
    <d v="2003-10-06T00:00:00"/>
    <x v="0"/>
    <x v="0"/>
    <x v="4"/>
    <x v="0"/>
    <s v="Oct-2003"/>
    <x v="1"/>
    <x v="22"/>
    <x v="6"/>
    <x v="1"/>
    <x v="0"/>
  </r>
  <r>
    <n v="10311"/>
    <n v="25"/>
    <n v="66.989999999999995"/>
    <n v="1674.7499999999998"/>
    <s v="Low"/>
    <n v="502.4249999999999"/>
    <d v="2004-10-16T00:00:00"/>
    <x v="0"/>
    <x v="0"/>
    <x v="4"/>
    <x v="1"/>
    <s v="Oct-2004"/>
    <x v="1"/>
    <x v="23"/>
    <x v="7"/>
    <x v="1"/>
    <x v="0"/>
  </r>
  <r>
    <n v="10332"/>
    <n v="21"/>
    <n v="100"/>
    <n v="2100"/>
    <s v="Medium"/>
    <n v="630"/>
    <d v="2004-11-17T00:00:00"/>
    <x v="0"/>
    <x v="0"/>
    <x v="5"/>
    <x v="1"/>
    <s v="Nov-2004"/>
    <x v="1"/>
    <x v="77"/>
    <x v="6"/>
    <x v="1"/>
    <x v="1"/>
  </r>
  <r>
    <n v="10344"/>
    <n v="26"/>
    <n v="63.43"/>
    <n v="1649.18"/>
    <s v="Low"/>
    <n v="494.75400000000002"/>
    <d v="2004-11-25T00:00:00"/>
    <x v="0"/>
    <x v="0"/>
    <x v="5"/>
    <x v="1"/>
    <s v="Nov-2004"/>
    <x v="1"/>
    <x v="67"/>
    <x v="1"/>
    <x v="1"/>
    <x v="0"/>
  </r>
  <r>
    <n v="10367"/>
    <n v="44"/>
    <n v="85.25"/>
    <n v="3751"/>
    <s v="Medium"/>
    <n v="1125.3"/>
    <d v="2005-01-12T00:00:00"/>
    <x v="5"/>
    <x v="1"/>
    <x v="7"/>
    <x v="2"/>
    <s v="Jan-2005"/>
    <x v="1"/>
    <x v="3"/>
    <x v="0"/>
    <x v="0"/>
    <x v="1"/>
  </r>
  <r>
    <n v="10380"/>
    <n v="24"/>
    <n v="100"/>
    <n v="2400"/>
    <s v="Medium"/>
    <n v="720"/>
    <d v="2005-02-16T00:00:00"/>
    <x v="0"/>
    <x v="0"/>
    <x v="0"/>
    <x v="2"/>
    <s v="Feb-2005"/>
    <x v="1"/>
    <x v="23"/>
    <x v="7"/>
    <x v="1"/>
    <x v="1"/>
  </r>
  <r>
    <n v="10407"/>
    <n v="66"/>
    <n v="66.989999999999995"/>
    <n v="4421.3399999999992"/>
    <s v="Medium"/>
    <n v="1326.4019999999998"/>
    <d v="2005-04-22T00:00:00"/>
    <x v="4"/>
    <x v="1"/>
    <x v="8"/>
    <x v="2"/>
    <s v="Apr-2005"/>
    <x v="1"/>
    <x v="61"/>
    <x v="0"/>
    <x v="0"/>
    <x v="1"/>
  </r>
  <r>
    <n v="10420"/>
    <n v="36"/>
    <n v="57.73"/>
    <n v="2078.2799999999997"/>
    <s v="Medium"/>
    <n v="623.48399999999992"/>
    <d v="2005-05-29T00:00:00"/>
    <x v="2"/>
    <x v="1"/>
    <x v="1"/>
    <x v="2"/>
    <s v="May-2005"/>
    <x v="1"/>
    <x v="20"/>
    <x v="3"/>
    <x v="2"/>
    <x v="0"/>
  </r>
  <r>
    <n v="10110"/>
    <n v="36"/>
    <n v="85.25"/>
    <n v="3069"/>
    <s v="Medium"/>
    <n v="920.69999999999993"/>
    <d v="2003-03-18T00:00:00"/>
    <x v="0"/>
    <x v="0"/>
    <x v="11"/>
    <x v="0"/>
    <s v="Mar-2003"/>
    <x v="1"/>
    <x v="77"/>
    <x v="6"/>
    <x v="1"/>
    <x v="1"/>
  </r>
  <r>
    <n v="10124"/>
    <n v="22"/>
    <n v="77.900000000000006"/>
    <n v="1713.8000000000002"/>
    <s v="Low"/>
    <n v="514.14"/>
    <d v="2003-05-21T00:00:00"/>
    <x v="0"/>
    <x v="0"/>
    <x v="1"/>
    <x v="0"/>
    <s v="May-2003"/>
    <x v="1"/>
    <x v="84"/>
    <x v="0"/>
    <x v="0"/>
    <x v="0"/>
  </r>
  <r>
    <n v="10148"/>
    <n v="25"/>
    <n v="60.26"/>
    <n v="1506.5"/>
    <s v="Low"/>
    <n v="451.95"/>
    <d v="2003-09-11T00:00:00"/>
    <x v="0"/>
    <x v="0"/>
    <x v="10"/>
    <x v="0"/>
    <s v="Sep-2003"/>
    <x v="1"/>
    <x v="42"/>
    <x v="3"/>
    <x v="2"/>
    <x v="0"/>
  </r>
  <r>
    <n v="10161"/>
    <n v="37"/>
    <n v="72.760000000000005"/>
    <n v="2692.1200000000003"/>
    <s v="Medium"/>
    <n v="807.63600000000008"/>
    <d v="2003-10-17T00:00:00"/>
    <x v="0"/>
    <x v="0"/>
    <x v="4"/>
    <x v="0"/>
    <s v="Oct-2003"/>
    <x v="1"/>
    <x v="78"/>
    <x v="13"/>
    <x v="1"/>
    <x v="0"/>
  </r>
  <r>
    <n v="10172"/>
    <n v="32"/>
    <n v="75.69"/>
    <n v="2422.08"/>
    <s v="Medium"/>
    <n v="726.62399999999991"/>
    <d v="2003-11-05T00:00:00"/>
    <x v="0"/>
    <x v="0"/>
    <x v="5"/>
    <x v="0"/>
    <s v="Nov-2003"/>
    <x v="1"/>
    <x v="13"/>
    <x v="0"/>
    <x v="0"/>
    <x v="0"/>
  </r>
  <r>
    <n v="10182"/>
    <n v="47"/>
    <n v="74.22"/>
    <n v="3488.34"/>
    <s v="Medium"/>
    <n v="1046.502"/>
    <d v="2003-11-12T00:00:00"/>
    <x v="0"/>
    <x v="0"/>
    <x v="5"/>
    <x v="0"/>
    <s v="Nov-2003"/>
    <x v="1"/>
    <x v="39"/>
    <x v="0"/>
    <x v="0"/>
    <x v="1"/>
  </r>
  <r>
    <n v="10192"/>
    <n v="37"/>
    <n v="69.819999999999993"/>
    <n v="2583.3399999999997"/>
    <s v="Medium"/>
    <n v="775.00199999999984"/>
    <d v="2003-11-20T00:00:00"/>
    <x v="0"/>
    <x v="0"/>
    <x v="5"/>
    <x v="0"/>
    <s v="Nov-2003"/>
    <x v="1"/>
    <x v="40"/>
    <x v="0"/>
    <x v="0"/>
    <x v="0"/>
  </r>
  <r>
    <n v="10204"/>
    <n v="20"/>
    <n v="62.47"/>
    <n v="1249.4000000000001"/>
    <s v="Low"/>
    <n v="374.82"/>
    <d v="2003-12-02T00:00:00"/>
    <x v="0"/>
    <x v="0"/>
    <x v="6"/>
    <x v="0"/>
    <s v="Dec-2003"/>
    <x v="1"/>
    <x v="74"/>
    <x v="0"/>
    <x v="0"/>
    <x v="0"/>
  </r>
  <r>
    <n v="10212"/>
    <n v="41"/>
    <n v="82.31"/>
    <n v="3374.71"/>
    <s v="Medium"/>
    <n v="1012.413"/>
    <d v="2004-01-16T00:00:00"/>
    <x v="0"/>
    <x v="0"/>
    <x v="7"/>
    <x v="1"/>
    <s v="Jan-2004"/>
    <x v="1"/>
    <x v="23"/>
    <x v="7"/>
    <x v="1"/>
    <x v="1"/>
  </r>
  <r>
    <n v="10226"/>
    <n v="21"/>
    <n v="60.26"/>
    <n v="1265.46"/>
    <s v="Low"/>
    <n v="379.63799999999998"/>
    <d v="2004-02-26T00:00:00"/>
    <x v="0"/>
    <x v="0"/>
    <x v="0"/>
    <x v="1"/>
    <s v="Feb-2004"/>
    <x v="1"/>
    <x v="55"/>
    <x v="0"/>
    <x v="0"/>
    <x v="0"/>
  </r>
  <r>
    <n v="10241"/>
    <n v="22"/>
    <n v="76.430000000000007"/>
    <n v="1681.46"/>
    <s v="Low"/>
    <n v="504.43799999999999"/>
    <d v="2004-04-13T00:00:00"/>
    <x v="0"/>
    <x v="0"/>
    <x v="8"/>
    <x v="1"/>
    <s v="Apr-2004"/>
    <x v="1"/>
    <x v="83"/>
    <x v="1"/>
    <x v="1"/>
    <x v="0"/>
  </r>
  <r>
    <n v="10267"/>
    <n v="40"/>
    <n v="80.099999999999994"/>
    <n v="3204"/>
    <s v="Medium"/>
    <n v="961.19999999999993"/>
    <d v="2004-07-07T00:00:00"/>
    <x v="0"/>
    <x v="0"/>
    <x v="2"/>
    <x v="1"/>
    <s v="Jul-2004"/>
    <x v="1"/>
    <x v="74"/>
    <x v="0"/>
    <x v="0"/>
    <x v="1"/>
  </r>
  <r>
    <n v="10279"/>
    <n v="32"/>
    <n v="74.959999999999994"/>
    <n v="2398.7199999999998"/>
    <s v="Medium"/>
    <n v="719.61599999999987"/>
    <d v="2004-08-09T00:00:00"/>
    <x v="0"/>
    <x v="0"/>
    <x v="3"/>
    <x v="1"/>
    <s v="Aug-2004"/>
    <x v="1"/>
    <x v="23"/>
    <x v="7"/>
    <x v="1"/>
    <x v="0"/>
  </r>
  <r>
    <n v="10288"/>
    <n v="36"/>
    <n v="66.14"/>
    <n v="2381.04"/>
    <s v="Medium"/>
    <n v="714.31200000000001"/>
    <d v="2004-09-01T00:00:00"/>
    <x v="0"/>
    <x v="0"/>
    <x v="10"/>
    <x v="1"/>
    <s v="Sep-2004"/>
    <x v="1"/>
    <x v="65"/>
    <x v="9"/>
    <x v="2"/>
    <x v="0"/>
  </r>
  <r>
    <n v="10301"/>
    <n v="27"/>
    <n v="72.02"/>
    <n v="1944.54"/>
    <s v="Low"/>
    <n v="583.36199999999997"/>
    <d v="2003-10-05T00:00:00"/>
    <x v="0"/>
    <x v="0"/>
    <x v="4"/>
    <x v="0"/>
    <s v="Oct-2003"/>
    <x v="1"/>
    <x v="85"/>
    <x v="2"/>
    <x v="1"/>
    <x v="0"/>
  </r>
  <r>
    <n v="10311"/>
    <n v="26"/>
    <n v="87.45"/>
    <n v="2273.7000000000003"/>
    <s v="Medium"/>
    <n v="682.11"/>
    <d v="2004-10-16T00:00:00"/>
    <x v="0"/>
    <x v="0"/>
    <x v="4"/>
    <x v="1"/>
    <s v="Oct-2004"/>
    <x v="1"/>
    <x v="23"/>
    <x v="7"/>
    <x v="1"/>
    <x v="0"/>
  </r>
  <r>
    <n v="10321"/>
    <n v="30"/>
    <n v="70.55"/>
    <n v="2116.5"/>
    <s v="Medium"/>
    <n v="634.94999999999993"/>
    <d v="2004-11-04T00:00:00"/>
    <x v="0"/>
    <x v="0"/>
    <x v="5"/>
    <x v="1"/>
    <s v="Nov-2004"/>
    <x v="1"/>
    <x v="21"/>
    <x v="0"/>
    <x v="0"/>
    <x v="0"/>
  </r>
  <r>
    <n v="10332"/>
    <n v="23"/>
    <n v="56.84"/>
    <n v="1307.3200000000002"/>
    <s v="Low"/>
    <n v="392.19600000000003"/>
    <d v="2004-11-17T00:00:00"/>
    <x v="0"/>
    <x v="0"/>
    <x v="5"/>
    <x v="1"/>
    <s v="Nov-2004"/>
    <x v="1"/>
    <x v="77"/>
    <x v="6"/>
    <x v="1"/>
    <x v="0"/>
  </r>
  <r>
    <n v="10344"/>
    <n v="29"/>
    <n v="59.53"/>
    <n v="1726.3700000000001"/>
    <s v="Low"/>
    <n v="517.91100000000006"/>
    <d v="2004-11-25T00:00:00"/>
    <x v="0"/>
    <x v="0"/>
    <x v="5"/>
    <x v="1"/>
    <s v="Nov-2004"/>
    <x v="1"/>
    <x v="67"/>
    <x v="1"/>
    <x v="1"/>
    <x v="0"/>
  </r>
  <r>
    <n v="10367"/>
    <n v="21"/>
    <n v="60.37"/>
    <n v="1267.77"/>
    <s v="Low"/>
    <n v="380.33099999999996"/>
    <d v="2005-01-12T00:00:00"/>
    <x v="5"/>
    <x v="1"/>
    <x v="7"/>
    <x v="2"/>
    <s v="Jan-2005"/>
    <x v="1"/>
    <x v="3"/>
    <x v="0"/>
    <x v="0"/>
    <x v="0"/>
  </r>
  <r>
    <n v="10380"/>
    <n v="34"/>
    <n v="100"/>
    <n v="3400"/>
    <s v="Medium"/>
    <n v="1020"/>
    <d v="2005-02-16T00:00:00"/>
    <x v="0"/>
    <x v="0"/>
    <x v="0"/>
    <x v="2"/>
    <s v="Feb-2005"/>
    <x v="1"/>
    <x v="23"/>
    <x v="7"/>
    <x v="1"/>
    <x v="1"/>
  </r>
  <r>
    <n v="10407"/>
    <n v="26"/>
    <n v="76.430000000000007"/>
    <n v="1987.1800000000003"/>
    <s v="Low"/>
    <n v="596.15400000000011"/>
    <d v="2005-04-22T00:00:00"/>
    <x v="4"/>
    <x v="1"/>
    <x v="8"/>
    <x v="2"/>
    <s v="Apr-2005"/>
    <x v="1"/>
    <x v="61"/>
    <x v="0"/>
    <x v="0"/>
    <x v="0"/>
  </r>
  <r>
    <n v="10420"/>
    <n v="60"/>
    <n v="64.67"/>
    <n v="3880.2000000000003"/>
    <s v="Medium"/>
    <n v="1164.06"/>
    <d v="2005-05-29T00:00:00"/>
    <x v="2"/>
    <x v="1"/>
    <x v="1"/>
    <x v="2"/>
    <s v="May-2005"/>
    <x v="1"/>
    <x v="20"/>
    <x v="3"/>
    <x v="2"/>
    <x v="1"/>
  </r>
  <r>
    <n v="10104"/>
    <n v="35"/>
    <n v="55.49"/>
    <n v="1942.15"/>
    <s v="Low"/>
    <n v="582.64499999999998"/>
    <d v="2003-01-31T00:00:00"/>
    <x v="0"/>
    <x v="0"/>
    <x v="7"/>
    <x v="0"/>
    <s v="Jan-2003"/>
    <x v="1"/>
    <x v="23"/>
    <x v="7"/>
    <x v="1"/>
    <x v="0"/>
  </r>
  <r>
    <n v="10115"/>
    <n v="47"/>
    <n v="69.36"/>
    <n v="3259.92"/>
    <s v="Medium"/>
    <n v="977.976"/>
    <d v="2003-04-04T00:00:00"/>
    <x v="0"/>
    <x v="0"/>
    <x v="8"/>
    <x v="0"/>
    <s v="Apr-2003"/>
    <x v="1"/>
    <x v="27"/>
    <x v="0"/>
    <x v="0"/>
    <x v="1"/>
  </r>
  <r>
    <n v="10127"/>
    <n v="20"/>
    <n v="60.69"/>
    <n v="1213.8"/>
    <s v="Low"/>
    <n v="364.14"/>
    <d v="2003-06-03T00:00:00"/>
    <x v="0"/>
    <x v="0"/>
    <x v="9"/>
    <x v="0"/>
    <s v="Jun-2003"/>
    <x v="1"/>
    <x v="74"/>
    <x v="0"/>
    <x v="0"/>
    <x v="0"/>
  </r>
  <r>
    <n v="10141"/>
    <n v="20"/>
    <n v="54.33"/>
    <n v="1086.5999999999999"/>
    <s v="Low"/>
    <n v="325.97999999999996"/>
    <d v="2003-08-01T00:00:00"/>
    <x v="0"/>
    <x v="0"/>
    <x v="3"/>
    <x v="0"/>
    <s v="Aug-2003"/>
    <x v="1"/>
    <x v="73"/>
    <x v="4"/>
    <x v="1"/>
    <x v="0"/>
  </r>
  <r>
    <n v="10152"/>
    <n v="25"/>
    <n v="65.31"/>
    <n v="1632.75"/>
    <s v="Low"/>
    <n v="489.82499999999999"/>
    <d v="2003-09-25T00:00:00"/>
    <x v="0"/>
    <x v="0"/>
    <x v="10"/>
    <x v="0"/>
    <s v="Sep-2003"/>
    <x v="1"/>
    <x v="28"/>
    <x v="3"/>
    <x v="2"/>
    <x v="0"/>
  </r>
  <r>
    <n v="10165"/>
    <n v="25"/>
    <n v="69.36"/>
    <n v="1734"/>
    <s v="Low"/>
    <n v="520.19999999999993"/>
    <d v="2003-10-22T00:00:00"/>
    <x v="0"/>
    <x v="0"/>
    <x v="4"/>
    <x v="0"/>
    <s v="Oct-2003"/>
    <x v="1"/>
    <x v="26"/>
    <x v="9"/>
    <x v="3"/>
    <x v="0"/>
  </r>
  <r>
    <n v="10176"/>
    <n v="27"/>
    <n v="68.78"/>
    <n v="1857.06"/>
    <s v="Low"/>
    <n v="557.11799999999994"/>
    <d v="2003-11-06T00:00:00"/>
    <x v="0"/>
    <x v="0"/>
    <x v="5"/>
    <x v="0"/>
    <s v="Nov-2003"/>
    <x v="1"/>
    <x v="70"/>
    <x v="12"/>
    <x v="1"/>
    <x v="0"/>
  </r>
  <r>
    <n v="10184"/>
    <n v="31"/>
    <n v="60.11"/>
    <n v="1863.41"/>
    <s v="Low"/>
    <n v="559.02300000000002"/>
    <d v="2003-11-14T00:00:00"/>
    <x v="0"/>
    <x v="0"/>
    <x v="5"/>
    <x v="0"/>
    <s v="Nov-2003"/>
    <x v="1"/>
    <x v="81"/>
    <x v="7"/>
    <x v="1"/>
    <x v="0"/>
  </r>
  <r>
    <n v="10195"/>
    <n v="44"/>
    <n v="66.47"/>
    <n v="2924.68"/>
    <s v="Medium"/>
    <n v="877.40399999999988"/>
    <d v="2003-11-25T00:00:00"/>
    <x v="0"/>
    <x v="0"/>
    <x v="5"/>
    <x v="0"/>
    <s v="Nov-2003"/>
    <x v="1"/>
    <x v="47"/>
    <x v="0"/>
    <x v="0"/>
    <x v="0"/>
  </r>
  <r>
    <n v="10207"/>
    <n v="49"/>
    <n v="46.82"/>
    <n v="2294.1799999999998"/>
    <s v="Medium"/>
    <n v="688.25399999999991"/>
    <d v="2003-12-09T00:00:00"/>
    <x v="0"/>
    <x v="0"/>
    <x v="6"/>
    <x v="0"/>
    <s v="Dec-2003"/>
    <x v="1"/>
    <x v="64"/>
    <x v="0"/>
    <x v="0"/>
    <x v="0"/>
  </r>
  <r>
    <n v="10220"/>
    <n v="26"/>
    <n v="56.07"/>
    <n v="1457.82"/>
    <s v="Low"/>
    <n v="437.34599999999995"/>
    <d v="2004-02-12T00:00:00"/>
    <x v="0"/>
    <x v="0"/>
    <x v="0"/>
    <x v="1"/>
    <s v="Feb-2004"/>
    <x v="1"/>
    <x v="75"/>
    <x v="18"/>
    <x v="1"/>
    <x v="0"/>
  </r>
  <r>
    <n v="10230"/>
    <n v="36"/>
    <n v="54.33"/>
    <n v="1955.8799999999999"/>
    <s v="Low"/>
    <n v="586.7639999999999"/>
    <d v="2004-03-15T00:00:00"/>
    <x v="0"/>
    <x v="0"/>
    <x v="11"/>
    <x v="1"/>
    <s v="Mar-2004"/>
    <x v="1"/>
    <x v="72"/>
    <x v="16"/>
    <x v="1"/>
    <x v="0"/>
  </r>
  <r>
    <n v="10246"/>
    <n v="44"/>
    <n v="52.6"/>
    <n v="2314.4"/>
    <s v="Medium"/>
    <n v="694.32"/>
    <d v="2004-05-05T00:00:00"/>
    <x v="0"/>
    <x v="0"/>
    <x v="1"/>
    <x v="1"/>
    <s v="May-2004"/>
    <x v="1"/>
    <x v="23"/>
    <x v="7"/>
    <x v="1"/>
    <x v="0"/>
  </r>
  <r>
    <n v="10259"/>
    <n v="28"/>
    <n v="46.82"/>
    <n v="1310.96"/>
    <s v="Low"/>
    <n v="393.28800000000001"/>
    <d v="2004-06-15T00:00:00"/>
    <x v="0"/>
    <x v="0"/>
    <x v="9"/>
    <x v="1"/>
    <s v="Jun-2004"/>
    <x v="1"/>
    <x v="65"/>
    <x v="9"/>
    <x v="2"/>
    <x v="0"/>
  </r>
  <r>
    <n v="10271"/>
    <n v="45"/>
    <n v="64.739999999999995"/>
    <n v="2913.2999999999997"/>
    <s v="Medium"/>
    <n v="873.9899999999999"/>
    <d v="2004-07-20T00:00:00"/>
    <x v="0"/>
    <x v="0"/>
    <x v="2"/>
    <x v="1"/>
    <s v="Jul-2004"/>
    <x v="1"/>
    <x v="39"/>
    <x v="0"/>
    <x v="0"/>
    <x v="0"/>
  </r>
  <r>
    <n v="10282"/>
    <n v="29"/>
    <n v="46.82"/>
    <n v="1357.78"/>
    <s v="Low"/>
    <n v="407.334"/>
    <d v="2004-08-20T00:00:00"/>
    <x v="0"/>
    <x v="0"/>
    <x v="3"/>
    <x v="1"/>
    <s v="Aug-2004"/>
    <x v="1"/>
    <x v="39"/>
    <x v="0"/>
    <x v="0"/>
    <x v="0"/>
  </r>
  <r>
    <n v="10292"/>
    <n v="40"/>
    <n v="53.75"/>
    <n v="2150"/>
    <s v="Medium"/>
    <n v="645"/>
    <d v="2004-09-08T00:00:00"/>
    <x v="0"/>
    <x v="0"/>
    <x v="10"/>
    <x v="1"/>
    <s v="Sep-2004"/>
    <x v="1"/>
    <x v="0"/>
    <x v="0"/>
    <x v="0"/>
    <x v="0"/>
  </r>
  <r>
    <n v="10305"/>
    <n v="45"/>
    <n v="61.85"/>
    <n v="2783.25"/>
    <s v="Medium"/>
    <n v="834.97500000000002"/>
    <d v="2004-10-13T00:00:00"/>
    <x v="0"/>
    <x v="0"/>
    <x v="4"/>
    <x v="1"/>
    <s v="Oct-2004"/>
    <x v="1"/>
    <x v="15"/>
    <x v="0"/>
    <x v="0"/>
    <x v="0"/>
  </r>
  <r>
    <n v="10314"/>
    <n v="44"/>
    <n v="53.18"/>
    <n v="2339.92"/>
    <s v="Medium"/>
    <n v="701.976"/>
    <d v="2004-10-22T00:00:00"/>
    <x v="0"/>
    <x v="0"/>
    <x v="4"/>
    <x v="1"/>
    <s v="Oct-2004"/>
    <x v="1"/>
    <x v="78"/>
    <x v="13"/>
    <x v="1"/>
    <x v="0"/>
  </r>
  <r>
    <n v="10324"/>
    <n v="25"/>
    <n v="69.16"/>
    <n v="1729"/>
    <s v="Low"/>
    <n v="518.69999999999993"/>
    <d v="2004-11-05T00:00:00"/>
    <x v="0"/>
    <x v="0"/>
    <x v="5"/>
    <x v="1"/>
    <s v="Nov-2004"/>
    <x v="1"/>
    <x v="11"/>
    <x v="0"/>
    <x v="0"/>
    <x v="0"/>
  </r>
  <r>
    <n v="10336"/>
    <n v="45"/>
    <n v="100"/>
    <n v="4500"/>
    <s v="Medium"/>
    <n v="1350"/>
    <d v="2004-11-20T00:00:00"/>
    <x v="0"/>
    <x v="0"/>
    <x v="5"/>
    <x v="1"/>
    <s v="Nov-2004"/>
    <x v="1"/>
    <x v="62"/>
    <x v="1"/>
    <x v="1"/>
    <x v="1"/>
  </r>
  <r>
    <n v="10349"/>
    <n v="48"/>
    <n v="47.4"/>
    <n v="2275.1999999999998"/>
    <s v="Medium"/>
    <n v="682.56"/>
    <d v="2004-12-01T00:00:00"/>
    <x v="0"/>
    <x v="0"/>
    <x v="6"/>
    <x v="1"/>
    <s v="Dec-2004"/>
    <x v="1"/>
    <x v="74"/>
    <x v="0"/>
    <x v="0"/>
    <x v="0"/>
  </r>
  <r>
    <n v="10358"/>
    <n v="44"/>
    <n v="60.76"/>
    <n v="2673.44"/>
    <s v="Medium"/>
    <n v="802.03200000000004"/>
    <d v="2004-12-10T00:00:00"/>
    <x v="0"/>
    <x v="0"/>
    <x v="6"/>
    <x v="1"/>
    <s v="Dec-2004"/>
    <x v="1"/>
    <x v="23"/>
    <x v="7"/>
    <x v="1"/>
    <x v="0"/>
  </r>
  <r>
    <n v="10371"/>
    <n v="25"/>
    <n v="97.27"/>
    <n v="2431.75"/>
    <s v="Medium"/>
    <n v="729.52499999999998"/>
    <d v="2005-01-23T00:00:00"/>
    <x v="0"/>
    <x v="0"/>
    <x v="7"/>
    <x v="2"/>
    <s v="Jan-2005"/>
    <x v="1"/>
    <x v="39"/>
    <x v="0"/>
    <x v="0"/>
    <x v="0"/>
  </r>
  <r>
    <n v="10383"/>
    <n v="22"/>
    <n v="91.76"/>
    <n v="2018.72"/>
    <s v="Medium"/>
    <n v="605.61599999999999"/>
    <d v="2005-02-22T00:00:00"/>
    <x v="0"/>
    <x v="0"/>
    <x v="0"/>
    <x v="2"/>
    <s v="Feb-2005"/>
    <x v="1"/>
    <x v="23"/>
    <x v="7"/>
    <x v="1"/>
    <x v="0"/>
  </r>
  <r>
    <n v="10394"/>
    <n v="31"/>
    <n v="50.29"/>
    <n v="1558.99"/>
    <s v="Low"/>
    <n v="467.697"/>
    <d v="2005-03-15T00:00:00"/>
    <x v="0"/>
    <x v="0"/>
    <x v="11"/>
    <x v="2"/>
    <s v="Mar-2005"/>
    <x v="1"/>
    <x v="23"/>
    <x v="7"/>
    <x v="1"/>
    <x v="0"/>
  </r>
  <r>
    <n v="10412"/>
    <n v="21"/>
    <n v="52.6"/>
    <n v="1104.6000000000001"/>
    <s v="Low"/>
    <n v="331.38000000000005"/>
    <d v="2005-05-03T00:00:00"/>
    <x v="0"/>
    <x v="0"/>
    <x v="1"/>
    <x v="2"/>
    <s v="May-2005"/>
    <x v="1"/>
    <x v="23"/>
    <x v="7"/>
    <x v="1"/>
    <x v="0"/>
  </r>
  <r>
    <n v="10425"/>
    <n v="55"/>
    <n v="46.82"/>
    <n v="2575.1"/>
    <s v="Medium"/>
    <n v="772.53"/>
    <d v="2005-05-31T00:00:00"/>
    <x v="2"/>
    <x v="1"/>
    <x v="1"/>
    <x v="2"/>
    <s v="May-2005"/>
    <x v="1"/>
    <x v="14"/>
    <x v="1"/>
    <x v="1"/>
    <x v="0"/>
  </r>
  <r>
    <n v="10107"/>
    <n v="25"/>
    <n v="100"/>
    <n v="2500"/>
    <s v="Medium"/>
    <n v="750"/>
    <d v="2003-02-24T00:00:00"/>
    <x v="0"/>
    <x v="0"/>
    <x v="0"/>
    <x v="0"/>
    <s v="Feb-2003"/>
    <x v="0"/>
    <x v="0"/>
    <x v="0"/>
    <x v="0"/>
    <x v="0"/>
  </r>
  <r>
    <n v="10120"/>
    <n v="35"/>
    <n v="98.05"/>
    <n v="3431.75"/>
    <s v="Medium"/>
    <n v="1029.5249999999999"/>
    <d v="2003-04-29T00:00:00"/>
    <x v="0"/>
    <x v="0"/>
    <x v="8"/>
    <x v="0"/>
    <s v="Apr-2003"/>
    <x v="0"/>
    <x v="10"/>
    <x v="3"/>
    <x v="2"/>
    <x v="1"/>
  </r>
  <r>
    <n v="10134"/>
    <n v="35"/>
    <n v="93.54"/>
    <n v="3273.9"/>
    <s v="Medium"/>
    <n v="982.17"/>
    <d v="2003-07-01T00:00:00"/>
    <x v="0"/>
    <x v="0"/>
    <x v="2"/>
    <x v="0"/>
    <s v="Jul-2003"/>
    <x v="0"/>
    <x v="2"/>
    <x v="1"/>
    <x v="1"/>
    <x v="1"/>
  </r>
  <r>
    <n v="10145"/>
    <n v="43"/>
    <n v="95.8"/>
    <n v="4119.3999999999996"/>
    <s v="Medium"/>
    <n v="1235.82"/>
    <d v="2003-08-25T00:00:00"/>
    <x v="0"/>
    <x v="0"/>
    <x v="3"/>
    <x v="0"/>
    <s v="Aug-2003"/>
    <x v="0"/>
    <x v="3"/>
    <x v="0"/>
    <x v="0"/>
    <x v="1"/>
  </r>
  <r>
    <n v="10159"/>
    <n v="44"/>
    <n v="100"/>
    <n v="4400"/>
    <s v="Medium"/>
    <n v="1320"/>
    <d v="2003-10-10T00:00:00"/>
    <x v="0"/>
    <x v="0"/>
    <x v="4"/>
    <x v="0"/>
    <s v="Oct-2003"/>
    <x v="0"/>
    <x v="4"/>
    <x v="0"/>
    <x v="0"/>
    <x v="1"/>
  </r>
  <r>
    <n v="10168"/>
    <n v="50"/>
    <n v="100"/>
    <n v="5000"/>
    <s v="High"/>
    <n v="1500"/>
    <d v="2003-10-28T00:00:00"/>
    <x v="0"/>
    <x v="0"/>
    <x v="4"/>
    <x v="0"/>
    <s v="Oct-2003"/>
    <x v="0"/>
    <x v="5"/>
    <x v="0"/>
    <x v="0"/>
    <x v="1"/>
  </r>
  <r>
    <n v="10180"/>
    <n v="48"/>
    <n v="100"/>
    <n v="4800"/>
    <s v="Medium"/>
    <n v="1440"/>
    <d v="2003-11-11T00:00:00"/>
    <x v="0"/>
    <x v="0"/>
    <x v="5"/>
    <x v="0"/>
    <s v="Nov-2003"/>
    <x v="0"/>
    <x v="6"/>
    <x v="1"/>
    <x v="1"/>
    <x v="1"/>
  </r>
  <r>
    <n v="10188"/>
    <n v="25"/>
    <n v="100"/>
    <n v="2500"/>
    <s v="Medium"/>
    <n v="750"/>
    <d v="2003-11-18T00:00:00"/>
    <x v="0"/>
    <x v="0"/>
    <x v="5"/>
    <x v="0"/>
    <s v="Nov-2003"/>
    <x v="0"/>
    <x v="7"/>
    <x v="2"/>
    <x v="1"/>
    <x v="0"/>
  </r>
  <r>
    <n v="10201"/>
    <n v="39"/>
    <n v="100"/>
    <n v="3900"/>
    <s v="Medium"/>
    <n v="1170"/>
    <d v="2003-12-01T00:00:00"/>
    <x v="0"/>
    <x v="0"/>
    <x v="6"/>
    <x v="0"/>
    <s v="Dec-2003"/>
    <x v="0"/>
    <x v="8"/>
    <x v="0"/>
    <x v="0"/>
    <x v="1"/>
  </r>
  <r>
    <n v="10211"/>
    <n v="25"/>
    <n v="90.16"/>
    <n v="2254"/>
    <s v="Medium"/>
    <n v="676.19999999999993"/>
    <d v="2004-01-15T00:00:00"/>
    <x v="0"/>
    <x v="0"/>
    <x v="7"/>
    <x v="1"/>
    <s v="Jan-2004"/>
    <x v="0"/>
    <x v="9"/>
    <x v="1"/>
    <x v="1"/>
    <x v="0"/>
  </r>
  <r>
    <n v="10223"/>
    <n v="32"/>
    <n v="91.29"/>
    <n v="2921.28"/>
    <s v="Medium"/>
    <n v="876.38400000000001"/>
    <d v="2004-02-20T00:00:00"/>
    <x v="0"/>
    <x v="0"/>
    <x v="0"/>
    <x v="1"/>
    <s v="Feb-2004"/>
    <x v="0"/>
    <x v="10"/>
    <x v="3"/>
    <x v="2"/>
    <x v="0"/>
  </r>
  <r>
    <n v="10237"/>
    <n v="20"/>
    <n v="100"/>
    <n v="2000"/>
    <s v="Medium"/>
    <n v="600"/>
    <d v="2004-04-05T00:00:00"/>
    <x v="0"/>
    <x v="0"/>
    <x v="8"/>
    <x v="1"/>
    <s v="Apr-2004"/>
    <x v="0"/>
    <x v="11"/>
    <x v="0"/>
    <x v="0"/>
    <x v="0"/>
  </r>
  <r>
    <n v="10251"/>
    <n v="26"/>
    <n v="100"/>
    <n v="2600"/>
    <s v="Medium"/>
    <n v="780"/>
    <d v="2004-05-18T00:00:00"/>
    <x v="0"/>
    <x v="0"/>
    <x v="1"/>
    <x v="1"/>
    <s v="May-2004"/>
    <x v="0"/>
    <x v="12"/>
    <x v="0"/>
    <x v="0"/>
    <x v="0"/>
  </r>
  <r>
    <n v="10263"/>
    <n v="42"/>
    <n v="100"/>
    <n v="4200"/>
    <s v="Medium"/>
    <n v="1260"/>
    <d v="2004-06-28T00:00:00"/>
    <x v="0"/>
    <x v="0"/>
    <x v="9"/>
    <x v="1"/>
    <s v="Jun-2004"/>
    <x v="0"/>
    <x v="13"/>
    <x v="0"/>
    <x v="0"/>
    <x v="1"/>
  </r>
  <r>
    <n v="10275"/>
    <n v="21"/>
    <n v="100"/>
    <n v="2100"/>
    <s v="Medium"/>
    <n v="630"/>
    <d v="2004-07-23T00:00:00"/>
    <x v="0"/>
    <x v="0"/>
    <x v="2"/>
    <x v="1"/>
    <s v="Jul-2004"/>
    <x v="0"/>
    <x v="14"/>
    <x v="1"/>
    <x v="1"/>
    <x v="0"/>
  </r>
  <r>
    <n v="10285"/>
    <n v="34"/>
    <n v="100"/>
    <n v="3400"/>
    <s v="Medium"/>
    <n v="1020"/>
    <d v="2004-08-27T00:00:00"/>
    <x v="0"/>
    <x v="0"/>
    <x v="3"/>
    <x v="1"/>
    <s v="Aug-2004"/>
    <x v="0"/>
    <x v="15"/>
    <x v="0"/>
    <x v="0"/>
    <x v="1"/>
  </r>
  <r>
    <n v="10299"/>
    <n v="47"/>
    <n v="100"/>
    <n v="4700"/>
    <s v="Medium"/>
    <n v="1410"/>
    <d v="2004-09-30T00:00:00"/>
    <x v="0"/>
    <x v="0"/>
    <x v="10"/>
    <x v="1"/>
    <s v="Sep-2004"/>
    <x v="0"/>
    <x v="16"/>
    <x v="4"/>
    <x v="1"/>
    <x v="1"/>
  </r>
  <r>
    <n v="10309"/>
    <n v="21"/>
    <n v="100"/>
    <n v="2100"/>
    <s v="Medium"/>
    <n v="630"/>
    <d v="2004-10-15T00:00:00"/>
    <x v="0"/>
    <x v="0"/>
    <x v="4"/>
    <x v="1"/>
    <s v="Oct-2004"/>
    <x v="0"/>
    <x v="17"/>
    <x v="2"/>
    <x v="1"/>
    <x v="0"/>
  </r>
  <r>
    <n v="10318"/>
    <n v="48"/>
    <n v="100"/>
    <n v="4800"/>
    <s v="Medium"/>
    <n v="1440"/>
    <d v="2004-11-02T00:00:00"/>
    <x v="0"/>
    <x v="0"/>
    <x v="5"/>
    <x v="1"/>
    <s v="Nov-2004"/>
    <x v="0"/>
    <x v="18"/>
    <x v="0"/>
    <x v="0"/>
    <x v="1"/>
  </r>
  <r>
    <n v="10329"/>
    <n v="30"/>
    <n v="87.78"/>
    <n v="2633.4"/>
    <s v="Medium"/>
    <n v="790.02"/>
    <d v="2004-11-15T00:00:00"/>
    <x v="0"/>
    <x v="0"/>
    <x v="5"/>
    <x v="1"/>
    <s v="Nov-2004"/>
    <x v="0"/>
    <x v="0"/>
    <x v="0"/>
    <x v="0"/>
    <x v="0"/>
  </r>
  <r>
    <n v="10339"/>
    <n v="27"/>
    <n v="84.39"/>
    <n v="2278.5300000000002"/>
    <s v="Medium"/>
    <n v="683.55900000000008"/>
    <d v="2004-11-23T00:00:00"/>
    <x v="0"/>
    <x v="0"/>
    <x v="5"/>
    <x v="1"/>
    <s v="Nov-2004"/>
    <x v="0"/>
    <x v="35"/>
    <x v="11"/>
    <x v="3"/>
    <x v="0"/>
  </r>
  <r>
    <n v="10362"/>
    <n v="50"/>
    <n v="96.92"/>
    <n v="4846"/>
    <s v="Medium"/>
    <n v="1453.8"/>
    <d v="2005-01-05T00:00:00"/>
    <x v="0"/>
    <x v="0"/>
    <x v="7"/>
    <x v="2"/>
    <s v="Jan-2005"/>
    <x v="0"/>
    <x v="5"/>
    <x v="0"/>
    <x v="0"/>
    <x v="1"/>
  </r>
  <r>
    <n v="10374"/>
    <n v="38"/>
    <n v="100"/>
    <n v="3800"/>
    <s v="Medium"/>
    <n v="1140"/>
    <d v="2005-02-02T00:00:00"/>
    <x v="0"/>
    <x v="0"/>
    <x v="0"/>
    <x v="2"/>
    <s v="Feb-2005"/>
    <x v="0"/>
    <x v="28"/>
    <x v="3"/>
    <x v="2"/>
    <x v="1"/>
  </r>
  <r>
    <n v="10389"/>
    <n v="45"/>
    <n v="100"/>
    <n v="4500"/>
    <s v="Medium"/>
    <n v="1350"/>
    <d v="2005-03-03T00:00:00"/>
    <x v="0"/>
    <x v="0"/>
    <x v="11"/>
    <x v="2"/>
    <s v="Mar-2005"/>
    <x v="0"/>
    <x v="37"/>
    <x v="8"/>
    <x v="1"/>
    <x v="1"/>
  </r>
  <r>
    <n v="10403"/>
    <n v="46"/>
    <n v="100"/>
    <n v="4600"/>
    <s v="Medium"/>
    <n v="1380"/>
    <d v="2005-04-08T00:00:00"/>
    <x v="0"/>
    <x v="0"/>
    <x v="8"/>
    <x v="2"/>
    <s v="Apr-2005"/>
    <x v="0"/>
    <x v="22"/>
    <x v="6"/>
    <x v="1"/>
    <x v="1"/>
  </r>
  <r>
    <n v="10417"/>
    <n v="35"/>
    <n v="100"/>
    <n v="3500"/>
    <s v="Medium"/>
    <n v="1050"/>
    <d v="2005-05-13T00:00:00"/>
    <x v="1"/>
    <x v="1"/>
    <x v="1"/>
    <x v="2"/>
    <s v="May-2005"/>
    <x v="0"/>
    <x v="23"/>
    <x v="7"/>
    <x v="1"/>
    <x v="1"/>
  </r>
  <r>
    <n v="10110"/>
    <n v="29"/>
    <n v="59.37"/>
    <n v="1721.73"/>
    <s v="Low"/>
    <n v="516.51900000000001"/>
    <d v="2003-03-18T00:00:00"/>
    <x v="0"/>
    <x v="0"/>
    <x v="11"/>
    <x v="0"/>
    <s v="Mar-2003"/>
    <x v="1"/>
    <x v="77"/>
    <x v="6"/>
    <x v="1"/>
    <x v="0"/>
  </r>
  <r>
    <n v="10123"/>
    <n v="50"/>
    <n v="59.87"/>
    <n v="2993.5"/>
    <s v="Medium"/>
    <n v="898.05"/>
    <d v="2003-05-20T00:00:00"/>
    <x v="0"/>
    <x v="0"/>
    <x v="1"/>
    <x v="0"/>
    <s v="May-2003"/>
    <x v="1"/>
    <x v="46"/>
    <x v="1"/>
    <x v="1"/>
    <x v="0"/>
  </r>
  <r>
    <n v="10137"/>
    <n v="26"/>
    <n v="49.81"/>
    <n v="1295.06"/>
    <s v="Low"/>
    <n v="388.51799999999997"/>
    <d v="2003-07-10T00:00:00"/>
    <x v="0"/>
    <x v="0"/>
    <x v="2"/>
    <x v="0"/>
    <s v="Jul-2003"/>
    <x v="1"/>
    <x v="1"/>
    <x v="1"/>
    <x v="1"/>
    <x v="0"/>
  </r>
  <r>
    <n v="10148"/>
    <n v="47"/>
    <n v="56.85"/>
    <n v="2671.9500000000003"/>
    <s v="Medium"/>
    <n v="801.58500000000004"/>
    <d v="2003-09-11T00:00:00"/>
    <x v="0"/>
    <x v="0"/>
    <x v="10"/>
    <x v="0"/>
    <s v="Sep-2003"/>
    <x v="1"/>
    <x v="42"/>
    <x v="3"/>
    <x v="2"/>
    <x v="0"/>
  </r>
  <r>
    <n v="10161"/>
    <n v="23"/>
    <n v="53.33"/>
    <n v="1226.5899999999999"/>
    <s v="Low"/>
    <n v="367.97699999999998"/>
    <d v="2003-10-17T00:00:00"/>
    <x v="0"/>
    <x v="0"/>
    <x v="4"/>
    <x v="0"/>
    <s v="Oct-2003"/>
    <x v="1"/>
    <x v="78"/>
    <x v="13"/>
    <x v="1"/>
    <x v="0"/>
  </r>
  <r>
    <n v="10172"/>
    <n v="34"/>
    <n v="42.76"/>
    <n v="1453.84"/>
    <s v="Low"/>
    <n v="436.15199999999999"/>
    <d v="2003-11-05T00:00:00"/>
    <x v="0"/>
    <x v="0"/>
    <x v="5"/>
    <x v="0"/>
    <s v="Nov-2003"/>
    <x v="1"/>
    <x v="13"/>
    <x v="0"/>
    <x v="0"/>
    <x v="0"/>
  </r>
  <r>
    <n v="10181"/>
    <n v="34"/>
    <n v="53.83"/>
    <n v="1830.22"/>
    <s v="Low"/>
    <n v="549.06600000000003"/>
    <d v="2003-11-12T00:00:00"/>
    <x v="0"/>
    <x v="0"/>
    <x v="5"/>
    <x v="0"/>
    <s v="Nov-2003"/>
    <x v="1"/>
    <x v="7"/>
    <x v="2"/>
    <x v="1"/>
    <x v="0"/>
  </r>
  <r>
    <n v="10192"/>
    <n v="47"/>
    <n v="53.83"/>
    <n v="2530.0099999999998"/>
    <s v="Medium"/>
    <n v="759.00299999999993"/>
    <d v="2003-11-20T00:00:00"/>
    <x v="0"/>
    <x v="0"/>
    <x v="5"/>
    <x v="0"/>
    <s v="Nov-2003"/>
    <x v="1"/>
    <x v="40"/>
    <x v="0"/>
    <x v="0"/>
    <x v="0"/>
  </r>
  <r>
    <n v="10204"/>
    <n v="45"/>
    <n v="49.81"/>
    <n v="2241.4500000000003"/>
    <s v="Medium"/>
    <n v="672.43500000000006"/>
    <d v="2003-12-02T00:00:00"/>
    <x v="0"/>
    <x v="0"/>
    <x v="6"/>
    <x v="0"/>
    <s v="Dec-2003"/>
    <x v="1"/>
    <x v="74"/>
    <x v="0"/>
    <x v="0"/>
    <x v="0"/>
  </r>
  <r>
    <n v="10212"/>
    <n v="45"/>
    <n v="53.33"/>
    <n v="2399.85"/>
    <s v="Medium"/>
    <n v="719.95499999999993"/>
    <d v="2004-01-16T00:00:00"/>
    <x v="0"/>
    <x v="0"/>
    <x v="7"/>
    <x v="1"/>
    <s v="Jan-2004"/>
    <x v="1"/>
    <x v="23"/>
    <x v="7"/>
    <x v="1"/>
    <x v="0"/>
  </r>
  <r>
    <n v="10226"/>
    <n v="36"/>
    <n v="43.27"/>
    <n v="1557.72"/>
    <s v="Low"/>
    <n v="467.31599999999997"/>
    <d v="2004-02-26T00:00:00"/>
    <x v="0"/>
    <x v="0"/>
    <x v="0"/>
    <x v="1"/>
    <s v="Feb-2004"/>
    <x v="1"/>
    <x v="55"/>
    <x v="0"/>
    <x v="0"/>
    <x v="0"/>
  </r>
  <r>
    <n v="10241"/>
    <n v="21"/>
    <n v="40.25"/>
    <n v="845.25"/>
    <s v="Low"/>
    <n v="253.57499999999999"/>
    <d v="2004-04-13T00:00:00"/>
    <x v="0"/>
    <x v="0"/>
    <x v="8"/>
    <x v="1"/>
    <s v="Apr-2004"/>
    <x v="1"/>
    <x v="83"/>
    <x v="1"/>
    <x v="1"/>
    <x v="0"/>
  </r>
  <r>
    <n v="10266"/>
    <n v="28"/>
    <n v="48.3"/>
    <n v="1352.3999999999999"/>
    <s v="Low"/>
    <n v="405.71999999999997"/>
    <d v="2004-07-06T00:00:00"/>
    <x v="0"/>
    <x v="0"/>
    <x v="2"/>
    <x v="1"/>
    <s v="Jul-2004"/>
    <x v="1"/>
    <x v="70"/>
    <x v="12"/>
    <x v="1"/>
    <x v="0"/>
  </r>
  <r>
    <n v="10278"/>
    <n v="35"/>
    <n v="45.28"/>
    <n v="1584.8"/>
    <s v="Low"/>
    <n v="475.43999999999994"/>
    <d v="2004-08-06T00:00:00"/>
    <x v="0"/>
    <x v="0"/>
    <x v="3"/>
    <x v="1"/>
    <s v="Aug-2004"/>
    <x v="1"/>
    <x v="84"/>
    <x v="0"/>
    <x v="0"/>
    <x v="0"/>
  </r>
  <r>
    <n v="10288"/>
    <n v="50"/>
    <n v="52.32"/>
    <n v="2616"/>
    <s v="Medium"/>
    <n v="784.8"/>
    <d v="2004-09-01T00:00:00"/>
    <x v="0"/>
    <x v="0"/>
    <x v="10"/>
    <x v="1"/>
    <s v="Sep-2004"/>
    <x v="1"/>
    <x v="65"/>
    <x v="9"/>
    <x v="2"/>
    <x v="0"/>
  </r>
  <r>
    <n v="10301"/>
    <n v="22"/>
    <n v="51.32"/>
    <n v="1129.04"/>
    <s v="Low"/>
    <n v="338.71199999999999"/>
    <d v="2003-10-05T00:00:00"/>
    <x v="0"/>
    <x v="0"/>
    <x v="4"/>
    <x v="0"/>
    <s v="Oct-2003"/>
    <x v="1"/>
    <x v="85"/>
    <x v="2"/>
    <x v="1"/>
    <x v="0"/>
  </r>
  <r>
    <n v="10311"/>
    <n v="45"/>
    <n v="49.3"/>
    <n v="2218.5"/>
    <s v="Medium"/>
    <n v="665.55"/>
    <d v="2004-10-16T00:00:00"/>
    <x v="0"/>
    <x v="0"/>
    <x v="4"/>
    <x v="1"/>
    <s v="Oct-2004"/>
    <x v="1"/>
    <x v="23"/>
    <x v="7"/>
    <x v="1"/>
    <x v="0"/>
  </r>
  <r>
    <n v="10321"/>
    <n v="48"/>
    <n v="42.26"/>
    <n v="2028.48"/>
    <s v="Medium"/>
    <n v="608.54399999999998"/>
    <d v="2004-11-04T00:00:00"/>
    <x v="0"/>
    <x v="0"/>
    <x v="5"/>
    <x v="1"/>
    <s v="Nov-2004"/>
    <x v="1"/>
    <x v="21"/>
    <x v="0"/>
    <x v="0"/>
    <x v="0"/>
  </r>
  <r>
    <n v="10332"/>
    <n v="20"/>
    <n v="87.96"/>
    <n v="1759.1999999999998"/>
    <s v="Low"/>
    <n v="527.75999999999988"/>
    <d v="2004-11-17T00:00:00"/>
    <x v="0"/>
    <x v="0"/>
    <x v="5"/>
    <x v="1"/>
    <s v="Nov-2004"/>
    <x v="1"/>
    <x v="77"/>
    <x v="6"/>
    <x v="1"/>
    <x v="0"/>
  </r>
  <r>
    <n v="10343"/>
    <n v="27"/>
    <n v="36.21"/>
    <n v="977.67000000000007"/>
    <s v="Low"/>
    <n v="293.30099999999999"/>
    <d v="2004-11-24T00:00:00"/>
    <x v="0"/>
    <x v="0"/>
    <x v="5"/>
    <x v="1"/>
    <s v="Nov-2004"/>
    <x v="1"/>
    <x v="1"/>
    <x v="1"/>
    <x v="1"/>
    <x v="0"/>
  </r>
  <r>
    <n v="10367"/>
    <n v="38"/>
    <n v="38.5"/>
    <n v="1463"/>
    <s v="Low"/>
    <n v="438.9"/>
    <d v="2005-01-12T00:00:00"/>
    <x v="5"/>
    <x v="1"/>
    <x v="7"/>
    <x v="2"/>
    <s v="Jan-2005"/>
    <x v="1"/>
    <x v="3"/>
    <x v="0"/>
    <x v="0"/>
    <x v="0"/>
  </r>
  <r>
    <n v="10379"/>
    <n v="32"/>
    <n v="100"/>
    <n v="3200"/>
    <s v="Medium"/>
    <n v="960"/>
    <d v="2005-02-10T00:00:00"/>
    <x v="0"/>
    <x v="0"/>
    <x v="0"/>
    <x v="2"/>
    <s v="Feb-2005"/>
    <x v="1"/>
    <x v="23"/>
    <x v="7"/>
    <x v="1"/>
    <x v="1"/>
  </r>
  <r>
    <n v="10407"/>
    <n v="64"/>
    <n v="40.25"/>
    <n v="2576"/>
    <s v="Medium"/>
    <n v="772.8"/>
    <d v="2005-04-22T00:00:00"/>
    <x v="4"/>
    <x v="1"/>
    <x v="8"/>
    <x v="2"/>
    <s v="Apr-2005"/>
    <x v="1"/>
    <x v="61"/>
    <x v="0"/>
    <x v="0"/>
    <x v="0"/>
  </r>
  <r>
    <n v="10420"/>
    <n v="37"/>
    <n v="60.37"/>
    <n v="2233.69"/>
    <s v="Medium"/>
    <n v="670.10699999999997"/>
    <d v="2005-05-29T00:00:00"/>
    <x v="2"/>
    <x v="1"/>
    <x v="1"/>
    <x v="2"/>
    <s v="May-2005"/>
    <x v="1"/>
    <x v="20"/>
    <x v="3"/>
    <x v="2"/>
    <x v="0"/>
  </r>
  <r>
    <n v="10106"/>
    <n v="28"/>
    <n v="88.63"/>
    <n v="2481.64"/>
    <s v="Medium"/>
    <n v="744.49199999999996"/>
    <d v="2003-02-17T00:00:00"/>
    <x v="0"/>
    <x v="0"/>
    <x v="0"/>
    <x v="0"/>
    <s v="Feb-2003"/>
    <x v="4"/>
    <x v="86"/>
    <x v="12"/>
    <x v="1"/>
    <x v="0"/>
  </r>
  <r>
    <n v="10120"/>
    <n v="39"/>
    <n v="100"/>
    <n v="3900"/>
    <s v="Medium"/>
    <n v="1170"/>
    <d v="2003-04-29T00:00:00"/>
    <x v="0"/>
    <x v="0"/>
    <x v="8"/>
    <x v="0"/>
    <s v="Apr-2003"/>
    <x v="4"/>
    <x v="10"/>
    <x v="3"/>
    <x v="2"/>
    <x v="1"/>
  </r>
  <r>
    <n v="10133"/>
    <n v="41"/>
    <n v="94.1"/>
    <n v="3858.1"/>
    <s v="Medium"/>
    <n v="1157.4299999999998"/>
    <d v="2003-06-27T00:00:00"/>
    <x v="0"/>
    <x v="0"/>
    <x v="9"/>
    <x v="0"/>
    <s v="Jun-2003"/>
    <x v="4"/>
    <x v="23"/>
    <x v="7"/>
    <x v="1"/>
    <x v="1"/>
  </r>
  <r>
    <n v="10145"/>
    <n v="40"/>
    <n v="87.54"/>
    <n v="3501.6000000000004"/>
    <s v="Medium"/>
    <n v="1050.48"/>
    <d v="2003-08-25T00:00:00"/>
    <x v="0"/>
    <x v="0"/>
    <x v="3"/>
    <x v="0"/>
    <s v="Aug-2003"/>
    <x v="4"/>
    <x v="3"/>
    <x v="0"/>
    <x v="0"/>
    <x v="1"/>
  </r>
  <r>
    <n v="10168"/>
    <n v="49"/>
    <n v="100"/>
    <n v="4900"/>
    <s v="Medium"/>
    <n v="1470"/>
    <d v="2003-10-28T00:00:00"/>
    <x v="0"/>
    <x v="0"/>
    <x v="4"/>
    <x v="0"/>
    <s v="Oct-2003"/>
    <x v="4"/>
    <x v="5"/>
    <x v="0"/>
    <x v="0"/>
    <x v="1"/>
  </r>
  <r>
    <n v="10210"/>
    <n v="27"/>
    <n v="98.48"/>
    <n v="2658.96"/>
    <s v="Medium"/>
    <n v="797.68799999999999"/>
    <d v="2004-01-12T00:00:00"/>
    <x v="0"/>
    <x v="0"/>
    <x v="7"/>
    <x v="1"/>
    <s v="Jan-2004"/>
    <x v="4"/>
    <x v="44"/>
    <x v="11"/>
    <x v="3"/>
    <x v="0"/>
  </r>
  <r>
    <n v="10223"/>
    <n v="34"/>
    <n v="100"/>
    <n v="3400"/>
    <s v="Medium"/>
    <n v="1020"/>
    <d v="2004-02-20T00:00:00"/>
    <x v="0"/>
    <x v="0"/>
    <x v="0"/>
    <x v="1"/>
    <s v="Feb-2004"/>
    <x v="4"/>
    <x v="10"/>
    <x v="3"/>
    <x v="2"/>
    <x v="1"/>
  </r>
  <r>
    <n v="10235"/>
    <n v="23"/>
    <n v="96.29"/>
    <n v="2214.67"/>
    <s v="Medium"/>
    <n v="664.40099999999995"/>
    <d v="2004-04-02T00:00:00"/>
    <x v="0"/>
    <x v="0"/>
    <x v="8"/>
    <x v="1"/>
    <s v="Apr-2004"/>
    <x v="4"/>
    <x v="57"/>
    <x v="10"/>
    <x v="0"/>
    <x v="0"/>
  </r>
  <r>
    <n v="10250"/>
    <n v="31"/>
    <n v="88.63"/>
    <n v="2747.5299999999997"/>
    <s v="Medium"/>
    <n v="824.2589999999999"/>
    <d v="2004-05-11T00:00:00"/>
    <x v="0"/>
    <x v="0"/>
    <x v="1"/>
    <x v="1"/>
    <s v="May-2004"/>
    <x v="4"/>
    <x v="61"/>
    <x v="0"/>
    <x v="0"/>
    <x v="0"/>
  </r>
  <r>
    <n v="10262"/>
    <n v="34"/>
    <n v="97.38"/>
    <n v="3310.92"/>
    <s v="Medium"/>
    <n v="993.27599999999995"/>
    <d v="2004-06-24T00:00:00"/>
    <x v="3"/>
    <x v="1"/>
    <x v="9"/>
    <x v="1"/>
    <s v="Jun-2004"/>
    <x v="4"/>
    <x v="23"/>
    <x v="7"/>
    <x v="1"/>
    <x v="1"/>
  </r>
  <r>
    <n v="10275"/>
    <n v="25"/>
    <n v="95.2"/>
    <n v="2380"/>
    <s v="Medium"/>
    <n v="714"/>
    <d v="2004-07-23T00:00:00"/>
    <x v="0"/>
    <x v="0"/>
    <x v="2"/>
    <x v="1"/>
    <s v="Jul-2004"/>
    <x v="4"/>
    <x v="14"/>
    <x v="1"/>
    <x v="1"/>
    <x v="0"/>
  </r>
  <r>
    <n v="10284"/>
    <n v="22"/>
    <n v="100"/>
    <n v="2200"/>
    <s v="Medium"/>
    <n v="660"/>
    <d v="2004-08-21T00:00:00"/>
    <x v="0"/>
    <x v="0"/>
    <x v="3"/>
    <x v="1"/>
    <s v="Aug-2004"/>
    <x v="4"/>
    <x v="85"/>
    <x v="2"/>
    <x v="1"/>
    <x v="0"/>
  </r>
  <r>
    <n v="10297"/>
    <n v="32"/>
    <n v="100"/>
    <n v="3200"/>
    <s v="Medium"/>
    <n v="960"/>
    <d v="2004-09-16T00:00:00"/>
    <x v="0"/>
    <x v="0"/>
    <x v="10"/>
    <x v="1"/>
    <s v="Sep-2004"/>
    <x v="4"/>
    <x v="75"/>
    <x v="18"/>
    <x v="1"/>
    <x v="1"/>
  </r>
  <r>
    <n v="10308"/>
    <n v="31"/>
    <n v="100"/>
    <n v="3100"/>
    <s v="Medium"/>
    <n v="930"/>
    <d v="2004-10-15T00:00:00"/>
    <x v="0"/>
    <x v="0"/>
    <x v="4"/>
    <x v="1"/>
    <s v="Oct-2004"/>
    <x v="4"/>
    <x v="47"/>
    <x v="0"/>
    <x v="0"/>
    <x v="1"/>
  </r>
  <r>
    <n v="10316"/>
    <n v="25"/>
    <n v="100"/>
    <n v="2500"/>
    <s v="Medium"/>
    <n v="750"/>
    <d v="2004-11-01T00:00:00"/>
    <x v="0"/>
    <x v="0"/>
    <x v="5"/>
    <x v="1"/>
    <s v="Nov-2004"/>
    <x v="4"/>
    <x v="59"/>
    <x v="6"/>
    <x v="1"/>
    <x v="0"/>
  </r>
  <r>
    <n v="10328"/>
    <n v="47"/>
    <n v="87.54"/>
    <n v="4114.38"/>
    <s v="Medium"/>
    <n v="1234.3140000000001"/>
    <d v="2004-11-12T00:00:00"/>
    <x v="0"/>
    <x v="0"/>
    <x v="5"/>
    <x v="1"/>
    <s v="Nov-2004"/>
    <x v="4"/>
    <x v="86"/>
    <x v="12"/>
    <x v="1"/>
    <x v="1"/>
  </r>
  <r>
    <n v="10339"/>
    <n v="21"/>
    <n v="50.65"/>
    <n v="1063.6499999999999"/>
    <s v="Low"/>
    <n v="319.09499999999997"/>
    <d v="2004-11-23T00:00:00"/>
    <x v="0"/>
    <x v="0"/>
    <x v="5"/>
    <x v="1"/>
    <s v="Nov-2004"/>
    <x v="4"/>
    <x v="35"/>
    <x v="11"/>
    <x v="3"/>
    <x v="0"/>
  </r>
  <r>
    <n v="10353"/>
    <n v="28"/>
    <n v="71.73"/>
    <n v="2008.44"/>
    <s v="Medium"/>
    <n v="602.53200000000004"/>
    <d v="2004-12-04T00:00:00"/>
    <x v="0"/>
    <x v="0"/>
    <x v="6"/>
    <x v="1"/>
    <s v="Dec-2004"/>
    <x v="4"/>
    <x v="88"/>
    <x v="0"/>
    <x v="0"/>
    <x v="0"/>
  </r>
  <r>
    <n v="10374"/>
    <n v="46"/>
    <n v="94.1"/>
    <n v="4328.5999999999995"/>
    <s v="Medium"/>
    <n v="1298.5799999999997"/>
    <d v="2005-02-02T00:00:00"/>
    <x v="0"/>
    <x v="0"/>
    <x v="0"/>
    <x v="2"/>
    <s v="Feb-2005"/>
    <x v="4"/>
    <x v="28"/>
    <x v="3"/>
    <x v="2"/>
    <x v="1"/>
  </r>
  <r>
    <n v="10386"/>
    <n v="33"/>
    <n v="41.71"/>
    <n v="1376.43"/>
    <s v="Low"/>
    <n v="412.92900000000003"/>
    <d v="2005-03-01T00:00:00"/>
    <x v="5"/>
    <x v="1"/>
    <x v="11"/>
    <x v="2"/>
    <s v="Mar-2005"/>
    <x v="4"/>
    <x v="23"/>
    <x v="7"/>
    <x v="1"/>
    <x v="0"/>
  </r>
  <r>
    <n v="10398"/>
    <n v="43"/>
    <n v="100"/>
    <n v="4300"/>
    <s v="Medium"/>
    <n v="1290"/>
    <d v="2005-03-30T00:00:00"/>
    <x v="0"/>
    <x v="0"/>
    <x v="11"/>
    <x v="2"/>
    <s v="Mar-2005"/>
    <x v="4"/>
    <x v="1"/>
    <x v="1"/>
    <x v="1"/>
    <x v="1"/>
  </r>
  <r>
    <n v="10401"/>
    <n v="38"/>
    <n v="96.29"/>
    <n v="3659.0200000000004"/>
    <s v="Medium"/>
    <n v="1097.7060000000001"/>
    <d v="2005-04-03T00:00:00"/>
    <x v="4"/>
    <x v="1"/>
    <x v="8"/>
    <x v="2"/>
    <s v="Apr-2005"/>
    <x v="4"/>
    <x v="12"/>
    <x v="0"/>
    <x v="0"/>
    <x v="1"/>
  </r>
  <r>
    <n v="10416"/>
    <n v="47"/>
    <n v="88.63"/>
    <n v="4165.6099999999997"/>
    <s v="Medium"/>
    <n v="1249.6829999999998"/>
    <d v="2005-05-10T00:00:00"/>
    <x v="0"/>
    <x v="0"/>
    <x v="1"/>
    <x v="2"/>
    <s v="May-2005"/>
    <x v="4"/>
    <x v="70"/>
    <x v="12"/>
    <x v="1"/>
    <x v="1"/>
  </r>
  <r>
    <n v="10101"/>
    <n v="45"/>
    <n v="31.2"/>
    <n v="1404"/>
    <s v="Low"/>
    <n v="421.2"/>
    <d v="2003-01-09T00:00:00"/>
    <x v="0"/>
    <x v="0"/>
    <x v="7"/>
    <x v="0"/>
    <s v="Jan-2003"/>
    <x v="3"/>
    <x v="72"/>
    <x v="16"/>
    <x v="1"/>
    <x v="0"/>
  </r>
  <r>
    <n v="10110"/>
    <n v="20"/>
    <n v="35.51"/>
    <n v="710.19999999999993"/>
    <s v="Low"/>
    <n v="213.05999999999997"/>
    <d v="2003-03-18T00:00:00"/>
    <x v="0"/>
    <x v="0"/>
    <x v="11"/>
    <x v="0"/>
    <s v="Mar-2003"/>
    <x v="3"/>
    <x v="77"/>
    <x v="6"/>
    <x v="1"/>
    <x v="0"/>
  </r>
  <r>
    <n v="10124"/>
    <n v="45"/>
    <n v="37.840000000000003"/>
    <n v="1702.8000000000002"/>
    <s v="Low"/>
    <n v="510.84000000000003"/>
    <d v="2003-05-21T00:00:00"/>
    <x v="0"/>
    <x v="0"/>
    <x v="1"/>
    <x v="0"/>
    <s v="May-2003"/>
    <x v="3"/>
    <x v="84"/>
    <x v="0"/>
    <x v="0"/>
    <x v="0"/>
  </r>
  <r>
    <n v="10149"/>
    <n v="36"/>
    <n v="33.19"/>
    <n v="1194.8399999999999"/>
    <s v="Low"/>
    <n v="358.45199999999994"/>
    <d v="2003-09-12T00:00:00"/>
    <x v="0"/>
    <x v="0"/>
    <x v="10"/>
    <x v="0"/>
    <s v="Sep-2003"/>
    <x v="3"/>
    <x v="82"/>
    <x v="0"/>
    <x v="0"/>
    <x v="0"/>
  </r>
  <r>
    <n v="10162"/>
    <n v="37"/>
    <n v="27.22"/>
    <n v="1007.14"/>
    <s v="Low"/>
    <n v="302.142"/>
    <d v="2003-10-18T00:00:00"/>
    <x v="0"/>
    <x v="0"/>
    <x v="4"/>
    <x v="0"/>
    <s v="Oct-2003"/>
    <x v="3"/>
    <x v="4"/>
    <x v="0"/>
    <x v="0"/>
    <x v="0"/>
  </r>
  <r>
    <n v="10173"/>
    <n v="31"/>
    <n v="31.53"/>
    <n v="977.43000000000006"/>
    <s v="Low"/>
    <n v="293.22899999999998"/>
    <d v="2003-11-05T00:00:00"/>
    <x v="0"/>
    <x v="0"/>
    <x v="5"/>
    <x v="0"/>
    <s v="Nov-2003"/>
    <x v="3"/>
    <x v="86"/>
    <x v="12"/>
    <x v="1"/>
    <x v="0"/>
  </r>
  <r>
    <n v="10182"/>
    <n v="39"/>
    <n v="36.840000000000003"/>
    <n v="1436.7600000000002"/>
    <s v="Low"/>
    <n v="431.02800000000008"/>
    <d v="2003-11-12T00:00:00"/>
    <x v="0"/>
    <x v="0"/>
    <x v="5"/>
    <x v="0"/>
    <s v="Nov-2003"/>
    <x v="3"/>
    <x v="39"/>
    <x v="0"/>
    <x v="0"/>
    <x v="0"/>
  </r>
  <r>
    <n v="10193"/>
    <n v="26"/>
    <n v="29.21"/>
    <n v="759.46"/>
    <s v="Low"/>
    <n v="227.83799999999999"/>
    <d v="2003-11-21T00:00:00"/>
    <x v="0"/>
    <x v="0"/>
    <x v="5"/>
    <x v="0"/>
    <s v="Nov-2003"/>
    <x v="3"/>
    <x v="87"/>
    <x v="3"/>
    <x v="2"/>
    <x v="0"/>
  </r>
  <r>
    <n v="10205"/>
    <n v="32"/>
    <n v="37.17"/>
    <n v="1189.44"/>
    <s v="Low"/>
    <n v="356.83199999999999"/>
    <d v="2003-12-03T00:00:00"/>
    <x v="0"/>
    <x v="0"/>
    <x v="6"/>
    <x v="0"/>
    <s v="Dec-2003"/>
    <x v="3"/>
    <x v="23"/>
    <x v="7"/>
    <x v="1"/>
    <x v="0"/>
  </r>
  <r>
    <n v="10214"/>
    <n v="20"/>
    <n v="34.19"/>
    <n v="683.8"/>
    <s v="Low"/>
    <n v="205.14"/>
    <d v="2004-01-26T00:00:00"/>
    <x v="0"/>
    <x v="0"/>
    <x v="7"/>
    <x v="1"/>
    <s v="Jan-2004"/>
    <x v="3"/>
    <x v="25"/>
    <x v="7"/>
    <x v="1"/>
    <x v="0"/>
  </r>
  <r>
    <n v="10227"/>
    <n v="42"/>
    <n v="29.21"/>
    <n v="1226.82"/>
    <s v="Low"/>
    <n v="368.04599999999999"/>
    <d v="2004-03-02T00:00:00"/>
    <x v="0"/>
    <x v="0"/>
    <x v="11"/>
    <x v="1"/>
    <s v="Mar-2004"/>
    <x v="3"/>
    <x v="30"/>
    <x v="1"/>
    <x v="1"/>
    <x v="0"/>
  </r>
  <r>
    <n v="10243"/>
    <n v="33"/>
    <n v="29.54"/>
    <n v="974.81999999999994"/>
    <s v="Low"/>
    <n v="292.44599999999997"/>
    <d v="2004-04-26T00:00:00"/>
    <x v="0"/>
    <x v="0"/>
    <x v="8"/>
    <x v="1"/>
    <s v="Apr-2004"/>
    <x v="3"/>
    <x v="64"/>
    <x v="0"/>
    <x v="0"/>
    <x v="0"/>
  </r>
  <r>
    <n v="10280"/>
    <n v="20"/>
    <n v="28.88"/>
    <n v="577.6"/>
    <s v="Low"/>
    <n v="173.28"/>
    <d v="2004-08-17T00:00:00"/>
    <x v="0"/>
    <x v="0"/>
    <x v="3"/>
    <x v="1"/>
    <s v="Aug-2004"/>
    <x v="3"/>
    <x v="36"/>
    <x v="12"/>
    <x v="1"/>
    <x v="0"/>
  </r>
  <r>
    <n v="10288"/>
    <n v="29"/>
    <n v="38.17"/>
    <n v="1106.93"/>
    <s v="Low"/>
    <n v="332.07900000000001"/>
    <d v="2004-09-01T00:00:00"/>
    <x v="0"/>
    <x v="0"/>
    <x v="10"/>
    <x v="1"/>
    <s v="Sep-2004"/>
    <x v="3"/>
    <x v="65"/>
    <x v="9"/>
    <x v="2"/>
    <x v="0"/>
  </r>
  <r>
    <n v="10304"/>
    <n v="23"/>
    <n v="30.2"/>
    <n v="694.6"/>
    <s v="Low"/>
    <n v="208.38"/>
    <d v="2004-10-11T00:00:00"/>
    <x v="0"/>
    <x v="0"/>
    <x v="4"/>
    <x v="1"/>
    <s v="Oct-2004"/>
    <x v="3"/>
    <x v="38"/>
    <x v="1"/>
    <x v="1"/>
    <x v="0"/>
  </r>
  <r>
    <n v="10312"/>
    <n v="39"/>
    <n v="29.54"/>
    <n v="1152.06"/>
    <s v="Low"/>
    <n v="345.61799999999999"/>
    <d v="2004-10-21T00:00:00"/>
    <x v="0"/>
    <x v="0"/>
    <x v="4"/>
    <x v="1"/>
    <s v="Oct-2004"/>
    <x v="3"/>
    <x v="39"/>
    <x v="0"/>
    <x v="0"/>
    <x v="0"/>
  </r>
  <r>
    <n v="10322"/>
    <n v="20"/>
    <n v="100"/>
    <n v="2000"/>
    <s v="Medium"/>
    <n v="600"/>
    <d v="2004-11-04T00:00:00"/>
    <x v="0"/>
    <x v="0"/>
    <x v="5"/>
    <x v="1"/>
    <s v="Nov-2004"/>
    <x v="3"/>
    <x v="40"/>
    <x v="0"/>
    <x v="0"/>
    <x v="0"/>
  </r>
  <r>
    <n v="10332"/>
    <n v="45"/>
    <n v="81.91"/>
    <n v="3685.95"/>
    <s v="Medium"/>
    <n v="1105.7849999999999"/>
    <d v="2004-11-17T00:00:00"/>
    <x v="0"/>
    <x v="0"/>
    <x v="5"/>
    <x v="1"/>
    <s v="Nov-2004"/>
    <x v="3"/>
    <x v="77"/>
    <x v="6"/>
    <x v="1"/>
    <x v="1"/>
  </r>
  <r>
    <n v="10344"/>
    <n v="20"/>
    <n v="35.18"/>
    <n v="703.6"/>
    <s v="Low"/>
    <n v="211.08"/>
    <d v="2004-11-25T00:00:00"/>
    <x v="0"/>
    <x v="0"/>
    <x v="5"/>
    <x v="1"/>
    <s v="Nov-2004"/>
    <x v="3"/>
    <x v="67"/>
    <x v="1"/>
    <x v="1"/>
    <x v="0"/>
  </r>
  <r>
    <n v="10356"/>
    <n v="48"/>
    <n v="100"/>
    <n v="4800"/>
    <s v="Medium"/>
    <n v="1440"/>
    <d v="2004-12-09T00:00:00"/>
    <x v="0"/>
    <x v="0"/>
    <x v="6"/>
    <x v="1"/>
    <s v="Dec-2004"/>
    <x v="3"/>
    <x v="2"/>
    <x v="1"/>
    <x v="1"/>
    <x v="2"/>
  </r>
  <r>
    <n v="10367"/>
    <n v="23"/>
    <n v="36.29"/>
    <n v="834.67"/>
    <s v="Low"/>
    <n v="250.40099999999998"/>
    <d v="2005-01-12T00:00:00"/>
    <x v="5"/>
    <x v="1"/>
    <x v="7"/>
    <x v="2"/>
    <s v="Jan-2005"/>
    <x v="3"/>
    <x v="3"/>
    <x v="0"/>
    <x v="0"/>
    <x v="0"/>
  </r>
  <r>
    <n v="10380"/>
    <n v="32"/>
    <n v="70.56"/>
    <n v="2257.92"/>
    <s v="Medium"/>
    <n v="677.37599999999998"/>
    <d v="2005-02-16T00:00:00"/>
    <x v="0"/>
    <x v="0"/>
    <x v="0"/>
    <x v="2"/>
    <s v="Feb-2005"/>
    <x v="3"/>
    <x v="23"/>
    <x v="7"/>
    <x v="1"/>
    <x v="0"/>
  </r>
  <r>
    <n v="10391"/>
    <n v="33"/>
    <n v="100"/>
    <n v="3300"/>
    <s v="Medium"/>
    <n v="990"/>
    <d v="2005-03-09T00:00:00"/>
    <x v="0"/>
    <x v="0"/>
    <x v="11"/>
    <x v="2"/>
    <s v="Mar-2005"/>
    <x v="3"/>
    <x v="42"/>
    <x v="3"/>
    <x v="2"/>
    <x v="2"/>
  </r>
  <r>
    <n v="10409"/>
    <n v="61"/>
    <n v="29.54"/>
    <n v="1801.94"/>
    <s v="Low"/>
    <n v="540.58199999999999"/>
    <d v="2005-04-23T00:00:00"/>
    <x v="0"/>
    <x v="0"/>
    <x v="8"/>
    <x v="2"/>
    <s v="Apr-2005"/>
    <x v="3"/>
    <x v="65"/>
    <x v="9"/>
    <x v="2"/>
    <x v="0"/>
  </r>
  <r>
    <n v="10420"/>
    <n v="45"/>
    <n v="26.88"/>
    <n v="1209.5999999999999"/>
    <s v="Low"/>
    <n v="362.87999999999994"/>
    <d v="2005-05-29T00:00:00"/>
    <x v="2"/>
    <x v="1"/>
    <x v="1"/>
    <x v="2"/>
    <s v="May-2005"/>
    <x v="3"/>
    <x v="20"/>
    <x v="3"/>
    <x v="2"/>
    <x v="0"/>
  </r>
  <r>
    <n v="10107"/>
    <n v="38"/>
    <n v="83.03"/>
    <n v="3155.14"/>
    <s v="Medium"/>
    <n v="946.54199999999992"/>
    <d v="2003-02-24T00:00:00"/>
    <x v="0"/>
    <x v="0"/>
    <x v="0"/>
    <x v="0"/>
    <s v="Feb-2003"/>
    <x v="0"/>
    <x v="0"/>
    <x v="0"/>
    <x v="0"/>
    <x v="1"/>
  </r>
  <r>
    <n v="10120"/>
    <n v="34"/>
    <n v="83.79"/>
    <n v="2848.86"/>
    <s v="Medium"/>
    <n v="854.65800000000002"/>
    <d v="2003-04-29T00:00:00"/>
    <x v="0"/>
    <x v="0"/>
    <x v="8"/>
    <x v="0"/>
    <s v="Apr-2003"/>
    <x v="0"/>
    <x v="10"/>
    <x v="3"/>
    <x v="2"/>
    <x v="0"/>
  </r>
  <r>
    <n v="10134"/>
    <n v="43"/>
    <n v="83.03"/>
    <n v="3570.29"/>
    <s v="Medium"/>
    <n v="1071.087"/>
    <d v="2003-07-01T00:00:00"/>
    <x v="0"/>
    <x v="0"/>
    <x v="2"/>
    <x v="0"/>
    <s v="Jul-2003"/>
    <x v="0"/>
    <x v="2"/>
    <x v="1"/>
    <x v="1"/>
    <x v="1"/>
  </r>
  <r>
    <n v="10145"/>
    <n v="47"/>
    <n v="83.03"/>
    <n v="3902.41"/>
    <s v="Medium"/>
    <n v="1170.723"/>
    <d v="2003-08-25T00:00:00"/>
    <x v="0"/>
    <x v="0"/>
    <x v="3"/>
    <x v="0"/>
    <s v="Aug-2003"/>
    <x v="0"/>
    <x v="3"/>
    <x v="0"/>
    <x v="0"/>
    <x v="1"/>
  </r>
  <r>
    <n v="10158"/>
    <n v="22"/>
    <n v="67.03"/>
    <n v="1474.66"/>
    <s v="Low"/>
    <n v="442.39800000000002"/>
    <d v="2003-10-10T00:00:00"/>
    <x v="0"/>
    <x v="0"/>
    <x v="4"/>
    <x v="0"/>
    <s v="Oct-2003"/>
    <x v="0"/>
    <x v="17"/>
    <x v="2"/>
    <x v="1"/>
    <x v="0"/>
  </r>
  <r>
    <n v="10168"/>
    <n v="29"/>
    <n v="75.41"/>
    <n v="2186.89"/>
    <s v="Medium"/>
    <n v="656.06699999999989"/>
    <d v="2003-10-28T00:00:00"/>
    <x v="0"/>
    <x v="0"/>
    <x v="4"/>
    <x v="0"/>
    <s v="Oct-2003"/>
    <x v="0"/>
    <x v="5"/>
    <x v="0"/>
    <x v="0"/>
    <x v="0"/>
  </r>
  <r>
    <n v="10180"/>
    <n v="28"/>
    <n v="68.55"/>
    <n v="1919.3999999999999"/>
    <s v="Low"/>
    <n v="575.81999999999994"/>
    <d v="2003-11-11T00:00:00"/>
    <x v="0"/>
    <x v="0"/>
    <x v="5"/>
    <x v="0"/>
    <s v="Nov-2003"/>
    <x v="0"/>
    <x v="6"/>
    <x v="1"/>
    <x v="1"/>
    <x v="0"/>
  </r>
  <r>
    <n v="10188"/>
    <n v="40"/>
    <n v="91.4"/>
    <n v="3656"/>
    <s v="Medium"/>
    <n v="1096.8"/>
    <d v="2003-11-18T00:00:00"/>
    <x v="0"/>
    <x v="0"/>
    <x v="5"/>
    <x v="0"/>
    <s v="Nov-2003"/>
    <x v="0"/>
    <x v="7"/>
    <x v="2"/>
    <x v="1"/>
    <x v="1"/>
  </r>
  <r>
    <n v="10201"/>
    <n v="25"/>
    <n v="73.88"/>
    <n v="1847"/>
    <s v="Low"/>
    <n v="554.1"/>
    <d v="2003-12-01T00:00:00"/>
    <x v="0"/>
    <x v="0"/>
    <x v="6"/>
    <x v="0"/>
    <s v="Dec-2003"/>
    <x v="0"/>
    <x v="8"/>
    <x v="0"/>
    <x v="0"/>
    <x v="0"/>
  </r>
  <r>
    <n v="10210"/>
    <n v="30"/>
    <n v="61.7"/>
    <n v="1851"/>
    <s v="Low"/>
    <n v="555.29999999999995"/>
    <d v="2004-01-12T00:00:00"/>
    <x v="0"/>
    <x v="0"/>
    <x v="7"/>
    <x v="1"/>
    <s v="Jan-2004"/>
    <x v="0"/>
    <x v="44"/>
    <x v="11"/>
    <x v="3"/>
    <x v="0"/>
  </r>
  <r>
    <n v="10223"/>
    <n v="38"/>
    <n v="69.31"/>
    <n v="2633.78"/>
    <s v="Medium"/>
    <n v="790.13400000000001"/>
    <d v="2004-02-20T00:00:00"/>
    <x v="0"/>
    <x v="0"/>
    <x v="0"/>
    <x v="1"/>
    <s v="Feb-2004"/>
    <x v="0"/>
    <x v="10"/>
    <x v="3"/>
    <x v="2"/>
    <x v="0"/>
  </r>
  <r>
    <n v="10236"/>
    <n v="36"/>
    <n v="87.6"/>
    <n v="3153.6"/>
    <s v="Medium"/>
    <n v="946.07999999999993"/>
    <d v="2004-04-03T00:00:00"/>
    <x v="0"/>
    <x v="0"/>
    <x v="8"/>
    <x v="1"/>
    <s v="Apr-2004"/>
    <x v="0"/>
    <x v="45"/>
    <x v="0"/>
    <x v="0"/>
    <x v="1"/>
  </r>
  <r>
    <n v="10250"/>
    <n v="32"/>
    <n v="87.6"/>
    <n v="2803.2"/>
    <s v="Medium"/>
    <n v="840.95999999999992"/>
    <d v="2004-05-11T00:00:00"/>
    <x v="0"/>
    <x v="0"/>
    <x v="1"/>
    <x v="1"/>
    <s v="May-2004"/>
    <x v="0"/>
    <x v="61"/>
    <x v="0"/>
    <x v="0"/>
    <x v="0"/>
  </r>
  <r>
    <n v="10263"/>
    <n v="37"/>
    <n v="62.46"/>
    <n v="2311.02"/>
    <s v="Medium"/>
    <n v="693.30599999999993"/>
    <d v="2004-06-28T00:00:00"/>
    <x v="0"/>
    <x v="0"/>
    <x v="9"/>
    <x v="1"/>
    <s v="Jun-2004"/>
    <x v="0"/>
    <x v="13"/>
    <x v="0"/>
    <x v="0"/>
    <x v="0"/>
  </r>
  <r>
    <n v="10275"/>
    <n v="30"/>
    <n v="79.98"/>
    <n v="2399.4"/>
    <s v="Medium"/>
    <n v="719.82"/>
    <d v="2004-07-23T00:00:00"/>
    <x v="0"/>
    <x v="0"/>
    <x v="2"/>
    <x v="1"/>
    <s v="Jul-2004"/>
    <x v="0"/>
    <x v="14"/>
    <x v="1"/>
    <x v="1"/>
    <x v="0"/>
  </r>
  <r>
    <n v="10285"/>
    <n v="39"/>
    <n v="70.08"/>
    <n v="2733.12"/>
    <s v="Medium"/>
    <n v="819.93599999999992"/>
    <d v="2004-08-27T00:00:00"/>
    <x v="0"/>
    <x v="0"/>
    <x v="3"/>
    <x v="1"/>
    <s v="Aug-2004"/>
    <x v="0"/>
    <x v="15"/>
    <x v="0"/>
    <x v="0"/>
    <x v="0"/>
  </r>
  <r>
    <n v="10297"/>
    <n v="32"/>
    <n v="65.510000000000005"/>
    <n v="2096.3200000000002"/>
    <s v="Medium"/>
    <n v="628.89600000000007"/>
    <d v="2004-09-16T00:00:00"/>
    <x v="0"/>
    <x v="0"/>
    <x v="10"/>
    <x v="1"/>
    <s v="Sep-2004"/>
    <x v="0"/>
    <x v="75"/>
    <x v="18"/>
    <x v="1"/>
    <x v="0"/>
  </r>
  <r>
    <n v="10308"/>
    <n v="47"/>
    <n v="63.22"/>
    <n v="2971.34"/>
    <s v="Medium"/>
    <n v="891.40200000000004"/>
    <d v="2004-10-15T00:00:00"/>
    <x v="0"/>
    <x v="0"/>
    <x v="4"/>
    <x v="1"/>
    <s v="Oct-2004"/>
    <x v="0"/>
    <x v="47"/>
    <x v="0"/>
    <x v="0"/>
    <x v="0"/>
  </r>
  <r>
    <n v="10318"/>
    <n v="26"/>
    <n v="86.83"/>
    <n v="2257.58"/>
    <s v="Medium"/>
    <n v="677.274"/>
    <d v="2004-11-02T00:00:00"/>
    <x v="0"/>
    <x v="0"/>
    <x v="5"/>
    <x v="1"/>
    <s v="Nov-2004"/>
    <x v="0"/>
    <x v="18"/>
    <x v="0"/>
    <x v="0"/>
    <x v="0"/>
  </r>
  <r>
    <n v="10329"/>
    <n v="37"/>
    <n v="94.43"/>
    <n v="3493.9100000000003"/>
    <s v="Medium"/>
    <n v="1048.173"/>
    <d v="2004-11-15T00:00:00"/>
    <x v="0"/>
    <x v="0"/>
    <x v="5"/>
    <x v="1"/>
    <s v="Nov-2004"/>
    <x v="0"/>
    <x v="0"/>
    <x v="0"/>
    <x v="0"/>
    <x v="1"/>
  </r>
  <r>
    <n v="10340"/>
    <n v="55"/>
    <n v="79.98"/>
    <n v="4398.9000000000005"/>
    <s v="Medium"/>
    <n v="1319.67"/>
    <d v="2004-11-24T00:00:00"/>
    <x v="0"/>
    <x v="0"/>
    <x v="5"/>
    <x v="1"/>
    <s v="Nov-2004"/>
    <x v="0"/>
    <x v="53"/>
    <x v="7"/>
    <x v="1"/>
    <x v="1"/>
  </r>
  <r>
    <n v="10363"/>
    <n v="21"/>
    <n v="100"/>
    <n v="2100"/>
    <s v="Medium"/>
    <n v="630"/>
    <d v="2005-01-06T00:00:00"/>
    <x v="0"/>
    <x v="0"/>
    <x v="7"/>
    <x v="2"/>
    <s v="Jan-2005"/>
    <x v="0"/>
    <x v="73"/>
    <x v="4"/>
    <x v="1"/>
    <x v="1"/>
  </r>
  <r>
    <n v="10375"/>
    <n v="23"/>
    <n v="100"/>
    <n v="2300"/>
    <s v="Medium"/>
    <n v="690"/>
    <d v="2005-02-03T00:00:00"/>
    <x v="0"/>
    <x v="0"/>
    <x v="0"/>
    <x v="2"/>
    <s v="Feb-2005"/>
    <x v="0"/>
    <x v="14"/>
    <x v="1"/>
    <x v="1"/>
    <x v="0"/>
  </r>
  <r>
    <n v="10389"/>
    <n v="49"/>
    <n v="81.400000000000006"/>
    <n v="3988.6000000000004"/>
    <s v="Medium"/>
    <n v="1196.5800000000002"/>
    <d v="2005-03-03T00:00:00"/>
    <x v="0"/>
    <x v="0"/>
    <x v="11"/>
    <x v="2"/>
    <s v="Mar-2005"/>
    <x v="0"/>
    <x v="37"/>
    <x v="8"/>
    <x v="1"/>
    <x v="1"/>
  </r>
  <r>
    <n v="10402"/>
    <n v="59"/>
    <n v="87.6"/>
    <n v="5168.3999999999996"/>
    <s v="High"/>
    <n v="1550.5199999999998"/>
    <d v="2005-04-07T00:00:00"/>
    <x v="0"/>
    <x v="0"/>
    <x v="8"/>
    <x v="2"/>
    <s v="Apr-2005"/>
    <x v="0"/>
    <x v="9"/>
    <x v="1"/>
    <x v="1"/>
    <x v="1"/>
  </r>
  <r>
    <n v="10416"/>
    <n v="32"/>
    <n v="87.6"/>
    <n v="2803.2"/>
    <s v="Medium"/>
    <n v="840.95999999999992"/>
    <d v="2005-05-10T00:00:00"/>
    <x v="0"/>
    <x v="0"/>
    <x v="1"/>
    <x v="2"/>
    <s v="May-2005"/>
    <x v="0"/>
    <x v="70"/>
    <x v="12"/>
    <x v="1"/>
    <x v="0"/>
  </r>
  <r>
    <n v="10105"/>
    <n v="43"/>
    <n v="100"/>
    <n v="4300"/>
    <s v="Medium"/>
    <n v="1290"/>
    <d v="2003-02-11T00:00:00"/>
    <x v="0"/>
    <x v="0"/>
    <x v="0"/>
    <x v="0"/>
    <s v="Feb-2003"/>
    <x v="5"/>
    <x v="48"/>
    <x v="13"/>
    <x v="1"/>
    <x v="1"/>
  </r>
  <r>
    <n v="10117"/>
    <n v="41"/>
    <n v="100"/>
    <n v="4100"/>
    <s v="Medium"/>
    <n v="1230"/>
    <d v="2003-04-16T00:00:00"/>
    <x v="0"/>
    <x v="0"/>
    <x v="8"/>
    <x v="0"/>
    <s v="Apr-2003"/>
    <x v="5"/>
    <x v="26"/>
    <x v="9"/>
    <x v="3"/>
    <x v="1"/>
  </r>
  <r>
    <n v="10129"/>
    <n v="45"/>
    <n v="100"/>
    <n v="4500"/>
    <s v="Medium"/>
    <n v="1350"/>
    <d v="2003-06-12T00:00:00"/>
    <x v="0"/>
    <x v="0"/>
    <x v="9"/>
    <x v="0"/>
    <s v="Jun-2003"/>
    <x v="5"/>
    <x v="49"/>
    <x v="6"/>
    <x v="1"/>
    <x v="1"/>
  </r>
  <r>
    <n v="10142"/>
    <n v="33"/>
    <n v="100"/>
    <n v="3300"/>
    <s v="Medium"/>
    <n v="990"/>
    <d v="2003-08-08T00:00:00"/>
    <x v="0"/>
    <x v="0"/>
    <x v="3"/>
    <x v="0"/>
    <s v="Aug-2003"/>
    <x v="5"/>
    <x v="39"/>
    <x v="0"/>
    <x v="0"/>
    <x v="1"/>
  </r>
  <r>
    <n v="10153"/>
    <n v="40"/>
    <n v="100"/>
    <n v="4000"/>
    <s v="Medium"/>
    <n v="1200"/>
    <d v="2003-09-28T00:00:00"/>
    <x v="0"/>
    <x v="0"/>
    <x v="10"/>
    <x v="0"/>
    <s v="Sep-2003"/>
    <x v="5"/>
    <x v="23"/>
    <x v="7"/>
    <x v="1"/>
    <x v="1"/>
  </r>
  <r>
    <n v="10167"/>
    <n v="33"/>
    <n v="100"/>
    <n v="3300"/>
    <s v="Medium"/>
    <n v="990"/>
    <d v="2003-10-23T00:00:00"/>
    <x v="3"/>
    <x v="1"/>
    <x v="4"/>
    <x v="0"/>
    <s v="Oct-2003"/>
    <x v="5"/>
    <x v="37"/>
    <x v="8"/>
    <x v="1"/>
    <x v="1"/>
  </r>
  <r>
    <n v="10177"/>
    <n v="50"/>
    <n v="100"/>
    <n v="5000"/>
    <s v="High"/>
    <n v="1500"/>
    <d v="2003-11-07T00:00:00"/>
    <x v="0"/>
    <x v="0"/>
    <x v="5"/>
    <x v="0"/>
    <s v="Nov-2003"/>
    <x v="5"/>
    <x v="76"/>
    <x v="7"/>
    <x v="1"/>
    <x v="1"/>
  </r>
  <r>
    <n v="10185"/>
    <n v="30"/>
    <n v="100"/>
    <n v="3000"/>
    <s v="Medium"/>
    <n v="900"/>
    <d v="2003-11-14T00:00:00"/>
    <x v="0"/>
    <x v="0"/>
    <x v="5"/>
    <x v="0"/>
    <s v="Nov-2003"/>
    <x v="5"/>
    <x v="50"/>
    <x v="0"/>
    <x v="0"/>
    <x v="1"/>
  </r>
  <r>
    <n v="10197"/>
    <n v="41"/>
    <n v="100"/>
    <n v="4100"/>
    <s v="Medium"/>
    <n v="1230"/>
    <d v="2003-11-26T00:00:00"/>
    <x v="0"/>
    <x v="0"/>
    <x v="5"/>
    <x v="0"/>
    <s v="Nov-2003"/>
    <x v="5"/>
    <x v="53"/>
    <x v="7"/>
    <x v="1"/>
    <x v="1"/>
  </r>
  <r>
    <n v="10208"/>
    <n v="35"/>
    <n v="100"/>
    <n v="3500"/>
    <s v="Medium"/>
    <n v="1050"/>
    <d v="2004-01-02T00:00:00"/>
    <x v="0"/>
    <x v="0"/>
    <x v="7"/>
    <x v="1"/>
    <s v="Jan-2004"/>
    <x v="5"/>
    <x v="30"/>
    <x v="1"/>
    <x v="1"/>
    <x v="1"/>
  </r>
  <r>
    <n v="10221"/>
    <n v="49"/>
    <n v="100"/>
    <n v="4900"/>
    <s v="Medium"/>
    <n v="1470"/>
    <d v="2004-02-18T00:00:00"/>
    <x v="0"/>
    <x v="0"/>
    <x v="0"/>
    <x v="1"/>
    <s v="Feb-2004"/>
    <x v="5"/>
    <x v="56"/>
    <x v="14"/>
    <x v="1"/>
    <x v="1"/>
  </r>
  <r>
    <n v="10232"/>
    <n v="46"/>
    <n v="100"/>
    <n v="4600"/>
    <s v="Medium"/>
    <n v="1380"/>
    <d v="2004-03-20T00:00:00"/>
    <x v="0"/>
    <x v="0"/>
    <x v="11"/>
    <x v="1"/>
    <s v="Mar-2004"/>
    <x v="5"/>
    <x v="59"/>
    <x v="6"/>
    <x v="1"/>
    <x v="1"/>
  </r>
  <r>
    <n v="10248"/>
    <n v="48"/>
    <n v="100"/>
    <n v="4800"/>
    <s v="Medium"/>
    <n v="1440"/>
    <d v="2004-05-07T00:00:00"/>
    <x v="3"/>
    <x v="1"/>
    <x v="1"/>
    <x v="1"/>
    <s v="May-2004"/>
    <x v="5"/>
    <x v="0"/>
    <x v="0"/>
    <x v="0"/>
    <x v="1"/>
  </r>
  <r>
    <n v="10261"/>
    <n v="36"/>
    <n v="100"/>
    <n v="3600"/>
    <s v="Medium"/>
    <n v="1080"/>
    <d v="2004-06-17T00:00:00"/>
    <x v="0"/>
    <x v="0"/>
    <x v="9"/>
    <x v="1"/>
    <s v="Jun-2004"/>
    <x v="5"/>
    <x v="43"/>
    <x v="10"/>
    <x v="0"/>
    <x v="1"/>
  </r>
  <r>
    <n v="10273"/>
    <n v="22"/>
    <n v="100"/>
    <n v="2200"/>
    <s v="Medium"/>
    <n v="660"/>
    <d v="2004-07-21T00:00:00"/>
    <x v="0"/>
    <x v="0"/>
    <x v="2"/>
    <x v="1"/>
    <s v="Jul-2004"/>
    <x v="5"/>
    <x v="56"/>
    <x v="14"/>
    <x v="1"/>
    <x v="0"/>
  </r>
  <r>
    <n v="10283"/>
    <n v="42"/>
    <n v="100"/>
    <n v="4200"/>
    <s v="Medium"/>
    <n v="1260"/>
    <d v="2004-08-20T00:00:00"/>
    <x v="0"/>
    <x v="0"/>
    <x v="3"/>
    <x v="1"/>
    <s v="Aug-2004"/>
    <x v="5"/>
    <x v="57"/>
    <x v="10"/>
    <x v="0"/>
    <x v="1"/>
  </r>
  <r>
    <n v="10293"/>
    <n v="21"/>
    <n v="100"/>
    <n v="2100"/>
    <s v="Medium"/>
    <n v="630"/>
    <d v="2004-09-09T00:00:00"/>
    <x v="0"/>
    <x v="0"/>
    <x v="10"/>
    <x v="1"/>
    <s v="Sep-2004"/>
    <x v="5"/>
    <x v="36"/>
    <x v="12"/>
    <x v="1"/>
    <x v="0"/>
  </r>
  <r>
    <n v="10306"/>
    <n v="29"/>
    <n v="100"/>
    <n v="2900"/>
    <s v="Medium"/>
    <n v="870"/>
    <d v="2004-10-14T00:00:00"/>
    <x v="0"/>
    <x v="0"/>
    <x v="4"/>
    <x v="1"/>
    <s v="Oct-2004"/>
    <x v="5"/>
    <x v="77"/>
    <x v="6"/>
    <x v="1"/>
    <x v="1"/>
  </r>
  <r>
    <n v="10315"/>
    <n v="35"/>
    <n v="100"/>
    <n v="3500"/>
    <s v="Medium"/>
    <n v="1050"/>
    <d v="2004-10-29T00:00:00"/>
    <x v="0"/>
    <x v="0"/>
    <x v="4"/>
    <x v="1"/>
    <s v="Oct-2004"/>
    <x v="5"/>
    <x v="14"/>
    <x v="1"/>
    <x v="1"/>
    <x v="1"/>
  </r>
  <r>
    <n v="10326"/>
    <n v="41"/>
    <n v="100"/>
    <n v="4100"/>
    <s v="Medium"/>
    <n v="1230"/>
    <d v="2004-11-09T00:00:00"/>
    <x v="0"/>
    <x v="0"/>
    <x v="5"/>
    <x v="1"/>
    <s v="Nov-2004"/>
    <x v="5"/>
    <x v="24"/>
    <x v="8"/>
    <x v="1"/>
    <x v="1"/>
  </r>
  <r>
    <n v="10337"/>
    <n v="29"/>
    <n v="71.97"/>
    <n v="2087.13"/>
    <s v="Medium"/>
    <n v="626.13900000000001"/>
    <d v="2004-11-21T00:00:00"/>
    <x v="0"/>
    <x v="0"/>
    <x v="5"/>
    <x v="1"/>
    <s v="Nov-2004"/>
    <x v="5"/>
    <x v="27"/>
    <x v="0"/>
    <x v="0"/>
    <x v="0"/>
  </r>
  <r>
    <n v="10350"/>
    <n v="34"/>
    <n v="50.33"/>
    <n v="1711.22"/>
    <s v="Low"/>
    <n v="513.36599999999999"/>
    <d v="2004-12-02T00:00:00"/>
    <x v="0"/>
    <x v="0"/>
    <x v="6"/>
    <x v="1"/>
    <s v="Dec-2004"/>
    <x v="5"/>
    <x v="23"/>
    <x v="7"/>
    <x v="1"/>
    <x v="0"/>
  </r>
  <r>
    <n v="10372"/>
    <n v="37"/>
    <n v="100"/>
    <n v="3700"/>
    <s v="Medium"/>
    <n v="1110"/>
    <d v="2005-01-26T00:00:00"/>
    <x v="0"/>
    <x v="0"/>
    <x v="7"/>
    <x v="2"/>
    <s v="Jan-2005"/>
    <x v="5"/>
    <x v="35"/>
    <x v="11"/>
    <x v="3"/>
    <x v="1"/>
  </r>
  <r>
    <n v="10384"/>
    <n v="28"/>
    <n v="80.540000000000006"/>
    <n v="2255.1200000000003"/>
    <s v="Medium"/>
    <n v="676.53600000000006"/>
    <d v="2005-02-23T00:00:00"/>
    <x v="0"/>
    <x v="0"/>
    <x v="0"/>
    <x v="2"/>
    <s v="Feb-2005"/>
    <x v="5"/>
    <x v="4"/>
    <x v="0"/>
    <x v="0"/>
    <x v="0"/>
  </r>
  <r>
    <n v="10396"/>
    <n v="49"/>
    <n v="100"/>
    <n v="4900"/>
    <s v="Medium"/>
    <n v="1470"/>
    <d v="2005-03-23T00:00:00"/>
    <x v="0"/>
    <x v="0"/>
    <x v="11"/>
    <x v="2"/>
    <s v="Mar-2005"/>
    <x v="5"/>
    <x v="39"/>
    <x v="0"/>
    <x v="0"/>
    <x v="1"/>
  </r>
  <r>
    <n v="10414"/>
    <n v="23"/>
    <n v="100"/>
    <n v="2300"/>
    <s v="Medium"/>
    <n v="690"/>
    <d v="2005-05-06T00:00:00"/>
    <x v="4"/>
    <x v="1"/>
    <x v="1"/>
    <x v="2"/>
    <s v="May-2005"/>
    <x v="5"/>
    <x v="58"/>
    <x v="0"/>
    <x v="0"/>
    <x v="1"/>
  </r>
  <r>
    <n v="10101"/>
    <n v="46"/>
    <n v="53.76"/>
    <n v="2472.96"/>
    <s v="Medium"/>
    <n v="741.88800000000003"/>
    <d v="2003-01-09T00:00:00"/>
    <x v="0"/>
    <x v="0"/>
    <x v="7"/>
    <x v="0"/>
    <s v="Jan-2003"/>
    <x v="3"/>
    <x v="72"/>
    <x v="16"/>
    <x v="1"/>
    <x v="0"/>
  </r>
  <r>
    <n v="10110"/>
    <n v="39"/>
    <n v="44.35"/>
    <n v="1729.65"/>
    <s v="Low"/>
    <n v="518.89499999999998"/>
    <d v="2003-03-18T00:00:00"/>
    <x v="0"/>
    <x v="0"/>
    <x v="11"/>
    <x v="0"/>
    <s v="Mar-2003"/>
    <x v="3"/>
    <x v="77"/>
    <x v="6"/>
    <x v="1"/>
    <x v="0"/>
  </r>
  <r>
    <n v="10124"/>
    <n v="22"/>
    <n v="45.25"/>
    <n v="995.5"/>
    <s v="Low"/>
    <n v="298.64999999999998"/>
    <d v="2003-05-21T00:00:00"/>
    <x v="0"/>
    <x v="0"/>
    <x v="1"/>
    <x v="0"/>
    <s v="May-2003"/>
    <x v="3"/>
    <x v="84"/>
    <x v="0"/>
    <x v="0"/>
    <x v="0"/>
  </r>
  <r>
    <n v="10149"/>
    <n v="49"/>
    <n v="49.28"/>
    <n v="2414.7200000000003"/>
    <s v="Medium"/>
    <n v="724.41600000000005"/>
    <d v="2003-09-12T00:00:00"/>
    <x v="0"/>
    <x v="0"/>
    <x v="10"/>
    <x v="0"/>
    <s v="Sep-2003"/>
    <x v="3"/>
    <x v="82"/>
    <x v="0"/>
    <x v="0"/>
    <x v="0"/>
  </r>
  <r>
    <n v="10162"/>
    <n v="43"/>
    <n v="36.29"/>
    <n v="1560.47"/>
    <s v="Low"/>
    <n v="468.14099999999996"/>
    <d v="2003-10-18T00:00:00"/>
    <x v="0"/>
    <x v="0"/>
    <x v="4"/>
    <x v="0"/>
    <s v="Oct-2003"/>
    <x v="3"/>
    <x v="4"/>
    <x v="0"/>
    <x v="0"/>
    <x v="0"/>
  </r>
  <r>
    <n v="10173"/>
    <n v="27"/>
    <n v="41.22"/>
    <n v="1112.94"/>
    <s v="Low"/>
    <n v="333.88200000000001"/>
    <d v="2003-11-05T00:00:00"/>
    <x v="0"/>
    <x v="0"/>
    <x v="5"/>
    <x v="0"/>
    <s v="Nov-2003"/>
    <x v="3"/>
    <x v="86"/>
    <x v="12"/>
    <x v="1"/>
    <x v="0"/>
  </r>
  <r>
    <n v="10182"/>
    <n v="31"/>
    <n v="36.74"/>
    <n v="1138.94"/>
    <s v="Low"/>
    <n v="341.68200000000002"/>
    <d v="2003-11-12T00:00:00"/>
    <x v="0"/>
    <x v="0"/>
    <x v="5"/>
    <x v="0"/>
    <s v="Nov-2003"/>
    <x v="3"/>
    <x v="39"/>
    <x v="0"/>
    <x v="0"/>
    <x v="0"/>
  </r>
  <r>
    <n v="10193"/>
    <n v="20"/>
    <n v="50.62"/>
    <n v="1012.4"/>
    <s v="Low"/>
    <n v="303.71999999999997"/>
    <d v="2003-11-21T00:00:00"/>
    <x v="0"/>
    <x v="0"/>
    <x v="5"/>
    <x v="0"/>
    <s v="Nov-2003"/>
    <x v="3"/>
    <x v="87"/>
    <x v="3"/>
    <x v="2"/>
    <x v="0"/>
  </r>
  <r>
    <n v="10205"/>
    <n v="24"/>
    <n v="38.08"/>
    <n v="913.92"/>
    <s v="Low"/>
    <n v="274.17599999999999"/>
    <d v="2003-12-03T00:00:00"/>
    <x v="0"/>
    <x v="0"/>
    <x v="6"/>
    <x v="0"/>
    <s v="Dec-2003"/>
    <x v="3"/>
    <x v="23"/>
    <x v="7"/>
    <x v="1"/>
    <x v="0"/>
  </r>
  <r>
    <n v="10214"/>
    <n v="49"/>
    <n v="47.94"/>
    <n v="2349.06"/>
    <s v="Medium"/>
    <n v="704.71799999999996"/>
    <d v="2004-01-26T00:00:00"/>
    <x v="0"/>
    <x v="0"/>
    <x v="7"/>
    <x v="1"/>
    <s v="Jan-2004"/>
    <x v="3"/>
    <x v="25"/>
    <x v="7"/>
    <x v="1"/>
    <x v="0"/>
  </r>
  <r>
    <n v="10227"/>
    <n v="24"/>
    <n v="48.38"/>
    <n v="1161.1200000000001"/>
    <s v="Low"/>
    <n v="348.33600000000001"/>
    <d v="2004-03-02T00:00:00"/>
    <x v="0"/>
    <x v="0"/>
    <x v="11"/>
    <x v="1"/>
    <s v="Mar-2004"/>
    <x v="3"/>
    <x v="30"/>
    <x v="1"/>
    <x v="1"/>
    <x v="0"/>
  </r>
  <r>
    <n v="10244"/>
    <n v="39"/>
    <n v="45.25"/>
    <n v="1764.75"/>
    <s v="Low"/>
    <n v="529.42499999999995"/>
    <d v="2004-04-29T00:00:00"/>
    <x v="0"/>
    <x v="0"/>
    <x v="8"/>
    <x v="1"/>
    <s v="Apr-2004"/>
    <x v="3"/>
    <x v="23"/>
    <x v="7"/>
    <x v="1"/>
    <x v="0"/>
  </r>
  <r>
    <n v="10255"/>
    <n v="37"/>
    <n v="45.7"/>
    <n v="1690.9"/>
    <s v="Low"/>
    <n v="507.27"/>
    <d v="2004-06-04T00:00:00"/>
    <x v="0"/>
    <x v="0"/>
    <x v="9"/>
    <x v="1"/>
    <s v="Jun-2004"/>
    <x v="3"/>
    <x v="83"/>
    <x v="1"/>
    <x v="1"/>
    <x v="0"/>
  </r>
  <r>
    <n v="10280"/>
    <n v="45"/>
    <n v="47.49"/>
    <n v="2137.0500000000002"/>
    <s v="Medium"/>
    <n v="641.11500000000001"/>
    <d v="2004-08-17T00:00:00"/>
    <x v="0"/>
    <x v="0"/>
    <x v="3"/>
    <x v="1"/>
    <s v="Aug-2004"/>
    <x v="3"/>
    <x v="36"/>
    <x v="12"/>
    <x v="1"/>
    <x v="0"/>
  </r>
  <r>
    <n v="10289"/>
    <n v="45"/>
    <n v="48.38"/>
    <n v="2177.1"/>
    <s v="Medium"/>
    <n v="653.13"/>
    <d v="2004-09-03T00:00:00"/>
    <x v="0"/>
    <x v="0"/>
    <x v="10"/>
    <x v="1"/>
    <s v="Sep-2004"/>
    <x v="3"/>
    <x v="7"/>
    <x v="2"/>
    <x v="1"/>
    <x v="0"/>
  </r>
  <r>
    <n v="10304"/>
    <n v="44"/>
    <n v="39.42"/>
    <n v="1734.48"/>
    <s v="Low"/>
    <n v="520.34399999999994"/>
    <d v="2004-10-11T00:00:00"/>
    <x v="0"/>
    <x v="0"/>
    <x v="4"/>
    <x v="1"/>
    <s v="Oct-2004"/>
    <x v="3"/>
    <x v="38"/>
    <x v="1"/>
    <x v="1"/>
    <x v="0"/>
  </r>
  <r>
    <n v="10312"/>
    <n v="23"/>
    <n v="37.630000000000003"/>
    <n v="865.49"/>
    <s v="Low"/>
    <n v="259.64699999999999"/>
    <d v="2004-10-21T00:00:00"/>
    <x v="0"/>
    <x v="0"/>
    <x v="4"/>
    <x v="1"/>
    <s v="Oct-2004"/>
    <x v="3"/>
    <x v="39"/>
    <x v="0"/>
    <x v="0"/>
    <x v="0"/>
  </r>
  <r>
    <n v="10322"/>
    <n v="30"/>
    <n v="100"/>
    <n v="3000"/>
    <s v="Medium"/>
    <n v="900"/>
    <d v="2004-11-04T00:00:00"/>
    <x v="0"/>
    <x v="0"/>
    <x v="5"/>
    <x v="1"/>
    <s v="Nov-2004"/>
    <x v="3"/>
    <x v="40"/>
    <x v="0"/>
    <x v="0"/>
    <x v="1"/>
  </r>
  <r>
    <n v="10332"/>
    <n v="26"/>
    <n v="85.52"/>
    <n v="2223.52"/>
    <s v="Medium"/>
    <n v="667.05599999999993"/>
    <d v="2004-11-17T00:00:00"/>
    <x v="0"/>
    <x v="0"/>
    <x v="5"/>
    <x v="1"/>
    <s v="Nov-2004"/>
    <x v="3"/>
    <x v="77"/>
    <x v="6"/>
    <x v="1"/>
    <x v="0"/>
  </r>
  <r>
    <n v="10345"/>
    <n v="43"/>
    <n v="53.76"/>
    <n v="2311.6799999999998"/>
    <s v="Medium"/>
    <n v="693.50399999999991"/>
    <d v="2004-11-25T00:00:00"/>
    <x v="0"/>
    <x v="0"/>
    <x v="5"/>
    <x v="1"/>
    <s v="Nov-2004"/>
    <x v="3"/>
    <x v="46"/>
    <x v="1"/>
    <x v="1"/>
    <x v="0"/>
  </r>
  <r>
    <n v="10356"/>
    <n v="26"/>
    <n v="31.86"/>
    <n v="828.36"/>
    <s v="Low"/>
    <n v="248.50799999999998"/>
    <d v="2004-12-09T00:00:00"/>
    <x v="0"/>
    <x v="0"/>
    <x v="6"/>
    <x v="1"/>
    <s v="Dec-2004"/>
    <x v="3"/>
    <x v="2"/>
    <x v="1"/>
    <x v="1"/>
    <x v="0"/>
  </r>
  <r>
    <n v="10367"/>
    <n v="28"/>
    <n v="30.59"/>
    <n v="856.52"/>
    <s v="Low"/>
    <n v="256.95599999999996"/>
    <d v="2005-01-12T00:00:00"/>
    <x v="5"/>
    <x v="1"/>
    <x v="7"/>
    <x v="2"/>
    <s v="Jan-2005"/>
    <x v="3"/>
    <x v="3"/>
    <x v="0"/>
    <x v="0"/>
    <x v="0"/>
  </r>
  <r>
    <n v="10380"/>
    <n v="27"/>
    <n v="68.349999999999994"/>
    <n v="1845.4499999999998"/>
    <s v="Low"/>
    <n v="553.63499999999988"/>
    <d v="2005-02-16T00:00:00"/>
    <x v="0"/>
    <x v="0"/>
    <x v="0"/>
    <x v="2"/>
    <s v="Feb-2005"/>
    <x v="3"/>
    <x v="23"/>
    <x v="7"/>
    <x v="1"/>
    <x v="0"/>
  </r>
  <r>
    <n v="10391"/>
    <n v="24"/>
    <n v="100"/>
    <n v="2400"/>
    <s v="Medium"/>
    <n v="720"/>
    <d v="2005-03-09T00:00:00"/>
    <x v="0"/>
    <x v="0"/>
    <x v="11"/>
    <x v="2"/>
    <s v="Mar-2005"/>
    <x v="3"/>
    <x v="42"/>
    <x v="3"/>
    <x v="2"/>
    <x v="1"/>
  </r>
  <r>
    <n v="10421"/>
    <n v="40"/>
    <n v="45.7"/>
    <n v="1828"/>
    <s v="Low"/>
    <n v="548.4"/>
    <d v="2005-05-29T00:00:00"/>
    <x v="2"/>
    <x v="1"/>
    <x v="1"/>
    <x v="2"/>
    <s v="May-2005"/>
    <x v="3"/>
    <x v="39"/>
    <x v="0"/>
    <x v="0"/>
    <x v="0"/>
  </r>
  <r>
    <n v="10103"/>
    <n v="36"/>
    <n v="100"/>
    <n v="3600"/>
    <s v="Medium"/>
    <n v="1080"/>
    <d v="2003-01-29T00:00:00"/>
    <x v="0"/>
    <x v="0"/>
    <x v="7"/>
    <x v="0"/>
    <s v="Jan-2003"/>
    <x v="2"/>
    <x v="17"/>
    <x v="2"/>
    <x v="1"/>
    <x v="1"/>
  </r>
  <r>
    <n v="10114"/>
    <n v="21"/>
    <n v="100"/>
    <n v="2100"/>
    <s v="Medium"/>
    <n v="630"/>
    <d v="2003-04-01T00:00:00"/>
    <x v="0"/>
    <x v="0"/>
    <x v="8"/>
    <x v="0"/>
    <s v="Apr-2003"/>
    <x v="2"/>
    <x v="62"/>
    <x v="1"/>
    <x v="1"/>
    <x v="0"/>
  </r>
  <r>
    <n v="10126"/>
    <n v="27"/>
    <n v="100"/>
    <n v="2700"/>
    <s v="Medium"/>
    <n v="810"/>
    <d v="2003-05-28T00:00:00"/>
    <x v="0"/>
    <x v="0"/>
    <x v="1"/>
    <x v="0"/>
    <s v="May-2003"/>
    <x v="2"/>
    <x v="25"/>
    <x v="7"/>
    <x v="1"/>
    <x v="1"/>
  </r>
  <r>
    <n v="10140"/>
    <n v="47"/>
    <n v="100"/>
    <n v="4700"/>
    <s v="Medium"/>
    <n v="1410"/>
    <d v="2003-07-24T00:00:00"/>
    <x v="0"/>
    <x v="0"/>
    <x v="2"/>
    <x v="0"/>
    <s v="Jul-2003"/>
    <x v="2"/>
    <x v="5"/>
    <x v="0"/>
    <x v="0"/>
    <x v="1"/>
  </r>
  <r>
    <n v="10151"/>
    <n v="42"/>
    <n v="100"/>
    <n v="4200"/>
    <s v="Medium"/>
    <n v="1260"/>
    <d v="2003-09-21T00:00:00"/>
    <x v="0"/>
    <x v="0"/>
    <x v="10"/>
    <x v="0"/>
    <s v="Sep-2003"/>
    <x v="2"/>
    <x v="60"/>
    <x v="4"/>
    <x v="1"/>
    <x v="1"/>
  </r>
  <r>
    <n v="10165"/>
    <n v="32"/>
    <n v="100"/>
    <n v="3200"/>
    <s v="Medium"/>
    <n v="960"/>
    <d v="2003-10-22T00:00:00"/>
    <x v="0"/>
    <x v="0"/>
    <x v="4"/>
    <x v="0"/>
    <s v="Oct-2003"/>
    <x v="2"/>
    <x v="26"/>
    <x v="9"/>
    <x v="3"/>
    <x v="1"/>
  </r>
  <r>
    <n v="10175"/>
    <n v="28"/>
    <n v="100"/>
    <n v="2800"/>
    <s v="Medium"/>
    <n v="840"/>
    <d v="2003-11-06T00:00:00"/>
    <x v="0"/>
    <x v="0"/>
    <x v="5"/>
    <x v="0"/>
    <s v="Nov-2003"/>
    <x v="2"/>
    <x v="49"/>
    <x v="6"/>
    <x v="1"/>
    <x v="0"/>
  </r>
  <r>
    <n v="10184"/>
    <n v="24"/>
    <n v="100"/>
    <n v="2400"/>
    <s v="Medium"/>
    <n v="720"/>
    <d v="2003-11-14T00:00:00"/>
    <x v="0"/>
    <x v="0"/>
    <x v="5"/>
    <x v="0"/>
    <s v="Nov-2003"/>
    <x v="2"/>
    <x v="81"/>
    <x v="7"/>
    <x v="1"/>
    <x v="1"/>
  </r>
  <r>
    <n v="10194"/>
    <n v="49"/>
    <n v="100"/>
    <n v="4900"/>
    <s v="Medium"/>
    <n v="1470"/>
    <d v="2003-11-25T00:00:00"/>
    <x v="0"/>
    <x v="0"/>
    <x v="5"/>
    <x v="0"/>
    <s v="Nov-2003"/>
    <x v="2"/>
    <x v="30"/>
    <x v="1"/>
    <x v="1"/>
    <x v="1"/>
  </r>
  <r>
    <n v="10207"/>
    <n v="46"/>
    <n v="100"/>
    <n v="4600"/>
    <s v="Medium"/>
    <n v="1380"/>
    <d v="2003-12-09T00:00:00"/>
    <x v="0"/>
    <x v="0"/>
    <x v="6"/>
    <x v="0"/>
    <s v="Dec-2003"/>
    <x v="2"/>
    <x v="64"/>
    <x v="0"/>
    <x v="0"/>
    <x v="1"/>
  </r>
  <r>
    <n v="10217"/>
    <n v="28"/>
    <n v="100"/>
    <n v="2800"/>
    <s v="Medium"/>
    <n v="840"/>
    <d v="2004-02-04T00:00:00"/>
    <x v="0"/>
    <x v="0"/>
    <x v="0"/>
    <x v="1"/>
    <s v="Feb-2004"/>
    <x v="2"/>
    <x v="65"/>
    <x v="9"/>
    <x v="2"/>
    <x v="1"/>
  </r>
  <r>
    <n v="10229"/>
    <n v="48"/>
    <n v="100"/>
    <n v="4800"/>
    <s v="Medium"/>
    <n v="1440"/>
    <d v="2004-03-11T00:00:00"/>
    <x v="0"/>
    <x v="0"/>
    <x v="11"/>
    <x v="1"/>
    <s v="Mar-2004"/>
    <x v="2"/>
    <x v="39"/>
    <x v="0"/>
    <x v="0"/>
    <x v="1"/>
  </r>
  <r>
    <n v="10246"/>
    <n v="29"/>
    <n v="100"/>
    <n v="2900"/>
    <s v="Medium"/>
    <n v="870"/>
    <d v="2004-05-05T00:00:00"/>
    <x v="0"/>
    <x v="0"/>
    <x v="1"/>
    <x v="1"/>
    <s v="May-2004"/>
    <x v="2"/>
    <x v="23"/>
    <x v="7"/>
    <x v="1"/>
    <x v="1"/>
  </r>
  <r>
    <n v="10259"/>
    <n v="47"/>
    <n v="100"/>
    <n v="4700"/>
    <s v="Medium"/>
    <n v="1410"/>
    <d v="2004-06-15T00:00:00"/>
    <x v="0"/>
    <x v="0"/>
    <x v="9"/>
    <x v="1"/>
    <s v="Jun-2004"/>
    <x v="2"/>
    <x v="65"/>
    <x v="9"/>
    <x v="2"/>
    <x v="1"/>
  </r>
  <r>
    <n v="10271"/>
    <n v="43"/>
    <n v="100"/>
    <n v="4300"/>
    <s v="Medium"/>
    <n v="1290"/>
    <d v="2004-07-20T00:00:00"/>
    <x v="0"/>
    <x v="0"/>
    <x v="2"/>
    <x v="1"/>
    <s v="Jul-2004"/>
    <x v="2"/>
    <x v="39"/>
    <x v="0"/>
    <x v="0"/>
    <x v="1"/>
  </r>
  <r>
    <n v="10281"/>
    <n v="25"/>
    <n v="100"/>
    <n v="2500"/>
    <s v="Medium"/>
    <n v="750"/>
    <d v="2004-08-19T00:00:00"/>
    <x v="0"/>
    <x v="0"/>
    <x v="3"/>
    <x v="1"/>
    <s v="Aug-2004"/>
    <x v="2"/>
    <x v="18"/>
    <x v="0"/>
    <x v="0"/>
    <x v="0"/>
  </r>
  <r>
    <n v="10291"/>
    <n v="48"/>
    <n v="100"/>
    <n v="4800"/>
    <s v="Medium"/>
    <n v="1440"/>
    <d v="2004-09-08T00:00:00"/>
    <x v="0"/>
    <x v="0"/>
    <x v="10"/>
    <x v="1"/>
    <s v="Sep-2004"/>
    <x v="2"/>
    <x v="37"/>
    <x v="8"/>
    <x v="1"/>
    <x v="1"/>
  </r>
  <r>
    <n v="10305"/>
    <n v="24"/>
    <n v="100"/>
    <n v="2400"/>
    <s v="Medium"/>
    <n v="720"/>
    <d v="2004-10-13T00:00:00"/>
    <x v="0"/>
    <x v="0"/>
    <x v="4"/>
    <x v="1"/>
    <s v="Oct-2004"/>
    <x v="2"/>
    <x v="15"/>
    <x v="0"/>
    <x v="0"/>
    <x v="1"/>
  </r>
  <r>
    <n v="10313"/>
    <n v="42"/>
    <n v="100"/>
    <n v="4200"/>
    <s v="Medium"/>
    <n v="1260"/>
    <d v="2004-10-22T00:00:00"/>
    <x v="0"/>
    <x v="0"/>
    <x v="4"/>
    <x v="1"/>
    <s v="Oct-2004"/>
    <x v="2"/>
    <x v="31"/>
    <x v="10"/>
    <x v="0"/>
    <x v="1"/>
  </r>
  <r>
    <n v="10324"/>
    <n v="31"/>
    <n v="100"/>
    <n v="3100"/>
    <s v="Medium"/>
    <n v="930"/>
    <d v="2004-11-05T00:00:00"/>
    <x v="0"/>
    <x v="0"/>
    <x v="5"/>
    <x v="1"/>
    <s v="Nov-2004"/>
    <x v="2"/>
    <x v="11"/>
    <x v="0"/>
    <x v="0"/>
    <x v="1"/>
  </r>
  <r>
    <n v="10334"/>
    <n v="42"/>
    <n v="100"/>
    <n v="4200"/>
    <s v="Medium"/>
    <n v="1260"/>
    <d v="2004-11-19T00:00:00"/>
    <x v="4"/>
    <x v="1"/>
    <x v="5"/>
    <x v="1"/>
    <s v="Nov-2004"/>
    <x v="2"/>
    <x v="24"/>
    <x v="8"/>
    <x v="1"/>
    <x v="1"/>
  </r>
  <r>
    <n v="10348"/>
    <n v="37"/>
    <n v="100"/>
    <n v="3700"/>
    <s v="Medium"/>
    <n v="1110"/>
    <d v="2004-11-01T00:00:00"/>
    <x v="0"/>
    <x v="0"/>
    <x v="5"/>
    <x v="1"/>
    <s v="Nov-2004"/>
    <x v="2"/>
    <x v="25"/>
    <x v="7"/>
    <x v="1"/>
    <x v="1"/>
  </r>
  <r>
    <n v="10358"/>
    <n v="41"/>
    <n v="100"/>
    <n v="4100"/>
    <s v="Medium"/>
    <n v="1230"/>
    <d v="2004-12-10T00:00:00"/>
    <x v="0"/>
    <x v="0"/>
    <x v="6"/>
    <x v="1"/>
    <s v="Dec-2004"/>
    <x v="2"/>
    <x v="23"/>
    <x v="7"/>
    <x v="1"/>
    <x v="1"/>
  </r>
  <r>
    <n v="10371"/>
    <n v="20"/>
    <n v="100"/>
    <n v="2000"/>
    <s v="Medium"/>
    <n v="600"/>
    <d v="2005-01-23T00:00:00"/>
    <x v="0"/>
    <x v="0"/>
    <x v="7"/>
    <x v="2"/>
    <s v="Jan-2005"/>
    <x v="2"/>
    <x v="39"/>
    <x v="0"/>
    <x v="0"/>
    <x v="1"/>
  </r>
  <r>
    <n v="10382"/>
    <n v="20"/>
    <n v="100"/>
    <n v="2000"/>
    <s v="Medium"/>
    <n v="600"/>
    <d v="2005-02-17T00:00:00"/>
    <x v="0"/>
    <x v="0"/>
    <x v="0"/>
    <x v="2"/>
    <s v="Feb-2005"/>
    <x v="2"/>
    <x v="39"/>
    <x v="0"/>
    <x v="0"/>
    <x v="0"/>
  </r>
  <r>
    <n v="10412"/>
    <n v="70"/>
    <n v="100"/>
    <n v="7000"/>
    <s v="High"/>
    <n v="2100"/>
    <d v="2005-05-03T00:00:00"/>
    <x v="0"/>
    <x v="0"/>
    <x v="1"/>
    <x v="2"/>
    <s v="May-2005"/>
    <x v="2"/>
    <x v="23"/>
    <x v="7"/>
    <x v="1"/>
    <x v="2"/>
  </r>
  <r>
    <n v="10425"/>
    <n v="49"/>
    <n v="100"/>
    <n v="4900"/>
    <s v="Medium"/>
    <n v="1470"/>
    <d v="2005-05-31T00:00:00"/>
    <x v="2"/>
    <x v="1"/>
    <x v="1"/>
    <x v="2"/>
    <s v="May-2005"/>
    <x v="2"/>
    <x v="14"/>
    <x v="1"/>
    <x v="1"/>
    <x v="1"/>
  </r>
  <r>
    <n v="10108"/>
    <n v="35"/>
    <n v="58.87"/>
    <n v="2060.4499999999998"/>
    <s v="Medium"/>
    <n v="618.13499999999988"/>
    <d v="2003-03-03T00:00:00"/>
    <x v="0"/>
    <x v="0"/>
    <x v="11"/>
    <x v="0"/>
    <s v="Mar-2003"/>
    <x v="0"/>
    <x v="66"/>
    <x v="15"/>
    <x v="3"/>
    <x v="0"/>
  </r>
  <r>
    <n v="10121"/>
    <n v="32"/>
    <n v="76.88"/>
    <n v="2460.16"/>
    <s v="Medium"/>
    <n v="738.04799999999989"/>
    <d v="2003-05-07T00:00:00"/>
    <x v="0"/>
    <x v="0"/>
    <x v="1"/>
    <x v="0"/>
    <s v="May-2003"/>
    <x v="0"/>
    <x v="1"/>
    <x v="1"/>
    <x v="1"/>
    <x v="0"/>
  </r>
  <r>
    <n v="10135"/>
    <n v="29"/>
    <n v="61.64"/>
    <n v="1787.56"/>
    <s v="Low"/>
    <n v="536.26799999999992"/>
    <d v="2003-07-02T00:00:00"/>
    <x v="0"/>
    <x v="0"/>
    <x v="2"/>
    <x v="0"/>
    <s v="Jul-2003"/>
    <x v="0"/>
    <x v="39"/>
    <x v="0"/>
    <x v="0"/>
    <x v="0"/>
  </r>
  <r>
    <n v="10145"/>
    <n v="27"/>
    <n v="60.95"/>
    <n v="1645.65"/>
    <s v="Low"/>
    <n v="493.69499999999999"/>
    <d v="2003-08-25T00:00:00"/>
    <x v="0"/>
    <x v="0"/>
    <x v="3"/>
    <x v="0"/>
    <s v="Aug-2003"/>
    <x v="0"/>
    <x v="3"/>
    <x v="0"/>
    <x v="0"/>
    <x v="0"/>
  </r>
  <r>
    <n v="10159"/>
    <n v="27"/>
    <n v="80.34"/>
    <n v="2169.1800000000003"/>
    <s v="Medium"/>
    <n v="650.75400000000002"/>
    <d v="2003-10-10T00:00:00"/>
    <x v="0"/>
    <x v="0"/>
    <x v="4"/>
    <x v="0"/>
    <s v="Oct-2003"/>
    <x v="0"/>
    <x v="4"/>
    <x v="0"/>
    <x v="0"/>
    <x v="0"/>
  </r>
  <r>
    <n v="10169"/>
    <n v="38"/>
    <n v="74.11"/>
    <n v="2816.18"/>
    <s v="Medium"/>
    <n v="844.85399999999993"/>
    <d v="2003-11-04T00:00:00"/>
    <x v="0"/>
    <x v="0"/>
    <x v="5"/>
    <x v="0"/>
    <s v="Nov-2003"/>
    <x v="0"/>
    <x v="42"/>
    <x v="3"/>
    <x v="2"/>
    <x v="0"/>
  </r>
  <r>
    <n v="10180"/>
    <n v="35"/>
    <n v="72.03"/>
    <n v="2521.0500000000002"/>
    <s v="Medium"/>
    <n v="756.31500000000005"/>
    <d v="2003-11-11T00:00:00"/>
    <x v="0"/>
    <x v="0"/>
    <x v="5"/>
    <x v="0"/>
    <s v="Nov-2003"/>
    <x v="0"/>
    <x v="6"/>
    <x v="1"/>
    <x v="1"/>
    <x v="0"/>
  </r>
  <r>
    <n v="10190"/>
    <n v="42"/>
    <n v="76.19"/>
    <n v="3199.98"/>
    <s v="Medium"/>
    <n v="959.99399999999991"/>
    <d v="2003-11-19T00:00:00"/>
    <x v="0"/>
    <x v="0"/>
    <x v="5"/>
    <x v="0"/>
    <s v="Nov-2003"/>
    <x v="0"/>
    <x v="23"/>
    <x v="7"/>
    <x v="1"/>
    <x v="1"/>
  </r>
  <r>
    <n v="10211"/>
    <n v="21"/>
    <n v="63.72"/>
    <n v="1338.12"/>
    <s v="Low"/>
    <n v="401.43599999999998"/>
    <d v="2004-01-15T00:00:00"/>
    <x v="0"/>
    <x v="0"/>
    <x v="7"/>
    <x v="1"/>
    <s v="Jan-2004"/>
    <x v="0"/>
    <x v="9"/>
    <x v="1"/>
    <x v="1"/>
    <x v="0"/>
  </r>
  <r>
    <n v="10224"/>
    <n v="37"/>
    <n v="80.34"/>
    <n v="2972.58"/>
    <s v="Medium"/>
    <n v="891.774"/>
    <d v="2004-02-21T00:00:00"/>
    <x v="0"/>
    <x v="0"/>
    <x v="0"/>
    <x v="1"/>
    <s v="Feb-2004"/>
    <x v="0"/>
    <x v="6"/>
    <x v="1"/>
    <x v="1"/>
    <x v="0"/>
  </r>
  <r>
    <n v="10237"/>
    <n v="26"/>
    <n v="79.650000000000006"/>
    <n v="2070.9"/>
    <s v="Medium"/>
    <n v="621.27"/>
    <d v="2004-04-05T00:00:00"/>
    <x v="0"/>
    <x v="0"/>
    <x v="8"/>
    <x v="1"/>
    <s v="Apr-2004"/>
    <x v="0"/>
    <x v="11"/>
    <x v="0"/>
    <x v="0"/>
    <x v="0"/>
  </r>
  <r>
    <n v="10252"/>
    <n v="47"/>
    <n v="65.8"/>
    <n v="3092.6"/>
    <s v="Medium"/>
    <n v="927.78"/>
    <d v="2004-05-26T00:00:00"/>
    <x v="0"/>
    <x v="0"/>
    <x v="1"/>
    <x v="1"/>
    <s v="May-2004"/>
    <x v="0"/>
    <x v="9"/>
    <x v="1"/>
    <x v="1"/>
    <x v="1"/>
  </r>
  <r>
    <n v="10264"/>
    <n v="37"/>
    <n v="65.099999999999994"/>
    <n v="2408.6999999999998"/>
    <s v="Medium"/>
    <n v="722.6099999999999"/>
    <d v="2004-06-30T00:00:00"/>
    <x v="0"/>
    <x v="0"/>
    <x v="9"/>
    <x v="1"/>
    <s v="Jun-2004"/>
    <x v="0"/>
    <x v="58"/>
    <x v="0"/>
    <x v="0"/>
    <x v="0"/>
  </r>
  <r>
    <n v="10276"/>
    <n v="46"/>
    <n v="75.489999999999995"/>
    <n v="3472.54"/>
    <s v="Medium"/>
    <n v="1041.7619999999999"/>
    <d v="2004-08-02T00:00:00"/>
    <x v="0"/>
    <x v="0"/>
    <x v="3"/>
    <x v="1"/>
    <s v="Aug-2004"/>
    <x v="0"/>
    <x v="71"/>
    <x v="0"/>
    <x v="0"/>
    <x v="1"/>
  </r>
  <r>
    <n v="10285"/>
    <n v="38"/>
    <n v="59.56"/>
    <n v="2263.2800000000002"/>
    <s v="Medium"/>
    <n v="678.98400000000004"/>
    <d v="2004-08-27T00:00:00"/>
    <x v="0"/>
    <x v="0"/>
    <x v="3"/>
    <x v="1"/>
    <s v="Aug-2004"/>
    <x v="0"/>
    <x v="15"/>
    <x v="0"/>
    <x v="0"/>
    <x v="0"/>
  </r>
  <r>
    <n v="10299"/>
    <n v="33"/>
    <n v="66.489999999999995"/>
    <n v="2194.1699999999996"/>
    <s v="Medium"/>
    <n v="658.25099999999986"/>
    <d v="2004-09-30T00:00:00"/>
    <x v="0"/>
    <x v="0"/>
    <x v="10"/>
    <x v="1"/>
    <s v="Sep-2004"/>
    <x v="0"/>
    <x v="16"/>
    <x v="4"/>
    <x v="1"/>
    <x v="0"/>
  </r>
  <r>
    <n v="10309"/>
    <n v="24"/>
    <n v="56.1"/>
    <n v="1346.4"/>
    <s v="Low"/>
    <n v="403.92"/>
    <d v="2004-10-15T00:00:00"/>
    <x v="0"/>
    <x v="0"/>
    <x v="4"/>
    <x v="1"/>
    <s v="Oct-2004"/>
    <x v="0"/>
    <x v="17"/>
    <x v="2"/>
    <x v="1"/>
    <x v="0"/>
  </r>
  <r>
    <n v="10319"/>
    <n v="31"/>
    <n v="81.73"/>
    <n v="2533.63"/>
    <s v="Medium"/>
    <n v="760.08900000000006"/>
    <d v="2004-11-03T00:00:00"/>
    <x v="0"/>
    <x v="0"/>
    <x v="5"/>
    <x v="1"/>
    <s v="Nov-2004"/>
    <x v="0"/>
    <x v="79"/>
    <x v="0"/>
    <x v="0"/>
    <x v="0"/>
  </r>
  <r>
    <n v="10330"/>
    <n v="42"/>
    <n v="81.03"/>
    <n v="3403.26"/>
    <s v="Medium"/>
    <n v="1020.9780000000001"/>
    <d v="2004-11-16T00:00:00"/>
    <x v="0"/>
    <x v="0"/>
    <x v="5"/>
    <x v="1"/>
    <s v="Nov-2004"/>
    <x v="0"/>
    <x v="66"/>
    <x v="15"/>
    <x v="3"/>
    <x v="1"/>
  </r>
  <r>
    <n v="10341"/>
    <n v="32"/>
    <n v="100"/>
    <n v="3200"/>
    <s v="Medium"/>
    <n v="960"/>
    <d v="2004-11-24T00:00:00"/>
    <x v="0"/>
    <x v="0"/>
    <x v="5"/>
    <x v="1"/>
    <s v="Nov-2004"/>
    <x v="0"/>
    <x v="19"/>
    <x v="5"/>
    <x v="1"/>
    <x v="1"/>
  </r>
  <r>
    <n v="10355"/>
    <n v="41"/>
    <n v="70.650000000000006"/>
    <n v="2896.65"/>
    <s v="Medium"/>
    <n v="868.995"/>
    <d v="2004-12-07T00:00:00"/>
    <x v="0"/>
    <x v="0"/>
    <x v="6"/>
    <x v="1"/>
    <s v="Dec-2004"/>
    <x v="0"/>
    <x v="23"/>
    <x v="7"/>
    <x v="1"/>
    <x v="0"/>
  </r>
  <r>
    <n v="10363"/>
    <n v="43"/>
    <n v="61.23"/>
    <n v="2632.89"/>
    <s v="Medium"/>
    <n v="789.86699999999996"/>
    <d v="2005-01-06T00:00:00"/>
    <x v="0"/>
    <x v="0"/>
    <x v="7"/>
    <x v="2"/>
    <s v="Jan-2005"/>
    <x v="0"/>
    <x v="73"/>
    <x v="4"/>
    <x v="1"/>
    <x v="0"/>
  </r>
  <r>
    <n v="10375"/>
    <n v="20"/>
    <n v="100"/>
    <n v="2000"/>
    <s v="Medium"/>
    <n v="600"/>
    <d v="2005-02-03T00:00:00"/>
    <x v="0"/>
    <x v="0"/>
    <x v="0"/>
    <x v="2"/>
    <s v="Feb-2005"/>
    <x v="0"/>
    <x v="14"/>
    <x v="1"/>
    <x v="1"/>
    <x v="0"/>
  </r>
  <r>
    <n v="10390"/>
    <n v="35"/>
    <n v="65.13"/>
    <n v="2279.5499999999997"/>
    <s v="Medium"/>
    <n v="683.8649999999999"/>
    <d v="2005-03-04T00:00:00"/>
    <x v="0"/>
    <x v="0"/>
    <x v="11"/>
    <x v="2"/>
    <s v="Mar-2005"/>
    <x v="0"/>
    <x v="39"/>
    <x v="0"/>
    <x v="0"/>
    <x v="0"/>
  </r>
  <r>
    <n v="10403"/>
    <n v="27"/>
    <n v="79.650000000000006"/>
    <n v="2150.5500000000002"/>
    <s v="Medium"/>
    <n v="645.16500000000008"/>
    <d v="2005-04-08T00:00:00"/>
    <x v="0"/>
    <x v="0"/>
    <x v="8"/>
    <x v="2"/>
    <s v="Apr-2005"/>
    <x v="0"/>
    <x v="22"/>
    <x v="6"/>
    <x v="1"/>
    <x v="0"/>
  </r>
  <r>
    <n v="10110"/>
    <n v="43"/>
    <n v="78.150000000000006"/>
    <n v="3360.4500000000003"/>
    <s v="Medium"/>
    <n v="1008.135"/>
    <d v="2003-03-18T00:00:00"/>
    <x v="0"/>
    <x v="0"/>
    <x v="11"/>
    <x v="0"/>
    <s v="Mar-2003"/>
    <x v="1"/>
    <x v="77"/>
    <x v="6"/>
    <x v="1"/>
    <x v="1"/>
  </r>
  <r>
    <n v="10124"/>
    <n v="32"/>
    <n v="72.7"/>
    <n v="2326.4"/>
    <s v="Medium"/>
    <n v="697.92"/>
    <d v="2003-05-21T00:00:00"/>
    <x v="0"/>
    <x v="0"/>
    <x v="1"/>
    <x v="0"/>
    <s v="May-2003"/>
    <x v="1"/>
    <x v="84"/>
    <x v="0"/>
    <x v="0"/>
    <x v="0"/>
  </r>
  <r>
    <n v="10148"/>
    <n v="21"/>
    <n v="73.599999999999994"/>
    <n v="1545.6"/>
    <s v="Low"/>
    <n v="463.67999999999995"/>
    <d v="2003-09-11T00:00:00"/>
    <x v="0"/>
    <x v="0"/>
    <x v="10"/>
    <x v="0"/>
    <s v="Sep-2003"/>
    <x v="1"/>
    <x v="42"/>
    <x v="3"/>
    <x v="2"/>
    <x v="0"/>
  </r>
  <r>
    <n v="10161"/>
    <n v="20"/>
    <n v="100"/>
    <n v="2000"/>
    <s v="Medium"/>
    <n v="600"/>
    <d v="2003-10-17T00:00:00"/>
    <x v="0"/>
    <x v="0"/>
    <x v="4"/>
    <x v="0"/>
    <s v="Oct-2003"/>
    <x v="1"/>
    <x v="78"/>
    <x v="13"/>
    <x v="1"/>
    <x v="0"/>
  </r>
  <r>
    <n v="10172"/>
    <n v="22"/>
    <n v="74.510000000000005"/>
    <n v="1639.22"/>
    <s v="Low"/>
    <n v="491.76599999999996"/>
    <d v="2003-11-05T00:00:00"/>
    <x v="0"/>
    <x v="0"/>
    <x v="5"/>
    <x v="0"/>
    <s v="Nov-2003"/>
    <x v="1"/>
    <x v="13"/>
    <x v="0"/>
    <x v="0"/>
    <x v="0"/>
  </r>
  <r>
    <n v="10182"/>
    <n v="36"/>
    <n v="73.599999999999994"/>
    <n v="2649.6"/>
    <s v="Medium"/>
    <n v="794.88"/>
    <d v="2003-11-12T00:00:00"/>
    <x v="0"/>
    <x v="0"/>
    <x v="5"/>
    <x v="0"/>
    <s v="Nov-2003"/>
    <x v="1"/>
    <x v="39"/>
    <x v="0"/>
    <x v="0"/>
    <x v="0"/>
  </r>
  <r>
    <n v="10192"/>
    <n v="46"/>
    <n v="83.6"/>
    <n v="3845.6"/>
    <s v="Medium"/>
    <n v="1153.6799999999998"/>
    <d v="2003-11-20T00:00:00"/>
    <x v="0"/>
    <x v="0"/>
    <x v="5"/>
    <x v="0"/>
    <s v="Nov-2003"/>
    <x v="1"/>
    <x v="40"/>
    <x v="0"/>
    <x v="0"/>
    <x v="1"/>
  </r>
  <r>
    <n v="10204"/>
    <n v="47"/>
    <n v="96.32"/>
    <n v="4527.04"/>
    <s v="Medium"/>
    <n v="1358.1119999999999"/>
    <d v="2003-12-02T00:00:00"/>
    <x v="0"/>
    <x v="0"/>
    <x v="6"/>
    <x v="0"/>
    <s v="Dec-2003"/>
    <x v="1"/>
    <x v="74"/>
    <x v="0"/>
    <x v="0"/>
    <x v="1"/>
  </r>
  <r>
    <n v="10212"/>
    <n v="45"/>
    <n v="88.14"/>
    <n v="3966.3"/>
    <s v="Medium"/>
    <n v="1189.8900000000001"/>
    <d v="2004-01-16T00:00:00"/>
    <x v="0"/>
    <x v="0"/>
    <x v="7"/>
    <x v="1"/>
    <s v="Jan-2004"/>
    <x v="1"/>
    <x v="23"/>
    <x v="7"/>
    <x v="1"/>
    <x v="1"/>
  </r>
  <r>
    <n v="10227"/>
    <n v="47"/>
    <n v="88.14"/>
    <n v="4142.58"/>
    <s v="Medium"/>
    <n v="1242.7739999999999"/>
    <d v="2004-03-02T00:00:00"/>
    <x v="0"/>
    <x v="0"/>
    <x v="11"/>
    <x v="1"/>
    <s v="Mar-2004"/>
    <x v="1"/>
    <x v="30"/>
    <x v="1"/>
    <x v="1"/>
    <x v="1"/>
  </r>
  <r>
    <n v="10241"/>
    <n v="47"/>
    <n v="94.5"/>
    <n v="4441.5"/>
    <s v="Medium"/>
    <n v="1332.45"/>
    <d v="2004-04-13T00:00:00"/>
    <x v="0"/>
    <x v="0"/>
    <x v="8"/>
    <x v="1"/>
    <s v="Apr-2004"/>
    <x v="1"/>
    <x v="83"/>
    <x v="1"/>
    <x v="1"/>
    <x v="1"/>
  </r>
  <r>
    <n v="10267"/>
    <n v="38"/>
    <n v="87.24"/>
    <n v="3315.12"/>
    <s v="Medium"/>
    <n v="994.53599999999994"/>
    <d v="2004-07-07T00:00:00"/>
    <x v="0"/>
    <x v="0"/>
    <x v="2"/>
    <x v="1"/>
    <s v="Jul-2004"/>
    <x v="1"/>
    <x v="74"/>
    <x v="0"/>
    <x v="0"/>
    <x v="1"/>
  </r>
  <r>
    <n v="10279"/>
    <n v="49"/>
    <n v="79.97"/>
    <n v="3918.5299999999997"/>
    <s v="Medium"/>
    <n v="1175.559"/>
    <d v="2004-08-09T00:00:00"/>
    <x v="0"/>
    <x v="0"/>
    <x v="3"/>
    <x v="1"/>
    <s v="Aug-2004"/>
    <x v="1"/>
    <x v="23"/>
    <x v="7"/>
    <x v="1"/>
    <x v="1"/>
  </r>
  <r>
    <n v="10288"/>
    <n v="35"/>
    <n v="80.87"/>
    <n v="2830.4500000000003"/>
    <s v="Medium"/>
    <n v="849.1350000000001"/>
    <d v="2004-09-01T00:00:00"/>
    <x v="0"/>
    <x v="0"/>
    <x v="10"/>
    <x v="1"/>
    <s v="Sep-2004"/>
    <x v="1"/>
    <x v="65"/>
    <x v="9"/>
    <x v="2"/>
    <x v="0"/>
  </r>
  <r>
    <n v="10302"/>
    <n v="49"/>
    <n v="100"/>
    <n v="4900"/>
    <s v="Medium"/>
    <n v="1470"/>
    <d v="2003-10-06T00:00:00"/>
    <x v="0"/>
    <x v="0"/>
    <x v="4"/>
    <x v="0"/>
    <s v="Oct-2003"/>
    <x v="1"/>
    <x v="22"/>
    <x v="6"/>
    <x v="1"/>
    <x v="1"/>
  </r>
  <r>
    <n v="10311"/>
    <n v="28"/>
    <n v="93.6"/>
    <n v="2620.7999999999997"/>
    <s v="Medium"/>
    <n v="786.2399999999999"/>
    <d v="2004-10-16T00:00:00"/>
    <x v="0"/>
    <x v="0"/>
    <x v="4"/>
    <x v="1"/>
    <s v="Oct-2004"/>
    <x v="1"/>
    <x v="23"/>
    <x v="7"/>
    <x v="1"/>
    <x v="0"/>
  </r>
  <r>
    <n v="10321"/>
    <n v="30"/>
    <n v="72.7"/>
    <n v="2181"/>
    <s v="Medium"/>
    <n v="654.29999999999995"/>
    <d v="2004-11-04T00:00:00"/>
    <x v="0"/>
    <x v="0"/>
    <x v="5"/>
    <x v="1"/>
    <s v="Nov-2004"/>
    <x v="1"/>
    <x v="21"/>
    <x v="0"/>
    <x v="0"/>
    <x v="0"/>
  </r>
  <r>
    <n v="10332"/>
    <n v="39"/>
    <n v="86.72"/>
    <n v="3382.08"/>
    <s v="Medium"/>
    <n v="1014.6239999999999"/>
    <d v="2004-11-17T00:00:00"/>
    <x v="0"/>
    <x v="0"/>
    <x v="5"/>
    <x v="1"/>
    <s v="Nov-2004"/>
    <x v="1"/>
    <x v="77"/>
    <x v="6"/>
    <x v="1"/>
    <x v="1"/>
  </r>
  <r>
    <n v="10346"/>
    <n v="25"/>
    <n v="100"/>
    <n v="2500"/>
    <s v="Medium"/>
    <n v="750"/>
    <d v="2004-11-29T00:00:00"/>
    <x v="0"/>
    <x v="0"/>
    <x v="5"/>
    <x v="1"/>
    <s v="Nov-2004"/>
    <x v="1"/>
    <x v="84"/>
    <x v="0"/>
    <x v="0"/>
    <x v="0"/>
  </r>
  <r>
    <n v="10368"/>
    <n v="40"/>
    <n v="100"/>
    <n v="4000"/>
    <s v="Medium"/>
    <n v="1200"/>
    <d v="2005-01-19T00:00:00"/>
    <x v="0"/>
    <x v="0"/>
    <x v="7"/>
    <x v="2"/>
    <s v="Jan-2005"/>
    <x v="1"/>
    <x v="39"/>
    <x v="0"/>
    <x v="0"/>
    <x v="1"/>
  </r>
  <r>
    <n v="10380"/>
    <n v="36"/>
    <n v="37.5"/>
    <n v="1350"/>
    <s v="Low"/>
    <n v="405"/>
    <d v="2005-02-16T00:00:00"/>
    <x v="0"/>
    <x v="0"/>
    <x v="0"/>
    <x v="2"/>
    <s v="Feb-2005"/>
    <x v="1"/>
    <x v="23"/>
    <x v="7"/>
    <x v="1"/>
    <x v="0"/>
  </r>
  <r>
    <n v="10407"/>
    <n v="76"/>
    <n v="94.5"/>
    <n v="7182"/>
    <s v="High"/>
    <n v="2154.6"/>
    <d v="2005-04-22T00:00:00"/>
    <x v="4"/>
    <x v="1"/>
    <x v="8"/>
    <x v="2"/>
    <s v="Apr-2005"/>
    <x v="1"/>
    <x v="61"/>
    <x v="0"/>
    <x v="0"/>
    <x v="2"/>
  </r>
  <r>
    <n v="10420"/>
    <n v="39"/>
    <n v="100"/>
    <n v="3900"/>
    <s v="Medium"/>
    <n v="1170"/>
    <d v="2005-05-29T00:00:00"/>
    <x v="2"/>
    <x v="1"/>
    <x v="1"/>
    <x v="2"/>
    <s v="May-2005"/>
    <x v="1"/>
    <x v="20"/>
    <x v="3"/>
    <x v="2"/>
    <x v="1"/>
  </r>
  <r>
    <n v="10104"/>
    <n v="44"/>
    <n v="39.6"/>
    <n v="1742.4"/>
    <s v="Low"/>
    <n v="522.72"/>
    <d v="2003-01-31T00:00:00"/>
    <x v="0"/>
    <x v="0"/>
    <x v="7"/>
    <x v="0"/>
    <s v="Jan-2003"/>
    <x v="1"/>
    <x v="23"/>
    <x v="7"/>
    <x v="1"/>
    <x v="0"/>
  </r>
  <r>
    <n v="10114"/>
    <n v="24"/>
    <n v="30.06"/>
    <n v="721.43999999999994"/>
    <s v="Low"/>
    <n v="216.43199999999999"/>
    <d v="2003-04-01T00:00:00"/>
    <x v="0"/>
    <x v="0"/>
    <x v="8"/>
    <x v="0"/>
    <s v="Apr-2003"/>
    <x v="1"/>
    <x v="62"/>
    <x v="1"/>
    <x v="1"/>
    <x v="0"/>
  </r>
  <r>
    <n v="10127"/>
    <n v="39"/>
    <n v="38.19"/>
    <n v="1489.4099999999999"/>
    <s v="Low"/>
    <n v="446.82299999999992"/>
    <d v="2003-06-03T00:00:00"/>
    <x v="0"/>
    <x v="0"/>
    <x v="9"/>
    <x v="0"/>
    <s v="Jun-2003"/>
    <x v="1"/>
    <x v="74"/>
    <x v="0"/>
    <x v="0"/>
    <x v="0"/>
  </r>
  <r>
    <n v="10141"/>
    <n v="21"/>
    <n v="42.43"/>
    <n v="891.03"/>
    <s v="Low"/>
    <n v="267.30899999999997"/>
    <d v="2003-08-01T00:00:00"/>
    <x v="0"/>
    <x v="0"/>
    <x v="3"/>
    <x v="0"/>
    <s v="Aug-2003"/>
    <x v="1"/>
    <x v="73"/>
    <x v="4"/>
    <x v="1"/>
    <x v="0"/>
  </r>
  <r>
    <n v="10151"/>
    <n v="30"/>
    <n v="40.31"/>
    <n v="1209.3000000000002"/>
    <s v="Low"/>
    <n v="362.79"/>
    <d v="2003-09-21T00:00:00"/>
    <x v="0"/>
    <x v="0"/>
    <x v="10"/>
    <x v="0"/>
    <s v="Sep-2003"/>
    <x v="1"/>
    <x v="60"/>
    <x v="4"/>
    <x v="1"/>
    <x v="0"/>
  </r>
  <r>
    <n v="10165"/>
    <n v="27"/>
    <n v="31.82"/>
    <n v="859.14"/>
    <s v="Low"/>
    <n v="257.74199999999996"/>
    <d v="2003-10-22T00:00:00"/>
    <x v="0"/>
    <x v="0"/>
    <x v="4"/>
    <x v="0"/>
    <s v="Oct-2003"/>
    <x v="1"/>
    <x v="26"/>
    <x v="9"/>
    <x v="3"/>
    <x v="0"/>
  </r>
  <r>
    <n v="10175"/>
    <n v="37"/>
    <n v="31.12"/>
    <n v="1151.44"/>
    <s v="Low"/>
    <n v="345.43200000000002"/>
    <d v="2003-11-06T00:00:00"/>
    <x v="0"/>
    <x v="0"/>
    <x v="5"/>
    <x v="0"/>
    <s v="Nov-2003"/>
    <x v="1"/>
    <x v="49"/>
    <x v="6"/>
    <x v="1"/>
    <x v="0"/>
  </r>
  <r>
    <n v="10184"/>
    <n v="42"/>
    <n v="31.82"/>
    <n v="1336.44"/>
    <s v="Low"/>
    <n v="400.93200000000002"/>
    <d v="2003-11-14T00:00:00"/>
    <x v="0"/>
    <x v="0"/>
    <x v="5"/>
    <x v="0"/>
    <s v="Nov-2003"/>
    <x v="1"/>
    <x v="81"/>
    <x v="7"/>
    <x v="1"/>
    <x v="0"/>
  </r>
  <r>
    <n v="10195"/>
    <n v="32"/>
    <n v="28.29"/>
    <n v="905.28"/>
    <s v="Low"/>
    <n v="271.584"/>
    <d v="2003-11-25T00:00:00"/>
    <x v="0"/>
    <x v="0"/>
    <x v="5"/>
    <x v="0"/>
    <s v="Nov-2003"/>
    <x v="1"/>
    <x v="47"/>
    <x v="0"/>
    <x v="0"/>
    <x v="0"/>
  </r>
  <r>
    <n v="10207"/>
    <n v="42"/>
    <n v="29.7"/>
    <n v="1247.3999999999999"/>
    <s v="Low"/>
    <n v="374.21999999999997"/>
    <d v="2003-12-09T00:00:00"/>
    <x v="0"/>
    <x v="0"/>
    <x v="6"/>
    <x v="0"/>
    <s v="Dec-2003"/>
    <x v="1"/>
    <x v="64"/>
    <x v="0"/>
    <x v="0"/>
    <x v="0"/>
  </r>
  <r>
    <n v="10219"/>
    <n v="21"/>
    <n v="40.31"/>
    <n v="846.51"/>
    <s v="Low"/>
    <n v="253.95299999999997"/>
    <d v="2004-02-10T00:00:00"/>
    <x v="0"/>
    <x v="0"/>
    <x v="0"/>
    <x v="1"/>
    <s v="Feb-2004"/>
    <x v="1"/>
    <x v="82"/>
    <x v="0"/>
    <x v="0"/>
    <x v="0"/>
  </r>
  <r>
    <n v="10229"/>
    <n v="33"/>
    <n v="32.880000000000003"/>
    <n v="1085.0400000000002"/>
    <s v="Low"/>
    <n v="325.51200000000006"/>
    <d v="2004-03-11T00:00:00"/>
    <x v="0"/>
    <x v="0"/>
    <x v="11"/>
    <x v="1"/>
    <s v="Mar-2004"/>
    <x v="1"/>
    <x v="39"/>
    <x v="0"/>
    <x v="0"/>
    <x v="0"/>
  </r>
  <r>
    <n v="10246"/>
    <n v="49"/>
    <n v="36.07"/>
    <n v="1767.43"/>
    <s v="Low"/>
    <n v="530.22900000000004"/>
    <d v="2004-05-05T00:00:00"/>
    <x v="0"/>
    <x v="0"/>
    <x v="1"/>
    <x v="1"/>
    <s v="May-2004"/>
    <x v="1"/>
    <x v="23"/>
    <x v="7"/>
    <x v="1"/>
    <x v="0"/>
  </r>
  <r>
    <n v="10259"/>
    <n v="31"/>
    <n v="33.24"/>
    <n v="1030.44"/>
    <s v="Low"/>
    <n v="309.13200000000001"/>
    <d v="2004-06-15T00:00:00"/>
    <x v="0"/>
    <x v="0"/>
    <x v="9"/>
    <x v="1"/>
    <s v="Jun-2004"/>
    <x v="1"/>
    <x v="65"/>
    <x v="9"/>
    <x v="2"/>
    <x v="0"/>
  </r>
  <r>
    <n v="10271"/>
    <n v="38"/>
    <n v="41.72"/>
    <n v="1585.36"/>
    <s v="Low"/>
    <n v="475.60799999999995"/>
    <d v="2004-07-20T00:00:00"/>
    <x v="0"/>
    <x v="0"/>
    <x v="2"/>
    <x v="1"/>
    <s v="Jul-2004"/>
    <x v="1"/>
    <x v="39"/>
    <x v="0"/>
    <x v="0"/>
    <x v="0"/>
  </r>
  <r>
    <n v="10281"/>
    <n v="20"/>
    <n v="40.659999999999997"/>
    <n v="813.19999999999993"/>
    <s v="Low"/>
    <n v="243.95999999999998"/>
    <d v="2004-08-19T00:00:00"/>
    <x v="0"/>
    <x v="0"/>
    <x v="3"/>
    <x v="1"/>
    <s v="Aug-2004"/>
    <x v="1"/>
    <x v="18"/>
    <x v="0"/>
    <x v="0"/>
    <x v="0"/>
  </r>
  <r>
    <n v="10292"/>
    <n v="39"/>
    <n v="30.06"/>
    <n v="1172.3399999999999"/>
    <s v="Low"/>
    <n v="351.70199999999994"/>
    <d v="2004-09-08T00:00:00"/>
    <x v="0"/>
    <x v="0"/>
    <x v="10"/>
    <x v="1"/>
    <s v="Sep-2004"/>
    <x v="1"/>
    <x v="0"/>
    <x v="0"/>
    <x v="0"/>
    <x v="0"/>
  </r>
  <r>
    <n v="10305"/>
    <n v="48"/>
    <n v="31.47"/>
    <n v="1510.56"/>
    <s v="Low"/>
    <n v="453.16799999999995"/>
    <d v="2004-10-13T00:00:00"/>
    <x v="0"/>
    <x v="0"/>
    <x v="4"/>
    <x v="1"/>
    <s v="Oct-2004"/>
    <x v="1"/>
    <x v="15"/>
    <x v="0"/>
    <x v="0"/>
    <x v="0"/>
  </r>
  <r>
    <n v="10314"/>
    <n v="39"/>
    <n v="37.130000000000003"/>
    <n v="1448.0700000000002"/>
    <s v="Low"/>
    <n v="434.42100000000005"/>
    <d v="2004-10-22T00:00:00"/>
    <x v="0"/>
    <x v="0"/>
    <x v="4"/>
    <x v="1"/>
    <s v="Oct-2004"/>
    <x v="1"/>
    <x v="78"/>
    <x v="13"/>
    <x v="1"/>
    <x v="0"/>
  </r>
  <r>
    <n v="10324"/>
    <n v="30"/>
    <n v="100"/>
    <n v="3000"/>
    <s v="Medium"/>
    <n v="900"/>
    <d v="2004-11-05T00:00:00"/>
    <x v="0"/>
    <x v="0"/>
    <x v="5"/>
    <x v="1"/>
    <s v="Nov-2004"/>
    <x v="1"/>
    <x v="11"/>
    <x v="0"/>
    <x v="0"/>
    <x v="1"/>
  </r>
  <r>
    <n v="10335"/>
    <n v="33"/>
    <n v="37.130000000000003"/>
    <n v="1225.2900000000002"/>
    <s v="Low"/>
    <n v="367.58700000000005"/>
    <d v="2004-11-19T00:00:00"/>
    <x v="0"/>
    <x v="0"/>
    <x v="5"/>
    <x v="1"/>
    <s v="Nov-2004"/>
    <x v="1"/>
    <x v="39"/>
    <x v="0"/>
    <x v="0"/>
    <x v="0"/>
  </r>
  <r>
    <n v="10349"/>
    <n v="36"/>
    <n v="37.130000000000003"/>
    <n v="1336.68"/>
    <s v="Low"/>
    <n v="401.00400000000002"/>
    <d v="2004-12-01T00:00:00"/>
    <x v="0"/>
    <x v="0"/>
    <x v="6"/>
    <x v="1"/>
    <s v="Dec-2004"/>
    <x v="1"/>
    <x v="74"/>
    <x v="0"/>
    <x v="0"/>
    <x v="0"/>
  </r>
  <r>
    <n v="10358"/>
    <n v="36"/>
    <n v="82.94"/>
    <n v="2985.84"/>
    <s v="Medium"/>
    <n v="895.75200000000007"/>
    <d v="2004-12-10T00:00:00"/>
    <x v="0"/>
    <x v="0"/>
    <x v="6"/>
    <x v="1"/>
    <s v="Dec-2004"/>
    <x v="1"/>
    <x v="23"/>
    <x v="7"/>
    <x v="1"/>
    <x v="0"/>
  </r>
  <r>
    <n v="10371"/>
    <n v="45"/>
    <n v="100"/>
    <n v="4500"/>
    <s v="Medium"/>
    <n v="1350"/>
    <d v="2005-01-23T00:00:00"/>
    <x v="0"/>
    <x v="0"/>
    <x v="7"/>
    <x v="2"/>
    <s v="Jan-2005"/>
    <x v="1"/>
    <x v="39"/>
    <x v="0"/>
    <x v="0"/>
    <x v="1"/>
  </r>
  <r>
    <n v="10383"/>
    <n v="40"/>
    <n v="100"/>
    <n v="4000"/>
    <s v="Medium"/>
    <n v="1200"/>
    <d v="2005-02-22T00:00:00"/>
    <x v="0"/>
    <x v="0"/>
    <x v="0"/>
    <x v="2"/>
    <s v="Feb-2005"/>
    <x v="1"/>
    <x v="23"/>
    <x v="7"/>
    <x v="1"/>
    <x v="1"/>
  </r>
  <r>
    <n v="10394"/>
    <n v="46"/>
    <n v="38.9"/>
    <n v="1789.3999999999999"/>
    <s v="Low"/>
    <n v="536.81999999999994"/>
    <d v="2005-03-15T00:00:00"/>
    <x v="0"/>
    <x v="0"/>
    <x v="11"/>
    <x v="2"/>
    <s v="Mar-2005"/>
    <x v="1"/>
    <x v="23"/>
    <x v="7"/>
    <x v="1"/>
    <x v="0"/>
  </r>
  <r>
    <n v="10412"/>
    <n v="30"/>
    <n v="36.07"/>
    <n v="1082.0999999999999"/>
    <s v="Low"/>
    <n v="324.62999999999994"/>
    <d v="2005-05-03T00:00:00"/>
    <x v="0"/>
    <x v="0"/>
    <x v="1"/>
    <x v="2"/>
    <s v="May-2005"/>
    <x v="1"/>
    <x v="23"/>
    <x v="7"/>
    <x v="1"/>
    <x v="0"/>
  </r>
  <r>
    <n v="10425"/>
    <n v="31"/>
    <n v="33.24"/>
    <n v="1030.44"/>
    <s v="Low"/>
    <n v="309.13200000000001"/>
    <d v="2005-05-31T00:00:00"/>
    <x v="2"/>
    <x v="1"/>
    <x v="1"/>
    <x v="2"/>
    <s v="May-2005"/>
    <x v="1"/>
    <x v="14"/>
    <x v="1"/>
    <x v="1"/>
    <x v="0"/>
  </r>
  <r>
    <n v="10106"/>
    <n v="49"/>
    <n v="74.680000000000007"/>
    <n v="3659.32"/>
    <s v="Medium"/>
    <n v="1097.796"/>
    <d v="2003-02-17T00:00:00"/>
    <x v="0"/>
    <x v="0"/>
    <x v="0"/>
    <x v="0"/>
    <s v="Feb-2003"/>
    <x v="4"/>
    <x v="86"/>
    <x v="12"/>
    <x v="1"/>
    <x v="1"/>
  </r>
  <r>
    <n v="10119"/>
    <n v="41"/>
    <n v="59.6"/>
    <n v="2443.6"/>
    <s v="Medium"/>
    <n v="733.07999999999993"/>
    <d v="2003-04-28T00:00:00"/>
    <x v="0"/>
    <x v="0"/>
    <x v="8"/>
    <x v="0"/>
    <s v="Apr-2003"/>
    <x v="4"/>
    <x v="19"/>
    <x v="5"/>
    <x v="1"/>
    <x v="0"/>
  </r>
  <r>
    <n v="10131"/>
    <n v="35"/>
    <n v="67.14"/>
    <n v="2349.9"/>
    <s v="Medium"/>
    <n v="704.97"/>
    <d v="2003-06-16T00:00:00"/>
    <x v="0"/>
    <x v="0"/>
    <x v="9"/>
    <x v="0"/>
    <s v="Jun-2003"/>
    <x v="4"/>
    <x v="88"/>
    <x v="0"/>
    <x v="0"/>
    <x v="0"/>
  </r>
  <r>
    <n v="10143"/>
    <n v="27"/>
    <n v="60.97"/>
    <n v="1646.19"/>
    <s v="Low"/>
    <n v="493.85699999999997"/>
    <d v="2003-08-10T00:00:00"/>
    <x v="0"/>
    <x v="0"/>
    <x v="3"/>
    <x v="0"/>
    <s v="Aug-2003"/>
    <x v="4"/>
    <x v="50"/>
    <x v="0"/>
    <x v="0"/>
    <x v="0"/>
  </r>
  <r>
    <n v="10155"/>
    <n v="23"/>
    <n v="72.62"/>
    <n v="1670.2600000000002"/>
    <s v="Low"/>
    <n v="501.07800000000003"/>
    <d v="2003-10-06T00:00:00"/>
    <x v="0"/>
    <x v="0"/>
    <x v="4"/>
    <x v="0"/>
    <s v="Oct-2003"/>
    <x v="4"/>
    <x v="16"/>
    <x v="4"/>
    <x v="1"/>
    <x v="0"/>
  </r>
  <r>
    <n v="10167"/>
    <n v="21"/>
    <n v="69.88"/>
    <n v="1467.48"/>
    <s v="Low"/>
    <n v="440.24399999999997"/>
    <d v="2003-10-23T00:00:00"/>
    <x v="3"/>
    <x v="1"/>
    <x v="4"/>
    <x v="0"/>
    <s v="Oct-2003"/>
    <x v="4"/>
    <x v="37"/>
    <x v="8"/>
    <x v="1"/>
    <x v="0"/>
  </r>
  <r>
    <n v="10178"/>
    <n v="34"/>
    <n v="80.84"/>
    <n v="2748.56"/>
    <s v="Medium"/>
    <n v="824.56799999999998"/>
    <d v="2003-11-08T00:00:00"/>
    <x v="0"/>
    <x v="0"/>
    <x v="5"/>
    <x v="0"/>
    <s v="Nov-2003"/>
    <x v="4"/>
    <x v="51"/>
    <x v="1"/>
    <x v="1"/>
    <x v="0"/>
  </r>
  <r>
    <n v="10186"/>
    <n v="22"/>
    <n v="69.2"/>
    <n v="1522.4"/>
    <s v="Low"/>
    <n v="456.72"/>
    <d v="2003-11-14T00:00:00"/>
    <x v="0"/>
    <x v="0"/>
    <x v="5"/>
    <x v="0"/>
    <s v="Nov-2003"/>
    <x v="4"/>
    <x v="52"/>
    <x v="6"/>
    <x v="1"/>
    <x v="0"/>
  </r>
  <r>
    <n v="10198"/>
    <n v="48"/>
    <n v="67.819999999999993"/>
    <n v="3255.3599999999997"/>
    <s v="Medium"/>
    <n v="976.60799999999983"/>
    <d v="2003-11-27T00:00:00"/>
    <x v="0"/>
    <x v="0"/>
    <x v="5"/>
    <x v="0"/>
    <s v="Nov-2003"/>
    <x v="4"/>
    <x v="66"/>
    <x v="15"/>
    <x v="3"/>
    <x v="1"/>
  </r>
  <r>
    <n v="10209"/>
    <n v="43"/>
    <n v="82.21"/>
    <n v="3535.0299999999997"/>
    <s v="Medium"/>
    <n v="1060.5089999999998"/>
    <d v="2004-01-09T00:00:00"/>
    <x v="0"/>
    <x v="0"/>
    <x v="7"/>
    <x v="1"/>
    <s v="Jan-2004"/>
    <x v="4"/>
    <x v="54"/>
    <x v="0"/>
    <x v="0"/>
    <x v="1"/>
  </r>
  <r>
    <n v="10222"/>
    <n v="32"/>
    <n v="81.53"/>
    <n v="2608.96"/>
    <s v="Medium"/>
    <n v="782.68799999999999"/>
    <d v="2004-02-19T00:00:00"/>
    <x v="0"/>
    <x v="0"/>
    <x v="0"/>
    <x v="1"/>
    <s v="Feb-2004"/>
    <x v="4"/>
    <x v="55"/>
    <x v="0"/>
    <x v="0"/>
    <x v="0"/>
  </r>
  <r>
    <n v="10249"/>
    <n v="20"/>
    <n v="67.819999999999993"/>
    <n v="1356.3999999999999"/>
    <s v="Low"/>
    <n v="406.91999999999996"/>
    <d v="2004-05-08T00:00:00"/>
    <x v="0"/>
    <x v="0"/>
    <x v="1"/>
    <x v="1"/>
    <s v="May-2004"/>
    <x v="4"/>
    <x v="33"/>
    <x v="0"/>
    <x v="0"/>
    <x v="0"/>
  </r>
  <r>
    <n v="10262"/>
    <n v="24"/>
    <n v="67.14"/>
    <n v="1611.3600000000001"/>
    <s v="Low"/>
    <n v="483.40800000000002"/>
    <d v="2004-06-24T00:00:00"/>
    <x v="3"/>
    <x v="1"/>
    <x v="9"/>
    <x v="1"/>
    <s v="Jun-2004"/>
    <x v="4"/>
    <x v="23"/>
    <x v="7"/>
    <x v="1"/>
    <x v="0"/>
  </r>
  <r>
    <n v="10274"/>
    <n v="40"/>
    <n v="65.08"/>
    <n v="2603.1999999999998"/>
    <s v="Medium"/>
    <n v="780.95999999999992"/>
    <d v="2004-07-21T00:00:00"/>
    <x v="0"/>
    <x v="0"/>
    <x v="2"/>
    <x v="1"/>
    <s v="Jul-2004"/>
    <x v="4"/>
    <x v="41"/>
    <x v="0"/>
    <x v="0"/>
    <x v="0"/>
  </r>
  <r>
    <n v="10284"/>
    <n v="30"/>
    <n v="73.989999999999995"/>
    <n v="2219.6999999999998"/>
    <s v="Medium"/>
    <n v="665.91"/>
    <d v="2004-08-21T00:00:00"/>
    <x v="0"/>
    <x v="0"/>
    <x v="3"/>
    <x v="1"/>
    <s v="Aug-2004"/>
    <x v="4"/>
    <x v="85"/>
    <x v="2"/>
    <x v="1"/>
    <x v="0"/>
  </r>
  <r>
    <n v="10296"/>
    <n v="21"/>
    <n v="71.25"/>
    <n v="1496.25"/>
    <s v="Low"/>
    <n v="448.875"/>
    <d v="2004-09-15T00:00:00"/>
    <x v="0"/>
    <x v="0"/>
    <x v="10"/>
    <x v="1"/>
    <s v="Sep-2004"/>
    <x v="4"/>
    <x v="89"/>
    <x v="16"/>
    <x v="1"/>
    <x v="0"/>
  </r>
  <r>
    <n v="10307"/>
    <n v="25"/>
    <n v="75.36"/>
    <n v="1884"/>
    <s v="Low"/>
    <n v="565.19999999999993"/>
    <d v="2004-10-14T00:00:00"/>
    <x v="0"/>
    <x v="0"/>
    <x v="4"/>
    <x v="1"/>
    <s v="Oct-2004"/>
    <x v="4"/>
    <x v="29"/>
    <x v="0"/>
    <x v="0"/>
    <x v="0"/>
  </r>
  <r>
    <n v="10316"/>
    <n v="34"/>
    <n v="63.71"/>
    <n v="2166.14"/>
    <s v="Medium"/>
    <n v="649.84199999999998"/>
    <d v="2004-11-01T00:00:00"/>
    <x v="0"/>
    <x v="0"/>
    <x v="5"/>
    <x v="1"/>
    <s v="Nov-2004"/>
    <x v="4"/>
    <x v="59"/>
    <x v="6"/>
    <x v="1"/>
    <x v="0"/>
  </r>
  <r>
    <n v="10328"/>
    <n v="48"/>
    <n v="58.92"/>
    <n v="2828.16"/>
    <s v="Medium"/>
    <n v="848.44799999999998"/>
    <d v="2004-11-12T00:00:00"/>
    <x v="0"/>
    <x v="0"/>
    <x v="5"/>
    <x v="1"/>
    <s v="Nov-2004"/>
    <x v="4"/>
    <x v="86"/>
    <x v="12"/>
    <x v="1"/>
    <x v="0"/>
  </r>
  <r>
    <n v="10339"/>
    <n v="55"/>
    <n v="100"/>
    <n v="5500"/>
    <s v="High"/>
    <n v="1650"/>
    <d v="2004-11-23T00:00:00"/>
    <x v="0"/>
    <x v="0"/>
    <x v="5"/>
    <x v="1"/>
    <s v="Nov-2004"/>
    <x v="4"/>
    <x v="35"/>
    <x v="11"/>
    <x v="3"/>
    <x v="1"/>
  </r>
  <r>
    <n v="10351"/>
    <n v="25"/>
    <n v="74.680000000000007"/>
    <n v="1867.0000000000002"/>
    <s v="Low"/>
    <n v="560.1"/>
    <d v="2004-12-03T00:00:00"/>
    <x v="0"/>
    <x v="0"/>
    <x v="6"/>
    <x v="1"/>
    <s v="Dec-2004"/>
    <x v="4"/>
    <x v="49"/>
    <x v="6"/>
    <x v="1"/>
    <x v="0"/>
  </r>
  <r>
    <n v="10373"/>
    <n v="38"/>
    <n v="70.44"/>
    <n v="2676.72"/>
    <s v="Medium"/>
    <n v="803.01599999999996"/>
    <d v="2005-01-31T00:00:00"/>
    <x v="0"/>
    <x v="0"/>
    <x v="7"/>
    <x v="2"/>
    <s v="Jan-2005"/>
    <x v="4"/>
    <x v="60"/>
    <x v="4"/>
    <x v="1"/>
    <x v="0"/>
  </r>
  <r>
    <n v="10386"/>
    <n v="39"/>
    <n v="55.96"/>
    <n v="2182.44"/>
    <s v="Medium"/>
    <n v="654.73199999999997"/>
    <d v="2005-03-01T00:00:00"/>
    <x v="5"/>
    <x v="1"/>
    <x v="11"/>
    <x v="2"/>
    <s v="Mar-2005"/>
    <x v="4"/>
    <x v="23"/>
    <x v="7"/>
    <x v="1"/>
    <x v="0"/>
  </r>
  <r>
    <n v="10398"/>
    <n v="28"/>
    <n v="57.55"/>
    <n v="1611.3999999999999"/>
    <s v="Low"/>
    <n v="483.41999999999996"/>
    <d v="2005-03-30T00:00:00"/>
    <x v="0"/>
    <x v="0"/>
    <x v="11"/>
    <x v="2"/>
    <s v="Mar-2005"/>
    <x v="4"/>
    <x v="1"/>
    <x v="1"/>
    <x v="1"/>
    <x v="0"/>
  </r>
  <r>
    <n v="10400"/>
    <n v="24"/>
    <n v="61.66"/>
    <n v="1479.84"/>
    <s v="Low"/>
    <n v="443.95199999999994"/>
    <d v="2005-04-01T00:00:00"/>
    <x v="0"/>
    <x v="0"/>
    <x v="8"/>
    <x v="2"/>
    <s v="Apr-2005"/>
    <x v="4"/>
    <x v="61"/>
    <x v="0"/>
    <x v="0"/>
    <x v="0"/>
  </r>
  <r>
    <n v="10415"/>
    <n v="21"/>
    <n v="67.819999999999993"/>
    <n v="1424.2199999999998"/>
    <s v="Low"/>
    <n v="427.26599999999991"/>
    <d v="2005-05-09T00:00:00"/>
    <x v="1"/>
    <x v="1"/>
    <x v="1"/>
    <x v="2"/>
    <s v="May-2005"/>
    <x v="4"/>
    <x v="87"/>
    <x v="3"/>
    <x v="2"/>
    <x v="0"/>
  </r>
  <r>
    <n v="10110"/>
    <n v="46"/>
    <n v="100"/>
    <n v="4600"/>
    <s v="Medium"/>
    <n v="1380"/>
    <d v="2003-03-18T00:00:00"/>
    <x v="0"/>
    <x v="0"/>
    <x v="11"/>
    <x v="0"/>
    <s v="Mar-2003"/>
    <x v="1"/>
    <x v="77"/>
    <x v="6"/>
    <x v="1"/>
    <x v="1"/>
  </r>
  <r>
    <n v="10124"/>
    <n v="25"/>
    <n v="93.95"/>
    <n v="2348.75"/>
    <s v="Medium"/>
    <n v="704.625"/>
    <d v="2003-05-21T00:00:00"/>
    <x v="0"/>
    <x v="0"/>
    <x v="1"/>
    <x v="0"/>
    <s v="May-2003"/>
    <x v="1"/>
    <x v="84"/>
    <x v="0"/>
    <x v="0"/>
    <x v="0"/>
  </r>
  <r>
    <n v="10148"/>
    <n v="34"/>
    <n v="100"/>
    <n v="3400"/>
    <s v="Medium"/>
    <n v="1020"/>
    <d v="2003-09-11T00:00:00"/>
    <x v="0"/>
    <x v="0"/>
    <x v="10"/>
    <x v="0"/>
    <s v="Sep-2003"/>
    <x v="1"/>
    <x v="42"/>
    <x v="3"/>
    <x v="2"/>
    <x v="1"/>
  </r>
  <r>
    <n v="10161"/>
    <n v="25"/>
    <n v="100"/>
    <n v="2500"/>
    <s v="Medium"/>
    <n v="750"/>
    <d v="2003-10-17T00:00:00"/>
    <x v="0"/>
    <x v="0"/>
    <x v="4"/>
    <x v="0"/>
    <s v="Oct-2003"/>
    <x v="1"/>
    <x v="78"/>
    <x v="13"/>
    <x v="1"/>
    <x v="0"/>
  </r>
  <r>
    <n v="10173"/>
    <n v="23"/>
    <n v="100"/>
    <n v="2300"/>
    <s v="Medium"/>
    <n v="690"/>
    <d v="2003-11-05T00:00:00"/>
    <x v="0"/>
    <x v="0"/>
    <x v="5"/>
    <x v="0"/>
    <s v="Nov-2003"/>
    <x v="1"/>
    <x v="86"/>
    <x v="12"/>
    <x v="1"/>
    <x v="0"/>
  </r>
  <r>
    <n v="10182"/>
    <n v="20"/>
    <n v="100"/>
    <n v="2000"/>
    <s v="Medium"/>
    <n v="600"/>
    <d v="2003-11-12T00:00:00"/>
    <x v="0"/>
    <x v="0"/>
    <x v="5"/>
    <x v="0"/>
    <s v="Nov-2003"/>
    <x v="1"/>
    <x v="39"/>
    <x v="0"/>
    <x v="0"/>
    <x v="0"/>
  </r>
  <r>
    <n v="10192"/>
    <n v="23"/>
    <n v="100"/>
    <n v="2300"/>
    <s v="Medium"/>
    <n v="690"/>
    <d v="2003-11-20T00:00:00"/>
    <x v="0"/>
    <x v="0"/>
    <x v="5"/>
    <x v="0"/>
    <s v="Nov-2003"/>
    <x v="1"/>
    <x v="40"/>
    <x v="0"/>
    <x v="0"/>
    <x v="1"/>
  </r>
  <r>
    <n v="10204"/>
    <n v="42"/>
    <n v="100"/>
    <n v="4200"/>
    <s v="Medium"/>
    <n v="1260"/>
    <d v="2003-12-02T00:00:00"/>
    <x v="0"/>
    <x v="0"/>
    <x v="6"/>
    <x v="0"/>
    <s v="Dec-2003"/>
    <x v="1"/>
    <x v="74"/>
    <x v="0"/>
    <x v="0"/>
    <x v="1"/>
  </r>
  <r>
    <n v="10213"/>
    <n v="27"/>
    <n v="100"/>
    <n v="2700"/>
    <s v="Medium"/>
    <n v="810"/>
    <d v="2004-01-22T00:00:00"/>
    <x v="0"/>
    <x v="0"/>
    <x v="7"/>
    <x v="1"/>
    <s v="Jan-2004"/>
    <x v="1"/>
    <x v="52"/>
    <x v="6"/>
    <x v="1"/>
    <x v="0"/>
  </r>
  <r>
    <n v="10227"/>
    <n v="33"/>
    <n v="100"/>
    <n v="3300"/>
    <s v="Medium"/>
    <n v="990"/>
    <d v="2004-03-02T00:00:00"/>
    <x v="0"/>
    <x v="0"/>
    <x v="11"/>
    <x v="1"/>
    <s v="Mar-2004"/>
    <x v="1"/>
    <x v="30"/>
    <x v="1"/>
    <x v="1"/>
    <x v="1"/>
  </r>
  <r>
    <n v="10241"/>
    <n v="28"/>
    <n v="98.65"/>
    <n v="2762.2000000000003"/>
    <s v="Medium"/>
    <n v="828.66000000000008"/>
    <d v="2004-04-13T00:00:00"/>
    <x v="0"/>
    <x v="0"/>
    <x v="8"/>
    <x v="1"/>
    <s v="Apr-2004"/>
    <x v="1"/>
    <x v="83"/>
    <x v="1"/>
    <x v="1"/>
    <x v="0"/>
  </r>
  <r>
    <n v="10267"/>
    <n v="43"/>
    <n v="100"/>
    <n v="4300"/>
    <s v="Medium"/>
    <n v="1290"/>
    <d v="2004-07-07T00:00:00"/>
    <x v="0"/>
    <x v="0"/>
    <x v="2"/>
    <x v="1"/>
    <s v="Jul-2004"/>
    <x v="1"/>
    <x v="74"/>
    <x v="0"/>
    <x v="0"/>
    <x v="1"/>
  </r>
  <r>
    <n v="10279"/>
    <n v="48"/>
    <n v="100"/>
    <n v="4800"/>
    <s v="Medium"/>
    <n v="1440"/>
    <d v="2004-08-09T00:00:00"/>
    <x v="0"/>
    <x v="0"/>
    <x v="3"/>
    <x v="1"/>
    <s v="Aug-2004"/>
    <x v="1"/>
    <x v="23"/>
    <x v="7"/>
    <x v="1"/>
    <x v="1"/>
  </r>
  <r>
    <n v="10288"/>
    <n v="48"/>
    <n v="100"/>
    <n v="4800"/>
    <s v="Medium"/>
    <n v="1440"/>
    <d v="2004-09-01T00:00:00"/>
    <x v="0"/>
    <x v="0"/>
    <x v="10"/>
    <x v="1"/>
    <s v="Sep-2004"/>
    <x v="1"/>
    <x v="65"/>
    <x v="9"/>
    <x v="2"/>
    <x v="1"/>
  </r>
  <r>
    <n v="10302"/>
    <n v="45"/>
    <n v="100"/>
    <n v="4500"/>
    <s v="Medium"/>
    <n v="1350"/>
    <d v="2003-10-06T00:00:00"/>
    <x v="0"/>
    <x v="0"/>
    <x v="4"/>
    <x v="0"/>
    <s v="Oct-2003"/>
    <x v="1"/>
    <x v="22"/>
    <x v="6"/>
    <x v="1"/>
    <x v="1"/>
  </r>
  <r>
    <n v="10311"/>
    <n v="43"/>
    <n v="100"/>
    <n v="4300"/>
    <s v="Medium"/>
    <n v="1290"/>
    <d v="2004-10-16T00:00:00"/>
    <x v="0"/>
    <x v="0"/>
    <x v="4"/>
    <x v="1"/>
    <s v="Oct-2004"/>
    <x v="1"/>
    <x v="23"/>
    <x v="7"/>
    <x v="1"/>
    <x v="1"/>
  </r>
  <r>
    <n v="10332"/>
    <n v="44"/>
    <n v="42.26"/>
    <n v="1859.4399999999998"/>
    <s v="Low"/>
    <n v="557.83199999999988"/>
    <d v="2004-11-17T00:00:00"/>
    <x v="0"/>
    <x v="0"/>
    <x v="5"/>
    <x v="1"/>
    <s v="Nov-2004"/>
    <x v="1"/>
    <x v="77"/>
    <x v="6"/>
    <x v="1"/>
    <x v="0"/>
  </r>
  <r>
    <n v="10346"/>
    <n v="24"/>
    <n v="87.24"/>
    <n v="2093.7599999999998"/>
    <s v="Medium"/>
    <n v="628.12799999999993"/>
    <d v="2004-11-29T00:00:00"/>
    <x v="0"/>
    <x v="0"/>
    <x v="5"/>
    <x v="1"/>
    <s v="Nov-2004"/>
    <x v="1"/>
    <x v="84"/>
    <x v="0"/>
    <x v="0"/>
    <x v="0"/>
  </r>
  <r>
    <n v="10368"/>
    <n v="31"/>
    <n v="100"/>
    <n v="3100"/>
    <s v="Medium"/>
    <n v="930"/>
    <d v="2005-01-19T00:00:00"/>
    <x v="0"/>
    <x v="0"/>
    <x v="7"/>
    <x v="2"/>
    <s v="Jan-2005"/>
    <x v="1"/>
    <x v="39"/>
    <x v="0"/>
    <x v="0"/>
    <x v="1"/>
  </r>
  <r>
    <n v="10380"/>
    <n v="44"/>
    <n v="36.29"/>
    <n v="1596.76"/>
    <s v="Low"/>
    <n v="479.02799999999996"/>
    <d v="2005-02-16T00:00:00"/>
    <x v="0"/>
    <x v="0"/>
    <x v="0"/>
    <x v="2"/>
    <s v="Feb-2005"/>
    <x v="1"/>
    <x v="23"/>
    <x v="7"/>
    <x v="1"/>
    <x v="0"/>
  </r>
  <r>
    <n v="10407"/>
    <n v="59"/>
    <n v="98.65"/>
    <n v="5820.35"/>
    <s v="High"/>
    <n v="1746.105"/>
    <d v="2005-04-22T00:00:00"/>
    <x v="4"/>
    <x v="1"/>
    <x v="8"/>
    <x v="2"/>
    <s v="Apr-2005"/>
    <x v="1"/>
    <x v="61"/>
    <x v="0"/>
    <x v="0"/>
    <x v="1"/>
  </r>
  <r>
    <n v="10420"/>
    <n v="55"/>
    <n v="96.3"/>
    <n v="5296.5"/>
    <s v="High"/>
    <n v="1588.95"/>
    <d v="2005-05-29T00:00:00"/>
    <x v="2"/>
    <x v="1"/>
    <x v="1"/>
    <x v="2"/>
    <s v="May-2005"/>
    <x v="1"/>
    <x v="20"/>
    <x v="3"/>
    <x v="2"/>
    <x v="1"/>
  </r>
  <r>
    <n v="10109"/>
    <n v="29"/>
    <n v="32.1"/>
    <n v="930.90000000000009"/>
    <s v="Low"/>
    <n v="279.27000000000004"/>
    <d v="2003-03-10T00:00:00"/>
    <x v="0"/>
    <x v="0"/>
    <x v="11"/>
    <x v="0"/>
    <s v="Mar-2003"/>
    <x v="1"/>
    <x v="45"/>
    <x v="0"/>
    <x v="0"/>
    <x v="0"/>
  </r>
  <r>
    <n v="10122"/>
    <n v="39"/>
    <n v="30.96"/>
    <n v="1207.44"/>
    <s v="Low"/>
    <n v="362.23200000000003"/>
    <d v="2003-05-08T00:00:00"/>
    <x v="0"/>
    <x v="0"/>
    <x v="1"/>
    <x v="0"/>
    <s v="May-2003"/>
    <x v="1"/>
    <x v="67"/>
    <x v="1"/>
    <x v="1"/>
    <x v="0"/>
  </r>
  <r>
    <n v="10135"/>
    <n v="20"/>
    <n v="35.869999999999997"/>
    <n v="717.4"/>
    <s v="Low"/>
    <n v="215.22"/>
    <d v="2003-07-02T00:00:00"/>
    <x v="0"/>
    <x v="0"/>
    <x v="2"/>
    <x v="0"/>
    <s v="Jul-2003"/>
    <x v="1"/>
    <x v="39"/>
    <x v="0"/>
    <x v="0"/>
    <x v="0"/>
  </r>
  <r>
    <n v="10147"/>
    <n v="25"/>
    <n v="42.67"/>
    <n v="1066.75"/>
    <s v="Low"/>
    <n v="320.02499999999998"/>
    <d v="2003-09-05T00:00:00"/>
    <x v="0"/>
    <x v="0"/>
    <x v="10"/>
    <x v="0"/>
    <s v="Sep-2003"/>
    <x v="1"/>
    <x v="41"/>
    <x v="0"/>
    <x v="0"/>
    <x v="0"/>
  </r>
  <r>
    <n v="10160"/>
    <n v="42"/>
    <n v="37"/>
    <n v="1554"/>
    <s v="Low"/>
    <n v="466.2"/>
    <d v="2003-10-11T00:00:00"/>
    <x v="0"/>
    <x v="0"/>
    <x v="4"/>
    <x v="0"/>
    <s v="Oct-2003"/>
    <x v="1"/>
    <x v="54"/>
    <x v="0"/>
    <x v="0"/>
    <x v="0"/>
  </r>
  <r>
    <n v="10171"/>
    <n v="36"/>
    <n v="35.49"/>
    <n v="1277.6400000000001"/>
    <s v="Low"/>
    <n v="383.29200000000003"/>
    <d v="2003-11-05T00:00:00"/>
    <x v="0"/>
    <x v="0"/>
    <x v="5"/>
    <x v="0"/>
    <s v="Nov-2003"/>
    <x v="1"/>
    <x v="43"/>
    <x v="10"/>
    <x v="0"/>
    <x v="0"/>
  </r>
  <r>
    <n v="10181"/>
    <n v="37"/>
    <n v="42.67"/>
    <n v="1578.79"/>
    <s v="Low"/>
    <n v="473.63699999999994"/>
    <d v="2003-11-12T00:00:00"/>
    <x v="0"/>
    <x v="0"/>
    <x v="5"/>
    <x v="0"/>
    <s v="Nov-2003"/>
    <x v="1"/>
    <x v="7"/>
    <x v="2"/>
    <x v="1"/>
    <x v="0"/>
  </r>
  <r>
    <n v="10192"/>
    <n v="30"/>
    <n v="30.59"/>
    <n v="917.7"/>
    <s v="Low"/>
    <n v="275.31"/>
    <d v="2003-11-20T00:00:00"/>
    <x v="0"/>
    <x v="0"/>
    <x v="5"/>
    <x v="0"/>
    <s v="Nov-2003"/>
    <x v="1"/>
    <x v="40"/>
    <x v="0"/>
    <x v="0"/>
    <x v="0"/>
  </r>
  <r>
    <n v="10203"/>
    <n v="21"/>
    <n v="37"/>
    <n v="777"/>
    <s v="Low"/>
    <n v="233.1"/>
    <d v="2003-12-02T00:00:00"/>
    <x v="0"/>
    <x v="0"/>
    <x v="6"/>
    <x v="0"/>
    <s v="Dec-2003"/>
    <x v="1"/>
    <x v="23"/>
    <x v="7"/>
    <x v="1"/>
    <x v="0"/>
  </r>
  <r>
    <n v="10212"/>
    <n v="34"/>
    <n v="43.42"/>
    <n v="1476.28"/>
    <s v="Low"/>
    <n v="442.88399999999996"/>
    <d v="2004-01-16T00:00:00"/>
    <x v="0"/>
    <x v="0"/>
    <x v="7"/>
    <x v="1"/>
    <s v="Jan-2004"/>
    <x v="1"/>
    <x v="23"/>
    <x v="7"/>
    <x v="1"/>
    <x v="0"/>
  </r>
  <r>
    <n v="10225"/>
    <n v="42"/>
    <n v="36.630000000000003"/>
    <n v="1538.46"/>
    <s v="Low"/>
    <n v="461.53800000000001"/>
    <d v="2004-02-22T00:00:00"/>
    <x v="0"/>
    <x v="0"/>
    <x v="0"/>
    <x v="1"/>
    <s v="Feb-2004"/>
    <x v="1"/>
    <x v="69"/>
    <x v="17"/>
    <x v="1"/>
    <x v="0"/>
  </r>
  <r>
    <n v="10239"/>
    <n v="20"/>
    <n v="44.56"/>
    <n v="891.2"/>
    <s v="Low"/>
    <n v="267.36"/>
    <d v="2004-04-12T00:00:00"/>
    <x v="0"/>
    <x v="0"/>
    <x v="8"/>
    <x v="1"/>
    <s v="Apr-2004"/>
    <x v="1"/>
    <x v="60"/>
    <x v="4"/>
    <x v="1"/>
    <x v="0"/>
  </r>
  <r>
    <n v="10253"/>
    <n v="40"/>
    <n v="42.67"/>
    <n v="1706.8000000000002"/>
    <s v="Low"/>
    <n v="512.04000000000008"/>
    <d v="2004-06-01T00:00:00"/>
    <x v="3"/>
    <x v="1"/>
    <x v="9"/>
    <x v="1"/>
    <s v="Jun-2004"/>
    <x v="1"/>
    <x v="22"/>
    <x v="6"/>
    <x v="1"/>
    <x v="0"/>
  </r>
  <r>
    <n v="10266"/>
    <n v="34"/>
    <n v="40.4"/>
    <n v="1373.6"/>
    <s v="Low"/>
    <n v="412.08"/>
    <d v="2004-07-06T00:00:00"/>
    <x v="0"/>
    <x v="0"/>
    <x v="2"/>
    <x v="1"/>
    <s v="Jul-2004"/>
    <x v="1"/>
    <x v="70"/>
    <x v="12"/>
    <x v="1"/>
    <x v="0"/>
  </r>
  <r>
    <n v="10278"/>
    <n v="31"/>
    <n v="38.89"/>
    <n v="1205.5899999999999"/>
    <s v="Low"/>
    <n v="361.67699999999996"/>
    <d v="2004-08-06T00:00:00"/>
    <x v="0"/>
    <x v="0"/>
    <x v="3"/>
    <x v="1"/>
    <s v="Aug-2004"/>
    <x v="1"/>
    <x v="84"/>
    <x v="0"/>
    <x v="0"/>
    <x v="0"/>
  </r>
  <r>
    <n v="10287"/>
    <n v="36"/>
    <n v="39.65"/>
    <n v="1427.3999999999999"/>
    <s v="Low"/>
    <n v="428.21999999999997"/>
    <d v="2004-08-30T00:00:00"/>
    <x v="0"/>
    <x v="0"/>
    <x v="3"/>
    <x v="1"/>
    <s v="Aug-2004"/>
    <x v="1"/>
    <x v="69"/>
    <x v="17"/>
    <x v="1"/>
    <x v="0"/>
  </r>
  <r>
    <n v="10301"/>
    <n v="48"/>
    <n v="34.36"/>
    <n v="1649.28"/>
    <s v="Low"/>
    <n v="494.78399999999999"/>
    <d v="2003-10-05T00:00:00"/>
    <x v="0"/>
    <x v="0"/>
    <x v="4"/>
    <x v="0"/>
    <s v="Oct-2003"/>
    <x v="1"/>
    <x v="85"/>
    <x v="2"/>
    <x v="1"/>
    <x v="0"/>
  </r>
  <r>
    <n v="10310"/>
    <n v="33"/>
    <n v="41.91"/>
    <n v="1383.03"/>
    <s v="Low"/>
    <n v="414.90899999999999"/>
    <d v="2004-10-16T00:00:00"/>
    <x v="0"/>
    <x v="0"/>
    <x v="4"/>
    <x v="1"/>
    <s v="Oct-2004"/>
    <x v="1"/>
    <x v="68"/>
    <x v="16"/>
    <x v="1"/>
    <x v="0"/>
  </r>
  <r>
    <n v="10321"/>
    <n v="37"/>
    <n v="33.229999999999997"/>
    <n v="1229.51"/>
    <s v="Low"/>
    <n v="368.85300000000001"/>
    <d v="2004-11-04T00:00:00"/>
    <x v="0"/>
    <x v="0"/>
    <x v="5"/>
    <x v="1"/>
    <s v="Nov-2004"/>
    <x v="1"/>
    <x v="21"/>
    <x v="0"/>
    <x v="0"/>
    <x v="0"/>
  </r>
  <r>
    <n v="10331"/>
    <n v="27"/>
    <n v="42.24"/>
    <n v="1140.48"/>
    <s v="Low"/>
    <n v="342.14400000000001"/>
    <d v="2004-11-17T00:00:00"/>
    <x v="0"/>
    <x v="0"/>
    <x v="5"/>
    <x v="1"/>
    <s v="Nov-2004"/>
    <x v="1"/>
    <x v="45"/>
    <x v="0"/>
    <x v="0"/>
    <x v="0"/>
  </r>
  <r>
    <n v="10342"/>
    <n v="39"/>
    <n v="40.4"/>
    <n v="1575.6"/>
    <s v="Low"/>
    <n v="472.67999999999995"/>
    <d v="2004-11-24T00:00:00"/>
    <x v="0"/>
    <x v="0"/>
    <x v="5"/>
    <x v="1"/>
    <s v="Nov-2004"/>
    <x v="1"/>
    <x v="10"/>
    <x v="3"/>
    <x v="2"/>
    <x v="0"/>
  </r>
  <r>
    <n v="10355"/>
    <n v="36"/>
    <n v="38.520000000000003"/>
    <n v="1386.72"/>
    <s v="Low"/>
    <n v="416.01600000000002"/>
    <d v="2004-12-07T00:00:00"/>
    <x v="0"/>
    <x v="0"/>
    <x v="6"/>
    <x v="1"/>
    <s v="Dec-2004"/>
    <x v="1"/>
    <x v="23"/>
    <x v="7"/>
    <x v="1"/>
    <x v="0"/>
  </r>
  <r>
    <n v="10367"/>
    <n v="36"/>
    <n v="100"/>
    <n v="3600"/>
    <s v="Medium"/>
    <n v="1080"/>
    <d v="2005-01-12T00:00:00"/>
    <x v="5"/>
    <x v="1"/>
    <x v="7"/>
    <x v="2"/>
    <s v="Jan-2005"/>
    <x v="1"/>
    <x v="3"/>
    <x v="0"/>
    <x v="0"/>
    <x v="1"/>
  </r>
  <r>
    <n v="10378"/>
    <n v="41"/>
    <n v="100"/>
    <n v="4100"/>
    <s v="Medium"/>
    <n v="1230"/>
    <d v="2005-02-10T00:00:00"/>
    <x v="0"/>
    <x v="0"/>
    <x v="0"/>
    <x v="2"/>
    <s v="Feb-2005"/>
    <x v="1"/>
    <x v="23"/>
    <x v="7"/>
    <x v="1"/>
    <x v="1"/>
  </r>
  <r>
    <n v="10390"/>
    <n v="37"/>
    <n v="100"/>
    <n v="3700"/>
    <s v="Medium"/>
    <n v="1110"/>
    <d v="2005-03-04T00:00:00"/>
    <x v="0"/>
    <x v="0"/>
    <x v="11"/>
    <x v="2"/>
    <s v="Mar-2005"/>
    <x v="1"/>
    <x v="39"/>
    <x v="0"/>
    <x v="0"/>
    <x v="1"/>
  </r>
  <r>
    <n v="10405"/>
    <n v="47"/>
    <n v="44.56"/>
    <n v="2094.3200000000002"/>
    <s v="Medium"/>
    <n v="628.29600000000005"/>
    <d v="2005-04-14T00:00:00"/>
    <x v="0"/>
    <x v="0"/>
    <x v="8"/>
    <x v="2"/>
    <s v="Apr-2005"/>
    <x v="1"/>
    <x v="83"/>
    <x v="1"/>
    <x v="1"/>
    <x v="0"/>
  </r>
  <r>
    <n v="10419"/>
    <n v="15"/>
    <n v="42.67"/>
    <n v="640.05000000000007"/>
    <s v="Low"/>
    <n v="192.01500000000001"/>
    <d v="2005-05-17T00:00:00"/>
    <x v="0"/>
    <x v="0"/>
    <x v="1"/>
    <x v="2"/>
    <s v="May-2005"/>
    <x v="1"/>
    <x v="19"/>
    <x v="5"/>
    <x v="1"/>
    <x v="0"/>
  </r>
  <r>
    <n v="10105"/>
    <n v="44"/>
    <n v="72.58"/>
    <n v="3193.52"/>
    <s v="Medium"/>
    <n v="958.05599999999993"/>
    <d v="2003-02-11T00:00:00"/>
    <x v="0"/>
    <x v="0"/>
    <x v="0"/>
    <x v="0"/>
    <s v="Feb-2003"/>
    <x v="3"/>
    <x v="48"/>
    <x v="13"/>
    <x v="1"/>
    <x v="1"/>
  </r>
  <r>
    <n v="10119"/>
    <n v="35"/>
    <n v="87.62"/>
    <n v="3066.7000000000003"/>
    <s v="Medium"/>
    <n v="920.0100000000001"/>
    <d v="2003-04-28T00:00:00"/>
    <x v="0"/>
    <x v="0"/>
    <x v="8"/>
    <x v="0"/>
    <s v="Apr-2003"/>
    <x v="3"/>
    <x v="19"/>
    <x v="5"/>
    <x v="1"/>
    <x v="1"/>
  </r>
  <r>
    <n v="10129"/>
    <n v="41"/>
    <n v="94.71"/>
    <n v="3883.1099999999997"/>
    <s v="Medium"/>
    <n v="1164.9329999999998"/>
    <d v="2003-06-12T00:00:00"/>
    <x v="0"/>
    <x v="0"/>
    <x v="9"/>
    <x v="0"/>
    <s v="Jun-2003"/>
    <x v="3"/>
    <x v="49"/>
    <x v="6"/>
    <x v="1"/>
    <x v="1"/>
  </r>
  <r>
    <n v="10142"/>
    <n v="49"/>
    <n v="98.25"/>
    <n v="4814.25"/>
    <s v="Medium"/>
    <n v="1444.2749999999999"/>
    <d v="2003-08-08T00:00:00"/>
    <x v="0"/>
    <x v="0"/>
    <x v="3"/>
    <x v="0"/>
    <s v="Aug-2003"/>
    <x v="3"/>
    <x v="39"/>
    <x v="0"/>
    <x v="0"/>
    <x v="1"/>
  </r>
  <r>
    <n v="10154"/>
    <n v="31"/>
    <n v="91.17"/>
    <n v="2826.27"/>
    <s v="Medium"/>
    <n v="847.88099999999997"/>
    <d v="2003-10-02T00:00:00"/>
    <x v="0"/>
    <x v="0"/>
    <x v="4"/>
    <x v="0"/>
    <s v="Oct-2003"/>
    <x v="3"/>
    <x v="80"/>
    <x v="0"/>
    <x v="0"/>
    <x v="0"/>
  </r>
  <r>
    <n v="10167"/>
    <n v="20"/>
    <n v="79.66"/>
    <n v="1593.1999999999998"/>
    <s v="Low"/>
    <n v="477.95999999999992"/>
    <d v="2003-10-23T00:00:00"/>
    <x v="3"/>
    <x v="1"/>
    <x v="4"/>
    <x v="0"/>
    <s v="Oct-2003"/>
    <x v="3"/>
    <x v="37"/>
    <x v="8"/>
    <x v="1"/>
    <x v="0"/>
  </r>
  <r>
    <n v="10177"/>
    <n v="45"/>
    <n v="72.58"/>
    <n v="3266.1"/>
    <s v="Medium"/>
    <n v="979.82999999999993"/>
    <d v="2003-11-07T00:00:00"/>
    <x v="0"/>
    <x v="0"/>
    <x v="5"/>
    <x v="0"/>
    <s v="Nov-2003"/>
    <x v="3"/>
    <x v="76"/>
    <x v="7"/>
    <x v="1"/>
    <x v="1"/>
  </r>
  <r>
    <n v="10185"/>
    <n v="33"/>
    <n v="74.349999999999994"/>
    <n v="2453.5499999999997"/>
    <s v="Medium"/>
    <n v="736.06499999999994"/>
    <d v="2003-11-14T00:00:00"/>
    <x v="0"/>
    <x v="0"/>
    <x v="5"/>
    <x v="0"/>
    <s v="Nov-2003"/>
    <x v="3"/>
    <x v="50"/>
    <x v="0"/>
    <x v="0"/>
    <x v="0"/>
  </r>
  <r>
    <n v="10197"/>
    <n v="47"/>
    <n v="83.2"/>
    <n v="3910.4"/>
    <s v="Medium"/>
    <n v="1173.1199999999999"/>
    <d v="2003-11-26T00:00:00"/>
    <x v="0"/>
    <x v="0"/>
    <x v="5"/>
    <x v="0"/>
    <s v="Nov-2003"/>
    <x v="3"/>
    <x v="53"/>
    <x v="7"/>
    <x v="1"/>
    <x v="1"/>
  </r>
  <r>
    <n v="10208"/>
    <n v="20"/>
    <n v="89.4"/>
    <n v="1788"/>
    <s v="Low"/>
    <n v="536.4"/>
    <d v="2004-01-02T00:00:00"/>
    <x v="0"/>
    <x v="0"/>
    <x v="7"/>
    <x v="1"/>
    <s v="Jan-2004"/>
    <x v="3"/>
    <x v="30"/>
    <x v="1"/>
    <x v="1"/>
    <x v="0"/>
  </r>
  <r>
    <n v="10222"/>
    <n v="47"/>
    <n v="70.81"/>
    <n v="3328.07"/>
    <s v="Medium"/>
    <n v="998.42100000000005"/>
    <d v="2004-02-19T00:00:00"/>
    <x v="0"/>
    <x v="0"/>
    <x v="0"/>
    <x v="1"/>
    <s v="Feb-2004"/>
    <x v="3"/>
    <x v="55"/>
    <x v="0"/>
    <x v="0"/>
    <x v="1"/>
  </r>
  <r>
    <n v="10233"/>
    <n v="40"/>
    <n v="94.71"/>
    <n v="3788.3999999999996"/>
    <s v="Medium"/>
    <n v="1136.5199999999998"/>
    <d v="2004-03-29T00:00:00"/>
    <x v="0"/>
    <x v="0"/>
    <x v="11"/>
    <x v="1"/>
    <s v="Mar-2004"/>
    <x v="3"/>
    <x v="12"/>
    <x v="0"/>
    <x v="0"/>
    <x v="1"/>
  </r>
  <r>
    <n v="10248"/>
    <n v="30"/>
    <n v="100"/>
    <n v="3000"/>
    <s v="Medium"/>
    <n v="900"/>
    <d v="2004-05-07T00:00:00"/>
    <x v="3"/>
    <x v="1"/>
    <x v="1"/>
    <x v="1"/>
    <s v="May-2004"/>
    <x v="3"/>
    <x v="0"/>
    <x v="0"/>
    <x v="0"/>
    <x v="1"/>
  </r>
  <r>
    <n v="10261"/>
    <n v="22"/>
    <n v="91.17"/>
    <n v="2005.74"/>
    <s v="Medium"/>
    <n v="601.72199999999998"/>
    <d v="2004-06-17T00:00:00"/>
    <x v="0"/>
    <x v="0"/>
    <x v="9"/>
    <x v="1"/>
    <s v="Jun-2004"/>
    <x v="3"/>
    <x v="43"/>
    <x v="10"/>
    <x v="0"/>
    <x v="0"/>
  </r>
  <r>
    <n v="10273"/>
    <n v="27"/>
    <n v="100"/>
    <n v="2700"/>
    <s v="Medium"/>
    <n v="810"/>
    <d v="2004-07-21T00:00:00"/>
    <x v="0"/>
    <x v="0"/>
    <x v="2"/>
    <x v="1"/>
    <s v="Jul-2004"/>
    <x v="3"/>
    <x v="56"/>
    <x v="14"/>
    <x v="1"/>
    <x v="0"/>
  </r>
  <r>
    <n v="10283"/>
    <n v="34"/>
    <n v="92.94"/>
    <n v="3159.96"/>
    <s v="Medium"/>
    <n v="947.98799999999994"/>
    <d v="2004-08-20T00:00:00"/>
    <x v="0"/>
    <x v="0"/>
    <x v="3"/>
    <x v="1"/>
    <s v="Aug-2004"/>
    <x v="3"/>
    <x v="57"/>
    <x v="10"/>
    <x v="0"/>
    <x v="1"/>
  </r>
  <r>
    <n v="10295"/>
    <n v="46"/>
    <n v="84.97"/>
    <n v="3908.62"/>
    <s v="Medium"/>
    <n v="1172.586"/>
    <d v="2004-09-10T00:00:00"/>
    <x v="0"/>
    <x v="0"/>
    <x v="10"/>
    <x v="1"/>
    <s v="Sep-2004"/>
    <x v="3"/>
    <x v="58"/>
    <x v="0"/>
    <x v="0"/>
    <x v="1"/>
  </r>
  <r>
    <n v="10306"/>
    <n v="31"/>
    <n v="84.08"/>
    <n v="2606.48"/>
    <s v="Medium"/>
    <n v="781.94399999999996"/>
    <d v="2004-10-14T00:00:00"/>
    <x v="0"/>
    <x v="0"/>
    <x v="4"/>
    <x v="1"/>
    <s v="Oct-2004"/>
    <x v="3"/>
    <x v="77"/>
    <x v="6"/>
    <x v="1"/>
    <x v="0"/>
  </r>
  <r>
    <n v="10315"/>
    <n v="24"/>
    <n v="86.74"/>
    <n v="2081.7599999999998"/>
    <s v="Medium"/>
    <n v="624.52799999999991"/>
    <d v="2004-10-29T00:00:00"/>
    <x v="0"/>
    <x v="0"/>
    <x v="4"/>
    <x v="1"/>
    <s v="Oct-2004"/>
    <x v="3"/>
    <x v="14"/>
    <x v="1"/>
    <x v="1"/>
    <x v="0"/>
  </r>
  <r>
    <n v="10326"/>
    <n v="41"/>
    <n v="85.85"/>
    <n v="3519.85"/>
    <s v="Medium"/>
    <n v="1055.9549999999999"/>
    <d v="2004-11-09T00:00:00"/>
    <x v="0"/>
    <x v="0"/>
    <x v="5"/>
    <x v="1"/>
    <s v="Nov-2004"/>
    <x v="3"/>
    <x v="24"/>
    <x v="8"/>
    <x v="1"/>
    <x v="1"/>
  </r>
  <r>
    <n v="10339"/>
    <n v="55"/>
    <n v="100"/>
    <n v="5500"/>
    <s v="High"/>
    <n v="1650"/>
    <d v="2004-11-23T00:00:00"/>
    <x v="0"/>
    <x v="0"/>
    <x v="5"/>
    <x v="1"/>
    <s v="Nov-2004"/>
    <x v="3"/>
    <x v="35"/>
    <x v="11"/>
    <x v="3"/>
    <x v="2"/>
  </r>
  <r>
    <n v="10350"/>
    <n v="30"/>
    <n v="100"/>
    <n v="3000"/>
    <s v="Medium"/>
    <n v="900"/>
    <d v="2004-12-02T00:00:00"/>
    <x v="0"/>
    <x v="0"/>
    <x v="6"/>
    <x v="1"/>
    <s v="Dec-2004"/>
    <x v="3"/>
    <x v="23"/>
    <x v="7"/>
    <x v="1"/>
    <x v="1"/>
  </r>
  <r>
    <n v="10373"/>
    <n v="33"/>
    <n v="57.32"/>
    <n v="1891.56"/>
    <s v="Low"/>
    <n v="567.46799999999996"/>
    <d v="2005-01-31T00:00:00"/>
    <x v="0"/>
    <x v="0"/>
    <x v="7"/>
    <x v="2"/>
    <s v="Jan-2005"/>
    <x v="3"/>
    <x v="60"/>
    <x v="4"/>
    <x v="1"/>
    <x v="0"/>
  </r>
  <r>
    <n v="10384"/>
    <n v="43"/>
    <n v="97.87"/>
    <n v="4208.41"/>
    <s v="Medium"/>
    <n v="1262.5229999999999"/>
    <d v="2005-02-23T00:00:00"/>
    <x v="0"/>
    <x v="0"/>
    <x v="0"/>
    <x v="2"/>
    <s v="Feb-2005"/>
    <x v="3"/>
    <x v="4"/>
    <x v="0"/>
    <x v="0"/>
    <x v="1"/>
  </r>
  <r>
    <n v="10396"/>
    <n v="27"/>
    <n v="83.2"/>
    <n v="2246.4"/>
    <s v="Medium"/>
    <n v="673.92"/>
    <d v="2005-03-23T00:00:00"/>
    <x v="0"/>
    <x v="0"/>
    <x v="11"/>
    <x v="2"/>
    <s v="Mar-2005"/>
    <x v="3"/>
    <x v="39"/>
    <x v="0"/>
    <x v="0"/>
    <x v="0"/>
  </r>
  <r>
    <n v="10414"/>
    <n v="60"/>
    <n v="100"/>
    <n v="6000"/>
    <s v="High"/>
    <n v="1800"/>
    <d v="2005-05-06T00:00:00"/>
    <x v="4"/>
    <x v="1"/>
    <x v="1"/>
    <x v="2"/>
    <s v="May-2005"/>
    <x v="3"/>
    <x v="58"/>
    <x v="0"/>
    <x v="0"/>
    <x v="1"/>
  </r>
  <r>
    <n v="10110"/>
    <n v="27"/>
    <n v="73.62"/>
    <n v="1987.7400000000002"/>
    <s v="Low"/>
    <n v="596.322"/>
    <d v="2003-03-18T00:00:00"/>
    <x v="0"/>
    <x v="0"/>
    <x v="11"/>
    <x v="0"/>
    <s v="Mar-2003"/>
    <x v="1"/>
    <x v="77"/>
    <x v="6"/>
    <x v="1"/>
    <x v="0"/>
  </r>
  <r>
    <n v="10124"/>
    <n v="49"/>
    <n v="83.04"/>
    <n v="4068.9600000000005"/>
    <s v="Medium"/>
    <n v="1220.6880000000001"/>
    <d v="2003-05-21T00:00:00"/>
    <x v="0"/>
    <x v="0"/>
    <x v="1"/>
    <x v="0"/>
    <s v="May-2003"/>
    <x v="1"/>
    <x v="84"/>
    <x v="0"/>
    <x v="0"/>
    <x v="1"/>
  </r>
  <r>
    <n v="10148"/>
    <n v="31"/>
    <n v="73.62"/>
    <n v="2282.2200000000003"/>
    <s v="Medium"/>
    <n v="684.66600000000005"/>
    <d v="2003-09-11T00:00:00"/>
    <x v="0"/>
    <x v="0"/>
    <x v="10"/>
    <x v="0"/>
    <s v="Sep-2003"/>
    <x v="1"/>
    <x v="42"/>
    <x v="3"/>
    <x v="2"/>
    <x v="0"/>
  </r>
  <r>
    <n v="10161"/>
    <n v="20"/>
    <n v="77.05"/>
    <n v="1541"/>
    <s v="Low"/>
    <n v="462.29999999999995"/>
    <d v="2003-10-17T00:00:00"/>
    <x v="0"/>
    <x v="0"/>
    <x v="4"/>
    <x v="0"/>
    <s v="Oct-2003"/>
    <x v="1"/>
    <x v="78"/>
    <x v="13"/>
    <x v="1"/>
    <x v="0"/>
  </r>
  <r>
    <n v="10172"/>
    <n v="24"/>
    <n v="81.33"/>
    <n v="1951.92"/>
    <s v="Low"/>
    <n v="585.57600000000002"/>
    <d v="2003-11-05T00:00:00"/>
    <x v="0"/>
    <x v="0"/>
    <x v="5"/>
    <x v="0"/>
    <s v="Nov-2003"/>
    <x v="1"/>
    <x v="13"/>
    <x v="0"/>
    <x v="0"/>
    <x v="0"/>
  </r>
  <r>
    <n v="10182"/>
    <n v="33"/>
    <n v="94.17"/>
    <n v="3107.61"/>
    <s v="Medium"/>
    <n v="932.28300000000002"/>
    <d v="2003-11-12T00:00:00"/>
    <x v="0"/>
    <x v="0"/>
    <x v="5"/>
    <x v="0"/>
    <s v="Nov-2003"/>
    <x v="1"/>
    <x v="39"/>
    <x v="0"/>
    <x v="0"/>
    <x v="1"/>
  </r>
  <r>
    <n v="10192"/>
    <n v="32"/>
    <n v="72.77"/>
    <n v="2328.64"/>
    <s v="Medium"/>
    <n v="698.59199999999998"/>
    <d v="2003-11-20T00:00:00"/>
    <x v="0"/>
    <x v="0"/>
    <x v="5"/>
    <x v="0"/>
    <s v="Nov-2003"/>
    <x v="1"/>
    <x v="40"/>
    <x v="0"/>
    <x v="0"/>
    <x v="0"/>
  </r>
  <r>
    <n v="10204"/>
    <n v="40"/>
    <n v="79.62"/>
    <n v="3184.8"/>
    <s v="Medium"/>
    <n v="955.44"/>
    <d v="2003-12-02T00:00:00"/>
    <x v="0"/>
    <x v="0"/>
    <x v="6"/>
    <x v="0"/>
    <s v="Dec-2003"/>
    <x v="1"/>
    <x v="74"/>
    <x v="0"/>
    <x v="0"/>
    <x v="1"/>
  </r>
  <r>
    <n v="10212"/>
    <n v="27"/>
    <n v="79.62"/>
    <n v="2149.7400000000002"/>
    <s v="Medium"/>
    <n v="644.92200000000003"/>
    <d v="2004-01-16T00:00:00"/>
    <x v="0"/>
    <x v="0"/>
    <x v="7"/>
    <x v="1"/>
    <s v="Jan-2004"/>
    <x v="1"/>
    <x v="23"/>
    <x v="7"/>
    <x v="1"/>
    <x v="0"/>
  </r>
  <r>
    <n v="10227"/>
    <n v="40"/>
    <n v="79.62"/>
    <n v="3184.8"/>
    <s v="Medium"/>
    <n v="955.44"/>
    <d v="2004-03-02T00:00:00"/>
    <x v="0"/>
    <x v="0"/>
    <x v="11"/>
    <x v="1"/>
    <s v="Mar-2004"/>
    <x v="1"/>
    <x v="30"/>
    <x v="1"/>
    <x v="1"/>
    <x v="1"/>
  </r>
  <r>
    <n v="10241"/>
    <n v="26"/>
    <n v="81.33"/>
    <n v="2114.58"/>
    <s v="Medium"/>
    <n v="634.37399999999991"/>
    <d v="2004-04-13T00:00:00"/>
    <x v="0"/>
    <x v="0"/>
    <x v="8"/>
    <x v="1"/>
    <s v="Apr-2004"/>
    <x v="1"/>
    <x v="83"/>
    <x v="1"/>
    <x v="1"/>
    <x v="0"/>
  </r>
  <r>
    <n v="10267"/>
    <n v="44"/>
    <n v="96.74"/>
    <n v="4256.5599999999995"/>
    <s v="Medium"/>
    <n v="1276.9679999999998"/>
    <d v="2004-07-07T00:00:00"/>
    <x v="0"/>
    <x v="0"/>
    <x v="2"/>
    <x v="1"/>
    <s v="Jul-2004"/>
    <x v="1"/>
    <x v="74"/>
    <x v="0"/>
    <x v="0"/>
    <x v="1"/>
  </r>
  <r>
    <n v="10279"/>
    <n v="33"/>
    <n v="71.06"/>
    <n v="2344.98"/>
    <s v="Medium"/>
    <n v="703.49400000000003"/>
    <d v="2004-08-09T00:00:00"/>
    <x v="0"/>
    <x v="0"/>
    <x v="3"/>
    <x v="1"/>
    <s v="Aug-2004"/>
    <x v="1"/>
    <x v="23"/>
    <x v="7"/>
    <x v="1"/>
    <x v="0"/>
  </r>
  <r>
    <n v="10288"/>
    <n v="34"/>
    <n v="68.489999999999995"/>
    <n v="2328.66"/>
    <s v="Medium"/>
    <n v="698.59799999999996"/>
    <d v="2004-09-01T00:00:00"/>
    <x v="0"/>
    <x v="0"/>
    <x v="10"/>
    <x v="1"/>
    <s v="Sep-2004"/>
    <x v="1"/>
    <x v="65"/>
    <x v="9"/>
    <x v="2"/>
    <x v="0"/>
  </r>
  <r>
    <n v="10302"/>
    <n v="48"/>
    <n v="74.48"/>
    <n v="3575.04"/>
    <s v="Medium"/>
    <n v="1072.5119999999999"/>
    <d v="2003-10-06T00:00:00"/>
    <x v="0"/>
    <x v="0"/>
    <x v="4"/>
    <x v="0"/>
    <s v="Oct-2003"/>
    <x v="1"/>
    <x v="22"/>
    <x v="6"/>
    <x v="1"/>
    <x v="1"/>
  </r>
  <r>
    <n v="10311"/>
    <n v="25"/>
    <n v="83.04"/>
    <n v="2076"/>
    <s v="Medium"/>
    <n v="622.79999999999995"/>
    <d v="2004-10-16T00:00:00"/>
    <x v="0"/>
    <x v="0"/>
    <x v="4"/>
    <x v="1"/>
    <s v="Oct-2004"/>
    <x v="1"/>
    <x v="23"/>
    <x v="7"/>
    <x v="1"/>
    <x v="0"/>
  </r>
  <r>
    <n v="10321"/>
    <n v="39"/>
    <n v="84.75"/>
    <n v="3305.25"/>
    <s v="Medium"/>
    <n v="991.57499999999993"/>
    <d v="2004-11-04T00:00:00"/>
    <x v="0"/>
    <x v="0"/>
    <x v="5"/>
    <x v="1"/>
    <s v="Nov-2004"/>
    <x v="1"/>
    <x v="21"/>
    <x v="0"/>
    <x v="0"/>
    <x v="1"/>
  </r>
  <r>
    <n v="10332"/>
    <n v="45"/>
    <n v="34.19"/>
    <n v="1538.55"/>
    <s v="Low"/>
    <n v="461.56499999999994"/>
    <d v="2004-11-17T00:00:00"/>
    <x v="0"/>
    <x v="0"/>
    <x v="5"/>
    <x v="1"/>
    <s v="Nov-2004"/>
    <x v="1"/>
    <x v="77"/>
    <x v="6"/>
    <x v="1"/>
    <x v="0"/>
  </r>
  <r>
    <n v="10346"/>
    <n v="24"/>
    <n v="100"/>
    <n v="2400"/>
    <s v="Medium"/>
    <n v="720"/>
    <d v="2004-11-29T00:00:00"/>
    <x v="0"/>
    <x v="0"/>
    <x v="5"/>
    <x v="1"/>
    <s v="Nov-2004"/>
    <x v="1"/>
    <x v="84"/>
    <x v="0"/>
    <x v="0"/>
    <x v="1"/>
  </r>
  <r>
    <n v="10368"/>
    <n v="46"/>
    <n v="79.62"/>
    <n v="3662.5200000000004"/>
    <s v="Medium"/>
    <n v="1098.7560000000001"/>
    <d v="2005-01-19T00:00:00"/>
    <x v="0"/>
    <x v="0"/>
    <x v="7"/>
    <x v="2"/>
    <s v="Jan-2005"/>
    <x v="1"/>
    <x v="39"/>
    <x v="0"/>
    <x v="0"/>
    <x v="1"/>
  </r>
  <r>
    <n v="10380"/>
    <n v="44"/>
    <n v="79.06"/>
    <n v="3478.6400000000003"/>
    <s v="Medium"/>
    <n v="1043.5920000000001"/>
    <d v="2005-02-16T00:00:00"/>
    <x v="0"/>
    <x v="0"/>
    <x v="0"/>
    <x v="2"/>
    <s v="Feb-2005"/>
    <x v="1"/>
    <x v="23"/>
    <x v="7"/>
    <x v="1"/>
    <x v="1"/>
  </r>
  <r>
    <n v="10407"/>
    <n v="13"/>
    <n v="81.33"/>
    <n v="1057.29"/>
    <s v="Low"/>
    <n v="317.18699999999995"/>
    <d v="2005-04-22T00:00:00"/>
    <x v="4"/>
    <x v="1"/>
    <x v="8"/>
    <x v="2"/>
    <s v="Apr-2005"/>
    <x v="1"/>
    <x v="61"/>
    <x v="0"/>
    <x v="0"/>
    <x v="0"/>
  </r>
  <r>
    <n v="10420"/>
    <n v="35"/>
    <n v="96.74"/>
    <n v="3385.8999999999996"/>
    <s v="Medium"/>
    <n v="1015.7699999999999"/>
    <d v="2005-05-29T00:00:00"/>
    <x v="2"/>
    <x v="1"/>
    <x v="1"/>
    <x v="2"/>
    <s v="May-2005"/>
    <x v="1"/>
    <x v="20"/>
    <x v="3"/>
    <x v="2"/>
    <x v="1"/>
  </r>
  <r>
    <n v="10108"/>
    <n v="30"/>
    <n v="63.07"/>
    <n v="1892.1"/>
    <s v="Low"/>
    <n v="567.63"/>
    <d v="2003-03-03T00:00:00"/>
    <x v="0"/>
    <x v="0"/>
    <x v="11"/>
    <x v="0"/>
    <s v="Mar-2003"/>
    <x v="1"/>
    <x v="66"/>
    <x v="15"/>
    <x v="3"/>
    <x v="0"/>
  </r>
  <r>
    <n v="10122"/>
    <n v="34"/>
    <n v="50.21"/>
    <n v="1707.14"/>
    <s v="Low"/>
    <n v="512.14200000000005"/>
    <d v="2003-05-08T00:00:00"/>
    <x v="0"/>
    <x v="0"/>
    <x v="1"/>
    <x v="0"/>
    <s v="May-2003"/>
    <x v="1"/>
    <x v="67"/>
    <x v="1"/>
    <x v="1"/>
    <x v="0"/>
  </r>
  <r>
    <n v="10135"/>
    <n v="27"/>
    <n v="66.13"/>
    <n v="1785.5099999999998"/>
    <s v="Low"/>
    <n v="535.65299999999991"/>
    <d v="2003-07-02T00:00:00"/>
    <x v="0"/>
    <x v="0"/>
    <x v="2"/>
    <x v="0"/>
    <s v="Jul-2003"/>
    <x v="1"/>
    <x v="39"/>
    <x v="0"/>
    <x v="0"/>
    <x v="0"/>
  </r>
  <r>
    <n v="10147"/>
    <n v="30"/>
    <n v="68.58"/>
    <n v="2057.4"/>
    <s v="Medium"/>
    <n v="617.22"/>
    <d v="2003-09-05T00:00:00"/>
    <x v="0"/>
    <x v="0"/>
    <x v="10"/>
    <x v="0"/>
    <s v="Sep-2003"/>
    <x v="1"/>
    <x v="41"/>
    <x v="0"/>
    <x v="0"/>
    <x v="0"/>
  </r>
  <r>
    <n v="10159"/>
    <n v="50"/>
    <n v="69.8"/>
    <n v="3490"/>
    <s v="Medium"/>
    <n v="1047"/>
    <d v="2003-10-10T00:00:00"/>
    <x v="0"/>
    <x v="0"/>
    <x v="4"/>
    <x v="0"/>
    <s v="Oct-2003"/>
    <x v="1"/>
    <x v="4"/>
    <x v="0"/>
    <x v="0"/>
    <x v="1"/>
  </r>
  <r>
    <n v="10169"/>
    <n v="34"/>
    <n v="50.21"/>
    <n v="1707.14"/>
    <s v="Low"/>
    <n v="512.14200000000005"/>
    <d v="2003-11-04T00:00:00"/>
    <x v="0"/>
    <x v="0"/>
    <x v="5"/>
    <x v="0"/>
    <s v="Nov-2003"/>
    <x v="1"/>
    <x v="42"/>
    <x v="3"/>
    <x v="2"/>
    <x v="0"/>
  </r>
  <r>
    <n v="10181"/>
    <n v="23"/>
    <n v="65.52"/>
    <n v="1506.9599999999998"/>
    <s v="Low"/>
    <n v="452.08799999999991"/>
    <d v="2003-11-12T00:00:00"/>
    <x v="0"/>
    <x v="0"/>
    <x v="5"/>
    <x v="0"/>
    <s v="Nov-2003"/>
    <x v="1"/>
    <x v="7"/>
    <x v="2"/>
    <x v="1"/>
    <x v="0"/>
  </r>
  <r>
    <n v="10191"/>
    <n v="48"/>
    <n v="60.01"/>
    <n v="2880.48"/>
    <s v="Medium"/>
    <n v="864.14400000000001"/>
    <d v="2003-11-20T00:00:00"/>
    <x v="0"/>
    <x v="0"/>
    <x v="5"/>
    <x v="0"/>
    <s v="Nov-2003"/>
    <x v="1"/>
    <x v="68"/>
    <x v="16"/>
    <x v="1"/>
    <x v="0"/>
  </r>
  <r>
    <n v="10203"/>
    <n v="34"/>
    <n v="64.900000000000006"/>
    <n v="2206.6000000000004"/>
    <s v="Medium"/>
    <n v="661.98000000000013"/>
    <d v="2003-12-02T00:00:00"/>
    <x v="0"/>
    <x v="0"/>
    <x v="6"/>
    <x v="0"/>
    <s v="Dec-2003"/>
    <x v="1"/>
    <x v="23"/>
    <x v="7"/>
    <x v="1"/>
    <x v="0"/>
  </r>
  <r>
    <n v="10211"/>
    <n v="48"/>
    <n v="48.98"/>
    <n v="2351.04"/>
    <s v="Medium"/>
    <n v="705.31200000000001"/>
    <d v="2004-01-15T00:00:00"/>
    <x v="0"/>
    <x v="0"/>
    <x v="7"/>
    <x v="1"/>
    <s v="Jan-2004"/>
    <x v="1"/>
    <x v="9"/>
    <x v="1"/>
    <x v="1"/>
    <x v="0"/>
  </r>
  <r>
    <n v="10225"/>
    <n v="24"/>
    <n v="50.21"/>
    <n v="1205.04"/>
    <s v="Low"/>
    <n v="361.512"/>
    <d v="2004-02-22T00:00:00"/>
    <x v="0"/>
    <x v="0"/>
    <x v="0"/>
    <x v="1"/>
    <s v="Feb-2004"/>
    <x v="1"/>
    <x v="69"/>
    <x v="17"/>
    <x v="1"/>
    <x v="0"/>
  </r>
  <r>
    <n v="10238"/>
    <n v="47"/>
    <n v="62.45"/>
    <n v="2935.15"/>
    <s v="Medium"/>
    <n v="880.54499999999996"/>
    <d v="2004-04-09T00:00:00"/>
    <x v="0"/>
    <x v="0"/>
    <x v="8"/>
    <x v="1"/>
    <s v="Apr-2004"/>
    <x v="1"/>
    <x v="48"/>
    <x v="13"/>
    <x v="1"/>
    <x v="0"/>
  </r>
  <r>
    <n v="10253"/>
    <n v="24"/>
    <n v="52.66"/>
    <n v="1263.8399999999999"/>
    <s v="Low"/>
    <n v="379.15199999999999"/>
    <d v="2004-06-01T00:00:00"/>
    <x v="3"/>
    <x v="1"/>
    <x v="9"/>
    <x v="1"/>
    <s v="Jun-2004"/>
    <x v="1"/>
    <x v="22"/>
    <x v="6"/>
    <x v="1"/>
    <x v="0"/>
  </r>
  <r>
    <n v="10266"/>
    <n v="47"/>
    <n v="62.45"/>
    <n v="2935.15"/>
    <s v="Medium"/>
    <n v="880.54499999999996"/>
    <d v="2004-07-06T00:00:00"/>
    <x v="0"/>
    <x v="0"/>
    <x v="2"/>
    <x v="1"/>
    <s v="Jul-2004"/>
    <x v="1"/>
    <x v="70"/>
    <x v="12"/>
    <x v="1"/>
    <x v="0"/>
  </r>
  <r>
    <n v="10276"/>
    <n v="20"/>
    <n v="61.23"/>
    <n v="1224.5999999999999"/>
    <s v="Low"/>
    <n v="367.37999999999994"/>
    <d v="2004-08-02T00:00:00"/>
    <x v="0"/>
    <x v="0"/>
    <x v="3"/>
    <x v="1"/>
    <s v="Aug-2004"/>
    <x v="1"/>
    <x v="71"/>
    <x v="0"/>
    <x v="0"/>
    <x v="0"/>
  </r>
  <r>
    <n v="10287"/>
    <n v="20"/>
    <n v="67.97"/>
    <n v="1359.4"/>
    <s v="Low"/>
    <n v="407.82"/>
    <d v="2004-08-30T00:00:00"/>
    <x v="0"/>
    <x v="0"/>
    <x v="3"/>
    <x v="1"/>
    <s v="Aug-2004"/>
    <x v="1"/>
    <x v="69"/>
    <x v="17"/>
    <x v="1"/>
    <x v="0"/>
  </r>
  <r>
    <n v="10300"/>
    <n v="31"/>
    <n v="58.78"/>
    <n v="1822.18"/>
    <s v="Low"/>
    <n v="546.654"/>
    <d v="2003-10-04T00:00:00"/>
    <x v="0"/>
    <x v="0"/>
    <x v="4"/>
    <x v="0"/>
    <s v="Oct-2003"/>
    <x v="1"/>
    <x v="72"/>
    <x v="16"/>
    <x v="1"/>
    <x v="0"/>
  </r>
  <r>
    <n v="10310"/>
    <n v="38"/>
    <n v="56.94"/>
    <n v="2163.7199999999998"/>
    <s v="Medium"/>
    <n v="649.11599999999987"/>
    <d v="2004-10-16T00:00:00"/>
    <x v="0"/>
    <x v="0"/>
    <x v="4"/>
    <x v="1"/>
    <s v="Oct-2004"/>
    <x v="1"/>
    <x v="68"/>
    <x v="16"/>
    <x v="1"/>
    <x v="0"/>
  </r>
  <r>
    <n v="10320"/>
    <n v="26"/>
    <n v="61.23"/>
    <n v="1591.98"/>
    <s v="Low"/>
    <n v="477.59399999999999"/>
    <d v="2004-11-03T00:00:00"/>
    <x v="0"/>
    <x v="0"/>
    <x v="5"/>
    <x v="1"/>
    <s v="Nov-2004"/>
    <x v="1"/>
    <x v="24"/>
    <x v="8"/>
    <x v="1"/>
    <x v="0"/>
  </r>
  <r>
    <n v="10331"/>
    <n v="25"/>
    <n v="100"/>
    <n v="2500"/>
    <s v="Medium"/>
    <n v="750"/>
    <d v="2004-11-17T00:00:00"/>
    <x v="0"/>
    <x v="0"/>
    <x v="5"/>
    <x v="1"/>
    <s v="Nov-2004"/>
    <x v="1"/>
    <x v="45"/>
    <x v="0"/>
    <x v="0"/>
    <x v="1"/>
  </r>
  <r>
    <n v="10342"/>
    <n v="48"/>
    <n v="62.45"/>
    <n v="2997.6000000000004"/>
    <s v="Medium"/>
    <n v="899.28000000000009"/>
    <d v="2004-11-24T00:00:00"/>
    <x v="0"/>
    <x v="0"/>
    <x v="5"/>
    <x v="1"/>
    <s v="Nov-2004"/>
    <x v="1"/>
    <x v="10"/>
    <x v="3"/>
    <x v="2"/>
    <x v="0"/>
  </r>
  <r>
    <n v="10355"/>
    <n v="44"/>
    <n v="62.45"/>
    <n v="2747.8"/>
    <s v="Medium"/>
    <n v="824.34"/>
    <d v="2004-12-07T00:00:00"/>
    <x v="0"/>
    <x v="0"/>
    <x v="6"/>
    <x v="1"/>
    <s v="Dec-2004"/>
    <x v="1"/>
    <x v="23"/>
    <x v="7"/>
    <x v="1"/>
    <x v="0"/>
  </r>
  <r>
    <n v="10363"/>
    <n v="21"/>
    <n v="100"/>
    <n v="2100"/>
    <s v="Medium"/>
    <n v="630"/>
    <d v="2005-01-06T00:00:00"/>
    <x v="0"/>
    <x v="0"/>
    <x v="7"/>
    <x v="2"/>
    <s v="Jan-2005"/>
    <x v="1"/>
    <x v="73"/>
    <x v="4"/>
    <x v="1"/>
    <x v="0"/>
  </r>
  <r>
    <n v="10378"/>
    <n v="46"/>
    <n v="41.54"/>
    <n v="1910.84"/>
    <s v="Low"/>
    <n v="573.25199999999995"/>
    <d v="2005-02-10T00:00:00"/>
    <x v="0"/>
    <x v="0"/>
    <x v="0"/>
    <x v="2"/>
    <s v="Feb-2005"/>
    <x v="1"/>
    <x v="23"/>
    <x v="7"/>
    <x v="1"/>
    <x v="0"/>
  </r>
  <r>
    <n v="10390"/>
    <n v="46"/>
    <n v="52.84"/>
    <n v="2430.6400000000003"/>
    <s v="Medium"/>
    <n v="729.19200000000012"/>
    <d v="2005-03-04T00:00:00"/>
    <x v="0"/>
    <x v="0"/>
    <x v="11"/>
    <x v="2"/>
    <s v="Mar-2005"/>
    <x v="1"/>
    <x v="39"/>
    <x v="0"/>
    <x v="0"/>
    <x v="0"/>
  </r>
  <r>
    <n v="10419"/>
    <n v="55"/>
    <n v="52.66"/>
    <n v="2896.2999999999997"/>
    <s v="Medium"/>
    <n v="868.88999999999987"/>
    <d v="2005-05-17T00:00:00"/>
    <x v="0"/>
    <x v="0"/>
    <x v="1"/>
    <x v="2"/>
    <s v="May-2005"/>
    <x v="1"/>
    <x v="19"/>
    <x v="5"/>
    <x v="1"/>
    <x v="0"/>
  </r>
  <r>
    <n v="10106"/>
    <n v="31"/>
    <n v="52.6"/>
    <n v="1630.6000000000001"/>
    <s v="Low"/>
    <n v="489.18"/>
    <d v="2003-02-17T00:00:00"/>
    <x v="0"/>
    <x v="0"/>
    <x v="0"/>
    <x v="0"/>
    <s v="Feb-2003"/>
    <x v="3"/>
    <x v="86"/>
    <x v="12"/>
    <x v="1"/>
    <x v="0"/>
  </r>
  <r>
    <n v="10119"/>
    <n v="20"/>
    <n v="72.98"/>
    <n v="1459.6000000000001"/>
    <s v="Low"/>
    <n v="437.88000000000005"/>
    <d v="2003-04-28T00:00:00"/>
    <x v="0"/>
    <x v="0"/>
    <x v="8"/>
    <x v="0"/>
    <s v="Apr-2003"/>
    <x v="3"/>
    <x v="19"/>
    <x v="5"/>
    <x v="1"/>
    <x v="0"/>
  </r>
  <r>
    <n v="10131"/>
    <n v="29"/>
    <n v="59.18"/>
    <n v="1716.22"/>
    <s v="Low"/>
    <n v="514.86599999999999"/>
    <d v="2003-06-16T00:00:00"/>
    <x v="0"/>
    <x v="0"/>
    <x v="9"/>
    <x v="0"/>
    <s v="Jun-2003"/>
    <x v="3"/>
    <x v="88"/>
    <x v="0"/>
    <x v="0"/>
    <x v="0"/>
  </r>
  <r>
    <n v="10143"/>
    <n v="33"/>
    <n v="77.59"/>
    <n v="2560.4700000000003"/>
    <s v="Medium"/>
    <n v="768.14100000000008"/>
    <d v="2003-08-10T00:00:00"/>
    <x v="0"/>
    <x v="0"/>
    <x v="3"/>
    <x v="0"/>
    <s v="Aug-2003"/>
    <x v="3"/>
    <x v="50"/>
    <x v="0"/>
    <x v="0"/>
    <x v="0"/>
  </r>
  <r>
    <n v="10155"/>
    <n v="34"/>
    <n v="55.89"/>
    <n v="1900.26"/>
    <s v="Low"/>
    <n v="570.07799999999997"/>
    <d v="2003-10-06T00:00:00"/>
    <x v="0"/>
    <x v="0"/>
    <x v="4"/>
    <x v="0"/>
    <s v="Oct-2003"/>
    <x v="3"/>
    <x v="16"/>
    <x v="4"/>
    <x v="1"/>
    <x v="0"/>
  </r>
  <r>
    <n v="10167"/>
    <n v="32"/>
    <n v="63.12"/>
    <n v="2019.84"/>
    <s v="Medium"/>
    <n v="605.952"/>
    <d v="2003-10-23T00:00:00"/>
    <x v="3"/>
    <x v="1"/>
    <x v="4"/>
    <x v="0"/>
    <s v="Oct-2003"/>
    <x v="3"/>
    <x v="37"/>
    <x v="8"/>
    <x v="1"/>
    <x v="0"/>
  </r>
  <r>
    <n v="10178"/>
    <n v="27"/>
    <n v="73.64"/>
    <n v="1988.28"/>
    <s v="Low"/>
    <n v="596.48399999999992"/>
    <d v="2003-11-08T00:00:00"/>
    <x v="0"/>
    <x v="0"/>
    <x v="5"/>
    <x v="0"/>
    <s v="Nov-2003"/>
    <x v="3"/>
    <x v="51"/>
    <x v="1"/>
    <x v="1"/>
    <x v="0"/>
  </r>
  <r>
    <n v="10186"/>
    <n v="21"/>
    <n v="69.040000000000006"/>
    <n v="1449.8400000000001"/>
    <s v="Low"/>
    <n v="434.95200000000006"/>
    <d v="2003-11-14T00:00:00"/>
    <x v="0"/>
    <x v="0"/>
    <x v="5"/>
    <x v="0"/>
    <s v="Nov-2003"/>
    <x v="3"/>
    <x v="52"/>
    <x v="6"/>
    <x v="1"/>
    <x v="0"/>
  </r>
  <r>
    <n v="10198"/>
    <n v="27"/>
    <n v="71.67"/>
    <n v="1935.0900000000001"/>
    <s v="Low"/>
    <n v="580.52700000000004"/>
    <d v="2003-11-27T00:00:00"/>
    <x v="0"/>
    <x v="0"/>
    <x v="5"/>
    <x v="0"/>
    <s v="Nov-2003"/>
    <x v="3"/>
    <x v="66"/>
    <x v="15"/>
    <x v="3"/>
    <x v="0"/>
  </r>
  <r>
    <n v="10209"/>
    <n v="36"/>
    <n v="77.59"/>
    <n v="2793.2400000000002"/>
    <s v="Medium"/>
    <n v="837.97200000000009"/>
    <d v="2004-01-09T00:00:00"/>
    <x v="0"/>
    <x v="0"/>
    <x v="7"/>
    <x v="1"/>
    <s v="Jan-2004"/>
    <x v="3"/>
    <x v="54"/>
    <x v="0"/>
    <x v="0"/>
    <x v="0"/>
  </r>
  <r>
    <n v="10222"/>
    <n v="43"/>
    <n v="70.349999999999994"/>
    <n v="3025.0499999999997"/>
    <s v="Medium"/>
    <n v="907.51499999999987"/>
    <d v="2004-02-19T00:00:00"/>
    <x v="0"/>
    <x v="0"/>
    <x v="0"/>
    <x v="1"/>
    <s v="Feb-2004"/>
    <x v="3"/>
    <x v="55"/>
    <x v="0"/>
    <x v="0"/>
    <x v="1"/>
  </r>
  <r>
    <n v="10249"/>
    <n v="25"/>
    <n v="69.7"/>
    <n v="1742.5"/>
    <s v="Low"/>
    <n v="522.75"/>
    <d v="2004-05-08T00:00:00"/>
    <x v="0"/>
    <x v="0"/>
    <x v="1"/>
    <x v="1"/>
    <s v="May-2004"/>
    <x v="3"/>
    <x v="33"/>
    <x v="0"/>
    <x v="0"/>
    <x v="0"/>
  </r>
  <r>
    <n v="10262"/>
    <n v="46"/>
    <n v="70.349999999999994"/>
    <n v="3236.1"/>
    <s v="Medium"/>
    <n v="970.82999999999993"/>
    <d v="2004-06-24T00:00:00"/>
    <x v="3"/>
    <x v="1"/>
    <x v="9"/>
    <x v="1"/>
    <s v="Jun-2004"/>
    <x v="3"/>
    <x v="23"/>
    <x v="7"/>
    <x v="1"/>
    <x v="1"/>
  </r>
  <r>
    <n v="10274"/>
    <n v="24"/>
    <n v="72.33"/>
    <n v="1735.92"/>
    <s v="Low"/>
    <n v="520.77599999999995"/>
    <d v="2004-07-21T00:00:00"/>
    <x v="0"/>
    <x v="0"/>
    <x v="2"/>
    <x v="1"/>
    <s v="Jul-2004"/>
    <x v="3"/>
    <x v="41"/>
    <x v="0"/>
    <x v="0"/>
    <x v="0"/>
  </r>
  <r>
    <n v="10284"/>
    <n v="39"/>
    <n v="71.67"/>
    <n v="2795.13"/>
    <s v="Medium"/>
    <n v="838.53899999999999"/>
    <d v="2004-08-21T00:00:00"/>
    <x v="0"/>
    <x v="0"/>
    <x v="3"/>
    <x v="1"/>
    <s v="Aug-2004"/>
    <x v="3"/>
    <x v="85"/>
    <x v="2"/>
    <x v="1"/>
    <x v="0"/>
  </r>
  <r>
    <n v="10296"/>
    <n v="31"/>
    <n v="53.92"/>
    <n v="1671.52"/>
    <s v="Low"/>
    <n v="501.45599999999996"/>
    <d v="2004-09-15T00:00:00"/>
    <x v="0"/>
    <x v="0"/>
    <x v="10"/>
    <x v="1"/>
    <s v="Sep-2004"/>
    <x v="3"/>
    <x v="89"/>
    <x v="16"/>
    <x v="1"/>
    <x v="0"/>
  </r>
  <r>
    <n v="10307"/>
    <n v="22"/>
    <n v="71.67"/>
    <n v="1576.74"/>
    <s v="Low"/>
    <n v="473.02199999999999"/>
    <d v="2004-10-14T00:00:00"/>
    <x v="0"/>
    <x v="0"/>
    <x v="4"/>
    <x v="1"/>
    <s v="Oct-2004"/>
    <x v="3"/>
    <x v="29"/>
    <x v="0"/>
    <x v="0"/>
    <x v="0"/>
  </r>
  <r>
    <n v="10316"/>
    <n v="47"/>
    <n v="76.930000000000007"/>
    <n v="3615.7100000000005"/>
    <s v="Medium"/>
    <n v="1084.7130000000002"/>
    <d v="2004-11-01T00:00:00"/>
    <x v="0"/>
    <x v="0"/>
    <x v="5"/>
    <x v="1"/>
    <s v="Nov-2004"/>
    <x v="3"/>
    <x v="59"/>
    <x v="6"/>
    <x v="1"/>
    <x v="1"/>
  </r>
  <r>
    <n v="10328"/>
    <n v="20"/>
    <n v="72.98"/>
    <n v="1459.6000000000001"/>
    <s v="Low"/>
    <n v="437.88000000000005"/>
    <d v="2004-11-12T00:00:00"/>
    <x v="0"/>
    <x v="0"/>
    <x v="5"/>
    <x v="1"/>
    <s v="Nov-2004"/>
    <x v="3"/>
    <x v="86"/>
    <x v="12"/>
    <x v="1"/>
    <x v="0"/>
  </r>
  <r>
    <n v="10339"/>
    <n v="29"/>
    <n v="99.69"/>
    <n v="2891.0099999999998"/>
    <s v="Medium"/>
    <n v="867.30299999999988"/>
    <d v="2004-11-23T00:00:00"/>
    <x v="0"/>
    <x v="0"/>
    <x v="5"/>
    <x v="1"/>
    <s v="Nov-2004"/>
    <x v="3"/>
    <x v="35"/>
    <x v="11"/>
    <x v="3"/>
    <x v="0"/>
  </r>
  <r>
    <n v="10351"/>
    <n v="38"/>
    <n v="68.38"/>
    <n v="2598.4399999999996"/>
    <s v="Medium"/>
    <n v="779.53199999999981"/>
    <d v="2004-12-03T00:00:00"/>
    <x v="0"/>
    <x v="0"/>
    <x v="6"/>
    <x v="1"/>
    <s v="Dec-2004"/>
    <x v="3"/>
    <x v="49"/>
    <x v="6"/>
    <x v="1"/>
    <x v="0"/>
  </r>
  <r>
    <n v="10361"/>
    <n v="34"/>
    <n v="100"/>
    <n v="3400"/>
    <s v="Medium"/>
    <n v="1020"/>
    <d v="2004-12-17T00:00:00"/>
    <x v="0"/>
    <x v="0"/>
    <x v="6"/>
    <x v="1"/>
    <s v="Dec-2004"/>
    <x v="3"/>
    <x v="20"/>
    <x v="3"/>
    <x v="2"/>
    <x v="1"/>
  </r>
  <r>
    <n v="10373"/>
    <n v="46"/>
    <n v="66"/>
    <n v="3036"/>
    <s v="Medium"/>
    <n v="910.8"/>
    <d v="2005-01-31T00:00:00"/>
    <x v="0"/>
    <x v="0"/>
    <x v="7"/>
    <x v="2"/>
    <s v="Jan-2005"/>
    <x v="3"/>
    <x v="60"/>
    <x v="4"/>
    <x v="1"/>
    <x v="1"/>
  </r>
  <r>
    <n v="10386"/>
    <n v="35"/>
    <n v="63.76"/>
    <n v="2231.6"/>
    <s v="Medium"/>
    <n v="669.4799999999999"/>
    <d v="2005-03-01T00:00:00"/>
    <x v="5"/>
    <x v="1"/>
    <x v="11"/>
    <x v="2"/>
    <s v="Mar-2005"/>
    <x v="3"/>
    <x v="23"/>
    <x v="7"/>
    <x v="1"/>
    <x v="0"/>
  </r>
  <r>
    <n v="10398"/>
    <n v="34"/>
    <n v="71.67"/>
    <n v="2436.7800000000002"/>
    <s v="Medium"/>
    <n v="731.03399999999999"/>
    <d v="2005-03-30T00:00:00"/>
    <x v="0"/>
    <x v="0"/>
    <x v="11"/>
    <x v="2"/>
    <s v="Mar-2005"/>
    <x v="3"/>
    <x v="1"/>
    <x v="1"/>
    <x v="1"/>
    <x v="0"/>
  </r>
  <r>
    <n v="10400"/>
    <n v="38"/>
    <n v="57.2"/>
    <n v="2173.6"/>
    <s v="Medium"/>
    <n v="652.07999999999993"/>
    <d v="2005-04-01T00:00:00"/>
    <x v="0"/>
    <x v="0"/>
    <x v="8"/>
    <x v="2"/>
    <s v="Apr-2005"/>
    <x v="3"/>
    <x v="61"/>
    <x v="0"/>
    <x v="0"/>
    <x v="0"/>
  </r>
  <r>
    <n v="10415"/>
    <n v="18"/>
    <n v="69.7"/>
    <n v="1254.6000000000001"/>
    <s v="Low"/>
    <n v="376.38000000000005"/>
    <d v="2005-05-09T00:00:00"/>
    <x v="1"/>
    <x v="1"/>
    <x v="1"/>
    <x v="2"/>
    <s v="May-2005"/>
    <x v="3"/>
    <x v="87"/>
    <x v="3"/>
    <x v="2"/>
    <x v="0"/>
  </r>
  <r>
    <n v="10110"/>
    <n v="37"/>
    <n v="100"/>
    <n v="3700"/>
    <s v="Medium"/>
    <n v="1110"/>
    <d v="2003-03-18T00:00:00"/>
    <x v="0"/>
    <x v="0"/>
    <x v="11"/>
    <x v="0"/>
    <s v="Mar-2003"/>
    <x v="1"/>
    <x v="77"/>
    <x v="6"/>
    <x v="1"/>
    <x v="1"/>
  </r>
  <r>
    <n v="10124"/>
    <n v="43"/>
    <n v="100"/>
    <n v="4300"/>
    <s v="Medium"/>
    <n v="1290"/>
    <d v="2003-05-21T00:00:00"/>
    <x v="0"/>
    <x v="0"/>
    <x v="1"/>
    <x v="0"/>
    <s v="May-2003"/>
    <x v="1"/>
    <x v="84"/>
    <x v="0"/>
    <x v="0"/>
    <x v="1"/>
  </r>
  <r>
    <n v="10148"/>
    <n v="27"/>
    <n v="100"/>
    <n v="2700"/>
    <s v="Medium"/>
    <n v="810"/>
    <d v="2003-09-11T00:00:00"/>
    <x v="0"/>
    <x v="0"/>
    <x v="10"/>
    <x v="0"/>
    <s v="Sep-2003"/>
    <x v="1"/>
    <x v="42"/>
    <x v="3"/>
    <x v="2"/>
    <x v="1"/>
  </r>
  <r>
    <n v="10161"/>
    <n v="30"/>
    <n v="100"/>
    <n v="3000"/>
    <s v="Medium"/>
    <n v="900"/>
    <d v="2003-10-17T00:00:00"/>
    <x v="0"/>
    <x v="0"/>
    <x v="4"/>
    <x v="0"/>
    <s v="Oct-2003"/>
    <x v="1"/>
    <x v="78"/>
    <x v="13"/>
    <x v="1"/>
    <x v="1"/>
  </r>
  <r>
    <n v="10172"/>
    <n v="22"/>
    <n v="98.51"/>
    <n v="2167.2200000000003"/>
    <s v="Medium"/>
    <n v="650.16600000000005"/>
    <d v="2003-11-05T00:00:00"/>
    <x v="0"/>
    <x v="0"/>
    <x v="5"/>
    <x v="0"/>
    <s v="Nov-2003"/>
    <x v="1"/>
    <x v="13"/>
    <x v="0"/>
    <x v="0"/>
    <x v="0"/>
  </r>
  <r>
    <n v="10182"/>
    <n v="49"/>
    <n v="100"/>
    <n v="4900"/>
    <s v="Medium"/>
    <n v="1470"/>
    <d v="2003-11-12T00:00:00"/>
    <x v="0"/>
    <x v="0"/>
    <x v="5"/>
    <x v="0"/>
    <s v="Nov-2003"/>
    <x v="1"/>
    <x v="39"/>
    <x v="0"/>
    <x v="0"/>
    <x v="1"/>
  </r>
  <r>
    <n v="10192"/>
    <n v="46"/>
    <n v="100"/>
    <n v="4600"/>
    <s v="Medium"/>
    <n v="1380"/>
    <d v="2003-11-20T00:00:00"/>
    <x v="0"/>
    <x v="0"/>
    <x v="5"/>
    <x v="0"/>
    <s v="Nov-2003"/>
    <x v="1"/>
    <x v="40"/>
    <x v="0"/>
    <x v="0"/>
    <x v="1"/>
  </r>
  <r>
    <n v="10204"/>
    <n v="48"/>
    <n v="91.02"/>
    <n v="4368.96"/>
    <s v="Medium"/>
    <n v="1310.6879999999999"/>
    <d v="2003-12-02T00:00:00"/>
    <x v="0"/>
    <x v="0"/>
    <x v="6"/>
    <x v="0"/>
    <s v="Dec-2003"/>
    <x v="1"/>
    <x v="74"/>
    <x v="0"/>
    <x v="0"/>
    <x v="1"/>
  </r>
  <r>
    <n v="10212"/>
    <n v="46"/>
    <n v="87.81"/>
    <n v="4039.26"/>
    <s v="Medium"/>
    <n v="1211.778"/>
    <d v="2004-01-16T00:00:00"/>
    <x v="0"/>
    <x v="0"/>
    <x v="7"/>
    <x v="1"/>
    <s v="Jan-2004"/>
    <x v="1"/>
    <x v="23"/>
    <x v="7"/>
    <x v="1"/>
    <x v="1"/>
  </r>
  <r>
    <n v="10226"/>
    <n v="48"/>
    <n v="92.09"/>
    <n v="4420.32"/>
    <s v="Medium"/>
    <n v="1326.0959999999998"/>
    <d v="2004-02-26T00:00:00"/>
    <x v="0"/>
    <x v="0"/>
    <x v="0"/>
    <x v="1"/>
    <s v="Feb-2004"/>
    <x v="1"/>
    <x v="55"/>
    <x v="0"/>
    <x v="0"/>
    <x v="1"/>
  </r>
  <r>
    <n v="10241"/>
    <n v="27"/>
    <n v="86.73"/>
    <n v="2341.71"/>
    <s v="Medium"/>
    <n v="702.51300000000003"/>
    <d v="2004-04-13T00:00:00"/>
    <x v="0"/>
    <x v="0"/>
    <x v="8"/>
    <x v="1"/>
    <s v="Apr-2004"/>
    <x v="1"/>
    <x v="83"/>
    <x v="1"/>
    <x v="1"/>
    <x v="0"/>
  </r>
  <r>
    <n v="10267"/>
    <n v="43"/>
    <n v="100"/>
    <n v="4300"/>
    <s v="Medium"/>
    <n v="1290"/>
    <d v="2004-07-07T00:00:00"/>
    <x v="0"/>
    <x v="0"/>
    <x v="2"/>
    <x v="1"/>
    <s v="Jul-2004"/>
    <x v="1"/>
    <x v="74"/>
    <x v="0"/>
    <x v="0"/>
    <x v="1"/>
  </r>
  <r>
    <n v="10279"/>
    <n v="48"/>
    <n v="100"/>
    <n v="4800"/>
    <s v="Medium"/>
    <n v="1440"/>
    <d v="2004-08-09T00:00:00"/>
    <x v="0"/>
    <x v="0"/>
    <x v="3"/>
    <x v="1"/>
    <s v="Aug-2004"/>
    <x v="1"/>
    <x v="23"/>
    <x v="7"/>
    <x v="1"/>
    <x v="1"/>
  </r>
  <r>
    <n v="10288"/>
    <n v="41"/>
    <n v="100"/>
    <n v="4100"/>
    <s v="Medium"/>
    <n v="1230"/>
    <d v="2004-09-01T00:00:00"/>
    <x v="0"/>
    <x v="0"/>
    <x v="10"/>
    <x v="1"/>
    <s v="Sep-2004"/>
    <x v="1"/>
    <x v="65"/>
    <x v="9"/>
    <x v="2"/>
    <x v="1"/>
  </r>
  <r>
    <n v="10301"/>
    <n v="22"/>
    <n v="96.37"/>
    <n v="2120.1400000000003"/>
    <s v="Medium"/>
    <n v="636.04200000000003"/>
    <d v="2003-10-05T00:00:00"/>
    <x v="0"/>
    <x v="0"/>
    <x v="4"/>
    <x v="0"/>
    <s v="Oct-2003"/>
    <x v="1"/>
    <x v="85"/>
    <x v="2"/>
    <x v="1"/>
    <x v="0"/>
  </r>
  <r>
    <n v="10311"/>
    <n v="46"/>
    <n v="92.09"/>
    <n v="4236.1400000000003"/>
    <s v="Medium"/>
    <n v="1270.8420000000001"/>
    <d v="2004-10-16T00:00:00"/>
    <x v="0"/>
    <x v="0"/>
    <x v="4"/>
    <x v="1"/>
    <s v="Oct-2004"/>
    <x v="1"/>
    <x v="23"/>
    <x v="7"/>
    <x v="1"/>
    <x v="1"/>
  </r>
  <r>
    <n v="10321"/>
    <n v="21"/>
    <n v="89.95"/>
    <n v="1888.95"/>
    <s v="Low"/>
    <n v="566.68499999999995"/>
    <d v="2004-11-04T00:00:00"/>
    <x v="0"/>
    <x v="0"/>
    <x v="5"/>
    <x v="1"/>
    <s v="Nov-2004"/>
    <x v="1"/>
    <x v="21"/>
    <x v="0"/>
    <x v="0"/>
    <x v="0"/>
  </r>
  <r>
    <n v="10332"/>
    <n v="31"/>
    <n v="37.18"/>
    <n v="1152.58"/>
    <s v="Low"/>
    <n v="345.77399999999994"/>
    <d v="2004-11-17T00:00:00"/>
    <x v="0"/>
    <x v="0"/>
    <x v="5"/>
    <x v="1"/>
    <s v="Nov-2004"/>
    <x v="1"/>
    <x v="77"/>
    <x v="6"/>
    <x v="1"/>
    <x v="0"/>
  </r>
  <r>
    <n v="10346"/>
    <n v="26"/>
    <n v="95.88"/>
    <n v="2492.88"/>
    <s v="Medium"/>
    <n v="747.86400000000003"/>
    <d v="2004-11-29T00:00:00"/>
    <x v="0"/>
    <x v="0"/>
    <x v="5"/>
    <x v="1"/>
    <s v="Nov-2004"/>
    <x v="1"/>
    <x v="84"/>
    <x v="0"/>
    <x v="0"/>
    <x v="0"/>
  </r>
  <r>
    <n v="10368"/>
    <n v="20"/>
    <n v="99.58"/>
    <n v="1991.6"/>
    <s v="Low"/>
    <n v="597.4799999999999"/>
    <d v="2005-01-19T00:00:00"/>
    <x v="0"/>
    <x v="0"/>
    <x v="7"/>
    <x v="2"/>
    <s v="Jan-2005"/>
    <x v="1"/>
    <x v="39"/>
    <x v="0"/>
    <x v="0"/>
    <x v="0"/>
  </r>
  <r>
    <n v="10380"/>
    <n v="34"/>
    <n v="100"/>
    <n v="3400"/>
    <s v="Medium"/>
    <n v="1020"/>
    <d v="2005-02-16T00:00:00"/>
    <x v="0"/>
    <x v="0"/>
    <x v="0"/>
    <x v="2"/>
    <s v="Feb-2005"/>
    <x v="1"/>
    <x v="23"/>
    <x v="7"/>
    <x v="1"/>
    <x v="1"/>
  </r>
  <r>
    <n v="10407"/>
    <n v="43"/>
    <n v="86.73"/>
    <n v="3729.3900000000003"/>
    <s v="Medium"/>
    <n v="1118.817"/>
    <d v="2005-04-22T00:00:00"/>
    <x v="4"/>
    <x v="1"/>
    <x v="8"/>
    <x v="2"/>
    <s v="Apr-2005"/>
    <x v="1"/>
    <x v="61"/>
    <x v="0"/>
    <x v="0"/>
    <x v="1"/>
  </r>
  <r>
    <n v="10420"/>
    <n v="26"/>
    <n v="100"/>
    <n v="2600"/>
    <s v="Medium"/>
    <n v="780"/>
    <d v="2005-05-29T00:00:00"/>
    <x v="2"/>
    <x v="1"/>
    <x v="1"/>
    <x v="2"/>
    <s v="May-2005"/>
    <x v="1"/>
    <x v="20"/>
    <x v="3"/>
    <x v="2"/>
    <x v="0"/>
  </r>
  <r>
    <n v="10105"/>
    <n v="50"/>
    <n v="79.67"/>
    <n v="3983.5"/>
    <s v="Medium"/>
    <n v="1195.05"/>
    <d v="2003-02-11T00:00:00"/>
    <x v="0"/>
    <x v="0"/>
    <x v="0"/>
    <x v="0"/>
    <s v="Feb-2003"/>
    <x v="3"/>
    <x v="48"/>
    <x v="13"/>
    <x v="1"/>
    <x v="1"/>
  </r>
  <r>
    <n v="10119"/>
    <n v="35"/>
    <n v="90.57"/>
    <n v="3169.95"/>
    <s v="Medium"/>
    <n v="950.9849999999999"/>
    <d v="2003-04-28T00:00:00"/>
    <x v="0"/>
    <x v="0"/>
    <x v="8"/>
    <x v="0"/>
    <s v="Apr-2003"/>
    <x v="3"/>
    <x v="19"/>
    <x v="5"/>
    <x v="1"/>
    <x v="1"/>
  </r>
  <r>
    <n v="10129"/>
    <n v="50"/>
    <n v="77.989999999999995"/>
    <n v="3899.4999999999995"/>
    <s v="Medium"/>
    <n v="1169.8499999999999"/>
    <d v="2003-06-12T00:00:00"/>
    <x v="0"/>
    <x v="0"/>
    <x v="9"/>
    <x v="0"/>
    <s v="Jun-2003"/>
    <x v="3"/>
    <x v="49"/>
    <x v="6"/>
    <x v="1"/>
    <x v="1"/>
  </r>
  <r>
    <n v="10143"/>
    <n v="23"/>
    <n v="80.510000000000005"/>
    <n v="1851.73"/>
    <s v="Low"/>
    <n v="555.51900000000001"/>
    <d v="2003-08-10T00:00:00"/>
    <x v="0"/>
    <x v="0"/>
    <x v="3"/>
    <x v="0"/>
    <s v="Aug-2003"/>
    <x v="3"/>
    <x v="50"/>
    <x v="0"/>
    <x v="0"/>
    <x v="0"/>
  </r>
  <r>
    <n v="10155"/>
    <n v="37"/>
    <n v="67.930000000000007"/>
    <n v="2513.4100000000003"/>
    <s v="Medium"/>
    <n v="754.02300000000002"/>
    <d v="2003-10-06T00:00:00"/>
    <x v="0"/>
    <x v="0"/>
    <x v="4"/>
    <x v="0"/>
    <s v="Oct-2003"/>
    <x v="3"/>
    <x v="16"/>
    <x v="4"/>
    <x v="1"/>
    <x v="0"/>
  </r>
  <r>
    <n v="10167"/>
    <n v="29"/>
    <n v="83.86"/>
    <n v="2431.94"/>
    <s v="Medium"/>
    <n v="729.58199999999999"/>
    <d v="2003-10-23T00:00:00"/>
    <x v="3"/>
    <x v="1"/>
    <x v="4"/>
    <x v="0"/>
    <s v="Oct-2003"/>
    <x v="3"/>
    <x v="37"/>
    <x v="8"/>
    <x v="1"/>
    <x v="0"/>
  </r>
  <r>
    <n v="10178"/>
    <n v="21"/>
    <n v="72.12"/>
    <n v="1514.52"/>
    <s v="Low"/>
    <n v="454.35599999999999"/>
    <d v="2003-11-08T00:00:00"/>
    <x v="0"/>
    <x v="0"/>
    <x v="5"/>
    <x v="0"/>
    <s v="Nov-2003"/>
    <x v="3"/>
    <x v="51"/>
    <x v="1"/>
    <x v="1"/>
    <x v="0"/>
  </r>
  <r>
    <n v="10186"/>
    <n v="36"/>
    <n v="85.54"/>
    <n v="3079.44"/>
    <s v="Medium"/>
    <n v="923.83199999999999"/>
    <d v="2003-11-14T00:00:00"/>
    <x v="0"/>
    <x v="0"/>
    <x v="5"/>
    <x v="0"/>
    <s v="Nov-2003"/>
    <x v="3"/>
    <x v="52"/>
    <x v="6"/>
    <x v="1"/>
    <x v="1"/>
  </r>
  <r>
    <n v="10197"/>
    <n v="22"/>
    <n v="86.38"/>
    <n v="1900.36"/>
    <s v="Low"/>
    <n v="570.10799999999995"/>
    <d v="2003-11-26T00:00:00"/>
    <x v="0"/>
    <x v="0"/>
    <x v="5"/>
    <x v="0"/>
    <s v="Nov-2003"/>
    <x v="3"/>
    <x v="53"/>
    <x v="7"/>
    <x v="1"/>
    <x v="0"/>
  </r>
  <r>
    <n v="10209"/>
    <n v="22"/>
    <n v="89.73"/>
    <n v="1974.0600000000002"/>
    <s v="Low"/>
    <n v="592.21800000000007"/>
    <d v="2004-01-09T00:00:00"/>
    <x v="0"/>
    <x v="0"/>
    <x v="7"/>
    <x v="1"/>
    <s v="Jan-2004"/>
    <x v="3"/>
    <x v="54"/>
    <x v="0"/>
    <x v="0"/>
    <x v="0"/>
  </r>
  <r>
    <n v="10222"/>
    <n v="46"/>
    <n v="80.510000000000005"/>
    <n v="3703.46"/>
    <s v="Medium"/>
    <n v="1111.038"/>
    <d v="2004-02-19T00:00:00"/>
    <x v="0"/>
    <x v="0"/>
    <x v="0"/>
    <x v="1"/>
    <s v="Feb-2004"/>
    <x v="3"/>
    <x v="55"/>
    <x v="0"/>
    <x v="0"/>
    <x v="1"/>
  </r>
  <r>
    <n v="10248"/>
    <n v="23"/>
    <n v="76.31"/>
    <n v="1755.13"/>
    <s v="Low"/>
    <n v="526.53899999999999"/>
    <d v="2004-05-07T00:00:00"/>
    <x v="3"/>
    <x v="1"/>
    <x v="1"/>
    <x v="1"/>
    <s v="May-2004"/>
    <x v="3"/>
    <x v="0"/>
    <x v="0"/>
    <x v="0"/>
    <x v="0"/>
  </r>
  <r>
    <n v="10262"/>
    <n v="49"/>
    <n v="87.21"/>
    <n v="4273.29"/>
    <s v="Medium"/>
    <n v="1281.9869999999999"/>
    <d v="2004-06-24T00:00:00"/>
    <x v="3"/>
    <x v="1"/>
    <x v="9"/>
    <x v="1"/>
    <s v="Jun-2004"/>
    <x v="3"/>
    <x v="23"/>
    <x v="7"/>
    <x v="1"/>
    <x v="1"/>
  </r>
  <r>
    <n v="10273"/>
    <n v="48"/>
    <n v="83.02"/>
    <n v="3984.96"/>
    <s v="Medium"/>
    <n v="1195.4880000000001"/>
    <d v="2004-07-21T00:00:00"/>
    <x v="0"/>
    <x v="0"/>
    <x v="2"/>
    <x v="1"/>
    <s v="Jul-2004"/>
    <x v="3"/>
    <x v="56"/>
    <x v="14"/>
    <x v="1"/>
    <x v="1"/>
  </r>
  <r>
    <n v="10283"/>
    <n v="33"/>
    <n v="72.959999999999994"/>
    <n v="2407.6799999999998"/>
    <s v="Medium"/>
    <n v="722.30399999999997"/>
    <d v="2004-08-20T00:00:00"/>
    <x v="0"/>
    <x v="0"/>
    <x v="3"/>
    <x v="1"/>
    <s v="Aug-2004"/>
    <x v="3"/>
    <x v="57"/>
    <x v="10"/>
    <x v="0"/>
    <x v="0"/>
  </r>
  <r>
    <n v="10296"/>
    <n v="22"/>
    <n v="77.150000000000006"/>
    <n v="1697.3000000000002"/>
    <s v="Low"/>
    <n v="509.19000000000005"/>
    <d v="2004-09-15T00:00:00"/>
    <x v="0"/>
    <x v="0"/>
    <x v="10"/>
    <x v="1"/>
    <s v="Sep-2004"/>
    <x v="3"/>
    <x v="89"/>
    <x v="16"/>
    <x v="1"/>
    <x v="0"/>
  </r>
  <r>
    <n v="10307"/>
    <n v="22"/>
    <n v="91.41"/>
    <n v="2011.02"/>
    <s v="Medium"/>
    <n v="603.30599999999993"/>
    <d v="2004-10-14T00:00:00"/>
    <x v="0"/>
    <x v="0"/>
    <x v="4"/>
    <x v="1"/>
    <s v="Oct-2004"/>
    <x v="3"/>
    <x v="29"/>
    <x v="0"/>
    <x v="0"/>
    <x v="0"/>
  </r>
  <r>
    <n v="10316"/>
    <n v="25"/>
    <n v="92.25"/>
    <n v="2306.25"/>
    <s v="Medium"/>
    <n v="691.875"/>
    <d v="2004-11-01T00:00:00"/>
    <x v="0"/>
    <x v="0"/>
    <x v="5"/>
    <x v="1"/>
    <s v="Nov-2004"/>
    <x v="3"/>
    <x v="59"/>
    <x v="6"/>
    <x v="1"/>
    <x v="0"/>
  </r>
  <r>
    <n v="10326"/>
    <n v="20"/>
    <n v="92.25"/>
    <n v="1845"/>
    <s v="Low"/>
    <n v="553.5"/>
    <d v="2004-11-09T00:00:00"/>
    <x v="0"/>
    <x v="0"/>
    <x v="5"/>
    <x v="1"/>
    <s v="Nov-2004"/>
    <x v="3"/>
    <x v="24"/>
    <x v="8"/>
    <x v="1"/>
    <x v="0"/>
  </r>
  <r>
    <n v="10339"/>
    <n v="42"/>
    <n v="59.36"/>
    <n v="2493.12"/>
    <s v="Medium"/>
    <n v="747.93599999999992"/>
    <d v="2004-11-23T00:00:00"/>
    <x v="0"/>
    <x v="0"/>
    <x v="5"/>
    <x v="1"/>
    <s v="Nov-2004"/>
    <x v="3"/>
    <x v="35"/>
    <x v="11"/>
    <x v="3"/>
    <x v="0"/>
  </r>
  <r>
    <n v="10350"/>
    <n v="25"/>
    <n v="60.34"/>
    <n v="1508.5"/>
    <s v="Low"/>
    <n v="452.55"/>
    <d v="2004-12-02T00:00:00"/>
    <x v="0"/>
    <x v="0"/>
    <x v="6"/>
    <x v="1"/>
    <s v="Dec-2004"/>
    <x v="3"/>
    <x v="23"/>
    <x v="7"/>
    <x v="1"/>
    <x v="0"/>
  </r>
  <r>
    <n v="10373"/>
    <n v="23"/>
    <n v="100"/>
    <n v="2300"/>
    <s v="Medium"/>
    <n v="690"/>
    <d v="2005-01-31T00:00:00"/>
    <x v="0"/>
    <x v="0"/>
    <x v="7"/>
    <x v="2"/>
    <s v="Jan-2005"/>
    <x v="3"/>
    <x v="60"/>
    <x v="4"/>
    <x v="1"/>
    <x v="0"/>
  </r>
  <r>
    <n v="10385"/>
    <n v="37"/>
    <n v="85.54"/>
    <n v="3164.98"/>
    <s v="Medium"/>
    <n v="949.49399999999991"/>
    <d v="2005-02-28T00:00:00"/>
    <x v="0"/>
    <x v="0"/>
    <x v="0"/>
    <x v="2"/>
    <s v="Feb-2005"/>
    <x v="3"/>
    <x v="39"/>
    <x v="0"/>
    <x v="0"/>
    <x v="1"/>
  </r>
  <r>
    <n v="10396"/>
    <n v="37"/>
    <n v="90.57"/>
    <n v="3351.0899999999997"/>
    <s v="Medium"/>
    <n v="1005.3269999999999"/>
    <d v="2005-03-23T00:00:00"/>
    <x v="0"/>
    <x v="0"/>
    <x v="11"/>
    <x v="2"/>
    <s v="Mar-2005"/>
    <x v="3"/>
    <x v="39"/>
    <x v="0"/>
    <x v="0"/>
    <x v="1"/>
  </r>
  <r>
    <n v="10400"/>
    <n v="42"/>
    <n v="72.959999999999994"/>
    <n v="3064.3199999999997"/>
    <s v="Medium"/>
    <n v="919.29599999999994"/>
    <d v="2005-04-01T00:00:00"/>
    <x v="0"/>
    <x v="0"/>
    <x v="8"/>
    <x v="2"/>
    <s v="Apr-2005"/>
    <x v="3"/>
    <x v="61"/>
    <x v="0"/>
    <x v="0"/>
    <x v="1"/>
  </r>
  <r>
    <n v="10414"/>
    <n v="51"/>
    <n v="76.31"/>
    <n v="3891.81"/>
    <s v="Medium"/>
    <n v="1167.5429999999999"/>
    <d v="2005-05-06T00:00:00"/>
    <x v="4"/>
    <x v="1"/>
    <x v="1"/>
    <x v="2"/>
    <s v="May-2005"/>
    <x v="3"/>
    <x v="58"/>
    <x v="0"/>
    <x v="0"/>
    <x v="1"/>
  </r>
  <r>
    <n v="10108"/>
    <n v="40"/>
    <n v="100"/>
    <n v="4000"/>
    <s v="Medium"/>
    <n v="1200"/>
    <d v="2003-03-03T00:00:00"/>
    <x v="0"/>
    <x v="0"/>
    <x v="11"/>
    <x v="0"/>
    <s v="Mar-2003"/>
    <x v="1"/>
    <x v="66"/>
    <x v="15"/>
    <x v="3"/>
    <x v="1"/>
  </r>
  <r>
    <n v="10122"/>
    <n v="43"/>
    <n v="100"/>
    <n v="4300"/>
    <s v="Medium"/>
    <n v="1290"/>
    <d v="2003-05-08T00:00:00"/>
    <x v="0"/>
    <x v="0"/>
    <x v="1"/>
    <x v="0"/>
    <s v="May-2003"/>
    <x v="1"/>
    <x v="67"/>
    <x v="1"/>
    <x v="1"/>
    <x v="1"/>
  </r>
  <r>
    <n v="10135"/>
    <n v="47"/>
    <n v="100"/>
    <n v="4700"/>
    <s v="Medium"/>
    <n v="1410"/>
    <d v="2003-07-02T00:00:00"/>
    <x v="0"/>
    <x v="0"/>
    <x v="2"/>
    <x v="0"/>
    <s v="Jul-2003"/>
    <x v="1"/>
    <x v="39"/>
    <x v="0"/>
    <x v="0"/>
    <x v="1"/>
  </r>
  <r>
    <n v="10147"/>
    <n v="23"/>
    <n v="100"/>
    <n v="2300"/>
    <s v="Medium"/>
    <n v="690"/>
    <d v="2003-09-05T00:00:00"/>
    <x v="0"/>
    <x v="0"/>
    <x v="10"/>
    <x v="0"/>
    <s v="Sep-2003"/>
    <x v="1"/>
    <x v="41"/>
    <x v="0"/>
    <x v="0"/>
    <x v="0"/>
  </r>
  <r>
    <n v="10160"/>
    <n v="35"/>
    <n v="100"/>
    <n v="3500"/>
    <s v="Medium"/>
    <n v="1050"/>
    <d v="2003-10-11T00:00:00"/>
    <x v="0"/>
    <x v="0"/>
    <x v="4"/>
    <x v="0"/>
    <s v="Oct-2003"/>
    <x v="1"/>
    <x v="54"/>
    <x v="0"/>
    <x v="0"/>
    <x v="1"/>
  </r>
  <r>
    <n v="10170"/>
    <n v="34"/>
    <n v="100"/>
    <n v="3400"/>
    <s v="Medium"/>
    <n v="1020"/>
    <d v="2003-11-04T00:00:00"/>
    <x v="0"/>
    <x v="0"/>
    <x v="5"/>
    <x v="0"/>
    <s v="Nov-2003"/>
    <x v="1"/>
    <x v="63"/>
    <x v="5"/>
    <x v="1"/>
    <x v="1"/>
  </r>
  <r>
    <n v="10181"/>
    <n v="25"/>
    <n v="100"/>
    <n v="2500"/>
    <s v="Medium"/>
    <n v="750"/>
    <d v="2003-11-12T00:00:00"/>
    <x v="0"/>
    <x v="0"/>
    <x v="5"/>
    <x v="0"/>
    <s v="Nov-2003"/>
    <x v="1"/>
    <x v="7"/>
    <x v="2"/>
    <x v="1"/>
    <x v="1"/>
  </r>
  <r>
    <n v="10192"/>
    <n v="45"/>
    <n v="100"/>
    <n v="4500"/>
    <s v="Medium"/>
    <n v="1350"/>
    <d v="2003-11-20T00:00:00"/>
    <x v="0"/>
    <x v="0"/>
    <x v="5"/>
    <x v="0"/>
    <s v="Nov-2003"/>
    <x v="1"/>
    <x v="40"/>
    <x v="0"/>
    <x v="0"/>
    <x v="1"/>
  </r>
  <r>
    <n v="10203"/>
    <n v="47"/>
    <n v="100"/>
    <n v="4700"/>
    <s v="Medium"/>
    <n v="1410"/>
    <d v="2003-12-02T00:00:00"/>
    <x v="0"/>
    <x v="0"/>
    <x v="6"/>
    <x v="0"/>
    <s v="Dec-2003"/>
    <x v="1"/>
    <x v="23"/>
    <x v="7"/>
    <x v="1"/>
    <x v="1"/>
  </r>
  <r>
    <n v="10212"/>
    <n v="49"/>
    <n v="100"/>
    <n v="4900"/>
    <s v="Medium"/>
    <n v="1470"/>
    <d v="2004-01-16T00:00:00"/>
    <x v="0"/>
    <x v="0"/>
    <x v="7"/>
    <x v="1"/>
    <s v="Jan-2004"/>
    <x v="1"/>
    <x v="23"/>
    <x v="7"/>
    <x v="1"/>
    <x v="1"/>
  </r>
  <r>
    <n v="10225"/>
    <n v="40"/>
    <n v="100"/>
    <n v="4000"/>
    <s v="Medium"/>
    <n v="1200"/>
    <d v="2004-02-22T00:00:00"/>
    <x v="0"/>
    <x v="0"/>
    <x v="0"/>
    <x v="1"/>
    <s v="Feb-2004"/>
    <x v="1"/>
    <x v="69"/>
    <x v="17"/>
    <x v="1"/>
    <x v="1"/>
  </r>
  <r>
    <n v="10239"/>
    <n v="29"/>
    <n v="100"/>
    <n v="2900"/>
    <s v="Medium"/>
    <n v="870"/>
    <d v="2004-04-12T00:00:00"/>
    <x v="0"/>
    <x v="0"/>
    <x v="8"/>
    <x v="1"/>
    <s v="Apr-2004"/>
    <x v="1"/>
    <x v="60"/>
    <x v="4"/>
    <x v="1"/>
    <x v="1"/>
  </r>
  <r>
    <n v="10253"/>
    <n v="39"/>
    <n v="100"/>
    <n v="3900"/>
    <s v="Medium"/>
    <n v="1170"/>
    <d v="2004-06-01T00:00:00"/>
    <x v="3"/>
    <x v="1"/>
    <x v="9"/>
    <x v="1"/>
    <s v="Jun-2004"/>
    <x v="1"/>
    <x v="22"/>
    <x v="6"/>
    <x v="1"/>
    <x v="1"/>
  </r>
  <r>
    <n v="10266"/>
    <n v="24"/>
    <n v="100"/>
    <n v="2400"/>
    <s v="Medium"/>
    <n v="720"/>
    <d v="2004-07-06T00:00:00"/>
    <x v="0"/>
    <x v="0"/>
    <x v="2"/>
    <x v="1"/>
    <s v="Jul-2004"/>
    <x v="1"/>
    <x v="70"/>
    <x v="12"/>
    <x v="1"/>
    <x v="0"/>
  </r>
  <r>
    <n v="10278"/>
    <n v="25"/>
    <n v="100"/>
    <n v="2500"/>
    <s v="Medium"/>
    <n v="750"/>
    <d v="2004-08-06T00:00:00"/>
    <x v="0"/>
    <x v="0"/>
    <x v="3"/>
    <x v="1"/>
    <s v="Aug-2004"/>
    <x v="1"/>
    <x v="84"/>
    <x v="0"/>
    <x v="0"/>
    <x v="1"/>
  </r>
  <r>
    <n v="10287"/>
    <n v="36"/>
    <n v="100"/>
    <n v="3600"/>
    <s v="Medium"/>
    <n v="1080"/>
    <d v="2004-08-30T00:00:00"/>
    <x v="0"/>
    <x v="0"/>
    <x v="3"/>
    <x v="1"/>
    <s v="Aug-2004"/>
    <x v="1"/>
    <x v="69"/>
    <x v="17"/>
    <x v="1"/>
    <x v="1"/>
  </r>
  <r>
    <n v="10301"/>
    <n v="50"/>
    <n v="100"/>
    <n v="5000"/>
    <s v="High"/>
    <n v="1500"/>
    <d v="2003-10-05T00:00:00"/>
    <x v="0"/>
    <x v="0"/>
    <x v="4"/>
    <x v="0"/>
    <s v="Oct-2003"/>
    <x v="1"/>
    <x v="85"/>
    <x v="2"/>
    <x v="1"/>
    <x v="2"/>
  </r>
  <r>
    <n v="10310"/>
    <n v="45"/>
    <n v="100"/>
    <n v="4500"/>
    <s v="Medium"/>
    <n v="1350"/>
    <d v="2004-10-16T00:00:00"/>
    <x v="0"/>
    <x v="0"/>
    <x v="4"/>
    <x v="1"/>
    <s v="Oct-2004"/>
    <x v="1"/>
    <x v="68"/>
    <x v="16"/>
    <x v="1"/>
    <x v="1"/>
  </r>
  <r>
    <n v="10321"/>
    <n v="26"/>
    <n v="100"/>
    <n v="2600"/>
    <s v="Medium"/>
    <n v="780"/>
    <d v="2004-11-04T00:00:00"/>
    <x v="0"/>
    <x v="0"/>
    <x v="5"/>
    <x v="1"/>
    <s v="Nov-2004"/>
    <x v="1"/>
    <x v="21"/>
    <x v="0"/>
    <x v="0"/>
    <x v="1"/>
  </r>
  <r>
    <n v="10331"/>
    <n v="21"/>
    <n v="100"/>
    <n v="2100"/>
    <s v="Medium"/>
    <n v="630"/>
    <d v="2004-11-17T00:00:00"/>
    <x v="0"/>
    <x v="0"/>
    <x v="5"/>
    <x v="1"/>
    <s v="Nov-2004"/>
    <x v="1"/>
    <x v="45"/>
    <x v="0"/>
    <x v="0"/>
    <x v="1"/>
  </r>
  <r>
    <n v="10342"/>
    <n v="42"/>
    <n v="100"/>
    <n v="4200"/>
    <s v="Medium"/>
    <n v="1260"/>
    <d v="2004-11-24T00:00:00"/>
    <x v="0"/>
    <x v="0"/>
    <x v="5"/>
    <x v="1"/>
    <s v="Nov-2004"/>
    <x v="1"/>
    <x v="10"/>
    <x v="3"/>
    <x v="2"/>
    <x v="1"/>
  </r>
  <r>
    <n v="10355"/>
    <n v="32"/>
    <n v="100"/>
    <n v="3200"/>
    <s v="Medium"/>
    <n v="960"/>
    <d v="2004-12-07T00:00:00"/>
    <x v="0"/>
    <x v="0"/>
    <x v="6"/>
    <x v="1"/>
    <s v="Dec-2004"/>
    <x v="1"/>
    <x v="23"/>
    <x v="7"/>
    <x v="1"/>
    <x v="1"/>
  </r>
  <r>
    <n v="10363"/>
    <n v="31"/>
    <n v="94.58"/>
    <n v="2931.98"/>
    <s v="Medium"/>
    <n v="879.59399999999994"/>
    <d v="2005-01-06T00:00:00"/>
    <x v="0"/>
    <x v="0"/>
    <x v="7"/>
    <x v="2"/>
    <s v="Jan-2005"/>
    <x v="1"/>
    <x v="73"/>
    <x v="4"/>
    <x v="1"/>
    <x v="0"/>
  </r>
  <r>
    <n v="10378"/>
    <n v="33"/>
    <n v="53.27"/>
    <n v="1757.91"/>
    <s v="Low"/>
    <n v="527.37300000000005"/>
    <d v="2005-02-10T00:00:00"/>
    <x v="0"/>
    <x v="0"/>
    <x v="0"/>
    <x v="2"/>
    <s v="Feb-2005"/>
    <x v="1"/>
    <x v="23"/>
    <x v="7"/>
    <x v="1"/>
    <x v="0"/>
  </r>
  <r>
    <n v="10390"/>
    <n v="45"/>
    <n v="100"/>
    <n v="4500"/>
    <s v="Medium"/>
    <n v="1350"/>
    <d v="2005-03-04T00:00:00"/>
    <x v="0"/>
    <x v="0"/>
    <x v="11"/>
    <x v="2"/>
    <s v="Mar-2005"/>
    <x v="1"/>
    <x v="39"/>
    <x v="0"/>
    <x v="0"/>
    <x v="1"/>
  </r>
  <r>
    <n v="10405"/>
    <n v="76"/>
    <n v="100"/>
    <n v="7600"/>
    <s v="High"/>
    <n v="2280"/>
    <d v="2005-04-14T00:00:00"/>
    <x v="0"/>
    <x v="0"/>
    <x v="8"/>
    <x v="2"/>
    <s v="Apr-2005"/>
    <x v="1"/>
    <x v="83"/>
    <x v="1"/>
    <x v="1"/>
    <x v="2"/>
  </r>
  <r>
    <n v="10419"/>
    <n v="70"/>
    <n v="100"/>
    <n v="7000"/>
    <s v="High"/>
    <n v="2100"/>
    <d v="2005-05-17T00:00:00"/>
    <x v="0"/>
    <x v="0"/>
    <x v="1"/>
    <x v="2"/>
    <s v="May-2005"/>
    <x v="1"/>
    <x v="19"/>
    <x v="5"/>
    <x v="1"/>
    <x v="2"/>
  </r>
  <r>
    <n v="10106"/>
    <n v="50"/>
    <n v="64.83"/>
    <n v="3241.5"/>
    <s v="Medium"/>
    <n v="972.44999999999993"/>
    <d v="2003-02-17T00:00:00"/>
    <x v="0"/>
    <x v="0"/>
    <x v="0"/>
    <x v="0"/>
    <s v="Feb-2003"/>
    <x v="4"/>
    <x v="86"/>
    <x v="12"/>
    <x v="1"/>
    <x v="1"/>
  </r>
  <r>
    <n v="10119"/>
    <n v="28"/>
    <n v="70.290000000000006"/>
    <n v="1968.1200000000001"/>
    <s v="Low"/>
    <n v="590.43600000000004"/>
    <d v="2003-04-28T00:00:00"/>
    <x v="0"/>
    <x v="0"/>
    <x v="8"/>
    <x v="0"/>
    <s v="Apr-2003"/>
    <x v="4"/>
    <x v="19"/>
    <x v="5"/>
    <x v="1"/>
    <x v="0"/>
  </r>
  <r>
    <n v="10131"/>
    <n v="50"/>
    <n v="81.89"/>
    <n v="4094.5"/>
    <s v="Medium"/>
    <n v="1228.3499999999999"/>
    <d v="2003-06-16T00:00:00"/>
    <x v="0"/>
    <x v="0"/>
    <x v="9"/>
    <x v="0"/>
    <s v="Jun-2003"/>
    <x v="4"/>
    <x v="88"/>
    <x v="0"/>
    <x v="0"/>
    <x v="1"/>
  </r>
  <r>
    <n v="10143"/>
    <n v="28"/>
    <n v="66.19"/>
    <n v="1853.32"/>
    <s v="Low"/>
    <n v="555.99599999999998"/>
    <d v="2003-08-10T00:00:00"/>
    <x v="0"/>
    <x v="0"/>
    <x v="3"/>
    <x v="0"/>
    <s v="Aug-2003"/>
    <x v="4"/>
    <x v="50"/>
    <x v="0"/>
    <x v="0"/>
    <x v="0"/>
  </r>
  <r>
    <n v="10155"/>
    <n v="44"/>
    <n v="77.11"/>
    <n v="3392.84"/>
    <s v="Medium"/>
    <n v="1017.852"/>
    <d v="2003-10-06T00:00:00"/>
    <x v="0"/>
    <x v="0"/>
    <x v="4"/>
    <x v="0"/>
    <s v="Oct-2003"/>
    <x v="4"/>
    <x v="16"/>
    <x v="4"/>
    <x v="1"/>
    <x v="1"/>
  </r>
  <r>
    <n v="10168"/>
    <n v="27"/>
    <n v="73.02"/>
    <n v="1971.54"/>
    <s v="Low"/>
    <n v="591.46199999999999"/>
    <d v="2003-10-28T00:00:00"/>
    <x v="0"/>
    <x v="0"/>
    <x v="4"/>
    <x v="0"/>
    <s v="Oct-2003"/>
    <x v="4"/>
    <x v="5"/>
    <x v="0"/>
    <x v="0"/>
    <x v="0"/>
  </r>
  <r>
    <n v="10178"/>
    <n v="30"/>
    <n v="72.33"/>
    <n v="2169.9"/>
    <s v="Medium"/>
    <n v="650.97"/>
    <d v="2003-11-08T00:00:00"/>
    <x v="0"/>
    <x v="0"/>
    <x v="5"/>
    <x v="0"/>
    <s v="Nov-2003"/>
    <x v="4"/>
    <x v="51"/>
    <x v="1"/>
    <x v="1"/>
    <x v="0"/>
  </r>
  <r>
    <n v="10198"/>
    <n v="43"/>
    <n v="66.19"/>
    <n v="2846.17"/>
    <s v="Medium"/>
    <n v="853.851"/>
    <d v="2003-11-27T00:00:00"/>
    <x v="0"/>
    <x v="0"/>
    <x v="5"/>
    <x v="0"/>
    <s v="Nov-2003"/>
    <x v="4"/>
    <x v="66"/>
    <x v="15"/>
    <x v="3"/>
    <x v="0"/>
  </r>
  <r>
    <n v="10210"/>
    <n v="29"/>
    <n v="69.599999999999994"/>
    <n v="2018.3999999999999"/>
    <s v="Medium"/>
    <n v="605.52"/>
    <d v="2004-01-12T00:00:00"/>
    <x v="0"/>
    <x v="0"/>
    <x v="7"/>
    <x v="1"/>
    <s v="Jan-2004"/>
    <x v="4"/>
    <x v="44"/>
    <x v="11"/>
    <x v="3"/>
    <x v="0"/>
  </r>
  <r>
    <n v="10222"/>
    <n v="48"/>
    <n v="56.64"/>
    <n v="2718.7200000000003"/>
    <s v="Medium"/>
    <n v="815.6160000000001"/>
    <d v="2004-02-19T00:00:00"/>
    <x v="0"/>
    <x v="0"/>
    <x v="0"/>
    <x v="1"/>
    <s v="Feb-2004"/>
    <x v="4"/>
    <x v="55"/>
    <x v="0"/>
    <x v="0"/>
    <x v="0"/>
  </r>
  <r>
    <n v="10235"/>
    <n v="33"/>
    <n v="60.05"/>
    <n v="1981.6499999999999"/>
    <s v="Low"/>
    <n v="594.49499999999989"/>
    <d v="2004-04-02T00:00:00"/>
    <x v="0"/>
    <x v="0"/>
    <x v="8"/>
    <x v="1"/>
    <s v="Apr-2004"/>
    <x v="4"/>
    <x v="57"/>
    <x v="10"/>
    <x v="0"/>
    <x v="0"/>
  </r>
  <r>
    <n v="10250"/>
    <n v="40"/>
    <n v="75.06"/>
    <n v="3002.4"/>
    <s v="Medium"/>
    <n v="900.72"/>
    <d v="2004-05-11T00:00:00"/>
    <x v="0"/>
    <x v="0"/>
    <x v="1"/>
    <x v="1"/>
    <s v="May-2004"/>
    <x v="4"/>
    <x v="61"/>
    <x v="0"/>
    <x v="0"/>
    <x v="1"/>
  </r>
  <r>
    <n v="10262"/>
    <n v="48"/>
    <n v="61.42"/>
    <n v="2948.16"/>
    <s v="Medium"/>
    <n v="884.44799999999998"/>
    <d v="2004-06-24T00:00:00"/>
    <x v="3"/>
    <x v="1"/>
    <x v="9"/>
    <x v="1"/>
    <s v="Jun-2004"/>
    <x v="4"/>
    <x v="23"/>
    <x v="7"/>
    <x v="1"/>
    <x v="0"/>
  </r>
  <r>
    <n v="10275"/>
    <n v="41"/>
    <n v="81.89"/>
    <n v="3357.4900000000002"/>
    <s v="Medium"/>
    <n v="1007.2470000000001"/>
    <d v="2004-07-23T00:00:00"/>
    <x v="0"/>
    <x v="0"/>
    <x v="2"/>
    <x v="1"/>
    <s v="Jul-2004"/>
    <x v="4"/>
    <x v="14"/>
    <x v="1"/>
    <x v="1"/>
    <x v="1"/>
  </r>
  <r>
    <n v="10284"/>
    <n v="21"/>
    <n v="55.96"/>
    <n v="1175.1600000000001"/>
    <s v="Low"/>
    <n v="352.548"/>
    <d v="2004-08-21T00:00:00"/>
    <x v="0"/>
    <x v="0"/>
    <x v="3"/>
    <x v="1"/>
    <s v="Aug-2004"/>
    <x v="4"/>
    <x v="85"/>
    <x v="2"/>
    <x v="1"/>
    <x v="0"/>
  </r>
  <r>
    <n v="10296"/>
    <n v="32"/>
    <n v="71.650000000000006"/>
    <n v="2292.8000000000002"/>
    <s v="Medium"/>
    <n v="687.84"/>
    <d v="2004-09-15T00:00:00"/>
    <x v="0"/>
    <x v="0"/>
    <x v="10"/>
    <x v="1"/>
    <s v="Sep-2004"/>
    <x v="4"/>
    <x v="89"/>
    <x v="16"/>
    <x v="1"/>
    <x v="0"/>
  </r>
  <r>
    <n v="10308"/>
    <n v="43"/>
    <n v="76.430000000000007"/>
    <n v="3286.4900000000002"/>
    <s v="Medium"/>
    <n v="985.947"/>
    <d v="2004-10-15T00:00:00"/>
    <x v="0"/>
    <x v="0"/>
    <x v="4"/>
    <x v="1"/>
    <s v="Oct-2004"/>
    <x v="4"/>
    <x v="47"/>
    <x v="0"/>
    <x v="0"/>
    <x v="1"/>
  </r>
  <r>
    <n v="10316"/>
    <n v="30"/>
    <n v="77.790000000000006"/>
    <n v="2333.7000000000003"/>
    <s v="Medium"/>
    <n v="700.11"/>
    <d v="2004-11-01T00:00:00"/>
    <x v="0"/>
    <x v="0"/>
    <x v="5"/>
    <x v="1"/>
    <s v="Nov-2004"/>
    <x v="4"/>
    <x v="59"/>
    <x v="6"/>
    <x v="1"/>
    <x v="0"/>
  </r>
  <r>
    <n v="10328"/>
    <n v="35"/>
    <n v="76.430000000000007"/>
    <n v="2675.05"/>
    <s v="Medium"/>
    <n v="802.51499999999999"/>
    <d v="2004-11-12T00:00:00"/>
    <x v="0"/>
    <x v="0"/>
    <x v="5"/>
    <x v="1"/>
    <s v="Nov-2004"/>
    <x v="4"/>
    <x v="86"/>
    <x v="12"/>
    <x v="1"/>
    <x v="0"/>
  </r>
  <r>
    <n v="10339"/>
    <n v="45"/>
    <n v="96.92"/>
    <n v="4361.3999999999996"/>
    <s v="Medium"/>
    <n v="1308.4199999999998"/>
    <d v="2004-11-23T00:00:00"/>
    <x v="0"/>
    <x v="0"/>
    <x v="5"/>
    <x v="1"/>
    <s v="Nov-2004"/>
    <x v="4"/>
    <x v="35"/>
    <x v="11"/>
    <x v="3"/>
    <x v="1"/>
  </r>
  <r>
    <n v="10351"/>
    <n v="34"/>
    <n v="59.37"/>
    <n v="2018.58"/>
    <s v="Medium"/>
    <n v="605.57399999999996"/>
    <d v="2004-12-03T00:00:00"/>
    <x v="0"/>
    <x v="0"/>
    <x v="6"/>
    <x v="1"/>
    <s v="Dec-2004"/>
    <x v="4"/>
    <x v="49"/>
    <x v="6"/>
    <x v="1"/>
    <x v="0"/>
  </r>
  <r>
    <n v="10361"/>
    <n v="26"/>
    <n v="100"/>
    <n v="2600"/>
    <s v="Medium"/>
    <n v="780"/>
    <d v="2004-12-17T00:00:00"/>
    <x v="0"/>
    <x v="0"/>
    <x v="6"/>
    <x v="1"/>
    <s v="Dec-2004"/>
    <x v="4"/>
    <x v="20"/>
    <x v="3"/>
    <x v="2"/>
    <x v="1"/>
  </r>
  <r>
    <n v="10373"/>
    <n v="39"/>
    <n v="73"/>
    <n v="2847"/>
    <s v="Medium"/>
    <n v="854.1"/>
    <d v="2005-01-31T00:00:00"/>
    <x v="0"/>
    <x v="0"/>
    <x v="7"/>
    <x v="2"/>
    <s v="Jan-2005"/>
    <x v="4"/>
    <x v="60"/>
    <x v="4"/>
    <x v="1"/>
    <x v="0"/>
  </r>
  <r>
    <n v="10386"/>
    <n v="41"/>
    <n v="73.319999999999993"/>
    <n v="3006.12"/>
    <s v="Medium"/>
    <n v="901.8359999999999"/>
    <d v="2005-03-01T00:00:00"/>
    <x v="5"/>
    <x v="1"/>
    <x v="11"/>
    <x v="2"/>
    <s v="Mar-2005"/>
    <x v="4"/>
    <x v="23"/>
    <x v="7"/>
    <x v="1"/>
    <x v="1"/>
  </r>
  <r>
    <n v="10398"/>
    <n v="41"/>
    <n v="68.239999999999995"/>
    <n v="2797.8399999999997"/>
    <s v="Medium"/>
    <n v="839.35199999999986"/>
    <d v="2005-03-30T00:00:00"/>
    <x v="0"/>
    <x v="0"/>
    <x v="11"/>
    <x v="2"/>
    <s v="Mar-2005"/>
    <x v="4"/>
    <x v="1"/>
    <x v="1"/>
    <x v="1"/>
    <x v="0"/>
  </r>
  <r>
    <n v="10401"/>
    <n v="64"/>
    <n v="60.05"/>
    <n v="3843.2"/>
    <s v="Medium"/>
    <n v="1152.9599999999998"/>
    <d v="2005-04-03T00:00:00"/>
    <x v="4"/>
    <x v="1"/>
    <x v="8"/>
    <x v="2"/>
    <s v="Apr-2005"/>
    <x v="4"/>
    <x v="12"/>
    <x v="0"/>
    <x v="0"/>
    <x v="1"/>
  </r>
  <r>
    <n v="10416"/>
    <n v="18"/>
    <n v="75.06"/>
    <n v="1351.08"/>
    <s v="Low"/>
    <n v="405.32399999999996"/>
    <d v="2005-05-10T00:00:00"/>
    <x v="0"/>
    <x v="0"/>
    <x v="1"/>
    <x v="2"/>
    <s v="May-2005"/>
    <x v="4"/>
    <x v="70"/>
    <x v="12"/>
    <x v="1"/>
    <x v="0"/>
  </r>
  <r>
    <n v="10100"/>
    <n v="49"/>
    <n v="34.47"/>
    <n v="1689.03"/>
    <s v="Low"/>
    <n v="506.70899999999995"/>
    <d v="2003-01-06T00:00:00"/>
    <x v="0"/>
    <x v="0"/>
    <x v="7"/>
    <x v="0"/>
    <s v="Jan-2003"/>
    <x v="3"/>
    <x v="40"/>
    <x v="0"/>
    <x v="0"/>
    <x v="0"/>
  </r>
  <r>
    <n v="10110"/>
    <n v="48"/>
    <n v="34.47"/>
    <n v="1654.56"/>
    <s v="Low"/>
    <n v="496.36799999999994"/>
    <d v="2003-03-18T00:00:00"/>
    <x v="0"/>
    <x v="0"/>
    <x v="11"/>
    <x v="0"/>
    <s v="Mar-2003"/>
    <x v="3"/>
    <x v="77"/>
    <x v="6"/>
    <x v="1"/>
    <x v="0"/>
  </r>
  <r>
    <n v="10124"/>
    <n v="46"/>
    <n v="33.229999999999997"/>
    <n v="1528.58"/>
    <s v="Low"/>
    <n v="458.57399999999996"/>
    <d v="2003-05-21T00:00:00"/>
    <x v="0"/>
    <x v="0"/>
    <x v="1"/>
    <x v="0"/>
    <s v="May-2003"/>
    <x v="3"/>
    <x v="84"/>
    <x v="0"/>
    <x v="0"/>
    <x v="0"/>
  </r>
  <r>
    <n v="10149"/>
    <n v="26"/>
    <n v="38.979999999999997"/>
    <n v="1013.4799999999999"/>
    <s v="Low"/>
    <n v="304.04399999999998"/>
    <d v="2003-09-12T00:00:00"/>
    <x v="0"/>
    <x v="0"/>
    <x v="10"/>
    <x v="0"/>
    <s v="Sep-2003"/>
    <x v="3"/>
    <x v="82"/>
    <x v="0"/>
    <x v="0"/>
    <x v="0"/>
  </r>
  <r>
    <n v="10162"/>
    <n v="37"/>
    <n v="38.979999999999997"/>
    <n v="1442.26"/>
    <s v="Low"/>
    <n v="432.678"/>
    <d v="2003-10-18T00:00:00"/>
    <x v="0"/>
    <x v="0"/>
    <x v="4"/>
    <x v="0"/>
    <s v="Oct-2003"/>
    <x v="3"/>
    <x v="4"/>
    <x v="0"/>
    <x v="0"/>
    <x v="0"/>
  </r>
  <r>
    <n v="10173"/>
    <n v="35"/>
    <n v="33.229999999999997"/>
    <n v="1163.05"/>
    <s v="Low"/>
    <n v="348.91499999999996"/>
    <d v="2003-11-05T00:00:00"/>
    <x v="0"/>
    <x v="0"/>
    <x v="5"/>
    <x v="0"/>
    <s v="Nov-2003"/>
    <x v="3"/>
    <x v="86"/>
    <x v="12"/>
    <x v="1"/>
    <x v="0"/>
  </r>
  <r>
    <n v="10182"/>
    <n v="23"/>
    <n v="42.26"/>
    <n v="971.9799999999999"/>
    <s v="Low"/>
    <n v="291.59399999999994"/>
    <d v="2003-11-12T00:00:00"/>
    <x v="0"/>
    <x v="0"/>
    <x v="5"/>
    <x v="0"/>
    <s v="Nov-2003"/>
    <x v="3"/>
    <x v="39"/>
    <x v="0"/>
    <x v="0"/>
    <x v="0"/>
  </r>
  <r>
    <n v="10193"/>
    <n v="22"/>
    <n v="41.03"/>
    <n v="902.66000000000008"/>
    <s v="Low"/>
    <n v="270.798"/>
    <d v="2003-11-21T00:00:00"/>
    <x v="0"/>
    <x v="0"/>
    <x v="5"/>
    <x v="0"/>
    <s v="Nov-2003"/>
    <x v="3"/>
    <x v="87"/>
    <x v="3"/>
    <x v="2"/>
    <x v="0"/>
  </r>
  <r>
    <n v="10204"/>
    <n v="39"/>
    <n v="33.229999999999997"/>
    <n v="1295.9699999999998"/>
    <s v="Low"/>
    <n v="388.79099999999994"/>
    <d v="2003-12-02T00:00:00"/>
    <x v="0"/>
    <x v="0"/>
    <x v="6"/>
    <x v="0"/>
    <s v="Dec-2003"/>
    <x v="3"/>
    <x v="74"/>
    <x v="0"/>
    <x v="0"/>
    <x v="0"/>
  </r>
  <r>
    <n v="10214"/>
    <n v="44"/>
    <n v="34.880000000000003"/>
    <n v="1534.72"/>
    <s v="Low"/>
    <n v="460.416"/>
    <d v="2004-01-26T00:00:00"/>
    <x v="0"/>
    <x v="0"/>
    <x v="7"/>
    <x v="1"/>
    <s v="Jan-2004"/>
    <x v="3"/>
    <x v="25"/>
    <x v="7"/>
    <x v="1"/>
    <x v="0"/>
  </r>
  <r>
    <n v="10227"/>
    <n v="27"/>
    <n v="43.9"/>
    <n v="1185.3"/>
    <s v="Low"/>
    <n v="355.59"/>
    <d v="2004-03-02T00:00:00"/>
    <x v="0"/>
    <x v="0"/>
    <x v="11"/>
    <x v="1"/>
    <s v="Mar-2004"/>
    <x v="3"/>
    <x v="30"/>
    <x v="1"/>
    <x v="1"/>
    <x v="0"/>
  </r>
  <r>
    <n v="10242"/>
    <n v="46"/>
    <n v="36.93"/>
    <n v="1698.78"/>
    <s v="Low"/>
    <n v="509.63399999999996"/>
    <d v="2004-04-20T00:00:00"/>
    <x v="0"/>
    <x v="0"/>
    <x v="8"/>
    <x v="1"/>
    <s v="Apr-2004"/>
    <x v="3"/>
    <x v="79"/>
    <x v="0"/>
    <x v="0"/>
    <x v="0"/>
  </r>
  <r>
    <n v="10280"/>
    <n v="33"/>
    <n v="41.85"/>
    <n v="1381.05"/>
    <s v="Low"/>
    <n v="414.315"/>
    <d v="2004-08-17T00:00:00"/>
    <x v="0"/>
    <x v="0"/>
    <x v="3"/>
    <x v="1"/>
    <s v="Aug-2004"/>
    <x v="3"/>
    <x v="36"/>
    <x v="12"/>
    <x v="1"/>
    <x v="0"/>
  </r>
  <r>
    <n v="10288"/>
    <n v="33"/>
    <n v="40.619999999999997"/>
    <n v="1340.4599999999998"/>
    <s v="Low"/>
    <n v="402.13799999999992"/>
    <d v="2004-09-01T00:00:00"/>
    <x v="0"/>
    <x v="0"/>
    <x v="10"/>
    <x v="1"/>
    <s v="Sep-2004"/>
    <x v="3"/>
    <x v="65"/>
    <x v="9"/>
    <x v="2"/>
    <x v="0"/>
  </r>
  <r>
    <n v="10303"/>
    <n v="24"/>
    <n v="40.21"/>
    <n v="965.04"/>
    <s v="Low"/>
    <n v="289.512"/>
    <d v="2004-10-06T00:00:00"/>
    <x v="0"/>
    <x v="0"/>
    <x v="4"/>
    <x v="1"/>
    <s v="Oct-2004"/>
    <x v="3"/>
    <x v="81"/>
    <x v="7"/>
    <x v="1"/>
    <x v="0"/>
  </r>
  <r>
    <n v="10312"/>
    <n v="31"/>
    <n v="35.29"/>
    <n v="1093.99"/>
    <s v="Low"/>
    <n v="328.197"/>
    <d v="2004-10-21T00:00:00"/>
    <x v="0"/>
    <x v="0"/>
    <x v="4"/>
    <x v="1"/>
    <s v="Oct-2004"/>
    <x v="3"/>
    <x v="39"/>
    <x v="0"/>
    <x v="0"/>
    <x v="0"/>
  </r>
  <r>
    <n v="10332"/>
    <n v="41"/>
    <n v="77.239999999999995"/>
    <n v="3166.8399999999997"/>
    <s v="Medium"/>
    <n v="950.05199999999991"/>
    <d v="2004-11-17T00:00:00"/>
    <x v="0"/>
    <x v="0"/>
    <x v="5"/>
    <x v="1"/>
    <s v="Nov-2004"/>
    <x v="3"/>
    <x v="77"/>
    <x v="6"/>
    <x v="1"/>
    <x v="1"/>
  </r>
  <r>
    <n v="10346"/>
    <n v="22"/>
    <n v="97.44"/>
    <n v="2143.6799999999998"/>
    <s v="Medium"/>
    <n v="643.10399999999993"/>
    <d v="2004-11-29T00:00:00"/>
    <x v="0"/>
    <x v="0"/>
    <x v="5"/>
    <x v="1"/>
    <s v="Nov-2004"/>
    <x v="3"/>
    <x v="84"/>
    <x v="0"/>
    <x v="0"/>
    <x v="0"/>
  </r>
  <r>
    <n v="10368"/>
    <n v="46"/>
    <n v="37.340000000000003"/>
    <n v="1717.64"/>
    <s v="Low"/>
    <n v="515.29200000000003"/>
    <d v="2005-01-19T00:00:00"/>
    <x v="0"/>
    <x v="0"/>
    <x v="7"/>
    <x v="2"/>
    <s v="Jan-2005"/>
    <x v="3"/>
    <x v="39"/>
    <x v="0"/>
    <x v="0"/>
    <x v="0"/>
  </r>
  <r>
    <n v="10380"/>
    <n v="43"/>
    <n v="95.03"/>
    <n v="4086.29"/>
    <s v="Medium"/>
    <n v="1225.8869999999999"/>
    <d v="2005-02-16T00:00:00"/>
    <x v="0"/>
    <x v="0"/>
    <x v="0"/>
    <x v="2"/>
    <s v="Feb-2005"/>
    <x v="3"/>
    <x v="23"/>
    <x v="7"/>
    <x v="1"/>
    <x v="1"/>
  </r>
  <r>
    <n v="10408"/>
    <n v="15"/>
    <n v="36.93"/>
    <n v="553.95000000000005"/>
    <s v="Low"/>
    <n v="166.185"/>
    <d v="2005-04-22T00:00:00"/>
    <x v="0"/>
    <x v="0"/>
    <x v="8"/>
    <x v="2"/>
    <s v="Apr-2005"/>
    <x v="3"/>
    <x v="35"/>
    <x v="11"/>
    <x v="3"/>
    <x v="0"/>
  </r>
  <r>
    <n v="10420"/>
    <n v="15"/>
    <n v="43.49"/>
    <n v="652.35"/>
    <s v="Low"/>
    <n v="195.70500000000001"/>
    <d v="2005-05-29T00:00:00"/>
    <x v="2"/>
    <x v="1"/>
    <x v="1"/>
    <x v="2"/>
    <s v="May-2005"/>
    <x v="3"/>
    <x v="20"/>
    <x v="3"/>
    <x v="2"/>
    <x v="0"/>
  </r>
  <r>
    <n v="10104"/>
    <n v="26"/>
    <n v="100"/>
    <n v="2600"/>
    <s v="Medium"/>
    <n v="780"/>
    <d v="2003-01-31T00:00:00"/>
    <x v="0"/>
    <x v="0"/>
    <x v="7"/>
    <x v="0"/>
    <s v="Jan-2003"/>
    <x v="1"/>
    <x v="23"/>
    <x v="7"/>
    <x v="1"/>
    <x v="0"/>
  </r>
  <r>
    <n v="10115"/>
    <n v="44"/>
    <n v="100"/>
    <n v="4400"/>
    <s v="Medium"/>
    <n v="1320"/>
    <d v="2003-04-04T00:00:00"/>
    <x v="0"/>
    <x v="0"/>
    <x v="8"/>
    <x v="0"/>
    <s v="Apr-2003"/>
    <x v="1"/>
    <x v="27"/>
    <x v="0"/>
    <x v="0"/>
    <x v="1"/>
  </r>
  <r>
    <n v="10127"/>
    <n v="20"/>
    <n v="96.99"/>
    <n v="1939.8"/>
    <s v="Low"/>
    <n v="581.93999999999994"/>
    <d v="2003-06-03T00:00:00"/>
    <x v="0"/>
    <x v="0"/>
    <x v="9"/>
    <x v="0"/>
    <s v="Jun-2003"/>
    <x v="1"/>
    <x v="74"/>
    <x v="0"/>
    <x v="0"/>
    <x v="0"/>
  </r>
  <r>
    <n v="10141"/>
    <n v="40"/>
    <n v="94.62"/>
    <n v="3784.8"/>
    <s v="Medium"/>
    <n v="1135.44"/>
    <d v="2003-08-01T00:00:00"/>
    <x v="0"/>
    <x v="0"/>
    <x v="3"/>
    <x v="0"/>
    <s v="Aug-2003"/>
    <x v="1"/>
    <x v="73"/>
    <x v="4"/>
    <x v="1"/>
    <x v="1"/>
  </r>
  <r>
    <n v="10152"/>
    <n v="23"/>
    <n v="100"/>
    <n v="2300"/>
    <s v="Medium"/>
    <n v="690"/>
    <d v="2003-09-25T00:00:00"/>
    <x v="0"/>
    <x v="0"/>
    <x v="10"/>
    <x v="0"/>
    <s v="Sep-2003"/>
    <x v="1"/>
    <x v="28"/>
    <x v="3"/>
    <x v="2"/>
    <x v="0"/>
  </r>
  <r>
    <n v="10165"/>
    <n v="24"/>
    <n v="99.36"/>
    <n v="2384.64"/>
    <s v="Medium"/>
    <n v="715.39199999999994"/>
    <d v="2003-10-22T00:00:00"/>
    <x v="0"/>
    <x v="0"/>
    <x v="4"/>
    <x v="0"/>
    <s v="Oct-2003"/>
    <x v="1"/>
    <x v="26"/>
    <x v="9"/>
    <x v="3"/>
    <x v="0"/>
  </r>
  <r>
    <n v="10176"/>
    <n v="29"/>
    <n v="100"/>
    <n v="2900"/>
    <s v="Medium"/>
    <n v="870"/>
    <d v="2003-11-06T00:00:00"/>
    <x v="0"/>
    <x v="0"/>
    <x v="5"/>
    <x v="0"/>
    <s v="Nov-2003"/>
    <x v="1"/>
    <x v="70"/>
    <x v="12"/>
    <x v="1"/>
    <x v="0"/>
  </r>
  <r>
    <n v="10184"/>
    <n v="49"/>
    <n v="100"/>
    <n v="4900"/>
    <s v="Medium"/>
    <n v="1470"/>
    <d v="2003-11-14T00:00:00"/>
    <x v="0"/>
    <x v="0"/>
    <x v="5"/>
    <x v="0"/>
    <s v="Nov-2003"/>
    <x v="1"/>
    <x v="81"/>
    <x v="7"/>
    <x v="1"/>
    <x v="1"/>
  </r>
  <r>
    <n v="10195"/>
    <n v="34"/>
    <n v="100"/>
    <n v="3400"/>
    <s v="Medium"/>
    <n v="1020"/>
    <d v="2003-11-25T00:00:00"/>
    <x v="0"/>
    <x v="0"/>
    <x v="5"/>
    <x v="0"/>
    <s v="Nov-2003"/>
    <x v="1"/>
    <x v="47"/>
    <x v="0"/>
    <x v="0"/>
    <x v="1"/>
  </r>
  <r>
    <n v="10207"/>
    <n v="28"/>
    <n v="100"/>
    <n v="2800"/>
    <s v="Medium"/>
    <n v="840"/>
    <d v="2003-12-09T00:00:00"/>
    <x v="0"/>
    <x v="0"/>
    <x v="6"/>
    <x v="0"/>
    <s v="Dec-2003"/>
    <x v="1"/>
    <x v="64"/>
    <x v="0"/>
    <x v="0"/>
    <x v="0"/>
  </r>
  <r>
    <n v="10220"/>
    <n v="37"/>
    <n v="100"/>
    <n v="3700"/>
    <s v="Medium"/>
    <n v="1110"/>
    <d v="2004-02-12T00:00:00"/>
    <x v="0"/>
    <x v="0"/>
    <x v="0"/>
    <x v="1"/>
    <s v="Feb-2004"/>
    <x v="1"/>
    <x v="75"/>
    <x v="18"/>
    <x v="1"/>
    <x v="1"/>
  </r>
  <r>
    <n v="10230"/>
    <n v="45"/>
    <n v="100"/>
    <n v="4500"/>
    <s v="Medium"/>
    <n v="1350"/>
    <d v="2004-03-15T00:00:00"/>
    <x v="0"/>
    <x v="0"/>
    <x v="11"/>
    <x v="1"/>
    <s v="Mar-2004"/>
    <x v="1"/>
    <x v="72"/>
    <x v="16"/>
    <x v="1"/>
    <x v="1"/>
  </r>
  <r>
    <n v="10246"/>
    <n v="46"/>
    <n v="100"/>
    <n v="4600"/>
    <s v="Medium"/>
    <n v="1380"/>
    <d v="2004-05-05T00:00:00"/>
    <x v="0"/>
    <x v="0"/>
    <x v="1"/>
    <x v="1"/>
    <s v="May-2004"/>
    <x v="1"/>
    <x v="23"/>
    <x v="7"/>
    <x v="1"/>
    <x v="1"/>
  </r>
  <r>
    <n v="10271"/>
    <n v="22"/>
    <n v="100"/>
    <n v="2200"/>
    <s v="Medium"/>
    <n v="660"/>
    <d v="2004-07-20T00:00:00"/>
    <x v="0"/>
    <x v="0"/>
    <x v="2"/>
    <x v="1"/>
    <s v="Jul-2004"/>
    <x v="1"/>
    <x v="39"/>
    <x v="0"/>
    <x v="0"/>
    <x v="1"/>
  </r>
  <r>
    <n v="10282"/>
    <n v="39"/>
    <n v="100"/>
    <n v="3900"/>
    <s v="Medium"/>
    <n v="1170"/>
    <d v="2004-08-20T00:00:00"/>
    <x v="0"/>
    <x v="0"/>
    <x v="3"/>
    <x v="1"/>
    <s v="Aug-2004"/>
    <x v="1"/>
    <x v="39"/>
    <x v="0"/>
    <x v="0"/>
    <x v="1"/>
  </r>
  <r>
    <n v="10292"/>
    <n v="27"/>
    <n v="100"/>
    <n v="2700"/>
    <s v="Medium"/>
    <n v="810"/>
    <d v="2004-09-08T00:00:00"/>
    <x v="0"/>
    <x v="0"/>
    <x v="10"/>
    <x v="1"/>
    <s v="Sep-2004"/>
    <x v="1"/>
    <x v="0"/>
    <x v="0"/>
    <x v="0"/>
    <x v="1"/>
  </r>
  <r>
    <n v="10305"/>
    <n v="36"/>
    <n v="100"/>
    <n v="3600"/>
    <s v="Medium"/>
    <n v="1080"/>
    <d v="2004-10-13T00:00:00"/>
    <x v="0"/>
    <x v="0"/>
    <x v="4"/>
    <x v="1"/>
    <s v="Oct-2004"/>
    <x v="1"/>
    <x v="15"/>
    <x v="0"/>
    <x v="0"/>
    <x v="1"/>
  </r>
  <r>
    <n v="10314"/>
    <n v="38"/>
    <n v="100"/>
    <n v="3800"/>
    <s v="Medium"/>
    <n v="1140"/>
    <d v="2004-10-22T00:00:00"/>
    <x v="0"/>
    <x v="0"/>
    <x v="4"/>
    <x v="1"/>
    <s v="Oct-2004"/>
    <x v="1"/>
    <x v="78"/>
    <x v="13"/>
    <x v="1"/>
    <x v="1"/>
  </r>
  <r>
    <n v="10325"/>
    <n v="44"/>
    <n v="100"/>
    <n v="4400"/>
    <s v="Medium"/>
    <n v="1320"/>
    <d v="2004-11-05T00:00:00"/>
    <x v="0"/>
    <x v="0"/>
    <x v="5"/>
    <x v="1"/>
    <s v="Nov-2004"/>
    <x v="1"/>
    <x v="17"/>
    <x v="2"/>
    <x v="1"/>
    <x v="1"/>
  </r>
  <r>
    <n v="10336"/>
    <n v="31"/>
    <n v="100"/>
    <n v="3100"/>
    <s v="Medium"/>
    <n v="930"/>
    <d v="2004-11-20T00:00:00"/>
    <x v="0"/>
    <x v="0"/>
    <x v="5"/>
    <x v="1"/>
    <s v="Nov-2004"/>
    <x v="1"/>
    <x v="62"/>
    <x v="1"/>
    <x v="1"/>
    <x v="1"/>
  </r>
  <r>
    <n v="10349"/>
    <n v="23"/>
    <n v="100"/>
    <n v="2300"/>
    <s v="Medium"/>
    <n v="690"/>
    <d v="2004-12-01T00:00:00"/>
    <x v="0"/>
    <x v="0"/>
    <x v="6"/>
    <x v="1"/>
    <s v="Dec-2004"/>
    <x v="1"/>
    <x v="74"/>
    <x v="0"/>
    <x v="0"/>
    <x v="1"/>
  </r>
  <r>
    <n v="10359"/>
    <n v="22"/>
    <n v="100"/>
    <n v="2200"/>
    <s v="Medium"/>
    <n v="660"/>
    <d v="2004-12-15T00:00:00"/>
    <x v="0"/>
    <x v="0"/>
    <x v="6"/>
    <x v="1"/>
    <s v="Dec-2004"/>
    <x v="1"/>
    <x v="1"/>
    <x v="1"/>
    <x v="1"/>
    <x v="0"/>
  </r>
  <r>
    <n v="10371"/>
    <n v="28"/>
    <n v="50.32"/>
    <n v="1408.96"/>
    <s v="Low"/>
    <n v="422.68799999999999"/>
    <d v="2005-01-23T00:00:00"/>
    <x v="0"/>
    <x v="0"/>
    <x v="7"/>
    <x v="2"/>
    <s v="Jan-2005"/>
    <x v="1"/>
    <x v="39"/>
    <x v="0"/>
    <x v="0"/>
    <x v="0"/>
  </r>
  <r>
    <n v="10383"/>
    <n v="21"/>
    <n v="93.91"/>
    <n v="1972.11"/>
    <s v="Low"/>
    <n v="591.63299999999992"/>
    <d v="2005-02-22T00:00:00"/>
    <x v="0"/>
    <x v="0"/>
    <x v="0"/>
    <x v="2"/>
    <s v="Feb-2005"/>
    <x v="1"/>
    <x v="23"/>
    <x v="7"/>
    <x v="1"/>
    <x v="0"/>
  </r>
  <r>
    <n v="10394"/>
    <n v="37"/>
    <n v="100"/>
    <n v="3700"/>
    <s v="Medium"/>
    <n v="1110"/>
    <d v="2005-03-15T00:00:00"/>
    <x v="0"/>
    <x v="0"/>
    <x v="11"/>
    <x v="2"/>
    <s v="Mar-2005"/>
    <x v="1"/>
    <x v="23"/>
    <x v="7"/>
    <x v="1"/>
    <x v="1"/>
  </r>
  <r>
    <n v="10412"/>
    <n v="31"/>
    <n v="100"/>
    <n v="3100"/>
    <s v="Medium"/>
    <n v="930"/>
    <d v="2005-05-03T00:00:00"/>
    <x v="0"/>
    <x v="0"/>
    <x v="1"/>
    <x v="2"/>
    <s v="May-2005"/>
    <x v="1"/>
    <x v="23"/>
    <x v="7"/>
    <x v="1"/>
    <x v="1"/>
  </r>
  <r>
    <n v="10103"/>
    <n v="25"/>
    <n v="100"/>
    <n v="2500"/>
    <s v="Medium"/>
    <n v="750"/>
    <d v="2003-01-29T00:00:00"/>
    <x v="0"/>
    <x v="0"/>
    <x v="7"/>
    <x v="0"/>
    <s v="Jan-2003"/>
    <x v="3"/>
    <x v="17"/>
    <x v="2"/>
    <x v="1"/>
    <x v="0"/>
  </r>
  <r>
    <n v="10111"/>
    <n v="26"/>
    <n v="86.68"/>
    <n v="2253.6800000000003"/>
    <s v="Medium"/>
    <n v="676.10400000000004"/>
    <d v="2003-03-25T00:00:00"/>
    <x v="0"/>
    <x v="0"/>
    <x v="11"/>
    <x v="0"/>
    <s v="Mar-2003"/>
    <x v="3"/>
    <x v="8"/>
    <x v="0"/>
    <x v="0"/>
    <x v="0"/>
  </r>
  <r>
    <n v="10126"/>
    <n v="34"/>
    <n v="100"/>
    <n v="3400"/>
    <s v="Medium"/>
    <n v="1020"/>
    <d v="2003-05-28T00:00:00"/>
    <x v="0"/>
    <x v="0"/>
    <x v="1"/>
    <x v="0"/>
    <s v="May-2003"/>
    <x v="3"/>
    <x v="25"/>
    <x v="7"/>
    <x v="1"/>
    <x v="1"/>
  </r>
  <r>
    <n v="10139"/>
    <n v="29"/>
    <n v="100"/>
    <n v="2900"/>
    <s v="Medium"/>
    <n v="870"/>
    <d v="2003-07-16T00:00:00"/>
    <x v="0"/>
    <x v="0"/>
    <x v="2"/>
    <x v="0"/>
    <s v="Jul-2003"/>
    <x v="3"/>
    <x v="20"/>
    <x v="3"/>
    <x v="2"/>
    <x v="1"/>
  </r>
  <r>
    <n v="10149"/>
    <n v="20"/>
    <n v="90.57"/>
    <n v="1811.3999999999999"/>
    <s v="Low"/>
    <n v="543.41999999999996"/>
    <d v="2003-09-12T00:00:00"/>
    <x v="0"/>
    <x v="0"/>
    <x v="10"/>
    <x v="0"/>
    <s v="Sep-2003"/>
    <x v="3"/>
    <x v="82"/>
    <x v="0"/>
    <x v="0"/>
    <x v="0"/>
  </r>
  <r>
    <n v="10163"/>
    <n v="42"/>
    <n v="91.55"/>
    <n v="3845.1"/>
    <s v="Medium"/>
    <n v="1153.53"/>
    <d v="2003-10-20T00:00:00"/>
    <x v="0"/>
    <x v="0"/>
    <x v="4"/>
    <x v="0"/>
    <s v="Oct-2003"/>
    <x v="3"/>
    <x v="27"/>
    <x v="0"/>
    <x v="0"/>
    <x v="1"/>
  </r>
  <r>
    <n v="10173"/>
    <n v="22"/>
    <n v="100"/>
    <n v="2200"/>
    <s v="Medium"/>
    <n v="660"/>
    <d v="2003-11-05T00:00:00"/>
    <x v="0"/>
    <x v="0"/>
    <x v="5"/>
    <x v="0"/>
    <s v="Nov-2003"/>
    <x v="3"/>
    <x v="86"/>
    <x v="12"/>
    <x v="1"/>
    <x v="0"/>
  </r>
  <r>
    <n v="10183"/>
    <n v="47"/>
    <n v="100"/>
    <n v="4700"/>
    <s v="Medium"/>
    <n v="1410"/>
    <d v="2003-11-13T00:00:00"/>
    <x v="0"/>
    <x v="0"/>
    <x v="5"/>
    <x v="0"/>
    <s v="Nov-2003"/>
    <x v="3"/>
    <x v="29"/>
    <x v="0"/>
    <x v="0"/>
    <x v="1"/>
  </r>
  <r>
    <n v="10193"/>
    <n v="20"/>
    <n v="100"/>
    <n v="2000"/>
    <s v="Medium"/>
    <n v="600"/>
    <d v="2003-11-21T00:00:00"/>
    <x v="0"/>
    <x v="0"/>
    <x v="5"/>
    <x v="0"/>
    <s v="Nov-2003"/>
    <x v="3"/>
    <x v="87"/>
    <x v="3"/>
    <x v="2"/>
    <x v="0"/>
  </r>
  <r>
    <n v="10206"/>
    <n v="33"/>
    <n v="97.39"/>
    <n v="3213.87"/>
    <s v="Medium"/>
    <n v="964.16099999999994"/>
    <d v="2003-12-05T00:00:00"/>
    <x v="0"/>
    <x v="0"/>
    <x v="6"/>
    <x v="0"/>
    <s v="Dec-2003"/>
    <x v="3"/>
    <x v="31"/>
    <x v="10"/>
    <x v="0"/>
    <x v="1"/>
  </r>
  <r>
    <n v="10215"/>
    <n v="39"/>
    <n v="90.57"/>
    <n v="3532.2299999999996"/>
    <s v="Medium"/>
    <n v="1059.6689999999999"/>
    <d v="2004-01-29T00:00:00"/>
    <x v="0"/>
    <x v="0"/>
    <x v="7"/>
    <x v="1"/>
    <s v="Jan-2004"/>
    <x v="3"/>
    <x v="32"/>
    <x v="0"/>
    <x v="0"/>
    <x v="1"/>
  </r>
  <r>
    <n v="10228"/>
    <n v="33"/>
    <n v="100"/>
    <n v="3300"/>
    <s v="Medium"/>
    <n v="990"/>
    <d v="2004-03-10T00:00:00"/>
    <x v="0"/>
    <x v="0"/>
    <x v="11"/>
    <x v="1"/>
    <s v="Mar-2004"/>
    <x v="3"/>
    <x v="33"/>
    <x v="0"/>
    <x v="0"/>
    <x v="1"/>
  </r>
  <r>
    <n v="10244"/>
    <n v="40"/>
    <n v="86.68"/>
    <n v="3467.2000000000003"/>
    <s v="Medium"/>
    <n v="1040.1600000000001"/>
    <d v="2004-04-29T00:00:00"/>
    <x v="0"/>
    <x v="0"/>
    <x v="8"/>
    <x v="1"/>
    <s v="Apr-2004"/>
    <x v="3"/>
    <x v="23"/>
    <x v="7"/>
    <x v="1"/>
    <x v="1"/>
  </r>
  <r>
    <n v="10257"/>
    <n v="46"/>
    <n v="78.89"/>
    <n v="3628.94"/>
    <s v="Medium"/>
    <n v="1088.682"/>
    <d v="2004-06-14T00:00:00"/>
    <x v="0"/>
    <x v="0"/>
    <x v="9"/>
    <x v="1"/>
    <s v="Jun-2004"/>
    <x v="3"/>
    <x v="61"/>
    <x v="0"/>
    <x v="0"/>
    <x v="1"/>
  </r>
  <r>
    <n v="10269"/>
    <n v="48"/>
    <n v="97.39"/>
    <n v="4674.72"/>
    <s v="Medium"/>
    <n v="1402.4159999999999"/>
    <d v="2004-07-16T00:00:00"/>
    <x v="0"/>
    <x v="0"/>
    <x v="2"/>
    <x v="1"/>
    <s v="Jul-2004"/>
    <x v="3"/>
    <x v="19"/>
    <x v="5"/>
    <x v="1"/>
    <x v="1"/>
  </r>
  <r>
    <n v="10280"/>
    <n v="21"/>
    <n v="78.89"/>
    <n v="1656.69"/>
    <s v="Low"/>
    <n v="497.00700000000001"/>
    <d v="2004-08-17T00:00:00"/>
    <x v="0"/>
    <x v="0"/>
    <x v="3"/>
    <x v="1"/>
    <s v="Aug-2004"/>
    <x v="3"/>
    <x v="36"/>
    <x v="12"/>
    <x v="1"/>
    <x v="0"/>
  </r>
  <r>
    <n v="10290"/>
    <n v="45"/>
    <n v="100"/>
    <n v="4500"/>
    <s v="Medium"/>
    <n v="1350"/>
    <d v="2004-09-07T00:00:00"/>
    <x v="0"/>
    <x v="0"/>
    <x v="10"/>
    <x v="1"/>
    <s v="Sep-2004"/>
    <x v="3"/>
    <x v="91"/>
    <x v="0"/>
    <x v="0"/>
    <x v="1"/>
  </r>
  <r>
    <n v="10304"/>
    <n v="33"/>
    <n v="100"/>
    <n v="3300"/>
    <s v="Medium"/>
    <n v="990"/>
    <d v="2004-10-11T00:00:00"/>
    <x v="0"/>
    <x v="0"/>
    <x v="4"/>
    <x v="1"/>
    <s v="Oct-2004"/>
    <x v="3"/>
    <x v="38"/>
    <x v="1"/>
    <x v="1"/>
    <x v="1"/>
  </r>
  <r>
    <n v="10312"/>
    <n v="44"/>
    <n v="100"/>
    <n v="4400"/>
    <s v="Medium"/>
    <n v="1320"/>
    <d v="2004-10-21T00:00:00"/>
    <x v="0"/>
    <x v="0"/>
    <x v="4"/>
    <x v="1"/>
    <s v="Oct-2004"/>
    <x v="3"/>
    <x v="39"/>
    <x v="0"/>
    <x v="0"/>
    <x v="1"/>
  </r>
  <r>
    <n v="10324"/>
    <n v="33"/>
    <n v="100"/>
    <n v="3300"/>
    <s v="Medium"/>
    <n v="990"/>
    <d v="2004-11-05T00:00:00"/>
    <x v="0"/>
    <x v="0"/>
    <x v="5"/>
    <x v="1"/>
    <s v="Nov-2004"/>
    <x v="3"/>
    <x v="11"/>
    <x v="0"/>
    <x v="0"/>
    <x v="1"/>
  </r>
  <r>
    <n v="10333"/>
    <n v="39"/>
    <n v="100"/>
    <n v="3900"/>
    <s v="Medium"/>
    <n v="1170"/>
    <d v="2004-11-18T00:00:00"/>
    <x v="0"/>
    <x v="0"/>
    <x v="5"/>
    <x v="1"/>
    <s v="Nov-2004"/>
    <x v="3"/>
    <x v="8"/>
    <x v="0"/>
    <x v="0"/>
    <x v="1"/>
  </r>
  <r>
    <n v="10348"/>
    <n v="39"/>
    <n v="50.31"/>
    <n v="1962.0900000000001"/>
    <s v="Low"/>
    <n v="588.62700000000007"/>
    <d v="2004-11-01T00:00:00"/>
    <x v="0"/>
    <x v="0"/>
    <x v="5"/>
    <x v="1"/>
    <s v="Nov-2004"/>
    <x v="3"/>
    <x v="25"/>
    <x v="7"/>
    <x v="1"/>
    <x v="0"/>
  </r>
  <r>
    <n v="10358"/>
    <n v="41"/>
    <n v="100"/>
    <n v="4100"/>
    <s v="Medium"/>
    <n v="1230"/>
    <d v="2004-12-10T00:00:00"/>
    <x v="0"/>
    <x v="0"/>
    <x v="6"/>
    <x v="1"/>
    <s v="Dec-2004"/>
    <x v="3"/>
    <x v="23"/>
    <x v="7"/>
    <x v="1"/>
    <x v="1"/>
  </r>
  <r>
    <n v="10369"/>
    <n v="40"/>
    <n v="86.92"/>
    <n v="3476.8"/>
    <s v="Medium"/>
    <n v="1043.04"/>
    <d v="2005-01-20T00:00:00"/>
    <x v="0"/>
    <x v="0"/>
    <x v="7"/>
    <x v="2"/>
    <s v="Jan-2005"/>
    <x v="3"/>
    <x v="41"/>
    <x v="0"/>
    <x v="0"/>
    <x v="1"/>
  </r>
  <r>
    <n v="10382"/>
    <n v="33"/>
    <n v="100"/>
    <n v="3300"/>
    <s v="Medium"/>
    <n v="990"/>
    <d v="2005-02-17T00:00:00"/>
    <x v="0"/>
    <x v="0"/>
    <x v="0"/>
    <x v="2"/>
    <s v="Feb-2005"/>
    <x v="3"/>
    <x v="39"/>
    <x v="0"/>
    <x v="0"/>
    <x v="1"/>
  </r>
  <r>
    <n v="10423"/>
    <n v="28"/>
    <n v="78.89"/>
    <n v="2208.92"/>
    <s v="Medium"/>
    <n v="662.67600000000004"/>
    <d v="2005-05-30T00:00:00"/>
    <x v="2"/>
    <x v="1"/>
    <x v="1"/>
    <x v="2"/>
    <s v="May-2005"/>
    <x v="3"/>
    <x v="56"/>
    <x v="14"/>
    <x v="1"/>
    <x v="0"/>
  </r>
  <r>
    <n v="10106"/>
    <n v="26"/>
    <n v="63.76"/>
    <n v="1657.76"/>
    <s v="Low"/>
    <n v="497.32799999999997"/>
    <d v="2003-02-17T00:00:00"/>
    <x v="0"/>
    <x v="0"/>
    <x v="0"/>
    <x v="0"/>
    <s v="Feb-2003"/>
    <x v="4"/>
    <x v="86"/>
    <x v="12"/>
    <x v="1"/>
    <x v="0"/>
  </r>
  <r>
    <n v="10120"/>
    <n v="29"/>
    <n v="85.49"/>
    <n v="2479.21"/>
    <s v="Medium"/>
    <n v="743.76300000000003"/>
    <d v="2003-04-29T00:00:00"/>
    <x v="0"/>
    <x v="0"/>
    <x v="8"/>
    <x v="0"/>
    <s v="Apr-2003"/>
    <x v="4"/>
    <x v="10"/>
    <x v="3"/>
    <x v="2"/>
    <x v="0"/>
  </r>
  <r>
    <n v="10133"/>
    <n v="46"/>
    <n v="77.52"/>
    <n v="3565.9199999999996"/>
    <s v="Medium"/>
    <n v="1069.7759999999998"/>
    <d v="2003-06-27T00:00:00"/>
    <x v="0"/>
    <x v="0"/>
    <x v="9"/>
    <x v="0"/>
    <s v="Jun-2003"/>
    <x v="4"/>
    <x v="23"/>
    <x v="7"/>
    <x v="1"/>
    <x v="1"/>
  </r>
  <r>
    <n v="10145"/>
    <n v="33"/>
    <n v="84.77"/>
    <n v="2797.41"/>
    <s v="Medium"/>
    <n v="839.22299999999996"/>
    <d v="2003-08-25T00:00:00"/>
    <x v="0"/>
    <x v="0"/>
    <x v="3"/>
    <x v="0"/>
    <s v="Aug-2003"/>
    <x v="4"/>
    <x v="3"/>
    <x v="0"/>
    <x v="0"/>
    <x v="0"/>
  </r>
  <r>
    <n v="10168"/>
    <n v="48"/>
    <n v="78.25"/>
    <n v="3756"/>
    <s v="Medium"/>
    <n v="1126.8"/>
    <d v="2003-10-28T00:00:00"/>
    <x v="0"/>
    <x v="0"/>
    <x v="4"/>
    <x v="0"/>
    <s v="Oct-2003"/>
    <x v="4"/>
    <x v="5"/>
    <x v="0"/>
    <x v="0"/>
    <x v="1"/>
  </r>
  <r>
    <n v="10210"/>
    <n v="40"/>
    <n v="71"/>
    <n v="2840"/>
    <s v="Medium"/>
    <n v="852"/>
    <d v="2004-01-12T00:00:00"/>
    <x v="0"/>
    <x v="0"/>
    <x v="7"/>
    <x v="1"/>
    <s v="Jan-2004"/>
    <x v="4"/>
    <x v="44"/>
    <x v="11"/>
    <x v="3"/>
    <x v="0"/>
  </r>
  <r>
    <n v="10223"/>
    <n v="23"/>
    <n v="74.62"/>
    <n v="1716.2600000000002"/>
    <s v="Low"/>
    <n v="514.87800000000004"/>
    <d v="2004-02-20T00:00:00"/>
    <x v="0"/>
    <x v="0"/>
    <x v="0"/>
    <x v="1"/>
    <s v="Feb-2004"/>
    <x v="4"/>
    <x v="10"/>
    <x v="3"/>
    <x v="2"/>
    <x v="0"/>
  </r>
  <r>
    <n v="10235"/>
    <n v="40"/>
    <n v="81.14"/>
    <n v="3245.6"/>
    <s v="Medium"/>
    <n v="973.68"/>
    <d v="2004-04-02T00:00:00"/>
    <x v="0"/>
    <x v="0"/>
    <x v="8"/>
    <x v="1"/>
    <s v="Apr-2004"/>
    <x v="4"/>
    <x v="57"/>
    <x v="10"/>
    <x v="0"/>
    <x v="1"/>
  </r>
  <r>
    <n v="10250"/>
    <n v="37"/>
    <n v="74.62"/>
    <n v="2760.94"/>
    <s v="Medium"/>
    <n v="828.28200000000004"/>
    <d v="2004-05-11T00:00:00"/>
    <x v="0"/>
    <x v="0"/>
    <x v="1"/>
    <x v="1"/>
    <s v="May-2004"/>
    <x v="4"/>
    <x v="61"/>
    <x v="0"/>
    <x v="0"/>
    <x v="0"/>
  </r>
  <r>
    <n v="10263"/>
    <n v="24"/>
    <n v="75.349999999999994"/>
    <n v="1808.3999999999999"/>
    <s v="Low"/>
    <n v="542.52"/>
    <d v="2004-06-28T00:00:00"/>
    <x v="0"/>
    <x v="0"/>
    <x v="9"/>
    <x v="1"/>
    <s v="Jun-2004"/>
    <x v="4"/>
    <x v="13"/>
    <x v="0"/>
    <x v="0"/>
    <x v="0"/>
  </r>
  <r>
    <n v="10275"/>
    <n v="27"/>
    <n v="62.31"/>
    <n v="1682.3700000000001"/>
    <s v="Low"/>
    <n v="504.71100000000001"/>
    <d v="2004-07-23T00:00:00"/>
    <x v="0"/>
    <x v="0"/>
    <x v="2"/>
    <x v="1"/>
    <s v="Jul-2004"/>
    <x v="4"/>
    <x v="14"/>
    <x v="1"/>
    <x v="1"/>
    <x v="0"/>
  </r>
  <r>
    <n v="10284"/>
    <n v="21"/>
    <n v="71"/>
    <n v="1491"/>
    <s v="Low"/>
    <n v="447.3"/>
    <d v="2004-08-21T00:00:00"/>
    <x v="0"/>
    <x v="0"/>
    <x v="3"/>
    <x v="1"/>
    <s v="Aug-2004"/>
    <x v="4"/>
    <x v="85"/>
    <x v="2"/>
    <x v="1"/>
    <x v="0"/>
  </r>
  <r>
    <n v="10297"/>
    <n v="23"/>
    <n v="72.45"/>
    <n v="1666.3500000000001"/>
    <s v="Low"/>
    <n v="499.90500000000003"/>
    <d v="2004-09-16T00:00:00"/>
    <x v="0"/>
    <x v="0"/>
    <x v="10"/>
    <x v="1"/>
    <s v="Sep-2004"/>
    <x v="4"/>
    <x v="75"/>
    <x v="18"/>
    <x v="1"/>
    <x v="0"/>
  </r>
  <r>
    <n v="10308"/>
    <n v="44"/>
    <n v="83.32"/>
    <n v="3666.08"/>
    <s v="Medium"/>
    <n v="1099.8239999999998"/>
    <d v="2004-10-15T00:00:00"/>
    <x v="0"/>
    <x v="0"/>
    <x v="4"/>
    <x v="1"/>
    <s v="Oct-2004"/>
    <x v="4"/>
    <x v="47"/>
    <x v="0"/>
    <x v="0"/>
    <x v="1"/>
  </r>
  <r>
    <n v="10317"/>
    <n v="35"/>
    <n v="83.32"/>
    <n v="2916.2"/>
    <s v="Medium"/>
    <n v="874.8599999999999"/>
    <d v="2004-11-02T00:00:00"/>
    <x v="0"/>
    <x v="0"/>
    <x v="5"/>
    <x v="1"/>
    <s v="Nov-2004"/>
    <x v="4"/>
    <x v="5"/>
    <x v="0"/>
    <x v="0"/>
    <x v="0"/>
  </r>
  <r>
    <n v="10328"/>
    <n v="43"/>
    <n v="60.86"/>
    <n v="2616.98"/>
    <s v="Medium"/>
    <n v="785.09399999999994"/>
    <d v="2004-11-12T00:00:00"/>
    <x v="0"/>
    <x v="0"/>
    <x v="5"/>
    <x v="1"/>
    <s v="Nov-2004"/>
    <x v="4"/>
    <x v="86"/>
    <x v="12"/>
    <x v="1"/>
    <x v="0"/>
  </r>
  <r>
    <n v="10340"/>
    <n v="40"/>
    <n v="84.77"/>
    <n v="3390.7999999999997"/>
    <s v="Medium"/>
    <n v="1017.2399999999999"/>
    <d v="2004-11-24T00:00:00"/>
    <x v="0"/>
    <x v="0"/>
    <x v="5"/>
    <x v="1"/>
    <s v="Nov-2004"/>
    <x v="4"/>
    <x v="53"/>
    <x v="7"/>
    <x v="1"/>
    <x v="1"/>
  </r>
  <r>
    <n v="10353"/>
    <n v="35"/>
    <n v="89.9"/>
    <n v="3146.5"/>
    <s v="Medium"/>
    <n v="943.94999999999993"/>
    <d v="2004-12-04T00:00:00"/>
    <x v="0"/>
    <x v="0"/>
    <x v="6"/>
    <x v="1"/>
    <s v="Dec-2004"/>
    <x v="4"/>
    <x v="88"/>
    <x v="0"/>
    <x v="0"/>
    <x v="1"/>
  </r>
  <r>
    <n v="10361"/>
    <n v="25"/>
    <n v="62.46"/>
    <n v="1561.5"/>
    <s v="Low"/>
    <n v="468.45"/>
    <d v="2004-12-17T00:00:00"/>
    <x v="0"/>
    <x v="0"/>
    <x v="6"/>
    <x v="1"/>
    <s v="Dec-2004"/>
    <x v="4"/>
    <x v="20"/>
    <x v="3"/>
    <x v="2"/>
    <x v="0"/>
  </r>
  <r>
    <n v="10375"/>
    <n v="43"/>
    <n v="100"/>
    <n v="4300"/>
    <s v="Medium"/>
    <n v="1290"/>
    <d v="2005-02-03T00:00:00"/>
    <x v="0"/>
    <x v="0"/>
    <x v="0"/>
    <x v="2"/>
    <s v="Feb-2005"/>
    <x v="4"/>
    <x v="14"/>
    <x v="1"/>
    <x v="1"/>
    <x v="2"/>
  </r>
  <r>
    <n v="10386"/>
    <n v="50"/>
    <n v="63.34"/>
    <n v="3167"/>
    <s v="Medium"/>
    <n v="950.09999999999991"/>
    <d v="2005-03-01T00:00:00"/>
    <x v="5"/>
    <x v="1"/>
    <x v="11"/>
    <x v="2"/>
    <s v="Mar-2005"/>
    <x v="4"/>
    <x v="23"/>
    <x v="7"/>
    <x v="1"/>
    <x v="1"/>
  </r>
  <r>
    <n v="10398"/>
    <n v="45"/>
    <n v="78.25"/>
    <n v="3521.25"/>
    <s v="Medium"/>
    <n v="1056.375"/>
    <d v="2005-03-30T00:00:00"/>
    <x v="0"/>
    <x v="0"/>
    <x v="11"/>
    <x v="2"/>
    <s v="Mar-2005"/>
    <x v="4"/>
    <x v="1"/>
    <x v="1"/>
    <x v="1"/>
    <x v="1"/>
  </r>
  <r>
    <n v="10401"/>
    <n v="52"/>
    <n v="81.14"/>
    <n v="4219.28"/>
    <s v="Medium"/>
    <n v="1265.7839999999999"/>
    <d v="2005-04-03T00:00:00"/>
    <x v="4"/>
    <x v="1"/>
    <x v="8"/>
    <x v="2"/>
    <s v="Apr-2005"/>
    <x v="4"/>
    <x v="12"/>
    <x v="0"/>
    <x v="0"/>
    <x v="1"/>
  </r>
  <r>
    <n v="10416"/>
    <n v="48"/>
    <n v="74.62"/>
    <n v="3581.76"/>
    <s v="Medium"/>
    <n v="1074.528"/>
    <d v="2005-05-10T00:00:00"/>
    <x v="0"/>
    <x v="0"/>
    <x v="1"/>
    <x v="2"/>
    <s v="May-2005"/>
    <x v="4"/>
    <x v="70"/>
    <x v="12"/>
    <x v="1"/>
    <x v="1"/>
  </r>
  <r>
    <n v="10108"/>
    <n v="31"/>
    <n v="68.709999999999994"/>
    <n v="2130.0099999999998"/>
    <s v="Medium"/>
    <n v="639.00299999999993"/>
    <d v="2003-03-03T00:00:00"/>
    <x v="0"/>
    <x v="0"/>
    <x v="11"/>
    <x v="0"/>
    <s v="Mar-2003"/>
    <x v="1"/>
    <x v="66"/>
    <x v="15"/>
    <x v="3"/>
    <x v="0"/>
  </r>
  <r>
    <n v="10122"/>
    <n v="29"/>
    <n v="71.14"/>
    <n v="2063.06"/>
    <s v="Medium"/>
    <n v="618.91800000000001"/>
    <d v="2003-05-08T00:00:00"/>
    <x v="0"/>
    <x v="0"/>
    <x v="1"/>
    <x v="0"/>
    <s v="May-2003"/>
    <x v="1"/>
    <x v="67"/>
    <x v="1"/>
    <x v="1"/>
    <x v="0"/>
  </r>
  <r>
    <n v="10135"/>
    <n v="23"/>
    <n v="87.31"/>
    <n v="2008.13"/>
    <s v="Medium"/>
    <n v="602.43899999999996"/>
    <d v="2003-07-02T00:00:00"/>
    <x v="0"/>
    <x v="0"/>
    <x v="2"/>
    <x v="0"/>
    <s v="Jul-2003"/>
    <x v="1"/>
    <x v="39"/>
    <x v="0"/>
    <x v="0"/>
    <x v="0"/>
  </r>
  <r>
    <n v="10147"/>
    <n v="31"/>
    <n v="64.67"/>
    <n v="2004.77"/>
    <s v="Medium"/>
    <n v="601.43099999999993"/>
    <d v="2003-09-05T00:00:00"/>
    <x v="0"/>
    <x v="0"/>
    <x v="10"/>
    <x v="0"/>
    <s v="Sep-2003"/>
    <x v="1"/>
    <x v="41"/>
    <x v="0"/>
    <x v="0"/>
    <x v="0"/>
  </r>
  <r>
    <n v="10159"/>
    <n v="23"/>
    <n v="67.099999999999994"/>
    <n v="1543.3"/>
    <s v="Low"/>
    <n v="462.98999999999995"/>
    <d v="2003-10-10T00:00:00"/>
    <x v="0"/>
    <x v="0"/>
    <x v="4"/>
    <x v="0"/>
    <s v="Oct-2003"/>
    <x v="1"/>
    <x v="4"/>
    <x v="0"/>
    <x v="0"/>
    <x v="0"/>
  </r>
  <r>
    <n v="10169"/>
    <n v="24"/>
    <n v="94.58"/>
    <n v="2269.92"/>
    <s v="Medium"/>
    <n v="680.976"/>
    <d v="2003-11-04T00:00:00"/>
    <x v="0"/>
    <x v="0"/>
    <x v="5"/>
    <x v="0"/>
    <s v="Nov-2003"/>
    <x v="1"/>
    <x v="42"/>
    <x v="3"/>
    <x v="2"/>
    <x v="0"/>
  </r>
  <r>
    <n v="10180"/>
    <n v="28"/>
    <n v="71.14"/>
    <n v="1991.92"/>
    <s v="Low"/>
    <n v="597.57600000000002"/>
    <d v="2003-11-11T00:00:00"/>
    <x v="0"/>
    <x v="0"/>
    <x v="5"/>
    <x v="0"/>
    <s v="Nov-2003"/>
    <x v="1"/>
    <x v="6"/>
    <x v="1"/>
    <x v="1"/>
    <x v="0"/>
  </r>
  <r>
    <n v="10191"/>
    <n v="44"/>
    <n v="66.290000000000006"/>
    <n v="2916.76"/>
    <s v="Medium"/>
    <n v="875.02800000000002"/>
    <d v="2003-11-20T00:00:00"/>
    <x v="0"/>
    <x v="0"/>
    <x v="5"/>
    <x v="0"/>
    <s v="Nov-2003"/>
    <x v="1"/>
    <x v="68"/>
    <x v="16"/>
    <x v="1"/>
    <x v="0"/>
  </r>
  <r>
    <n v="10211"/>
    <n v="22"/>
    <n v="92.16"/>
    <n v="2027.52"/>
    <s v="Medium"/>
    <n v="608.25599999999997"/>
    <d v="2004-01-15T00:00:00"/>
    <x v="0"/>
    <x v="0"/>
    <x v="7"/>
    <x v="1"/>
    <s v="Jan-2004"/>
    <x v="1"/>
    <x v="9"/>
    <x v="1"/>
    <x v="1"/>
    <x v="0"/>
  </r>
  <r>
    <n v="10225"/>
    <n v="46"/>
    <n v="70.33"/>
    <n v="3235.18"/>
    <s v="Medium"/>
    <n v="970.55399999999986"/>
    <d v="2004-02-22T00:00:00"/>
    <x v="0"/>
    <x v="0"/>
    <x v="0"/>
    <x v="1"/>
    <s v="Feb-2004"/>
    <x v="1"/>
    <x v="69"/>
    <x v="17"/>
    <x v="1"/>
    <x v="1"/>
  </r>
  <r>
    <n v="10238"/>
    <n v="22"/>
    <n v="93.77"/>
    <n v="2062.94"/>
    <s v="Medium"/>
    <n v="618.88199999999995"/>
    <d v="2004-04-09T00:00:00"/>
    <x v="0"/>
    <x v="0"/>
    <x v="8"/>
    <x v="1"/>
    <s v="Apr-2004"/>
    <x v="1"/>
    <x v="48"/>
    <x v="13"/>
    <x v="1"/>
    <x v="0"/>
  </r>
  <r>
    <n v="10252"/>
    <n v="38"/>
    <n v="87.31"/>
    <n v="3317.78"/>
    <s v="Medium"/>
    <n v="995.33400000000006"/>
    <d v="2004-05-26T00:00:00"/>
    <x v="0"/>
    <x v="0"/>
    <x v="1"/>
    <x v="1"/>
    <s v="May-2004"/>
    <x v="1"/>
    <x v="9"/>
    <x v="1"/>
    <x v="1"/>
    <x v="1"/>
  </r>
  <r>
    <n v="10264"/>
    <n v="47"/>
    <n v="83.27"/>
    <n v="3913.6899999999996"/>
    <s v="Medium"/>
    <n v="1174.1069999999997"/>
    <d v="2004-06-30T00:00:00"/>
    <x v="0"/>
    <x v="0"/>
    <x v="9"/>
    <x v="1"/>
    <s v="Jun-2004"/>
    <x v="1"/>
    <x v="58"/>
    <x v="0"/>
    <x v="0"/>
    <x v="1"/>
  </r>
  <r>
    <n v="10276"/>
    <n v="48"/>
    <n v="75.180000000000007"/>
    <n v="3608.6400000000003"/>
    <s v="Medium"/>
    <n v="1082.5920000000001"/>
    <d v="2004-08-02T00:00:00"/>
    <x v="0"/>
    <x v="0"/>
    <x v="3"/>
    <x v="1"/>
    <s v="Aug-2004"/>
    <x v="1"/>
    <x v="71"/>
    <x v="0"/>
    <x v="0"/>
    <x v="1"/>
  </r>
  <r>
    <n v="10287"/>
    <n v="40"/>
    <n v="88.12"/>
    <n v="3524.8"/>
    <s v="Medium"/>
    <n v="1057.44"/>
    <d v="2004-08-30T00:00:00"/>
    <x v="0"/>
    <x v="0"/>
    <x v="3"/>
    <x v="1"/>
    <s v="Aug-2004"/>
    <x v="1"/>
    <x v="69"/>
    <x v="17"/>
    <x v="1"/>
    <x v="1"/>
  </r>
  <r>
    <n v="10299"/>
    <n v="32"/>
    <n v="80.84"/>
    <n v="2586.88"/>
    <s v="Medium"/>
    <n v="776.06399999999996"/>
    <d v="2004-09-30T00:00:00"/>
    <x v="0"/>
    <x v="0"/>
    <x v="10"/>
    <x v="1"/>
    <s v="Sep-2004"/>
    <x v="1"/>
    <x v="16"/>
    <x v="4"/>
    <x v="1"/>
    <x v="0"/>
  </r>
  <r>
    <n v="10310"/>
    <n v="49"/>
    <n v="97.01"/>
    <n v="4753.4900000000007"/>
    <s v="Medium"/>
    <n v="1426.0470000000003"/>
    <d v="2004-10-16T00:00:00"/>
    <x v="0"/>
    <x v="0"/>
    <x v="4"/>
    <x v="1"/>
    <s v="Oct-2004"/>
    <x v="1"/>
    <x v="68"/>
    <x v="16"/>
    <x v="1"/>
    <x v="1"/>
  </r>
  <r>
    <n v="10319"/>
    <n v="43"/>
    <n v="85.69"/>
    <n v="3684.67"/>
    <s v="Medium"/>
    <n v="1105.4010000000001"/>
    <d v="2004-11-03T00:00:00"/>
    <x v="0"/>
    <x v="0"/>
    <x v="5"/>
    <x v="1"/>
    <s v="Nov-2004"/>
    <x v="1"/>
    <x v="79"/>
    <x v="0"/>
    <x v="0"/>
    <x v="1"/>
  </r>
  <r>
    <n v="10331"/>
    <n v="41"/>
    <n v="100"/>
    <n v="4100"/>
    <s v="Medium"/>
    <n v="1230"/>
    <d v="2004-11-17T00:00:00"/>
    <x v="0"/>
    <x v="0"/>
    <x v="5"/>
    <x v="1"/>
    <s v="Nov-2004"/>
    <x v="1"/>
    <x v="45"/>
    <x v="0"/>
    <x v="0"/>
    <x v="1"/>
  </r>
  <r>
    <n v="10343"/>
    <n v="30"/>
    <n v="100"/>
    <n v="3000"/>
    <s v="Medium"/>
    <n v="900"/>
    <d v="2004-11-24T00:00:00"/>
    <x v="0"/>
    <x v="0"/>
    <x v="5"/>
    <x v="1"/>
    <s v="Nov-2004"/>
    <x v="1"/>
    <x v="1"/>
    <x v="1"/>
    <x v="1"/>
    <x v="1"/>
  </r>
  <r>
    <n v="10355"/>
    <n v="28"/>
    <n v="95.39"/>
    <n v="2670.92"/>
    <s v="Medium"/>
    <n v="801.27599999999995"/>
    <d v="2004-12-07T00:00:00"/>
    <x v="0"/>
    <x v="0"/>
    <x v="6"/>
    <x v="1"/>
    <s v="Dec-2004"/>
    <x v="1"/>
    <x v="23"/>
    <x v="7"/>
    <x v="1"/>
    <x v="0"/>
  </r>
  <r>
    <n v="10363"/>
    <n v="43"/>
    <n v="100"/>
    <n v="4300"/>
    <s v="Medium"/>
    <n v="1290"/>
    <d v="2005-01-06T00:00:00"/>
    <x v="0"/>
    <x v="0"/>
    <x v="7"/>
    <x v="2"/>
    <s v="Jan-2005"/>
    <x v="1"/>
    <x v="73"/>
    <x v="4"/>
    <x v="1"/>
    <x v="1"/>
  </r>
  <r>
    <n v="10378"/>
    <n v="41"/>
    <n v="100"/>
    <n v="4100"/>
    <s v="Medium"/>
    <n v="1230"/>
    <d v="2005-02-10T00:00:00"/>
    <x v="0"/>
    <x v="0"/>
    <x v="0"/>
    <x v="2"/>
    <s v="Feb-2005"/>
    <x v="1"/>
    <x v="23"/>
    <x v="7"/>
    <x v="1"/>
    <x v="1"/>
  </r>
  <r>
    <n v="10390"/>
    <n v="30"/>
    <n v="82.42"/>
    <n v="2472.6"/>
    <s v="Medium"/>
    <n v="741.78"/>
    <d v="2005-03-04T00:00:00"/>
    <x v="0"/>
    <x v="0"/>
    <x v="11"/>
    <x v="2"/>
    <s v="Mar-2005"/>
    <x v="1"/>
    <x v="39"/>
    <x v="0"/>
    <x v="0"/>
    <x v="0"/>
  </r>
  <r>
    <n v="10103"/>
    <n v="31"/>
    <n v="100"/>
    <n v="3100"/>
    <s v="Medium"/>
    <n v="930"/>
    <d v="2003-01-29T00:00:00"/>
    <x v="0"/>
    <x v="0"/>
    <x v="7"/>
    <x v="0"/>
    <s v="Jan-2003"/>
    <x v="2"/>
    <x v="17"/>
    <x v="2"/>
    <x v="1"/>
    <x v="1"/>
  </r>
  <r>
    <n v="10114"/>
    <n v="32"/>
    <n v="100"/>
    <n v="3200"/>
    <s v="Medium"/>
    <n v="960"/>
    <d v="2003-04-01T00:00:00"/>
    <x v="0"/>
    <x v="0"/>
    <x v="8"/>
    <x v="0"/>
    <s v="Apr-2003"/>
    <x v="2"/>
    <x v="62"/>
    <x v="1"/>
    <x v="1"/>
    <x v="1"/>
  </r>
  <r>
    <n v="10126"/>
    <n v="43"/>
    <n v="96.31"/>
    <n v="4141.33"/>
    <s v="Medium"/>
    <n v="1242.3989999999999"/>
    <d v="2003-05-28T00:00:00"/>
    <x v="0"/>
    <x v="0"/>
    <x v="1"/>
    <x v="0"/>
    <s v="May-2003"/>
    <x v="2"/>
    <x v="25"/>
    <x v="7"/>
    <x v="1"/>
    <x v="1"/>
  </r>
  <r>
    <n v="10140"/>
    <n v="26"/>
    <n v="100"/>
    <n v="2600"/>
    <s v="Medium"/>
    <n v="780"/>
    <d v="2003-07-24T00:00:00"/>
    <x v="0"/>
    <x v="0"/>
    <x v="2"/>
    <x v="0"/>
    <s v="Jul-2003"/>
    <x v="2"/>
    <x v="5"/>
    <x v="0"/>
    <x v="0"/>
    <x v="0"/>
  </r>
  <r>
    <n v="10151"/>
    <n v="27"/>
    <n v="100"/>
    <n v="2700"/>
    <s v="Medium"/>
    <n v="810"/>
    <d v="2003-09-21T00:00:00"/>
    <x v="0"/>
    <x v="0"/>
    <x v="10"/>
    <x v="0"/>
    <s v="Sep-2003"/>
    <x v="2"/>
    <x v="60"/>
    <x v="4"/>
    <x v="1"/>
    <x v="1"/>
  </r>
  <r>
    <n v="10164"/>
    <n v="24"/>
    <n v="100"/>
    <n v="2400"/>
    <s v="Medium"/>
    <n v="720"/>
    <d v="2003-10-21T00:00:00"/>
    <x v="5"/>
    <x v="1"/>
    <x v="4"/>
    <x v="0"/>
    <s v="Oct-2003"/>
    <x v="2"/>
    <x v="63"/>
    <x v="5"/>
    <x v="1"/>
    <x v="0"/>
  </r>
  <r>
    <n v="10175"/>
    <n v="22"/>
    <n v="100"/>
    <n v="2200"/>
    <s v="Medium"/>
    <n v="660"/>
    <d v="2003-11-06T00:00:00"/>
    <x v="0"/>
    <x v="0"/>
    <x v="5"/>
    <x v="0"/>
    <s v="Nov-2003"/>
    <x v="2"/>
    <x v="49"/>
    <x v="6"/>
    <x v="1"/>
    <x v="0"/>
  </r>
  <r>
    <n v="10184"/>
    <n v="46"/>
    <n v="100"/>
    <n v="4600"/>
    <s v="Medium"/>
    <n v="1380"/>
    <d v="2003-11-14T00:00:00"/>
    <x v="0"/>
    <x v="0"/>
    <x v="5"/>
    <x v="0"/>
    <s v="Nov-2003"/>
    <x v="2"/>
    <x v="81"/>
    <x v="7"/>
    <x v="1"/>
    <x v="1"/>
  </r>
  <r>
    <n v="10194"/>
    <n v="37"/>
    <n v="97.27"/>
    <n v="3598.99"/>
    <s v="Medium"/>
    <n v="1079.6969999999999"/>
    <d v="2003-11-25T00:00:00"/>
    <x v="0"/>
    <x v="0"/>
    <x v="5"/>
    <x v="0"/>
    <s v="Nov-2003"/>
    <x v="2"/>
    <x v="30"/>
    <x v="1"/>
    <x v="1"/>
    <x v="1"/>
  </r>
  <r>
    <n v="10207"/>
    <n v="49"/>
    <n v="80.900000000000006"/>
    <n v="3964.1000000000004"/>
    <s v="Medium"/>
    <n v="1189.23"/>
    <d v="2003-12-09T00:00:00"/>
    <x v="0"/>
    <x v="0"/>
    <x v="6"/>
    <x v="0"/>
    <s v="Dec-2003"/>
    <x v="2"/>
    <x v="64"/>
    <x v="0"/>
    <x v="0"/>
    <x v="1"/>
  </r>
  <r>
    <n v="10217"/>
    <n v="21"/>
    <n v="100"/>
    <n v="2100"/>
    <s v="Medium"/>
    <n v="630"/>
    <d v="2004-02-04T00:00:00"/>
    <x v="0"/>
    <x v="0"/>
    <x v="0"/>
    <x v="1"/>
    <s v="Feb-2004"/>
    <x v="2"/>
    <x v="65"/>
    <x v="9"/>
    <x v="2"/>
    <x v="0"/>
  </r>
  <r>
    <n v="10229"/>
    <n v="25"/>
    <n v="100"/>
    <n v="2500"/>
    <s v="Medium"/>
    <n v="750"/>
    <d v="2004-03-11T00:00:00"/>
    <x v="0"/>
    <x v="0"/>
    <x v="11"/>
    <x v="1"/>
    <s v="Mar-2004"/>
    <x v="2"/>
    <x v="39"/>
    <x v="0"/>
    <x v="0"/>
    <x v="0"/>
  </r>
  <r>
    <n v="10245"/>
    <n v="37"/>
    <n v="100"/>
    <n v="3700"/>
    <s v="Medium"/>
    <n v="1110"/>
    <d v="2004-05-04T00:00:00"/>
    <x v="0"/>
    <x v="0"/>
    <x v="1"/>
    <x v="1"/>
    <s v="May-2004"/>
    <x v="2"/>
    <x v="34"/>
    <x v="0"/>
    <x v="0"/>
    <x v="1"/>
  </r>
  <r>
    <n v="10259"/>
    <n v="45"/>
    <n v="86.68"/>
    <n v="3900.6000000000004"/>
    <s v="Medium"/>
    <n v="1170.18"/>
    <d v="2004-06-15T00:00:00"/>
    <x v="0"/>
    <x v="0"/>
    <x v="9"/>
    <x v="1"/>
    <s v="Jun-2004"/>
    <x v="2"/>
    <x v="65"/>
    <x v="9"/>
    <x v="2"/>
    <x v="1"/>
  </r>
  <r>
    <n v="10270"/>
    <n v="32"/>
    <n v="85.72"/>
    <n v="2743.04"/>
    <s v="Medium"/>
    <n v="822.91199999999992"/>
    <d v="2004-07-19T00:00:00"/>
    <x v="0"/>
    <x v="0"/>
    <x v="2"/>
    <x v="1"/>
    <s v="Jul-2004"/>
    <x v="2"/>
    <x v="20"/>
    <x v="3"/>
    <x v="2"/>
    <x v="0"/>
  </r>
  <r>
    <n v="10281"/>
    <n v="29"/>
    <n v="82.83"/>
    <n v="2402.0700000000002"/>
    <s v="Medium"/>
    <n v="720.62099999999998"/>
    <d v="2004-08-19T00:00:00"/>
    <x v="0"/>
    <x v="0"/>
    <x v="3"/>
    <x v="1"/>
    <s v="Aug-2004"/>
    <x v="2"/>
    <x v="18"/>
    <x v="0"/>
    <x v="0"/>
    <x v="0"/>
  </r>
  <r>
    <n v="10291"/>
    <n v="26"/>
    <n v="83.79"/>
    <n v="2178.54"/>
    <s v="Medium"/>
    <n v="653.56200000000001"/>
    <d v="2004-09-08T00:00:00"/>
    <x v="0"/>
    <x v="0"/>
    <x v="10"/>
    <x v="1"/>
    <s v="Sep-2004"/>
    <x v="2"/>
    <x v="37"/>
    <x v="8"/>
    <x v="1"/>
    <x v="0"/>
  </r>
  <r>
    <n v="10305"/>
    <n v="28"/>
    <n v="100"/>
    <n v="2800"/>
    <s v="Medium"/>
    <n v="840"/>
    <d v="2004-10-13T00:00:00"/>
    <x v="0"/>
    <x v="0"/>
    <x v="4"/>
    <x v="1"/>
    <s v="Oct-2004"/>
    <x v="2"/>
    <x v="15"/>
    <x v="0"/>
    <x v="0"/>
    <x v="1"/>
  </r>
  <r>
    <n v="10313"/>
    <n v="27"/>
    <n v="87.64"/>
    <n v="2366.2800000000002"/>
    <s v="Medium"/>
    <n v="709.88400000000001"/>
    <d v="2004-10-22T00:00:00"/>
    <x v="0"/>
    <x v="0"/>
    <x v="4"/>
    <x v="1"/>
    <s v="Oct-2004"/>
    <x v="2"/>
    <x v="31"/>
    <x v="10"/>
    <x v="0"/>
    <x v="0"/>
  </r>
  <r>
    <n v="10324"/>
    <n v="20"/>
    <n v="98.18"/>
    <n v="1963.6000000000001"/>
    <s v="Low"/>
    <n v="589.08000000000004"/>
    <d v="2004-11-05T00:00:00"/>
    <x v="0"/>
    <x v="0"/>
    <x v="5"/>
    <x v="1"/>
    <s v="Nov-2004"/>
    <x v="2"/>
    <x v="11"/>
    <x v="0"/>
    <x v="0"/>
    <x v="0"/>
  </r>
  <r>
    <n v="10335"/>
    <n v="44"/>
    <n v="100"/>
    <n v="4400"/>
    <s v="Medium"/>
    <n v="1320"/>
    <d v="2004-11-19T00:00:00"/>
    <x v="0"/>
    <x v="0"/>
    <x v="5"/>
    <x v="1"/>
    <s v="Nov-2004"/>
    <x v="2"/>
    <x v="39"/>
    <x v="0"/>
    <x v="0"/>
    <x v="1"/>
  </r>
  <r>
    <n v="10348"/>
    <n v="42"/>
    <n v="100"/>
    <n v="4200"/>
    <s v="Medium"/>
    <n v="1260"/>
    <d v="2004-11-01T00:00:00"/>
    <x v="0"/>
    <x v="0"/>
    <x v="5"/>
    <x v="1"/>
    <s v="Nov-2004"/>
    <x v="2"/>
    <x v="25"/>
    <x v="7"/>
    <x v="1"/>
    <x v="1"/>
  </r>
  <r>
    <n v="10358"/>
    <n v="41"/>
    <n v="100"/>
    <n v="4100"/>
    <s v="Medium"/>
    <n v="1230"/>
    <d v="2004-12-10T00:00:00"/>
    <x v="0"/>
    <x v="0"/>
    <x v="6"/>
    <x v="1"/>
    <s v="Dec-2004"/>
    <x v="2"/>
    <x v="23"/>
    <x v="7"/>
    <x v="1"/>
    <x v="1"/>
  </r>
  <r>
    <n v="10371"/>
    <n v="26"/>
    <n v="100"/>
    <n v="2600"/>
    <s v="Medium"/>
    <n v="780"/>
    <d v="2005-01-23T00:00:00"/>
    <x v="0"/>
    <x v="0"/>
    <x v="7"/>
    <x v="2"/>
    <s v="Jan-2005"/>
    <x v="2"/>
    <x v="39"/>
    <x v="0"/>
    <x v="0"/>
    <x v="1"/>
  </r>
  <r>
    <n v="10382"/>
    <n v="26"/>
    <n v="100"/>
    <n v="2600"/>
    <s v="Medium"/>
    <n v="780"/>
    <d v="2005-02-17T00:00:00"/>
    <x v="0"/>
    <x v="0"/>
    <x v="0"/>
    <x v="2"/>
    <s v="Feb-2005"/>
    <x v="2"/>
    <x v="39"/>
    <x v="0"/>
    <x v="0"/>
    <x v="0"/>
  </r>
  <r>
    <n v="10411"/>
    <n v="26"/>
    <n v="100"/>
    <n v="2600"/>
    <s v="Medium"/>
    <n v="780"/>
    <d v="2005-05-01T00:00:00"/>
    <x v="0"/>
    <x v="0"/>
    <x v="1"/>
    <x v="2"/>
    <s v="May-2005"/>
    <x v="2"/>
    <x v="43"/>
    <x v="10"/>
    <x v="0"/>
    <x v="0"/>
  </r>
  <r>
    <n v="10425"/>
    <n v="41"/>
    <n v="86.68"/>
    <n v="3553.88"/>
    <s v="Medium"/>
    <n v="1066.164"/>
    <d v="2005-05-31T00:00:00"/>
    <x v="2"/>
    <x v="1"/>
    <x v="1"/>
    <x v="2"/>
    <s v="May-2005"/>
    <x v="2"/>
    <x v="14"/>
    <x v="1"/>
    <x v="1"/>
    <x v="1"/>
  </r>
  <r>
    <n v="10107"/>
    <n v="20"/>
    <n v="92.9"/>
    <n v="1858"/>
    <s v="Low"/>
    <n v="557.4"/>
    <d v="2003-02-24T00:00:00"/>
    <x v="0"/>
    <x v="0"/>
    <x v="0"/>
    <x v="0"/>
    <s v="Feb-2003"/>
    <x v="0"/>
    <x v="0"/>
    <x v="0"/>
    <x v="0"/>
    <x v="0"/>
  </r>
  <r>
    <n v="10120"/>
    <n v="22"/>
    <n v="100"/>
    <n v="2200"/>
    <s v="Medium"/>
    <n v="660"/>
    <d v="2003-04-29T00:00:00"/>
    <x v="0"/>
    <x v="0"/>
    <x v="8"/>
    <x v="0"/>
    <s v="Apr-2003"/>
    <x v="0"/>
    <x v="10"/>
    <x v="3"/>
    <x v="2"/>
    <x v="0"/>
  </r>
  <r>
    <n v="10133"/>
    <n v="23"/>
    <n v="100"/>
    <n v="2300"/>
    <s v="Medium"/>
    <n v="690"/>
    <d v="2003-06-27T00:00:00"/>
    <x v="0"/>
    <x v="0"/>
    <x v="9"/>
    <x v="0"/>
    <s v="Jun-2003"/>
    <x v="0"/>
    <x v="23"/>
    <x v="7"/>
    <x v="1"/>
    <x v="0"/>
  </r>
  <r>
    <n v="10145"/>
    <n v="33"/>
    <n v="93.9"/>
    <n v="3098.7000000000003"/>
    <s v="Medium"/>
    <n v="929.61"/>
    <d v="2003-08-25T00:00:00"/>
    <x v="0"/>
    <x v="0"/>
    <x v="3"/>
    <x v="0"/>
    <s v="Aug-2003"/>
    <x v="0"/>
    <x v="3"/>
    <x v="0"/>
    <x v="0"/>
    <x v="1"/>
  </r>
  <r>
    <n v="10168"/>
    <n v="28"/>
    <n v="100"/>
    <n v="2800"/>
    <s v="Medium"/>
    <n v="840"/>
    <d v="2003-10-28T00:00:00"/>
    <x v="0"/>
    <x v="0"/>
    <x v="4"/>
    <x v="0"/>
    <s v="Oct-2003"/>
    <x v="0"/>
    <x v="5"/>
    <x v="0"/>
    <x v="0"/>
    <x v="1"/>
  </r>
  <r>
    <n v="10188"/>
    <n v="44"/>
    <n v="98.89"/>
    <n v="4351.16"/>
    <s v="Medium"/>
    <n v="1305.348"/>
    <d v="2003-11-18T00:00:00"/>
    <x v="0"/>
    <x v="0"/>
    <x v="5"/>
    <x v="0"/>
    <s v="Nov-2003"/>
    <x v="0"/>
    <x v="7"/>
    <x v="2"/>
    <x v="1"/>
    <x v="1"/>
  </r>
  <r>
    <n v="10210"/>
    <n v="46"/>
    <n v="79.91"/>
    <n v="3675.8599999999997"/>
    <s v="Medium"/>
    <n v="1102.7579999999998"/>
    <d v="2004-01-12T00:00:00"/>
    <x v="0"/>
    <x v="0"/>
    <x v="7"/>
    <x v="1"/>
    <s v="Jan-2004"/>
    <x v="0"/>
    <x v="44"/>
    <x v="11"/>
    <x v="3"/>
    <x v="1"/>
  </r>
  <r>
    <n v="10223"/>
    <n v="21"/>
    <n v="100"/>
    <n v="2100"/>
    <s v="Medium"/>
    <n v="630"/>
    <d v="2004-02-20T00:00:00"/>
    <x v="0"/>
    <x v="0"/>
    <x v="0"/>
    <x v="1"/>
    <s v="Feb-2004"/>
    <x v="0"/>
    <x v="10"/>
    <x v="3"/>
    <x v="2"/>
    <x v="0"/>
  </r>
  <r>
    <n v="10235"/>
    <n v="41"/>
    <n v="100"/>
    <n v="4100"/>
    <s v="Medium"/>
    <n v="1230"/>
    <d v="2004-04-02T00:00:00"/>
    <x v="0"/>
    <x v="0"/>
    <x v="8"/>
    <x v="1"/>
    <s v="Apr-2004"/>
    <x v="0"/>
    <x v="57"/>
    <x v="10"/>
    <x v="0"/>
    <x v="1"/>
  </r>
  <r>
    <n v="10250"/>
    <n v="31"/>
    <n v="100"/>
    <n v="3100"/>
    <s v="Medium"/>
    <n v="930"/>
    <d v="2004-05-11T00:00:00"/>
    <x v="0"/>
    <x v="0"/>
    <x v="1"/>
    <x v="1"/>
    <s v="May-2004"/>
    <x v="0"/>
    <x v="61"/>
    <x v="0"/>
    <x v="0"/>
    <x v="1"/>
  </r>
  <r>
    <n v="10263"/>
    <n v="31"/>
    <n v="79.91"/>
    <n v="2477.21"/>
    <s v="Medium"/>
    <n v="743.16300000000001"/>
    <d v="2004-06-28T00:00:00"/>
    <x v="0"/>
    <x v="0"/>
    <x v="9"/>
    <x v="1"/>
    <s v="Jun-2004"/>
    <x v="0"/>
    <x v="13"/>
    <x v="0"/>
    <x v="0"/>
    <x v="0"/>
  </r>
  <r>
    <n v="10275"/>
    <n v="23"/>
    <n v="81.91"/>
    <n v="1883.9299999999998"/>
    <s v="Low"/>
    <n v="565.17899999999997"/>
    <d v="2004-07-23T00:00:00"/>
    <x v="0"/>
    <x v="0"/>
    <x v="2"/>
    <x v="1"/>
    <s v="Jul-2004"/>
    <x v="0"/>
    <x v="14"/>
    <x v="1"/>
    <x v="1"/>
    <x v="0"/>
  </r>
  <r>
    <n v="10285"/>
    <n v="37"/>
    <n v="98.89"/>
    <n v="3658.93"/>
    <s v="Medium"/>
    <n v="1097.6789999999999"/>
    <d v="2004-08-27T00:00:00"/>
    <x v="0"/>
    <x v="0"/>
    <x v="3"/>
    <x v="1"/>
    <s v="Aug-2004"/>
    <x v="0"/>
    <x v="15"/>
    <x v="0"/>
    <x v="0"/>
    <x v="1"/>
  </r>
  <r>
    <n v="10297"/>
    <n v="26"/>
    <n v="100"/>
    <n v="2600"/>
    <s v="Medium"/>
    <n v="780"/>
    <d v="2004-09-16T00:00:00"/>
    <x v="0"/>
    <x v="0"/>
    <x v="10"/>
    <x v="1"/>
    <s v="Sep-2004"/>
    <x v="0"/>
    <x v="75"/>
    <x v="18"/>
    <x v="1"/>
    <x v="0"/>
  </r>
  <r>
    <n v="10308"/>
    <n v="24"/>
    <n v="79.91"/>
    <n v="1917.84"/>
    <s v="Low"/>
    <n v="575.35199999999998"/>
    <d v="2004-10-15T00:00:00"/>
    <x v="0"/>
    <x v="0"/>
    <x v="4"/>
    <x v="1"/>
    <s v="Oct-2004"/>
    <x v="0"/>
    <x v="47"/>
    <x v="0"/>
    <x v="0"/>
    <x v="0"/>
  </r>
  <r>
    <n v="10318"/>
    <n v="47"/>
    <n v="100"/>
    <n v="4700"/>
    <s v="Medium"/>
    <n v="1410"/>
    <d v="2004-11-02T00:00:00"/>
    <x v="0"/>
    <x v="0"/>
    <x v="5"/>
    <x v="1"/>
    <s v="Nov-2004"/>
    <x v="0"/>
    <x v="18"/>
    <x v="0"/>
    <x v="0"/>
    <x v="1"/>
  </r>
  <r>
    <n v="10329"/>
    <n v="45"/>
    <n v="63.91"/>
    <n v="2875.95"/>
    <s v="Medium"/>
    <n v="862.78499999999997"/>
    <d v="2004-11-15T00:00:00"/>
    <x v="0"/>
    <x v="0"/>
    <x v="5"/>
    <x v="1"/>
    <s v="Nov-2004"/>
    <x v="0"/>
    <x v="0"/>
    <x v="0"/>
    <x v="0"/>
    <x v="0"/>
  </r>
  <r>
    <n v="10340"/>
    <n v="55"/>
    <n v="100"/>
    <n v="5500"/>
    <s v="High"/>
    <n v="1650"/>
    <d v="2004-11-24T00:00:00"/>
    <x v="0"/>
    <x v="0"/>
    <x v="5"/>
    <x v="1"/>
    <s v="Nov-2004"/>
    <x v="0"/>
    <x v="53"/>
    <x v="7"/>
    <x v="1"/>
    <x v="1"/>
  </r>
  <r>
    <n v="10353"/>
    <n v="46"/>
    <n v="81.17"/>
    <n v="3733.82"/>
    <s v="Medium"/>
    <n v="1120.146"/>
    <d v="2004-12-04T00:00:00"/>
    <x v="0"/>
    <x v="0"/>
    <x v="6"/>
    <x v="1"/>
    <s v="Dec-2004"/>
    <x v="0"/>
    <x v="88"/>
    <x v="0"/>
    <x v="0"/>
    <x v="1"/>
  </r>
  <r>
    <n v="10363"/>
    <n v="50"/>
    <n v="100"/>
    <n v="5000"/>
    <s v="High"/>
    <n v="1500"/>
    <d v="2005-01-06T00:00:00"/>
    <x v="0"/>
    <x v="0"/>
    <x v="7"/>
    <x v="2"/>
    <s v="Jan-2005"/>
    <x v="0"/>
    <x v="73"/>
    <x v="4"/>
    <x v="1"/>
    <x v="1"/>
  </r>
  <r>
    <n v="10375"/>
    <n v="37"/>
    <n v="100"/>
    <n v="3700"/>
    <s v="Medium"/>
    <n v="1110"/>
    <d v="2005-02-03T00:00:00"/>
    <x v="0"/>
    <x v="0"/>
    <x v="0"/>
    <x v="2"/>
    <s v="Feb-2005"/>
    <x v="0"/>
    <x v="14"/>
    <x v="1"/>
    <x v="1"/>
    <x v="1"/>
  </r>
  <r>
    <n v="10387"/>
    <n v="44"/>
    <n v="94.9"/>
    <n v="4175.6000000000004"/>
    <s v="Medium"/>
    <n v="1252.68"/>
    <d v="2005-03-02T00:00:00"/>
    <x v="0"/>
    <x v="0"/>
    <x v="11"/>
    <x v="2"/>
    <s v="Mar-2005"/>
    <x v="0"/>
    <x v="26"/>
    <x v="9"/>
    <x v="3"/>
    <x v="1"/>
  </r>
  <r>
    <n v="10401"/>
    <n v="49"/>
    <n v="100"/>
    <n v="4900"/>
    <s v="Medium"/>
    <n v="1470"/>
    <d v="2005-04-03T00:00:00"/>
    <x v="4"/>
    <x v="1"/>
    <x v="8"/>
    <x v="2"/>
    <s v="Apr-2005"/>
    <x v="0"/>
    <x v="12"/>
    <x v="0"/>
    <x v="0"/>
    <x v="1"/>
  </r>
  <r>
    <n v="10416"/>
    <n v="45"/>
    <n v="100"/>
    <n v="4500"/>
    <s v="Medium"/>
    <n v="1350"/>
    <d v="2005-05-10T00:00:00"/>
    <x v="0"/>
    <x v="0"/>
    <x v="1"/>
    <x v="2"/>
    <s v="May-2005"/>
    <x v="0"/>
    <x v="70"/>
    <x v="12"/>
    <x v="1"/>
    <x v="1"/>
  </r>
  <r>
    <n v="10108"/>
    <n v="27"/>
    <n v="43.45"/>
    <n v="1173.1500000000001"/>
    <s v="Low"/>
    <n v="351.94499999999999"/>
    <d v="2003-03-03T00:00:00"/>
    <x v="0"/>
    <x v="0"/>
    <x v="11"/>
    <x v="0"/>
    <s v="Mar-2003"/>
    <x v="0"/>
    <x v="66"/>
    <x v="15"/>
    <x v="3"/>
    <x v="0"/>
  </r>
  <r>
    <n v="10122"/>
    <n v="31"/>
    <n v="44.66"/>
    <n v="1384.4599999999998"/>
    <s v="Low"/>
    <n v="415.33799999999991"/>
    <d v="2003-05-08T00:00:00"/>
    <x v="0"/>
    <x v="0"/>
    <x v="1"/>
    <x v="0"/>
    <s v="May-2003"/>
    <x v="0"/>
    <x v="67"/>
    <x v="1"/>
    <x v="1"/>
    <x v="0"/>
  </r>
  <r>
    <n v="10135"/>
    <n v="33"/>
    <n v="40.229999999999997"/>
    <n v="1327.59"/>
    <s v="Low"/>
    <n v="398.27699999999999"/>
    <d v="2003-07-02T00:00:00"/>
    <x v="0"/>
    <x v="0"/>
    <x v="2"/>
    <x v="0"/>
    <s v="Jul-2003"/>
    <x v="0"/>
    <x v="39"/>
    <x v="0"/>
    <x v="0"/>
    <x v="0"/>
  </r>
  <r>
    <n v="10145"/>
    <n v="31"/>
    <n v="35.799999999999997"/>
    <n v="1109.8"/>
    <s v="Low"/>
    <n v="332.94"/>
    <d v="2003-08-25T00:00:00"/>
    <x v="0"/>
    <x v="0"/>
    <x v="3"/>
    <x v="0"/>
    <s v="Aug-2003"/>
    <x v="0"/>
    <x v="3"/>
    <x v="0"/>
    <x v="0"/>
    <x v="0"/>
  </r>
  <r>
    <n v="10159"/>
    <n v="35"/>
    <n v="35.4"/>
    <n v="1239"/>
    <s v="Low"/>
    <n v="371.7"/>
    <d v="2003-10-10T00:00:00"/>
    <x v="0"/>
    <x v="0"/>
    <x v="4"/>
    <x v="0"/>
    <s v="Oct-2003"/>
    <x v="0"/>
    <x v="4"/>
    <x v="0"/>
    <x v="0"/>
    <x v="0"/>
  </r>
  <r>
    <n v="10169"/>
    <n v="26"/>
    <n v="39.83"/>
    <n v="1035.58"/>
    <s v="Low"/>
    <n v="310.67399999999998"/>
    <d v="2003-11-04T00:00:00"/>
    <x v="0"/>
    <x v="0"/>
    <x v="5"/>
    <x v="0"/>
    <s v="Nov-2003"/>
    <x v="0"/>
    <x v="42"/>
    <x v="3"/>
    <x v="2"/>
    <x v="0"/>
  </r>
  <r>
    <n v="10180"/>
    <n v="34"/>
    <n v="45.46"/>
    <n v="1545.64"/>
    <s v="Low"/>
    <n v="463.69200000000001"/>
    <d v="2003-11-11T00:00:00"/>
    <x v="0"/>
    <x v="0"/>
    <x v="5"/>
    <x v="0"/>
    <s v="Nov-2003"/>
    <x v="0"/>
    <x v="6"/>
    <x v="1"/>
    <x v="1"/>
    <x v="0"/>
  </r>
  <r>
    <n v="10190"/>
    <n v="46"/>
    <n v="32.99"/>
    <n v="1517.5400000000002"/>
    <s v="Low"/>
    <n v="455.26200000000006"/>
    <d v="2003-11-19T00:00:00"/>
    <x v="0"/>
    <x v="0"/>
    <x v="5"/>
    <x v="0"/>
    <s v="Nov-2003"/>
    <x v="0"/>
    <x v="23"/>
    <x v="7"/>
    <x v="1"/>
    <x v="0"/>
  </r>
  <r>
    <n v="10211"/>
    <n v="41"/>
    <n v="42.24"/>
    <n v="1731.8400000000001"/>
    <s v="Low"/>
    <n v="519.55200000000002"/>
    <d v="2004-01-15T00:00:00"/>
    <x v="0"/>
    <x v="0"/>
    <x v="7"/>
    <x v="1"/>
    <s v="Jan-2004"/>
    <x v="0"/>
    <x v="9"/>
    <x v="1"/>
    <x v="1"/>
    <x v="0"/>
  </r>
  <r>
    <n v="10224"/>
    <n v="43"/>
    <n v="39.43"/>
    <n v="1695.49"/>
    <s v="Low"/>
    <n v="508.64699999999999"/>
    <d v="2004-02-21T00:00:00"/>
    <x v="0"/>
    <x v="0"/>
    <x v="0"/>
    <x v="1"/>
    <s v="Feb-2004"/>
    <x v="0"/>
    <x v="6"/>
    <x v="1"/>
    <x v="1"/>
    <x v="0"/>
  </r>
  <r>
    <n v="10237"/>
    <n v="26"/>
    <n v="40.229999999999997"/>
    <n v="1045.98"/>
    <s v="Low"/>
    <n v="313.79399999999998"/>
    <d v="2004-04-05T00:00:00"/>
    <x v="0"/>
    <x v="0"/>
    <x v="8"/>
    <x v="1"/>
    <s v="Apr-2004"/>
    <x v="0"/>
    <x v="11"/>
    <x v="0"/>
    <x v="0"/>
    <x v="0"/>
  </r>
  <r>
    <n v="10252"/>
    <n v="36"/>
    <n v="48.28"/>
    <n v="1738.08"/>
    <s v="Low"/>
    <n v="521.42399999999998"/>
    <d v="2004-05-26T00:00:00"/>
    <x v="0"/>
    <x v="0"/>
    <x v="1"/>
    <x v="1"/>
    <s v="May-2004"/>
    <x v="0"/>
    <x v="9"/>
    <x v="1"/>
    <x v="1"/>
    <x v="0"/>
  </r>
  <r>
    <n v="10264"/>
    <n v="20"/>
    <n v="32.590000000000003"/>
    <n v="651.80000000000007"/>
    <s v="Low"/>
    <n v="195.54000000000002"/>
    <d v="2004-06-30T00:00:00"/>
    <x v="0"/>
    <x v="0"/>
    <x v="9"/>
    <x v="1"/>
    <s v="Jun-2004"/>
    <x v="0"/>
    <x v="58"/>
    <x v="0"/>
    <x v="0"/>
    <x v="0"/>
  </r>
  <r>
    <n v="10276"/>
    <n v="27"/>
    <n v="36.61"/>
    <n v="988.47"/>
    <s v="Low"/>
    <n v="296.541"/>
    <d v="2004-08-02T00:00:00"/>
    <x v="0"/>
    <x v="0"/>
    <x v="3"/>
    <x v="1"/>
    <s v="Aug-2004"/>
    <x v="0"/>
    <x v="71"/>
    <x v="0"/>
    <x v="0"/>
    <x v="0"/>
  </r>
  <r>
    <n v="10285"/>
    <n v="37"/>
    <n v="41.03"/>
    <n v="1518.1100000000001"/>
    <s v="Low"/>
    <n v="455.43300000000005"/>
    <d v="2004-08-27T00:00:00"/>
    <x v="0"/>
    <x v="0"/>
    <x v="3"/>
    <x v="1"/>
    <s v="Aug-2004"/>
    <x v="0"/>
    <x v="15"/>
    <x v="0"/>
    <x v="0"/>
    <x v="0"/>
  </r>
  <r>
    <n v="10299"/>
    <n v="24"/>
    <n v="42.24"/>
    <n v="1013.76"/>
    <s v="Low"/>
    <n v="304.12799999999999"/>
    <d v="2004-09-30T00:00:00"/>
    <x v="0"/>
    <x v="0"/>
    <x v="10"/>
    <x v="1"/>
    <s v="Sep-2004"/>
    <x v="0"/>
    <x v="16"/>
    <x v="4"/>
    <x v="1"/>
    <x v="0"/>
  </r>
  <r>
    <n v="10310"/>
    <n v="36"/>
    <n v="43.05"/>
    <n v="1549.8"/>
    <s v="Low"/>
    <n v="464.93999999999994"/>
    <d v="2004-10-16T00:00:00"/>
    <x v="0"/>
    <x v="0"/>
    <x v="4"/>
    <x v="1"/>
    <s v="Oct-2004"/>
    <x v="0"/>
    <x v="68"/>
    <x v="16"/>
    <x v="1"/>
    <x v="0"/>
  </r>
  <r>
    <n v="10319"/>
    <n v="29"/>
    <n v="38.22"/>
    <n v="1108.3799999999999"/>
    <s v="Low"/>
    <n v="332.51399999999995"/>
    <d v="2004-11-03T00:00:00"/>
    <x v="0"/>
    <x v="0"/>
    <x v="5"/>
    <x v="1"/>
    <s v="Nov-2004"/>
    <x v="0"/>
    <x v="79"/>
    <x v="0"/>
    <x v="0"/>
    <x v="0"/>
  </r>
  <r>
    <n v="10331"/>
    <n v="28"/>
    <n v="100"/>
    <n v="2800"/>
    <s v="Medium"/>
    <n v="840"/>
    <d v="2004-11-17T00:00:00"/>
    <x v="0"/>
    <x v="0"/>
    <x v="5"/>
    <x v="1"/>
    <s v="Nov-2004"/>
    <x v="0"/>
    <x v="45"/>
    <x v="0"/>
    <x v="0"/>
    <x v="1"/>
  </r>
  <r>
    <n v="10343"/>
    <n v="29"/>
    <n v="100"/>
    <n v="2900"/>
    <s v="Medium"/>
    <n v="870"/>
    <d v="2004-11-24T00:00:00"/>
    <x v="0"/>
    <x v="0"/>
    <x v="5"/>
    <x v="1"/>
    <s v="Nov-2004"/>
    <x v="0"/>
    <x v="1"/>
    <x v="1"/>
    <x v="1"/>
    <x v="1"/>
  </r>
  <r>
    <n v="10355"/>
    <n v="38"/>
    <n v="39.83"/>
    <n v="1513.54"/>
    <s v="Low"/>
    <n v="454.06199999999995"/>
    <d v="2004-12-07T00:00:00"/>
    <x v="0"/>
    <x v="0"/>
    <x v="6"/>
    <x v="1"/>
    <s v="Dec-2004"/>
    <x v="0"/>
    <x v="23"/>
    <x v="7"/>
    <x v="1"/>
    <x v="0"/>
  </r>
  <r>
    <n v="10364"/>
    <n v="48"/>
    <n v="48.28"/>
    <n v="2317.44"/>
    <s v="Medium"/>
    <n v="695.23199999999997"/>
    <d v="2005-01-06T00:00:00"/>
    <x v="0"/>
    <x v="0"/>
    <x v="7"/>
    <x v="2"/>
    <s v="Jan-2005"/>
    <x v="0"/>
    <x v="67"/>
    <x v="1"/>
    <x v="1"/>
    <x v="0"/>
  </r>
  <r>
    <n v="10378"/>
    <n v="40"/>
    <n v="82.46"/>
    <n v="3298.3999999999996"/>
    <s v="Medium"/>
    <n v="989.51999999999987"/>
    <d v="2005-02-10T00:00:00"/>
    <x v="0"/>
    <x v="0"/>
    <x v="0"/>
    <x v="2"/>
    <s v="Feb-2005"/>
    <x v="0"/>
    <x v="23"/>
    <x v="7"/>
    <x v="1"/>
    <x v="1"/>
  </r>
  <r>
    <n v="10390"/>
    <n v="41"/>
    <n v="44.56"/>
    <n v="1826.96"/>
    <s v="Low"/>
    <n v="548.08799999999997"/>
    <d v="2005-03-04T00:00:00"/>
    <x v="0"/>
    <x v="0"/>
    <x v="11"/>
    <x v="2"/>
    <s v="Mar-2005"/>
    <x v="0"/>
    <x v="39"/>
    <x v="0"/>
    <x v="0"/>
    <x v="0"/>
  </r>
  <r>
    <n v="10403"/>
    <n v="30"/>
    <n v="40.229999999999997"/>
    <n v="1206.8999999999999"/>
    <s v="Low"/>
    <n v="362.06999999999994"/>
    <d v="2005-04-08T00:00:00"/>
    <x v="0"/>
    <x v="0"/>
    <x v="8"/>
    <x v="2"/>
    <s v="Apr-2005"/>
    <x v="0"/>
    <x v="22"/>
    <x v="6"/>
    <x v="1"/>
    <x v="0"/>
  </r>
  <r>
    <n v="10104"/>
    <n v="35"/>
    <n v="47.62"/>
    <n v="1666.6999999999998"/>
    <s v="Low"/>
    <n v="500.00999999999993"/>
    <d v="2003-01-31T00:00:00"/>
    <x v="0"/>
    <x v="0"/>
    <x v="7"/>
    <x v="0"/>
    <s v="Jan-2003"/>
    <x v="2"/>
    <x v="23"/>
    <x v="7"/>
    <x v="1"/>
    <x v="0"/>
  </r>
  <r>
    <n v="10114"/>
    <n v="28"/>
    <n v="55.73"/>
    <n v="1560.4399999999998"/>
    <s v="Low"/>
    <n v="468.13199999999995"/>
    <d v="2003-04-01T00:00:00"/>
    <x v="0"/>
    <x v="0"/>
    <x v="8"/>
    <x v="0"/>
    <s v="Apr-2003"/>
    <x v="2"/>
    <x v="62"/>
    <x v="1"/>
    <x v="1"/>
    <x v="0"/>
  </r>
  <r>
    <n v="10127"/>
    <n v="45"/>
    <n v="51.95"/>
    <n v="2337.75"/>
    <s v="Medium"/>
    <n v="701.32499999999993"/>
    <d v="2003-06-03T00:00:00"/>
    <x v="0"/>
    <x v="0"/>
    <x v="9"/>
    <x v="0"/>
    <s v="Jun-2003"/>
    <x v="2"/>
    <x v="74"/>
    <x v="0"/>
    <x v="0"/>
    <x v="0"/>
  </r>
  <r>
    <n v="10141"/>
    <n v="24"/>
    <n v="45.99"/>
    <n v="1103.76"/>
    <s v="Low"/>
    <n v="331.12799999999999"/>
    <d v="2003-08-01T00:00:00"/>
    <x v="0"/>
    <x v="0"/>
    <x v="3"/>
    <x v="0"/>
    <s v="Aug-2003"/>
    <x v="2"/>
    <x v="73"/>
    <x v="4"/>
    <x v="1"/>
    <x v="0"/>
  </r>
  <r>
    <n v="10151"/>
    <n v="41"/>
    <n v="63.85"/>
    <n v="2617.85"/>
    <s v="Medium"/>
    <n v="785.3549999999999"/>
    <d v="2003-09-21T00:00:00"/>
    <x v="0"/>
    <x v="0"/>
    <x v="10"/>
    <x v="0"/>
    <s v="Sep-2003"/>
    <x v="2"/>
    <x v="60"/>
    <x v="4"/>
    <x v="1"/>
    <x v="0"/>
  </r>
  <r>
    <n v="10165"/>
    <n v="48"/>
    <n v="45.99"/>
    <n v="2207.52"/>
    <s v="Medium"/>
    <n v="662.25599999999997"/>
    <d v="2003-10-22T00:00:00"/>
    <x v="0"/>
    <x v="0"/>
    <x v="4"/>
    <x v="0"/>
    <s v="Oct-2003"/>
    <x v="2"/>
    <x v="26"/>
    <x v="9"/>
    <x v="3"/>
    <x v="0"/>
  </r>
  <r>
    <n v="10175"/>
    <n v="50"/>
    <n v="63.31"/>
    <n v="3165.5"/>
    <s v="Medium"/>
    <n v="949.65"/>
    <d v="2003-11-06T00:00:00"/>
    <x v="0"/>
    <x v="0"/>
    <x v="5"/>
    <x v="0"/>
    <s v="Nov-2003"/>
    <x v="2"/>
    <x v="49"/>
    <x v="6"/>
    <x v="1"/>
    <x v="1"/>
  </r>
  <r>
    <n v="10184"/>
    <n v="33"/>
    <n v="62.77"/>
    <n v="2071.4100000000003"/>
    <s v="Medium"/>
    <n v="621.42300000000012"/>
    <d v="2003-11-14T00:00:00"/>
    <x v="0"/>
    <x v="0"/>
    <x v="5"/>
    <x v="0"/>
    <s v="Nov-2003"/>
    <x v="2"/>
    <x v="81"/>
    <x v="7"/>
    <x v="1"/>
    <x v="0"/>
  </r>
  <r>
    <n v="10195"/>
    <n v="32"/>
    <n v="43.29"/>
    <n v="1385.28"/>
    <s v="Low"/>
    <n v="415.584"/>
    <d v="2003-11-25T00:00:00"/>
    <x v="0"/>
    <x v="0"/>
    <x v="5"/>
    <x v="0"/>
    <s v="Nov-2003"/>
    <x v="2"/>
    <x v="47"/>
    <x v="0"/>
    <x v="0"/>
    <x v="0"/>
  </r>
  <r>
    <n v="10207"/>
    <n v="27"/>
    <n v="60.06"/>
    <n v="1621.6200000000001"/>
    <s v="Low"/>
    <n v="486.48599999999999"/>
    <d v="2003-12-09T00:00:00"/>
    <x v="0"/>
    <x v="0"/>
    <x v="6"/>
    <x v="0"/>
    <s v="Dec-2003"/>
    <x v="2"/>
    <x v="64"/>
    <x v="0"/>
    <x v="0"/>
    <x v="0"/>
  </r>
  <r>
    <n v="10219"/>
    <n v="35"/>
    <n v="55.19"/>
    <n v="1931.6499999999999"/>
    <s v="Low"/>
    <n v="579.49499999999989"/>
    <d v="2004-02-10T00:00:00"/>
    <x v="0"/>
    <x v="0"/>
    <x v="0"/>
    <x v="1"/>
    <s v="Feb-2004"/>
    <x v="2"/>
    <x v="82"/>
    <x v="0"/>
    <x v="0"/>
    <x v="0"/>
  </r>
  <r>
    <n v="10229"/>
    <n v="23"/>
    <n v="54.11"/>
    <n v="1244.53"/>
    <s v="Low"/>
    <n v="373.35899999999998"/>
    <d v="2004-03-11T00:00:00"/>
    <x v="0"/>
    <x v="0"/>
    <x v="11"/>
    <x v="1"/>
    <s v="Mar-2004"/>
    <x v="2"/>
    <x v="39"/>
    <x v="0"/>
    <x v="0"/>
    <x v="0"/>
  </r>
  <r>
    <n v="10246"/>
    <n v="35"/>
    <n v="48.7"/>
    <n v="1704.5"/>
    <s v="Low"/>
    <n v="511.34999999999997"/>
    <d v="2004-05-05T00:00:00"/>
    <x v="0"/>
    <x v="0"/>
    <x v="1"/>
    <x v="1"/>
    <s v="May-2004"/>
    <x v="2"/>
    <x v="23"/>
    <x v="7"/>
    <x v="1"/>
    <x v="0"/>
  </r>
  <r>
    <n v="10259"/>
    <n v="40"/>
    <n v="43.83"/>
    <n v="1753.1999999999998"/>
    <s v="Low"/>
    <n v="525.95999999999992"/>
    <d v="2004-06-15T00:00:00"/>
    <x v="0"/>
    <x v="0"/>
    <x v="9"/>
    <x v="1"/>
    <s v="Jun-2004"/>
    <x v="2"/>
    <x v="65"/>
    <x v="9"/>
    <x v="2"/>
    <x v="0"/>
  </r>
  <r>
    <n v="10271"/>
    <n v="35"/>
    <n v="47.62"/>
    <n v="1666.6999999999998"/>
    <s v="Low"/>
    <n v="500.00999999999993"/>
    <d v="2004-07-20T00:00:00"/>
    <x v="0"/>
    <x v="0"/>
    <x v="2"/>
    <x v="1"/>
    <s v="Jul-2004"/>
    <x v="2"/>
    <x v="39"/>
    <x v="0"/>
    <x v="0"/>
    <x v="0"/>
  </r>
  <r>
    <n v="10281"/>
    <n v="31"/>
    <n v="55.19"/>
    <n v="1710.8899999999999"/>
    <s v="Low"/>
    <n v="513.26699999999994"/>
    <d v="2004-08-19T00:00:00"/>
    <x v="0"/>
    <x v="0"/>
    <x v="3"/>
    <x v="1"/>
    <s v="Aug-2004"/>
    <x v="2"/>
    <x v="18"/>
    <x v="0"/>
    <x v="0"/>
    <x v="0"/>
  </r>
  <r>
    <n v="10292"/>
    <n v="50"/>
    <n v="46.53"/>
    <n v="2326.5"/>
    <s v="Medium"/>
    <n v="697.94999999999993"/>
    <d v="2004-09-08T00:00:00"/>
    <x v="0"/>
    <x v="0"/>
    <x v="10"/>
    <x v="1"/>
    <s v="Sep-2004"/>
    <x v="2"/>
    <x v="0"/>
    <x v="0"/>
    <x v="0"/>
    <x v="0"/>
  </r>
  <r>
    <n v="10305"/>
    <n v="40"/>
    <n v="57.9"/>
    <n v="2316"/>
    <s v="Medium"/>
    <n v="694.8"/>
    <d v="2004-10-13T00:00:00"/>
    <x v="0"/>
    <x v="0"/>
    <x v="4"/>
    <x v="1"/>
    <s v="Oct-2004"/>
    <x v="2"/>
    <x v="15"/>
    <x v="0"/>
    <x v="0"/>
    <x v="0"/>
  </r>
  <r>
    <n v="10313"/>
    <n v="38"/>
    <n v="45.45"/>
    <n v="1727.1000000000001"/>
    <s v="Low"/>
    <n v="518.13"/>
    <d v="2004-10-22T00:00:00"/>
    <x v="0"/>
    <x v="0"/>
    <x v="4"/>
    <x v="1"/>
    <s v="Oct-2004"/>
    <x v="2"/>
    <x v="31"/>
    <x v="10"/>
    <x v="0"/>
    <x v="0"/>
  </r>
  <r>
    <n v="10325"/>
    <n v="38"/>
    <n v="100"/>
    <n v="3800"/>
    <s v="Medium"/>
    <n v="1140"/>
    <d v="2004-11-05T00:00:00"/>
    <x v="0"/>
    <x v="0"/>
    <x v="5"/>
    <x v="1"/>
    <s v="Nov-2004"/>
    <x v="2"/>
    <x v="17"/>
    <x v="2"/>
    <x v="1"/>
    <x v="2"/>
  </r>
  <r>
    <n v="10335"/>
    <n v="40"/>
    <n v="60.6"/>
    <n v="2424"/>
    <s v="Medium"/>
    <n v="727.19999999999993"/>
    <d v="2004-11-19T00:00:00"/>
    <x v="0"/>
    <x v="0"/>
    <x v="5"/>
    <x v="1"/>
    <s v="Nov-2004"/>
    <x v="2"/>
    <x v="39"/>
    <x v="0"/>
    <x v="0"/>
    <x v="0"/>
  </r>
  <r>
    <n v="10349"/>
    <n v="33"/>
    <n v="46.53"/>
    <n v="1535.49"/>
    <s v="Low"/>
    <n v="460.64699999999999"/>
    <d v="2004-12-01T00:00:00"/>
    <x v="0"/>
    <x v="0"/>
    <x v="6"/>
    <x v="1"/>
    <s v="Dec-2004"/>
    <x v="2"/>
    <x v="74"/>
    <x v="0"/>
    <x v="0"/>
    <x v="0"/>
  </r>
  <r>
    <n v="10359"/>
    <n v="36"/>
    <n v="100"/>
    <n v="3600"/>
    <s v="Medium"/>
    <n v="1080"/>
    <d v="2004-12-15T00:00:00"/>
    <x v="0"/>
    <x v="0"/>
    <x v="6"/>
    <x v="1"/>
    <s v="Dec-2004"/>
    <x v="2"/>
    <x v="1"/>
    <x v="1"/>
    <x v="1"/>
    <x v="1"/>
  </r>
  <r>
    <n v="10371"/>
    <n v="20"/>
    <n v="66.47"/>
    <n v="1329.4"/>
    <s v="Low"/>
    <n v="398.82"/>
    <d v="2005-01-23T00:00:00"/>
    <x v="0"/>
    <x v="0"/>
    <x v="7"/>
    <x v="2"/>
    <s v="Jan-2005"/>
    <x v="2"/>
    <x v="39"/>
    <x v="0"/>
    <x v="0"/>
    <x v="0"/>
  </r>
  <r>
    <n v="10383"/>
    <n v="32"/>
    <n v="53.18"/>
    <n v="1701.76"/>
    <s v="Low"/>
    <n v="510.52799999999996"/>
    <d v="2005-02-22T00:00:00"/>
    <x v="0"/>
    <x v="0"/>
    <x v="0"/>
    <x v="2"/>
    <s v="Feb-2005"/>
    <x v="2"/>
    <x v="23"/>
    <x v="7"/>
    <x v="1"/>
    <x v="0"/>
  </r>
  <r>
    <n v="10394"/>
    <n v="36"/>
    <n v="62.77"/>
    <n v="2259.7200000000003"/>
    <s v="Medium"/>
    <n v="677.91600000000005"/>
    <d v="2005-03-15T00:00:00"/>
    <x v="0"/>
    <x v="0"/>
    <x v="11"/>
    <x v="2"/>
    <s v="Mar-2005"/>
    <x v="2"/>
    <x v="23"/>
    <x v="7"/>
    <x v="1"/>
    <x v="0"/>
  </r>
  <r>
    <n v="10412"/>
    <n v="19"/>
    <n v="48.7"/>
    <n v="925.30000000000007"/>
    <s v="Low"/>
    <n v="277.59000000000003"/>
    <d v="2005-05-03T00:00:00"/>
    <x v="0"/>
    <x v="0"/>
    <x v="1"/>
    <x v="2"/>
    <s v="May-2005"/>
    <x v="2"/>
    <x v="23"/>
    <x v="7"/>
    <x v="1"/>
    <x v="0"/>
  </r>
  <r>
    <n v="10425"/>
    <n v="11"/>
    <n v="43.83"/>
    <n v="482.13"/>
    <s v="Low"/>
    <n v="144.63899999999998"/>
    <d v="2005-05-31T00:00:00"/>
    <x v="2"/>
    <x v="1"/>
    <x v="1"/>
    <x v="2"/>
    <s v="May-2005"/>
    <x v="2"/>
    <x v="14"/>
    <x v="1"/>
    <x v="1"/>
    <x v="0"/>
  </r>
  <r>
    <n v="10104"/>
    <n v="49"/>
    <n v="65.87"/>
    <n v="3227.63"/>
    <s v="Medium"/>
    <n v="968.28899999999999"/>
    <d v="2003-01-31T00:00:00"/>
    <x v="0"/>
    <x v="0"/>
    <x v="7"/>
    <x v="0"/>
    <s v="Jan-2003"/>
    <x v="6"/>
    <x v="23"/>
    <x v="7"/>
    <x v="1"/>
    <x v="1"/>
  </r>
  <r>
    <n v="10116"/>
    <n v="27"/>
    <n v="63.38"/>
    <n v="1711.26"/>
    <s v="Low"/>
    <n v="513.37799999999993"/>
    <d v="2003-04-11T00:00:00"/>
    <x v="0"/>
    <x v="0"/>
    <x v="8"/>
    <x v="0"/>
    <s v="Apr-2003"/>
    <x v="6"/>
    <x v="90"/>
    <x v="14"/>
    <x v="1"/>
    <x v="0"/>
  </r>
  <r>
    <n v="10127"/>
    <n v="29"/>
    <n v="70.84"/>
    <n v="2054.36"/>
    <s v="Medium"/>
    <n v="616.30799999999999"/>
    <d v="2003-06-03T00:00:00"/>
    <x v="0"/>
    <x v="0"/>
    <x v="9"/>
    <x v="0"/>
    <s v="Jun-2003"/>
    <x v="6"/>
    <x v="74"/>
    <x v="0"/>
    <x v="0"/>
    <x v="0"/>
  </r>
  <r>
    <n v="10142"/>
    <n v="42"/>
    <n v="74.569999999999993"/>
    <n v="3131.9399999999996"/>
    <s v="Medium"/>
    <n v="939.58199999999988"/>
    <d v="2003-08-08T00:00:00"/>
    <x v="0"/>
    <x v="0"/>
    <x v="3"/>
    <x v="0"/>
    <s v="Aug-2003"/>
    <x v="6"/>
    <x v="39"/>
    <x v="0"/>
    <x v="0"/>
    <x v="1"/>
  </r>
  <r>
    <n v="10152"/>
    <n v="33"/>
    <n v="50.95"/>
    <n v="1681.3500000000001"/>
    <s v="Low"/>
    <n v="504.40500000000003"/>
    <d v="2003-09-25T00:00:00"/>
    <x v="0"/>
    <x v="0"/>
    <x v="10"/>
    <x v="0"/>
    <s v="Sep-2003"/>
    <x v="6"/>
    <x v="28"/>
    <x v="3"/>
    <x v="2"/>
    <x v="0"/>
  </r>
  <r>
    <n v="10165"/>
    <n v="44"/>
    <n v="53.44"/>
    <n v="2351.3599999999997"/>
    <s v="Medium"/>
    <n v="705.4079999999999"/>
    <d v="2003-10-22T00:00:00"/>
    <x v="0"/>
    <x v="0"/>
    <x v="4"/>
    <x v="0"/>
    <s v="Oct-2003"/>
    <x v="6"/>
    <x v="26"/>
    <x v="9"/>
    <x v="3"/>
    <x v="0"/>
  </r>
  <r>
    <n v="10176"/>
    <n v="22"/>
    <n v="64"/>
    <n v="1408"/>
    <s v="Low"/>
    <n v="422.4"/>
    <d v="2003-11-06T00:00:00"/>
    <x v="0"/>
    <x v="0"/>
    <x v="5"/>
    <x v="0"/>
    <s v="Nov-2003"/>
    <x v="6"/>
    <x v="70"/>
    <x v="12"/>
    <x v="1"/>
    <x v="0"/>
  </r>
  <r>
    <n v="10184"/>
    <n v="48"/>
    <n v="50.95"/>
    <n v="2445.6000000000004"/>
    <s v="Medium"/>
    <n v="733.68000000000006"/>
    <d v="2003-11-14T00:00:00"/>
    <x v="0"/>
    <x v="0"/>
    <x v="5"/>
    <x v="0"/>
    <s v="Nov-2003"/>
    <x v="6"/>
    <x v="81"/>
    <x v="7"/>
    <x v="1"/>
    <x v="0"/>
  </r>
  <r>
    <n v="10195"/>
    <n v="33"/>
    <n v="54.68"/>
    <n v="1804.44"/>
    <s v="Low"/>
    <n v="541.33199999999999"/>
    <d v="2003-11-25T00:00:00"/>
    <x v="0"/>
    <x v="0"/>
    <x v="5"/>
    <x v="0"/>
    <s v="Nov-2003"/>
    <x v="6"/>
    <x v="47"/>
    <x v="0"/>
    <x v="0"/>
    <x v="0"/>
  </r>
  <r>
    <n v="10207"/>
    <n v="45"/>
    <n v="56.55"/>
    <n v="2544.75"/>
    <s v="Medium"/>
    <n v="763.42499999999995"/>
    <d v="2003-12-09T00:00:00"/>
    <x v="0"/>
    <x v="0"/>
    <x v="6"/>
    <x v="0"/>
    <s v="Dec-2003"/>
    <x v="6"/>
    <x v="64"/>
    <x v="0"/>
    <x v="0"/>
    <x v="0"/>
  </r>
  <r>
    <n v="10220"/>
    <n v="20"/>
    <n v="52.82"/>
    <n v="1056.4000000000001"/>
    <s v="Low"/>
    <n v="316.92"/>
    <d v="2004-02-12T00:00:00"/>
    <x v="0"/>
    <x v="0"/>
    <x v="0"/>
    <x v="1"/>
    <s v="Feb-2004"/>
    <x v="6"/>
    <x v="75"/>
    <x v="18"/>
    <x v="1"/>
    <x v="0"/>
  </r>
  <r>
    <n v="10230"/>
    <n v="46"/>
    <n v="60.9"/>
    <n v="2801.4"/>
    <s v="Medium"/>
    <n v="840.42"/>
    <d v="2004-03-15T00:00:00"/>
    <x v="0"/>
    <x v="0"/>
    <x v="11"/>
    <x v="1"/>
    <s v="Mar-2004"/>
    <x v="6"/>
    <x v="72"/>
    <x v="16"/>
    <x v="1"/>
    <x v="0"/>
  </r>
  <r>
    <n v="10247"/>
    <n v="40"/>
    <n v="49.71"/>
    <n v="1988.4"/>
    <s v="Low"/>
    <n v="596.52"/>
    <d v="2004-05-05T00:00:00"/>
    <x v="0"/>
    <x v="0"/>
    <x v="1"/>
    <x v="1"/>
    <s v="May-2004"/>
    <x v="6"/>
    <x v="73"/>
    <x v="4"/>
    <x v="1"/>
    <x v="0"/>
  </r>
  <r>
    <n v="10272"/>
    <n v="45"/>
    <n v="64.63"/>
    <n v="2908.35"/>
    <s v="Medium"/>
    <n v="872.505"/>
    <d v="2004-07-20T00:00:00"/>
    <x v="0"/>
    <x v="0"/>
    <x v="2"/>
    <x v="1"/>
    <s v="Jul-2004"/>
    <x v="6"/>
    <x v="18"/>
    <x v="0"/>
    <x v="0"/>
    <x v="0"/>
  </r>
  <r>
    <n v="10282"/>
    <n v="36"/>
    <n v="59.65"/>
    <n v="2147.4"/>
    <s v="Medium"/>
    <n v="644.22"/>
    <d v="2004-08-20T00:00:00"/>
    <x v="0"/>
    <x v="0"/>
    <x v="3"/>
    <x v="1"/>
    <s v="Aug-2004"/>
    <x v="6"/>
    <x v="39"/>
    <x v="0"/>
    <x v="0"/>
    <x v="0"/>
  </r>
  <r>
    <n v="10292"/>
    <n v="31"/>
    <n v="67.73"/>
    <n v="2099.63"/>
    <s v="Medium"/>
    <n v="629.88900000000001"/>
    <d v="2004-09-08T00:00:00"/>
    <x v="0"/>
    <x v="0"/>
    <x v="10"/>
    <x v="1"/>
    <s v="Sep-2004"/>
    <x v="6"/>
    <x v="0"/>
    <x v="0"/>
    <x v="0"/>
    <x v="0"/>
  </r>
  <r>
    <n v="10306"/>
    <n v="46"/>
    <n v="50.33"/>
    <n v="2315.1799999999998"/>
    <s v="Medium"/>
    <n v="694.55399999999997"/>
    <d v="2004-10-14T00:00:00"/>
    <x v="0"/>
    <x v="0"/>
    <x v="4"/>
    <x v="1"/>
    <s v="Oct-2004"/>
    <x v="6"/>
    <x v="77"/>
    <x v="6"/>
    <x v="1"/>
    <x v="0"/>
  </r>
  <r>
    <n v="10314"/>
    <n v="35"/>
    <n v="66.489999999999995"/>
    <n v="2327.1499999999996"/>
    <s v="Medium"/>
    <n v="698.14499999999987"/>
    <d v="2004-10-22T00:00:00"/>
    <x v="0"/>
    <x v="0"/>
    <x v="4"/>
    <x v="1"/>
    <s v="Oct-2004"/>
    <x v="6"/>
    <x v="78"/>
    <x v="13"/>
    <x v="1"/>
    <x v="0"/>
  </r>
  <r>
    <n v="10325"/>
    <n v="28"/>
    <n v="100"/>
    <n v="2800"/>
    <s v="Medium"/>
    <n v="840"/>
    <d v="2004-11-05T00:00:00"/>
    <x v="0"/>
    <x v="0"/>
    <x v="5"/>
    <x v="1"/>
    <s v="Nov-2004"/>
    <x v="6"/>
    <x v="17"/>
    <x v="2"/>
    <x v="1"/>
    <x v="1"/>
  </r>
  <r>
    <n v="10336"/>
    <n v="31"/>
    <n v="84.71"/>
    <n v="2626.0099999999998"/>
    <s v="Medium"/>
    <n v="787.80299999999988"/>
    <d v="2004-11-20T00:00:00"/>
    <x v="0"/>
    <x v="0"/>
    <x v="5"/>
    <x v="1"/>
    <s v="Nov-2004"/>
    <x v="6"/>
    <x v="62"/>
    <x v="1"/>
    <x v="1"/>
    <x v="0"/>
  </r>
  <r>
    <n v="10350"/>
    <n v="27"/>
    <n v="100"/>
    <n v="2700"/>
    <s v="Medium"/>
    <n v="810"/>
    <d v="2004-12-02T00:00:00"/>
    <x v="0"/>
    <x v="0"/>
    <x v="6"/>
    <x v="1"/>
    <s v="Dec-2004"/>
    <x v="6"/>
    <x v="23"/>
    <x v="7"/>
    <x v="1"/>
    <x v="1"/>
  </r>
  <r>
    <n v="10359"/>
    <n v="22"/>
    <n v="100"/>
    <n v="2200"/>
    <s v="Medium"/>
    <n v="660"/>
    <d v="2004-12-15T00:00:00"/>
    <x v="0"/>
    <x v="0"/>
    <x v="6"/>
    <x v="1"/>
    <s v="Dec-2004"/>
    <x v="6"/>
    <x v="1"/>
    <x v="1"/>
    <x v="1"/>
    <x v="1"/>
  </r>
  <r>
    <n v="10371"/>
    <n v="30"/>
    <n v="99.55"/>
    <n v="2986.5"/>
    <s v="Medium"/>
    <n v="895.94999999999993"/>
    <d v="2005-01-23T00:00:00"/>
    <x v="0"/>
    <x v="0"/>
    <x v="7"/>
    <x v="2"/>
    <s v="Jan-2005"/>
    <x v="6"/>
    <x v="39"/>
    <x v="0"/>
    <x v="0"/>
    <x v="0"/>
  </r>
  <r>
    <n v="10383"/>
    <n v="44"/>
    <n v="36.07"/>
    <n v="1587.08"/>
    <s v="Low"/>
    <n v="476.12399999999997"/>
    <d v="2005-02-22T00:00:00"/>
    <x v="0"/>
    <x v="0"/>
    <x v="0"/>
    <x v="2"/>
    <s v="Feb-2005"/>
    <x v="6"/>
    <x v="23"/>
    <x v="7"/>
    <x v="1"/>
    <x v="0"/>
  </r>
  <r>
    <n v="10394"/>
    <n v="30"/>
    <n v="60.28"/>
    <n v="1808.4"/>
    <s v="Low"/>
    <n v="542.52"/>
    <d v="2005-03-15T00:00:00"/>
    <x v="0"/>
    <x v="0"/>
    <x v="11"/>
    <x v="2"/>
    <s v="Mar-2005"/>
    <x v="6"/>
    <x v="23"/>
    <x v="7"/>
    <x v="1"/>
    <x v="0"/>
  </r>
  <r>
    <n v="10413"/>
    <n v="24"/>
    <n v="49.71"/>
    <n v="1193.04"/>
    <s v="Low"/>
    <n v="357.91199999999998"/>
    <d v="2005-05-05T00:00:00"/>
    <x v="0"/>
    <x v="0"/>
    <x v="1"/>
    <x v="2"/>
    <s v="May-2005"/>
    <x v="6"/>
    <x v="13"/>
    <x v="0"/>
    <x v="0"/>
    <x v="0"/>
  </r>
  <r>
    <n v="10103"/>
    <n v="45"/>
    <n v="75.63"/>
    <n v="3403.35"/>
    <s v="Medium"/>
    <n v="1021.0049999999999"/>
    <d v="2003-01-29T00:00:00"/>
    <x v="0"/>
    <x v="0"/>
    <x v="7"/>
    <x v="0"/>
    <s v="Jan-2003"/>
    <x v="2"/>
    <x v="17"/>
    <x v="2"/>
    <x v="1"/>
    <x v="1"/>
  </r>
  <r>
    <n v="10113"/>
    <n v="23"/>
    <n v="68.52"/>
    <n v="1575.9599999999998"/>
    <s v="Low"/>
    <n v="472.7879999999999"/>
    <d v="2003-03-26T00:00:00"/>
    <x v="0"/>
    <x v="0"/>
    <x v="11"/>
    <x v="0"/>
    <s v="Mar-2003"/>
    <x v="2"/>
    <x v="39"/>
    <x v="0"/>
    <x v="0"/>
    <x v="0"/>
  </r>
  <r>
    <n v="10126"/>
    <n v="26"/>
    <n v="62.7"/>
    <n v="1630.2"/>
    <s v="Low"/>
    <n v="489.06"/>
    <d v="2003-05-28T00:00:00"/>
    <x v="0"/>
    <x v="0"/>
    <x v="1"/>
    <x v="0"/>
    <s v="May-2003"/>
    <x v="2"/>
    <x v="25"/>
    <x v="7"/>
    <x v="1"/>
    <x v="0"/>
  </r>
  <r>
    <n v="10140"/>
    <n v="28"/>
    <n v="60.76"/>
    <n v="1701.28"/>
    <s v="Low"/>
    <n v="510.38399999999996"/>
    <d v="2003-07-24T00:00:00"/>
    <x v="0"/>
    <x v="0"/>
    <x v="2"/>
    <x v="0"/>
    <s v="Jul-2003"/>
    <x v="2"/>
    <x v="5"/>
    <x v="0"/>
    <x v="0"/>
    <x v="0"/>
  </r>
  <r>
    <n v="10150"/>
    <n v="49"/>
    <n v="58.18"/>
    <n v="2850.82"/>
    <s v="Medium"/>
    <n v="855.24599999999998"/>
    <d v="2003-09-19T00:00:00"/>
    <x v="0"/>
    <x v="0"/>
    <x v="10"/>
    <x v="0"/>
    <s v="Sep-2003"/>
    <x v="2"/>
    <x v="26"/>
    <x v="9"/>
    <x v="3"/>
    <x v="0"/>
  </r>
  <r>
    <n v="10164"/>
    <n v="49"/>
    <n v="54.94"/>
    <n v="2692.06"/>
    <s v="Medium"/>
    <n v="807.61799999999994"/>
    <d v="2003-10-21T00:00:00"/>
    <x v="5"/>
    <x v="1"/>
    <x v="4"/>
    <x v="0"/>
    <s v="Oct-2003"/>
    <x v="2"/>
    <x v="63"/>
    <x v="5"/>
    <x v="1"/>
    <x v="0"/>
  </r>
  <r>
    <n v="10175"/>
    <n v="29"/>
    <n v="74.98"/>
    <n v="2174.42"/>
    <s v="Medium"/>
    <n v="652.32600000000002"/>
    <d v="2003-11-06T00:00:00"/>
    <x v="0"/>
    <x v="0"/>
    <x v="5"/>
    <x v="0"/>
    <s v="Nov-2003"/>
    <x v="2"/>
    <x v="49"/>
    <x v="6"/>
    <x v="1"/>
    <x v="0"/>
  </r>
  <r>
    <n v="10183"/>
    <n v="49"/>
    <n v="64.64"/>
    <n v="3167.36"/>
    <s v="Medium"/>
    <n v="950.20799999999997"/>
    <d v="2003-11-13T00:00:00"/>
    <x v="0"/>
    <x v="0"/>
    <x v="5"/>
    <x v="0"/>
    <s v="Nov-2003"/>
    <x v="2"/>
    <x v="29"/>
    <x v="0"/>
    <x v="0"/>
    <x v="1"/>
  </r>
  <r>
    <n v="10194"/>
    <n v="39"/>
    <n v="54.94"/>
    <n v="2142.66"/>
    <s v="Medium"/>
    <n v="642.79799999999989"/>
    <d v="2003-11-25T00:00:00"/>
    <x v="0"/>
    <x v="0"/>
    <x v="5"/>
    <x v="0"/>
    <s v="Nov-2003"/>
    <x v="2"/>
    <x v="30"/>
    <x v="1"/>
    <x v="1"/>
    <x v="0"/>
  </r>
  <r>
    <n v="10206"/>
    <n v="36"/>
    <n v="58.82"/>
    <n v="2117.52"/>
    <s v="Medium"/>
    <n v="635.25599999999997"/>
    <d v="2003-12-05T00:00:00"/>
    <x v="0"/>
    <x v="0"/>
    <x v="6"/>
    <x v="0"/>
    <s v="Dec-2003"/>
    <x v="2"/>
    <x v="31"/>
    <x v="10"/>
    <x v="0"/>
    <x v="0"/>
  </r>
  <r>
    <n v="10217"/>
    <n v="39"/>
    <n v="62.05"/>
    <n v="2419.9499999999998"/>
    <s v="Medium"/>
    <n v="725.9849999999999"/>
    <d v="2004-02-04T00:00:00"/>
    <x v="0"/>
    <x v="0"/>
    <x v="0"/>
    <x v="1"/>
    <s v="Feb-2004"/>
    <x v="2"/>
    <x v="65"/>
    <x v="9"/>
    <x v="2"/>
    <x v="0"/>
  </r>
  <r>
    <n v="10229"/>
    <n v="30"/>
    <n v="73.040000000000006"/>
    <n v="2191.2000000000003"/>
    <s v="Medium"/>
    <n v="657.36"/>
    <d v="2004-03-11T00:00:00"/>
    <x v="0"/>
    <x v="0"/>
    <x v="11"/>
    <x v="1"/>
    <s v="Mar-2004"/>
    <x v="2"/>
    <x v="39"/>
    <x v="0"/>
    <x v="0"/>
    <x v="0"/>
  </r>
  <r>
    <n v="10245"/>
    <n v="44"/>
    <n v="69.16"/>
    <n v="3043.04"/>
    <s v="Medium"/>
    <n v="912.91199999999992"/>
    <d v="2004-05-04T00:00:00"/>
    <x v="0"/>
    <x v="0"/>
    <x v="1"/>
    <x v="1"/>
    <s v="May-2004"/>
    <x v="2"/>
    <x v="34"/>
    <x v="0"/>
    <x v="0"/>
    <x v="1"/>
  </r>
  <r>
    <n v="10258"/>
    <n v="20"/>
    <n v="61.41"/>
    <n v="1228.1999999999998"/>
    <s v="Low"/>
    <n v="368.45999999999992"/>
    <d v="2004-06-15T00:00:00"/>
    <x v="0"/>
    <x v="0"/>
    <x v="9"/>
    <x v="1"/>
    <s v="Jun-2004"/>
    <x v="2"/>
    <x v="35"/>
    <x v="11"/>
    <x v="3"/>
    <x v="0"/>
  </r>
  <r>
    <n v="10270"/>
    <n v="21"/>
    <n v="63.35"/>
    <n v="1330.3500000000001"/>
    <s v="Low"/>
    <n v="399.10500000000002"/>
    <d v="2004-07-19T00:00:00"/>
    <x v="0"/>
    <x v="0"/>
    <x v="2"/>
    <x v="1"/>
    <s v="Jul-2004"/>
    <x v="2"/>
    <x v="20"/>
    <x v="3"/>
    <x v="2"/>
    <x v="0"/>
  </r>
  <r>
    <n v="10281"/>
    <n v="36"/>
    <n v="77.569999999999993"/>
    <n v="2792.5199999999995"/>
    <s v="Medium"/>
    <n v="837.75599999999986"/>
    <d v="2004-08-19T00:00:00"/>
    <x v="0"/>
    <x v="0"/>
    <x v="3"/>
    <x v="1"/>
    <s v="Aug-2004"/>
    <x v="2"/>
    <x v="18"/>
    <x v="0"/>
    <x v="0"/>
    <x v="0"/>
  </r>
  <r>
    <n v="10291"/>
    <n v="32"/>
    <n v="71.75"/>
    <n v="2296"/>
    <s v="Medium"/>
    <n v="688.8"/>
    <d v="2004-09-08T00:00:00"/>
    <x v="0"/>
    <x v="0"/>
    <x v="10"/>
    <x v="1"/>
    <s v="Sep-2004"/>
    <x v="2"/>
    <x v="37"/>
    <x v="8"/>
    <x v="1"/>
    <x v="0"/>
  </r>
  <r>
    <n v="10304"/>
    <n v="36"/>
    <n v="73.040000000000006"/>
    <n v="2629.44"/>
    <s v="Medium"/>
    <n v="788.83199999999999"/>
    <d v="2004-10-11T00:00:00"/>
    <x v="0"/>
    <x v="0"/>
    <x v="4"/>
    <x v="1"/>
    <s v="Oct-2004"/>
    <x v="2"/>
    <x v="38"/>
    <x v="1"/>
    <x v="1"/>
    <x v="0"/>
  </r>
  <r>
    <n v="10313"/>
    <n v="34"/>
    <n v="56.24"/>
    <n v="1912.16"/>
    <s v="Low"/>
    <n v="573.64800000000002"/>
    <d v="2004-10-22T00:00:00"/>
    <x v="0"/>
    <x v="0"/>
    <x v="4"/>
    <x v="1"/>
    <s v="Oct-2004"/>
    <x v="2"/>
    <x v="31"/>
    <x v="10"/>
    <x v="0"/>
    <x v="0"/>
  </r>
  <r>
    <n v="10324"/>
    <n v="48"/>
    <n v="100"/>
    <n v="4800"/>
    <s v="Medium"/>
    <n v="1440"/>
    <d v="2004-11-05T00:00:00"/>
    <x v="0"/>
    <x v="0"/>
    <x v="5"/>
    <x v="1"/>
    <s v="Nov-2004"/>
    <x v="2"/>
    <x v="11"/>
    <x v="0"/>
    <x v="0"/>
    <x v="2"/>
  </r>
  <r>
    <n v="10333"/>
    <n v="33"/>
    <n v="73.69"/>
    <n v="2431.77"/>
    <s v="Medium"/>
    <n v="729.53099999999995"/>
    <d v="2004-11-18T00:00:00"/>
    <x v="0"/>
    <x v="0"/>
    <x v="5"/>
    <x v="1"/>
    <s v="Nov-2004"/>
    <x v="2"/>
    <x v="8"/>
    <x v="0"/>
    <x v="0"/>
    <x v="0"/>
  </r>
  <r>
    <n v="10348"/>
    <n v="31"/>
    <n v="100"/>
    <n v="3100"/>
    <s v="Medium"/>
    <n v="930"/>
    <d v="2004-11-01T00:00:00"/>
    <x v="0"/>
    <x v="0"/>
    <x v="5"/>
    <x v="1"/>
    <s v="Nov-2004"/>
    <x v="2"/>
    <x v="25"/>
    <x v="7"/>
    <x v="1"/>
    <x v="1"/>
  </r>
  <r>
    <n v="10358"/>
    <n v="36"/>
    <n v="100"/>
    <n v="3600"/>
    <s v="Medium"/>
    <n v="1080"/>
    <d v="2004-12-10T00:00:00"/>
    <x v="0"/>
    <x v="0"/>
    <x v="6"/>
    <x v="1"/>
    <s v="Dec-2004"/>
    <x v="2"/>
    <x v="23"/>
    <x v="7"/>
    <x v="1"/>
    <x v="1"/>
  </r>
  <r>
    <n v="10370"/>
    <n v="25"/>
    <n v="100"/>
    <n v="2500"/>
    <s v="Medium"/>
    <n v="750"/>
    <d v="2005-01-20T00:00:00"/>
    <x v="0"/>
    <x v="0"/>
    <x v="7"/>
    <x v="2"/>
    <s v="Jan-2005"/>
    <x v="2"/>
    <x v="42"/>
    <x v="3"/>
    <x v="2"/>
    <x v="1"/>
  </r>
  <r>
    <n v="10382"/>
    <n v="48"/>
    <n v="100"/>
    <n v="4800"/>
    <s v="Medium"/>
    <n v="1440"/>
    <d v="2005-02-17T00:00:00"/>
    <x v="0"/>
    <x v="0"/>
    <x v="0"/>
    <x v="2"/>
    <s v="Feb-2005"/>
    <x v="2"/>
    <x v="39"/>
    <x v="0"/>
    <x v="0"/>
    <x v="1"/>
  </r>
  <r>
    <n v="10411"/>
    <n v="27"/>
    <n v="69.16"/>
    <n v="1867.32"/>
    <s v="Low"/>
    <n v="560.19599999999991"/>
    <d v="2005-05-01T00:00:00"/>
    <x v="0"/>
    <x v="0"/>
    <x v="1"/>
    <x v="2"/>
    <s v="May-2005"/>
    <x v="2"/>
    <x v="43"/>
    <x v="10"/>
    <x v="0"/>
    <x v="0"/>
  </r>
  <r>
    <n v="10424"/>
    <n v="44"/>
    <n v="61.41"/>
    <n v="2702.04"/>
    <s v="Medium"/>
    <n v="810.61199999999997"/>
    <d v="2005-05-31T00:00:00"/>
    <x v="2"/>
    <x v="1"/>
    <x v="1"/>
    <x v="2"/>
    <s v="May-2005"/>
    <x v="2"/>
    <x v="23"/>
    <x v="7"/>
    <x v="1"/>
    <x v="0"/>
  </r>
  <r>
    <n v="10106"/>
    <n v="33"/>
    <n v="72.92"/>
    <n v="2406.36"/>
    <s v="Medium"/>
    <n v="721.90800000000002"/>
    <d v="2003-02-17T00:00:00"/>
    <x v="0"/>
    <x v="0"/>
    <x v="0"/>
    <x v="0"/>
    <s v="Feb-2003"/>
    <x v="3"/>
    <x v="86"/>
    <x v="12"/>
    <x v="1"/>
    <x v="0"/>
  </r>
  <r>
    <n v="10120"/>
    <n v="29"/>
    <n v="72.23"/>
    <n v="2094.67"/>
    <s v="Medium"/>
    <n v="628.40099999999995"/>
    <d v="2003-04-29T00:00:00"/>
    <x v="0"/>
    <x v="0"/>
    <x v="8"/>
    <x v="0"/>
    <s v="Apr-2003"/>
    <x v="3"/>
    <x v="10"/>
    <x v="3"/>
    <x v="2"/>
    <x v="0"/>
  </r>
  <r>
    <n v="10133"/>
    <n v="49"/>
    <n v="57.1"/>
    <n v="2797.9"/>
    <s v="Medium"/>
    <n v="839.37"/>
    <d v="2003-06-27T00:00:00"/>
    <x v="0"/>
    <x v="0"/>
    <x v="9"/>
    <x v="0"/>
    <s v="Jun-2003"/>
    <x v="3"/>
    <x v="23"/>
    <x v="7"/>
    <x v="1"/>
    <x v="0"/>
  </r>
  <r>
    <n v="10144"/>
    <n v="20"/>
    <n v="81.86"/>
    <n v="1637.2"/>
    <s v="Low"/>
    <n v="491.15999999999997"/>
    <d v="2003-08-13T00:00:00"/>
    <x v="0"/>
    <x v="0"/>
    <x v="3"/>
    <x v="0"/>
    <s v="Aug-2003"/>
    <x v="3"/>
    <x v="90"/>
    <x v="14"/>
    <x v="1"/>
    <x v="0"/>
  </r>
  <r>
    <n v="10168"/>
    <n v="31"/>
    <n v="73.61"/>
    <n v="2281.91"/>
    <s v="Medium"/>
    <n v="684.57299999999998"/>
    <d v="2003-10-28T00:00:00"/>
    <x v="0"/>
    <x v="0"/>
    <x v="4"/>
    <x v="0"/>
    <s v="Oct-2003"/>
    <x v="3"/>
    <x v="5"/>
    <x v="0"/>
    <x v="0"/>
    <x v="0"/>
  </r>
  <r>
    <n v="10210"/>
    <n v="39"/>
    <n v="59.16"/>
    <n v="2307.2399999999998"/>
    <s v="Medium"/>
    <n v="692.17199999999991"/>
    <d v="2004-01-12T00:00:00"/>
    <x v="0"/>
    <x v="0"/>
    <x v="7"/>
    <x v="1"/>
    <s v="Jan-2004"/>
    <x v="3"/>
    <x v="44"/>
    <x v="11"/>
    <x v="3"/>
    <x v="0"/>
  </r>
  <r>
    <n v="10223"/>
    <n v="20"/>
    <n v="66.040000000000006"/>
    <n v="1320.8000000000002"/>
    <s v="Low"/>
    <n v="396.24000000000007"/>
    <d v="2004-02-20T00:00:00"/>
    <x v="0"/>
    <x v="0"/>
    <x v="0"/>
    <x v="1"/>
    <s v="Feb-2004"/>
    <x v="3"/>
    <x v="10"/>
    <x v="3"/>
    <x v="2"/>
    <x v="0"/>
  </r>
  <r>
    <n v="10235"/>
    <n v="34"/>
    <n v="77.73"/>
    <n v="2642.82"/>
    <s v="Medium"/>
    <n v="792.846"/>
    <d v="2004-04-02T00:00:00"/>
    <x v="0"/>
    <x v="0"/>
    <x v="8"/>
    <x v="1"/>
    <s v="Apr-2004"/>
    <x v="3"/>
    <x v="57"/>
    <x v="10"/>
    <x v="0"/>
    <x v="0"/>
  </r>
  <r>
    <n v="10250"/>
    <n v="50"/>
    <n v="61.22"/>
    <n v="3061"/>
    <s v="Medium"/>
    <n v="918.3"/>
    <d v="2004-05-11T00:00:00"/>
    <x v="0"/>
    <x v="0"/>
    <x v="1"/>
    <x v="1"/>
    <s v="May-2004"/>
    <x v="3"/>
    <x v="61"/>
    <x v="0"/>
    <x v="0"/>
    <x v="1"/>
  </r>
  <r>
    <n v="10262"/>
    <n v="40"/>
    <n v="79.11"/>
    <n v="3164.4"/>
    <s v="Medium"/>
    <n v="949.31999999999994"/>
    <d v="2004-06-24T00:00:00"/>
    <x v="3"/>
    <x v="1"/>
    <x v="9"/>
    <x v="1"/>
    <s v="Jun-2004"/>
    <x v="3"/>
    <x v="23"/>
    <x v="7"/>
    <x v="1"/>
    <x v="1"/>
  </r>
  <r>
    <n v="10275"/>
    <n v="28"/>
    <n v="63.97"/>
    <n v="1791.1599999999999"/>
    <s v="Low"/>
    <n v="537.34799999999996"/>
    <d v="2004-07-23T00:00:00"/>
    <x v="0"/>
    <x v="0"/>
    <x v="2"/>
    <x v="1"/>
    <s v="Jul-2004"/>
    <x v="3"/>
    <x v="14"/>
    <x v="1"/>
    <x v="1"/>
    <x v="0"/>
  </r>
  <r>
    <n v="10284"/>
    <n v="50"/>
    <n v="81.86"/>
    <n v="4093"/>
    <s v="Medium"/>
    <n v="1227.8999999999999"/>
    <d v="2004-08-21T00:00:00"/>
    <x v="0"/>
    <x v="0"/>
    <x v="3"/>
    <x v="1"/>
    <s v="Aug-2004"/>
    <x v="3"/>
    <x v="85"/>
    <x v="2"/>
    <x v="1"/>
    <x v="1"/>
  </r>
  <r>
    <n v="10297"/>
    <n v="28"/>
    <n v="79.8"/>
    <n v="2234.4"/>
    <s v="Medium"/>
    <n v="670.32"/>
    <d v="2004-09-16T00:00:00"/>
    <x v="0"/>
    <x v="0"/>
    <x v="10"/>
    <x v="1"/>
    <s v="Sep-2004"/>
    <x v="3"/>
    <x v="75"/>
    <x v="18"/>
    <x v="1"/>
    <x v="0"/>
  </r>
  <r>
    <n v="10308"/>
    <n v="46"/>
    <n v="66.040000000000006"/>
    <n v="3037.84"/>
    <s v="Medium"/>
    <n v="911.35199999999998"/>
    <d v="2004-10-15T00:00:00"/>
    <x v="0"/>
    <x v="0"/>
    <x v="4"/>
    <x v="1"/>
    <s v="Oct-2004"/>
    <x v="3"/>
    <x v="47"/>
    <x v="0"/>
    <x v="0"/>
    <x v="1"/>
  </r>
  <r>
    <n v="10316"/>
    <n v="24"/>
    <n v="59.16"/>
    <n v="1419.84"/>
    <s v="Low"/>
    <n v="425.95199999999994"/>
    <d v="2004-11-01T00:00:00"/>
    <x v="0"/>
    <x v="0"/>
    <x v="5"/>
    <x v="1"/>
    <s v="Nov-2004"/>
    <x v="3"/>
    <x v="59"/>
    <x v="6"/>
    <x v="1"/>
    <x v="0"/>
  </r>
  <r>
    <n v="10328"/>
    <n v="24"/>
    <n v="81.17"/>
    <n v="1948.08"/>
    <s v="Low"/>
    <n v="584.42399999999998"/>
    <d v="2004-11-12T00:00:00"/>
    <x v="0"/>
    <x v="0"/>
    <x v="5"/>
    <x v="1"/>
    <s v="Nov-2004"/>
    <x v="3"/>
    <x v="86"/>
    <x v="12"/>
    <x v="1"/>
    <x v="0"/>
  </r>
  <r>
    <n v="10340"/>
    <n v="39"/>
    <n v="59.16"/>
    <n v="2307.2399999999998"/>
    <s v="Medium"/>
    <n v="692.17199999999991"/>
    <d v="2004-11-24T00:00:00"/>
    <x v="0"/>
    <x v="0"/>
    <x v="5"/>
    <x v="1"/>
    <s v="Nov-2004"/>
    <x v="3"/>
    <x v="53"/>
    <x v="7"/>
    <x v="1"/>
    <x v="0"/>
  </r>
  <r>
    <n v="10353"/>
    <n v="40"/>
    <n v="44.51"/>
    <n v="1780.3999999999999"/>
    <s v="Low"/>
    <n v="534.11999999999989"/>
    <d v="2004-12-04T00:00:00"/>
    <x v="0"/>
    <x v="0"/>
    <x v="6"/>
    <x v="1"/>
    <s v="Dec-2004"/>
    <x v="3"/>
    <x v="88"/>
    <x v="0"/>
    <x v="0"/>
    <x v="0"/>
  </r>
  <r>
    <n v="10361"/>
    <n v="49"/>
    <n v="72.33"/>
    <n v="3544.17"/>
    <s v="Medium"/>
    <n v="1063.251"/>
    <d v="2004-12-17T00:00:00"/>
    <x v="0"/>
    <x v="0"/>
    <x v="6"/>
    <x v="1"/>
    <s v="Dec-2004"/>
    <x v="3"/>
    <x v="20"/>
    <x v="3"/>
    <x v="2"/>
    <x v="1"/>
  </r>
  <r>
    <n v="10375"/>
    <n v="44"/>
    <n v="82.26"/>
    <n v="3619.44"/>
    <s v="Medium"/>
    <n v="1085.8319999999999"/>
    <d v="2005-02-03T00:00:00"/>
    <x v="0"/>
    <x v="0"/>
    <x v="0"/>
    <x v="2"/>
    <s v="Feb-2005"/>
    <x v="3"/>
    <x v="14"/>
    <x v="1"/>
    <x v="1"/>
    <x v="1"/>
  </r>
  <r>
    <n v="10388"/>
    <n v="35"/>
    <n v="100"/>
    <n v="3500"/>
    <s v="Medium"/>
    <n v="1050"/>
    <d v="2005-03-03T00:00:00"/>
    <x v="0"/>
    <x v="0"/>
    <x v="11"/>
    <x v="2"/>
    <s v="Mar-2005"/>
    <x v="3"/>
    <x v="21"/>
    <x v="0"/>
    <x v="0"/>
    <x v="1"/>
  </r>
  <r>
    <n v="10398"/>
    <n v="22"/>
    <n v="67.41"/>
    <n v="1483.02"/>
    <s v="Low"/>
    <n v="444.90600000000001"/>
    <d v="2005-03-30T00:00:00"/>
    <x v="0"/>
    <x v="0"/>
    <x v="11"/>
    <x v="2"/>
    <s v="Mar-2005"/>
    <x v="3"/>
    <x v="1"/>
    <x v="1"/>
    <x v="1"/>
    <x v="0"/>
  </r>
  <r>
    <n v="10401"/>
    <n v="62"/>
    <n v="77.73"/>
    <n v="4819.26"/>
    <s v="Medium"/>
    <n v="1445.778"/>
    <d v="2005-04-03T00:00:00"/>
    <x v="4"/>
    <x v="1"/>
    <x v="8"/>
    <x v="2"/>
    <s v="Apr-2005"/>
    <x v="3"/>
    <x v="12"/>
    <x v="0"/>
    <x v="0"/>
    <x v="1"/>
  </r>
  <r>
    <n v="10416"/>
    <n v="26"/>
    <n v="61.22"/>
    <n v="1591.72"/>
    <s v="Low"/>
    <n v="477.51599999999996"/>
    <d v="2005-05-10T00:00:00"/>
    <x v="0"/>
    <x v="0"/>
    <x v="1"/>
    <x v="2"/>
    <s v="May-2005"/>
    <x v="3"/>
    <x v="70"/>
    <x v="12"/>
    <x v="1"/>
    <x v="0"/>
  </r>
  <r>
    <n v="10108"/>
    <n v="31"/>
    <n v="100"/>
    <n v="3100"/>
    <s v="Medium"/>
    <n v="930"/>
    <d v="2003-03-03T00:00:00"/>
    <x v="0"/>
    <x v="0"/>
    <x v="11"/>
    <x v="0"/>
    <s v="Mar-2003"/>
    <x v="0"/>
    <x v="66"/>
    <x v="15"/>
    <x v="3"/>
    <x v="1"/>
  </r>
  <r>
    <n v="10121"/>
    <n v="25"/>
    <n v="86.74"/>
    <n v="2168.5"/>
    <s v="Medium"/>
    <n v="650.54999999999995"/>
    <d v="2003-05-07T00:00:00"/>
    <x v="0"/>
    <x v="0"/>
    <x v="1"/>
    <x v="0"/>
    <s v="May-2003"/>
    <x v="0"/>
    <x v="1"/>
    <x v="1"/>
    <x v="1"/>
    <x v="0"/>
  </r>
  <r>
    <n v="10135"/>
    <n v="30"/>
    <n v="89.8"/>
    <n v="2694"/>
    <s v="Medium"/>
    <n v="808.19999999999993"/>
    <d v="2003-07-02T00:00:00"/>
    <x v="0"/>
    <x v="0"/>
    <x v="2"/>
    <x v="0"/>
    <s v="Jul-2003"/>
    <x v="0"/>
    <x v="39"/>
    <x v="0"/>
    <x v="0"/>
    <x v="0"/>
  </r>
  <r>
    <n v="10145"/>
    <n v="27"/>
    <n v="100"/>
    <n v="2700"/>
    <s v="Medium"/>
    <n v="810"/>
    <d v="2003-08-25T00:00:00"/>
    <x v="0"/>
    <x v="0"/>
    <x v="3"/>
    <x v="0"/>
    <s v="Aug-2003"/>
    <x v="0"/>
    <x v="3"/>
    <x v="0"/>
    <x v="0"/>
    <x v="1"/>
  </r>
  <r>
    <n v="10159"/>
    <n v="23"/>
    <n v="100"/>
    <n v="2300"/>
    <s v="Medium"/>
    <n v="690"/>
    <d v="2003-10-10T00:00:00"/>
    <x v="0"/>
    <x v="0"/>
    <x v="4"/>
    <x v="0"/>
    <s v="Oct-2003"/>
    <x v="0"/>
    <x v="4"/>
    <x v="0"/>
    <x v="0"/>
    <x v="0"/>
  </r>
  <r>
    <n v="10169"/>
    <n v="34"/>
    <n v="100"/>
    <n v="3400"/>
    <s v="Medium"/>
    <n v="1020"/>
    <d v="2003-11-04T00:00:00"/>
    <x v="0"/>
    <x v="0"/>
    <x v="5"/>
    <x v="0"/>
    <s v="Nov-2003"/>
    <x v="0"/>
    <x v="42"/>
    <x v="3"/>
    <x v="2"/>
    <x v="1"/>
  </r>
  <r>
    <n v="10180"/>
    <n v="22"/>
    <n v="100"/>
    <n v="2200"/>
    <s v="Medium"/>
    <n v="660"/>
    <d v="2003-11-11T00:00:00"/>
    <x v="0"/>
    <x v="0"/>
    <x v="5"/>
    <x v="0"/>
    <s v="Nov-2003"/>
    <x v="0"/>
    <x v="6"/>
    <x v="1"/>
    <x v="1"/>
    <x v="0"/>
  </r>
  <r>
    <n v="10190"/>
    <n v="42"/>
    <n v="85.72"/>
    <n v="3600.24"/>
    <s v="Medium"/>
    <n v="1080.0719999999999"/>
    <d v="2003-11-19T00:00:00"/>
    <x v="0"/>
    <x v="0"/>
    <x v="5"/>
    <x v="0"/>
    <s v="Nov-2003"/>
    <x v="0"/>
    <x v="23"/>
    <x v="7"/>
    <x v="1"/>
    <x v="1"/>
  </r>
  <r>
    <n v="10211"/>
    <n v="37"/>
    <n v="100"/>
    <n v="3700"/>
    <s v="Medium"/>
    <n v="1110"/>
    <d v="2004-01-15T00:00:00"/>
    <x v="0"/>
    <x v="0"/>
    <x v="7"/>
    <x v="1"/>
    <s v="Jan-2004"/>
    <x v="0"/>
    <x v="9"/>
    <x v="1"/>
    <x v="1"/>
    <x v="1"/>
  </r>
  <r>
    <n v="10224"/>
    <n v="30"/>
    <n v="100"/>
    <n v="3000"/>
    <s v="Medium"/>
    <n v="900"/>
    <d v="2004-02-21T00:00:00"/>
    <x v="0"/>
    <x v="0"/>
    <x v="0"/>
    <x v="1"/>
    <s v="Feb-2004"/>
    <x v="0"/>
    <x v="6"/>
    <x v="1"/>
    <x v="1"/>
    <x v="1"/>
  </r>
  <r>
    <n v="10237"/>
    <n v="27"/>
    <n v="100"/>
    <n v="2700"/>
    <s v="Medium"/>
    <n v="810"/>
    <d v="2004-04-05T00:00:00"/>
    <x v="0"/>
    <x v="0"/>
    <x v="8"/>
    <x v="1"/>
    <s v="Apr-2004"/>
    <x v="0"/>
    <x v="11"/>
    <x v="0"/>
    <x v="0"/>
    <x v="1"/>
  </r>
  <r>
    <n v="10252"/>
    <n v="25"/>
    <n v="100"/>
    <n v="2500"/>
    <s v="Medium"/>
    <n v="750"/>
    <d v="2004-05-26T00:00:00"/>
    <x v="0"/>
    <x v="0"/>
    <x v="1"/>
    <x v="1"/>
    <s v="May-2004"/>
    <x v="0"/>
    <x v="9"/>
    <x v="1"/>
    <x v="1"/>
    <x v="0"/>
  </r>
  <r>
    <n v="10264"/>
    <n v="34"/>
    <n v="97.97"/>
    <n v="3330.98"/>
    <s v="Medium"/>
    <n v="999.29399999999998"/>
    <d v="2004-06-30T00:00:00"/>
    <x v="0"/>
    <x v="0"/>
    <x v="9"/>
    <x v="1"/>
    <s v="Jun-2004"/>
    <x v="0"/>
    <x v="58"/>
    <x v="0"/>
    <x v="0"/>
    <x v="1"/>
  </r>
  <r>
    <n v="10276"/>
    <n v="38"/>
    <n v="100"/>
    <n v="3800"/>
    <s v="Medium"/>
    <n v="1140"/>
    <d v="2004-08-02T00:00:00"/>
    <x v="0"/>
    <x v="0"/>
    <x v="3"/>
    <x v="1"/>
    <s v="Aug-2004"/>
    <x v="0"/>
    <x v="71"/>
    <x v="0"/>
    <x v="0"/>
    <x v="1"/>
  </r>
  <r>
    <n v="10285"/>
    <n v="26"/>
    <n v="100"/>
    <n v="2600"/>
    <s v="Medium"/>
    <n v="780"/>
    <d v="2004-08-27T00:00:00"/>
    <x v="0"/>
    <x v="0"/>
    <x v="3"/>
    <x v="1"/>
    <s v="Aug-2004"/>
    <x v="0"/>
    <x v="15"/>
    <x v="0"/>
    <x v="0"/>
    <x v="0"/>
  </r>
  <r>
    <n v="10299"/>
    <n v="38"/>
    <n v="100"/>
    <n v="3800"/>
    <s v="Medium"/>
    <n v="1140"/>
    <d v="2004-09-30T00:00:00"/>
    <x v="0"/>
    <x v="0"/>
    <x v="10"/>
    <x v="1"/>
    <s v="Sep-2004"/>
    <x v="0"/>
    <x v="16"/>
    <x v="4"/>
    <x v="1"/>
    <x v="1"/>
  </r>
  <r>
    <n v="10309"/>
    <n v="50"/>
    <n v="84.7"/>
    <n v="4235"/>
    <s v="Medium"/>
    <n v="1270.5"/>
    <d v="2004-10-15T00:00:00"/>
    <x v="0"/>
    <x v="0"/>
    <x v="4"/>
    <x v="1"/>
    <s v="Oct-2004"/>
    <x v="0"/>
    <x v="17"/>
    <x v="2"/>
    <x v="1"/>
    <x v="1"/>
  </r>
  <r>
    <n v="10319"/>
    <n v="22"/>
    <n v="100"/>
    <n v="2200"/>
    <s v="Medium"/>
    <n v="660"/>
    <d v="2004-11-03T00:00:00"/>
    <x v="0"/>
    <x v="0"/>
    <x v="5"/>
    <x v="1"/>
    <s v="Nov-2004"/>
    <x v="0"/>
    <x v="79"/>
    <x v="0"/>
    <x v="0"/>
    <x v="0"/>
  </r>
  <r>
    <n v="10331"/>
    <n v="32"/>
    <n v="100"/>
    <n v="3200"/>
    <s v="Medium"/>
    <n v="960"/>
    <d v="2004-11-17T00:00:00"/>
    <x v="0"/>
    <x v="0"/>
    <x v="5"/>
    <x v="1"/>
    <s v="Nov-2004"/>
    <x v="0"/>
    <x v="45"/>
    <x v="0"/>
    <x v="0"/>
    <x v="1"/>
  </r>
  <r>
    <n v="10341"/>
    <n v="31"/>
    <n v="71.02"/>
    <n v="2201.62"/>
    <s v="Medium"/>
    <n v="660.48599999999999"/>
    <d v="2004-11-24T00:00:00"/>
    <x v="0"/>
    <x v="0"/>
    <x v="5"/>
    <x v="1"/>
    <s v="Nov-2004"/>
    <x v="0"/>
    <x v="19"/>
    <x v="5"/>
    <x v="1"/>
    <x v="0"/>
  </r>
  <r>
    <n v="10355"/>
    <n v="40"/>
    <n v="100"/>
    <n v="4000"/>
    <s v="Medium"/>
    <n v="1200"/>
    <d v="2004-12-07T00:00:00"/>
    <x v="0"/>
    <x v="0"/>
    <x v="6"/>
    <x v="1"/>
    <s v="Dec-2004"/>
    <x v="0"/>
    <x v="23"/>
    <x v="7"/>
    <x v="1"/>
    <x v="1"/>
  </r>
  <r>
    <n v="10365"/>
    <n v="22"/>
    <n v="100"/>
    <n v="2200"/>
    <s v="Medium"/>
    <n v="660"/>
    <d v="2005-01-07T00:00:00"/>
    <x v="0"/>
    <x v="0"/>
    <x v="7"/>
    <x v="2"/>
    <s v="Jan-2005"/>
    <x v="0"/>
    <x v="50"/>
    <x v="0"/>
    <x v="0"/>
    <x v="1"/>
  </r>
  <r>
    <n v="10375"/>
    <n v="41"/>
    <n v="100"/>
    <n v="4100"/>
    <s v="Medium"/>
    <n v="1230"/>
    <d v="2005-02-03T00:00:00"/>
    <x v="0"/>
    <x v="0"/>
    <x v="0"/>
    <x v="2"/>
    <s v="Feb-2005"/>
    <x v="0"/>
    <x v="14"/>
    <x v="1"/>
    <x v="1"/>
    <x v="1"/>
  </r>
  <r>
    <n v="10390"/>
    <n v="45"/>
    <n v="48.98"/>
    <n v="2204.1"/>
    <s v="Medium"/>
    <n v="661.2299999999999"/>
    <d v="2005-03-04T00:00:00"/>
    <x v="0"/>
    <x v="0"/>
    <x v="11"/>
    <x v="2"/>
    <s v="Mar-2005"/>
    <x v="0"/>
    <x v="39"/>
    <x v="0"/>
    <x v="0"/>
    <x v="0"/>
  </r>
  <r>
    <n v="10403"/>
    <n v="45"/>
    <n v="100"/>
    <n v="4500"/>
    <s v="Medium"/>
    <n v="1350"/>
    <d v="2005-04-08T00:00:00"/>
    <x v="0"/>
    <x v="0"/>
    <x v="8"/>
    <x v="2"/>
    <s v="Apr-2005"/>
    <x v="0"/>
    <x v="22"/>
    <x v="6"/>
    <x v="1"/>
    <x v="1"/>
  </r>
  <r>
    <n v="10106"/>
    <n v="39"/>
    <n v="40.15"/>
    <n v="1565.85"/>
    <s v="Low"/>
    <n v="469.75499999999994"/>
    <d v="2003-02-17T00:00:00"/>
    <x v="0"/>
    <x v="0"/>
    <x v="0"/>
    <x v="0"/>
    <s v="Feb-2003"/>
    <x v="3"/>
    <x v="86"/>
    <x v="12"/>
    <x v="1"/>
    <x v="0"/>
  </r>
  <r>
    <n v="10120"/>
    <n v="49"/>
    <n v="50.62"/>
    <n v="2480.3799999999997"/>
    <s v="Medium"/>
    <n v="744.11399999999992"/>
    <d v="2003-04-29T00:00:00"/>
    <x v="0"/>
    <x v="0"/>
    <x v="8"/>
    <x v="0"/>
    <s v="Apr-2003"/>
    <x v="3"/>
    <x v="10"/>
    <x v="3"/>
    <x v="2"/>
    <x v="0"/>
  </r>
  <r>
    <n v="10133"/>
    <n v="27"/>
    <n v="50.19"/>
    <n v="1355.1299999999999"/>
    <s v="Low"/>
    <n v="406.53899999999993"/>
    <d v="2003-06-27T00:00:00"/>
    <x v="0"/>
    <x v="0"/>
    <x v="9"/>
    <x v="0"/>
    <s v="Jun-2003"/>
    <x v="3"/>
    <x v="23"/>
    <x v="7"/>
    <x v="1"/>
    <x v="0"/>
  </r>
  <r>
    <n v="10143"/>
    <n v="34"/>
    <n v="36.659999999999997"/>
    <n v="1246.4399999999998"/>
    <s v="Low"/>
    <n v="373.93199999999996"/>
    <d v="2003-08-10T00:00:00"/>
    <x v="0"/>
    <x v="0"/>
    <x v="3"/>
    <x v="0"/>
    <s v="Aug-2003"/>
    <x v="3"/>
    <x v="50"/>
    <x v="0"/>
    <x v="0"/>
    <x v="0"/>
  </r>
  <r>
    <n v="10156"/>
    <n v="20"/>
    <n v="41.02"/>
    <n v="820.40000000000009"/>
    <s v="Low"/>
    <n v="246.12"/>
    <d v="2003-10-08T00:00:00"/>
    <x v="0"/>
    <x v="0"/>
    <x v="4"/>
    <x v="0"/>
    <s v="Oct-2003"/>
    <x v="3"/>
    <x v="23"/>
    <x v="7"/>
    <x v="1"/>
    <x v="0"/>
  </r>
  <r>
    <n v="10168"/>
    <n v="48"/>
    <n v="51.93"/>
    <n v="2492.64"/>
    <s v="Medium"/>
    <n v="747.79199999999992"/>
    <d v="2003-10-28T00:00:00"/>
    <x v="0"/>
    <x v="0"/>
    <x v="4"/>
    <x v="0"/>
    <s v="Oct-2003"/>
    <x v="3"/>
    <x v="5"/>
    <x v="0"/>
    <x v="0"/>
    <x v="0"/>
  </r>
  <r>
    <n v="10199"/>
    <n v="29"/>
    <n v="38.4"/>
    <n v="1113.5999999999999"/>
    <s v="Low"/>
    <n v="334.08"/>
    <d v="2003-12-01T00:00:00"/>
    <x v="0"/>
    <x v="0"/>
    <x v="6"/>
    <x v="0"/>
    <s v="Dec-2003"/>
    <x v="3"/>
    <x v="32"/>
    <x v="0"/>
    <x v="0"/>
    <x v="0"/>
  </r>
  <r>
    <n v="10210"/>
    <n v="43"/>
    <n v="41.02"/>
    <n v="1763.8600000000001"/>
    <s v="Low"/>
    <n v="529.15800000000002"/>
    <d v="2004-01-12T00:00:00"/>
    <x v="0"/>
    <x v="0"/>
    <x v="7"/>
    <x v="1"/>
    <s v="Jan-2004"/>
    <x v="3"/>
    <x v="44"/>
    <x v="11"/>
    <x v="3"/>
    <x v="0"/>
  </r>
  <r>
    <n v="10223"/>
    <n v="41"/>
    <n v="46.26"/>
    <n v="1896.6599999999999"/>
    <s v="Low"/>
    <n v="568.99799999999993"/>
    <d v="2004-02-20T00:00:00"/>
    <x v="0"/>
    <x v="0"/>
    <x v="0"/>
    <x v="1"/>
    <s v="Feb-2004"/>
    <x v="3"/>
    <x v="10"/>
    <x v="3"/>
    <x v="2"/>
    <x v="0"/>
  </r>
  <r>
    <n v="10235"/>
    <n v="41"/>
    <n v="35.35"/>
    <n v="1449.3500000000001"/>
    <s v="Low"/>
    <n v="434.80500000000001"/>
    <d v="2004-04-02T00:00:00"/>
    <x v="0"/>
    <x v="0"/>
    <x v="8"/>
    <x v="1"/>
    <s v="Apr-2004"/>
    <x v="3"/>
    <x v="57"/>
    <x v="10"/>
    <x v="0"/>
    <x v="0"/>
  </r>
  <r>
    <n v="10250"/>
    <n v="36"/>
    <n v="51.93"/>
    <n v="1869.48"/>
    <s v="Low"/>
    <n v="560.84399999999994"/>
    <d v="2004-05-11T00:00:00"/>
    <x v="0"/>
    <x v="0"/>
    <x v="1"/>
    <x v="1"/>
    <s v="May-2004"/>
    <x v="3"/>
    <x v="61"/>
    <x v="0"/>
    <x v="0"/>
    <x v="0"/>
  </r>
  <r>
    <n v="10262"/>
    <n v="49"/>
    <n v="37.97"/>
    <n v="1860.53"/>
    <s v="Low"/>
    <n v="558.15899999999999"/>
    <d v="2004-06-24T00:00:00"/>
    <x v="3"/>
    <x v="1"/>
    <x v="9"/>
    <x v="1"/>
    <s v="Jun-2004"/>
    <x v="3"/>
    <x v="23"/>
    <x v="7"/>
    <x v="1"/>
    <x v="0"/>
  </r>
  <r>
    <n v="10275"/>
    <n v="38"/>
    <n v="45.39"/>
    <n v="1724.82"/>
    <s v="Low"/>
    <n v="517.44599999999991"/>
    <d v="2004-07-23T00:00:00"/>
    <x v="0"/>
    <x v="0"/>
    <x v="2"/>
    <x v="1"/>
    <s v="Jul-2004"/>
    <x v="3"/>
    <x v="14"/>
    <x v="1"/>
    <x v="1"/>
    <x v="0"/>
  </r>
  <r>
    <n v="10284"/>
    <n v="33"/>
    <n v="51.93"/>
    <n v="1713.69"/>
    <s v="Low"/>
    <n v="514.10699999999997"/>
    <d v="2004-08-21T00:00:00"/>
    <x v="0"/>
    <x v="0"/>
    <x v="3"/>
    <x v="1"/>
    <s v="Aug-2004"/>
    <x v="3"/>
    <x v="85"/>
    <x v="2"/>
    <x v="1"/>
    <x v="0"/>
  </r>
  <r>
    <n v="10296"/>
    <n v="26"/>
    <n v="48.44"/>
    <n v="1259.44"/>
    <s v="Low"/>
    <n v="377.83199999999999"/>
    <d v="2004-09-15T00:00:00"/>
    <x v="0"/>
    <x v="0"/>
    <x v="10"/>
    <x v="1"/>
    <s v="Sep-2004"/>
    <x v="3"/>
    <x v="89"/>
    <x v="16"/>
    <x v="1"/>
    <x v="0"/>
  </r>
  <r>
    <n v="10308"/>
    <n v="47"/>
    <n v="43.64"/>
    <n v="2051.08"/>
    <s v="Medium"/>
    <n v="615.32399999999996"/>
    <d v="2004-10-15T00:00:00"/>
    <x v="0"/>
    <x v="0"/>
    <x v="4"/>
    <x v="1"/>
    <s v="Oct-2004"/>
    <x v="3"/>
    <x v="47"/>
    <x v="0"/>
    <x v="0"/>
    <x v="0"/>
  </r>
  <r>
    <n v="10316"/>
    <n v="34"/>
    <n v="47.57"/>
    <n v="1617.38"/>
    <s v="Low"/>
    <n v="485.214"/>
    <d v="2004-11-01T00:00:00"/>
    <x v="0"/>
    <x v="0"/>
    <x v="5"/>
    <x v="1"/>
    <s v="Nov-2004"/>
    <x v="3"/>
    <x v="59"/>
    <x v="6"/>
    <x v="1"/>
    <x v="0"/>
  </r>
  <r>
    <n v="10328"/>
    <n v="34"/>
    <n v="51.93"/>
    <n v="1765.62"/>
    <s v="Low"/>
    <n v="529.68599999999992"/>
    <d v="2004-11-12T00:00:00"/>
    <x v="0"/>
    <x v="0"/>
    <x v="5"/>
    <x v="1"/>
    <s v="Nov-2004"/>
    <x v="3"/>
    <x v="86"/>
    <x v="12"/>
    <x v="1"/>
    <x v="0"/>
  </r>
  <r>
    <n v="10340"/>
    <n v="40"/>
    <n v="50.62"/>
    <n v="2024.8"/>
    <s v="Medium"/>
    <n v="607.43999999999994"/>
    <d v="2004-11-24T00:00:00"/>
    <x v="0"/>
    <x v="0"/>
    <x v="5"/>
    <x v="1"/>
    <s v="Nov-2004"/>
    <x v="3"/>
    <x v="53"/>
    <x v="7"/>
    <x v="1"/>
    <x v="0"/>
  </r>
  <r>
    <n v="10353"/>
    <n v="40"/>
    <n v="82.21"/>
    <n v="3288.3999999999996"/>
    <s v="Medium"/>
    <n v="986.51999999999987"/>
    <d v="2004-12-04T00:00:00"/>
    <x v="0"/>
    <x v="0"/>
    <x v="6"/>
    <x v="1"/>
    <s v="Dec-2004"/>
    <x v="3"/>
    <x v="88"/>
    <x v="0"/>
    <x v="0"/>
    <x v="1"/>
  </r>
  <r>
    <n v="10361"/>
    <n v="33"/>
    <n v="82.59"/>
    <n v="2725.4700000000003"/>
    <s v="Medium"/>
    <n v="817.64100000000008"/>
    <d v="2004-12-17T00:00:00"/>
    <x v="0"/>
    <x v="0"/>
    <x v="6"/>
    <x v="1"/>
    <s v="Dec-2004"/>
    <x v="3"/>
    <x v="20"/>
    <x v="3"/>
    <x v="2"/>
    <x v="0"/>
  </r>
  <r>
    <n v="10375"/>
    <n v="49"/>
    <n v="65.8"/>
    <n v="3224.2"/>
    <s v="Medium"/>
    <n v="967.25999999999988"/>
    <d v="2005-02-03T00:00:00"/>
    <x v="0"/>
    <x v="0"/>
    <x v="0"/>
    <x v="2"/>
    <s v="Feb-2005"/>
    <x v="3"/>
    <x v="14"/>
    <x v="1"/>
    <x v="1"/>
    <x v="1"/>
  </r>
  <r>
    <n v="10388"/>
    <n v="27"/>
    <n v="100"/>
    <n v="2700"/>
    <s v="Medium"/>
    <n v="810"/>
    <d v="2005-03-03T00:00:00"/>
    <x v="0"/>
    <x v="0"/>
    <x v="11"/>
    <x v="2"/>
    <s v="Mar-2005"/>
    <x v="3"/>
    <x v="21"/>
    <x v="0"/>
    <x v="0"/>
    <x v="1"/>
  </r>
  <r>
    <n v="10398"/>
    <n v="49"/>
    <n v="36.659999999999997"/>
    <n v="1796.34"/>
    <s v="Low"/>
    <n v="538.90199999999993"/>
    <d v="2005-03-30T00:00:00"/>
    <x v="0"/>
    <x v="0"/>
    <x v="11"/>
    <x v="2"/>
    <s v="Mar-2005"/>
    <x v="3"/>
    <x v="1"/>
    <x v="1"/>
    <x v="1"/>
    <x v="0"/>
  </r>
  <r>
    <n v="10401"/>
    <n v="56"/>
    <n v="35.35"/>
    <n v="1979.6000000000001"/>
    <s v="Low"/>
    <n v="593.88"/>
    <d v="2005-04-03T00:00:00"/>
    <x v="4"/>
    <x v="1"/>
    <x v="8"/>
    <x v="2"/>
    <s v="Apr-2005"/>
    <x v="3"/>
    <x v="12"/>
    <x v="0"/>
    <x v="0"/>
    <x v="0"/>
  </r>
  <r>
    <n v="10416"/>
    <n v="37"/>
    <n v="51.93"/>
    <n v="1921.41"/>
    <s v="Low"/>
    <n v="576.423"/>
    <d v="2005-05-10T00:00:00"/>
    <x v="0"/>
    <x v="0"/>
    <x v="1"/>
    <x v="2"/>
    <s v="May-2005"/>
    <x v="3"/>
    <x v="70"/>
    <x v="12"/>
    <x v="1"/>
    <x v="0"/>
  </r>
  <r>
    <n v="10104"/>
    <n v="33"/>
    <n v="100"/>
    <n v="3300"/>
    <s v="Medium"/>
    <n v="990"/>
    <d v="2003-01-31T00:00:00"/>
    <x v="0"/>
    <x v="0"/>
    <x v="7"/>
    <x v="0"/>
    <s v="Jan-2003"/>
    <x v="2"/>
    <x v="23"/>
    <x v="7"/>
    <x v="1"/>
    <x v="1"/>
  </r>
  <r>
    <n v="10115"/>
    <n v="27"/>
    <n v="100"/>
    <n v="2700"/>
    <s v="Medium"/>
    <n v="810"/>
    <d v="2003-04-04T00:00:00"/>
    <x v="0"/>
    <x v="0"/>
    <x v="8"/>
    <x v="0"/>
    <s v="Apr-2003"/>
    <x v="2"/>
    <x v="27"/>
    <x v="0"/>
    <x v="0"/>
    <x v="0"/>
  </r>
  <r>
    <n v="10127"/>
    <n v="46"/>
    <n v="100"/>
    <n v="4600"/>
    <s v="Medium"/>
    <n v="1380"/>
    <d v="2003-06-03T00:00:00"/>
    <x v="0"/>
    <x v="0"/>
    <x v="9"/>
    <x v="0"/>
    <s v="Jun-2003"/>
    <x v="2"/>
    <x v="74"/>
    <x v="0"/>
    <x v="0"/>
    <x v="1"/>
  </r>
  <r>
    <n v="10141"/>
    <n v="44"/>
    <n v="100"/>
    <n v="4400"/>
    <s v="Medium"/>
    <n v="1320"/>
    <d v="2003-08-01T00:00:00"/>
    <x v="0"/>
    <x v="0"/>
    <x v="3"/>
    <x v="0"/>
    <s v="Aug-2003"/>
    <x v="2"/>
    <x v="73"/>
    <x v="4"/>
    <x v="1"/>
    <x v="1"/>
  </r>
  <r>
    <n v="10151"/>
    <n v="26"/>
    <n v="100"/>
    <n v="2600"/>
    <s v="Medium"/>
    <n v="780"/>
    <d v="2003-09-21T00:00:00"/>
    <x v="0"/>
    <x v="0"/>
    <x v="10"/>
    <x v="0"/>
    <s v="Sep-2003"/>
    <x v="2"/>
    <x v="60"/>
    <x v="4"/>
    <x v="1"/>
    <x v="1"/>
  </r>
  <r>
    <n v="10165"/>
    <n v="48"/>
    <n v="94.92"/>
    <n v="4556.16"/>
    <s v="Medium"/>
    <n v="1366.848"/>
    <d v="2003-10-22T00:00:00"/>
    <x v="0"/>
    <x v="0"/>
    <x v="4"/>
    <x v="0"/>
    <s v="Oct-2003"/>
    <x v="2"/>
    <x v="26"/>
    <x v="9"/>
    <x v="3"/>
    <x v="1"/>
  </r>
  <r>
    <n v="10176"/>
    <n v="23"/>
    <n v="100"/>
    <n v="2300"/>
    <s v="Medium"/>
    <n v="690"/>
    <d v="2003-11-06T00:00:00"/>
    <x v="0"/>
    <x v="0"/>
    <x v="5"/>
    <x v="0"/>
    <s v="Nov-2003"/>
    <x v="2"/>
    <x v="70"/>
    <x v="12"/>
    <x v="1"/>
    <x v="1"/>
  </r>
  <r>
    <n v="10184"/>
    <n v="45"/>
    <n v="100"/>
    <n v="4500"/>
    <s v="Medium"/>
    <n v="1350"/>
    <d v="2003-11-14T00:00:00"/>
    <x v="0"/>
    <x v="0"/>
    <x v="5"/>
    <x v="0"/>
    <s v="Nov-2003"/>
    <x v="2"/>
    <x v="81"/>
    <x v="7"/>
    <x v="1"/>
    <x v="1"/>
  </r>
  <r>
    <n v="10195"/>
    <n v="49"/>
    <n v="100"/>
    <n v="4900"/>
    <s v="Medium"/>
    <n v="1470"/>
    <d v="2003-11-25T00:00:00"/>
    <x v="0"/>
    <x v="0"/>
    <x v="5"/>
    <x v="0"/>
    <s v="Nov-2003"/>
    <x v="2"/>
    <x v="47"/>
    <x v="0"/>
    <x v="0"/>
    <x v="1"/>
  </r>
  <r>
    <n v="10207"/>
    <n v="28"/>
    <n v="94.92"/>
    <n v="2657.76"/>
    <s v="Medium"/>
    <n v="797.32800000000009"/>
    <d v="2003-12-09T00:00:00"/>
    <x v="0"/>
    <x v="0"/>
    <x v="6"/>
    <x v="0"/>
    <s v="Dec-2003"/>
    <x v="2"/>
    <x v="64"/>
    <x v="0"/>
    <x v="0"/>
    <x v="0"/>
  </r>
  <r>
    <n v="10220"/>
    <n v="37"/>
    <n v="100"/>
    <n v="3700"/>
    <s v="Medium"/>
    <n v="1110"/>
    <d v="2004-02-12T00:00:00"/>
    <x v="0"/>
    <x v="0"/>
    <x v="0"/>
    <x v="1"/>
    <s v="Feb-2004"/>
    <x v="2"/>
    <x v="75"/>
    <x v="18"/>
    <x v="1"/>
    <x v="1"/>
  </r>
  <r>
    <n v="10230"/>
    <n v="34"/>
    <n v="100"/>
    <n v="3400"/>
    <s v="Medium"/>
    <n v="1020"/>
    <d v="2004-03-15T00:00:00"/>
    <x v="0"/>
    <x v="0"/>
    <x v="11"/>
    <x v="1"/>
    <s v="Mar-2004"/>
    <x v="2"/>
    <x v="72"/>
    <x v="16"/>
    <x v="1"/>
    <x v="1"/>
  </r>
  <r>
    <n v="10246"/>
    <n v="22"/>
    <n v="100"/>
    <n v="2200"/>
    <s v="Medium"/>
    <n v="660"/>
    <d v="2004-05-05T00:00:00"/>
    <x v="0"/>
    <x v="0"/>
    <x v="1"/>
    <x v="1"/>
    <s v="May-2004"/>
    <x v="2"/>
    <x v="23"/>
    <x v="7"/>
    <x v="1"/>
    <x v="0"/>
  </r>
  <r>
    <n v="10259"/>
    <n v="29"/>
    <n v="100"/>
    <n v="2900"/>
    <s v="Medium"/>
    <n v="870"/>
    <d v="2004-06-15T00:00:00"/>
    <x v="0"/>
    <x v="0"/>
    <x v="9"/>
    <x v="1"/>
    <s v="Jun-2004"/>
    <x v="2"/>
    <x v="65"/>
    <x v="9"/>
    <x v="2"/>
    <x v="1"/>
  </r>
  <r>
    <n v="10271"/>
    <n v="34"/>
    <n v="98.39"/>
    <n v="3345.26"/>
    <s v="Medium"/>
    <n v="1003.578"/>
    <d v="2004-07-20T00:00:00"/>
    <x v="0"/>
    <x v="0"/>
    <x v="2"/>
    <x v="1"/>
    <s v="Jul-2004"/>
    <x v="2"/>
    <x v="39"/>
    <x v="0"/>
    <x v="0"/>
    <x v="1"/>
  </r>
  <r>
    <n v="10282"/>
    <n v="38"/>
    <n v="100"/>
    <n v="3800"/>
    <s v="Medium"/>
    <n v="1140"/>
    <d v="2004-08-20T00:00:00"/>
    <x v="0"/>
    <x v="0"/>
    <x v="3"/>
    <x v="1"/>
    <s v="Aug-2004"/>
    <x v="2"/>
    <x v="39"/>
    <x v="0"/>
    <x v="0"/>
    <x v="1"/>
  </r>
  <r>
    <n v="10292"/>
    <n v="41"/>
    <n v="100"/>
    <n v="4100"/>
    <s v="Medium"/>
    <n v="1230"/>
    <d v="2004-09-08T00:00:00"/>
    <x v="0"/>
    <x v="0"/>
    <x v="10"/>
    <x v="1"/>
    <s v="Sep-2004"/>
    <x v="2"/>
    <x v="0"/>
    <x v="0"/>
    <x v="0"/>
    <x v="1"/>
  </r>
  <r>
    <n v="10305"/>
    <n v="42"/>
    <n v="100"/>
    <n v="4200"/>
    <s v="Medium"/>
    <n v="1260"/>
    <d v="2004-10-13T00:00:00"/>
    <x v="0"/>
    <x v="0"/>
    <x v="4"/>
    <x v="1"/>
    <s v="Oct-2004"/>
    <x v="2"/>
    <x v="15"/>
    <x v="0"/>
    <x v="0"/>
    <x v="1"/>
  </r>
  <r>
    <n v="10314"/>
    <n v="28"/>
    <n v="100"/>
    <n v="2800"/>
    <s v="Medium"/>
    <n v="840"/>
    <d v="2004-10-22T00:00:00"/>
    <x v="0"/>
    <x v="0"/>
    <x v="4"/>
    <x v="1"/>
    <s v="Oct-2004"/>
    <x v="2"/>
    <x v="78"/>
    <x v="13"/>
    <x v="1"/>
    <x v="1"/>
  </r>
  <r>
    <n v="10325"/>
    <n v="38"/>
    <n v="100"/>
    <n v="3800"/>
    <s v="Medium"/>
    <n v="1140"/>
    <d v="2004-11-05T00:00:00"/>
    <x v="0"/>
    <x v="0"/>
    <x v="5"/>
    <x v="1"/>
    <s v="Nov-2004"/>
    <x v="2"/>
    <x v="17"/>
    <x v="2"/>
    <x v="1"/>
    <x v="1"/>
  </r>
  <r>
    <n v="10336"/>
    <n v="23"/>
    <n v="100"/>
    <n v="2300"/>
    <s v="Medium"/>
    <n v="690"/>
    <d v="2004-11-20T00:00:00"/>
    <x v="0"/>
    <x v="0"/>
    <x v="5"/>
    <x v="1"/>
    <s v="Nov-2004"/>
    <x v="2"/>
    <x v="62"/>
    <x v="1"/>
    <x v="1"/>
    <x v="1"/>
  </r>
  <r>
    <n v="10350"/>
    <n v="31"/>
    <n v="71.400000000000006"/>
    <n v="2213.4"/>
    <s v="Medium"/>
    <n v="664.02"/>
    <d v="2004-12-02T00:00:00"/>
    <x v="0"/>
    <x v="0"/>
    <x v="6"/>
    <x v="1"/>
    <s v="Dec-2004"/>
    <x v="2"/>
    <x v="23"/>
    <x v="7"/>
    <x v="1"/>
    <x v="0"/>
  </r>
  <r>
    <n v="10359"/>
    <n v="46"/>
    <n v="100"/>
    <n v="4600"/>
    <s v="Medium"/>
    <n v="1380"/>
    <d v="2004-12-15T00:00:00"/>
    <x v="0"/>
    <x v="0"/>
    <x v="6"/>
    <x v="1"/>
    <s v="Dec-2004"/>
    <x v="2"/>
    <x v="1"/>
    <x v="1"/>
    <x v="1"/>
    <x v="1"/>
  </r>
  <r>
    <n v="10371"/>
    <n v="48"/>
    <n v="56.55"/>
    <n v="2714.3999999999996"/>
    <s v="Medium"/>
    <n v="814.31999999999982"/>
    <d v="2005-01-23T00:00:00"/>
    <x v="0"/>
    <x v="0"/>
    <x v="7"/>
    <x v="2"/>
    <s v="Jan-2005"/>
    <x v="2"/>
    <x v="39"/>
    <x v="0"/>
    <x v="0"/>
    <x v="0"/>
  </r>
  <r>
    <n v="10383"/>
    <n v="29"/>
    <n v="100"/>
    <n v="2900"/>
    <s v="Medium"/>
    <n v="870"/>
    <d v="2005-02-22T00:00:00"/>
    <x v="0"/>
    <x v="0"/>
    <x v="0"/>
    <x v="2"/>
    <s v="Feb-2005"/>
    <x v="2"/>
    <x v="23"/>
    <x v="7"/>
    <x v="1"/>
    <x v="1"/>
  </r>
  <r>
    <n v="10395"/>
    <n v="46"/>
    <n v="100"/>
    <n v="4600"/>
    <s v="Medium"/>
    <n v="1380"/>
    <d v="2005-03-17T00:00:00"/>
    <x v="0"/>
    <x v="0"/>
    <x v="11"/>
    <x v="2"/>
    <s v="Mar-2005"/>
    <x v="2"/>
    <x v="2"/>
    <x v="1"/>
    <x v="1"/>
    <x v="1"/>
  </r>
  <r>
    <n v="10412"/>
    <n v="26"/>
    <n v="100"/>
    <n v="2600"/>
    <s v="Medium"/>
    <n v="780"/>
    <d v="2005-05-03T00:00:00"/>
    <x v="0"/>
    <x v="0"/>
    <x v="1"/>
    <x v="2"/>
    <s v="May-2005"/>
    <x v="2"/>
    <x v="23"/>
    <x v="7"/>
    <x v="1"/>
    <x v="1"/>
  </r>
  <r>
    <n v="10425"/>
    <n v="18"/>
    <n v="100"/>
    <n v="1800"/>
    <s v="Low"/>
    <n v="540"/>
    <d v="2005-05-31T00:00:00"/>
    <x v="2"/>
    <x v="1"/>
    <x v="1"/>
    <x v="2"/>
    <s v="May-2005"/>
    <x v="2"/>
    <x v="14"/>
    <x v="1"/>
    <x v="1"/>
    <x v="0"/>
  </r>
  <r>
    <n v="10104"/>
    <n v="32"/>
    <n v="53.31"/>
    <n v="1705.92"/>
    <s v="Low"/>
    <n v="511.77600000000001"/>
    <d v="2003-01-31T00:00:00"/>
    <x v="0"/>
    <x v="0"/>
    <x v="7"/>
    <x v="0"/>
    <s v="Jan-2003"/>
    <x v="6"/>
    <x v="23"/>
    <x v="7"/>
    <x v="1"/>
    <x v="0"/>
  </r>
  <r>
    <n v="10117"/>
    <n v="21"/>
    <n v="49.21"/>
    <n v="1033.4100000000001"/>
    <s v="Low"/>
    <n v="310.02300000000002"/>
    <d v="2003-04-16T00:00:00"/>
    <x v="0"/>
    <x v="0"/>
    <x v="8"/>
    <x v="0"/>
    <s v="Apr-2003"/>
    <x v="6"/>
    <x v="26"/>
    <x v="9"/>
    <x v="3"/>
    <x v="0"/>
  </r>
  <r>
    <n v="10127"/>
    <n v="46"/>
    <n v="69.12"/>
    <n v="3179.5200000000004"/>
    <s v="Medium"/>
    <n v="953.85600000000011"/>
    <d v="2003-06-03T00:00:00"/>
    <x v="0"/>
    <x v="0"/>
    <x v="9"/>
    <x v="0"/>
    <s v="Jun-2003"/>
    <x v="6"/>
    <x v="74"/>
    <x v="0"/>
    <x v="0"/>
    <x v="1"/>
  </r>
  <r>
    <n v="10142"/>
    <n v="42"/>
    <n v="49.79"/>
    <n v="2091.1799999999998"/>
    <s v="Medium"/>
    <n v="627.35399999999993"/>
    <d v="2003-08-08T00:00:00"/>
    <x v="0"/>
    <x v="0"/>
    <x v="3"/>
    <x v="0"/>
    <s v="Aug-2003"/>
    <x v="6"/>
    <x v="39"/>
    <x v="0"/>
    <x v="0"/>
    <x v="0"/>
  </r>
  <r>
    <n v="10153"/>
    <n v="31"/>
    <n v="57.41"/>
    <n v="1779.7099999999998"/>
    <s v="Low"/>
    <n v="533.9129999999999"/>
    <d v="2003-09-28T00:00:00"/>
    <x v="0"/>
    <x v="0"/>
    <x v="10"/>
    <x v="0"/>
    <s v="Sep-2003"/>
    <x v="6"/>
    <x v="23"/>
    <x v="7"/>
    <x v="1"/>
    <x v="0"/>
  </r>
  <r>
    <n v="10165"/>
    <n v="38"/>
    <n v="66.78"/>
    <n v="2537.64"/>
    <s v="Medium"/>
    <n v="761.29199999999992"/>
    <d v="2003-10-22T00:00:00"/>
    <x v="0"/>
    <x v="0"/>
    <x v="4"/>
    <x v="0"/>
    <s v="Oct-2003"/>
    <x v="6"/>
    <x v="26"/>
    <x v="9"/>
    <x v="3"/>
    <x v="0"/>
  </r>
  <r>
    <n v="10176"/>
    <n v="38"/>
    <n v="64.44"/>
    <n v="2448.7199999999998"/>
    <s v="Medium"/>
    <n v="734.61599999999987"/>
    <d v="2003-11-06T00:00:00"/>
    <x v="0"/>
    <x v="0"/>
    <x v="5"/>
    <x v="0"/>
    <s v="Nov-2003"/>
    <x v="6"/>
    <x v="70"/>
    <x v="12"/>
    <x v="1"/>
    <x v="0"/>
  </r>
  <r>
    <n v="10185"/>
    <n v="20"/>
    <n v="48.62"/>
    <n v="972.4"/>
    <s v="Low"/>
    <n v="291.71999999999997"/>
    <d v="2003-11-14T00:00:00"/>
    <x v="0"/>
    <x v="0"/>
    <x v="5"/>
    <x v="0"/>
    <s v="Nov-2003"/>
    <x v="6"/>
    <x v="50"/>
    <x v="0"/>
    <x v="0"/>
    <x v="0"/>
  </r>
  <r>
    <n v="10196"/>
    <n v="46"/>
    <n v="62.09"/>
    <n v="2856.1400000000003"/>
    <s v="Medium"/>
    <n v="856.8420000000001"/>
    <d v="2003-11-26T00:00:00"/>
    <x v="0"/>
    <x v="0"/>
    <x v="5"/>
    <x v="0"/>
    <s v="Nov-2003"/>
    <x v="6"/>
    <x v="34"/>
    <x v="0"/>
    <x v="0"/>
    <x v="0"/>
  </r>
  <r>
    <n v="10208"/>
    <n v="30"/>
    <n v="65.61"/>
    <n v="1968.3"/>
    <s v="Low"/>
    <n v="590.49"/>
    <d v="2004-01-02T00:00:00"/>
    <x v="0"/>
    <x v="0"/>
    <x v="7"/>
    <x v="1"/>
    <s v="Jan-2004"/>
    <x v="6"/>
    <x v="30"/>
    <x v="1"/>
    <x v="1"/>
    <x v="0"/>
  </r>
  <r>
    <n v="10220"/>
    <n v="30"/>
    <n v="68.540000000000006"/>
    <n v="2056.2000000000003"/>
    <s v="Medium"/>
    <n v="616.86"/>
    <d v="2004-02-12T00:00:00"/>
    <x v="0"/>
    <x v="0"/>
    <x v="0"/>
    <x v="1"/>
    <s v="Feb-2004"/>
    <x v="6"/>
    <x v="75"/>
    <x v="18"/>
    <x v="1"/>
    <x v="0"/>
  </r>
  <r>
    <n v="10230"/>
    <n v="43"/>
    <n v="52.14"/>
    <n v="2242.02"/>
    <s v="Medium"/>
    <n v="672.60599999999999"/>
    <d v="2004-03-15T00:00:00"/>
    <x v="0"/>
    <x v="0"/>
    <x v="11"/>
    <x v="1"/>
    <s v="Mar-2004"/>
    <x v="6"/>
    <x v="72"/>
    <x v="16"/>
    <x v="1"/>
    <x v="0"/>
  </r>
  <r>
    <n v="10247"/>
    <n v="49"/>
    <n v="63.85"/>
    <n v="3128.65"/>
    <s v="Medium"/>
    <n v="938.59500000000003"/>
    <d v="2004-05-05T00:00:00"/>
    <x v="0"/>
    <x v="0"/>
    <x v="1"/>
    <x v="1"/>
    <s v="May-2004"/>
    <x v="6"/>
    <x v="73"/>
    <x v="4"/>
    <x v="1"/>
    <x v="1"/>
  </r>
  <r>
    <n v="10272"/>
    <n v="43"/>
    <n v="56.82"/>
    <n v="2443.2600000000002"/>
    <s v="Medium"/>
    <n v="732.97800000000007"/>
    <d v="2004-07-20T00:00:00"/>
    <x v="0"/>
    <x v="0"/>
    <x v="2"/>
    <x v="1"/>
    <s v="Jul-2004"/>
    <x v="6"/>
    <x v="18"/>
    <x v="0"/>
    <x v="0"/>
    <x v="0"/>
  </r>
  <r>
    <n v="10282"/>
    <n v="37"/>
    <n v="66.78"/>
    <n v="2470.86"/>
    <s v="Medium"/>
    <n v="741.25800000000004"/>
    <d v="2004-08-20T00:00:00"/>
    <x v="0"/>
    <x v="0"/>
    <x v="3"/>
    <x v="1"/>
    <s v="Aug-2004"/>
    <x v="6"/>
    <x v="39"/>
    <x v="0"/>
    <x v="0"/>
    <x v="0"/>
  </r>
  <r>
    <n v="10292"/>
    <n v="35"/>
    <n v="55.07"/>
    <n v="1927.45"/>
    <s v="Low"/>
    <n v="578.23500000000001"/>
    <d v="2004-09-08T00:00:00"/>
    <x v="0"/>
    <x v="0"/>
    <x v="10"/>
    <x v="1"/>
    <s v="Sep-2004"/>
    <x v="6"/>
    <x v="0"/>
    <x v="0"/>
    <x v="0"/>
    <x v="0"/>
  </r>
  <r>
    <n v="10306"/>
    <n v="34"/>
    <n v="60.34"/>
    <n v="2051.56"/>
    <s v="Medium"/>
    <n v="615.46799999999996"/>
    <d v="2004-10-14T00:00:00"/>
    <x v="0"/>
    <x v="0"/>
    <x v="4"/>
    <x v="1"/>
    <s v="Oct-2004"/>
    <x v="6"/>
    <x v="77"/>
    <x v="6"/>
    <x v="1"/>
    <x v="0"/>
  </r>
  <r>
    <n v="10314"/>
    <n v="38"/>
    <n v="61.51"/>
    <n v="2337.38"/>
    <s v="Medium"/>
    <n v="701.21400000000006"/>
    <d v="2004-10-22T00:00:00"/>
    <x v="0"/>
    <x v="0"/>
    <x v="4"/>
    <x v="1"/>
    <s v="Oct-2004"/>
    <x v="6"/>
    <x v="78"/>
    <x v="13"/>
    <x v="1"/>
    <x v="0"/>
  </r>
  <r>
    <n v="10325"/>
    <n v="44"/>
    <n v="100"/>
    <n v="4400"/>
    <s v="Medium"/>
    <n v="1320"/>
    <d v="2004-11-05T00:00:00"/>
    <x v="0"/>
    <x v="0"/>
    <x v="5"/>
    <x v="1"/>
    <s v="Nov-2004"/>
    <x v="6"/>
    <x v="17"/>
    <x v="2"/>
    <x v="1"/>
    <x v="1"/>
  </r>
  <r>
    <n v="10337"/>
    <n v="21"/>
    <n v="100"/>
    <n v="2100"/>
    <s v="Medium"/>
    <n v="630"/>
    <d v="2004-11-21T00:00:00"/>
    <x v="0"/>
    <x v="0"/>
    <x v="5"/>
    <x v="1"/>
    <s v="Nov-2004"/>
    <x v="6"/>
    <x v="27"/>
    <x v="0"/>
    <x v="0"/>
    <x v="0"/>
  </r>
  <r>
    <n v="10350"/>
    <n v="44"/>
    <n v="100"/>
    <n v="4400"/>
    <s v="Medium"/>
    <n v="1320"/>
    <d v="2004-12-02T00:00:00"/>
    <x v="0"/>
    <x v="0"/>
    <x v="6"/>
    <x v="1"/>
    <s v="Dec-2004"/>
    <x v="6"/>
    <x v="23"/>
    <x v="7"/>
    <x v="1"/>
    <x v="1"/>
  </r>
  <r>
    <n v="10359"/>
    <n v="25"/>
    <n v="64.930000000000007"/>
    <n v="1623.2500000000002"/>
    <s v="Low"/>
    <n v="486.97500000000002"/>
    <d v="2004-12-15T00:00:00"/>
    <x v="0"/>
    <x v="0"/>
    <x v="6"/>
    <x v="1"/>
    <s v="Dec-2004"/>
    <x v="6"/>
    <x v="1"/>
    <x v="1"/>
    <x v="1"/>
    <x v="0"/>
  </r>
  <r>
    <n v="10372"/>
    <n v="24"/>
    <n v="58.58"/>
    <n v="1405.92"/>
    <s v="Low"/>
    <n v="421.77600000000001"/>
    <d v="2005-01-26T00:00:00"/>
    <x v="0"/>
    <x v="0"/>
    <x v="7"/>
    <x v="2"/>
    <s v="Jan-2005"/>
    <x v="6"/>
    <x v="35"/>
    <x v="11"/>
    <x v="3"/>
    <x v="0"/>
  </r>
  <r>
    <n v="10383"/>
    <n v="38"/>
    <n v="60.06"/>
    <n v="2282.2800000000002"/>
    <s v="Medium"/>
    <n v="684.68400000000008"/>
    <d v="2005-02-22T00:00:00"/>
    <x v="0"/>
    <x v="0"/>
    <x v="0"/>
    <x v="2"/>
    <s v="Feb-2005"/>
    <x v="6"/>
    <x v="23"/>
    <x v="7"/>
    <x v="1"/>
    <x v="0"/>
  </r>
  <r>
    <n v="10395"/>
    <n v="45"/>
    <n v="100"/>
    <n v="4500"/>
    <s v="Medium"/>
    <n v="1350"/>
    <d v="2005-03-17T00:00:00"/>
    <x v="0"/>
    <x v="0"/>
    <x v="11"/>
    <x v="2"/>
    <s v="Mar-2005"/>
    <x v="6"/>
    <x v="2"/>
    <x v="1"/>
    <x v="1"/>
    <x v="2"/>
  </r>
  <r>
    <n v="10413"/>
    <n v="51"/>
    <n v="63.85"/>
    <n v="3256.35"/>
    <s v="Medium"/>
    <n v="976.90499999999997"/>
    <d v="2005-05-05T00:00:00"/>
    <x v="0"/>
    <x v="0"/>
    <x v="1"/>
    <x v="2"/>
    <s v="May-2005"/>
    <x v="6"/>
    <x v="13"/>
    <x v="0"/>
    <x v="0"/>
    <x v="1"/>
  </r>
  <r>
    <n v="10108"/>
    <n v="34"/>
    <n v="82.99"/>
    <n v="2821.66"/>
    <s v="Medium"/>
    <n v="846.49799999999993"/>
    <d v="2003-03-03T00:00:00"/>
    <x v="0"/>
    <x v="0"/>
    <x v="11"/>
    <x v="0"/>
    <s v="Mar-2003"/>
    <x v="0"/>
    <x v="66"/>
    <x v="15"/>
    <x v="3"/>
    <x v="0"/>
  </r>
  <r>
    <n v="10121"/>
    <n v="44"/>
    <n v="74.849999999999994"/>
    <n v="3293.3999999999996"/>
    <s v="Medium"/>
    <n v="988.01999999999987"/>
    <d v="2003-05-07T00:00:00"/>
    <x v="0"/>
    <x v="0"/>
    <x v="1"/>
    <x v="0"/>
    <s v="May-2003"/>
    <x v="0"/>
    <x v="1"/>
    <x v="1"/>
    <x v="1"/>
    <x v="1"/>
  </r>
  <r>
    <n v="10135"/>
    <n v="44"/>
    <n v="96"/>
    <n v="4224"/>
    <s v="Medium"/>
    <n v="1267.2"/>
    <d v="2003-07-02T00:00:00"/>
    <x v="0"/>
    <x v="0"/>
    <x v="2"/>
    <x v="0"/>
    <s v="Jul-2003"/>
    <x v="0"/>
    <x v="39"/>
    <x v="0"/>
    <x v="0"/>
    <x v="1"/>
  </r>
  <r>
    <n v="10145"/>
    <n v="38"/>
    <n v="81.36"/>
    <n v="3091.68"/>
    <s v="Medium"/>
    <n v="927.50399999999991"/>
    <d v="2003-08-25T00:00:00"/>
    <x v="0"/>
    <x v="0"/>
    <x v="3"/>
    <x v="0"/>
    <s v="Aug-2003"/>
    <x v="0"/>
    <x v="3"/>
    <x v="0"/>
    <x v="0"/>
    <x v="1"/>
  </r>
  <r>
    <n v="10159"/>
    <n v="31"/>
    <n v="71.599999999999994"/>
    <n v="2219.6"/>
    <s v="Medium"/>
    <n v="665.88"/>
    <d v="2003-10-10T00:00:00"/>
    <x v="0"/>
    <x v="0"/>
    <x v="4"/>
    <x v="0"/>
    <s v="Oct-2003"/>
    <x v="0"/>
    <x v="4"/>
    <x v="0"/>
    <x v="0"/>
    <x v="0"/>
  </r>
  <r>
    <n v="10169"/>
    <n v="48"/>
    <n v="80.55"/>
    <n v="3866.3999999999996"/>
    <s v="Medium"/>
    <n v="1159.9199999999998"/>
    <d v="2003-11-04T00:00:00"/>
    <x v="0"/>
    <x v="0"/>
    <x v="5"/>
    <x v="0"/>
    <s v="Nov-2003"/>
    <x v="0"/>
    <x v="42"/>
    <x v="3"/>
    <x v="2"/>
    <x v="1"/>
  </r>
  <r>
    <n v="10180"/>
    <n v="21"/>
    <n v="93.56"/>
    <n v="1964.76"/>
    <s v="Low"/>
    <n v="589.428"/>
    <d v="2003-11-11T00:00:00"/>
    <x v="0"/>
    <x v="0"/>
    <x v="5"/>
    <x v="0"/>
    <s v="Nov-2003"/>
    <x v="0"/>
    <x v="6"/>
    <x v="1"/>
    <x v="1"/>
    <x v="0"/>
  </r>
  <r>
    <n v="10190"/>
    <n v="40"/>
    <n v="66.72"/>
    <n v="2668.8"/>
    <s v="Medium"/>
    <n v="800.64"/>
    <d v="2003-11-19T00:00:00"/>
    <x v="0"/>
    <x v="0"/>
    <x v="5"/>
    <x v="0"/>
    <s v="Nov-2003"/>
    <x v="0"/>
    <x v="23"/>
    <x v="7"/>
    <x v="1"/>
    <x v="0"/>
  </r>
  <r>
    <n v="10211"/>
    <n v="40"/>
    <n v="80.55"/>
    <n v="3222"/>
    <s v="Medium"/>
    <n v="966.59999999999991"/>
    <d v="2004-01-15T00:00:00"/>
    <x v="0"/>
    <x v="0"/>
    <x v="7"/>
    <x v="1"/>
    <s v="Jan-2004"/>
    <x v="0"/>
    <x v="9"/>
    <x v="1"/>
    <x v="1"/>
    <x v="1"/>
  </r>
  <r>
    <n v="10224"/>
    <n v="50"/>
    <n v="77.290000000000006"/>
    <n v="3864.5000000000005"/>
    <s v="Medium"/>
    <n v="1159.3500000000001"/>
    <d v="2004-02-21T00:00:00"/>
    <x v="0"/>
    <x v="0"/>
    <x v="0"/>
    <x v="1"/>
    <s v="Feb-2004"/>
    <x v="0"/>
    <x v="6"/>
    <x v="1"/>
    <x v="1"/>
    <x v="1"/>
  </r>
  <r>
    <n v="10237"/>
    <n v="20"/>
    <n v="68.34"/>
    <n v="1366.8000000000002"/>
    <s v="Low"/>
    <n v="410.04"/>
    <d v="2004-04-05T00:00:00"/>
    <x v="0"/>
    <x v="0"/>
    <x v="8"/>
    <x v="1"/>
    <s v="Apr-2004"/>
    <x v="0"/>
    <x v="11"/>
    <x v="0"/>
    <x v="0"/>
    <x v="0"/>
  </r>
  <r>
    <n v="10252"/>
    <n v="48"/>
    <n v="72.41"/>
    <n v="3475.68"/>
    <s v="Medium"/>
    <n v="1042.704"/>
    <d v="2004-05-26T00:00:00"/>
    <x v="0"/>
    <x v="0"/>
    <x v="1"/>
    <x v="1"/>
    <s v="May-2004"/>
    <x v="0"/>
    <x v="9"/>
    <x v="1"/>
    <x v="1"/>
    <x v="1"/>
  </r>
  <r>
    <n v="10264"/>
    <n v="47"/>
    <n v="89.5"/>
    <n v="4206.5"/>
    <s v="Medium"/>
    <n v="1261.95"/>
    <d v="2004-06-30T00:00:00"/>
    <x v="0"/>
    <x v="0"/>
    <x v="9"/>
    <x v="1"/>
    <s v="Jun-2004"/>
    <x v="0"/>
    <x v="58"/>
    <x v="0"/>
    <x v="0"/>
    <x v="1"/>
  </r>
  <r>
    <n v="10276"/>
    <n v="21"/>
    <n v="70.78"/>
    <n v="1486.38"/>
    <s v="Low"/>
    <n v="445.91400000000004"/>
    <d v="2004-08-02T00:00:00"/>
    <x v="0"/>
    <x v="0"/>
    <x v="3"/>
    <x v="1"/>
    <s v="Aug-2004"/>
    <x v="0"/>
    <x v="71"/>
    <x v="0"/>
    <x v="0"/>
    <x v="0"/>
  </r>
  <r>
    <n v="10285"/>
    <n v="39"/>
    <n v="78.92"/>
    <n v="3077.88"/>
    <s v="Medium"/>
    <n v="923.36400000000003"/>
    <d v="2004-08-27T00:00:00"/>
    <x v="0"/>
    <x v="0"/>
    <x v="3"/>
    <x v="1"/>
    <s v="Aug-2004"/>
    <x v="0"/>
    <x v="15"/>
    <x v="0"/>
    <x v="0"/>
    <x v="1"/>
  </r>
  <r>
    <n v="10299"/>
    <n v="44"/>
    <n v="80.55"/>
    <n v="3544.2"/>
    <s v="Medium"/>
    <n v="1063.26"/>
    <d v="2004-09-30T00:00:00"/>
    <x v="0"/>
    <x v="0"/>
    <x v="10"/>
    <x v="1"/>
    <s v="Sep-2004"/>
    <x v="0"/>
    <x v="16"/>
    <x v="4"/>
    <x v="1"/>
    <x v="1"/>
  </r>
  <r>
    <n v="10309"/>
    <n v="28"/>
    <n v="88.68"/>
    <n v="2483.04"/>
    <s v="Medium"/>
    <n v="744.91199999999992"/>
    <d v="2004-10-15T00:00:00"/>
    <x v="0"/>
    <x v="0"/>
    <x v="4"/>
    <x v="1"/>
    <s v="Oct-2004"/>
    <x v="0"/>
    <x v="17"/>
    <x v="2"/>
    <x v="1"/>
    <x v="0"/>
  </r>
  <r>
    <n v="10319"/>
    <n v="45"/>
    <n v="77.290000000000006"/>
    <n v="3478.05"/>
    <s v="Medium"/>
    <n v="1043.415"/>
    <d v="2004-11-03T00:00:00"/>
    <x v="0"/>
    <x v="0"/>
    <x v="5"/>
    <x v="1"/>
    <s v="Nov-2004"/>
    <x v="0"/>
    <x v="79"/>
    <x v="0"/>
    <x v="0"/>
    <x v="1"/>
  </r>
  <r>
    <n v="10331"/>
    <n v="20"/>
    <n v="100"/>
    <n v="2000"/>
    <s v="Medium"/>
    <n v="600"/>
    <d v="2004-11-17T00:00:00"/>
    <x v="0"/>
    <x v="0"/>
    <x v="5"/>
    <x v="1"/>
    <s v="Nov-2004"/>
    <x v="0"/>
    <x v="45"/>
    <x v="0"/>
    <x v="0"/>
    <x v="1"/>
  </r>
  <r>
    <n v="10341"/>
    <n v="38"/>
    <n v="100"/>
    <n v="3800"/>
    <s v="Medium"/>
    <n v="1140"/>
    <d v="2004-11-24T00:00:00"/>
    <x v="0"/>
    <x v="0"/>
    <x v="5"/>
    <x v="1"/>
    <s v="Nov-2004"/>
    <x v="0"/>
    <x v="19"/>
    <x v="5"/>
    <x v="1"/>
    <x v="1"/>
  </r>
  <r>
    <n v="10356"/>
    <n v="26"/>
    <n v="100"/>
    <n v="2600"/>
    <s v="Medium"/>
    <n v="780"/>
    <d v="2004-12-09T00:00:00"/>
    <x v="0"/>
    <x v="0"/>
    <x v="6"/>
    <x v="1"/>
    <s v="Dec-2004"/>
    <x v="0"/>
    <x v="2"/>
    <x v="1"/>
    <x v="1"/>
    <x v="1"/>
  </r>
  <r>
    <n v="10365"/>
    <n v="44"/>
    <n v="100"/>
    <n v="4400"/>
    <s v="Medium"/>
    <n v="1320"/>
    <d v="2005-01-07T00:00:00"/>
    <x v="0"/>
    <x v="0"/>
    <x v="7"/>
    <x v="2"/>
    <s v="Jan-2005"/>
    <x v="0"/>
    <x v="50"/>
    <x v="0"/>
    <x v="0"/>
    <x v="1"/>
  </r>
  <r>
    <n v="10375"/>
    <n v="49"/>
    <n v="100"/>
    <n v="4900"/>
    <s v="Medium"/>
    <n v="1470"/>
    <d v="2005-02-03T00:00:00"/>
    <x v="0"/>
    <x v="0"/>
    <x v="0"/>
    <x v="2"/>
    <s v="Feb-2005"/>
    <x v="0"/>
    <x v="14"/>
    <x v="1"/>
    <x v="1"/>
    <x v="1"/>
  </r>
  <r>
    <n v="10390"/>
    <n v="22"/>
    <n v="100"/>
    <n v="2200"/>
    <s v="Medium"/>
    <n v="660"/>
    <d v="2005-03-04T00:00:00"/>
    <x v="0"/>
    <x v="0"/>
    <x v="11"/>
    <x v="2"/>
    <s v="Mar-2005"/>
    <x v="0"/>
    <x v="39"/>
    <x v="0"/>
    <x v="0"/>
    <x v="1"/>
  </r>
  <r>
    <n v="10403"/>
    <n v="31"/>
    <n v="68.34"/>
    <n v="2118.54"/>
    <s v="Medium"/>
    <n v="635.56200000000001"/>
    <d v="2005-04-08T00:00:00"/>
    <x v="0"/>
    <x v="0"/>
    <x v="8"/>
    <x v="2"/>
    <s v="Apr-2005"/>
    <x v="0"/>
    <x v="22"/>
    <x v="6"/>
    <x v="1"/>
    <x v="0"/>
  </r>
  <r>
    <n v="10105"/>
    <n v="41"/>
    <n v="70.67"/>
    <n v="2897.4700000000003"/>
    <s v="Medium"/>
    <n v="869.2410000000001"/>
    <d v="2003-02-11T00:00:00"/>
    <x v="0"/>
    <x v="0"/>
    <x v="0"/>
    <x v="0"/>
    <s v="Feb-2003"/>
    <x v="5"/>
    <x v="48"/>
    <x v="13"/>
    <x v="1"/>
    <x v="0"/>
  </r>
  <r>
    <n v="10119"/>
    <n v="25"/>
    <n v="76.67"/>
    <n v="1916.75"/>
    <s v="Low"/>
    <n v="575.02499999999998"/>
    <d v="2003-04-28T00:00:00"/>
    <x v="0"/>
    <x v="0"/>
    <x v="8"/>
    <x v="0"/>
    <s v="Apr-2003"/>
    <x v="5"/>
    <x v="19"/>
    <x v="5"/>
    <x v="1"/>
    <x v="0"/>
  </r>
  <r>
    <n v="10129"/>
    <n v="31"/>
    <n v="60"/>
    <n v="1860"/>
    <s v="Low"/>
    <n v="558"/>
    <d v="2003-06-12T00:00:00"/>
    <x v="0"/>
    <x v="0"/>
    <x v="9"/>
    <x v="0"/>
    <s v="Jun-2003"/>
    <x v="5"/>
    <x v="49"/>
    <x v="6"/>
    <x v="1"/>
    <x v="0"/>
  </r>
  <r>
    <n v="10142"/>
    <n v="41"/>
    <n v="64"/>
    <n v="2624"/>
    <s v="Medium"/>
    <n v="787.19999999999993"/>
    <d v="2003-08-08T00:00:00"/>
    <x v="0"/>
    <x v="0"/>
    <x v="3"/>
    <x v="0"/>
    <s v="Aug-2003"/>
    <x v="5"/>
    <x v="39"/>
    <x v="0"/>
    <x v="0"/>
    <x v="0"/>
  </r>
  <r>
    <n v="10153"/>
    <n v="43"/>
    <n v="64.67"/>
    <n v="2780.81"/>
    <s v="Medium"/>
    <n v="834.24299999999994"/>
    <d v="2003-09-28T00:00:00"/>
    <x v="0"/>
    <x v="0"/>
    <x v="10"/>
    <x v="0"/>
    <s v="Sep-2003"/>
    <x v="5"/>
    <x v="23"/>
    <x v="7"/>
    <x v="1"/>
    <x v="0"/>
  </r>
  <r>
    <n v="10167"/>
    <n v="43"/>
    <n v="75.34"/>
    <n v="3239.6200000000003"/>
    <s v="Medium"/>
    <n v="971.88600000000008"/>
    <d v="2003-10-23T00:00:00"/>
    <x v="3"/>
    <x v="1"/>
    <x v="4"/>
    <x v="0"/>
    <s v="Oct-2003"/>
    <x v="5"/>
    <x v="37"/>
    <x v="8"/>
    <x v="1"/>
    <x v="1"/>
  </r>
  <r>
    <n v="10177"/>
    <n v="24"/>
    <n v="76"/>
    <n v="1824"/>
    <s v="Low"/>
    <n v="547.19999999999993"/>
    <d v="2003-11-07T00:00:00"/>
    <x v="0"/>
    <x v="0"/>
    <x v="5"/>
    <x v="0"/>
    <s v="Nov-2003"/>
    <x v="5"/>
    <x v="76"/>
    <x v="7"/>
    <x v="1"/>
    <x v="0"/>
  </r>
  <r>
    <n v="10185"/>
    <n v="21"/>
    <n v="54"/>
    <n v="1134"/>
    <s v="Low"/>
    <n v="340.2"/>
    <d v="2003-11-14T00:00:00"/>
    <x v="0"/>
    <x v="0"/>
    <x v="5"/>
    <x v="0"/>
    <s v="Nov-2003"/>
    <x v="5"/>
    <x v="50"/>
    <x v="0"/>
    <x v="0"/>
    <x v="0"/>
  </r>
  <r>
    <n v="10197"/>
    <n v="23"/>
    <n v="64.67"/>
    <n v="1487.41"/>
    <s v="Low"/>
    <n v="446.22300000000001"/>
    <d v="2003-11-26T00:00:00"/>
    <x v="0"/>
    <x v="0"/>
    <x v="5"/>
    <x v="0"/>
    <s v="Nov-2003"/>
    <x v="5"/>
    <x v="53"/>
    <x v="7"/>
    <x v="1"/>
    <x v="0"/>
  </r>
  <r>
    <n v="10208"/>
    <n v="38"/>
    <n v="74.67"/>
    <n v="2837.46"/>
    <s v="Medium"/>
    <n v="851.23799999999994"/>
    <d v="2004-01-02T00:00:00"/>
    <x v="0"/>
    <x v="0"/>
    <x v="7"/>
    <x v="1"/>
    <s v="Jan-2004"/>
    <x v="5"/>
    <x v="30"/>
    <x v="1"/>
    <x v="1"/>
    <x v="0"/>
  </r>
  <r>
    <n v="10222"/>
    <n v="31"/>
    <n v="62.67"/>
    <n v="1942.77"/>
    <s v="Low"/>
    <n v="582.83100000000002"/>
    <d v="2004-02-19T00:00:00"/>
    <x v="0"/>
    <x v="0"/>
    <x v="0"/>
    <x v="1"/>
    <s v="Feb-2004"/>
    <x v="5"/>
    <x v="55"/>
    <x v="0"/>
    <x v="0"/>
    <x v="0"/>
  </r>
  <r>
    <n v="10233"/>
    <n v="36"/>
    <n v="70.67"/>
    <n v="2544.12"/>
    <s v="Medium"/>
    <n v="763.23599999999999"/>
    <d v="2004-03-29T00:00:00"/>
    <x v="0"/>
    <x v="0"/>
    <x v="11"/>
    <x v="1"/>
    <s v="Mar-2004"/>
    <x v="5"/>
    <x v="12"/>
    <x v="0"/>
    <x v="0"/>
    <x v="0"/>
  </r>
  <r>
    <n v="10248"/>
    <n v="36"/>
    <n v="71.34"/>
    <n v="2568.2400000000002"/>
    <s v="Medium"/>
    <n v="770.47200000000009"/>
    <d v="2004-05-07T00:00:00"/>
    <x v="3"/>
    <x v="1"/>
    <x v="1"/>
    <x v="1"/>
    <s v="May-2004"/>
    <x v="5"/>
    <x v="0"/>
    <x v="0"/>
    <x v="0"/>
    <x v="0"/>
  </r>
  <r>
    <n v="10261"/>
    <n v="34"/>
    <n v="62"/>
    <n v="2108"/>
    <s v="Medium"/>
    <n v="632.4"/>
    <d v="2004-06-17T00:00:00"/>
    <x v="0"/>
    <x v="0"/>
    <x v="9"/>
    <x v="1"/>
    <s v="Jun-2004"/>
    <x v="5"/>
    <x v="43"/>
    <x v="10"/>
    <x v="0"/>
    <x v="0"/>
  </r>
  <r>
    <n v="10273"/>
    <n v="21"/>
    <n v="65.34"/>
    <n v="1372.14"/>
    <s v="Low"/>
    <n v="411.642"/>
    <d v="2004-07-21T00:00:00"/>
    <x v="0"/>
    <x v="0"/>
    <x v="2"/>
    <x v="1"/>
    <s v="Jul-2004"/>
    <x v="5"/>
    <x v="56"/>
    <x v="14"/>
    <x v="1"/>
    <x v="0"/>
  </r>
  <r>
    <n v="10283"/>
    <n v="45"/>
    <n v="78.67"/>
    <n v="3540.15"/>
    <s v="Medium"/>
    <n v="1062.0450000000001"/>
    <d v="2004-08-20T00:00:00"/>
    <x v="0"/>
    <x v="0"/>
    <x v="3"/>
    <x v="1"/>
    <s v="Aug-2004"/>
    <x v="5"/>
    <x v="57"/>
    <x v="10"/>
    <x v="0"/>
    <x v="1"/>
  </r>
  <r>
    <n v="10295"/>
    <n v="26"/>
    <n v="75.34"/>
    <n v="1958.8400000000001"/>
    <s v="Low"/>
    <n v="587.65200000000004"/>
    <d v="2004-09-10T00:00:00"/>
    <x v="0"/>
    <x v="0"/>
    <x v="10"/>
    <x v="1"/>
    <s v="Sep-2004"/>
    <x v="5"/>
    <x v="58"/>
    <x v="0"/>
    <x v="0"/>
    <x v="0"/>
  </r>
  <r>
    <n v="10306"/>
    <n v="50"/>
    <n v="54"/>
    <n v="2700"/>
    <s v="Medium"/>
    <n v="810"/>
    <d v="2004-10-14T00:00:00"/>
    <x v="0"/>
    <x v="0"/>
    <x v="4"/>
    <x v="1"/>
    <s v="Oct-2004"/>
    <x v="5"/>
    <x v="77"/>
    <x v="6"/>
    <x v="1"/>
    <x v="0"/>
  </r>
  <r>
    <n v="10315"/>
    <n v="41"/>
    <n v="62"/>
    <n v="2542"/>
    <s v="Medium"/>
    <n v="762.6"/>
    <d v="2004-10-29T00:00:00"/>
    <x v="0"/>
    <x v="0"/>
    <x v="4"/>
    <x v="1"/>
    <s v="Oct-2004"/>
    <x v="5"/>
    <x v="14"/>
    <x v="1"/>
    <x v="1"/>
    <x v="0"/>
  </r>
  <r>
    <n v="10326"/>
    <n v="39"/>
    <n v="60"/>
    <n v="2340"/>
    <s v="Medium"/>
    <n v="702"/>
    <d v="2004-11-09T00:00:00"/>
    <x v="0"/>
    <x v="0"/>
    <x v="5"/>
    <x v="1"/>
    <s v="Nov-2004"/>
    <x v="5"/>
    <x v="24"/>
    <x v="8"/>
    <x v="1"/>
    <x v="0"/>
  </r>
  <r>
    <n v="10339"/>
    <n v="22"/>
    <n v="100"/>
    <n v="2200"/>
    <s v="Medium"/>
    <n v="660"/>
    <d v="2004-11-23T00:00:00"/>
    <x v="0"/>
    <x v="0"/>
    <x v="5"/>
    <x v="1"/>
    <s v="Nov-2004"/>
    <x v="5"/>
    <x v="35"/>
    <x v="11"/>
    <x v="3"/>
    <x v="0"/>
  </r>
  <r>
    <n v="10350"/>
    <n v="46"/>
    <n v="76.67"/>
    <n v="3526.82"/>
    <s v="Medium"/>
    <n v="1058.046"/>
    <d v="2004-12-02T00:00:00"/>
    <x v="0"/>
    <x v="0"/>
    <x v="6"/>
    <x v="1"/>
    <s v="Dec-2004"/>
    <x v="5"/>
    <x v="23"/>
    <x v="7"/>
    <x v="1"/>
    <x v="1"/>
  </r>
  <r>
    <n v="10373"/>
    <n v="44"/>
    <n v="100"/>
    <n v="4400"/>
    <s v="Medium"/>
    <n v="1320"/>
    <d v="2005-01-31T00:00:00"/>
    <x v="0"/>
    <x v="0"/>
    <x v="7"/>
    <x v="2"/>
    <s v="Jan-2005"/>
    <x v="5"/>
    <x v="60"/>
    <x v="4"/>
    <x v="1"/>
    <x v="1"/>
  </r>
  <r>
    <n v="10385"/>
    <n v="25"/>
    <n v="77.34"/>
    <n v="1933.5"/>
    <s v="Low"/>
    <n v="580.04999999999995"/>
    <d v="2005-02-28T00:00:00"/>
    <x v="0"/>
    <x v="0"/>
    <x v="0"/>
    <x v="2"/>
    <s v="Feb-2005"/>
    <x v="5"/>
    <x v="39"/>
    <x v="0"/>
    <x v="0"/>
    <x v="0"/>
  </r>
  <r>
    <n v="10396"/>
    <n v="39"/>
    <n v="66.67"/>
    <n v="2600.13"/>
    <s v="Medium"/>
    <n v="780.03899999999999"/>
    <d v="2005-03-23T00:00:00"/>
    <x v="0"/>
    <x v="0"/>
    <x v="11"/>
    <x v="2"/>
    <s v="Mar-2005"/>
    <x v="5"/>
    <x v="39"/>
    <x v="0"/>
    <x v="0"/>
    <x v="0"/>
  </r>
  <r>
    <n v="10414"/>
    <n v="37"/>
    <n v="71.34"/>
    <n v="2639.58"/>
    <s v="Medium"/>
    <n v="791.87399999999991"/>
    <d v="2005-05-06T00:00:00"/>
    <x v="4"/>
    <x v="1"/>
    <x v="1"/>
    <x v="2"/>
    <s v="May-2005"/>
    <x v="5"/>
    <x v="58"/>
    <x v="0"/>
    <x v="0"/>
    <x v="0"/>
  </r>
  <r>
    <n v="10106"/>
    <n v="31"/>
    <n v="100"/>
    <n v="3100"/>
    <s v="Medium"/>
    <n v="930"/>
    <d v="2003-02-17T00:00:00"/>
    <x v="0"/>
    <x v="0"/>
    <x v="0"/>
    <x v="0"/>
    <s v="Feb-2003"/>
    <x v="4"/>
    <x v="86"/>
    <x v="12"/>
    <x v="1"/>
    <x v="1"/>
  </r>
  <r>
    <n v="10120"/>
    <n v="47"/>
    <n v="82.21"/>
    <n v="3863.87"/>
    <s v="Medium"/>
    <n v="1159.1609999999998"/>
    <d v="2003-04-29T00:00:00"/>
    <x v="0"/>
    <x v="0"/>
    <x v="8"/>
    <x v="0"/>
    <s v="Apr-2003"/>
    <x v="4"/>
    <x v="10"/>
    <x v="3"/>
    <x v="2"/>
    <x v="1"/>
  </r>
  <r>
    <n v="10133"/>
    <n v="24"/>
    <n v="77.64"/>
    <n v="1863.3600000000001"/>
    <s v="Low"/>
    <n v="559.00800000000004"/>
    <d v="2003-06-27T00:00:00"/>
    <x v="0"/>
    <x v="0"/>
    <x v="9"/>
    <x v="0"/>
    <s v="Jun-2003"/>
    <x v="4"/>
    <x v="23"/>
    <x v="7"/>
    <x v="1"/>
    <x v="0"/>
  </r>
  <r>
    <n v="10143"/>
    <n v="36"/>
    <n v="100"/>
    <n v="3600"/>
    <s v="Medium"/>
    <n v="1080"/>
    <d v="2003-08-10T00:00:00"/>
    <x v="0"/>
    <x v="0"/>
    <x v="3"/>
    <x v="0"/>
    <s v="Aug-2003"/>
    <x v="4"/>
    <x v="50"/>
    <x v="0"/>
    <x v="0"/>
    <x v="1"/>
  </r>
  <r>
    <n v="10156"/>
    <n v="48"/>
    <n v="100"/>
    <n v="4800"/>
    <s v="Medium"/>
    <n v="1440"/>
    <d v="2003-10-08T00:00:00"/>
    <x v="0"/>
    <x v="0"/>
    <x v="4"/>
    <x v="0"/>
    <s v="Oct-2003"/>
    <x v="4"/>
    <x v="23"/>
    <x v="7"/>
    <x v="1"/>
    <x v="1"/>
  </r>
  <r>
    <n v="10168"/>
    <n v="28"/>
    <n v="98.65"/>
    <n v="2762.2000000000003"/>
    <s v="Medium"/>
    <n v="828.66000000000008"/>
    <d v="2003-10-28T00:00:00"/>
    <x v="0"/>
    <x v="0"/>
    <x v="4"/>
    <x v="0"/>
    <s v="Oct-2003"/>
    <x v="4"/>
    <x v="5"/>
    <x v="0"/>
    <x v="0"/>
    <x v="0"/>
  </r>
  <r>
    <n v="10199"/>
    <n v="48"/>
    <n v="83.12"/>
    <n v="3989.76"/>
    <s v="Medium"/>
    <n v="1196.9280000000001"/>
    <d v="2003-12-01T00:00:00"/>
    <x v="0"/>
    <x v="0"/>
    <x v="6"/>
    <x v="0"/>
    <s v="Dec-2003"/>
    <x v="4"/>
    <x v="32"/>
    <x v="0"/>
    <x v="0"/>
    <x v="1"/>
  </r>
  <r>
    <n v="10210"/>
    <n v="21"/>
    <n v="78.55"/>
    <n v="1649.55"/>
    <s v="Low"/>
    <n v="494.86499999999995"/>
    <d v="2004-01-12T00:00:00"/>
    <x v="0"/>
    <x v="0"/>
    <x v="7"/>
    <x v="1"/>
    <s v="Jan-2004"/>
    <x v="4"/>
    <x v="44"/>
    <x v="11"/>
    <x v="3"/>
    <x v="0"/>
  </r>
  <r>
    <n v="10223"/>
    <n v="25"/>
    <n v="100"/>
    <n v="2500"/>
    <s v="Medium"/>
    <n v="750"/>
    <d v="2004-02-20T00:00:00"/>
    <x v="0"/>
    <x v="0"/>
    <x v="0"/>
    <x v="1"/>
    <s v="Feb-2004"/>
    <x v="4"/>
    <x v="10"/>
    <x v="3"/>
    <x v="2"/>
    <x v="0"/>
  </r>
  <r>
    <n v="10235"/>
    <n v="25"/>
    <n v="100"/>
    <n v="2500"/>
    <s v="Medium"/>
    <n v="750"/>
    <d v="2004-04-02T00:00:00"/>
    <x v="0"/>
    <x v="0"/>
    <x v="8"/>
    <x v="1"/>
    <s v="Apr-2004"/>
    <x v="4"/>
    <x v="57"/>
    <x v="10"/>
    <x v="0"/>
    <x v="0"/>
  </r>
  <r>
    <n v="10250"/>
    <n v="31"/>
    <n v="91.34"/>
    <n v="2831.54"/>
    <s v="Medium"/>
    <n v="849.46199999999999"/>
    <d v="2004-05-11T00:00:00"/>
    <x v="0"/>
    <x v="0"/>
    <x v="1"/>
    <x v="1"/>
    <s v="May-2004"/>
    <x v="4"/>
    <x v="61"/>
    <x v="0"/>
    <x v="0"/>
    <x v="0"/>
  </r>
  <r>
    <n v="10262"/>
    <n v="40"/>
    <n v="84.03"/>
    <n v="3361.2"/>
    <s v="Medium"/>
    <n v="1008.3599999999999"/>
    <d v="2004-06-24T00:00:00"/>
    <x v="3"/>
    <x v="1"/>
    <x v="9"/>
    <x v="1"/>
    <s v="Jun-2004"/>
    <x v="4"/>
    <x v="23"/>
    <x v="7"/>
    <x v="1"/>
    <x v="1"/>
  </r>
  <r>
    <n v="10275"/>
    <n v="32"/>
    <n v="89.51"/>
    <n v="2864.32"/>
    <s v="Medium"/>
    <n v="859.29600000000005"/>
    <d v="2004-07-23T00:00:00"/>
    <x v="0"/>
    <x v="0"/>
    <x v="2"/>
    <x v="1"/>
    <s v="Jul-2004"/>
    <x v="4"/>
    <x v="14"/>
    <x v="1"/>
    <x v="1"/>
    <x v="0"/>
  </r>
  <r>
    <n v="10284"/>
    <n v="24"/>
    <n v="83.12"/>
    <n v="1994.88"/>
    <s v="Low"/>
    <n v="598.46400000000006"/>
    <d v="2004-08-21T00:00:00"/>
    <x v="0"/>
    <x v="0"/>
    <x v="3"/>
    <x v="1"/>
    <s v="Aug-2004"/>
    <x v="4"/>
    <x v="85"/>
    <x v="2"/>
    <x v="1"/>
    <x v="0"/>
  </r>
  <r>
    <n v="10296"/>
    <n v="42"/>
    <n v="100"/>
    <n v="4200"/>
    <s v="Medium"/>
    <n v="1260"/>
    <d v="2004-09-15T00:00:00"/>
    <x v="0"/>
    <x v="0"/>
    <x v="10"/>
    <x v="1"/>
    <s v="Sep-2004"/>
    <x v="4"/>
    <x v="89"/>
    <x v="16"/>
    <x v="1"/>
    <x v="1"/>
  </r>
  <r>
    <n v="10308"/>
    <n v="21"/>
    <n v="100"/>
    <n v="2100"/>
    <s v="Medium"/>
    <n v="630"/>
    <d v="2004-10-15T00:00:00"/>
    <x v="0"/>
    <x v="0"/>
    <x v="4"/>
    <x v="1"/>
    <s v="Oct-2004"/>
    <x v="4"/>
    <x v="47"/>
    <x v="0"/>
    <x v="0"/>
    <x v="0"/>
  </r>
  <r>
    <n v="10316"/>
    <n v="34"/>
    <n v="82.21"/>
    <n v="2795.14"/>
    <s v="Medium"/>
    <n v="838.54199999999992"/>
    <d v="2004-11-01T00:00:00"/>
    <x v="0"/>
    <x v="0"/>
    <x v="5"/>
    <x v="1"/>
    <s v="Nov-2004"/>
    <x v="4"/>
    <x v="59"/>
    <x v="6"/>
    <x v="1"/>
    <x v="0"/>
  </r>
  <r>
    <n v="10328"/>
    <n v="27"/>
    <n v="100"/>
    <n v="2700"/>
    <s v="Medium"/>
    <n v="810"/>
    <d v="2004-11-12T00:00:00"/>
    <x v="0"/>
    <x v="0"/>
    <x v="5"/>
    <x v="1"/>
    <s v="Nov-2004"/>
    <x v="4"/>
    <x v="86"/>
    <x v="12"/>
    <x v="1"/>
    <x v="0"/>
  </r>
  <r>
    <n v="10340"/>
    <n v="30"/>
    <n v="88.6"/>
    <n v="2658"/>
    <s v="Medium"/>
    <n v="797.4"/>
    <d v="2004-11-24T00:00:00"/>
    <x v="0"/>
    <x v="0"/>
    <x v="5"/>
    <x v="1"/>
    <s v="Nov-2004"/>
    <x v="4"/>
    <x v="53"/>
    <x v="7"/>
    <x v="1"/>
    <x v="0"/>
  </r>
  <r>
    <n v="10353"/>
    <n v="39"/>
    <n v="100"/>
    <n v="3900"/>
    <s v="Medium"/>
    <n v="1170"/>
    <d v="2004-12-04T00:00:00"/>
    <x v="0"/>
    <x v="0"/>
    <x v="6"/>
    <x v="1"/>
    <s v="Dec-2004"/>
    <x v="4"/>
    <x v="88"/>
    <x v="0"/>
    <x v="0"/>
    <x v="1"/>
  </r>
  <r>
    <n v="10361"/>
    <n v="20"/>
    <n v="60.54"/>
    <n v="1210.8"/>
    <s v="Low"/>
    <n v="363.23999999999995"/>
    <d v="2004-12-17T00:00:00"/>
    <x v="0"/>
    <x v="0"/>
    <x v="6"/>
    <x v="1"/>
    <s v="Dec-2004"/>
    <x v="4"/>
    <x v="20"/>
    <x v="3"/>
    <x v="2"/>
    <x v="0"/>
  </r>
  <r>
    <n v="10375"/>
    <n v="37"/>
    <n v="81.87"/>
    <n v="3029.19"/>
    <s v="Medium"/>
    <n v="908.75699999999995"/>
    <d v="2005-02-03T00:00:00"/>
    <x v="0"/>
    <x v="0"/>
    <x v="0"/>
    <x v="2"/>
    <s v="Feb-2005"/>
    <x v="4"/>
    <x v="14"/>
    <x v="1"/>
    <x v="1"/>
    <x v="1"/>
  </r>
  <r>
    <n v="10388"/>
    <n v="46"/>
    <n v="100"/>
    <n v="4600"/>
    <s v="Medium"/>
    <n v="1380"/>
    <d v="2005-03-03T00:00:00"/>
    <x v="0"/>
    <x v="0"/>
    <x v="11"/>
    <x v="2"/>
    <s v="Mar-2005"/>
    <x v="4"/>
    <x v="21"/>
    <x v="0"/>
    <x v="0"/>
    <x v="2"/>
  </r>
  <r>
    <n v="10398"/>
    <n v="47"/>
    <n v="87.69"/>
    <n v="4121.43"/>
    <s v="Medium"/>
    <n v="1236.4290000000001"/>
    <d v="2005-03-30T00:00:00"/>
    <x v="0"/>
    <x v="0"/>
    <x v="11"/>
    <x v="2"/>
    <s v="Mar-2005"/>
    <x v="4"/>
    <x v="1"/>
    <x v="1"/>
    <x v="1"/>
    <x v="1"/>
  </r>
  <r>
    <n v="10401"/>
    <n v="11"/>
    <n v="100"/>
    <n v="1100"/>
    <s v="Low"/>
    <n v="330"/>
    <d v="2005-04-03T00:00:00"/>
    <x v="4"/>
    <x v="1"/>
    <x v="8"/>
    <x v="2"/>
    <s v="Apr-2005"/>
    <x v="4"/>
    <x v="12"/>
    <x v="0"/>
    <x v="0"/>
    <x v="0"/>
  </r>
  <r>
    <n v="10416"/>
    <n v="23"/>
    <n v="91.34"/>
    <n v="2100.8200000000002"/>
    <s v="Medium"/>
    <n v="630.24599999999998"/>
    <d v="2005-05-10T00:00:00"/>
    <x v="0"/>
    <x v="0"/>
    <x v="1"/>
    <x v="2"/>
    <s v="May-2005"/>
    <x v="4"/>
    <x v="70"/>
    <x v="12"/>
    <x v="1"/>
    <x v="0"/>
  </r>
  <r>
    <n v="10105"/>
    <n v="29"/>
    <n v="70.150000000000006"/>
    <n v="2034.3500000000001"/>
    <s v="Medium"/>
    <n v="610.30500000000006"/>
    <d v="2003-02-11T00:00:00"/>
    <x v="0"/>
    <x v="0"/>
    <x v="0"/>
    <x v="0"/>
    <s v="Feb-2003"/>
    <x v="5"/>
    <x v="48"/>
    <x v="13"/>
    <x v="1"/>
    <x v="0"/>
  </r>
  <r>
    <n v="10117"/>
    <n v="38"/>
    <n v="79.680000000000007"/>
    <n v="3027.84"/>
    <s v="Medium"/>
    <n v="908.35199999999998"/>
    <d v="2003-04-16T00:00:00"/>
    <x v="0"/>
    <x v="0"/>
    <x v="8"/>
    <x v="0"/>
    <s v="Apr-2003"/>
    <x v="5"/>
    <x v="26"/>
    <x v="9"/>
    <x v="3"/>
    <x v="1"/>
  </r>
  <r>
    <n v="10128"/>
    <n v="32"/>
    <n v="97"/>
    <n v="3104"/>
    <s v="Medium"/>
    <n v="931.19999999999993"/>
    <d v="2003-06-06T00:00:00"/>
    <x v="0"/>
    <x v="0"/>
    <x v="9"/>
    <x v="0"/>
    <s v="Jun-2003"/>
    <x v="5"/>
    <x v="23"/>
    <x v="7"/>
    <x v="1"/>
    <x v="1"/>
  </r>
  <r>
    <n v="10142"/>
    <n v="43"/>
    <n v="84.01"/>
    <n v="3612.4300000000003"/>
    <s v="Medium"/>
    <n v="1083.729"/>
    <d v="2003-08-08T00:00:00"/>
    <x v="0"/>
    <x v="0"/>
    <x v="3"/>
    <x v="0"/>
    <s v="Aug-2003"/>
    <x v="5"/>
    <x v="39"/>
    <x v="0"/>
    <x v="0"/>
    <x v="1"/>
  </r>
  <r>
    <n v="10153"/>
    <n v="31"/>
    <n v="87.48"/>
    <n v="2711.88"/>
    <s v="Medium"/>
    <n v="813.56399999999996"/>
    <d v="2003-09-28T00:00:00"/>
    <x v="0"/>
    <x v="0"/>
    <x v="10"/>
    <x v="0"/>
    <s v="Sep-2003"/>
    <x v="5"/>
    <x v="23"/>
    <x v="7"/>
    <x v="1"/>
    <x v="0"/>
  </r>
  <r>
    <n v="10166"/>
    <n v="29"/>
    <n v="100"/>
    <n v="2900"/>
    <s v="Medium"/>
    <n v="870"/>
    <d v="2003-10-21T00:00:00"/>
    <x v="0"/>
    <x v="0"/>
    <x v="4"/>
    <x v="0"/>
    <s v="Oct-2003"/>
    <x v="5"/>
    <x v="21"/>
    <x v="0"/>
    <x v="0"/>
    <x v="1"/>
  </r>
  <r>
    <n v="10177"/>
    <n v="31"/>
    <n v="88.34"/>
    <n v="2738.54"/>
    <s v="Medium"/>
    <n v="821.56200000000001"/>
    <d v="2003-11-07T00:00:00"/>
    <x v="0"/>
    <x v="0"/>
    <x v="5"/>
    <x v="0"/>
    <s v="Nov-2003"/>
    <x v="5"/>
    <x v="76"/>
    <x v="7"/>
    <x v="1"/>
    <x v="0"/>
  </r>
  <r>
    <n v="10185"/>
    <n v="30"/>
    <n v="94.4"/>
    <n v="2832"/>
    <s v="Medium"/>
    <n v="849.6"/>
    <d v="2003-11-14T00:00:00"/>
    <x v="0"/>
    <x v="0"/>
    <x v="5"/>
    <x v="0"/>
    <s v="Nov-2003"/>
    <x v="5"/>
    <x v="50"/>
    <x v="0"/>
    <x v="0"/>
    <x v="0"/>
  </r>
  <r>
    <n v="10196"/>
    <n v="50"/>
    <n v="94.4"/>
    <n v="4720"/>
    <s v="Medium"/>
    <n v="1416"/>
    <d v="2003-11-26T00:00:00"/>
    <x v="0"/>
    <x v="0"/>
    <x v="5"/>
    <x v="0"/>
    <s v="Nov-2003"/>
    <x v="5"/>
    <x v="34"/>
    <x v="0"/>
    <x v="0"/>
    <x v="1"/>
  </r>
  <r>
    <n v="10208"/>
    <n v="40"/>
    <n v="80.55"/>
    <n v="3222"/>
    <s v="Medium"/>
    <n v="966.59999999999991"/>
    <d v="2004-01-02T00:00:00"/>
    <x v="0"/>
    <x v="0"/>
    <x v="7"/>
    <x v="1"/>
    <s v="Jan-2004"/>
    <x v="5"/>
    <x v="30"/>
    <x v="1"/>
    <x v="1"/>
    <x v="1"/>
  </r>
  <r>
    <n v="10221"/>
    <n v="23"/>
    <n v="97"/>
    <n v="2231"/>
    <s v="Medium"/>
    <n v="669.3"/>
    <d v="2004-02-18T00:00:00"/>
    <x v="0"/>
    <x v="0"/>
    <x v="0"/>
    <x v="1"/>
    <s v="Feb-2004"/>
    <x v="5"/>
    <x v="56"/>
    <x v="14"/>
    <x v="1"/>
    <x v="0"/>
  </r>
  <r>
    <n v="10232"/>
    <n v="26"/>
    <n v="88.34"/>
    <n v="2296.84"/>
    <s v="Medium"/>
    <n v="689.05200000000002"/>
    <d v="2004-03-20T00:00:00"/>
    <x v="0"/>
    <x v="0"/>
    <x v="11"/>
    <x v="1"/>
    <s v="Mar-2004"/>
    <x v="5"/>
    <x v="59"/>
    <x v="6"/>
    <x v="1"/>
    <x v="0"/>
  </r>
  <r>
    <n v="10248"/>
    <n v="40"/>
    <n v="100"/>
    <n v="4000"/>
    <s v="Medium"/>
    <n v="1200"/>
    <d v="2004-05-07T00:00:00"/>
    <x v="3"/>
    <x v="1"/>
    <x v="1"/>
    <x v="1"/>
    <s v="May-2004"/>
    <x v="5"/>
    <x v="0"/>
    <x v="0"/>
    <x v="0"/>
    <x v="1"/>
  </r>
  <r>
    <n v="10273"/>
    <n v="21"/>
    <n v="100"/>
    <n v="2100"/>
    <s v="Medium"/>
    <n v="630"/>
    <d v="2004-07-21T00:00:00"/>
    <x v="0"/>
    <x v="0"/>
    <x v="2"/>
    <x v="1"/>
    <s v="Jul-2004"/>
    <x v="5"/>
    <x v="56"/>
    <x v="14"/>
    <x v="1"/>
    <x v="0"/>
  </r>
  <r>
    <n v="10282"/>
    <n v="43"/>
    <n v="86.61"/>
    <n v="3724.23"/>
    <s v="Medium"/>
    <n v="1117.269"/>
    <d v="2004-08-20T00:00:00"/>
    <x v="0"/>
    <x v="0"/>
    <x v="3"/>
    <x v="1"/>
    <s v="Aug-2004"/>
    <x v="5"/>
    <x v="39"/>
    <x v="0"/>
    <x v="0"/>
    <x v="1"/>
  </r>
  <r>
    <n v="10293"/>
    <n v="29"/>
    <n v="71.89"/>
    <n v="2084.81"/>
    <s v="Medium"/>
    <n v="625.44299999999998"/>
    <d v="2004-09-09T00:00:00"/>
    <x v="0"/>
    <x v="0"/>
    <x v="10"/>
    <x v="1"/>
    <s v="Sep-2004"/>
    <x v="5"/>
    <x v="36"/>
    <x v="12"/>
    <x v="1"/>
    <x v="0"/>
  </r>
  <r>
    <n v="10306"/>
    <n v="38"/>
    <n v="91.81"/>
    <n v="3488.78"/>
    <s v="Medium"/>
    <n v="1046.634"/>
    <d v="2004-10-14T00:00:00"/>
    <x v="0"/>
    <x v="0"/>
    <x v="4"/>
    <x v="1"/>
    <s v="Oct-2004"/>
    <x v="5"/>
    <x v="77"/>
    <x v="6"/>
    <x v="1"/>
    <x v="1"/>
  </r>
  <r>
    <n v="10314"/>
    <n v="23"/>
    <n v="76.22"/>
    <n v="1753.06"/>
    <s v="Low"/>
    <n v="525.91800000000001"/>
    <d v="2004-10-22T00:00:00"/>
    <x v="0"/>
    <x v="0"/>
    <x v="4"/>
    <x v="1"/>
    <s v="Oct-2004"/>
    <x v="5"/>
    <x v="78"/>
    <x v="13"/>
    <x v="1"/>
    <x v="0"/>
  </r>
  <r>
    <n v="10327"/>
    <n v="20"/>
    <n v="100"/>
    <n v="2000"/>
    <s v="Medium"/>
    <n v="600"/>
    <d v="2004-11-10T00:00:00"/>
    <x v="5"/>
    <x v="1"/>
    <x v="5"/>
    <x v="1"/>
    <s v="Nov-2004"/>
    <x v="5"/>
    <x v="48"/>
    <x v="13"/>
    <x v="1"/>
    <x v="1"/>
  </r>
  <r>
    <n v="10337"/>
    <n v="36"/>
    <n v="70.3"/>
    <n v="2530.7999999999997"/>
    <s v="Medium"/>
    <n v="759.2399999999999"/>
    <d v="2004-11-21T00:00:00"/>
    <x v="0"/>
    <x v="0"/>
    <x v="5"/>
    <x v="1"/>
    <s v="Nov-2004"/>
    <x v="5"/>
    <x v="27"/>
    <x v="0"/>
    <x v="0"/>
    <x v="0"/>
  </r>
  <r>
    <n v="10350"/>
    <n v="28"/>
    <n v="100"/>
    <n v="2800"/>
    <s v="Medium"/>
    <n v="840"/>
    <d v="2004-12-02T00:00:00"/>
    <x v="0"/>
    <x v="0"/>
    <x v="6"/>
    <x v="1"/>
    <s v="Dec-2004"/>
    <x v="5"/>
    <x v="23"/>
    <x v="7"/>
    <x v="1"/>
    <x v="0"/>
  </r>
  <r>
    <n v="10372"/>
    <n v="44"/>
    <n v="100"/>
    <n v="4400"/>
    <s v="Medium"/>
    <n v="1320"/>
    <d v="2005-01-26T00:00:00"/>
    <x v="0"/>
    <x v="0"/>
    <x v="7"/>
    <x v="2"/>
    <s v="Jan-2005"/>
    <x v="5"/>
    <x v="35"/>
    <x v="11"/>
    <x v="3"/>
    <x v="1"/>
  </r>
  <r>
    <n v="10384"/>
    <n v="49"/>
    <n v="100"/>
    <n v="4900"/>
    <s v="Medium"/>
    <n v="1470"/>
    <d v="2005-02-23T00:00:00"/>
    <x v="0"/>
    <x v="0"/>
    <x v="0"/>
    <x v="2"/>
    <s v="Feb-2005"/>
    <x v="5"/>
    <x v="4"/>
    <x v="0"/>
    <x v="0"/>
    <x v="1"/>
  </r>
  <r>
    <n v="10397"/>
    <n v="32"/>
    <n v="80.55"/>
    <n v="2577.6"/>
    <s v="Medium"/>
    <n v="773.28"/>
    <d v="2005-03-28T00:00:00"/>
    <x v="0"/>
    <x v="0"/>
    <x v="11"/>
    <x v="2"/>
    <s v="Mar-2005"/>
    <x v="5"/>
    <x v="51"/>
    <x v="1"/>
    <x v="1"/>
    <x v="0"/>
  </r>
  <r>
    <n v="10414"/>
    <n v="34"/>
    <n v="100"/>
    <n v="3400"/>
    <s v="Medium"/>
    <n v="1020"/>
    <d v="2005-05-06T00:00:00"/>
    <x v="4"/>
    <x v="1"/>
    <x v="1"/>
    <x v="2"/>
    <s v="May-2005"/>
    <x v="5"/>
    <x v="58"/>
    <x v="0"/>
    <x v="0"/>
    <x v="1"/>
  </r>
  <r>
    <n v="10106"/>
    <n v="30"/>
    <n v="100"/>
    <n v="3000"/>
    <s v="Medium"/>
    <n v="900"/>
    <d v="2003-02-17T00:00:00"/>
    <x v="0"/>
    <x v="0"/>
    <x v="0"/>
    <x v="0"/>
    <s v="Feb-2003"/>
    <x v="5"/>
    <x v="86"/>
    <x v="12"/>
    <x v="1"/>
    <x v="1"/>
  </r>
  <r>
    <n v="10119"/>
    <n v="29"/>
    <n v="94.14"/>
    <n v="2730.06"/>
    <s v="Medium"/>
    <n v="819.01799999999992"/>
    <d v="2003-04-28T00:00:00"/>
    <x v="0"/>
    <x v="0"/>
    <x v="8"/>
    <x v="0"/>
    <s v="Apr-2003"/>
    <x v="5"/>
    <x v="19"/>
    <x v="5"/>
    <x v="1"/>
    <x v="0"/>
  </r>
  <r>
    <n v="10131"/>
    <n v="22"/>
    <n v="85.99"/>
    <n v="1891.78"/>
    <s v="Low"/>
    <n v="567.53399999999999"/>
    <d v="2003-06-16T00:00:00"/>
    <x v="0"/>
    <x v="0"/>
    <x v="9"/>
    <x v="0"/>
    <s v="Jun-2003"/>
    <x v="5"/>
    <x v="88"/>
    <x v="0"/>
    <x v="0"/>
    <x v="0"/>
  </r>
  <r>
    <n v="10143"/>
    <n v="26"/>
    <n v="100"/>
    <n v="2600"/>
    <s v="Medium"/>
    <n v="780"/>
    <d v="2003-08-10T00:00:00"/>
    <x v="0"/>
    <x v="0"/>
    <x v="3"/>
    <x v="0"/>
    <s v="Aug-2003"/>
    <x v="5"/>
    <x v="50"/>
    <x v="0"/>
    <x v="0"/>
    <x v="0"/>
  </r>
  <r>
    <n v="10155"/>
    <n v="32"/>
    <n v="91.43"/>
    <n v="2925.76"/>
    <s v="Medium"/>
    <n v="877.72800000000007"/>
    <d v="2003-10-06T00:00:00"/>
    <x v="0"/>
    <x v="0"/>
    <x v="4"/>
    <x v="0"/>
    <s v="Oct-2003"/>
    <x v="5"/>
    <x v="16"/>
    <x v="4"/>
    <x v="1"/>
    <x v="0"/>
  </r>
  <r>
    <n v="10167"/>
    <n v="29"/>
    <n v="100"/>
    <n v="2900"/>
    <s v="Medium"/>
    <n v="870"/>
    <d v="2003-10-23T00:00:00"/>
    <x v="3"/>
    <x v="1"/>
    <x v="4"/>
    <x v="0"/>
    <s v="Oct-2003"/>
    <x v="5"/>
    <x v="37"/>
    <x v="8"/>
    <x v="1"/>
    <x v="0"/>
  </r>
  <r>
    <n v="10178"/>
    <n v="34"/>
    <n v="96.86"/>
    <n v="3293.24"/>
    <s v="Medium"/>
    <n v="987.97199999999987"/>
    <d v="2003-11-08T00:00:00"/>
    <x v="0"/>
    <x v="0"/>
    <x v="5"/>
    <x v="0"/>
    <s v="Nov-2003"/>
    <x v="5"/>
    <x v="51"/>
    <x v="1"/>
    <x v="1"/>
    <x v="1"/>
  </r>
  <r>
    <n v="10186"/>
    <n v="24"/>
    <n v="99.57"/>
    <n v="2389.6799999999998"/>
    <s v="Medium"/>
    <n v="716.90399999999988"/>
    <d v="2003-11-14T00:00:00"/>
    <x v="0"/>
    <x v="0"/>
    <x v="5"/>
    <x v="0"/>
    <s v="Nov-2003"/>
    <x v="5"/>
    <x v="52"/>
    <x v="6"/>
    <x v="1"/>
    <x v="0"/>
  </r>
  <r>
    <n v="10197"/>
    <n v="24"/>
    <n v="90.52"/>
    <n v="2172.48"/>
    <s v="Medium"/>
    <n v="651.74400000000003"/>
    <d v="2003-11-26T00:00:00"/>
    <x v="0"/>
    <x v="0"/>
    <x v="5"/>
    <x v="0"/>
    <s v="Nov-2003"/>
    <x v="5"/>
    <x v="53"/>
    <x v="7"/>
    <x v="1"/>
    <x v="0"/>
  </r>
  <r>
    <n v="10209"/>
    <n v="33"/>
    <n v="88.71"/>
    <n v="2927.43"/>
    <s v="Medium"/>
    <n v="878.22899999999993"/>
    <d v="2004-01-09T00:00:00"/>
    <x v="0"/>
    <x v="0"/>
    <x v="7"/>
    <x v="1"/>
    <s v="Jan-2004"/>
    <x v="5"/>
    <x v="54"/>
    <x v="0"/>
    <x v="0"/>
    <x v="0"/>
  </r>
  <r>
    <n v="10222"/>
    <n v="26"/>
    <n v="100"/>
    <n v="2600"/>
    <s v="Medium"/>
    <n v="780"/>
    <d v="2004-02-19T00:00:00"/>
    <x v="0"/>
    <x v="0"/>
    <x v="0"/>
    <x v="1"/>
    <s v="Feb-2004"/>
    <x v="5"/>
    <x v="55"/>
    <x v="0"/>
    <x v="0"/>
    <x v="0"/>
  </r>
  <r>
    <n v="10249"/>
    <n v="40"/>
    <n v="95.95"/>
    <n v="3838"/>
    <s v="Medium"/>
    <n v="1151.3999999999999"/>
    <d v="2004-05-08T00:00:00"/>
    <x v="0"/>
    <x v="0"/>
    <x v="1"/>
    <x v="1"/>
    <s v="May-2004"/>
    <x v="5"/>
    <x v="33"/>
    <x v="0"/>
    <x v="0"/>
    <x v="1"/>
  </r>
  <r>
    <n v="10262"/>
    <n v="44"/>
    <n v="94.14"/>
    <n v="4142.16"/>
    <s v="Medium"/>
    <n v="1242.6479999999999"/>
    <d v="2004-06-24T00:00:00"/>
    <x v="3"/>
    <x v="1"/>
    <x v="9"/>
    <x v="1"/>
    <s v="Jun-2004"/>
    <x v="5"/>
    <x v="23"/>
    <x v="7"/>
    <x v="1"/>
    <x v="1"/>
  </r>
  <r>
    <n v="10274"/>
    <n v="24"/>
    <n v="90.52"/>
    <n v="2172.48"/>
    <s v="Medium"/>
    <n v="651.74400000000003"/>
    <d v="2004-07-21T00:00:00"/>
    <x v="0"/>
    <x v="0"/>
    <x v="2"/>
    <x v="1"/>
    <s v="Jul-2004"/>
    <x v="5"/>
    <x v="41"/>
    <x v="0"/>
    <x v="0"/>
    <x v="0"/>
  </r>
  <r>
    <n v="10283"/>
    <n v="20"/>
    <n v="94.14"/>
    <n v="1882.8"/>
    <s v="Low"/>
    <n v="564.83999999999992"/>
    <d v="2004-08-20T00:00:00"/>
    <x v="0"/>
    <x v="0"/>
    <x v="3"/>
    <x v="1"/>
    <s v="Aug-2004"/>
    <x v="5"/>
    <x v="57"/>
    <x v="10"/>
    <x v="0"/>
    <x v="0"/>
  </r>
  <r>
    <n v="10296"/>
    <n v="34"/>
    <n v="100"/>
    <n v="3400"/>
    <s v="Medium"/>
    <n v="1020"/>
    <d v="2004-09-15T00:00:00"/>
    <x v="0"/>
    <x v="0"/>
    <x v="10"/>
    <x v="1"/>
    <s v="Sep-2004"/>
    <x v="5"/>
    <x v="89"/>
    <x v="16"/>
    <x v="1"/>
    <x v="1"/>
  </r>
  <r>
    <n v="10307"/>
    <n v="34"/>
    <n v="97.76"/>
    <n v="3323.84"/>
    <s v="Medium"/>
    <n v="997.15200000000004"/>
    <d v="2004-10-14T00:00:00"/>
    <x v="0"/>
    <x v="0"/>
    <x v="4"/>
    <x v="1"/>
    <s v="Oct-2004"/>
    <x v="5"/>
    <x v="29"/>
    <x v="0"/>
    <x v="0"/>
    <x v="1"/>
  </r>
  <r>
    <n v="10316"/>
    <n v="45"/>
    <n v="93.24"/>
    <n v="4195.8"/>
    <s v="Medium"/>
    <n v="1258.74"/>
    <d v="2004-11-01T00:00:00"/>
    <x v="0"/>
    <x v="0"/>
    <x v="5"/>
    <x v="1"/>
    <s v="Nov-2004"/>
    <x v="5"/>
    <x v="59"/>
    <x v="6"/>
    <x v="1"/>
    <x v="1"/>
  </r>
  <r>
    <n v="10328"/>
    <n v="41"/>
    <n v="100"/>
    <n v="4100"/>
    <s v="Medium"/>
    <n v="1230"/>
    <d v="2004-11-12T00:00:00"/>
    <x v="0"/>
    <x v="0"/>
    <x v="5"/>
    <x v="1"/>
    <s v="Nov-2004"/>
    <x v="5"/>
    <x v="86"/>
    <x v="12"/>
    <x v="1"/>
    <x v="1"/>
  </r>
  <r>
    <n v="10339"/>
    <n v="55"/>
    <n v="71.25"/>
    <n v="3918.75"/>
    <s v="Medium"/>
    <n v="1175.625"/>
    <d v="2004-11-23T00:00:00"/>
    <x v="0"/>
    <x v="0"/>
    <x v="5"/>
    <x v="1"/>
    <s v="Nov-2004"/>
    <x v="5"/>
    <x v="35"/>
    <x v="11"/>
    <x v="3"/>
    <x v="1"/>
  </r>
  <r>
    <n v="10352"/>
    <n v="23"/>
    <n v="100"/>
    <n v="2300"/>
    <s v="Medium"/>
    <n v="690"/>
    <d v="2004-12-03T00:00:00"/>
    <x v="0"/>
    <x v="0"/>
    <x v="6"/>
    <x v="1"/>
    <s v="Dec-2004"/>
    <x v="5"/>
    <x v="91"/>
    <x v="0"/>
    <x v="0"/>
    <x v="0"/>
  </r>
  <r>
    <n v="10361"/>
    <n v="24"/>
    <n v="45.39"/>
    <n v="1089.3600000000001"/>
    <s v="Low"/>
    <n v="326.80800000000005"/>
    <d v="2004-12-17T00:00:00"/>
    <x v="0"/>
    <x v="0"/>
    <x v="6"/>
    <x v="1"/>
    <s v="Dec-2004"/>
    <x v="5"/>
    <x v="20"/>
    <x v="3"/>
    <x v="2"/>
    <x v="0"/>
  </r>
  <r>
    <n v="10373"/>
    <n v="32"/>
    <n v="84.41"/>
    <n v="2701.12"/>
    <s v="Medium"/>
    <n v="810.3359999999999"/>
    <d v="2005-01-31T00:00:00"/>
    <x v="0"/>
    <x v="0"/>
    <x v="7"/>
    <x v="2"/>
    <s v="Jan-2005"/>
    <x v="5"/>
    <x v="60"/>
    <x v="4"/>
    <x v="1"/>
    <x v="0"/>
  </r>
  <r>
    <n v="10386"/>
    <n v="29"/>
    <n v="85.76"/>
    <n v="2487.04"/>
    <s v="Medium"/>
    <n v="746.11199999999997"/>
    <d v="2005-03-01T00:00:00"/>
    <x v="5"/>
    <x v="1"/>
    <x v="11"/>
    <x v="2"/>
    <s v="Mar-2005"/>
    <x v="5"/>
    <x v="23"/>
    <x v="7"/>
    <x v="1"/>
    <x v="0"/>
  </r>
  <r>
    <n v="10398"/>
    <n v="36"/>
    <n v="100"/>
    <n v="3600"/>
    <s v="Medium"/>
    <n v="1080"/>
    <d v="2005-03-30T00:00:00"/>
    <x v="0"/>
    <x v="0"/>
    <x v="11"/>
    <x v="2"/>
    <s v="Mar-2005"/>
    <x v="5"/>
    <x v="1"/>
    <x v="1"/>
    <x v="1"/>
    <x v="1"/>
  </r>
  <r>
    <n v="10400"/>
    <n v="46"/>
    <n v="87.8"/>
    <n v="4038.7999999999997"/>
    <s v="Medium"/>
    <n v="1211.6399999999999"/>
    <d v="2005-04-01T00:00:00"/>
    <x v="0"/>
    <x v="0"/>
    <x v="8"/>
    <x v="2"/>
    <s v="Apr-2005"/>
    <x v="5"/>
    <x v="61"/>
    <x v="0"/>
    <x v="0"/>
    <x v="1"/>
  </r>
  <r>
    <n v="10415"/>
    <n v="32"/>
    <n v="95.95"/>
    <n v="3070.4"/>
    <s v="Medium"/>
    <n v="921.12"/>
    <d v="2005-05-09T00:00:00"/>
    <x v="1"/>
    <x v="1"/>
    <x v="1"/>
    <x v="2"/>
    <s v="May-2005"/>
    <x v="5"/>
    <x v="87"/>
    <x v="3"/>
    <x v="2"/>
    <x v="1"/>
  </r>
  <r>
    <n v="10106"/>
    <n v="34"/>
    <n v="100"/>
    <n v="3400"/>
    <s v="Medium"/>
    <n v="1020"/>
    <d v="2003-02-17T00:00:00"/>
    <x v="0"/>
    <x v="0"/>
    <x v="0"/>
    <x v="0"/>
    <s v="Feb-2003"/>
    <x v="4"/>
    <x v="86"/>
    <x v="12"/>
    <x v="1"/>
    <x v="1"/>
  </r>
  <r>
    <n v="10120"/>
    <n v="24"/>
    <n v="100"/>
    <n v="2400"/>
    <s v="Medium"/>
    <n v="720"/>
    <d v="2003-04-29T00:00:00"/>
    <x v="0"/>
    <x v="0"/>
    <x v="8"/>
    <x v="0"/>
    <s v="Apr-2003"/>
    <x v="4"/>
    <x v="10"/>
    <x v="3"/>
    <x v="2"/>
    <x v="0"/>
  </r>
  <r>
    <n v="10131"/>
    <n v="40"/>
    <n v="100"/>
    <n v="4000"/>
    <s v="Medium"/>
    <n v="1200"/>
    <d v="2003-06-16T00:00:00"/>
    <x v="0"/>
    <x v="0"/>
    <x v="9"/>
    <x v="0"/>
    <s v="Jun-2003"/>
    <x v="4"/>
    <x v="88"/>
    <x v="0"/>
    <x v="0"/>
    <x v="1"/>
  </r>
  <r>
    <n v="10143"/>
    <n v="26"/>
    <n v="82.77"/>
    <n v="2152.02"/>
    <s v="Medium"/>
    <n v="645.60599999999999"/>
    <d v="2003-08-10T00:00:00"/>
    <x v="0"/>
    <x v="0"/>
    <x v="3"/>
    <x v="0"/>
    <s v="Aug-2003"/>
    <x v="4"/>
    <x v="50"/>
    <x v="0"/>
    <x v="0"/>
    <x v="0"/>
  </r>
  <r>
    <n v="10155"/>
    <n v="20"/>
    <n v="100"/>
    <n v="2000"/>
    <s v="Medium"/>
    <n v="600"/>
    <d v="2003-10-06T00:00:00"/>
    <x v="0"/>
    <x v="0"/>
    <x v="4"/>
    <x v="0"/>
    <s v="Oct-2003"/>
    <x v="4"/>
    <x v="16"/>
    <x v="4"/>
    <x v="1"/>
    <x v="0"/>
  </r>
  <r>
    <n v="10168"/>
    <n v="31"/>
    <n v="100"/>
    <n v="3100"/>
    <s v="Medium"/>
    <n v="930"/>
    <d v="2003-10-28T00:00:00"/>
    <x v="0"/>
    <x v="0"/>
    <x v="4"/>
    <x v="0"/>
    <s v="Oct-2003"/>
    <x v="4"/>
    <x v="5"/>
    <x v="0"/>
    <x v="0"/>
    <x v="1"/>
  </r>
  <r>
    <n v="10178"/>
    <n v="22"/>
    <n v="87.75"/>
    <n v="1930.5"/>
    <s v="Low"/>
    <n v="579.15"/>
    <d v="2003-11-08T00:00:00"/>
    <x v="0"/>
    <x v="0"/>
    <x v="5"/>
    <x v="0"/>
    <s v="Nov-2003"/>
    <x v="4"/>
    <x v="51"/>
    <x v="1"/>
    <x v="1"/>
    <x v="0"/>
  </r>
  <r>
    <n v="10198"/>
    <n v="42"/>
    <n v="100"/>
    <n v="4200"/>
    <s v="Medium"/>
    <n v="1260"/>
    <d v="2003-11-27T00:00:00"/>
    <x v="0"/>
    <x v="0"/>
    <x v="5"/>
    <x v="0"/>
    <s v="Nov-2003"/>
    <x v="4"/>
    <x v="66"/>
    <x v="15"/>
    <x v="3"/>
    <x v="1"/>
  </r>
  <r>
    <n v="10210"/>
    <n v="26"/>
    <n v="99.72"/>
    <n v="2592.7199999999998"/>
    <s v="Medium"/>
    <n v="777.81599999999992"/>
    <d v="2004-01-12T00:00:00"/>
    <x v="0"/>
    <x v="0"/>
    <x v="7"/>
    <x v="1"/>
    <s v="Jan-2004"/>
    <x v="4"/>
    <x v="44"/>
    <x v="11"/>
    <x v="3"/>
    <x v="0"/>
  </r>
  <r>
    <n v="10222"/>
    <n v="37"/>
    <n v="87.75"/>
    <n v="3246.75"/>
    <s v="Medium"/>
    <n v="974.02499999999998"/>
    <d v="2004-02-19T00:00:00"/>
    <x v="0"/>
    <x v="0"/>
    <x v="0"/>
    <x v="1"/>
    <s v="Feb-2004"/>
    <x v="4"/>
    <x v="55"/>
    <x v="0"/>
    <x v="0"/>
    <x v="1"/>
  </r>
  <r>
    <n v="10235"/>
    <n v="38"/>
    <n v="88.75"/>
    <n v="3372.5"/>
    <s v="Medium"/>
    <n v="1011.75"/>
    <d v="2004-04-02T00:00:00"/>
    <x v="0"/>
    <x v="0"/>
    <x v="8"/>
    <x v="1"/>
    <s v="Apr-2004"/>
    <x v="4"/>
    <x v="57"/>
    <x v="10"/>
    <x v="0"/>
    <x v="1"/>
  </r>
  <r>
    <n v="10250"/>
    <n v="35"/>
    <n v="100"/>
    <n v="3500"/>
    <s v="Medium"/>
    <n v="1050"/>
    <d v="2004-05-11T00:00:00"/>
    <x v="0"/>
    <x v="0"/>
    <x v="1"/>
    <x v="1"/>
    <s v="May-2004"/>
    <x v="4"/>
    <x v="61"/>
    <x v="0"/>
    <x v="0"/>
    <x v="1"/>
  </r>
  <r>
    <n v="10262"/>
    <n v="33"/>
    <n v="90.75"/>
    <n v="2994.75"/>
    <s v="Medium"/>
    <n v="898.42499999999995"/>
    <d v="2004-06-24T00:00:00"/>
    <x v="3"/>
    <x v="1"/>
    <x v="9"/>
    <x v="1"/>
    <s v="Jun-2004"/>
    <x v="4"/>
    <x v="23"/>
    <x v="7"/>
    <x v="1"/>
    <x v="0"/>
  </r>
  <r>
    <n v="10275"/>
    <n v="39"/>
    <n v="100"/>
    <n v="3900"/>
    <s v="Medium"/>
    <n v="1170"/>
    <d v="2004-07-23T00:00:00"/>
    <x v="0"/>
    <x v="0"/>
    <x v="2"/>
    <x v="1"/>
    <s v="Jul-2004"/>
    <x v="4"/>
    <x v="14"/>
    <x v="1"/>
    <x v="1"/>
    <x v="1"/>
  </r>
  <r>
    <n v="10284"/>
    <n v="45"/>
    <n v="100"/>
    <n v="4500"/>
    <s v="Medium"/>
    <n v="1350"/>
    <d v="2004-08-21T00:00:00"/>
    <x v="0"/>
    <x v="0"/>
    <x v="3"/>
    <x v="1"/>
    <s v="Aug-2004"/>
    <x v="4"/>
    <x v="85"/>
    <x v="2"/>
    <x v="1"/>
    <x v="1"/>
  </r>
  <r>
    <n v="10296"/>
    <n v="24"/>
    <n v="100"/>
    <n v="2400"/>
    <s v="Medium"/>
    <n v="720"/>
    <d v="2004-09-15T00:00:00"/>
    <x v="0"/>
    <x v="0"/>
    <x v="10"/>
    <x v="1"/>
    <s v="Sep-2004"/>
    <x v="4"/>
    <x v="89"/>
    <x v="16"/>
    <x v="1"/>
    <x v="0"/>
  </r>
  <r>
    <n v="10308"/>
    <n v="35"/>
    <n v="88.75"/>
    <n v="3106.25"/>
    <s v="Medium"/>
    <n v="931.875"/>
    <d v="2004-10-15T00:00:00"/>
    <x v="0"/>
    <x v="0"/>
    <x v="4"/>
    <x v="1"/>
    <s v="Oct-2004"/>
    <x v="4"/>
    <x v="47"/>
    <x v="0"/>
    <x v="0"/>
    <x v="1"/>
  </r>
  <r>
    <n v="10316"/>
    <n v="23"/>
    <n v="100"/>
    <n v="2300"/>
    <s v="Medium"/>
    <n v="690"/>
    <d v="2004-11-01T00:00:00"/>
    <x v="0"/>
    <x v="0"/>
    <x v="5"/>
    <x v="1"/>
    <s v="Nov-2004"/>
    <x v="4"/>
    <x v="59"/>
    <x v="6"/>
    <x v="1"/>
    <x v="0"/>
  </r>
  <r>
    <n v="10328"/>
    <n v="37"/>
    <n v="100"/>
    <n v="3700"/>
    <s v="Medium"/>
    <n v="1110"/>
    <d v="2004-11-12T00:00:00"/>
    <x v="0"/>
    <x v="0"/>
    <x v="5"/>
    <x v="1"/>
    <s v="Nov-2004"/>
    <x v="4"/>
    <x v="86"/>
    <x v="12"/>
    <x v="1"/>
    <x v="1"/>
  </r>
  <r>
    <n v="10340"/>
    <n v="55"/>
    <n v="87.75"/>
    <n v="4826.25"/>
    <s v="Medium"/>
    <n v="1447.875"/>
    <d v="2004-11-24T00:00:00"/>
    <x v="0"/>
    <x v="0"/>
    <x v="5"/>
    <x v="1"/>
    <s v="Nov-2004"/>
    <x v="4"/>
    <x v="53"/>
    <x v="7"/>
    <x v="1"/>
    <x v="1"/>
  </r>
  <r>
    <n v="10352"/>
    <n v="49"/>
    <n v="100"/>
    <n v="4900"/>
    <s v="Medium"/>
    <n v="1470"/>
    <d v="2004-12-03T00:00:00"/>
    <x v="0"/>
    <x v="0"/>
    <x v="6"/>
    <x v="1"/>
    <s v="Dec-2004"/>
    <x v="4"/>
    <x v="91"/>
    <x v="0"/>
    <x v="0"/>
    <x v="1"/>
  </r>
  <r>
    <n v="10361"/>
    <n v="26"/>
    <n v="100"/>
    <n v="2600"/>
    <s v="Medium"/>
    <n v="780"/>
    <d v="2004-12-17T00:00:00"/>
    <x v="0"/>
    <x v="0"/>
    <x v="6"/>
    <x v="1"/>
    <s v="Dec-2004"/>
    <x v="4"/>
    <x v="20"/>
    <x v="3"/>
    <x v="2"/>
    <x v="0"/>
  </r>
  <r>
    <n v="10375"/>
    <n v="33"/>
    <n v="100"/>
    <n v="3300"/>
    <s v="Medium"/>
    <n v="990"/>
    <d v="2005-02-03T00:00:00"/>
    <x v="0"/>
    <x v="0"/>
    <x v="0"/>
    <x v="2"/>
    <s v="Feb-2005"/>
    <x v="4"/>
    <x v="14"/>
    <x v="1"/>
    <x v="1"/>
    <x v="1"/>
  </r>
  <r>
    <n v="10386"/>
    <n v="37"/>
    <n v="83.84"/>
    <n v="3102.08"/>
    <s v="Medium"/>
    <n v="930.62399999999991"/>
    <d v="2005-03-01T00:00:00"/>
    <x v="5"/>
    <x v="1"/>
    <x v="11"/>
    <x v="2"/>
    <s v="Mar-2005"/>
    <x v="4"/>
    <x v="23"/>
    <x v="7"/>
    <x v="1"/>
    <x v="1"/>
  </r>
  <r>
    <n v="10398"/>
    <n v="22"/>
    <n v="86.76"/>
    <n v="1908.72"/>
    <s v="Low"/>
    <n v="572.61599999999999"/>
    <d v="2005-03-30T00:00:00"/>
    <x v="0"/>
    <x v="0"/>
    <x v="11"/>
    <x v="2"/>
    <s v="Mar-2005"/>
    <x v="4"/>
    <x v="1"/>
    <x v="1"/>
    <x v="1"/>
    <x v="0"/>
  </r>
  <r>
    <n v="10401"/>
    <n v="85"/>
    <n v="88.75"/>
    <n v="7543.75"/>
    <s v="High"/>
    <n v="2263.125"/>
    <d v="2005-04-03T00:00:00"/>
    <x v="4"/>
    <x v="1"/>
    <x v="8"/>
    <x v="2"/>
    <s v="Apr-2005"/>
    <x v="4"/>
    <x v="12"/>
    <x v="0"/>
    <x v="0"/>
    <x v="2"/>
  </r>
  <r>
    <n v="10416"/>
    <n v="22"/>
    <n v="100"/>
    <n v="2200"/>
    <s v="Medium"/>
    <n v="660"/>
    <d v="2005-05-10T00:00:00"/>
    <x v="0"/>
    <x v="0"/>
    <x v="1"/>
    <x v="2"/>
    <s v="May-2005"/>
    <x v="4"/>
    <x v="70"/>
    <x v="12"/>
    <x v="1"/>
    <x v="0"/>
  </r>
  <r>
    <n v="10105"/>
    <n v="31"/>
    <n v="65.77"/>
    <n v="2038.87"/>
    <s v="Medium"/>
    <n v="611.66099999999994"/>
    <d v="2003-02-11T00:00:00"/>
    <x v="0"/>
    <x v="0"/>
    <x v="0"/>
    <x v="0"/>
    <s v="Feb-2003"/>
    <x v="5"/>
    <x v="48"/>
    <x v="13"/>
    <x v="1"/>
    <x v="0"/>
  </r>
  <r>
    <n v="10119"/>
    <n v="38"/>
    <n v="65.77"/>
    <n v="2499.2599999999998"/>
    <s v="Medium"/>
    <n v="749.77799999999991"/>
    <d v="2003-04-28T00:00:00"/>
    <x v="0"/>
    <x v="0"/>
    <x v="8"/>
    <x v="0"/>
    <s v="Apr-2003"/>
    <x v="5"/>
    <x v="19"/>
    <x v="5"/>
    <x v="1"/>
    <x v="0"/>
  </r>
  <r>
    <n v="10129"/>
    <n v="45"/>
    <n v="85.29"/>
    <n v="3838.05"/>
    <s v="Medium"/>
    <n v="1151.415"/>
    <d v="2003-06-12T00:00:00"/>
    <x v="0"/>
    <x v="0"/>
    <x v="9"/>
    <x v="0"/>
    <s v="Jun-2003"/>
    <x v="5"/>
    <x v="49"/>
    <x v="6"/>
    <x v="1"/>
    <x v="1"/>
  </r>
  <r>
    <n v="10143"/>
    <n v="31"/>
    <n v="85.29"/>
    <n v="2643.9900000000002"/>
    <s v="Medium"/>
    <n v="793.197"/>
    <d v="2003-08-10T00:00:00"/>
    <x v="0"/>
    <x v="0"/>
    <x v="3"/>
    <x v="0"/>
    <s v="Aug-2003"/>
    <x v="5"/>
    <x v="50"/>
    <x v="0"/>
    <x v="0"/>
    <x v="0"/>
  </r>
  <r>
    <n v="10154"/>
    <n v="36"/>
    <n v="64.33"/>
    <n v="2315.88"/>
    <s v="Medium"/>
    <n v="694.76400000000001"/>
    <d v="2003-10-02T00:00:00"/>
    <x v="0"/>
    <x v="0"/>
    <x v="4"/>
    <x v="0"/>
    <s v="Oct-2003"/>
    <x v="5"/>
    <x v="80"/>
    <x v="0"/>
    <x v="0"/>
    <x v="0"/>
  </r>
  <r>
    <n v="10167"/>
    <n v="46"/>
    <n v="70.11"/>
    <n v="3225.06"/>
    <s v="Medium"/>
    <n v="967.51799999999992"/>
    <d v="2003-10-23T00:00:00"/>
    <x v="3"/>
    <x v="1"/>
    <x v="4"/>
    <x v="0"/>
    <s v="Oct-2003"/>
    <x v="5"/>
    <x v="37"/>
    <x v="8"/>
    <x v="1"/>
    <x v="1"/>
  </r>
  <r>
    <n v="10177"/>
    <n v="32"/>
    <n v="76.62"/>
    <n v="2451.84"/>
    <s v="Medium"/>
    <n v="735.55200000000002"/>
    <d v="2003-11-07T00:00:00"/>
    <x v="0"/>
    <x v="0"/>
    <x v="5"/>
    <x v="0"/>
    <s v="Nov-2003"/>
    <x v="5"/>
    <x v="76"/>
    <x v="7"/>
    <x v="1"/>
    <x v="0"/>
  </r>
  <r>
    <n v="10185"/>
    <n v="39"/>
    <n v="57.82"/>
    <n v="2254.98"/>
    <s v="Medium"/>
    <n v="676.49400000000003"/>
    <d v="2003-11-14T00:00:00"/>
    <x v="0"/>
    <x v="0"/>
    <x v="5"/>
    <x v="0"/>
    <s v="Nov-2003"/>
    <x v="5"/>
    <x v="50"/>
    <x v="0"/>
    <x v="0"/>
    <x v="0"/>
  </r>
  <r>
    <n v="10197"/>
    <n v="50"/>
    <n v="78.790000000000006"/>
    <n v="3939.5000000000005"/>
    <s v="Medium"/>
    <n v="1181.8500000000001"/>
    <d v="2003-11-26T00:00:00"/>
    <x v="0"/>
    <x v="0"/>
    <x v="5"/>
    <x v="0"/>
    <s v="Nov-2003"/>
    <x v="5"/>
    <x v="53"/>
    <x v="7"/>
    <x v="1"/>
    <x v="1"/>
  </r>
  <r>
    <n v="10208"/>
    <n v="46"/>
    <n v="74.45"/>
    <n v="3424.7000000000003"/>
    <s v="Medium"/>
    <n v="1027.4100000000001"/>
    <d v="2004-01-02T00:00:00"/>
    <x v="0"/>
    <x v="0"/>
    <x v="7"/>
    <x v="1"/>
    <s v="Jan-2004"/>
    <x v="5"/>
    <x v="30"/>
    <x v="1"/>
    <x v="1"/>
    <x v="1"/>
  </r>
  <r>
    <n v="10222"/>
    <n v="36"/>
    <n v="80.95"/>
    <n v="2914.2000000000003"/>
    <s v="Medium"/>
    <n v="874.2600000000001"/>
    <d v="2004-02-19T00:00:00"/>
    <x v="0"/>
    <x v="0"/>
    <x v="0"/>
    <x v="1"/>
    <s v="Feb-2004"/>
    <x v="5"/>
    <x v="55"/>
    <x v="0"/>
    <x v="0"/>
    <x v="0"/>
  </r>
  <r>
    <n v="10233"/>
    <n v="29"/>
    <n v="82.4"/>
    <n v="2389.6000000000004"/>
    <s v="Medium"/>
    <n v="716.88000000000011"/>
    <d v="2004-03-29T00:00:00"/>
    <x v="0"/>
    <x v="0"/>
    <x v="11"/>
    <x v="1"/>
    <s v="Mar-2004"/>
    <x v="5"/>
    <x v="12"/>
    <x v="0"/>
    <x v="0"/>
    <x v="0"/>
  </r>
  <r>
    <n v="10248"/>
    <n v="32"/>
    <n v="75.89"/>
    <n v="2428.48"/>
    <s v="Medium"/>
    <n v="728.54399999999998"/>
    <d v="2004-05-07T00:00:00"/>
    <x v="3"/>
    <x v="1"/>
    <x v="1"/>
    <x v="1"/>
    <s v="May-2004"/>
    <x v="5"/>
    <x v="0"/>
    <x v="0"/>
    <x v="0"/>
    <x v="0"/>
  </r>
  <r>
    <n v="10261"/>
    <n v="44"/>
    <n v="68.67"/>
    <n v="3021.48"/>
    <s v="Medium"/>
    <n v="906.44399999999996"/>
    <d v="2004-06-17T00:00:00"/>
    <x v="0"/>
    <x v="0"/>
    <x v="9"/>
    <x v="1"/>
    <s v="Jun-2004"/>
    <x v="5"/>
    <x v="43"/>
    <x v="10"/>
    <x v="0"/>
    <x v="1"/>
  </r>
  <r>
    <n v="10273"/>
    <n v="42"/>
    <n v="62.16"/>
    <n v="2610.7199999999998"/>
    <s v="Medium"/>
    <n v="783.21599999999989"/>
    <d v="2004-07-21T00:00:00"/>
    <x v="0"/>
    <x v="0"/>
    <x v="2"/>
    <x v="1"/>
    <s v="Jul-2004"/>
    <x v="5"/>
    <x v="56"/>
    <x v="14"/>
    <x v="1"/>
    <x v="0"/>
  </r>
  <r>
    <n v="10283"/>
    <n v="47"/>
    <n v="65.77"/>
    <n v="3091.1899999999996"/>
    <s v="Medium"/>
    <n v="927.35699999999986"/>
    <d v="2004-08-20T00:00:00"/>
    <x v="0"/>
    <x v="0"/>
    <x v="3"/>
    <x v="1"/>
    <s v="Aug-2004"/>
    <x v="5"/>
    <x v="57"/>
    <x v="10"/>
    <x v="0"/>
    <x v="1"/>
  </r>
  <r>
    <n v="10295"/>
    <n v="44"/>
    <n v="58.55"/>
    <n v="2576.1999999999998"/>
    <s v="Medium"/>
    <n v="772.8599999999999"/>
    <d v="2004-09-10T00:00:00"/>
    <x v="0"/>
    <x v="0"/>
    <x v="10"/>
    <x v="1"/>
    <s v="Sep-2004"/>
    <x v="5"/>
    <x v="58"/>
    <x v="0"/>
    <x v="0"/>
    <x v="0"/>
  </r>
  <r>
    <n v="10306"/>
    <n v="43"/>
    <n v="75.17"/>
    <n v="3232.31"/>
    <s v="Medium"/>
    <n v="969.69299999999998"/>
    <d v="2004-10-14T00:00:00"/>
    <x v="0"/>
    <x v="0"/>
    <x v="4"/>
    <x v="1"/>
    <s v="Oct-2004"/>
    <x v="5"/>
    <x v="77"/>
    <x v="6"/>
    <x v="1"/>
    <x v="1"/>
  </r>
  <r>
    <n v="10316"/>
    <n v="48"/>
    <n v="74.45"/>
    <n v="3573.6000000000004"/>
    <s v="Medium"/>
    <n v="1072.0800000000002"/>
    <d v="2004-11-01T00:00:00"/>
    <x v="0"/>
    <x v="0"/>
    <x v="5"/>
    <x v="1"/>
    <s v="Nov-2004"/>
    <x v="5"/>
    <x v="59"/>
    <x v="6"/>
    <x v="1"/>
    <x v="1"/>
  </r>
  <r>
    <n v="10327"/>
    <n v="21"/>
    <n v="96.31"/>
    <n v="2022.51"/>
    <s v="Medium"/>
    <n v="606.75299999999993"/>
    <d v="2004-11-10T00:00:00"/>
    <x v="5"/>
    <x v="1"/>
    <x v="5"/>
    <x v="1"/>
    <s v="Nov-2004"/>
    <x v="5"/>
    <x v="48"/>
    <x v="13"/>
    <x v="1"/>
    <x v="0"/>
  </r>
  <r>
    <n v="10339"/>
    <n v="50"/>
    <n v="74.349999999999994"/>
    <n v="3717.4999999999995"/>
    <s v="Medium"/>
    <n v="1115.2499999999998"/>
    <d v="2004-11-23T00:00:00"/>
    <x v="0"/>
    <x v="0"/>
    <x v="5"/>
    <x v="1"/>
    <s v="Nov-2004"/>
    <x v="5"/>
    <x v="35"/>
    <x v="11"/>
    <x v="3"/>
    <x v="1"/>
  </r>
  <r>
    <n v="10350"/>
    <n v="29"/>
    <n v="75.349999999999994"/>
    <n v="2185.1499999999996"/>
    <s v="Medium"/>
    <n v="655.54499999999985"/>
    <d v="2004-12-02T00:00:00"/>
    <x v="0"/>
    <x v="0"/>
    <x v="6"/>
    <x v="1"/>
    <s v="Dec-2004"/>
    <x v="5"/>
    <x v="23"/>
    <x v="7"/>
    <x v="1"/>
    <x v="0"/>
  </r>
  <r>
    <n v="10373"/>
    <n v="41"/>
    <n v="70.33"/>
    <n v="2883.5299999999997"/>
    <s v="Medium"/>
    <n v="865.05899999999986"/>
    <d v="2005-01-31T00:00:00"/>
    <x v="0"/>
    <x v="0"/>
    <x v="7"/>
    <x v="2"/>
    <s v="Jan-2005"/>
    <x v="5"/>
    <x v="60"/>
    <x v="4"/>
    <x v="1"/>
    <x v="0"/>
  </r>
  <r>
    <n v="10386"/>
    <n v="37"/>
    <n v="100"/>
    <n v="3700"/>
    <s v="Medium"/>
    <n v="1110"/>
    <d v="2005-03-01T00:00:00"/>
    <x v="5"/>
    <x v="1"/>
    <x v="11"/>
    <x v="2"/>
    <s v="Mar-2005"/>
    <x v="5"/>
    <x v="23"/>
    <x v="7"/>
    <x v="1"/>
    <x v="1"/>
  </r>
  <r>
    <n v="10397"/>
    <n v="22"/>
    <n v="66.5"/>
    <n v="1463"/>
    <s v="Low"/>
    <n v="438.9"/>
    <d v="2005-03-28T00:00:00"/>
    <x v="0"/>
    <x v="0"/>
    <x v="11"/>
    <x v="2"/>
    <s v="Mar-2005"/>
    <x v="5"/>
    <x v="51"/>
    <x v="1"/>
    <x v="1"/>
    <x v="0"/>
  </r>
  <r>
    <n v="10414"/>
    <n v="31"/>
    <n v="75.89"/>
    <n v="2352.59"/>
    <s v="Medium"/>
    <n v="705.77700000000004"/>
    <d v="2005-05-06T00:00:00"/>
    <x v="4"/>
    <x v="1"/>
    <x v="1"/>
    <x v="2"/>
    <s v="May-2005"/>
    <x v="5"/>
    <x v="58"/>
    <x v="0"/>
    <x v="0"/>
    <x v="0"/>
  </r>
  <r>
    <n v="10103"/>
    <n v="42"/>
    <n v="100"/>
    <n v="4200"/>
    <s v="Medium"/>
    <n v="1260"/>
    <d v="2003-01-29T00:00:00"/>
    <x v="0"/>
    <x v="0"/>
    <x v="7"/>
    <x v="0"/>
    <s v="Jan-2003"/>
    <x v="1"/>
    <x v="17"/>
    <x v="2"/>
    <x v="1"/>
    <x v="1"/>
  </r>
  <r>
    <n v="10114"/>
    <n v="42"/>
    <n v="100"/>
    <n v="4200"/>
    <s v="Medium"/>
    <n v="1260"/>
    <d v="2003-04-01T00:00:00"/>
    <x v="0"/>
    <x v="0"/>
    <x v="8"/>
    <x v="0"/>
    <s v="Apr-2003"/>
    <x v="1"/>
    <x v="62"/>
    <x v="1"/>
    <x v="1"/>
    <x v="1"/>
  </r>
  <r>
    <n v="10126"/>
    <n v="45"/>
    <n v="100"/>
    <n v="4500"/>
    <s v="Medium"/>
    <n v="1350"/>
    <d v="2003-05-28T00:00:00"/>
    <x v="0"/>
    <x v="0"/>
    <x v="1"/>
    <x v="0"/>
    <s v="May-2003"/>
    <x v="1"/>
    <x v="25"/>
    <x v="7"/>
    <x v="1"/>
    <x v="1"/>
  </r>
  <r>
    <n v="10140"/>
    <n v="36"/>
    <n v="100"/>
    <n v="3600"/>
    <s v="Medium"/>
    <n v="1080"/>
    <d v="2003-07-24T00:00:00"/>
    <x v="0"/>
    <x v="0"/>
    <x v="2"/>
    <x v="0"/>
    <s v="Jul-2003"/>
    <x v="1"/>
    <x v="5"/>
    <x v="0"/>
    <x v="0"/>
    <x v="1"/>
  </r>
  <r>
    <n v="10150"/>
    <n v="20"/>
    <n v="100"/>
    <n v="2000"/>
    <s v="Medium"/>
    <n v="600"/>
    <d v="2003-09-19T00:00:00"/>
    <x v="0"/>
    <x v="0"/>
    <x v="10"/>
    <x v="0"/>
    <s v="Sep-2003"/>
    <x v="1"/>
    <x v="26"/>
    <x v="9"/>
    <x v="3"/>
    <x v="0"/>
  </r>
  <r>
    <n v="10164"/>
    <n v="39"/>
    <n v="81.93"/>
    <n v="3195.2700000000004"/>
    <s v="Medium"/>
    <n v="958.58100000000013"/>
    <d v="2003-10-21T00:00:00"/>
    <x v="5"/>
    <x v="1"/>
    <x v="4"/>
    <x v="0"/>
    <s v="Oct-2003"/>
    <x v="1"/>
    <x v="63"/>
    <x v="5"/>
    <x v="1"/>
    <x v="1"/>
  </r>
  <r>
    <n v="10175"/>
    <n v="42"/>
    <n v="85.98"/>
    <n v="3611.1600000000003"/>
    <s v="Medium"/>
    <n v="1083.348"/>
    <d v="2003-11-06T00:00:00"/>
    <x v="0"/>
    <x v="0"/>
    <x v="5"/>
    <x v="0"/>
    <s v="Nov-2003"/>
    <x v="1"/>
    <x v="49"/>
    <x v="6"/>
    <x v="1"/>
    <x v="1"/>
  </r>
  <r>
    <n v="10183"/>
    <n v="23"/>
    <n v="86.99"/>
    <n v="2000.77"/>
    <s v="Medium"/>
    <n v="600.23099999999999"/>
    <d v="2003-11-13T00:00:00"/>
    <x v="0"/>
    <x v="0"/>
    <x v="5"/>
    <x v="0"/>
    <s v="Nov-2003"/>
    <x v="1"/>
    <x v="29"/>
    <x v="0"/>
    <x v="0"/>
    <x v="0"/>
  </r>
  <r>
    <n v="10194"/>
    <n v="26"/>
    <n v="89.01"/>
    <n v="2314.2600000000002"/>
    <s v="Medium"/>
    <n v="694.27800000000002"/>
    <d v="2003-11-25T00:00:00"/>
    <x v="0"/>
    <x v="0"/>
    <x v="5"/>
    <x v="0"/>
    <s v="Nov-2003"/>
    <x v="1"/>
    <x v="30"/>
    <x v="1"/>
    <x v="1"/>
    <x v="0"/>
  </r>
  <r>
    <n v="10206"/>
    <n v="33"/>
    <n v="100"/>
    <n v="3300"/>
    <s v="Medium"/>
    <n v="990"/>
    <d v="2003-12-05T00:00:00"/>
    <x v="0"/>
    <x v="0"/>
    <x v="6"/>
    <x v="0"/>
    <s v="Dec-2003"/>
    <x v="1"/>
    <x v="31"/>
    <x v="10"/>
    <x v="0"/>
    <x v="1"/>
  </r>
  <r>
    <n v="10217"/>
    <n v="31"/>
    <n v="88"/>
    <n v="2728"/>
    <s v="Medium"/>
    <n v="818.4"/>
    <d v="2004-02-04T00:00:00"/>
    <x v="0"/>
    <x v="0"/>
    <x v="0"/>
    <x v="1"/>
    <s v="Feb-2004"/>
    <x v="1"/>
    <x v="65"/>
    <x v="9"/>
    <x v="2"/>
    <x v="0"/>
  </r>
  <r>
    <n v="10229"/>
    <n v="50"/>
    <n v="100"/>
    <n v="5000"/>
    <s v="High"/>
    <n v="1500"/>
    <d v="2004-03-11T00:00:00"/>
    <x v="0"/>
    <x v="0"/>
    <x v="11"/>
    <x v="1"/>
    <s v="Mar-2004"/>
    <x v="1"/>
    <x v="39"/>
    <x v="0"/>
    <x v="0"/>
    <x v="1"/>
  </r>
  <r>
    <n v="10245"/>
    <n v="44"/>
    <n v="100"/>
    <n v="4400"/>
    <s v="Medium"/>
    <n v="1320"/>
    <d v="2004-05-04T00:00:00"/>
    <x v="0"/>
    <x v="0"/>
    <x v="1"/>
    <x v="1"/>
    <s v="May-2004"/>
    <x v="1"/>
    <x v="34"/>
    <x v="0"/>
    <x v="0"/>
    <x v="1"/>
  </r>
  <r>
    <n v="10258"/>
    <n v="45"/>
    <n v="80.92"/>
    <n v="3641.4"/>
    <s v="Medium"/>
    <n v="1092.42"/>
    <d v="2004-06-15T00:00:00"/>
    <x v="0"/>
    <x v="0"/>
    <x v="9"/>
    <x v="1"/>
    <s v="Jun-2004"/>
    <x v="1"/>
    <x v="35"/>
    <x v="11"/>
    <x v="3"/>
    <x v="1"/>
  </r>
  <r>
    <n v="10270"/>
    <n v="46"/>
    <n v="88"/>
    <n v="4048"/>
    <s v="Medium"/>
    <n v="1214.3999999999999"/>
    <d v="2004-07-19T00:00:00"/>
    <x v="0"/>
    <x v="0"/>
    <x v="2"/>
    <x v="1"/>
    <s v="Jul-2004"/>
    <x v="1"/>
    <x v="20"/>
    <x v="3"/>
    <x v="2"/>
    <x v="1"/>
  </r>
  <r>
    <n v="10281"/>
    <n v="27"/>
    <n v="85.98"/>
    <n v="2321.46"/>
    <s v="Medium"/>
    <n v="696.43799999999999"/>
    <d v="2004-08-19T00:00:00"/>
    <x v="0"/>
    <x v="0"/>
    <x v="3"/>
    <x v="1"/>
    <s v="Aug-2004"/>
    <x v="1"/>
    <x v="18"/>
    <x v="0"/>
    <x v="0"/>
    <x v="0"/>
  </r>
  <r>
    <n v="10291"/>
    <n v="28"/>
    <n v="100"/>
    <n v="2800"/>
    <s v="Medium"/>
    <n v="840"/>
    <d v="2004-09-08T00:00:00"/>
    <x v="0"/>
    <x v="0"/>
    <x v="10"/>
    <x v="1"/>
    <s v="Sep-2004"/>
    <x v="1"/>
    <x v="37"/>
    <x v="8"/>
    <x v="1"/>
    <x v="1"/>
  </r>
  <r>
    <n v="10304"/>
    <n v="40"/>
    <n v="100"/>
    <n v="4000"/>
    <s v="Medium"/>
    <n v="1200"/>
    <d v="2004-10-11T00:00:00"/>
    <x v="0"/>
    <x v="0"/>
    <x v="4"/>
    <x v="1"/>
    <s v="Oct-2004"/>
    <x v="1"/>
    <x v="38"/>
    <x v="1"/>
    <x v="1"/>
    <x v="1"/>
  </r>
  <r>
    <n v="10313"/>
    <n v="30"/>
    <n v="99.13"/>
    <n v="2973.8999999999996"/>
    <s v="Medium"/>
    <n v="892.16999999999985"/>
    <d v="2004-10-22T00:00:00"/>
    <x v="0"/>
    <x v="0"/>
    <x v="4"/>
    <x v="1"/>
    <s v="Oct-2004"/>
    <x v="1"/>
    <x v="31"/>
    <x v="10"/>
    <x v="0"/>
    <x v="0"/>
  </r>
  <r>
    <n v="10324"/>
    <n v="34"/>
    <n v="100"/>
    <n v="3400"/>
    <s v="Medium"/>
    <n v="1020"/>
    <d v="2004-11-05T00:00:00"/>
    <x v="0"/>
    <x v="0"/>
    <x v="5"/>
    <x v="1"/>
    <s v="Nov-2004"/>
    <x v="1"/>
    <x v="11"/>
    <x v="0"/>
    <x v="0"/>
    <x v="1"/>
  </r>
  <r>
    <n v="10336"/>
    <n v="46"/>
    <n v="100"/>
    <n v="4600"/>
    <s v="Medium"/>
    <n v="1380"/>
    <d v="2004-11-20T00:00:00"/>
    <x v="0"/>
    <x v="0"/>
    <x v="5"/>
    <x v="1"/>
    <s v="Nov-2004"/>
    <x v="1"/>
    <x v="62"/>
    <x v="1"/>
    <x v="1"/>
    <x v="2"/>
  </r>
  <r>
    <n v="10348"/>
    <n v="32"/>
    <n v="82.83"/>
    <n v="2650.56"/>
    <s v="Medium"/>
    <n v="795.16800000000001"/>
    <d v="2004-11-01T00:00:00"/>
    <x v="0"/>
    <x v="0"/>
    <x v="5"/>
    <x v="1"/>
    <s v="Nov-2004"/>
    <x v="1"/>
    <x v="25"/>
    <x v="7"/>
    <x v="1"/>
    <x v="0"/>
  </r>
  <r>
    <n v="10358"/>
    <n v="27"/>
    <n v="100"/>
    <n v="2700"/>
    <s v="Medium"/>
    <n v="810"/>
    <d v="2004-12-10T00:00:00"/>
    <x v="0"/>
    <x v="0"/>
    <x v="6"/>
    <x v="1"/>
    <s v="Dec-2004"/>
    <x v="1"/>
    <x v="23"/>
    <x v="7"/>
    <x v="1"/>
    <x v="1"/>
  </r>
  <r>
    <n v="10371"/>
    <n v="34"/>
    <n v="100"/>
    <n v="3400"/>
    <s v="Medium"/>
    <n v="1020"/>
    <d v="2005-01-23T00:00:00"/>
    <x v="0"/>
    <x v="0"/>
    <x v="7"/>
    <x v="2"/>
    <s v="Jan-2005"/>
    <x v="1"/>
    <x v="39"/>
    <x v="0"/>
    <x v="0"/>
    <x v="1"/>
  </r>
  <r>
    <n v="10382"/>
    <n v="34"/>
    <n v="54.84"/>
    <n v="1864.5600000000002"/>
    <s v="Low"/>
    <n v="559.36800000000005"/>
    <d v="2005-02-17T00:00:00"/>
    <x v="0"/>
    <x v="0"/>
    <x v="0"/>
    <x v="2"/>
    <s v="Feb-2005"/>
    <x v="1"/>
    <x v="39"/>
    <x v="0"/>
    <x v="0"/>
    <x v="0"/>
  </r>
  <r>
    <n v="10411"/>
    <n v="34"/>
    <n v="100"/>
    <n v="3400"/>
    <s v="Medium"/>
    <n v="1020"/>
    <d v="2005-05-01T00:00:00"/>
    <x v="0"/>
    <x v="0"/>
    <x v="1"/>
    <x v="2"/>
    <s v="May-2005"/>
    <x v="1"/>
    <x v="43"/>
    <x v="10"/>
    <x v="0"/>
    <x v="1"/>
  </r>
  <r>
    <n v="10424"/>
    <n v="46"/>
    <n v="80.92"/>
    <n v="3722.32"/>
    <s v="Medium"/>
    <n v="1116.6959999999999"/>
    <d v="2005-05-31T00:00:00"/>
    <x v="2"/>
    <x v="1"/>
    <x v="1"/>
    <x v="2"/>
    <s v="May-2005"/>
    <x v="1"/>
    <x v="23"/>
    <x v="7"/>
    <x v="1"/>
    <x v="1"/>
  </r>
  <r>
    <n v="10106"/>
    <n v="32"/>
    <n v="100"/>
    <n v="3200"/>
    <s v="Medium"/>
    <n v="960"/>
    <d v="2003-02-17T00:00:00"/>
    <x v="0"/>
    <x v="0"/>
    <x v="0"/>
    <x v="0"/>
    <s v="Feb-2003"/>
    <x v="4"/>
    <x v="86"/>
    <x v="12"/>
    <x v="1"/>
    <x v="1"/>
  </r>
  <r>
    <n v="10120"/>
    <n v="24"/>
    <n v="100"/>
    <n v="2400"/>
    <s v="Medium"/>
    <n v="720"/>
    <d v="2003-04-29T00:00:00"/>
    <x v="0"/>
    <x v="0"/>
    <x v="8"/>
    <x v="0"/>
    <s v="Apr-2003"/>
    <x v="4"/>
    <x v="10"/>
    <x v="3"/>
    <x v="2"/>
    <x v="1"/>
  </r>
  <r>
    <n v="10133"/>
    <n v="27"/>
    <n v="99.67"/>
    <n v="2691.09"/>
    <s v="Medium"/>
    <n v="807.327"/>
    <d v="2003-06-27T00:00:00"/>
    <x v="0"/>
    <x v="0"/>
    <x v="9"/>
    <x v="0"/>
    <s v="Jun-2003"/>
    <x v="4"/>
    <x v="23"/>
    <x v="7"/>
    <x v="1"/>
    <x v="0"/>
  </r>
  <r>
    <n v="10145"/>
    <n v="20"/>
    <n v="100"/>
    <n v="2000"/>
    <s v="Medium"/>
    <n v="600"/>
    <d v="2003-08-25T00:00:00"/>
    <x v="0"/>
    <x v="0"/>
    <x v="3"/>
    <x v="0"/>
    <s v="Aug-2003"/>
    <x v="4"/>
    <x v="3"/>
    <x v="0"/>
    <x v="0"/>
    <x v="0"/>
  </r>
  <r>
    <n v="10168"/>
    <n v="36"/>
    <n v="100"/>
    <n v="3600"/>
    <s v="Medium"/>
    <n v="1080"/>
    <d v="2003-10-28T00:00:00"/>
    <x v="0"/>
    <x v="0"/>
    <x v="4"/>
    <x v="0"/>
    <s v="Oct-2003"/>
    <x v="4"/>
    <x v="5"/>
    <x v="0"/>
    <x v="0"/>
    <x v="1"/>
  </r>
  <r>
    <n v="10188"/>
    <n v="29"/>
    <n v="100"/>
    <n v="2900"/>
    <s v="Medium"/>
    <n v="870"/>
    <d v="2003-11-18T00:00:00"/>
    <x v="0"/>
    <x v="0"/>
    <x v="5"/>
    <x v="0"/>
    <s v="Nov-2003"/>
    <x v="4"/>
    <x v="7"/>
    <x v="2"/>
    <x v="1"/>
    <x v="1"/>
  </r>
  <r>
    <n v="10210"/>
    <n v="25"/>
    <n v="100"/>
    <n v="2500"/>
    <s v="Medium"/>
    <n v="750"/>
    <d v="2004-01-12T00:00:00"/>
    <x v="0"/>
    <x v="0"/>
    <x v="7"/>
    <x v="1"/>
    <s v="Jan-2004"/>
    <x v="4"/>
    <x v="44"/>
    <x v="11"/>
    <x v="3"/>
    <x v="0"/>
  </r>
  <r>
    <n v="10223"/>
    <n v="29"/>
    <n v="100"/>
    <n v="2900"/>
    <s v="Medium"/>
    <n v="870"/>
    <d v="2004-02-20T00:00:00"/>
    <x v="0"/>
    <x v="0"/>
    <x v="0"/>
    <x v="1"/>
    <s v="Feb-2004"/>
    <x v="4"/>
    <x v="10"/>
    <x v="3"/>
    <x v="2"/>
    <x v="1"/>
  </r>
  <r>
    <n v="10235"/>
    <n v="25"/>
    <n v="96.11"/>
    <n v="2402.75"/>
    <s v="Medium"/>
    <n v="720.82499999999993"/>
    <d v="2004-04-02T00:00:00"/>
    <x v="0"/>
    <x v="0"/>
    <x v="8"/>
    <x v="1"/>
    <s v="Apr-2004"/>
    <x v="4"/>
    <x v="57"/>
    <x v="10"/>
    <x v="0"/>
    <x v="0"/>
  </r>
  <r>
    <n v="10250"/>
    <n v="44"/>
    <n v="100"/>
    <n v="4400"/>
    <s v="Medium"/>
    <n v="1320"/>
    <d v="2004-05-11T00:00:00"/>
    <x v="0"/>
    <x v="0"/>
    <x v="1"/>
    <x v="1"/>
    <s v="May-2004"/>
    <x v="4"/>
    <x v="61"/>
    <x v="0"/>
    <x v="0"/>
    <x v="1"/>
  </r>
  <r>
    <n v="10263"/>
    <n v="47"/>
    <n v="100"/>
    <n v="4700"/>
    <s v="Medium"/>
    <n v="1410"/>
    <d v="2004-06-28T00:00:00"/>
    <x v="0"/>
    <x v="0"/>
    <x v="9"/>
    <x v="1"/>
    <s v="Jun-2004"/>
    <x v="4"/>
    <x v="13"/>
    <x v="0"/>
    <x v="0"/>
    <x v="1"/>
  </r>
  <r>
    <n v="10275"/>
    <n v="48"/>
    <n v="100"/>
    <n v="4800"/>
    <s v="Medium"/>
    <n v="1440"/>
    <d v="2004-07-23T00:00:00"/>
    <x v="0"/>
    <x v="0"/>
    <x v="2"/>
    <x v="1"/>
    <s v="Jul-2004"/>
    <x v="4"/>
    <x v="14"/>
    <x v="1"/>
    <x v="1"/>
    <x v="1"/>
  </r>
  <r>
    <n v="10285"/>
    <n v="45"/>
    <n v="100"/>
    <n v="4500"/>
    <s v="Medium"/>
    <n v="1350"/>
    <d v="2004-08-27T00:00:00"/>
    <x v="0"/>
    <x v="0"/>
    <x v="3"/>
    <x v="1"/>
    <s v="Aug-2004"/>
    <x v="4"/>
    <x v="15"/>
    <x v="0"/>
    <x v="0"/>
    <x v="1"/>
  </r>
  <r>
    <n v="10297"/>
    <n v="35"/>
    <n v="100"/>
    <n v="3500"/>
    <s v="Medium"/>
    <n v="1050"/>
    <d v="2004-09-16T00:00:00"/>
    <x v="0"/>
    <x v="0"/>
    <x v="10"/>
    <x v="1"/>
    <s v="Sep-2004"/>
    <x v="4"/>
    <x v="75"/>
    <x v="18"/>
    <x v="1"/>
    <x v="1"/>
  </r>
  <r>
    <n v="10308"/>
    <n v="31"/>
    <n v="100"/>
    <n v="3100"/>
    <s v="Medium"/>
    <n v="930"/>
    <d v="2004-10-15T00:00:00"/>
    <x v="0"/>
    <x v="0"/>
    <x v="4"/>
    <x v="1"/>
    <s v="Oct-2004"/>
    <x v="4"/>
    <x v="47"/>
    <x v="0"/>
    <x v="0"/>
    <x v="1"/>
  </r>
  <r>
    <n v="10318"/>
    <n v="50"/>
    <n v="100"/>
    <n v="5000"/>
    <s v="High"/>
    <n v="1500"/>
    <d v="2004-11-02T00:00:00"/>
    <x v="0"/>
    <x v="0"/>
    <x v="5"/>
    <x v="1"/>
    <s v="Nov-2004"/>
    <x v="4"/>
    <x v="18"/>
    <x v="0"/>
    <x v="0"/>
    <x v="2"/>
  </r>
  <r>
    <n v="10328"/>
    <n v="33"/>
    <n v="100"/>
    <n v="3300"/>
    <s v="Medium"/>
    <n v="990"/>
    <d v="2004-11-12T00:00:00"/>
    <x v="0"/>
    <x v="0"/>
    <x v="5"/>
    <x v="1"/>
    <s v="Nov-2004"/>
    <x v="4"/>
    <x v="86"/>
    <x v="12"/>
    <x v="1"/>
    <x v="1"/>
  </r>
  <r>
    <n v="10340"/>
    <n v="29"/>
    <n v="100"/>
    <n v="2900"/>
    <s v="Medium"/>
    <n v="870"/>
    <d v="2004-11-24T00:00:00"/>
    <x v="0"/>
    <x v="0"/>
    <x v="5"/>
    <x v="1"/>
    <s v="Nov-2004"/>
    <x v="4"/>
    <x v="53"/>
    <x v="7"/>
    <x v="1"/>
    <x v="1"/>
  </r>
  <r>
    <n v="10353"/>
    <n v="48"/>
    <n v="68.8"/>
    <n v="3302.3999999999996"/>
    <s v="Medium"/>
    <n v="990.7199999999998"/>
    <d v="2004-12-04T00:00:00"/>
    <x v="0"/>
    <x v="0"/>
    <x v="6"/>
    <x v="1"/>
    <s v="Dec-2004"/>
    <x v="4"/>
    <x v="88"/>
    <x v="0"/>
    <x v="0"/>
    <x v="1"/>
  </r>
  <r>
    <n v="10361"/>
    <n v="44"/>
    <n v="72.42"/>
    <n v="3186.48"/>
    <s v="Medium"/>
    <n v="955.94399999999996"/>
    <d v="2004-12-17T00:00:00"/>
    <x v="0"/>
    <x v="0"/>
    <x v="6"/>
    <x v="1"/>
    <s v="Dec-2004"/>
    <x v="4"/>
    <x v="20"/>
    <x v="3"/>
    <x v="2"/>
    <x v="1"/>
  </r>
  <r>
    <n v="10375"/>
    <n v="25"/>
    <n v="66.73"/>
    <n v="1668.25"/>
    <s v="Low"/>
    <n v="500.47499999999997"/>
    <d v="2005-02-03T00:00:00"/>
    <x v="0"/>
    <x v="0"/>
    <x v="0"/>
    <x v="2"/>
    <s v="Feb-2005"/>
    <x v="4"/>
    <x v="14"/>
    <x v="1"/>
    <x v="1"/>
    <x v="0"/>
  </r>
  <r>
    <n v="10388"/>
    <n v="50"/>
    <n v="100"/>
    <n v="5000"/>
    <s v="High"/>
    <n v="1500"/>
    <d v="2005-03-03T00:00:00"/>
    <x v="0"/>
    <x v="0"/>
    <x v="11"/>
    <x v="2"/>
    <s v="Mar-2005"/>
    <x v="4"/>
    <x v="21"/>
    <x v="0"/>
    <x v="0"/>
    <x v="2"/>
  </r>
  <r>
    <n v="10398"/>
    <n v="23"/>
    <n v="100"/>
    <n v="2300"/>
    <s v="Medium"/>
    <n v="690"/>
    <d v="2005-03-30T00:00:00"/>
    <x v="0"/>
    <x v="0"/>
    <x v="11"/>
    <x v="2"/>
    <s v="Mar-2005"/>
    <x v="4"/>
    <x v="1"/>
    <x v="1"/>
    <x v="1"/>
    <x v="0"/>
  </r>
  <r>
    <n v="10401"/>
    <n v="21"/>
    <n v="96.11"/>
    <n v="2018.31"/>
    <s v="Medium"/>
    <n v="605.49299999999994"/>
    <d v="2005-04-03T00:00:00"/>
    <x v="4"/>
    <x v="1"/>
    <x v="8"/>
    <x v="2"/>
    <s v="Apr-2005"/>
    <x v="4"/>
    <x v="12"/>
    <x v="0"/>
    <x v="0"/>
    <x v="0"/>
  </r>
  <r>
    <n v="10416"/>
    <n v="41"/>
    <n v="100"/>
    <n v="4100"/>
    <s v="Medium"/>
    <n v="1230"/>
    <d v="2005-05-10T00:00:00"/>
    <x v="0"/>
    <x v="0"/>
    <x v="1"/>
    <x v="2"/>
    <s v="May-2005"/>
    <x v="4"/>
    <x v="70"/>
    <x v="12"/>
    <x v="1"/>
    <x v="1"/>
  </r>
  <r>
    <n v="10106"/>
    <n v="44"/>
    <n v="74.400000000000006"/>
    <n v="3273.6000000000004"/>
    <s v="Medium"/>
    <n v="982.08"/>
    <d v="2003-02-17T00:00:00"/>
    <x v="0"/>
    <x v="0"/>
    <x v="0"/>
    <x v="0"/>
    <s v="Feb-2003"/>
    <x v="4"/>
    <x v="86"/>
    <x v="12"/>
    <x v="1"/>
    <x v="1"/>
  </r>
  <r>
    <n v="10120"/>
    <n v="43"/>
    <n v="76"/>
    <n v="3268"/>
    <s v="Medium"/>
    <n v="980.4"/>
    <d v="2003-04-29T00:00:00"/>
    <x v="0"/>
    <x v="0"/>
    <x v="8"/>
    <x v="0"/>
    <s v="Apr-2003"/>
    <x v="4"/>
    <x v="10"/>
    <x v="3"/>
    <x v="2"/>
    <x v="1"/>
  </r>
  <r>
    <n v="10143"/>
    <n v="28"/>
    <n v="96"/>
    <n v="2688"/>
    <s v="Medium"/>
    <n v="806.4"/>
    <d v="2003-08-10T00:00:00"/>
    <x v="0"/>
    <x v="0"/>
    <x v="3"/>
    <x v="0"/>
    <s v="Aug-2003"/>
    <x v="4"/>
    <x v="50"/>
    <x v="0"/>
    <x v="0"/>
    <x v="0"/>
  </r>
  <r>
    <n v="10155"/>
    <n v="43"/>
    <n v="86.4"/>
    <n v="3715.2000000000003"/>
    <s v="Medium"/>
    <n v="1114.56"/>
    <d v="2003-10-06T00:00:00"/>
    <x v="0"/>
    <x v="0"/>
    <x v="4"/>
    <x v="0"/>
    <s v="Oct-2003"/>
    <x v="4"/>
    <x v="16"/>
    <x v="4"/>
    <x v="1"/>
    <x v="1"/>
  </r>
  <r>
    <n v="10168"/>
    <n v="48"/>
    <n v="96"/>
    <n v="4608"/>
    <s v="Medium"/>
    <n v="1382.3999999999999"/>
    <d v="2003-10-28T00:00:00"/>
    <x v="0"/>
    <x v="0"/>
    <x v="4"/>
    <x v="0"/>
    <s v="Oct-2003"/>
    <x v="4"/>
    <x v="5"/>
    <x v="0"/>
    <x v="0"/>
    <x v="1"/>
  </r>
  <r>
    <n v="10199"/>
    <n v="38"/>
    <n v="82.4"/>
    <n v="3131.2000000000003"/>
    <s v="Medium"/>
    <n v="939.36"/>
    <d v="2003-12-01T00:00:00"/>
    <x v="0"/>
    <x v="0"/>
    <x v="6"/>
    <x v="0"/>
    <s v="Dec-2003"/>
    <x v="4"/>
    <x v="32"/>
    <x v="0"/>
    <x v="0"/>
    <x v="1"/>
  </r>
  <r>
    <n v="10210"/>
    <n v="31"/>
    <n v="86.4"/>
    <n v="2678.4"/>
    <s v="Medium"/>
    <n v="803.52"/>
    <d v="2004-01-12T00:00:00"/>
    <x v="0"/>
    <x v="0"/>
    <x v="7"/>
    <x v="1"/>
    <s v="Jan-2004"/>
    <x v="4"/>
    <x v="44"/>
    <x v="11"/>
    <x v="3"/>
    <x v="0"/>
  </r>
  <r>
    <n v="10223"/>
    <n v="26"/>
    <n v="67.2"/>
    <n v="1747.2"/>
    <s v="Low"/>
    <n v="524.16"/>
    <d v="2004-02-20T00:00:00"/>
    <x v="0"/>
    <x v="0"/>
    <x v="0"/>
    <x v="1"/>
    <s v="Feb-2004"/>
    <x v="4"/>
    <x v="10"/>
    <x v="3"/>
    <x v="2"/>
    <x v="0"/>
  </r>
  <r>
    <n v="10235"/>
    <n v="32"/>
    <n v="92"/>
    <n v="2944"/>
    <s v="Medium"/>
    <n v="883.19999999999993"/>
    <d v="2004-04-02T00:00:00"/>
    <x v="0"/>
    <x v="0"/>
    <x v="8"/>
    <x v="1"/>
    <s v="Apr-2004"/>
    <x v="4"/>
    <x v="57"/>
    <x v="10"/>
    <x v="0"/>
    <x v="0"/>
  </r>
  <r>
    <n v="10250"/>
    <n v="44"/>
    <n v="67.2"/>
    <n v="2956.8"/>
    <s v="Medium"/>
    <n v="887.04000000000008"/>
    <d v="2004-05-11T00:00:00"/>
    <x v="0"/>
    <x v="0"/>
    <x v="1"/>
    <x v="1"/>
    <s v="May-2004"/>
    <x v="4"/>
    <x v="61"/>
    <x v="0"/>
    <x v="0"/>
    <x v="0"/>
  </r>
  <r>
    <n v="10262"/>
    <n v="27"/>
    <n v="76"/>
    <n v="2052"/>
    <s v="Medium"/>
    <n v="615.6"/>
    <d v="2004-06-24T00:00:00"/>
    <x v="3"/>
    <x v="1"/>
    <x v="9"/>
    <x v="1"/>
    <s v="Jun-2004"/>
    <x v="4"/>
    <x v="23"/>
    <x v="7"/>
    <x v="1"/>
    <x v="0"/>
  </r>
  <r>
    <n v="10275"/>
    <n v="43"/>
    <n v="73.599999999999994"/>
    <n v="3164.7999999999997"/>
    <s v="Medium"/>
    <n v="949.43999999999983"/>
    <d v="2004-07-23T00:00:00"/>
    <x v="0"/>
    <x v="0"/>
    <x v="2"/>
    <x v="1"/>
    <s v="Jul-2004"/>
    <x v="4"/>
    <x v="14"/>
    <x v="1"/>
    <x v="1"/>
    <x v="1"/>
  </r>
  <r>
    <n v="10284"/>
    <n v="25"/>
    <n v="69.599999999999994"/>
    <n v="1739.9999999999998"/>
    <s v="Low"/>
    <n v="521.99999999999989"/>
    <d v="2004-08-21T00:00:00"/>
    <x v="0"/>
    <x v="0"/>
    <x v="3"/>
    <x v="1"/>
    <s v="Aug-2004"/>
    <x v="4"/>
    <x v="85"/>
    <x v="2"/>
    <x v="1"/>
    <x v="0"/>
  </r>
  <r>
    <n v="10296"/>
    <n v="22"/>
    <n v="80.8"/>
    <n v="1777.6"/>
    <s v="Low"/>
    <n v="533.28"/>
    <d v="2004-09-15T00:00:00"/>
    <x v="0"/>
    <x v="0"/>
    <x v="10"/>
    <x v="1"/>
    <s v="Sep-2004"/>
    <x v="4"/>
    <x v="89"/>
    <x v="16"/>
    <x v="1"/>
    <x v="0"/>
  </r>
  <r>
    <n v="10308"/>
    <n v="21"/>
    <n v="87.2"/>
    <n v="1831.2"/>
    <s v="Low"/>
    <n v="549.36"/>
    <d v="2004-10-15T00:00:00"/>
    <x v="0"/>
    <x v="0"/>
    <x v="4"/>
    <x v="1"/>
    <s v="Oct-2004"/>
    <x v="4"/>
    <x v="47"/>
    <x v="0"/>
    <x v="0"/>
    <x v="0"/>
  </r>
  <r>
    <n v="10316"/>
    <n v="48"/>
    <n v="75.2"/>
    <n v="3609.6000000000004"/>
    <s v="Medium"/>
    <n v="1082.8800000000001"/>
    <d v="2004-11-01T00:00:00"/>
    <x v="0"/>
    <x v="0"/>
    <x v="5"/>
    <x v="1"/>
    <s v="Nov-2004"/>
    <x v="4"/>
    <x v="59"/>
    <x v="6"/>
    <x v="1"/>
    <x v="1"/>
  </r>
  <r>
    <n v="10328"/>
    <n v="33"/>
    <n v="64"/>
    <n v="2112"/>
    <s v="Medium"/>
    <n v="633.6"/>
    <d v="2004-11-12T00:00:00"/>
    <x v="0"/>
    <x v="0"/>
    <x v="5"/>
    <x v="1"/>
    <s v="Nov-2004"/>
    <x v="4"/>
    <x v="86"/>
    <x v="12"/>
    <x v="1"/>
    <x v="0"/>
  </r>
  <r>
    <n v="10341"/>
    <n v="34"/>
    <n v="100"/>
    <n v="3400"/>
    <s v="Medium"/>
    <n v="1020"/>
    <d v="2004-11-24T00:00:00"/>
    <x v="0"/>
    <x v="0"/>
    <x v="5"/>
    <x v="1"/>
    <s v="Nov-2004"/>
    <x v="4"/>
    <x v="19"/>
    <x v="5"/>
    <x v="1"/>
    <x v="1"/>
  </r>
  <r>
    <n v="10353"/>
    <n v="43"/>
    <n v="81.95"/>
    <n v="3523.85"/>
    <s v="Medium"/>
    <n v="1057.155"/>
    <d v="2004-12-04T00:00:00"/>
    <x v="0"/>
    <x v="0"/>
    <x v="6"/>
    <x v="1"/>
    <s v="Dec-2004"/>
    <x v="4"/>
    <x v="88"/>
    <x v="0"/>
    <x v="0"/>
    <x v="1"/>
  </r>
  <r>
    <n v="10361"/>
    <n v="44"/>
    <n v="100"/>
    <n v="4400"/>
    <s v="Medium"/>
    <n v="1320"/>
    <d v="2004-12-17T00:00:00"/>
    <x v="0"/>
    <x v="0"/>
    <x v="6"/>
    <x v="1"/>
    <s v="Dec-2004"/>
    <x v="4"/>
    <x v="20"/>
    <x v="3"/>
    <x v="2"/>
    <x v="1"/>
  </r>
  <r>
    <n v="10375"/>
    <n v="44"/>
    <n v="100"/>
    <n v="4400"/>
    <s v="Medium"/>
    <n v="1320"/>
    <d v="2005-02-03T00:00:00"/>
    <x v="0"/>
    <x v="0"/>
    <x v="0"/>
    <x v="2"/>
    <s v="Feb-2005"/>
    <x v="4"/>
    <x v="14"/>
    <x v="1"/>
    <x v="1"/>
    <x v="1"/>
  </r>
  <r>
    <n v="10386"/>
    <n v="32"/>
    <n v="94.34"/>
    <n v="3018.88"/>
    <s v="Medium"/>
    <n v="905.66399999999999"/>
    <d v="2005-03-01T00:00:00"/>
    <x v="5"/>
    <x v="1"/>
    <x v="11"/>
    <x v="2"/>
    <s v="Mar-2005"/>
    <x v="4"/>
    <x v="23"/>
    <x v="7"/>
    <x v="1"/>
    <x v="1"/>
  </r>
  <r>
    <n v="10398"/>
    <n v="29"/>
    <n v="65.599999999999994"/>
    <n v="1902.3999999999999"/>
    <s v="Low"/>
    <n v="570.71999999999991"/>
    <d v="2005-03-30T00:00:00"/>
    <x v="0"/>
    <x v="0"/>
    <x v="11"/>
    <x v="2"/>
    <s v="Mar-2005"/>
    <x v="4"/>
    <x v="1"/>
    <x v="1"/>
    <x v="1"/>
    <x v="0"/>
  </r>
  <r>
    <n v="10401"/>
    <n v="77"/>
    <n v="92"/>
    <n v="7084"/>
    <s v="High"/>
    <n v="2125.1999999999998"/>
    <d v="2005-04-03T00:00:00"/>
    <x v="4"/>
    <x v="1"/>
    <x v="8"/>
    <x v="2"/>
    <s v="Apr-2005"/>
    <x v="4"/>
    <x v="12"/>
    <x v="0"/>
    <x v="0"/>
    <x v="2"/>
  </r>
  <r>
    <n v="10416"/>
    <n v="39"/>
    <n v="67.2"/>
    <n v="2620.8000000000002"/>
    <s v="Medium"/>
    <n v="786.24"/>
    <d v="2005-05-10T00:00:00"/>
    <x v="0"/>
    <x v="0"/>
    <x v="1"/>
    <x v="2"/>
    <s v="May-2005"/>
    <x v="4"/>
    <x v="70"/>
    <x v="12"/>
    <x v="1"/>
    <x v="0"/>
  </r>
  <r>
    <n v="10105"/>
    <n v="39"/>
    <n v="81.14"/>
    <n v="3164.46"/>
    <s v="Medium"/>
    <n v="949.33799999999997"/>
    <d v="2003-02-11T00:00:00"/>
    <x v="0"/>
    <x v="0"/>
    <x v="0"/>
    <x v="0"/>
    <s v="Feb-2003"/>
    <x v="5"/>
    <x v="48"/>
    <x v="13"/>
    <x v="1"/>
    <x v="1"/>
  </r>
  <r>
    <n v="10118"/>
    <n v="36"/>
    <n v="100"/>
    <n v="3600"/>
    <s v="Medium"/>
    <n v="1080"/>
    <d v="2003-04-21T00:00:00"/>
    <x v="0"/>
    <x v="0"/>
    <x v="8"/>
    <x v="0"/>
    <s v="Apr-2003"/>
    <x v="5"/>
    <x v="53"/>
    <x v="7"/>
    <x v="1"/>
    <x v="1"/>
  </r>
  <r>
    <n v="10129"/>
    <n v="42"/>
    <n v="91.15"/>
    <n v="3828.3"/>
    <s v="Medium"/>
    <n v="1148.49"/>
    <d v="2003-06-12T00:00:00"/>
    <x v="0"/>
    <x v="0"/>
    <x v="9"/>
    <x v="0"/>
    <s v="Jun-2003"/>
    <x v="5"/>
    <x v="49"/>
    <x v="6"/>
    <x v="1"/>
    <x v="1"/>
  </r>
  <r>
    <n v="10142"/>
    <n v="21"/>
    <n v="100"/>
    <n v="2100"/>
    <s v="Medium"/>
    <n v="630"/>
    <d v="2003-08-08T00:00:00"/>
    <x v="0"/>
    <x v="0"/>
    <x v="3"/>
    <x v="0"/>
    <s v="Aug-2003"/>
    <x v="5"/>
    <x v="39"/>
    <x v="0"/>
    <x v="0"/>
    <x v="0"/>
  </r>
  <r>
    <n v="10153"/>
    <n v="50"/>
    <n v="88.15"/>
    <n v="4407.5"/>
    <s v="Medium"/>
    <n v="1322.25"/>
    <d v="2003-09-28T00:00:00"/>
    <x v="0"/>
    <x v="0"/>
    <x v="10"/>
    <x v="0"/>
    <s v="Sep-2003"/>
    <x v="5"/>
    <x v="23"/>
    <x v="7"/>
    <x v="1"/>
    <x v="1"/>
  </r>
  <r>
    <n v="10167"/>
    <n v="24"/>
    <n v="100"/>
    <n v="2400"/>
    <s v="Medium"/>
    <n v="720"/>
    <d v="2003-10-23T00:00:00"/>
    <x v="3"/>
    <x v="1"/>
    <x v="4"/>
    <x v="0"/>
    <s v="Oct-2003"/>
    <x v="5"/>
    <x v="37"/>
    <x v="8"/>
    <x v="1"/>
    <x v="0"/>
  </r>
  <r>
    <n v="10177"/>
    <n v="44"/>
    <n v="92.16"/>
    <n v="4055.04"/>
    <s v="Medium"/>
    <n v="1216.5119999999999"/>
    <d v="2003-11-07T00:00:00"/>
    <x v="0"/>
    <x v="0"/>
    <x v="5"/>
    <x v="0"/>
    <s v="Nov-2003"/>
    <x v="5"/>
    <x v="76"/>
    <x v="7"/>
    <x v="1"/>
    <x v="1"/>
  </r>
  <r>
    <n v="10185"/>
    <n v="37"/>
    <n v="100"/>
    <n v="3700"/>
    <s v="Medium"/>
    <n v="1110"/>
    <d v="2003-11-14T00:00:00"/>
    <x v="0"/>
    <x v="0"/>
    <x v="5"/>
    <x v="0"/>
    <s v="Nov-2003"/>
    <x v="5"/>
    <x v="50"/>
    <x v="0"/>
    <x v="0"/>
    <x v="1"/>
  </r>
  <r>
    <n v="10197"/>
    <n v="27"/>
    <n v="92.16"/>
    <n v="2488.3199999999997"/>
    <s v="Medium"/>
    <n v="746.49599999999987"/>
    <d v="2003-11-26T00:00:00"/>
    <x v="0"/>
    <x v="0"/>
    <x v="5"/>
    <x v="0"/>
    <s v="Nov-2003"/>
    <x v="5"/>
    <x v="53"/>
    <x v="7"/>
    <x v="1"/>
    <x v="0"/>
  </r>
  <r>
    <n v="10208"/>
    <n v="37"/>
    <n v="100"/>
    <n v="3700"/>
    <s v="Medium"/>
    <n v="1110"/>
    <d v="2004-01-02T00:00:00"/>
    <x v="0"/>
    <x v="0"/>
    <x v="7"/>
    <x v="1"/>
    <s v="Jan-2004"/>
    <x v="5"/>
    <x v="30"/>
    <x v="1"/>
    <x v="1"/>
    <x v="1"/>
  </r>
  <r>
    <n v="10222"/>
    <n v="38"/>
    <n v="100"/>
    <n v="3800"/>
    <s v="Medium"/>
    <n v="1140"/>
    <d v="2004-02-19T00:00:00"/>
    <x v="0"/>
    <x v="0"/>
    <x v="0"/>
    <x v="1"/>
    <s v="Feb-2004"/>
    <x v="5"/>
    <x v="55"/>
    <x v="0"/>
    <x v="0"/>
    <x v="1"/>
  </r>
  <r>
    <n v="10232"/>
    <n v="48"/>
    <n v="96.16"/>
    <n v="4615.68"/>
    <s v="Medium"/>
    <n v="1384.704"/>
    <d v="2004-03-20T00:00:00"/>
    <x v="0"/>
    <x v="0"/>
    <x v="11"/>
    <x v="1"/>
    <s v="Mar-2004"/>
    <x v="5"/>
    <x v="59"/>
    <x v="6"/>
    <x v="1"/>
    <x v="1"/>
  </r>
  <r>
    <n v="10248"/>
    <n v="30"/>
    <n v="100"/>
    <n v="3000"/>
    <s v="Medium"/>
    <n v="900"/>
    <d v="2004-05-07T00:00:00"/>
    <x v="3"/>
    <x v="1"/>
    <x v="1"/>
    <x v="1"/>
    <s v="May-2004"/>
    <x v="5"/>
    <x v="0"/>
    <x v="0"/>
    <x v="0"/>
    <x v="1"/>
  </r>
  <r>
    <n v="10261"/>
    <n v="25"/>
    <n v="88.15"/>
    <n v="2203.75"/>
    <s v="Medium"/>
    <n v="661.125"/>
    <d v="2004-06-17T00:00:00"/>
    <x v="0"/>
    <x v="0"/>
    <x v="9"/>
    <x v="1"/>
    <s v="Jun-2004"/>
    <x v="5"/>
    <x v="43"/>
    <x v="10"/>
    <x v="0"/>
    <x v="0"/>
  </r>
  <r>
    <n v="10273"/>
    <n v="40"/>
    <n v="86.15"/>
    <n v="3446"/>
    <s v="Medium"/>
    <n v="1033.8"/>
    <d v="2004-07-21T00:00:00"/>
    <x v="0"/>
    <x v="0"/>
    <x v="2"/>
    <x v="1"/>
    <s v="Jul-2004"/>
    <x v="5"/>
    <x v="56"/>
    <x v="14"/>
    <x v="1"/>
    <x v="1"/>
  </r>
  <r>
    <n v="10283"/>
    <n v="22"/>
    <n v="88.15"/>
    <n v="1939.3000000000002"/>
    <s v="Low"/>
    <n v="581.79000000000008"/>
    <d v="2004-08-20T00:00:00"/>
    <x v="0"/>
    <x v="0"/>
    <x v="3"/>
    <x v="1"/>
    <s v="Aug-2004"/>
    <x v="5"/>
    <x v="57"/>
    <x v="10"/>
    <x v="0"/>
    <x v="0"/>
  </r>
  <r>
    <n v="10295"/>
    <n v="34"/>
    <n v="100"/>
    <n v="3400"/>
    <s v="Medium"/>
    <n v="1020"/>
    <d v="2004-09-10T00:00:00"/>
    <x v="0"/>
    <x v="0"/>
    <x v="10"/>
    <x v="1"/>
    <s v="Sep-2004"/>
    <x v="5"/>
    <x v="58"/>
    <x v="0"/>
    <x v="0"/>
    <x v="1"/>
  </r>
  <r>
    <n v="10306"/>
    <n v="32"/>
    <n v="90.15"/>
    <n v="2884.8"/>
    <s v="Medium"/>
    <n v="865.44"/>
    <d v="2004-10-14T00:00:00"/>
    <x v="0"/>
    <x v="0"/>
    <x v="4"/>
    <x v="1"/>
    <s v="Oct-2004"/>
    <x v="5"/>
    <x v="77"/>
    <x v="6"/>
    <x v="1"/>
    <x v="0"/>
  </r>
  <r>
    <n v="10315"/>
    <n v="31"/>
    <n v="86.15"/>
    <n v="2670.65"/>
    <s v="Medium"/>
    <n v="801.19500000000005"/>
    <d v="2004-10-29T00:00:00"/>
    <x v="0"/>
    <x v="0"/>
    <x v="4"/>
    <x v="1"/>
    <s v="Oct-2004"/>
    <x v="5"/>
    <x v="14"/>
    <x v="1"/>
    <x v="1"/>
    <x v="0"/>
  </r>
  <r>
    <n v="10327"/>
    <n v="43"/>
    <n v="80"/>
    <n v="3440"/>
    <s v="Medium"/>
    <n v="1032"/>
    <d v="2004-11-10T00:00:00"/>
    <x v="5"/>
    <x v="1"/>
    <x v="5"/>
    <x v="1"/>
    <s v="Nov-2004"/>
    <x v="5"/>
    <x v="48"/>
    <x v="13"/>
    <x v="1"/>
    <x v="1"/>
  </r>
  <r>
    <n v="10337"/>
    <n v="31"/>
    <n v="89.38"/>
    <n v="2770.7799999999997"/>
    <s v="Medium"/>
    <n v="831.23399999999992"/>
    <d v="2004-11-21T00:00:00"/>
    <x v="0"/>
    <x v="0"/>
    <x v="5"/>
    <x v="1"/>
    <s v="Nov-2004"/>
    <x v="5"/>
    <x v="27"/>
    <x v="0"/>
    <x v="0"/>
    <x v="0"/>
  </r>
  <r>
    <n v="10350"/>
    <n v="31"/>
    <n v="77.34"/>
    <n v="2397.54"/>
    <s v="Medium"/>
    <n v="719.26199999999994"/>
    <d v="2004-12-02T00:00:00"/>
    <x v="0"/>
    <x v="0"/>
    <x v="6"/>
    <x v="1"/>
    <s v="Dec-2004"/>
    <x v="5"/>
    <x v="23"/>
    <x v="7"/>
    <x v="1"/>
    <x v="0"/>
  </r>
  <r>
    <n v="10373"/>
    <n v="34"/>
    <n v="96.34"/>
    <n v="3275.56"/>
    <s v="Medium"/>
    <n v="982.66799999999989"/>
    <d v="2005-01-31T00:00:00"/>
    <x v="0"/>
    <x v="0"/>
    <x v="7"/>
    <x v="2"/>
    <s v="Jan-2005"/>
    <x v="5"/>
    <x v="60"/>
    <x v="4"/>
    <x v="1"/>
    <x v="1"/>
  </r>
  <r>
    <n v="10386"/>
    <n v="45"/>
    <n v="92.08"/>
    <n v="4143.6000000000004"/>
    <s v="Medium"/>
    <n v="1243.0800000000002"/>
    <d v="2005-03-01T00:00:00"/>
    <x v="5"/>
    <x v="1"/>
    <x v="11"/>
    <x v="2"/>
    <s v="Mar-2005"/>
    <x v="5"/>
    <x v="23"/>
    <x v="7"/>
    <x v="1"/>
    <x v="1"/>
  </r>
  <r>
    <n v="10397"/>
    <n v="48"/>
    <n v="100"/>
    <n v="4800"/>
    <s v="Medium"/>
    <n v="1440"/>
    <d v="2005-03-28T00:00:00"/>
    <x v="0"/>
    <x v="0"/>
    <x v="11"/>
    <x v="2"/>
    <s v="Mar-2005"/>
    <x v="5"/>
    <x v="51"/>
    <x v="1"/>
    <x v="1"/>
    <x v="1"/>
  </r>
  <r>
    <n v="10414"/>
    <n v="28"/>
    <n v="100"/>
    <n v="2800"/>
    <s v="Medium"/>
    <n v="840"/>
    <d v="2005-05-06T00:00:00"/>
    <x v="4"/>
    <x v="1"/>
    <x v="1"/>
    <x v="2"/>
    <s v="May-2005"/>
    <x v="5"/>
    <x v="58"/>
    <x v="0"/>
    <x v="0"/>
    <x v="1"/>
  </r>
  <r>
    <n v="10105"/>
    <n v="22"/>
    <n v="100"/>
    <n v="2200"/>
    <s v="Medium"/>
    <n v="660"/>
    <d v="2003-02-11T00:00:00"/>
    <x v="0"/>
    <x v="0"/>
    <x v="0"/>
    <x v="0"/>
    <s v="Feb-2003"/>
    <x v="5"/>
    <x v="48"/>
    <x v="13"/>
    <x v="1"/>
    <x v="0"/>
  </r>
  <r>
    <n v="10117"/>
    <n v="45"/>
    <n v="83.42"/>
    <n v="3753.9"/>
    <s v="Medium"/>
    <n v="1126.17"/>
    <d v="2003-04-16T00:00:00"/>
    <x v="0"/>
    <x v="0"/>
    <x v="8"/>
    <x v="0"/>
    <s v="Apr-2003"/>
    <x v="5"/>
    <x v="26"/>
    <x v="9"/>
    <x v="3"/>
    <x v="1"/>
  </r>
  <r>
    <n v="10129"/>
    <n v="30"/>
    <n v="85.41"/>
    <n v="2562.2999999999997"/>
    <s v="Medium"/>
    <n v="768.68999999999994"/>
    <d v="2003-06-12T00:00:00"/>
    <x v="0"/>
    <x v="0"/>
    <x v="9"/>
    <x v="0"/>
    <s v="Jun-2003"/>
    <x v="5"/>
    <x v="49"/>
    <x v="6"/>
    <x v="1"/>
    <x v="0"/>
  </r>
  <r>
    <n v="10142"/>
    <n v="38"/>
    <n v="85.41"/>
    <n v="3245.58"/>
    <s v="Medium"/>
    <n v="973.67399999999998"/>
    <d v="2003-08-08T00:00:00"/>
    <x v="0"/>
    <x v="0"/>
    <x v="3"/>
    <x v="0"/>
    <s v="Aug-2003"/>
    <x v="5"/>
    <x v="39"/>
    <x v="0"/>
    <x v="0"/>
    <x v="1"/>
  </r>
  <r>
    <n v="10153"/>
    <n v="20"/>
    <n v="100"/>
    <n v="2000"/>
    <s v="Medium"/>
    <n v="600"/>
    <d v="2003-09-28T00:00:00"/>
    <x v="0"/>
    <x v="0"/>
    <x v="10"/>
    <x v="0"/>
    <s v="Sep-2003"/>
    <x v="5"/>
    <x v="23"/>
    <x v="7"/>
    <x v="1"/>
    <x v="0"/>
  </r>
  <r>
    <n v="10167"/>
    <n v="28"/>
    <n v="100"/>
    <n v="2800"/>
    <s v="Medium"/>
    <n v="840"/>
    <d v="2003-10-23T00:00:00"/>
    <x v="3"/>
    <x v="1"/>
    <x v="4"/>
    <x v="0"/>
    <s v="Oct-2003"/>
    <x v="5"/>
    <x v="37"/>
    <x v="8"/>
    <x v="1"/>
    <x v="1"/>
  </r>
  <r>
    <n v="10177"/>
    <n v="24"/>
    <n v="100"/>
    <n v="2400"/>
    <s v="Medium"/>
    <n v="720"/>
    <d v="2003-11-07T00:00:00"/>
    <x v="0"/>
    <x v="0"/>
    <x v="5"/>
    <x v="0"/>
    <s v="Nov-2003"/>
    <x v="5"/>
    <x v="76"/>
    <x v="7"/>
    <x v="1"/>
    <x v="0"/>
  </r>
  <r>
    <n v="10185"/>
    <n v="22"/>
    <n v="79.45"/>
    <n v="1747.9"/>
    <s v="Low"/>
    <n v="524.37"/>
    <d v="2003-11-14T00:00:00"/>
    <x v="0"/>
    <x v="0"/>
    <x v="5"/>
    <x v="0"/>
    <s v="Nov-2003"/>
    <x v="5"/>
    <x v="50"/>
    <x v="0"/>
    <x v="0"/>
    <x v="0"/>
  </r>
  <r>
    <n v="10197"/>
    <n v="35"/>
    <n v="93.35"/>
    <n v="3267.25"/>
    <s v="Medium"/>
    <n v="980.17499999999995"/>
    <d v="2003-11-26T00:00:00"/>
    <x v="0"/>
    <x v="0"/>
    <x v="5"/>
    <x v="0"/>
    <s v="Nov-2003"/>
    <x v="5"/>
    <x v="53"/>
    <x v="7"/>
    <x v="1"/>
    <x v="1"/>
  </r>
  <r>
    <n v="10208"/>
    <n v="33"/>
    <n v="85.41"/>
    <n v="2818.5299999999997"/>
    <s v="Medium"/>
    <n v="845.55899999999986"/>
    <d v="2004-01-02T00:00:00"/>
    <x v="0"/>
    <x v="0"/>
    <x v="7"/>
    <x v="1"/>
    <s v="Jan-2004"/>
    <x v="5"/>
    <x v="30"/>
    <x v="1"/>
    <x v="1"/>
    <x v="0"/>
  </r>
  <r>
    <n v="10222"/>
    <n v="31"/>
    <n v="95.34"/>
    <n v="2955.54"/>
    <s v="Medium"/>
    <n v="886.66199999999992"/>
    <d v="2004-02-19T00:00:00"/>
    <x v="0"/>
    <x v="0"/>
    <x v="0"/>
    <x v="1"/>
    <s v="Feb-2004"/>
    <x v="5"/>
    <x v="55"/>
    <x v="0"/>
    <x v="0"/>
    <x v="0"/>
  </r>
  <r>
    <n v="10232"/>
    <n v="35"/>
    <n v="82.43"/>
    <n v="2885.05"/>
    <s v="Medium"/>
    <n v="865.51499999999999"/>
    <d v="2004-03-20T00:00:00"/>
    <x v="0"/>
    <x v="0"/>
    <x v="11"/>
    <x v="1"/>
    <s v="Mar-2004"/>
    <x v="5"/>
    <x v="59"/>
    <x v="6"/>
    <x v="1"/>
    <x v="0"/>
  </r>
  <r>
    <n v="10248"/>
    <n v="35"/>
    <n v="90.37"/>
    <n v="3162.9500000000003"/>
    <s v="Medium"/>
    <n v="948.88499999999999"/>
    <d v="2004-05-07T00:00:00"/>
    <x v="3"/>
    <x v="1"/>
    <x v="1"/>
    <x v="1"/>
    <s v="May-2004"/>
    <x v="5"/>
    <x v="0"/>
    <x v="0"/>
    <x v="0"/>
    <x v="1"/>
  </r>
  <r>
    <n v="10261"/>
    <n v="50"/>
    <n v="81.430000000000007"/>
    <n v="4071.5000000000005"/>
    <s v="Medium"/>
    <n v="1221.45"/>
    <d v="2004-06-17T00:00:00"/>
    <x v="0"/>
    <x v="0"/>
    <x v="9"/>
    <x v="1"/>
    <s v="Jun-2004"/>
    <x v="5"/>
    <x v="43"/>
    <x v="10"/>
    <x v="0"/>
    <x v="1"/>
  </r>
  <r>
    <n v="10273"/>
    <n v="26"/>
    <n v="100"/>
    <n v="2600"/>
    <s v="Medium"/>
    <n v="780"/>
    <d v="2004-07-21T00:00:00"/>
    <x v="0"/>
    <x v="0"/>
    <x v="2"/>
    <x v="1"/>
    <s v="Jul-2004"/>
    <x v="5"/>
    <x v="56"/>
    <x v="14"/>
    <x v="1"/>
    <x v="0"/>
  </r>
  <r>
    <n v="10283"/>
    <n v="38"/>
    <n v="89.38"/>
    <n v="3396.4399999999996"/>
    <s v="Medium"/>
    <n v="1018.9319999999998"/>
    <d v="2004-08-20T00:00:00"/>
    <x v="0"/>
    <x v="0"/>
    <x v="3"/>
    <x v="1"/>
    <s v="Aug-2004"/>
    <x v="5"/>
    <x v="57"/>
    <x v="10"/>
    <x v="0"/>
    <x v="1"/>
  </r>
  <r>
    <n v="10294"/>
    <n v="45"/>
    <n v="100"/>
    <n v="4500"/>
    <s v="Medium"/>
    <n v="1350"/>
    <d v="2004-09-10T00:00:00"/>
    <x v="0"/>
    <x v="0"/>
    <x v="10"/>
    <x v="1"/>
    <s v="Sep-2004"/>
    <x v="5"/>
    <x v="71"/>
    <x v="0"/>
    <x v="0"/>
    <x v="1"/>
  </r>
  <r>
    <n v="10306"/>
    <n v="30"/>
    <n v="100"/>
    <n v="3000"/>
    <s v="Medium"/>
    <n v="900"/>
    <d v="2004-10-14T00:00:00"/>
    <x v="0"/>
    <x v="0"/>
    <x v="4"/>
    <x v="1"/>
    <s v="Oct-2004"/>
    <x v="5"/>
    <x v="77"/>
    <x v="6"/>
    <x v="1"/>
    <x v="1"/>
  </r>
  <r>
    <n v="10315"/>
    <n v="37"/>
    <n v="91.37"/>
    <n v="3380.69"/>
    <s v="Medium"/>
    <n v="1014.207"/>
    <d v="2004-10-29T00:00:00"/>
    <x v="0"/>
    <x v="0"/>
    <x v="4"/>
    <x v="1"/>
    <s v="Oct-2004"/>
    <x v="5"/>
    <x v="14"/>
    <x v="1"/>
    <x v="1"/>
    <x v="1"/>
  </r>
  <r>
    <n v="10327"/>
    <n v="37"/>
    <n v="86.61"/>
    <n v="3204.57"/>
    <s v="Medium"/>
    <n v="961.37099999999998"/>
    <d v="2004-11-10T00:00:00"/>
    <x v="5"/>
    <x v="1"/>
    <x v="5"/>
    <x v="1"/>
    <s v="Nov-2004"/>
    <x v="5"/>
    <x v="48"/>
    <x v="13"/>
    <x v="1"/>
    <x v="1"/>
  </r>
  <r>
    <n v="10337"/>
    <n v="36"/>
    <n v="71.89"/>
    <n v="2588.04"/>
    <s v="Medium"/>
    <n v="776.41199999999992"/>
    <d v="2004-11-21T00:00:00"/>
    <x v="0"/>
    <x v="0"/>
    <x v="5"/>
    <x v="1"/>
    <s v="Nov-2004"/>
    <x v="5"/>
    <x v="27"/>
    <x v="0"/>
    <x v="0"/>
    <x v="0"/>
  </r>
  <r>
    <n v="10350"/>
    <n v="25"/>
    <n v="100"/>
    <n v="2500"/>
    <s v="Medium"/>
    <n v="750"/>
    <d v="2004-12-02T00:00:00"/>
    <x v="0"/>
    <x v="0"/>
    <x v="6"/>
    <x v="1"/>
    <s v="Dec-2004"/>
    <x v="5"/>
    <x v="23"/>
    <x v="7"/>
    <x v="1"/>
    <x v="0"/>
  </r>
  <r>
    <n v="10373"/>
    <n v="37"/>
    <n v="100"/>
    <n v="3700"/>
    <s v="Medium"/>
    <n v="1110"/>
    <d v="2005-01-31T00:00:00"/>
    <x v="0"/>
    <x v="0"/>
    <x v="7"/>
    <x v="2"/>
    <s v="Jan-2005"/>
    <x v="5"/>
    <x v="60"/>
    <x v="4"/>
    <x v="1"/>
    <x v="1"/>
  </r>
  <r>
    <n v="10386"/>
    <n v="30"/>
    <n v="95.48"/>
    <n v="2864.4"/>
    <s v="Medium"/>
    <n v="859.32"/>
    <d v="2005-03-01T00:00:00"/>
    <x v="5"/>
    <x v="1"/>
    <x v="11"/>
    <x v="2"/>
    <s v="Mar-2005"/>
    <x v="5"/>
    <x v="23"/>
    <x v="7"/>
    <x v="1"/>
    <x v="0"/>
  </r>
  <r>
    <n v="10397"/>
    <n v="36"/>
    <n v="100"/>
    <n v="3600"/>
    <s v="Medium"/>
    <n v="1080"/>
    <d v="2005-03-28T00:00:00"/>
    <x v="0"/>
    <x v="0"/>
    <x v="11"/>
    <x v="2"/>
    <s v="Mar-2005"/>
    <x v="5"/>
    <x v="51"/>
    <x v="1"/>
    <x v="1"/>
    <x v="1"/>
  </r>
  <r>
    <n v="10414"/>
    <n v="27"/>
    <n v="90.37"/>
    <n v="2439.9900000000002"/>
    <s v="Medium"/>
    <n v="731.99700000000007"/>
    <d v="2005-05-06T00:00:00"/>
    <x v="4"/>
    <x v="1"/>
    <x v="1"/>
    <x v="2"/>
    <s v="May-2005"/>
    <x v="5"/>
    <x v="58"/>
    <x v="0"/>
    <x v="0"/>
    <x v="0"/>
  </r>
  <r>
    <n v="10106"/>
    <n v="48"/>
    <n v="61.44"/>
    <n v="2949.12"/>
    <s v="Medium"/>
    <n v="884.73599999999999"/>
    <d v="2003-02-17T00:00:00"/>
    <x v="0"/>
    <x v="0"/>
    <x v="0"/>
    <x v="0"/>
    <s v="Feb-2003"/>
    <x v="4"/>
    <x v="86"/>
    <x v="12"/>
    <x v="1"/>
    <x v="0"/>
  </r>
  <r>
    <n v="10119"/>
    <n v="26"/>
    <n v="59.22"/>
    <n v="1539.72"/>
    <s v="Low"/>
    <n v="461.916"/>
    <d v="2003-04-28T00:00:00"/>
    <x v="0"/>
    <x v="0"/>
    <x v="8"/>
    <x v="0"/>
    <s v="Apr-2003"/>
    <x v="4"/>
    <x v="19"/>
    <x v="5"/>
    <x v="1"/>
    <x v="0"/>
  </r>
  <r>
    <n v="10131"/>
    <n v="26"/>
    <n v="85.13"/>
    <n v="2213.38"/>
    <s v="Medium"/>
    <n v="664.01400000000001"/>
    <d v="2003-06-16T00:00:00"/>
    <x v="0"/>
    <x v="0"/>
    <x v="9"/>
    <x v="0"/>
    <s v="Jun-2003"/>
    <x v="4"/>
    <x v="88"/>
    <x v="0"/>
    <x v="0"/>
    <x v="0"/>
  </r>
  <r>
    <n v="10143"/>
    <n v="34"/>
    <n v="85.87"/>
    <n v="2919.58"/>
    <s v="Medium"/>
    <n v="875.87399999999991"/>
    <d v="2003-08-10T00:00:00"/>
    <x v="0"/>
    <x v="0"/>
    <x v="3"/>
    <x v="0"/>
    <s v="Aug-2003"/>
    <x v="4"/>
    <x v="50"/>
    <x v="0"/>
    <x v="0"/>
    <x v="0"/>
  </r>
  <r>
    <n v="10155"/>
    <n v="44"/>
    <n v="85.87"/>
    <n v="3778.28"/>
    <s v="Medium"/>
    <n v="1133.4839999999999"/>
    <d v="2003-10-06T00:00:00"/>
    <x v="0"/>
    <x v="0"/>
    <x v="4"/>
    <x v="0"/>
    <s v="Oct-2003"/>
    <x v="4"/>
    <x v="16"/>
    <x v="4"/>
    <x v="1"/>
    <x v="1"/>
  </r>
  <r>
    <n v="10168"/>
    <n v="39"/>
    <n v="82.91"/>
    <n v="3233.49"/>
    <s v="Medium"/>
    <n v="970.04699999999991"/>
    <d v="2003-10-28T00:00:00"/>
    <x v="0"/>
    <x v="0"/>
    <x v="4"/>
    <x v="0"/>
    <s v="Oct-2003"/>
    <x v="4"/>
    <x v="5"/>
    <x v="0"/>
    <x v="0"/>
    <x v="1"/>
  </r>
  <r>
    <n v="10178"/>
    <n v="45"/>
    <n v="76.25"/>
    <n v="3431.25"/>
    <s v="Medium"/>
    <n v="1029.375"/>
    <d v="2003-11-08T00:00:00"/>
    <x v="0"/>
    <x v="0"/>
    <x v="5"/>
    <x v="0"/>
    <s v="Nov-2003"/>
    <x v="4"/>
    <x v="51"/>
    <x v="1"/>
    <x v="1"/>
    <x v="1"/>
  </r>
  <r>
    <n v="10198"/>
    <n v="40"/>
    <n v="63.67"/>
    <n v="2546.8000000000002"/>
    <s v="Medium"/>
    <n v="764.04000000000008"/>
    <d v="2003-11-27T00:00:00"/>
    <x v="0"/>
    <x v="0"/>
    <x v="5"/>
    <x v="0"/>
    <s v="Nov-2003"/>
    <x v="4"/>
    <x v="66"/>
    <x v="15"/>
    <x v="3"/>
    <x v="0"/>
  </r>
  <r>
    <n v="10210"/>
    <n v="42"/>
    <n v="70.33"/>
    <n v="2953.86"/>
    <s v="Medium"/>
    <n v="886.15800000000002"/>
    <d v="2004-01-12T00:00:00"/>
    <x v="0"/>
    <x v="0"/>
    <x v="7"/>
    <x v="1"/>
    <s v="Jan-2004"/>
    <x v="4"/>
    <x v="44"/>
    <x v="11"/>
    <x v="3"/>
    <x v="0"/>
  </r>
  <r>
    <n v="10222"/>
    <n v="43"/>
    <n v="74.03"/>
    <n v="3183.29"/>
    <s v="Medium"/>
    <n v="954.98699999999997"/>
    <d v="2004-02-19T00:00:00"/>
    <x v="0"/>
    <x v="0"/>
    <x v="0"/>
    <x v="1"/>
    <s v="Feb-2004"/>
    <x v="4"/>
    <x v="55"/>
    <x v="0"/>
    <x v="0"/>
    <x v="1"/>
  </r>
  <r>
    <n v="10235"/>
    <n v="34"/>
    <n v="72.55"/>
    <n v="2466.6999999999998"/>
    <s v="Medium"/>
    <n v="740.00999999999988"/>
    <d v="2004-04-02T00:00:00"/>
    <x v="0"/>
    <x v="0"/>
    <x v="8"/>
    <x v="1"/>
    <s v="Apr-2004"/>
    <x v="4"/>
    <x v="57"/>
    <x v="10"/>
    <x v="0"/>
    <x v="0"/>
  </r>
  <r>
    <n v="10250"/>
    <n v="38"/>
    <n v="62.19"/>
    <n v="2363.2199999999998"/>
    <s v="Medium"/>
    <n v="708.96599999999989"/>
    <d v="2004-05-11T00:00:00"/>
    <x v="0"/>
    <x v="0"/>
    <x v="1"/>
    <x v="1"/>
    <s v="May-2004"/>
    <x v="4"/>
    <x v="61"/>
    <x v="0"/>
    <x v="0"/>
    <x v="0"/>
  </r>
  <r>
    <n v="10262"/>
    <n v="35"/>
    <n v="71.069999999999993"/>
    <n v="2487.4499999999998"/>
    <s v="Medium"/>
    <n v="746.2349999999999"/>
    <d v="2004-06-24T00:00:00"/>
    <x v="3"/>
    <x v="1"/>
    <x v="9"/>
    <x v="1"/>
    <s v="Jun-2004"/>
    <x v="4"/>
    <x v="23"/>
    <x v="7"/>
    <x v="1"/>
    <x v="0"/>
  </r>
  <r>
    <n v="10275"/>
    <n v="31"/>
    <n v="72.55"/>
    <n v="2249.0499999999997"/>
    <s v="Medium"/>
    <n v="674.71499999999992"/>
    <d v="2004-07-23T00:00:00"/>
    <x v="0"/>
    <x v="0"/>
    <x v="2"/>
    <x v="1"/>
    <s v="Jul-2004"/>
    <x v="4"/>
    <x v="14"/>
    <x v="1"/>
    <x v="1"/>
    <x v="0"/>
  </r>
  <r>
    <n v="10284"/>
    <n v="32"/>
    <n v="64.41"/>
    <n v="2061.12"/>
    <s v="Medium"/>
    <n v="618.3359999999999"/>
    <d v="2004-08-21T00:00:00"/>
    <x v="0"/>
    <x v="0"/>
    <x v="3"/>
    <x v="1"/>
    <s v="Aug-2004"/>
    <x v="4"/>
    <x v="85"/>
    <x v="2"/>
    <x v="1"/>
    <x v="0"/>
  </r>
  <r>
    <n v="10296"/>
    <n v="47"/>
    <n v="86.62"/>
    <n v="4071.1400000000003"/>
    <s v="Medium"/>
    <n v="1221.3420000000001"/>
    <d v="2004-09-15T00:00:00"/>
    <x v="0"/>
    <x v="0"/>
    <x v="10"/>
    <x v="1"/>
    <s v="Sep-2004"/>
    <x v="4"/>
    <x v="89"/>
    <x v="16"/>
    <x v="1"/>
    <x v="1"/>
  </r>
  <r>
    <n v="10308"/>
    <n v="39"/>
    <n v="68.11"/>
    <n v="2656.29"/>
    <s v="Medium"/>
    <n v="796.88699999999994"/>
    <d v="2004-10-15T00:00:00"/>
    <x v="0"/>
    <x v="0"/>
    <x v="4"/>
    <x v="1"/>
    <s v="Oct-2004"/>
    <x v="4"/>
    <x v="47"/>
    <x v="0"/>
    <x v="0"/>
    <x v="0"/>
  </r>
  <r>
    <n v="10316"/>
    <n v="44"/>
    <n v="62.19"/>
    <n v="2736.3599999999997"/>
    <s v="Medium"/>
    <n v="820.9079999999999"/>
    <d v="2004-11-01T00:00:00"/>
    <x v="0"/>
    <x v="0"/>
    <x v="5"/>
    <x v="1"/>
    <s v="Nov-2004"/>
    <x v="4"/>
    <x v="59"/>
    <x v="6"/>
    <x v="1"/>
    <x v="0"/>
  </r>
  <r>
    <n v="10328"/>
    <n v="39"/>
    <n v="85.87"/>
    <n v="3348.9300000000003"/>
    <s v="Medium"/>
    <n v="1004.6790000000001"/>
    <d v="2004-11-12T00:00:00"/>
    <x v="0"/>
    <x v="0"/>
    <x v="5"/>
    <x v="1"/>
    <s v="Nov-2004"/>
    <x v="4"/>
    <x v="86"/>
    <x v="12"/>
    <x v="1"/>
    <x v="1"/>
  </r>
  <r>
    <n v="10339"/>
    <n v="50"/>
    <n v="57.86"/>
    <n v="2893"/>
    <s v="Medium"/>
    <n v="867.9"/>
    <d v="2004-11-23T00:00:00"/>
    <x v="0"/>
    <x v="0"/>
    <x v="5"/>
    <x v="1"/>
    <s v="Nov-2004"/>
    <x v="4"/>
    <x v="35"/>
    <x v="11"/>
    <x v="3"/>
    <x v="0"/>
  </r>
  <r>
    <n v="10352"/>
    <n v="22"/>
    <n v="75.510000000000005"/>
    <n v="1661.22"/>
    <s v="Low"/>
    <n v="498.36599999999999"/>
    <d v="2004-12-03T00:00:00"/>
    <x v="0"/>
    <x v="0"/>
    <x v="6"/>
    <x v="1"/>
    <s v="Dec-2004"/>
    <x v="4"/>
    <x v="91"/>
    <x v="0"/>
    <x v="0"/>
    <x v="0"/>
  </r>
  <r>
    <n v="10361"/>
    <n v="35"/>
    <n v="100"/>
    <n v="3500"/>
    <s v="Medium"/>
    <n v="1050"/>
    <d v="2004-12-17T00:00:00"/>
    <x v="0"/>
    <x v="0"/>
    <x v="6"/>
    <x v="1"/>
    <s v="Dec-2004"/>
    <x v="4"/>
    <x v="20"/>
    <x v="3"/>
    <x v="2"/>
    <x v="1"/>
  </r>
  <r>
    <n v="10373"/>
    <n v="45"/>
    <n v="55.62"/>
    <n v="2502.9"/>
    <s v="Medium"/>
    <n v="750.87"/>
    <d v="2005-01-31T00:00:00"/>
    <x v="0"/>
    <x v="0"/>
    <x v="7"/>
    <x v="2"/>
    <s v="Jan-2005"/>
    <x v="4"/>
    <x v="60"/>
    <x v="4"/>
    <x v="1"/>
    <x v="0"/>
  </r>
  <r>
    <n v="10386"/>
    <n v="44"/>
    <n v="86.4"/>
    <n v="3801.6000000000004"/>
    <s v="Medium"/>
    <n v="1140.48"/>
    <d v="2005-03-01T00:00:00"/>
    <x v="5"/>
    <x v="1"/>
    <x v="11"/>
    <x v="2"/>
    <s v="Mar-2005"/>
    <x v="4"/>
    <x v="23"/>
    <x v="7"/>
    <x v="1"/>
    <x v="1"/>
  </r>
  <r>
    <n v="10398"/>
    <n v="36"/>
    <n v="87.36"/>
    <n v="3144.96"/>
    <s v="Medium"/>
    <n v="943.48799999999994"/>
    <d v="2005-03-30T00:00:00"/>
    <x v="0"/>
    <x v="0"/>
    <x v="11"/>
    <x v="2"/>
    <s v="Mar-2005"/>
    <x v="4"/>
    <x v="1"/>
    <x v="1"/>
    <x v="1"/>
    <x v="1"/>
  </r>
  <r>
    <n v="10401"/>
    <n v="28"/>
    <n v="72.55"/>
    <n v="2031.3999999999999"/>
    <s v="Medium"/>
    <n v="609.41999999999996"/>
    <d v="2005-04-03T00:00:00"/>
    <x v="4"/>
    <x v="1"/>
    <x v="8"/>
    <x v="2"/>
    <s v="Apr-2005"/>
    <x v="4"/>
    <x v="12"/>
    <x v="0"/>
    <x v="0"/>
    <x v="0"/>
  </r>
  <r>
    <n v="10416"/>
    <n v="43"/>
    <n v="62.19"/>
    <n v="2674.17"/>
    <s v="Medium"/>
    <n v="802.25099999999998"/>
    <d v="2005-05-10T00:00:00"/>
    <x v="0"/>
    <x v="0"/>
    <x v="1"/>
    <x v="2"/>
    <s v="May-2005"/>
    <x v="4"/>
    <x v="70"/>
    <x v="12"/>
    <x v="1"/>
    <x v="0"/>
  </r>
  <r>
    <n v="10106"/>
    <n v="48"/>
    <n v="52.64"/>
    <n v="2526.7200000000003"/>
    <s v="Medium"/>
    <n v="758.01600000000008"/>
    <d v="2003-02-17T00:00:00"/>
    <x v="0"/>
    <x v="0"/>
    <x v="0"/>
    <x v="0"/>
    <s v="Feb-2003"/>
    <x v="4"/>
    <x v="86"/>
    <x v="12"/>
    <x v="1"/>
    <x v="0"/>
  </r>
  <r>
    <n v="10119"/>
    <n v="28"/>
    <n v="48.17"/>
    <n v="1348.76"/>
    <s v="Low"/>
    <n v="404.62799999999999"/>
    <d v="2003-04-28T00:00:00"/>
    <x v="0"/>
    <x v="0"/>
    <x v="8"/>
    <x v="0"/>
    <s v="Apr-2003"/>
    <x v="4"/>
    <x v="19"/>
    <x v="5"/>
    <x v="1"/>
    <x v="0"/>
  </r>
  <r>
    <n v="10131"/>
    <n v="21"/>
    <n v="41.71"/>
    <n v="875.91"/>
    <s v="Low"/>
    <n v="262.77299999999997"/>
    <d v="2003-06-16T00:00:00"/>
    <x v="0"/>
    <x v="0"/>
    <x v="9"/>
    <x v="0"/>
    <s v="Jun-2003"/>
    <x v="4"/>
    <x v="88"/>
    <x v="0"/>
    <x v="0"/>
    <x v="0"/>
  </r>
  <r>
    <n v="10143"/>
    <n v="37"/>
    <n v="50.65"/>
    <n v="1874.05"/>
    <s v="Low"/>
    <n v="562.21499999999992"/>
    <d v="2003-08-10T00:00:00"/>
    <x v="0"/>
    <x v="0"/>
    <x v="3"/>
    <x v="0"/>
    <s v="Aug-2003"/>
    <x v="4"/>
    <x v="50"/>
    <x v="0"/>
    <x v="0"/>
    <x v="0"/>
  </r>
  <r>
    <n v="10155"/>
    <n v="34"/>
    <n v="49.16"/>
    <n v="1671.4399999999998"/>
    <s v="Low"/>
    <n v="501.4319999999999"/>
    <d v="2003-10-06T00:00:00"/>
    <x v="0"/>
    <x v="0"/>
    <x v="4"/>
    <x v="0"/>
    <s v="Oct-2003"/>
    <x v="4"/>
    <x v="16"/>
    <x v="4"/>
    <x v="1"/>
    <x v="0"/>
  </r>
  <r>
    <n v="10167"/>
    <n v="40"/>
    <n v="41.71"/>
    <n v="1668.4"/>
    <s v="Low"/>
    <n v="500.52"/>
    <d v="2003-10-23T00:00:00"/>
    <x v="3"/>
    <x v="1"/>
    <x v="4"/>
    <x v="0"/>
    <s v="Oct-2003"/>
    <x v="4"/>
    <x v="37"/>
    <x v="8"/>
    <x v="1"/>
    <x v="0"/>
  </r>
  <r>
    <n v="10178"/>
    <n v="45"/>
    <n v="51.15"/>
    <n v="2301.75"/>
    <s v="Medium"/>
    <n v="690.52499999999998"/>
    <d v="2003-11-08T00:00:00"/>
    <x v="0"/>
    <x v="0"/>
    <x v="5"/>
    <x v="0"/>
    <s v="Nov-2003"/>
    <x v="4"/>
    <x v="51"/>
    <x v="1"/>
    <x v="1"/>
    <x v="0"/>
  </r>
  <r>
    <n v="10186"/>
    <n v="28"/>
    <n v="52.14"/>
    <n v="1459.92"/>
    <s v="Low"/>
    <n v="437.976"/>
    <d v="2003-11-14T00:00:00"/>
    <x v="0"/>
    <x v="0"/>
    <x v="5"/>
    <x v="0"/>
    <s v="Nov-2003"/>
    <x v="4"/>
    <x v="52"/>
    <x v="6"/>
    <x v="1"/>
    <x v="0"/>
  </r>
  <r>
    <n v="10197"/>
    <n v="29"/>
    <n v="41.71"/>
    <n v="1209.5899999999999"/>
    <s v="Low"/>
    <n v="362.87699999999995"/>
    <d v="2003-11-26T00:00:00"/>
    <x v="0"/>
    <x v="0"/>
    <x v="5"/>
    <x v="0"/>
    <s v="Nov-2003"/>
    <x v="4"/>
    <x v="53"/>
    <x v="7"/>
    <x v="1"/>
    <x v="0"/>
  </r>
  <r>
    <n v="10209"/>
    <n v="48"/>
    <n v="44.69"/>
    <n v="2145.12"/>
    <s v="Medium"/>
    <n v="643.53599999999994"/>
    <d v="2004-01-09T00:00:00"/>
    <x v="0"/>
    <x v="0"/>
    <x v="7"/>
    <x v="1"/>
    <s v="Jan-2004"/>
    <x v="4"/>
    <x v="54"/>
    <x v="0"/>
    <x v="0"/>
    <x v="0"/>
  </r>
  <r>
    <n v="10222"/>
    <n v="31"/>
    <n v="45.69"/>
    <n v="1416.3899999999999"/>
    <s v="Low"/>
    <n v="424.91699999999997"/>
    <d v="2004-02-19T00:00:00"/>
    <x v="0"/>
    <x v="0"/>
    <x v="0"/>
    <x v="1"/>
    <s v="Feb-2004"/>
    <x v="4"/>
    <x v="55"/>
    <x v="0"/>
    <x v="0"/>
    <x v="0"/>
  </r>
  <r>
    <n v="10249"/>
    <n v="32"/>
    <n v="57.61"/>
    <n v="1843.52"/>
    <s v="Low"/>
    <n v="553.05599999999993"/>
    <d v="2004-05-08T00:00:00"/>
    <x v="0"/>
    <x v="0"/>
    <x v="1"/>
    <x v="1"/>
    <s v="May-2004"/>
    <x v="4"/>
    <x v="33"/>
    <x v="0"/>
    <x v="0"/>
    <x v="0"/>
  </r>
  <r>
    <n v="10262"/>
    <n v="21"/>
    <n v="57.11"/>
    <n v="1199.31"/>
    <s v="Low"/>
    <n v="359.79299999999995"/>
    <d v="2004-06-24T00:00:00"/>
    <x v="3"/>
    <x v="1"/>
    <x v="9"/>
    <x v="1"/>
    <s v="Jun-2004"/>
    <x v="4"/>
    <x v="23"/>
    <x v="7"/>
    <x v="1"/>
    <x v="0"/>
  </r>
  <r>
    <n v="10274"/>
    <n v="32"/>
    <n v="58.6"/>
    <n v="1875.2"/>
    <s v="Low"/>
    <n v="562.55999999999995"/>
    <d v="2004-07-21T00:00:00"/>
    <x v="0"/>
    <x v="0"/>
    <x v="2"/>
    <x v="1"/>
    <s v="Jul-2004"/>
    <x v="4"/>
    <x v="41"/>
    <x v="0"/>
    <x v="0"/>
    <x v="0"/>
  </r>
  <r>
    <n v="10283"/>
    <n v="43"/>
    <n v="57.61"/>
    <n v="2477.23"/>
    <s v="Medium"/>
    <n v="743.16899999999998"/>
    <d v="2004-08-20T00:00:00"/>
    <x v="0"/>
    <x v="0"/>
    <x v="3"/>
    <x v="1"/>
    <s v="Aug-2004"/>
    <x v="4"/>
    <x v="57"/>
    <x v="10"/>
    <x v="0"/>
    <x v="0"/>
  </r>
  <r>
    <n v="10296"/>
    <n v="21"/>
    <n v="45.19"/>
    <n v="948.99"/>
    <s v="Low"/>
    <n v="284.697"/>
    <d v="2004-09-15T00:00:00"/>
    <x v="0"/>
    <x v="0"/>
    <x v="10"/>
    <x v="1"/>
    <s v="Sep-2004"/>
    <x v="4"/>
    <x v="89"/>
    <x v="16"/>
    <x v="1"/>
    <x v="0"/>
  </r>
  <r>
    <n v="10307"/>
    <n v="34"/>
    <n v="53.63"/>
    <n v="1823.42"/>
    <s v="Low"/>
    <n v="547.02599999999995"/>
    <d v="2004-10-14T00:00:00"/>
    <x v="0"/>
    <x v="0"/>
    <x v="4"/>
    <x v="1"/>
    <s v="Oct-2004"/>
    <x v="4"/>
    <x v="29"/>
    <x v="0"/>
    <x v="0"/>
    <x v="0"/>
  </r>
  <r>
    <n v="10316"/>
    <n v="34"/>
    <n v="43.7"/>
    <n v="1485.8000000000002"/>
    <s v="Low"/>
    <n v="445.74000000000007"/>
    <d v="2004-11-01T00:00:00"/>
    <x v="0"/>
    <x v="0"/>
    <x v="5"/>
    <x v="1"/>
    <s v="Nov-2004"/>
    <x v="4"/>
    <x v="59"/>
    <x v="6"/>
    <x v="1"/>
    <x v="0"/>
  </r>
  <r>
    <n v="10329"/>
    <n v="44"/>
    <n v="86.13"/>
    <n v="3789.72"/>
    <s v="Medium"/>
    <n v="1136.9159999999999"/>
    <d v="2004-11-15T00:00:00"/>
    <x v="0"/>
    <x v="0"/>
    <x v="5"/>
    <x v="1"/>
    <s v="Nov-2004"/>
    <x v="4"/>
    <x v="0"/>
    <x v="0"/>
    <x v="0"/>
    <x v="1"/>
  </r>
  <r>
    <n v="10339"/>
    <n v="27"/>
    <n v="76.31"/>
    <n v="2060.37"/>
    <s v="Medium"/>
    <n v="618.11099999999999"/>
    <d v="2004-11-23T00:00:00"/>
    <x v="0"/>
    <x v="0"/>
    <x v="5"/>
    <x v="1"/>
    <s v="Nov-2004"/>
    <x v="4"/>
    <x v="35"/>
    <x v="11"/>
    <x v="3"/>
    <x v="0"/>
  </r>
  <r>
    <n v="10352"/>
    <n v="49"/>
    <n v="52.64"/>
    <n v="2579.36"/>
    <s v="Medium"/>
    <n v="773.80799999999999"/>
    <d v="2004-12-03T00:00:00"/>
    <x v="0"/>
    <x v="0"/>
    <x v="6"/>
    <x v="1"/>
    <s v="Dec-2004"/>
    <x v="4"/>
    <x v="91"/>
    <x v="0"/>
    <x v="0"/>
    <x v="0"/>
  </r>
  <r>
    <n v="10361"/>
    <n v="23"/>
    <n v="95.2"/>
    <n v="2189.6"/>
    <s v="Medium"/>
    <n v="656.88"/>
    <d v="2004-12-17T00:00:00"/>
    <x v="0"/>
    <x v="0"/>
    <x v="6"/>
    <x v="1"/>
    <s v="Dec-2004"/>
    <x v="4"/>
    <x v="20"/>
    <x v="3"/>
    <x v="2"/>
    <x v="0"/>
  </r>
  <r>
    <n v="10373"/>
    <n v="25"/>
    <n v="64.97"/>
    <n v="1624.25"/>
    <s v="Low"/>
    <n v="487.27499999999998"/>
    <d v="2005-01-31T00:00:00"/>
    <x v="0"/>
    <x v="0"/>
    <x v="7"/>
    <x v="2"/>
    <s v="Jan-2005"/>
    <x v="4"/>
    <x v="60"/>
    <x v="4"/>
    <x v="1"/>
    <x v="0"/>
  </r>
  <r>
    <n v="10386"/>
    <n v="50"/>
    <n v="87.15"/>
    <n v="4357.5"/>
    <s v="Medium"/>
    <n v="1307.25"/>
    <d v="2005-03-01T00:00:00"/>
    <x v="5"/>
    <x v="1"/>
    <x v="11"/>
    <x v="2"/>
    <s v="Mar-2005"/>
    <x v="4"/>
    <x v="23"/>
    <x v="7"/>
    <x v="1"/>
    <x v="1"/>
  </r>
  <r>
    <n v="10398"/>
    <n v="34"/>
    <n v="40.22"/>
    <n v="1367.48"/>
    <s v="Low"/>
    <n v="410.24399999999997"/>
    <d v="2005-03-30T00:00:00"/>
    <x v="0"/>
    <x v="0"/>
    <x v="11"/>
    <x v="2"/>
    <s v="Mar-2005"/>
    <x v="4"/>
    <x v="1"/>
    <x v="1"/>
    <x v="1"/>
    <x v="0"/>
  </r>
  <r>
    <n v="10400"/>
    <n v="20"/>
    <n v="56.12"/>
    <n v="1122.3999999999999"/>
    <s v="Low"/>
    <n v="336.71999999999997"/>
    <d v="2005-04-01T00:00:00"/>
    <x v="0"/>
    <x v="0"/>
    <x v="8"/>
    <x v="2"/>
    <s v="Apr-2005"/>
    <x v="4"/>
    <x v="61"/>
    <x v="0"/>
    <x v="0"/>
    <x v="0"/>
  </r>
  <r>
    <n v="10415"/>
    <n v="42"/>
    <n v="57.61"/>
    <n v="2419.62"/>
    <s v="Medium"/>
    <n v="725.88599999999997"/>
    <d v="2005-05-09T00:00:00"/>
    <x v="1"/>
    <x v="1"/>
    <x v="1"/>
    <x v="2"/>
    <s v="May-2005"/>
    <x v="4"/>
    <x v="87"/>
    <x v="3"/>
    <x v="2"/>
    <x v="0"/>
  </r>
  <r>
    <n v="10105"/>
    <n v="25"/>
    <n v="56.78"/>
    <n v="1419.5"/>
    <s v="Low"/>
    <n v="425.84999999999997"/>
    <d v="2003-02-11T00:00:00"/>
    <x v="0"/>
    <x v="0"/>
    <x v="0"/>
    <x v="0"/>
    <s v="Feb-2003"/>
    <x v="5"/>
    <x v="48"/>
    <x v="13"/>
    <x v="1"/>
    <x v="0"/>
  </r>
  <r>
    <n v="10117"/>
    <n v="50"/>
    <n v="43.68"/>
    <n v="2184"/>
    <s v="Medium"/>
    <n v="655.19999999999993"/>
    <d v="2003-04-16T00:00:00"/>
    <x v="0"/>
    <x v="0"/>
    <x v="8"/>
    <x v="0"/>
    <s v="Apr-2003"/>
    <x v="5"/>
    <x v="26"/>
    <x v="9"/>
    <x v="3"/>
    <x v="0"/>
  </r>
  <r>
    <n v="10129"/>
    <n v="32"/>
    <n v="64.97"/>
    <n v="2079.04"/>
    <s v="Medium"/>
    <n v="623.71199999999999"/>
    <d v="2003-06-12T00:00:00"/>
    <x v="0"/>
    <x v="0"/>
    <x v="9"/>
    <x v="0"/>
    <s v="Jun-2003"/>
    <x v="5"/>
    <x v="49"/>
    <x v="6"/>
    <x v="1"/>
    <x v="0"/>
  </r>
  <r>
    <n v="10142"/>
    <n v="39"/>
    <n v="44.23"/>
    <n v="1724.9699999999998"/>
    <s v="Low"/>
    <n v="517.49099999999987"/>
    <d v="2003-08-08T00:00:00"/>
    <x v="0"/>
    <x v="0"/>
    <x v="3"/>
    <x v="0"/>
    <s v="Aug-2003"/>
    <x v="5"/>
    <x v="39"/>
    <x v="0"/>
    <x v="0"/>
    <x v="0"/>
  </r>
  <r>
    <n v="10153"/>
    <n v="50"/>
    <n v="60.06"/>
    <n v="3003"/>
    <s v="Medium"/>
    <n v="900.9"/>
    <d v="2003-09-28T00:00:00"/>
    <x v="0"/>
    <x v="0"/>
    <x v="10"/>
    <x v="0"/>
    <s v="Sep-2003"/>
    <x v="5"/>
    <x v="23"/>
    <x v="7"/>
    <x v="1"/>
    <x v="1"/>
  </r>
  <r>
    <n v="10167"/>
    <n v="38"/>
    <n v="48.59"/>
    <n v="1846.42"/>
    <s v="Low"/>
    <n v="553.92600000000004"/>
    <d v="2003-10-23T00:00:00"/>
    <x v="3"/>
    <x v="1"/>
    <x v="4"/>
    <x v="0"/>
    <s v="Oct-2003"/>
    <x v="5"/>
    <x v="37"/>
    <x v="8"/>
    <x v="1"/>
    <x v="0"/>
  </r>
  <r>
    <n v="10177"/>
    <n v="40"/>
    <n v="50.23"/>
    <n v="2009.1999999999998"/>
    <s v="Medium"/>
    <n v="602.75999999999988"/>
    <d v="2003-11-07T00:00:00"/>
    <x v="0"/>
    <x v="0"/>
    <x v="5"/>
    <x v="0"/>
    <s v="Nov-2003"/>
    <x v="5"/>
    <x v="76"/>
    <x v="7"/>
    <x v="1"/>
    <x v="0"/>
  </r>
  <r>
    <n v="10185"/>
    <n v="28"/>
    <n v="64.430000000000007"/>
    <n v="1804.0400000000002"/>
    <s v="Low"/>
    <n v="541.21199999999999"/>
    <d v="2003-11-14T00:00:00"/>
    <x v="0"/>
    <x v="0"/>
    <x v="5"/>
    <x v="0"/>
    <s v="Nov-2003"/>
    <x v="5"/>
    <x v="50"/>
    <x v="0"/>
    <x v="0"/>
    <x v="0"/>
  </r>
  <r>
    <n v="10197"/>
    <n v="42"/>
    <n v="50.23"/>
    <n v="2109.66"/>
    <s v="Medium"/>
    <n v="632.89799999999991"/>
    <d v="2003-11-26T00:00:00"/>
    <x v="0"/>
    <x v="0"/>
    <x v="5"/>
    <x v="0"/>
    <s v="Nov-2003"/>
    <x v="5"/>
    <x v="53"/>
    <x v="7"/>
    <x v="1"/>
    <x v="0"/>
  </r>
  <r>
    <n v="10208"/>
    <n v="42"/>
    <n v="63.88"/>
    <n v="2682.96"/>
    <s v="Medium"/>
    <n v="804.88800000000003"/>
    <d v="2004-01-02T00:00:00"/>
    <x v="0"/>
    <x v="0"/>
    <x v="7"/>
    <x v="1"/>
    <s v="Jan-2004"/>
    <x v="5"/>
    <x v="30"/>
    <x v="1"/>
    <x v="1"/>
    <x v="0"/>
  </r>
  <r>
    <n v="10222"/>
    <n v="36"/>
    <n v="63.34"/>
    <n v="2280.2400000000002"/>
    <s v="Medium"/>
    <n v="684.072"/>
    <d v="2004-02-19T00:00:00"/>
    <x v="0"/>
    <x v="0"/>
    <x v="0"/>
    <x v="1"/>
    <s v="Feb-2004"/>
    <x v="5"/>
    <x v="55"/>
    <x v="0"/>
    <x v="0"/>
    <x v="0"/>
  </r>
  <r>
    <n v="10232"/>
    <n v="24"/>
    <n v="49.69"/>
    <n v="1192.56"/>
    <s v="Low"/>
    <n v="357.76799999999997"/>
    <d v="2004-03-20T00:00:00"/>
    <x v="0"/>
    <x v="0"/>
    <x v="11"/>
    <x v="1"/>
    <s v="Mar-2004"/>
    <x v="5"/>
    <x v="59"/>
    <x v="6"/>
    <x v="1"/>
    <x v="0"/>
  </r>
  <r>
    <n v="10248"/>
    <n v="23"/>
    <n v="65.52"/>
    <n v="1506.9599999999998"/>
    <s v="Low"/>
    <n v="452.08799999999991"/>
    <d v="2004-05-07T00:00:00"/>
    <x v="3"/>
    <x v="1"/>
    <x v="1"/>
    <x v="1"/>
    <s v="May-2004"/>
    <x v="5"/>
    <x v="0"/>
    <x v="0"/>
    <x v="0"/>
    <x v="0"/>
  </r>
  <r>
    <n v="10261"/>
    <n v="29"/>
    <n v="50.78"/>
    <n v="1472.6200000000001"/>
    <s v="Low"/>
    <n v="441.786"/>
    <d v="2004-06-17T00:00:00"/>
    <x v="0"/>
    <x v="0"/>
    <x v="9"/>
    <x v="1"/>
    <s v="Jun-2004"/>
    <x v="5"/>
    <x v="43"/>
    <x v="10"/>
    <x v="0"/>
    <x v="0"/>
  </r>
  <r>
    <n v="10273"/>
    <n v="37"/>
    <n v="45.86"/>
    <n v="1696.82"/>
    <s v="Low"/>
    <n v="509.04599999999994"/>
    <d v="2004-07-21T00:00:00"/>
    <x v="0"/>
    <x v="0"/>
    <x v="2"/>
    <x v="1"/>
    <s v="Jul-2004"/>
    <x v="5"/>
    <x v="56"/>
    <x v="14"/>
    <x v="1"/>
    <x v="0"/>
  </r>
  <r>
    <n v="10283"/>
    <n v="33"/>
    <n v="51.32"/>
    <n v="1693.56"/>
    <s v="Low"/>
    <n v="508.06799999999998"/>
    <d v="2004-08-20T00:00:00"/>
    <x v="0"/>
    <x v="0"/>
    <x v="3"/>
    <x v="1"/>
    <s v="Aug-2004"/>
    <x v="5"/>
    <x v="57"/>
    <x v="10"/>
    <x v="0"/>
    <x v="0"/>
  </r>
  <r>
    <n v="10293"/>
    <n v="32"/>
    <n v="60.06"/>
    <n v="1921.92"/>
    <s v="Low"/>
    <n v="576.57600000000002"/>
    <d v="2004-09-09T00:00:00"/>
    <x v="0"/>
    <x v="0"/>
    <x v="10"/>
    <x v="1"/>
    <s v="Sep-2004"/>
    <x v="5"/>
    <x v="36"/>
    <x v="12"/>
    <x v="1"/>
    <x v="0"/>
  </r>
  <r>
    <n v="10306"/>
    <n v="35"/>
    <n v="59.51"/>
    <n v="2082.85"/>
    <s v="Medium"/>
    <n v="624.8549999999999"/>
    <d v="2004-10-14T00:00:00"/>
    <x v="0"/>
    <x v="0"/>
    <x v="4"/>
    <x v="1"/>
    <s v="Oct-2004"/>
    <x v="5"/>
    <x v="77"/>
    <x v="6"/>
    <x v="1"/>
    <x v="0"/>
  </r>
  <r>
    <n v="10315"/>
    <n v="40"/>
    <n v="55.69"/>
    <n v="2227.6"/>
    <s v="Medium"/>
    <n v="668.28"/>
    <d v="2004-10-29T00:00:00"/>
    <x v="0"/>
    <x v="0"/>
    <x v="4"/>
    <x v="1"/>
    <s v="Oct-2004"/>
    <x v="5"/>
    <x v="14"/>
    <x v="1"/>
    <x v="1"/>
    <x v="0"/>
  </r>
  <r>
    <n v="10327"/>
    <n v="37"/>
    <n v="86.74"/>
    <n v="3209.3799999999997"/>
    <s v="Medium"/>
    <n v="962.81399999999985"/>
    <d v="2004-11-10T00:00:00"/>
    <x v="5"/>
    <x v="1"/>
    <x v="5"/>
    <x v="1"/>
    <s v="Nov-2004"/>
    <x v="5"/>
    <x v="48"/>
    <x v="13"/>
    <x v="1"/>
    <x v="1"/>
  </r>
  <r>
    <n v="10337"/>
    <n v="42"/>
    <n v="97.16"/>
    <n v="4080.72"/>
    <s v="Medium"/>
    <n v="1224.2159999999999"/>
    <d v="2004-11-21T00:00:00"/>
    <x v="0"/>
    <x v="0"/>
    <x v="5"/>
    <x v="1"/>
    <s v="Nov-2004"/>
    <x v="5"/>
    <x v="27"/>
    <x v="0"/>
    <x v="0"/>
    <x v="1"/>
  </r>
  <r>
    <n v="10350"/>
    <n v="20"/>
    <n v="100"/>
    <n v="2000"/>
    <s v="Medium"/>
    <n v="600"/>
    <d v="2004-12-02T00:00:00"/>
    <x v="0"/>
    <x v="0"/>
    <x v="6"/>
    <x v="1"/>
    <s v="Dec-2004"/>
    <x v="5"/>
    <x v="23"/>
    <x v="7"/>
    <x v="1"/>
    <x v="0"/>
  </r>
  <r>
    <n v="10373"/>
    <n v="29"/>
    <n v="100"/>
    <n v="2900"/>
    <s v="Medium"/>
    <n v="870"/>
    <d v="2005-01-31T00:00:00"/>
    <x v="0"/>
    <x v="0"/>
    <x v="7"/>
    <x v="2"/>
    <s v="Jan-2005"/>
    <x v="5"/>
    <x v="60"/>
    <x v="4"/>
    <x v="1"/>
    <x v="1"/>
  </r>
  <r>
    <n v="10386"/>
    <n v="43"/>
    <n v="100"/>
    <n v="4300"/>
    <s v="Medium"/>
    <n v="1290"/>
    <d v="2005-03-01T00:00:00"/>
    <x v="5"/>
    <x v="1"/>
    <x v="11"/>
    <x v="2"/>
    <s v="Mar-2005"/>
    <x v="5"/>
    <x v="23"/>
    <x v="7"/>
    <x v="1"/>
    <x v="1"/>
  </r>
  <r>
    <n v="10397"/>
    <n v="34"/>
    <n v="62.24"/>
    <n v="2116.16"/>
    <s v="Medium"/>
    <n v="634.84799999999996"/>
    <d v="2005-03-28T00:00:00"/>
    <x v="0"/>
    <x v="0"/>
    <x v="11"/>
    <x v="2"/>
    <s v="Mar-2005"/>
    <x v="5"/>
    <x v="51"/>
    <x v="1"/>
    <x v="1"/>
    <x v="0"/>
  </r>
  <r>
    <n v="10414"/>
    <n v="47"/>
    <n v="65.52"/>
    <n v="3079.4399999999996"/>
    <s v="Medium"/>
    <n v="923.83199999999988"/>
    <d v="2005-05-06T00:00:00"/>
    <x v="4"/>
    <x v="1"/>
    <x v="1"/>
    <x v="2"/>
    <s v="May-2005"/>
    <x v="5"/>
    <x v="58"/>
    <x v="0"/>
    <x v="0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7B6EBC-E7B9-45D3-A870-0783C8A165B8}" name="PivotTable3" cacheId="0" applyNumberFormats="0" applyBorderFormats="0" applyFontFormats="0" applyPatternFormats="0" applyAlignmentFormats="0" applyWidthHeightFormats="1" dataCaption="Values" grandTotalCaption="       Total" updatedVersion="8" minRefreshableVersion="3" useAutoFormatting="1" itemPrintTitles="1" createdVersion="8" indent="0" outline="1" outlineData="1" multipleFieldFilters="0" chartFormat="14" rowHeaderCaption="PRODUCTLINE" colHeaderCaption="YEAR">
  <location ref="A3:E12" firstHeaderRow="1" firstDataRow="2" firstDataCol="1"/>
  <pivotFields count="17">
    <pivotField showAll="0"/>
    <pivotField showAll="0"/>
    <pivotField showAll="0"/>
    <pivotField dataField="1" showAll="0"/>
    <pivotField showAll="0"/>
    <pivotField showAll="0"/>
    <pivotField numFmtId="14" showAll="0"/>
    <pivotField showAll="0"/>
    <pivotField showAll="0"/>
    <pivotField showAll="0"/>
    <pivotField axis="axisCol" showAll="0">
      <items count="4">
        <item x="0"/>
        <item x="1"/>
        <item x="2"/>
        <item t="default"/>
      </items>
    </pivotField>
    <pivotField showAll="0"/>
    <pivotField axis="axisRow" showAll="0" sortType="descending">
      <items count="8">
        <item x="1"/>
        <item x="0"/>
        <item x="4"/>
        <item x="5"/>
        <item x="6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</pivotFields>
  <rowFields count="1">
    <field x="12"/>
  </rowFields>
  <rowItems count="8">
    <i>
      <x/>
    </i>
    <i>
      <x v="6"/>
    </i>
    <i>
      <x v="1"/>
    </i>
    <i>
      <x v="5"/>
    </i>
    <i>
      <x v="2"/>
    </i>
    <i>
      <x v="3"/>
    </i>
    <i>
      <x v="4"/>
    </i>
    <i t="grand">
      <x/>
    </i>
  </rowItems>
  <colFields count="1">
    <field x="10"/>
  </colFields>
  <colItems count="4">
    <i>
      <x/>
    </i>
    <i>
      <x v="1"/>
    </i>
    <i>
      <x v="2"/>
    </i>
    <i t="grand">
      <x/>
    </i>
  </colItems>
  <dataFields count="1">
    <dataField name="Pivot 1 - Sales of Product Line and Year" fld="3" baseField="0" baseItem="0"/>
  </dataFields>
  <formats count="19">
    <format dxfId="227">
      <pivotArea grandCol="1" outline="0" collapsedLevelsAreSubtotals="1" fieldPosition="0"/>
    </format>
    <format dxfId="226">
      <pivotArea outline="0" collapsedLevelsAreSubtotals="1" fieldPosition="0">
        <references count="1">
          <reference field="10" count="1" selected="0">
            <x v="2"/>
          </reference>
        </references>
      </pivotArea>
    </format>
    <format dxfId="225">
      <pivotArea outline="0" collapsedLevelsAreSubtotals="1" fieldPosition="0">
        <references count="1">
          <reference field="10" count="1" selected="0">
            <x v="1"/>
          </reference>
        </references>
      </pivotArea>
    </format>
    <format dxfId="224">
      <pivotArea outline="0" collapsedLevelsAreSubtotals="1" fieldPosition="0">
        <references count="1">
          <reference field="10" count="1" selected="0">
            <x v="0"/>
          </reference>
        </references>
      </pivotArea>
    </format>
    <format dxfId="223">
      <pivotArea type="all" dataOnly="0" outline="0" fieldPosition="0"/>
    </format>
    <format dxfId="222">
      <pivotArea field="12" type="button" dataOnly="0" labelOnly="1" outline="0" axis="axisRow" fieldPosition="0"/>
    </format>
    <format dxfId="221">
      <pivotArea type="origin" dataOnly="0" labelOnly="1" outline="0" fieldPosition="0"/>
    </format>
    <format dxfId="220">
      <pivotArea type="origin" dataOnly="0" labelOnly="1" outline="0" fieldPosition="0"/>
    </format>
    <format dxfId="219">
      <pivotArea field="10" type="button" dataOnly="0" labelOnly="1" outline="0" axis="axisCol" fieldPosition="0"/>
    </format>
    <format dxfId="218">
      <pivotArea dataOnly="0" labelOnly="1" fieldPosition="0">
        <references count="1">
          <reference field="10" count="1">
            <x v="0"/>
          </reference>
        </references>
      </pivotArea>
    </format>
    <format dxfId="217">
      <pivotArea type="topRight" dataOnly="0" labelOnly="1" outline="0" fieldPosition="0"/>
    </format>
    <format dxfId="216">
      <pivotArea dataOnly="0" labelOnly="1" fieldPosition="0">
        <references count="1">
          <reference field="10" count="2">
            <x v="1"/>
            <x v="2"/>
          </reference>
        </references>
      </pivotArea>
    </format>
    <format dxfId="215">
      <pivotArea dataOnly="0" labelOnly="1" grandCol="1" outline="0" fieldPosition="0"/>
    </format>
    <format dxfId="214">
      <pivotArea dataOnly="0" labelOnly="1" grandRow="1" outline="0" fieldPosition="0"/>
    </format>
    <format dxfId="213">
      <pivotArea field="10" grandRow="1" outline="0" collapsedLevelsAreSubtotals="1" axis="axisCol" fieldPosition="0">
        <references count="1">
          <reference field="10" count="1" selected="0">
            <x v="0"/>
          </reference>
        </references>
      </pivotArea>
    </format>
    <format dxfId="212">
      <pivotArea field="10" grandRow="1" outline="0" collapsedLevelsAreSubtotals="1" axis="axisCol" fieldPosition="0">
        <references count="1">
          <reference field="10" count="1" selected="0">
            <x v="1"/>
          </reference>
        </references>
      </pivotArea>
    </format>
    <format dxfId="211">
      <pivotArea field="10" grandRow="1" outline="0" collapsedLevelsAreSubtotals="1" axis="axisCol" fieldPosition="0">
        <references count="1">
          <reference field="10" count="1" selected="0">
            <x v="2"/>
          </reference>
        </references>
      </pivotArea>
    </format>
    <format dxfId="210">
      <pivotArea grandRow="1" grandCol="1" outline="0" collapsedLevelsAreSubtotals="1" fieldPosition="0"/>
    </format>
    <format dxfId="209">
      <pivotArea type="origin" dataOnly="0" labelOnly="1" outline="0" fieldPosition="0"/>
    </format>
  </formats>
  <chartFormats count="3">
    <chartFormat chart="12" format="3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12" format="4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12" format="5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C18F31-3670-45E6-B18D-7A98383502D9}" name="PivotTable4" cacheId="0" applyNumberFormats="0" applyBorderFormats="0" applyFontFormats="0" applyPatternFormats="0" applyAlignmentFormats="0" applyWidthHeightFormats="1" dataCaption="Values" grandTotalCaption="          Total" updatedVersion="8" minRefreshableVersion="3" useAutoFormatting="1" itemPrintTitles="1" createdVersion="8" indent="0" outline="1" outlineData="1" multipleFieldFilters="0" chartFormat="4" rowHeaderCaption="MONTH" colHeaderCaption="YEAR">
  <location ref="A3:E17" firstHeaderRow="1" firstDataRow="2" firstDataCol="1"/>
  <pivotFields count="17">
    <pivotField showAll="0"/>
    <pivotField showAll="0"/>
    <pivotField showAll="0"/>
    <pivotField dataField="1" showAll="0"/>
    <pivotField showAll="0"/>
    <pivotField showAll="0"/>
    <pivotField numFmtId="14" showAll="0"/>
    <pivotField showAll="0"/>
    <pivotField showAll="0"/>
    <pivotField axis="axisRow" showAll="0">
      <items count="13">
        <item x="7"/>
        <item x="0"/>
        <item x="11"/>
        <item x="8"/>
        <item x="1"/>
        <item x="9"/>
        <item x="2"/>
        <item x="3"/>
        <item x="10"/>
        <item x="4"/>
        <item x="5"/>
        <item x="6"/>
        <item t="default"/>
      </items>
    </pivotField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9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10"/>
  </colFields>
  <colItems count="4">
    <i>
      <x/>
    </i>
    <i>
      <x v="1"/>
    </i>
    <i>
      <x v="2"/>
    </i>
    <i t="grand">
      <x/>
    </i>
  </colItems>
  <dataFields count="1">
    <dataField name="Pivot 2 - Monthly Sales Trend by Year" fld="3" baseField="0" baseItem="0"/>
  </dataFields>
  <formats count="22">
    <format dxfId="208">
      <pivotArea dataOnly="0" grandCol="1" outline="0" fieldPosition="0"/>
    </format>
    <format dxfId="207">
      <pivotArea outline="0" collapsedLevelsAreSubtotals="1" fieldPosition="0">
        <references count="1">
          <reference field="10" count="1" selected="0">
            <x v="2"/>
          </reference>
        </references>
      </pivotArea>
    </format>
    <format dxfId="206">
      <pivotArea outline="0" collapsedLevelsAreSubtotals="1" fieldPosition="0">
        <references count="1">
          <reference field="10" count="1" selected="0">
            <x v="1"/>
          </reference>
        </references>
      </pivotArea>
    </format>
    <format dxfId="205">
      <pivotArea outline="0" collapsedLevelsAreSubtotals="1" fieldPosition="0">
        <references count="1">
          <reference field="10" count="1" selected="0">
            <x v="0"/>
          </reference>
        </references>
      </pivotArea>
    </format>
    <format dxfId="204">
      <pivotArea dataOnly="0" labelOnly="1" fieldPosition="0">
        <references count="1">
          <reference field="10" count="1">
            <x v="2"/>
          </reference>
        </references>
      </pivotArea>
    </format>
    <format dxfId="203">
      <pivotArea dataOnly="0" labelOnly="1" fieldPosition="0">
        <references count="1">
          <reference field="10" count="1">
            <x v="1"/>
          </reference>
        </references>
      </pivotArea>
    </format>
    <format dxfId="202">
      <pivotArea dataOnly="0" labelOnly="1" fieldPosition="0">
        <references count="1">
          <reference field="10" count="1">
            <x v="0"/>
          </reference>
        </references>
      </pivotArea>
    </format>
    <format dxfId="201">
      <pivotArea field="9" type="button" dataOnly="0" labelOnly="1" outline="0" axis="axisRow" fieldPosition="0"/>
    </format>
    <format dxfId="200">
      <pivotArea field="10" grandRow="1" outline="0" collapsedLevelsAreSubtotals="1" axis="axisCol" fieldPosition="0">
        <references count="1">
          <reference field="10" count="1" selected="0">
            <x v="0"/>
          </reference>
        </references>
      </pivotArea>
    </format>
    <format dxfId="199">
      <pivotArea dataOnly="0" labelOnly="1" grandRow="1" outline="0" fieldPosition="0"/>
    </format>
    <format dxfId="198">
      <pivotArea field="10" grandRow="1" outline="0" collapsedLevelsAreSubtotals="1" axis="axisCol" fieldPosition="0">
        <references count="1">
          <reference field="10" count="1" selected="0">
            <x v="1"/>
          </reference>
        </references>
      </pivotArea>
    </format>
    <format dxfId="197">
      <pivotArea field="10" grandRow="1" outline="0" collapsedLevelsAreSubtotals="1" axis="axisCol" fieldPosition="0">
        <references count="1">
          <reference field="10" count="1" selected="0">
            <x v="2"/>
          </reference>
        </references>
      </pivotArea>
    </format>
    <format dxfId="196">
      <pivotArea grandRow="1" grandCol="1" outline="0" collapsedLevelsAreSubtotals="1" fieldPosition="0"/>
    </format>
    <format dxfId="195">
      <pivotArea dataOnly="0" labelOnly="1" grandCol="1" outline="0" fieldPosition="0"/>
    </format>
    <format dxfId="194">
      <pivotArea type="origin" dataOnly="0" labelOnly="1" outline="0" fieldPosition="0"/>
    </format>
    <format dxfId="193">
      <pivotArea type="origin" dataOnly="0" labelOnly="1" outline="0" fieldPosition="0"/>
    </format>
    <format dxfId="192">
      <pivotArea field="10" type="button" dataOnly="0" labelOnly="1" outline="0" axis="axisCol" fieldPosition="0"/>
    </format>
    <format dxfId="191">
      <pivotArea type="topRight" dataOnly="0" labelOnly="1" outline="0" fieldPosition="0"/>
    </format>
    <format dxfId="190">
      <pivotArea dataOnly="0" labelOnly="1" fieldPosition="0">
        <references count="1">
          <reference field="10" count="0"/>
        </references>
      </pivotArea>
    </format>
    <format dxfId="189">
      <pivotArea dataOnly="0" labelOnly="1" grandCol="1" outline="0" fieldPosition="0"/>
    </format>
    <format dxfId="188">
      <pivotArea dataOnly="0" labelOnly="1" grandRow="1" outline="0" fieldPosition="0"/>
    </format>
    <format dxfId="187">
      <pivotArea grandRow="1" outline="0" collapsedLevelsAreSubtotals="1" fieldPosition="0"/>
    </format>
  </formats>
  <chartFormats count="3">
    <chartFormat chart="3" format="3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3" format="4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3" format="5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594A754-2C8B-4E9E-B032-72627464B0C7}" name="PivotTable5" cacheId="0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 chartFormat="8" rowHeaderCaption="COUNTRY">
  <location ref="B3:E23" firstHeaderRow="0" firstDataRow="1" firstDataCol="1"/>
  <pivotFields count="17">
    <pivotField showAll="0"/>
    <pivotField dataField="1" showAll="0"/>
    <pivotField showAll="0"/>
    <pivotField dataField="1"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20">
        <item x="3"/>
        <item x="5"/>
        <item x="14"/>
        <item x="10"/>
        <item x="13"/>
        <item x="4"/>
        <item x="1"/>
        <item x="16"/>
        <item x="18"/>
        <item x="12"/>
        <item x="11"/>
        <item x="2"/>
        <item x="15"/>
        <item x="9"/>
        <item x="7"/>
        <item x="8"/>
        <item x="17"/>
        <item x="6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</pivotFields>
  <rowFields count="1">
    <field x="14"/>
  </rowFields>
  <rowItems count="20">
    <i>
      <x v="18"/>
    </i>
    <i>
      <x v="14"/>
    </i>
    <i>
      <x v="6"/>
    </i>
    <i>
      <x/>
    </i>
    <i>
      <x v="17"/>
    </i>
    <i>
      <x v="9"/>
    </i>
    <i>
      <x v="5"/>
    </i>
    <i>
      <x v="11"/>
    </i>
    <i>
      <x v="13"/>
    </i>
    <i>
      <x v="3"/>
    </i>
    <i>
      <x v="4"/>
    </i>
    <i>
      <x v="7"/>
    </i>
    <i>
      <x v="15"/>
    </i>
    <i>
      <x v="1"/>
    </i>
    <i>
      <x v="10"/>
    </i>
    <i>
      <x v="2"/>
    </i>
    <i>
      <x v="16"/>
    </i>
    <i>
      <x v="12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    TOTAL SALES" fld="3" baseField="0" baseItem="0"/>
    <dataField name="   QUANTITY ORDERED" fld="1" baseField="0" baseItem="0"/>
    <dataField name="        % TOTAL" fld="3" showDataAs="percentOfTotal" baseField="14" baseItem="9" numFmtId="10"/>
  </dataFields>
  <formats count="18">
    <format dxfId="186">
      <pivotArea dataOnly="0" outline="0" fieldPosition="0">
        <references count="1">
          <reference field="4294967294" count="1">
            <x v="0"/>
          </reference>
        </references>
      </pivotArea>
    </format>
    <format dxfId="185">
      <pivotArea dataOnly="0" outline="0" fieldPosition="0">
        <references count="1">
          <reference field="4294967294" count="1">
            <x v="1"/>
          </reference>
        </references>
      </pivotArea>
    </format>
    <format dxfId="184">
      <pivotArea dataOnly="0" labelOnly="1" grandRow="1" outline="0" fieldPosition="0"/>
    </format>
    <format dxfId="183">
      <pivotArea field="14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182">
      <pivotArea field="14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181">
      <pivotArea field="14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180">
      <pivotArea field="14" type="button" dataOnly="0" labelOnly="1" outline="0" axis="axisRow" fieldPosition="0"/>
    </format>
    <format dxfId="17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76">
      <pivotArea field="14" type="button" dataOnly="0" labelOnly="1" outline="0" axis="axisRow" fieldPosition="0"/>
    </format>
    <format dxfId="17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72">
      <pivotArea dataOnly="0" labelOnly="1" grandRow="1" outline="0" fieldPosition="0"/>
    </format>
    <format dxfId="171">
      <pivotArea field="14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170">
      <pivotArea field="14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169">
      <pivotArea field="14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</formats>
  <chartFormats count="3">
    <chartFormat chart="7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4F2B31-49B8-4DC9-B557-D7C53F8BCB47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USTOMER NAME">
  <location ref="B3:E14" firstHeaderRow="0" firstDataRow="1" firstDataCol="1"/>
  <pivotFields count="17">
    <pivotField showAll="0"/>
    <pivotField dataField="1" showAll="0"/>
    <pivotField showAll="0"/>
    <pivotField dataField="1"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axis="axisRow" showAll="0" measureFilter="1" sortType="descending">
      <items count="93">
        <item x="51"/>
        <item x="36"/>
        <item x="42"/>
        <item x="46"/>
        <item x="87"/>
        <item x="23"/>
        <item x="21"/>
        <item x="13"/>
        <item x="88"/>
        <item x="58"/>
        <item x="59"/>
        <item x="65"/>
        <item x="78"/>
        <item x="7"/>
        <item x="81"/>
        <item x="62"/>
        <item x="14"/>
        <item x="0"/>
        <item x="70"/>
        <item x="2"/>
        <item x="67"/>
        <item x="15"/>
        <item x="54"/>
        <item x="79"/>
        <item x="63"/>
        <item x="83"/>
        <item x="47"/>
        <item x="50"/>
        <item x="39"/>
        <item x="8"/>
        <item x="45"/>
        <item x="74"/>
        <item x="85"/>
        <item x="40"/>
        <item x="71"/>
        <item x="44"/>
        <item x="60"/>
        <item x="56"/>
        <item x="43"/>
        <item x="1"/>
        <item x="86"/>
        <item x="57"/>
        <item x="90"/>
        <item x="19"/>
        <item x="30"/>
        <item x="37"/>
        <item x="82"/>
        <item x="84"/>
        <item x="20"/>
        <item x="10"/>
        <item x="28"/>
        <item x="38"/>
        <item x="9"/>
        <item x="91"/>
        <item x="77"/>
        <item x="17"/>
        <item x="89"/>
        <item x="72"/>
        <item x="80"/>
        <item x="76"/>
        <item x="33"/>
        <item x="31"/>
        <item x="29"/>
        <item x="27"/>
        <item x="75"/>
        <item x="55"/>
        <item x="41"/>
        <item x="4"/>
        <item x="25"/>
        <item x="66"/>
        <item x="6"/>
        <item x="48"/>
        <item x="18"/>
        <item x="64"/>
        <item x="52"/>
        <item x="26"/>
        <item x="53"/>
        <item x="49"/>
        <item x="73"/>
        <item x="34"/>
        <item x="5"/>
        <item x="12"/>
        <item x="61"/>
        <item x="35"/>
        <item x="68"/>
        <item x="16"/>
        <item x="3"/>
        <item x="22"/>
        <item x="69"/>
        <item x="11"/>
        <item x="24"/>
        <item x="3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</pivotFields>
  <rowFields count="1">
    <field x="13"/>
  </rowFields>
  <rowItems count="11">
    <i>
      <x v="5"/>
    </i>
    <i>
      <x v="28"/>
    </i>
    <i>
      <x v="49"/>
    </i>
    <i>
      <x v="16"/>
    </i>
    <i>
      <x v="31"/>
    </i>
    <i>
      <x v="17"/>
    </i>
    <i>
      <x v="54"/>
    </i>
    <i>
      <x v="82"/>
    </i>
    <i>
      <x v="48"/>
    </i>
    <i>
      <x v="7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      TOTAL SALES" fld="3" baseField="0" baseItem="0"/>
    <dataField name="   QUANTITY ORDERED" fld="1" baseField="0" baseItem="0"/>
    <dataField name="   % REVENUE" fld="3" showDataAs="percentOfTotal" baseField="13" baseItem="44" numFmtId="10"/>
  </dataFields>
  <formats count="25">
    <format dxfId="168">
      <pivotArea dataOnly="0" outline="0" fieldPosition="0">
        <references count="1">
          <reference field="4294967294" count="1">
            <x v="1"/>
          </reference>
        </references>
      </pivotArea>
    </format>
    <format dxfId="167">
      <pivotArea outline="0" fieldPosition="0">
        <references count="1">
          <reference field="4294967294" count="1">
            <x v="2"/>
          </reference>
        </references>
      </pivotArea>
    </format>
    <format dxfId="166">
      <pivotArea dataOnly="0" outline="0" fieldPosition="0">
        <references count="1">
          <reference field="4294967294" count="1">
            <x v="0"/>
          </reference>
        </references>
      </pivotArea>
    </format>
    <format dxfId="16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6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6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6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9">
      <pivotArea field="13" type="button" dataOnly="0" labelOnly="1" outline="0" axis="axisRow" fieldPosition="0"/>
    </format>
    <format dxfId="158">
      <pivotArea field="13" type="button" dataOnly="0" labelOnly="1" outline="0" axis="axisRow" fieldPosition="0"/>
    </format>
    <format dxfId="157">
      <pivotArea field="13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156">
      <pivotArea field="13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155">
      <pivotArea field="13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154">
      <pivotArea field="13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153">
      <pivotArea field="13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152">
      <pivotArea dataOnly="0" labelOnly="1" grandRow="1" outline="0" fieldPosition="0"/>
    </format>
    <format dxfId="151">
      <pivotArea field="13" type="button" dataOnly="0" labelOnly="1" outline="0" axis="axisRow" fieldPosition="0"/>
    </format>
    <format dxfId="15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47">
      <pivotArea dataOnly="0" labelOnly="1" grandRow="1" outline="0" fieldPosition="0"/>
    </format>
    <format dxfId="146">
      <pivotArea field="13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145">
      <pivotArea field="13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144">
      <pivotArea field="13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3" type="count" evalOrder="-1" id="4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5088ED-165A-477F-A834-4716CDB6B0FD}" name="PivotTable7" cacheId="0" applyNumberFormats="0" applyBorderFormats="0" applyFontFormats="0" applyPatternFormats="0" applyAlignmentFormats="0" applyWidthHeightFormats="1" dataCaption="Values" grandTotalCaption="           Total" updatedVersion="8" minRefreshableVersion="3" useAutoFormatting="1" itemPrintTitles="1" createdVersion="8" indent="0" outline="1" outlineData="1" multipleFieldFilters="0" chartFormat="2" rowHeaderCaption="DEAL SIZE" colHeaderCaption="YEAR">
  <location ref="A3:C8" firstHeaderRow="1" firstDataRow="2" firstDataCol="1"/>
  <pivotFields count="17">
    <pivotField showAll="0"/>
    <pivotField showAll="0"/>
    <pivotField showAll="0"/>
    <pivotField dataField="1" showAll="0"/>
    <pivotField showAll="0"/>
    <pivotField showAll="0"/>
    <pivotField numFmtId="14" showAll="0"/>
    <pivotField showAll="0"/>
    <pivotField showAll="0"/>
    <pivotField showAll="0"/>
    <pivotField axis="axisCol" showAll="0">
      <items count="4">
        <item x="0"/>
        <item h="1" x="1"/>
        <item h="1" x="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4">
        <item x="2"/>
        <item x="1"/>
        <item x="0"/>
        <item t="default"/>
      </items>
    </pivotField>
  </pivotFields>
  <rowFields count="1">
    <field x="16"/>
  </rowFields>
  <rowItems count="4">
    <i>
      <x/>
    </i>
    <i>
      <x v="1"/>
    </i>
    <i>
      <x v="2"/>
    </i>
    <i t="grand">
      <x/>
    </i>
  </rowItems>
  <colFields count="1">
    <field x="10"/>
  </colFields>
  <colItems count="2">
    <i>
      <x/>
    </i>
    <i t="grand">
      <x/>
    </i>
  </colItems>
  <dataFields count="1">
    <dataField name="Pivot 5 - Sales by Deal Size" fld="3" baseField="0" baseItem="0"/>
  </dataFields>
  <formats count="36">
    <format dxfId="143">
      <pivotArea grandCol="1" outline="0" collapsedLevelsAreSubtotals="1" fieldPosition="0"/>
    </format>
    <format dxfId="142">
      <pivotArea outline="0" collapsedLevelsAreSubtotals="1" fieldPosition="0">
        <references count="1">
          <reference field="10" count="1" selected="0">
            <x v="2"/>
          </reference>
        </references>
      </pivotArea>
    </format>
    <format dxfId="141">
      <pivotArea outline="0" collapsedLevelsAreSubtotals="1" fieldPosition="0">
        <references count="1">
          <reference field="10" count="1" selected="0">
            <x v="1"/>
          </reference>
        </references>
      </pivotArea>
    </format>
    <format dxfId="140">
      <pivotArea outline="0" collapsedLevelsAreSubtotals="1" fieldPosition="0">
        <references count="1">
          <reference field="10" count="1" selected="0">
            <x v="0"/>
          </reference>
        </references>
      </pivotArea>
    </format>
    <format dxfId="139">
      <pivotArea dataOnly="0" labelOnly="1" fieldPosition="0">
        <references count="1">
          <reference field="10" count="1">
            <x v="2"/>
          </reference>
        </references>
      </pivotArea>
    </format>
    <format dxfId="138">
      <pivotArea dataOnly="0" labelOnly="1" fieldPosition="0">
        <references count="1">
          <reference field="10" count="1">
            <x v="1"/>
          </reference>
        </references>
      </pivotArea>
    </format>
    <format dxfId="137">
      <pivotArea dataOnly="0" labelOnly="1" fieldPosition="0">
        <references count="1">
          <reference field="10" count="1">
            <x v="0"/>
          </reference>
        </references>
      </pivotArea>
    </format>
    <format dxfId="136">
      <pivotArea field="16" type="button" dataOnly="0" labelOnly="1" outline="0" axis="axisRow" fieldPosition="0"/>
    </format>
    <format dxfId="135">
      <pivotArea field="10" grandRow="1" outline="0" collapsedLevelsAreSubtotals="1" axis="axisCol" fieldPosition="0">
        <references count="1">
          <reference field="10" count="1" selected="0">
            <x v="0"/>
          </reference>
        </references>
      </pivotArea>
    </format>
    <format dxfId="134">
      <pivotArea field="10" grandRow="1" outline="0" collapsedLevelsAreSubtotals="1" axis="axisCol" fieldPosition="0">
        <references count="1">
          <reference field="10" count="1" selected="0">
            <x v="1"/>
          </reference>
        </references>
      </pivotArea>
    </format>
    <format dxfId="133">
      <pivotArea field="10" grandRow="1" outline="0" collapsedLevelsAreSubtotals="1" axis="axisCol" fieldPosition="0">
        <references count="1">
          <reference field="10" count="1" selected="0">
            <x v="2"/>
          </reference>
        </references>
      </pivotArea>
    </format>
    <format dxfId="132">
      <pivotArea grandRow="1" grandCol="1" outline="0" collapsedLevelsAreSubtotals="1" fieldPosition="0"/>
    </format>
    <format dxfId="131">
      <pivotArea dataOnly="0" labelOnly="1" grandRow="1" outline="0" fieldPosition="0"/>
    </format>
    <format dxfId="130">
      <pivotArea field="10" type="button" dataOnly="0" labelOnly="1" outline="0" axis="axisCol" fieldPosition="0"/>
    </format>
    <format dxfId="129">
      <pivotArea type="topRight" dataOnly="0" labelOnly="1" outline="0" fieldPosition="0"/>
    </format>
    <format dxfId="128">
      <pivotArea dataOnly="0" labelOnly="1" fieldPosition="0">
        <references count="1">
          <reference field="10" count="0"/>
        </references>
      </pivotArea>
    </format>
    <format dxfId="127">
      <pivotArea dataOnly="0" labelOnly="1" grandCol="1" outline="0" fieldPosition="0"/>
    </format>
    <format dxfId="126">
      <pivotArea grandRow="1" outline="0" collapsedLevelsAreSubtotals="1" fieldPosition="0"/>
    </format>
    <format dxfId="125">
      <pivotArea field="10" grandRow="1" outline="0" collapsedLevelsAreSubtotals="1" axis="axisCol" fieldPosition="0">
        <references count="1">
          <reference field="10" count="1" selected="0">
            <x v="0"/>
          </reference>
        </references>
      </pivotArea>
    </format>
    <format dxfId="124">
      <pivotArea field="10" grandRow="1" outline="0" collapsedLevelsAreSubtotals="1" axis="axisCol" fieldPosition="0">
        <references count="1">
          <reference field="10" count="1" selected="0">
            <x v="1"/>
          </reference>
        </references>
      </pivotArea>
    </format>
    <format dxfId="123">
      <pivotArea field="10" grandRow="1" outline="0" collapsedLevelsAreSubtotals="1" axis="axisCol" fieldPosition="0">
        <references count="1">
          <reference field="10" count="1" selected="0">
            <x v="2"/>
          </reference>
        </references>
      </pivotArea>
    </format>
    <format dxfId="122">
      <pivotArea grandRow="1" grandCol="1" outline="0" collapsedLevelsAreSubtotals="1" fieldPosition="0"/>
    </format>
    <format dxfId="121">
      <pivotArea type="origin" dataOnly="0" labelOnly="1" outline="0" fieldPosition="0"/>
    </format>
    <format dxfId="120">
      <pivotArea type="origin" dataOnly="0" labelOnly="1" outline="0" fieldPosition="0"/>
    </format>
    <format dxfId="119">
      <pivotArea type="origin" dataOnly="0" labelOnly="1" outline="0" fieldPosition="0"/>
    </format>
    <format dxfId="118">
      <pivotArea dataOnly="0" labelOnly="1" fieldPosition="0">
        <references count="1">
          <reference field="10" count="1">
            <x v="0"/>
          </reference>
        </references>
      </pivotArea>
    </format>
    <format dxfId="117">
      <pivotArea field="10" type="button" dataOnly="0" labelOnly="1" outline="0" axis="axisCol" fieldPosition="0"/>
    </format>
    <format dxfId="116">
      <pivotArea dataOnly="0" labelOnly="1" fieldPosition="0">
        <references count="1">
          <reference field="10" count="1">
            <x v="0"/>
          </reference>
        </references>
      </pivotArea>
    </format>
    <format dxfId="115">
      <pivotArea type="topRight" dataOnly="0" labelOnly="1" outline="0" fieldPosition="0"/>
    </format>
    <format dxfId="114">
      <pivotArea dataOnly="0" labelOnly="1" fieldPosition="0">
        <references count="1">
          <reference field="10" count="2">
            <x v="1"/>
            <x v="2"/>
          </reference>
        </references>
      </pivotArea>
    </format>
    <format dxfId="113">
      <pivotArea dataOnly="0" labelOnly="1" grandCol="1" outline="0" fieldPosition="0"/>
    </format>
    <format dxfId="112">
      <pivotArea dataOnly="0" labelOnly="1" grandRow="1" outline="0" fieldPosition="0"/>
    </format>
    <format dxfId="111">
      <pivotArea field="10" grandRow="1" outline="0" collapsedLevelsAreSubtotals="1" axis="axisCol" fieldPosition="0">
        <references count="1">
          <reference field="10" count="1" selected="0">
            <x v="0"/>
          </reference>
        </references>
      </pivotArea>
    </format>
    <format dxfId="110">
      <pivotArea field="10" grandRow="1" outline="0" collapsedLevelsAreSubtotals="1" axis="axisCol" fieldPosition="0">
        <references count="1">
          <reference field="10" count="1" selected="0">
            <x v="1"/>
          </reference>
        </references>
      </pivotArea>
    </format>
    <format dxfId="109">
      <pivotArea field="10" grandRow="1" outline="0" collapsedLevelsAreSubtotals="1" axis="axisCol" fieldPosition="0">
        <references count="1">
          <reference field="10" count="1" selected="0">
            <x v="2"/>
          </reference>
        </references>
      </pivotArea>
    </format>
    <format dxfId="108">
      <pivotArea grandRow="1" grandCol="1" outline="0" collapsedLevelsAreSubtotals="1" fieldPosition="0"/>
    </format>
  </formats>
  <chartFormats count="12">
    <chartFormat chart="1" format="12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1" format="13">
      <pivotArea type="data" outline="0" fieldPosition="0">
        <references count="3">
          <reference field="4294967294" count="1" selected="0">
            <x v="0"/>
          </reference>
          <reference field="10" count="1" selected="0">
            <x v="0"/>
          </reference>
          <reference field="16" count="1" selected="0">
            <x v="0"/>
          </reference>
        </references>
      </pivotArea>
    </chartFormat>
    <chartFormat chart="1" format="14">
      <pivotArea type="data" outline="0" fieldPosition="0">
        <references count="3">
          <reference field="4294967294" count="1" selected="0">
            <x v="0"/>
          </reference>
          <reference field="10" count="1" selected="0">
            <x v="0"/>
          </reference>
          <reference field="16" count="1" selected="0">
            <x v="1"/>
          </reference>
        </references>
      </pivotArea>
    </chartFormat>
    <chartFormat chart="1" format="15">
      <pivotArea type="data" outline="0" fieldPosition="0">
        <references count="3">
          <reference field="4294967294" count="1" selected="0">
            <x v="0"/>
          </reference>
          <reference field="10" count="1" selected="0">
            <x v="0"/>
          </reference>
          <reference field="16" count="1" selected="0">
            <x v="2"/>
          </reference>
        </references>
      </pivotArea>
    </chartFormat>
    <chartFormat chart="1" format="16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1" format="17">
      <pivotArea type="data" outline="0" fieldPosition="0">
        <references count="3">
          <reference field="4294967294" count="1" selected="0">
            <x v="0"/>
          </reference>
          <reference field="10" count="1" selected="0">
            <x v="1"/>
          </reference>
          <reference field="16" count="1" selected="0">
            <x v="0"/>
          </reference>
        </references>
      </pivotArea>
    </chartFormat>
    <chartFormat chart="1" format="18">
      <pivotArea type="data" outline="0" fieldPosition="0">
        <references count="3">
          <reference field="4294967294" count="1" selected="0">
            <x v="0"/>
          </reference>
          <reference field="10" count="1" selected="0">
            <x v="1"/>
          </reference>
          <reference field="16" count="1" selected="0">
            <x v="1"/>
          </reference>
        </references>
      </pivotArea>
    </chartFormat>
    <chartFormat chart="1" format="19">
      <pivotArea type="data" outline="0" fieldPosition="0">
        <references count="3">
          <reference field="4294967294" count="1" selected="0">
            <x v="0"/>
          </reference>
          <reference field="10" count="1" selected="0">
            <x v="1"/>
          </reference>
          <reference field="16" count="1" selected="0">
            <x v="2"/>
          </reference>
        </references>
      </pivotArea>
    </chartFormat>
    <chartFormat chart="1" format="20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1" format="21">
      <pivotArea type="data" outline="0" fieldPosition="0">
        <references count="3">
          <reference field="4294967294" count="1" selected="0">
            <x v="0"/>
          </reference>
          <reference field="10" count="1" selected="0">
            <x v="2"/>
          </reference>
          <reference field="16" count="1" selected="0">
            <x v="0"/>
          </reference>
        </references>
      </pivotArea>
    </chartFormat>
    <chartFormat chart="1" format="22">
      <pivotArea type="data" outline="0" fieldPosition="0">
        <references count="3">
          <reference field="4294967294" count="1" selected="0">
            <x v="0"/>
          </reference>
          <reference field="10" count="1" selected="0">
            <x v="2"/>
          </reference>
          <reference field="16" count="1" selected="0">
            <x v="1"/>
          </reference>
        </references>
      </pivotArea>
    </chartFormat>
    <chartFormat chart="1" format="23">
      <pivotArea type="data" outline="0" fieldPosition="0">
        <references count="3">
          <reference field="4294967294" count="1" selected="0">
            <x v="0"/>
          </reference>
          <reference field="10" count="1" selected="0">
            <x v="2"/>
          </reference>
          <reference field="16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1FA110A-A9CA-42AE-B37E-95B2C0B8EACA}" name="SalesData" displayName="SalesData" ref="A1:Q2824" totalsRowShown="0" headerRowDxfId="247" dataDxfId="246" tableBorderDxfId="245">
  <autoFilter ref="A1:Q2824" xr:uid="{41FA110A-A9CA-42AE-B37E-95B2C0B8EACA}"/>
  <tableColumns count="17">
    <tableColumn id="1" xr3:uid="{0D9195A5-46B3-4875-A842-E7BF64A56D16}" name="ORDERNUMBER" dataDxfId="244"/>
    <tableColumn id="2" xr3:uid="{76451809-3AEB-4F31-8C4F-83482F94C6BE}" name="QUANTITYORDERED" dataDxfId="243"/>
    <tableColumn id="3" xr3:uid="{42614CDE-1C39-4A72-874F-35DD34FEC16C}" name="PRICEEACH" dataDxfId="242"/>
    <tableColumn id="4" xr3:uid="{5E1D7089-2A42-4ECB-9FDD-305C052C2241}" name="TOTALSALES" dataDxfId="241"/>
    <tableColumn id="5" xr3:uid="{07FA76D3-5C2B-4E71-8F45-66BC3CAF9F6E}" name="REVENUE TIER" dataDxfId="240">
      <calculatedColumnFormula>IF(D2&gt;=5000,"High",IF(D2&gt;=2000,"Medium","Low"))</calculatedColumnFormula>
    </tableColumn>
    <tableColumn id="6" xr3:uid="{64798AF2-BF91-49A5-8D61-6946867E3065}" name="EST.PROFIT" dataDxfId="239">
      <calculatedColumnFormula>(D2*0.3)</calculatedColumnFormula>
    </tableColumn>
    <tableColumn id="7" xr3:uid="{09FC11E2-EEDD-4139-9550-809808E4D04D}" name="ORDERDATE" dataDxfId="238"/>
    <tableColumn id="8" xr3:uid="{F010B0E0-008E-4437-B97D-5CF8E87F6FB3}" name="STATUS" dataDxfId="237"/>
    <tableColumn id="9" xr3:uid="{D4CAD339-F925-4B47-9373-A9481DBABB5A}" name="FULFILLED" dataDxfId="236">
      <calculatedColumnFormula>IF(H2="Shipped","Yes","No")</calculatedColumnFormula>
    </tableColumn>
    <tableColumn id="10" xr3:uid="{BBD68953-FEDE-4934-BC1B-41901919ABC5}" name="MONTH_ID" dataDxfId="235"/>
    <tableColumn id="11" xr3:uid="{E0A35F69-5750-4628-96AB-E1646D73E08B}" name="YEAR_ID" dataDxfId="234"/>
    <tableColumn id="12" xr3:uid="{ADD0B364-624E-46ED-8CE3-D8183785CDC0}" name="MONTH-YEAR" dataDxfId="233">
      <calculatedColumnFormula>TEXT(G:G,"MMM-YYYY")</calculatedColumnFormula>
    </tableColumn>
    <tableColumn id="13" xr3:uid="{82C5A793-5AE0-44F1-8F26-05B28FE6E9A2}" name="PRODUCTLINE" dataDxfId="232"/>
    <tableColumn id="14" xr3:uid="{2B53C57F-D8CC-4E9C-A729-DFFAB4D7C521}" name="CUSTOMERNAME" dataDxfId="231"/>
    <tableColumn id="15" xr3:uid="{C7D5DC91-0AF8-40AA-91B2-F81660C0E607}" name="COUNTRY" dataDxfId="230"/>
    <tableColumn id="16" xr3:uid="{923CD245-8916-4BDF-BCF9-A4F6FACB60D8}" name="TERRITORY" dataDxfId="229"/>
    <tableColumn id="17" xr3:uid="{88FAB84C-2AC1-46B2-B9F9-FB1FC2D59AC4}" name="DEALSIZE" dataDxfId="22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43E9B-4723-4ACF-AD36-0365E668BB63}">
  <dimension ref="A1:Y2824"/>
  <sheetViews>
    <sheetView topLeftCell="H2723" workbookViewId="0">
      <selection activeCell="B7" sqref="B7"/>
    </sheetView>
  </sheetViews>
  <sheetFormatPr defaultRowHeight="15" x14ac:dyDescent="0.25"/>
  <cols>
    <col min="6" max="6" width="15.5703125" bestFit="1" customWidth="1"/>
    <col min="9" max="9" width="10.85546875" bestFit="1" customWidth="1"/>
    <col min="11" max="11" width="15.7109375" bestFit="1" customWidth="1"/>
    <col min="18" max="18" width="14.42578125" bestFit="1" customWidth="1"/>
  </cols>
  <sheetData>
    <row r="1" spans="1:2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spans="1:25" x14ac:dyDescent="0.25">
      <c r="A2">
        <v>10107</v>
      </c>
      <c r="B2">
        <v>30</v>
      </c>
      <c r="C2">
        <v>95.7</v>
      </c>
      <c r="D2">
        <v>2</v>
      </c>
      <c r="E2">
        <v>2871</v>
      </c>
      <c r="F2" s="1">
        <v>37676</v>
      </c>
      <c r="G2" t="s">
        <v>25</v>
      </c>
      <c r="H2">
        <v>1</v>
      </c>
      <c r="I2">
        <v>2</v>
      </c>
      <c r="J2">
        <v>2003</v>
      </c>
      <c r="K2" t="s">
        <v>26</v>
      </c>
      <c r="L2">
        <v>95</v>
      </c>
      <c r="M2" t="s">
        <v>27</v>
      </c>
      <c r="N2" t="s">
        <v>28</v>
      </c>
      <c r="O2">
        <v>2125557818</v>
      </c>
      <c r="P2" t="s">
        <v>29</v>
      </c>
      <c r="R2" t="s">
        <v>30</v>
      </c>
      <c r="S2" t="s">
        <v>31</v>
      </c>
      <c r="T2">
        <v>10022</v>
      </c>
      <c r="U2" t="s">
        <v>32</v>
      </c>
      <c r="V2" t="s">
        <v>33</v>
      </c>
      <c r="W2" t="s">
        <v>34</v>
      </c>
      <c r="X2" t="s">
        <v>35</v>
      </c>
      <c r="Y2" t="s">
        <v>36</v>
      </c>
    </row>
    <row r="3" spans="1:25" x14ac:dyDescent="0.25">
      <c r="A3">
        <v>10121</v>
      </c>
      <c r="B3">
        <v>34</v>
      </c>
      <c r="C3">
        <v>81.349999999999994</v>
      </c>
      <c r="D3">
        <v>5</v>
      </c>
      <c r="E3">
        <v>2765.9</v>
      </c>
      <c r="F3" s="1">
        <v>37748</v>
      </c>
      <c r="G3" t="s">
        <v>25</v>
      </c>
      <c r="H3">
        <v>2</v>
      </c>
      <c r="I3">
        <v>5</v>
      </c>
      <c r="J3">
        <v>2003</v>
      </c>
      <c r="K3" t="s">
        <v>26</v>
      </c>
      <c r="L3">
        <v>95</v>
      </c>
      <c r="M3" t="s">
        <v>27</v>
      </c>
      <c r="N3" t="s">
        <v>37</v>
      </c>
      <c r="O3" t="s">
        <v>38</v>
      </c>
      <c r="P3" t="s">
        <v>39</v>
      </c>
      <c r="R3" t="s">
        <v>40</v>
      </c>
      <c r="T3">
        <v>51100</v>
      </c>
      <c r="U3" t="s">
        <v>41</v>
      </c>
      <c r="V3" t="s">
        <v>42</v>
      </c>
      <c r="W3" t="s">
        <v>43</v>
      </c>
      <c r="X3" t="s">
        <v>44</v>
      </c>
      <c r="Y3" t="s">
        <v>36</v>
      </c>
    </row>
    <row r="4" spans="1:25" x14ac:dyDescent="0.25">
      <c r="A4">
        <v>10134</v>
      </c>
      <c r="B4">
        <v>41</v>
      </c>
      <c r="C4">
        <v>94.74</v>
      </c>
      <c r="D4">
        <v>2</v>
      </c>
      <c r="E4">
        <v>3884.34</v>
      </c>
      <c r="F4" s="1">
        <v>37803</v>
      </c>
      <c r="G4" t="s">
        <v>25</v>
      </c>
      <c r="H4">
        <v>3</v>
      </c>
      <c r="I4">
        <v>7</v>
      </c>
      <c r="J4">
        <v>2003</v>
      </c>
      <c r="K4" t="s">
        <v>26</v>
      </c>
      <c r="L4">
        <v>95</v>
      </c>
      <c r="M4" t="s">
        <v>27</v>
      </c>
      <c r="N4" t="s">
        <v>45</v>
      </c>
      <c r="O4" t="s">
        <v>46</v>
      </c>
      <c r="P4" t="s">
        <v>47</v>
      </c>
      <c r="R4" t="s">
        <v>48</v>
      </c>
      <c r="T4">
        <v>75508</v>
      </c>
      <c r="U4" t="s">
        <v>41</v>
      </c>
      <c r="V4" t="s">
        <v>42</v>
      </c>
      <c r="W4" t="s">
        <v>49</v>
      </c>
      <c r="X4" t="s">
        <v>50</v>
      </c>
      <c r="Y4" t="s">
        <v>51</v>
      </c>
    </row>
    <row r="5" spans="1:25" x14ac:dyDescent="0.25">
      <c r="A5">
        <v>10145</v>
      </c>
      <c r="B5">
        <v>45</v>
      </c>
      <c r="C5">
        <v>83.26</v>
      </c>
      <c r="D5">
        <v>6</v>
      </c>
      <c r="E5">
        <v>3746.7</v>
      </c>
      <c r="F5" s="1">
        <v>37858</v>
      </c>
      <c r="G5" t="s">
        <v>25</v>
      </c>
      <c r="H5">
        <v>3</v>
      </c>
      <c r="I5">
        <v>8</v>
      </c>
      <c r="J5">
        <v>2003</v>
      </c>
      <c r="K5" t="s">
        <v>26</v>
      </c>
      <c r="L5">
        <v>95</v>
      </c>
      <c r="M5" t="s">
        <v>27</v>
      </c>
      <c r="N5" t="s">
        <v>52</v>
      </c>
      <c r="O5">
        <v>6265557265</v>
      </c>
      <c r="P5" t="s">
        <v>53</v>
      </c>
      <c r="R5" t="s">
        <v>54</v>
      </c>
      <c r="S5" t="s">
        <v>55</v>
      </c>
      <c r="T5">
        <v>90003</v>
      </c>
      <c r="U5" t="s">
        <v>32</v>
      </c>
      <c r="V5" t="s">
        <v>33</v>
      </c>
      <c r="W5" t="s">
        <v>56</v>
      </c>
      <c r="X5" t="s">
        <v>57</v>
      </c>
      <c r="Y5" t="s">
        <v>51</v>
      </c>
    </row>
    <row r="6" spans="1:25" x14ac:dyDescent="0.25">
      <c r="A6">
        <v>10159</v>
      </c>
      <c r="B6">
        <v>49</v>
      </c>
      <c r="C6">
        <v>100</v>
      </c>
      <c r="D6">
        <v>14</v>
      </c>
      <c r="E6">
        <v>5205.2700000000004</v>
      </c>
      <c r="F6" s="1">
        <v>37904</v>
      </c>
      <c r="G6" t="s">
        <v>25</v>
      </c>
      <c r="H6">
        <v>4</v>
      </c>
      <c r="I6">
        <v>10</v>
      </c>
      <c r="J6">
        <v>2003</v>
      </c>
      <c r="K6" t="s">
        <v>26</v>
      </c>
      <c r="L6">
        <v>95</v>
      </c>
      <c r="M6" t="s">
        <v>27</v>
      </c>
      <c r="N6" t="s">
        <v>58</v>
      </c>
      <c r="O6">
        <v>6505551386</v>
      </c>
      <c r="P6" t="s">
        <v>59</v>
      </c>
      <c r="R6" t="s">
        <v>60</v>
      </c>
      <c r="S6" t="s">
        <v>55</v>
      </c>
      <c r="U6" t="s">
        <v>32</v>
      </c>
      <c r="V6" t="s">
        <v>33</v>
      </c>
      <c r="W6" t="s">
        <v>61</v>
      </c>
      <c r="X6" t="s">
        <v>57</v>
      </c>
      <c r="Y6" t="s">
        <v>51</v>
      </c>
    </row>
    <row r="7" spans="1:25" x14ac:dyDescent="0.25">
      <c r="A7">
        <v>10168</v>
      </c>
      <c r="B7">
        <v>36</v>
      </c>
      <c r="C7">
        <v>96.66</v>
      </c>
      <c r="D7">
        <v>1</v>
      </c>
      <c r="E7">
        <v>3479.76</v>
      </c>
      <c r="F7" s="1">
        <v>37922</v>
      </c>
      <c r="G7" t="s">
        <v>25</v>
      </c>
      <c r="H7">
        <v>4</v>
      </c>
      <c r="I7">
        <v>10</v>
      </c>
      <c r="J7">
        <v>2003</v>
      </c>
      <c r="K7" t="s">
        <v>26</v>
      </c>
      <c r="L7">
        <v>95</v>
      </c>
      <c r="M7" t="s">
        <v>27</v>
      </c>
      <c r="N7" t="s">
        <v>62</v>
      </c>
      <c r="O7">
        <v>6505556809</v>
      </c>
      <c r="P7" t="s">
        <v>63</v>
      </c>
      <c r="R7" t="s">
        <v>64</v>
      </c>
      <c r="S7" t="s">
        <v>55</v>
      </c>
      <c r="T7">
        <v>94217</v>
      </c>
      <c r="U7" t="s">
        <v>32</v>
      </c>
      <c r="V7" t="s">
        <v>33</v>
      </c>
      <c r="W7" t="s">
        <v>65</v>
      </c>
      <c r="X7" t="s">
        <v>66</v>
      </c>
      <c r="Y7" t="s">
        <v>51</v>
      </c>
    </row>
    <row r="8" spans="1:25" x14ac:dyDescent="0.25">
      <c r="A8">
        <v>10180</v>
      </c>
      <c r="B8">
        <v>29</v>
      </c>
      <c r="C8">
        <v>86.13</v>
      </c>
      <c r="D8">
        <v>9</v>
      </c>
      <c r="E8">
        <v>2497.77</v>
      </c>
      <c r="F8" s="1">
        <v>37936</v>
      </c>
      <c r="G8" t="s">
        <v>25</v>
      </c>
      <c r="H8">
        <v>4</v>
      </c>
      <c r="I8">
        <v>11</v>
      </c>
      <c r="J8">
        <v>2003</v>
      </c>
      <c r="K8" t="s">
        <v>26</v>
      </c>
      <c r="L8">
        <v>95</v>
      </c>
      <c r="M8" t="s">
        <v>27</v>
      </c>
      <c r="N8" t="s">
        <v>67</v>
      </c>
      <c r="O8" t="s">
        <v>68</v>
      </c>
      <c r="P8" t="s">
        <v>69</v>
      </c>
      <c r="R8" t="s">
        <v>70</v>
      </c>
      <c r="T8">
        <v>59000</v>
      </c>
      <c r="U8" t="s">
        <v>41</v>
      </c>
      <c r="V8" t="s">
        <v>42</v>
      </c>
      <c r="W8" t="s">
        <v>71</v>
      </c>
      <c r="X8" t="s">
        <v>72</v>
      </c>
      <c r="Y8" t="s">
        <v>36</v>
      </c>
    </row>
    <row r="9" spans="1:25" x14ac:dyDescent="0.25">
      <c r="A9">
        <v>10188</v>
      </c>
      <c r="B9">
        <v>48</v>
      </c>
      <c r="C9">
        <v>100</v>
      </c>
      <c r="D9">
        <v>1</v>
      </c>
      <c r="E9">
        <v>5512.32</v>
      </c>
      <c r="F9" s="1">
        <v>37943</v>
      </c>
      <c r="G9" t="s">
        <v>25</v>
      </c>
      <c r="H9">
        <v>4</v>
      </c>
      <c r="I9">
        <v>11</v>
      </c>
      <c r="J9">
        <v>2003</v>
      </c>
      <c r="K9" t="s">
        <v>26</v>
      </c>
      <c r="L9">
        <v>95</v>
      </c>
      <c r="M9" t="s">
        <v>27</v>
      </c>
      <c r="N9" t="s">
        <v>73</v>
      </c>
      <c r="O9" t="s">
        <v>74</v>
      </c>
      <c r="P9" t="s">
        <v>75</v>
      </c>
      <c r="R9" t="s">
        <v>76</v>
      </c>
      <c r="T9" t="s">
        <v>77</v>
      </c>
      <c r="U9" t="s">
        <v>78</v>
      </c>
      <c r="V9" t="s">
        <v>42</v>
      </c>
      <c r="W9" t="s">
        <v>79</v>
      </c>
      <c r="X9" t="s">
        <v>80</v>
      </c>
      <c r="Y9" t="s">
        <v>51</v>
      </c>
    </row>
    <row r="10" spans="1:25" x14ac:dyDescent="0.25">
      <c r="A10">
        <v>10201</v>
      </c>
      <c r="B10">
        <v>22</v>
      </c>
      <c r="C10">
        <v>98.57</v>
      </c>
      <c r="D10">
        <v>2</v>
      </c>
      <c r="E10">
        <v>2168.54</v>
      </c>
      <c r="F10" s="1">
        <v>37956</v>
      </c>
      <c r="G10" t="s">
        <v>25</v>
      </c>
      <c r="H10">
        <v>4</v>
      </c>
      <c r="I10">
        <v>12</v>
      </c>
      <c r="J10">
        <v>2003</v>
      </c>
      <c r="K10" t="s">
        <v>26</v>
      </c>
      <c r="L10">
        <v>95</v>
      </c>
      <c r="M10" t="s">
        <v>27</v>
      </c>
      <c r="N10" t="s">
        <v>81</v>
      </c>
      <c r="O10">
        <v>6505555787</v>
      </c>
      <c r="P10" t="s">
        <v>82</v>
      </c>
      <c r="R10" t="s">
        <v>60</v>
      </c>
      <c r="S10" t="s">
        <v>55</v>
      </c>
      <c r="U10" t="s">
        <v>32</v>
      </c>
      <c r="V10" t="s">
        <v>33</v>
      </c>
      <c r="W10" t="s">
        <v>83</v>
      </c>
      <c r="X10" t="s">
        <v>57</v>
      </c>
      <c r="Y10" t="s">
        <v>36</v>
      </c>
    </row>
    <row r="11" spans="1:25" x14ac:dyDescent="0.25">
      <c r="A11">
        <v>10211</v>
      </c>
      <c r="B11">
        <v>41</v>
      </c>
      <c r="C11">
        <v>100</v>
      </c>
      <c r="D11">
        <v>14</v>
      </c>
      <c r="E11">
        <v>4708.4399999999996</v>
      </c>
      <c r="F11" s="1">
        <v>38001</v>
      </c>
      <c r="G11" t="s">
        <v>25</v>
      </c>
      <c r="H11">
        <v>1</v>
      </c>
      <c r="I11">
        <v>1</v>
      </c>
      <c r="J11">
        <v>2004</v>
      </c>
      <c r="K11" t="s">
        <v>26</v>
      </c>
      <c r="L11">
        <v>95</v>
      </c>
      <c r="M11" t="s">
        <v>27</v>
      </c>
      <c r="N11" t="s">
        <v>84</v>
      </c>
      <c r="O11" t="s">
        <v>85</v>
      </c>
      <c r="P11" t="s">
        <v>86</v>
      </c>
      <c r="R11" t="s">
        <v>48</v>
      </c>
      <c r="T11">
        <v>75016</v>
      </c>
      <c r="U11" t="s">
        <v>41</v>
      </c>
      <c r="V11" t="s">
        <v>42</v>
      </c>
      <c r="W11" t="s">
        <v>87</v>
      </c>
      <c r="X11" t="s">
        <v>88</v>
      </c>
      <c r="Y11" t="s">
        <v>51</v>
      </c>
    </row>
    <row r="12" spans="1:25" x14ac:dyDescent="0.25">
      <c r="A12">
        <v>10223</v>
      </c>
      <c r="B12">
        <v>37</v>
      </c>
      <c r="C12">
        <v>100</v>
      </c>
      <c r="D12">
        <v>1</v>
      </c>
      <c r="E12">
        <v>3965.66</v>
      </c>
      <c r="F12" s="1">
        <v>38037</v>
      </c>
      <c r="G12" t="s">
        <v>25</v>
      </c>
      <c r="H12">
        <v>1</v>
      </c>
      <c r="I12">
        <v>2</v>
      </c>
      <c r="J12">
        <v>2004</v>
      </c>
      <c r="K12" t="s">
        <v>26</v>
      </c>
      <c r="L12">
        <v>95</v>
      </c>
      <c r="M12" t="s">
        <v>27</v>
      </c>
      <c r="N12" t="s">
        <v>89</v>
      </c>
      <c r="O12" t="s">
        <v>90</v>
      </c>
      <c r="P12" t="s">
        <v>91</v>
      </c>
      <c r="Q12" t="s">
        <v>92</v>
      </c>
      <c r="R12" t="s">
        <v>93</v>
      </c>
      <c r="S12" t="s">
        <v>94</v>
      </c>
      <c r="T12">
        <v>3004</v>
      </c>
      <c r="U12" t="s">
        <v>95</v>
      </c>
      <c r="V12" t="s">
        <v>96</v>
      </c>
      <c r="W12" t="s">
        <v>97</v>
      </c>
      <c r="X12" t="s">
        <v>98</v>
      </c>
      <c r="Y12" t="s">
        <v>51</v>
      </c>
    </row>
    <row r="13" spans="1:25" x14ac:dyDescent="0.25">
      <c r="A13">
        <v>10237</v>
      </c>
      <c r="B13">
        <v>23</v>
      </c>
      <c r="C13">
        <v>100</v>
      </c>
      <c r="D13">
        <v>7</v>
      </c>
      <c r="E13">
        <v>2333.12</v>
      </c>
      <c r="F13" s="1">
        <v>38082</v>
      </c>
      <c r="G13" t="s">
        <v>25</v>
      </c>
      <c r="H13">
        <v>2</v>
      </c>
      <c r="I13">
        <v>4</v>
      </c>
      <c r="J13">
        <v>2004</v>
      </c>
      <c r="K13" t="s">
        <v>26</v>
      </c>
      <c r="L13">
        <v>95</v>
      </c>
      <c r="M13" t="s">
        <v>27</v>
      </c>
      <c r="N13" t="s">
        <v>99</v>
      </c>
      <c r="O13">
        <v>2125551500</v>
      </c>
      <c r="P13" t="s">
        <v>100</v>
      </c>
      <c r="Q13" t="s">
        <v>101</v>
      </c>
      <c r="R13" t="s">
        <v>30</v>
      </c>
      <c r="S13" t="s">
        <v>31</v>
      </c>
      <c r="T13">
        <v>10022</v>
      </c>
      <c r="U13" t="s">
        <v>32</v>
      </c>
      <c r="V13" t="s">
        <v>33</v>
      </c>
      <c r="W13" t="s">
        <v>102</v>
      </c>
      <c r="X13" t="s">
        <v>103</v>
      </c>
      <c r="Y13" t="s">
        <v>36</v>
      </c>
    </row>
    <row r="14" spans="1:25" x14ac:dyDescent="0.25">
      <c r="A14">
        <v>10251</v>
      </c>
      <c r="B14">
        <v>28</v>
      </c>
      <c r="C14">
        <v>100</v>
      </c>
      <c r="D14">
        <v>2</v>
      </c>
      <c r="E14">
        <v>3188.64</v>
      </c>
      <c r="F14" s="1">
        <v>38125</v>
      </c>
      <c r="G14" t="s">
        <v>25</v>
      </c>
      <c r="H14">
        <v>2</v>
      </c>
      <c r="I14">
        <v>5</v>
      </c>
      <c r="J14">
        <v>2004</v>
      </c>
      <c r="K14" t="s">
        <v>26</v>
      </c>
      <c r="L14">
        <v>95</v>
      </c>
      <c r="M14" t="s">
        <v>27</v>
      </c>
      <c r="N14" t="s">
        <v>104</v>
      </c>
      <c r="O14">
        <v>2015559350</v>
      </c>
      <c r="P14" t="s">
        <v>105</v>
      </c>
      <c r="R14" t="s">
        <v>106</v>
      </c>
      <c r="S14" t="s">
        <v>107</v>
      </c>
      <c r="T14">
        <v>94019</v>
      </c>
      <c r="U14" t="s">
        <v>32</v>
      </c>
      <c r="V14" t="s">
        <v>33</v>
      </c>
      <c r="W14" t="s">
        <v>61</v>
      </c>
      <c r="X14" t="s">
        <v>108</v>
      </c>
      <c r="Y14" t="s">
        <v>51</v>
      </c>
    </row>
    <row r="15" spans="1:25" x14ac:dyDescent="0.25">
      <c r="A15">
        <v>10263</v>
      </c>
      <c r="B15">
        <v>34</v>
      </c>
      <c r="C15">
        <v>100</v>
      </c>
      <c r="D15">
        <v>2</v>
      </c>
      <c r="E15">
        <v>3676.76</v>
      </c>
      <c r="F15" s="1">
        <v>38166</v>
      </c>
      <c r="G15" t="s">
        <v>25</v>
      </c>
      <c r="H15">
        <v>2</v>
      </c>
      <c r="I15">
        <v>6</v>
      </c>
      <c r="J15">
        <v>2004</v>
      </c>
      <c r="K15" t="s">
        <v>26</v>
      </c>
      <c r="L15">
        <v>95</v>
      </c>
      <c r="M15" t="s">
        <v>27</v>
      </c>
      <c r="N15" t="s">
        <v>109</v>
      </c>
      <c r="O15">
        <v>2035552570</v>
      </c>
      <c r="P15" t="s">
        <v>110</v>
      </c>
      <c r="R15" t="s">
        <v>111</v>
      </c>
      <c r="S15" t="s">
        <v>112</v>
      </c>
      <c r="T15">
        <v>97562</v>
      </c>
      <c r="U15" t="s">
        <v>32</v>
      </c>
      <c r="V15" t="s">
        <v>33</v>
      </c>
      <c r="W15" t="s">
        <v>113</v>
      </c>
      <c r="X15" t="s">
        <v>57</v>
      </c>
      <c r="Y15" t="s">
        <v>51</v>
      </c>
    </row>
    <row r="16" spans="1:25" x14ac:dyDescent="0.25">
      <c r="A16">
        <v>10275</v>
      </c>
      <c r="B16">
        <v>45</v>
      </c>
      <c r="C16">
        <v>92.83</v>
      </c>
      <c r="D16">
        <v>1</v>
      </c>
      <c r="E16">
        <v>4177.3500000000004</v>
      </c>
      <c r="F16" s="1">
        <v>38191</v>
      </c>
      <c r="G16" t="s">
        <v>25</v>
      </c>
      <c r="H16">
        <v>3</v>
      </c>
      <c r="I16">
        <v>7</v>
      </c>
      <c r="J16">
        <v>2004</v>
      </c>
      <c r="K16" t="s">
        <v>26</v>
      </c>
      <c r="L16">
        <v>95</v>
      </c>
      <c r="M16" t="s">
        <v>27</v>
      </c>
      <c r="N16" t="s">
        <v>114</v>
      </c>
      <c r="O16" t="s">
        <v>115</v>
      </c>
      <c r="P16" t="s">
        <v>116</v>
      </c>
      <c r="R16" t="s">
        <v>117</v>
      </c>
      <c r="T16">
        <v>44000</v>
      </c>
      <c r="U16" t="s">
        <v>41</v>
      </c>
      <c r="V16" t="s">
        <v>42</v>
      </c>
      <c r="W16" t="s">
        <v>118</v>
      </c>
      <c r="X16" t="s">
        <v>119</v>
      </c>
      <c r="Y16" t="s">
        <v>51</v>
      </c>
    </row>
    <row r="17" spans="1:25" x14ac:dyDescent="0.25">
      <c r="A17">
        <v>10285</v>
      </c>
      <c r="B17">
        <v>36</v>
      </c>
      <c r="C17">
        <v>100</v>
      </c>
      <c r="D17">
        <v>6</v>
      </c>
      <c r="E17">
        <v>4099.68</v>
      </c>
      <c r="F17" s="1">
        <v>38226</v>
      </c>
      <c r="G17" t="s">
        <v>25</v>
      </c>
      <c r="H17">
        <v>3</v>
      </c>
      <c r="I17">
        <v>8</v>
      </c>
      <c r="J17">
        <v>2004</v>
      </c>
      <c r="K17" t="s">
        <v>26</v>
      </c>
      <c r="L17">
        <v>95</v>
      </c>
      <c r="M17" t="s">
        <v>27</v>
      </c>
      <c r="N17" t="s">
        <v>120</v>
      </c>
      <c r="O17">
        <v>6175558555</v>
      </c>
      <c r="P17" t="s">
        <v>121</v>
      </c>
      <c r="R17" t="s">
        <v>122</v>
      </c>
      <c r="S17" t="s">
        <v>123</v>
      </c>
      <c r="T17">
        <v>51247</v>
      </c>
      <c r="U17" t="s">
        <v>32</v>
      </c>
      <c r="V17" t="s">
        <v>33</v>
      </c>
      <c r="W17" t="s">
        <v>124</v>
      </c>
      <c r="X17" t="s">
        <v>125</v>
      </c>
      <c r="Y17" t="s">
        <v>51</v>
      </c>
    </row>
    <row r="18" spans="1:25" x14ac:dyDescent="0.25">
      <c r="A18">
        <v>10299</v>
      </c>
      <c r="B18">
        <v>23</v>
      </c>
      <c r="C18">
        <v>100</v>
      </c>
      <c r="D18">
        <v>9</v>
      </c>
      <c r="E18">
        <v>2597.39</v>
      </c>
      <c r="F18" s="1">
        <v>38260</v>
      </c>
      <c r="G18" t="s">
        <v>25</v>
      </c>
      <c r="H18">
        <v>3</v>
      </c>
      <c r="I18">
        <v>9</v>
      </c>
      <c r="J18">
        <v>2004</v>
      </c>
      <c r="K18" t="s">
        <v>26</v>
      </c>
      <c r="L18">
        <v>95</v>
      </c>
      <c r="M18" t="s">
        <v>27</v>
      </c>
      <c r="N18" t="s">
        <v>126</v>
      </c>
      <c r="O18" t="s">
        <v>127</v>
      </c>
      <c r="P18" t="s">
        <v>128</v>
      </c>
      <c r="R18" t="s">
        <v>129</v>
      </c>
      <c r="T18">
        <v>21240</v>
      </c>
      <c r="U18" t="s">
        <v>130</v>
      </c>
      <c r="V18" t="s">
        <v>42</v>
      </c>
      <c r="W18" t="s">
        <v>131</v>
      </c>
      <c r="X18" t="s">
        <v>132</v>
      </c>
      <c r="Y18" t="s">
        <v>36</v>
      </c>
    </row>
    <row r="19" spans="1:25" x14ac:dyDescent="0.25">
      <c r="A19">
        <v>10309</v>
      </c>
      <c r="B19">
        <v>41</v>
      </c>
      <c r="C19">
        <v>100</v>
      </c>
      <c r="D19">
        <v>5</v>
      </c>
      <c r="E19">
        <v>4394.38</v>
      </c>
      <c r="F19" s="1">
        <v>38275</v>
      </c>
      <c r="G19" t="s">
        <v>25</v>
      </c>
      <c r="H19">
        <v>4</v>
      </c>
      <c r="I19">
        <v>10</v>
      </c>
      <c r="J19">
        <v>2004</v>
      </c>
      <c r="K19" t="s">
        <v>26</v>
      </c>
      <c r="L19">
        <v>95</v>
      </c>
      <c r="M19" t="s">
        <v>27</v>
      </c>
      <c r="N19" t="s">
        <v>133</v>
      </c>
      <c r="O19" t="s">
        <v>134</v>
      </c>
      <c r="P19" t="s">
        <v>135</v>
      </c>
      <c r="R19" t="s">
        <v>136</v>
      </c>
      <c r="T19">
        <v>4110</v>
      </c>
      <c r="U19" t="s">
        <v>78</v>
      </c>
      <c r="V19" t="s">
        <v>42</v>
      </c>
      <c r="W19" t="s">
        <v>137</v>
      </c>
      <c r="X19" t="s">
        <v>138</v>
      </c>
      <c r="Y19" t="s">
        <v>51</v>
      </c>
    </row>
    <row r="20" spans="1:25" x14ac:dyDescent="0.25">
      <c r="A20">
        <v>10318</v>
      </c>
      <c r="B20">
        <v>46</v>
      </c>
      <c r="C20">
        <v>94.74</v>
      </c>
      <c r="D20">
        <v>1</v>
      </c>
      <c r="E20">
        <v>4358.04</v>
      </c>
      <c r="F20" s="1">
        <v>38293</v>
      </c>
      <c r="G20" t="s">
        <v>25</v>
      </c>
      <c r="H20">
        <v>4</v>
      </c>
      <c r="I20">
        <v>11</v>
      </c>
      <c r="J20">
        <v>2004</v>
      </c>
      <c r="K20" t="s">
        <v>26</v>
      </c>
      <c r="L20">
        <v>95</v>
      </c>
      <c r="M20" t="s">
        <v>27</v>
      </c>
      <c r="N20" t="s">
        <v>139</v>
      </c>
      <c r="O20">
        <v>2155551555</v>
      </c>
      <c r="P20" t="s">
        <v>140</v>
      </c>
      <c r="R20" t="s">
        <v>141</v>
      </c>
      <c r="S20" t="s">
        <v>142</v>
      </c>
      <c r="T20">
        <v>70267</v>
      </c>
      <c r="U20" t="s">
        <v>32</v>
      </c>
      <c r="V20" t="s">
        <v>33</v>
      </c>
      <c r="W20" t="s">
        <v>34</v>
      </c>
      <c r="X20" t="s">
        <v>143</v>
      </c>
      <c r="Y20" t="s">
        <v>51</v>
      </c>
    </row>
    <row r="21" spans="1:25" x14ac:dyDescent="0.25">
      <c r="A21">
        <v>10329</v>
      </c>
      <c r="B21">
        <v>42</v>
      </c>
      <c r="C21">
        <v>100</v>
      </c>
      <c r="D21">
        <v>1</v>
      </c>
      <c r="E21">
        <v>4396.1400000000003</v>
      </c>
      <c r="F21" s="1">
        <v>38306</v>
      </c>
      <c r="G21" t="s">
        <v>25</v>
      </c>
      <c r="H21">
        <v>4</v>
      </c>
      <c r="I21">
        <v>11</v>
      </c>
      <c r="J21">
        <v>2004</v>
      </c>
      <c r="K21" t="s">
        <v>26</v>
      </c>
      <c r="L21">
        <v>95</v>
      </c>
      <c r="M21" t="s">
        <v>27</v>
      </c>
      <c r="N21" t="s">
        <v>28</v>
      </c>
      <c r="O21">
        <v>2125557818</v>
      </c>
      <c r="P21" t="s">
        <v>29</v>
      </c>
      <c r="R21" t="s">
        <v>30</v>
      </c>
      <c r="S21" t="s">
        <v>31</v>
      </c>
      <c r="T21">
        <v>10022</v>
      </c>
      <c r="U21" t="s">
        <v>32</v>
      </c>
      <c r="V21" t="s">
        <v>33</v>
      </c>
      <c r="W21" t="s">
        <v>34</v>
      </c>
      <c r="X21" t="s">
        <v>35</v>
      </c>
      <c r="Y21" t="s">
        <v>51</v>
      </c>
    </row>
    <row r="22" spans="1:25" x14ac:dyDescent="0.25">
      <c r="A22">
        <v>10341</v>
      </c>
      <c r="B22">
        <v>41</v>
      </c>
      <c r="C22">
        <v>100</v>
      </c>
      <c r="D22">
        <v>9</v>
      </c>
      <c r="E22">
        <v>7737.93</v>
      </c>
      <c r="F22" s="1">
        <v>38315</v>
      </c>
      <c r="G22" t="s">
        <v>25</v>
      </c>
      <c r="H22">
        <v>4</v>
      </c>
      <c r="I22">
        <v>11</v>
      </c>
      <c r="J22">
        <v>2004</v>
      </c>
      <c r="K22" t="s">
        <v>26</v>
      </c>
      <c r="L22">
        <v>95</v>
      </c>
      <c r="M22" t="s">
        <v>27</v>
      </c>
      <c r="N22" t="s">
        <v>144</v>
      </c>
      <c r="O22" t="s">
        <v>145</v>
      </c>
      <c r="P22" t="s">
        <v>146</v>
      </c>
      <c r="R22" t="s">
        <v>147</v>
      </c>
      <c r="T22">
        <v>5020</v>
      </c>
      <c r="U22" t="s">
        <v>148</v>
      </c>
      <c r="V22" t="s">
        <v>42</v>
      </c>
      <c r="W22" t="s">
        <v>149</v>
      </c>
      <c r="X22" t="s">
        <v>150</v>
      </c>
      <c r="Y22" t="s">
        <v>151</v>
      </c>
    </row>
    <row r="23" spans="1:25" x14ac:dyDescent="0.25">
      <c r="A23">
        <v>10361</v>
      </c>
      <c r="B23">
        <v>20</v>
      </c>
      <c r="C23">
        <v>72.55</v>
      </c>
      <c r="D23">
        <v>13</v>
      </c>
      <c r="E23">
        <v>1451</v>
      </c>
      <c r="F23" s="1">
        <v>38338</v>
      </c>
      <c r="G23" t="s">
        <v>25</v>
      </c>
      <c r="H23">
        <v>4</v>
      </c>
      <c r="I23">
        <v>12</v>
      </c>
      <c r="J23">
        <v>2004</v>
      </c>
      <c r="K23" t="s">
        <v>26</v>
      </c>
      <c r="L23">
        <v>95</v>
      </c>
      <c r="M23" t="s">
        <v>27</v>
      </c>
      <c r="N23" t="s">
        <v>152</v>
      </c>
      <c r="O23" t="s">
        <v>153</v>
      </c>
      <c r="P23" t="s">
        <v>154</v>
      </c>
      <c r="Q23" t="s">
        <v>155</v>
      </c>
      <c r="R23" t="s">
        <v>156</v>
      </c>
      <c r="S23" t="s">
        <v>157</v>
      </c>
      <c r="T23">
        <v>2067</v>
      </c>
      <c r="U23" t="s">
        <v>95</v>
      </c>
      <c r="V23" t="s">
        <v>96</v>
      </c>
      <c r="W23" t="s">
        <v>158</v>
      </c>
      <c r="X23" t="s">
        <v>159</v>
      </c>
      <c r="Y23" t="s">
        <v>36</v>
      </c>
    </row>
    <row r="24" spans="1:25" x14ac:dyDescent="0.25">
      <c r="A24">
        <v>10375</v>
      </c>
      <c r="B24">
        <v>21</v>
      </c>
      <c r="C24">
        <v>34.909999999999997</v>
      </c>
      <c r="D24">
        <v>12</v>
      </c>
      <c r="E24">
        <v>733.11</v>
      </c>
      <c r="F24" s="1">
        <v>38386</v>
      </c>
      <c r="G24" t="s">
        <v>25</v>
      </c>
      <c r="H24">
        <v>1</v>
      </c>
      <c r="I24">
        <v>2</v>
      </c>
      <c r="J24">
        <v>2005</v>
      </c>
      <c r="K24" t="s">
        <v>26</v>
      </c>
      <c r="L24">
        <v>95</v>
      </c>
      <c r="M24" t="s">
        <v>27</v>
      </c>
      <c r="N24" t="s">
        <v>114</v>
      </c>
      <c r="O24" t="s">
        <v>115</v>
      </c>
      <c r="P24" t="s">
        <v>116</v>
      </c>
      <c r="R24" t="s">
        <v>117</v>
      </c>
      <c r="T24">
        <v>44000</v>
      </c>
      <c r="U24" t="s">
        <v>41</v>
      </c>
      <c r="V24" t="s">
        <v>42</v>
      </c>
      <c r="W24" t="s">
        <v>118</v>
      </c>
      <c r="X24" t="s">
        <v>119</v>
      </c>
      <c r="Y24" t="s">
        <v>36</v>
      </c>
    </row>
    <row r="25" spans="1:25" x14ac:dyDescent="0.25">
      <c r="A25">
        <v>10388</v>
      </c>
      <c r="B25">
        <v>42</v>
      </c>
      <c r="C25">
        <v>76.36</v>
      </c>
      <c r="D25">
        <v>4</v>
      </c>
      <c r="E25">
        <v>3207.12</v>
      </c>
      <c r="F25" s="1">
        <v>38414</v>
      </c>
      <c r="G25" t="s">
        <v>25</v>
      </c>
      <c r="H25">
        <v>1</v>
      </c>
      <c r="I25">
        <v>3</v>
      </c>
      <c r="J25">
        <v>2005</v>
      </c>
      <c r="K25" t="s">
        <v>26</v>
      </c>
      <c r="L25">
        <v>95</v>
      </c>
      <c r="M25" t="s">
        <v>27</v>
      </c>
      <c r="N25" t="s">
        <v>160</v>
      </c>
      <c r="O25">
        <v>5085552555</v>
      </c>
      <c r="P25" t="s">
        <v>161</v>
      </c>
      <c r="R25" t="s">
        <v>162</v>
      </c>
      <c r="S25" t="s">
        <v>123</v>
      </c>
      <c r="T25">
        <v>50553</v>
      </c>
      <c r="U25" t="s">
        <v>32</v>
      </c>
      <c r="V25" t="s">
        <v>33</v>
      </c>
      <c r="W25" t="s">
        <v>163</v>
      </c>
      <c r="X25" t="s">
        <v>164</v>
      </c>
      <c r="Y25" t="s">
        <v>51</v>
      </c>
    </row>
    <row r="26" spans="1:25" x14ac:dyDescent="0.25">
      <c r="A26">
        <v>10403</v>
      </c>
      <c r="B26">
        <v>24</v>
      </c>
      <c r="C26">
        <v>100</v>
      </c>
      <c r="D26">
        <v>7</v>
      </c>
      <c r="E26">
        <v>2434.56</v>
      </c>
      <c r="F26" s="1">
        <v>38450</v>
      </c>
      <c r="G26" t="s">
        <v>25</v>
      </c>
      <c r="H26">
        <v>2</v>
      </c>
      <c r="I26">
        <v>4</v>
      </c>
      <c r="J26">
        <v>2005</v>
      </c>
      <c r="K26" t="s">
        <v>26</v>
      </c>
      <c r="L26">
        <v>95</v>
      </c>
      <c r="M26" t="s">
        <v>27</v>
      </c>
      <c r="N26" t="s">
        <v>165</v>
      </c>
      <c r="O26" t="s">
        <v>166</v>
      </c>
      <c r="P26" t="s">
        <v>167</v>
      </c>
      <c r="R26" t="s">
        <v>168</v>
      </c>
      <c r="T26" t="s">
        <v>169</v>
      </c>
      <c r="U26" t="s">
        <v>170</v>
      </c>
      <c r="V26" t="s">
        <v>42</v>
      </c>
      <c r="W26" t="s">
        <v>171</v>
      </c>
      <c r="X26" t="s">
        <v>172</v>
      </c>
      <c r="Y26" t="s">
        <v>36</v>
      </c>
    </row>
    <row r="27" spans="1:25" x14ac:dyDescent="0.25">
      <c r="A27">
        <v>10417</v>
      </c>
      <c r="B27">
        <v>66</v>
      </c>
      <c r="C27">
        <v>100</v>
      </c>
      <c r="D27">
        <v>2</v>
      </c>
      <c r="E27">
        <v>7516.08</v>
      </c>
      <c r="F27" s="1">
        <v>38485</v>
      </c>
      <c r="G27" t="s">
        <v>173</v>
      </c>
      <c r="H27">
        <v>2</v>
      </c>
      <c r="I27">
        <v>5</v>
      </c>
      <c r="J27">
        <v>2005</v>
      </c>
      <c r="K27" t="s">
        <v>26</v>
      </c>
      <c r="L27">
        <v>95</v>
      </c>
      <c r="M27" t="s">
        <v>27</v>
      </c>
      <c r="N27" t="s">
        <v>174</v>
      </c>
      <c r="O27" t="s">
        <v>175</v>
      </c>
      <c r="P27" t="s">
        <v>176</v>
      </c>
      <c r="R27" t="s">
        <v>177</v>
      </c>
      <c r="T27">
        <v>28034</v>
      </c>
      <c r="U27" t="s">
        <v>178</v>
      </c>
      <c r="V27" t="s">
        <v>42</v>
      </c>
      <c r="W27" t="s">
        <v>179</v>
      </c>
      <c r="X27" t="s">
        <v>180</v>
      </c>
      <c r="Y27" t="s">
        <v>151</v>
      </c>
    </row>
    <row r="28" spans="1:25" x14ac:dyDescent="0.25">
      <c r="A28">
        <v>10103</v>
      </c>
      <c r="B28">
        <v>26</v>
      </c>
      <c r="C28">
        <v>100</v>
      </c>
      <c r="D28">
        <v>11</v>
      </c>
      <c r="E28">
        <v>5404.62</v>
      </c>
      <c r="F28" s="1">
        <v>37650</v>
      </c>
      <c r="G28" t="s">
        <v>25</v>
      </c>
      <c r="H28">
        <v>1</v>
      </c>
      <c r="I28">
        <v>1</v>
      </c>
      <c r="J28">
        <v>2003</v>
      </c>
      <c r="K28" t="s">
        <v>181</v>
      </c>
      <c r="L28">
        <v>214</v>
      </c>
      <c r="M28" t="s">
        <v>182</v>
      </c>
      <c r="N28" t="s">
        <v>133</v>
      </c>
      <c r="O28" t="s">
        <v>134</v>
      </c>
      <c r="P28" t="s">
        <v>135</v>
      </c>
      <c r="R28" t="s">
        <v>136</v>
      </c>
      <c r="T28">
        <v>4110</v>
      </c>
      <c r="U28" t="s">
        <v>78</v>
      </c>
      <c r="V28" t="s">
        <v>42</v>
      </c>
      <c r="W28" t="s">
        <v>137</v>
      </c>
      <c r="X28" t="s">
        <v>138</v>
      </c>
      <c r="Y28" t="s">
        <v>51</v>
      </c>
    </row>
    <row r="29" spans="1:25" x14ac:dyDescent="0.25">
      <c r="A29">
        <v>10112</v>
      </c>
      <c r="B29">
        <v>29</v>
      </c>
      <c r="C29">
        <v>100</v>
      </c>
      <c r="D29">
        <v>1</v>
      </c>
      <c r="E29">
        <v>7209.11</v>
      </c>
      <c r="F29" s="1">
        <v>37704</v>
      </c>
      <c r="G29" t="s">
        <v>25</v>
      </c>
      <c r="H29">
        <v>1</v>
      </c>
      <c r="I29">
        <v>3</v>
      </c>
      <c r="J29">
        <v>2003</v>
      </c>
      <c r="K29" t="s">
        <v>181</v>
      </c>
      <c r="L29">
        <v>214</v>
      </c>
      <c r="M29" t="s">
        <v>182</v>
      </c>
      <c r="N29" t="s">
        <v>183</v>
      </c>
      <c r="O29" t="s">
        <v>184</v>
      </c>
      <c r="P29" t="s">
        <v>185</v>
      </c>
      <c r="R29" t="s">
        <v>186</v>
      </c>
      <c r="T29" t="s">
        <v>187</v>
      </c>
      <c r="U29" t="s">
        <v>188</v>
      </c>
      <c r="V29" t="s">
        <v>42</v>
      </c>
      <c r="W29" t="s">
        <v>189</v>
      </c>
      <c r="X29" t="s">
        <v>190</v>
      </c>
      <c r="Y29" t="s">
        <v>151</v>
      </c>
    </row>
    <row r="30" spans="1:25" x14ac:dyDescent="0.25">
      <c r="A30">
        <v>10126</v>
      </c>
      <c r="B30">
        <v>38</v>
      </c>
      <c r="C30">
        <v>100</v>
      </c>
      <c r="D30">
        <v>11</v>
      </c>
      <c r="E30">
        <v>7329.06</v>
      </c>
      <c r="F30" s="1">
        <v>37769</v>
      </c>
      <c r="G30" t="s">
        <v>25</v>
      </c>
      <c r="H30">
        <v>2</v>
      </c>
      <c r="I30">
        <v>5</v>
      </c>
      <c r="J30">
        <v>2003</v>
      </c>
      <c r="K30" t="s">
        <v>181</v>
      </c>
      <c r="L30">
        <v>214</v>
      </c>
      <c r="M30" t="s">
        <v>182</v>
      </c>
      <c r="N30" t="s">
        <v>191</v>
      </c>
      <c r="O30" t="s">
        <v>192</v>
      </c>
      <c r="P30" t="s">
        <v>193</v>
      </c>
      <c r="R30" t="s">
        <v>177</v>
      </c>
      <c r="T30">
        <v>28023</v>
      </c>
      <c r="U30" t="s">
        <v>178</v>
      </c>
      <c r="V30" t="s">
        <v>42</v>
      </c>
      <c r="W30" t="s">
        <v>194</v>
      </c>
      <c r="X30" t="s">
        <v>195</v>
      </c>
      <c r="Y30" t="s">
        <v>151</v>
      </c>
    </row>
    <row r="31" spans="1:25" x14ac:dyDescent="0.25">
      <c r="A31">
        <v>10140</v>
      </c>
      <c r="B31">
        <v>37</v>
      </c>
      <c r="C31">
        <v>100</v>
      </c>
      <c r="D31">
        <v>11</v>
      </c>
      <c r="E31">
        <v>7374.1</v>
      </c>
      <c r="F31" s="1">
        <v>37826</v>
      </c>
      <c r="G31" t="s">
        <v>25</v>
      </c>
      <c r="H31">
        <v>3</v>
      </c>
      <c r="I31">
        <v>7</v>
      </c>
      <c r="J31">
        <v>2003</v>
      </c>
      <c r="K31" t="s">
        <v>181</v>
      </c>
      <c r="L31">
        <v>214</v>
      </c>
      <c r="M31" t="s">
        <v>182</v>
      </c>
      <c r="N31" t="s">
        <v>62</v>
      </c>
      <c r="O31">
        <v>6505556809</v>
      </c>
      <c r="P31" t="s">
        <v>63</v>
      </c>
      <c r="R31" t="s">
        <v>64</v>
      </c>
      <c r="S31" t="s">
        <v>55</v>
      </c>
      <c r="T31">
        <v>94217</v>
      </c>
      <c r="U31" t="s">
        <v>32</v>
      </c>
      <c r="V31" t="s">
        <v>33</v>
      </c>
      <c r="W31" t="s">
        <v>65</v>
      </c>
      <c r="X31" t="s">
        <v>66</v>
      </c>
      <c r="Y31" t="s">
        <v>151</v>
      </c>
    </row>
    <row r="32" spans="1:25" x14ac:dyDescent="0.25">
      <c r="A32">
        <v>10150</v>
      </c>
      <c r="B32">
        <v>45</v>
      </c>
      <c r="C32">
        <v>100</v>
      </c>
      <c r="D32">
        <v>8</v>
      </c>
      <c r="E32">
        <v>10993.5</v>
      </c>
      <c r="F32" s="1">
        <v>37883</v>
      </c>
      <c r="G32" t="s">
        <v>25</v>
      </c>
      <c r="H32">
        <v>3</v>
      </c>
      <c r="I32">
        <v>9</v>
      </c>
      <c r="J32">
        <v>2003</v>
      </c>
      <c r="K32" t="s">
        <v>181</v>
      </c>
      <c r="L32">
        <v>214</v>
      </c>
      <c r="M32" t="s">
        <v>182</v>
      </c>
      <c r="N32" t="s">
        <v>196</v>
      </c>
      <c r="O32" t="s">
        <v>197</v>
      </c>
      <c r="P32" t="s">
        <v>198</v>
      </c>
      <c r="R32" t="s">
        <v>199</v>
      </c>
      <c r="T32">
        <v>79903</v>
      </c>
      <c r="U32" t="s">
        <v>199</v>
      </c>
      <c r="V32" t="s">
        <v>200</v>
      </c>
      <c r="W32" t="s">
        <v>201</v>
      </c>
      <c r="X32" t="s">
        <v>202</v>
      </c>
      <c r="Y32" t="s">
        <v>151</v>
      </c>
    </row>
    <row r="33" spans="1:25" x14ac:dyDescent="0.25">
      <c r="A33">
        <v>10163</v>
      </c>
      <c r="B33">
        <v>21</v>
      </c>
      <c r="C33">
        <v>100</v>
      </c>
      <c r="D33">
        <v>1</v>
      </c>
      <c r="E33">
        <v>4860.24</v>
      </c>
      <c r="F33" s="1">
        <v>37914</v>
      </c>
      <c r="G33" t="s">
        <v>25</v>
      </c>
      <c r="H33">
        <v>4</v>
      </c>
      <c r="I33">
        <v>10</v>
      </c>
      <c r="J33">
        <v>2003</v>
      </c>
      <c r="K33" t="s">
        <v>181</v>
      </c>
      <c r="L33">
        <v>214</v>
      </c>
      <c r="M33" t="s">
        <v>182</v>
      </c>
      <c r="N33" t="s">
        <v>203</v>
      </c>
      <c r="O33">
        <v>2125558493</v>
      </c>
      <c r="P33" t="s">
        <v>204</v>
      </c>
      <c r="Q33" t="s">
        <v>205</v>
      </c>
      <c r="R33" t="s">
        <v>30</v>
      </c>
      <c r="S33" t="s">
        <v>31</v>
      </c>
      <c r="T33">
        <v>10022</v>
      </c>
      <c r="U33" t="s">
        <v>32</v>
      </c>
      <c r="V33" t="s">
        <v>33</v>
      </c>
      <c r="W33" t="s">
        <v>124</v>
      </c>
      <c r="X33" t="s">
        <v>206</v>
      </c>
      <c r="Y33" t="s">
        <v>51</v>
      </c>
    </row>
    <row r="34" spans="1:25" x14ac:dyDescent="0.25">
      <c r="A34">
        <v>10174</v>
      </c>
      <c r="B34">
        <v>34</v>
      </c>
      <c r="C34">
        <v>100</v>
      </c>
      <c r="D34">
        <v>4</v>
      </c>
      <c r="E34">
        <v>8014.82</v>
      </c>
      <c r="F34" s="1">
        <v>37931</v>
      </c>
      <c r="G34" t="s">
        <v>25</v>
      </c>
      <c r="H34">
        <v>4</v>
      </c>
      <c r="I34">
        <v>11</v>
      </c>
      <c r="J34">
        <v>2003</v>
      </c>
      <c r="K34" t="s">
        <v>181</v>
      </c>
      <c r="L34">
        <v>214</v>
      </c>
      <c r="M34" t="s">
        <v>182</v>
      </c>
      <c r="N34" t="s">
        <v>207</v>
      </c>
      <c r="O34" t="s">
        <v>208</v>
      </c>
      <c r="P34" t="s">
        <v>209</v>
      </c>
      <c r="R34" t="s">
        <v>210</v>
      </c>
      <c r="S34" t="s">
        <v>211</v>
      </c>
      <c r="T34">
        <v>4101</v>
      </c>
      <c r="U34" t="s">
        <v>95</v>
      </c>
      <c r="V34" t="s">
        <v>96</v>
      </c>
      <c r="W34" t="s">
        <v>212</v>
      </c>
      <c r="X34" t="s">
        <v>213</v>
      </c>
      <c r="Y34" t="s">
        <v>151</v>
      </c>
    </row>
    <row r="35" spans="1:25" x14ac:dyDescent="0.25">
      <c r="A35">
        <v>10183</v>
      </c>
      <c r="B35">
        <v>23</v>
      </c>
      <c r="C35">
        <v>100</v>
      </c>
      <c r="D35">
        <v>8</v>
      </c>
      <c r="E35">
        <v>5372.57</v>
      </c>
      <c r="F35" s="1">
        <v>37938</v>
      </c>
      <c r="G35" t="s">
        <v>25</v>
      </c>
      <c r="H35">
        <v>4</v>
      </c>
      <c r="I35">
        <v>11</v>
      </c>
      <c r="J35">
        <v>2003</v>
      </c>
      <c r="K35" t="s">
        <v>181</v>
      </c>
      <c r="L35">
        <v>214</v>
      </c>
      <c r="M35" t="s">
        <v>182</v>
      </c>
      <c r="N35" t="s">
        <v>214</v>
      </c>
      <c r="O35">
        <v>2155554695</v>
      </c>
      <c r="P35" t="s">
        <v>215</v>
      </c>
      <c r="R35" t="s">
        <v>216</v>
      </c>
      <c r="S35" t="s">
        <v>142</v>
      </c>
      <c r="T35">
        <v>71270</v>
      </c>
      <c r="U35" t="s">
        <v>32</v>
      </c>
      <c r="V35" t="s">
        <v>33</v>
      </c>
      <c r="W35" t="s">
        <v>217</v>
      </c>
      <c r="X35" t="s">
        <v>218</v>
      </c>
      <c r="Y35" t="s">
        <v>51</v>
      </c>
    </row>
    <row r="36" spans="1:25" x14ac:dyDescent="0.25">
      <c r="A36">
        <v>10194</v>
      </c>
      <c r="B36">
        <v>42</v>
      </c>
      <c r="C36">
        <v>100</v>
      </c>
      <c r="D36">
        <v>11</v>
      </c>
      <c r="E36">
        <v>7290.36</v>
      </c>
      <c r="F36" s="1">
        <v>37950</v>
      </c>
      <c r="G36" t="s">
        <v>25</v>
      </c>
      <c r="H36">
        <v>4</v>
      </c>
      <c r="I36">
        <v>11</v>
      </c>
      <c r="J36">
        <v>2003</v>
      </c>
      <c r="K36" t="s">
        <v>181</v>
      </c>
      <c r="L36">
        <v>214</v>
      </c>
      <c r="M36" t="s">
        <v>182</v>
      </c>
      <c r="N36" t="s">
        <v>219</v>
      </c>
      <c r="O36" t="s">
        <v>220</v>
      </c>
      <c r="P36" t="s">
        <v>221</v>
      </c>
      <c r="R36" t="s">
        <v>222</v>
      </c>
      <c r="T36">
        <v>69004</v>
      </c>
      <c r="U36" t="s">
        <v>41</v>
      </c>
      <c r="V36" t="s">
        <v>42</v>
      </c>
      <c r="W36" t="s">
        <v>223</v>
      </c>
      <c r="X36" t="s">
        <v>224</v>
      </c>
      <c r="Y36" t="s">
        <v>151</v>
      </c>
    </row>
    <row r="37" spans="1:25" x14ac:dyDescent="0.25">
      <c r="A37">
        <v>10206</v>
      </c>
      <c r="B37">
        <v>47</v>
      </c>
      <c r="C37">
        <v>100</v>
      </c>
      <c r="D37">
        <v>6</v>
      </c>
      <c r="E37">
        <v>9064.89</v>
      </c>
      <c r="F37" s="1">
        <v>37960</v>
      </c>
      <c r="G37" t="s">
        <v>25</v>
      </c>
      <c r="H37">
        <v>4</v>
      </c>
      <c r="I37">
        <v>12</v>
      </c>
      <c r="J37">
        <v>2003</v>
      </c>
      <c r="K37" t="s">
        <v>181</v>
      </c>
      <c r="L37">
        <v>214</v>
      </c>
      <c r="M37" t="s">
        <v>182</v>
      </c>
      <c r="N37" t="s">
        <v>225</v>
      </c>
      <c r="O37" t="s">
        <v>226</v>
      </c>
      <c r="P37" t="s">
        <v>227</v>
      </c>
      <c r="R37" t="s">
        <v>228</v>
      </c>
      <c r="S37" t="s">
        <v>229</v>
      </c>
      <c r="T37" t="s">
        <v>230</v>
      </c>
      <c r="U37" t="s">
        <v>231</v>
      </c>
      <c r="V37" t="s">
        <v>33</v>
      </c>
      <c r="W37" t="s">
        <v>232</v>
      </c>
      <c r="X37" t="s">
        <v>233</v>
      </c>
      <c r="Y37" t="s">
        <v>151</v>
      </c>
    </row>
    <row r="38" spans="1:25" x14ac:dyDescent="0.25">
      <c r="A38">
        <v>10215</v>
      </c>
      <c r="B38">
        <v>35</v>
      </c>
      <c r="C38">
        <v>100</v>
      </c>
      <c r="D38">
        <v>3</v>
      </c>
      <c r="E38">
        <v>6075.3</v>
      </c>
      <c r="F38" s="1">
        <v>38015</v>
      </c>
      <c r="G38" t="s">
        <v>25</v>
      </c>
      <c r="H38">
        <v>1</v>
      </c>
      <c r="I38">
        <v>1</v>
      </c>
      <c r="J38">
        <v>2004</v>
      </c>
      <c r="K38" t="s">
        <v>181</v>
      </c>
      <c r="L38">
        <v>214</v>
      </c>
      <c r="M38" t="s">
        <v>182</v>
      </c>
      <c r="N38" t="s">
        <v>234</v>
      </c>
      <c r="O38">
        <v>3105553722</v>
      </c>
      <c r="P38" t="s">
        <v>235</v>
      </c>
      <c r="R38" t="s">
        <v>236</v>
      </c>
      <c r="S38" t="s">
        <v>55</v>
      </c>
      <c r="T38">
        <v>94019</v>
      </c>
      <c r="U38" t="s">
        <v>32</v>
      </c>
      <c r="V38" t="s">
        <v>33</v>
      </c>
      <c r="W38" t="s">
        <v>237</v>
      </c>
      <c r="X38" t="s">
        <v>238</v>
      </c>
      <c r="Y38" t="s">
        <v>51</v>
      </c>
    </row>
    <row r="39" spans="1:25" x14ac:dyDescent="0.25">
      <c r="A39">
        <v>10228</v>
      </c>
      <c r="B39">
        <v>29</v>
      </c>
      <c r="C39">
        <v>100</v>
      </c>
      <c r="D39">
        <v>2</v>
      </c>
      <c r="E39">
        <v>6463.23</v>
      </c>
      <c r="F39" s="1">
        <v>38056</v>
      </c>
      <c r="G39" t="s">
        <v>25</v>
      </c>
      <c r="H39">
        <v>1</v>
      </c>
      <c r="I39">
        <v>3</v>
      </c>
      <c r="J39">
        <v>2004</v>
      </c>
      <c r="K39" t="s">
        <v>181</v>
      </c>
      <c r="L39">
        <v>214</v>
      </c>
      <c r="M39" t="s">
        <v>182</v>
      </c>
      <c r="N39" t="s">
        <v>239</v>
      </c>
      <c r="O39">
        <v>6175555555</v>
      </c>
      <c r="P39" t="s">
        <v>240</v>
      </c>
      <c r="R39" t="s">
        <v>122</v>
      </c>
      <c r="S39" t="s">
        <v>123</v>
      </c>
      <c r="T39">
        <v>51247</v>
      </c>
      <c r="U39" t="s">
        <v>32</v>
      </c>
      <c r="V39" t="s">
        <v>33</v>
      </c>
      <c r="W39" t="s">
        <v>241</v>
      </c>
      <c r="X39" t="s">
        <v>143</v>
      </c>
      <c r="Y39" t="s">
        <v>51</v>
      </c>
    </row>
    <row r="40" spans="1:25" x14ac:dyDescent="0.25">
      <c r="A40">
        <v>10245</v>
      </c>
      <c r="B40">
        <v>34</v>
      </c>
      <c r="C40">
        <v>100</v>
      </c>
      <c r="D40">
        <v>9</v>
      </c>
      <c r="E40">
        <v>6120.34</v>
      </c>
      <c r="F40" s="1">
        <v>38111</v>
      </c>
      <c r="G40" t="s">
        <v>25</v>
      </c>
      <c r="H40">
        <v>2</v>
      </c>
      <c r="I40">
        <v>5</v>
      </c>
      <c r="J40">
        <v>2004</v>
      </c>
      <c r="K40" t="s">
        <v>181</v>
      </c>
      <c r="L40">
        <v>214</v>
      </c>
      <c r="M40" t="s">
        <v>182</v>
      </c>
      <c r="N40" t="s">
        <v>242</v>
      </c>
      <c r="O40">
        <v>2035559545</v>
      </c>
      <c r="P40" t="s">
        <v>243</v>
      </c>
      <c r="R40" t="s">
        <v>244</v>
      </c>
      <c r="S40" t="s">
        <v>112</v>
      </c>
      <c r="T40">
        <v>97823</v>
      </c>
      <c r="U40" t="s">
        <v>32</v>
      </c>
      <c r="V40" t="s">
        <v>33</v>
      </c>
      <c r="W40" t="s">
        <v>83</v>
      </c>
      <c r="X40" t="s">
        <v>245</v>
      </c>
      <c r="Y40" t="s">
        <v>51</v>
      </c>
    </row>
    <row r="41" spans="1:25" x14ac:dyDescent="0.25">
      <c r="A41">
        <v>10258</v>
      </c>
      <c r="B41">
        <v>32</v>
      </c>
      <c r="C41">
        <v>100</v>
      </c>
      <c r="D41">
        <v>6</v>
      </c>
      <c r="E41">
        <v>7680.64</v>
      </c>
      <c r="F41" s="1">
        <v>38153</v>
      </c>
      <c r="G41" t="s">
        <v>25</v>
      </c>
      <c r="H41">
        <v>2</v>
      </c>
      <c r="I41">
        <v>6</v>
      </c>
      <c r="J41">
        <v>2004</v>
      </c>
      <c r="K41" t="s">
        <v>181</v>
      </c>
      <c r="L41">
        <v>214</v>
      </c>
      <c r="M41" t="s">
        <v>182</v>
      </c>
      <c r="N41" t="s">
        <v>246</v>
      </c>
      <c r="O41" t="s">
        <v>247</v>
      </c>
      <c r="P41" t="s">
        <v>248</v>
      </c>
      <c r="R41" t="s">
        <v>249</v>
      </c>
      <c r="S41" t="s">
        <v>250</v>
      </c>
      <c r="T41" t="s">
        <v>251</v>
      </c>
      <c r="U41" t="s">
        <v>200</v>
      </c>
      <c r="V41" t="s">
        <v>200</v>
      </c>
      <c r="W41" t="s">
        <v>252</v>
      </c>
      <c r="X41" t="s">
        <v>253</v>
      </c>
      <c r="Y41" t="s">
        <v>151</v>
      </c>
    </row>
    <row r="42" spans="1:25" x14ac:dyDescent="0.25">
      <c r="A42">
        <v>10270</v>
      </c>
      <c r="B42">
        <v>21</v>
      </c>
      <c r="C42">
        <v>100</v>
      </c>
      <c r="D42">
        <v>9</v>
      </c>
      <c r="E42">
        <v>4905.3900000000003</v>
      </c>
      <c r="F42" s="1">
        <v>38187</v>
      </c>
      <c r="G42" t="s">
        <v>25</v>
      </c>
      <c r="H42">
        <v>3</v>
      </c>
      <c r="I42">
        <v>7</v>
      </c>
      <c r="J42">
        <v>2004</v>
      </c>
      <c r="K42" t="s">
        <v>181</v>
      </c>
      <c r="L42">
        <v>214</v>
      </c>
      <c r="M42" t="s">
        <v>182</v>
      </c>
      <c r="N42" t="s">
        <v>152</v>
      </c>
      <c r="O42" t="s">
        <v>153</v>
      </c>
      <c r="P42" t="s">
        <v>154</v>
      </c>
      <c r="Q42" t="s">
        <v>155</v>
      </c>
      <c r="R42" t="s">
        <v>156</v>
      </c>
      <c r="S42" t="s">
        <v>157</v>
      </c>
      <c r="T42">
        <v>2067</v>
      </c>
      <c r="U42" t="s">
        <v>95</v>
      </c>
      <c r="V42" t="s">
        <v>96</v>
      </c>
      <c r="W42" t="s">
        <v>158</v>
      </c>
      <c r="X42" t="s">
        <v>159</v>
      </c>
      <c r="Y42" t="s">
        <v>51</v>
      </c>
    </row>
    <row r="43" spans="1:25" x14ac:dyDescent="0.25">
      <c r="A43">
        <v>10280</v>
      </c>
      <c r="B43">
        <v>34</v>
      </c>
      <c r="C43">
        <v>100</v>
      </c>
      <c r="D43">
        <v>2</v>
      </c>
      <c r="E43">
        <v>8014.82</v>
      </c>
      <c r="F43" s="1">
        <v>38216</v>
      </c>
      <c r="G43" t="s">
        <v>25</v>
      </c>
      <c r="H43">
        <v>3</v>
      </c>
      <c r="I43">
        <v>8</v>
      </c>
      <c r="J43">
        <v>2004</v>
      </c>
      <c r="K43" t="s">
        <v>181</v>
      </c>
      <c r="L43">
        <v>214</v>
      </c>
      <c r="M43" t="s">
        <v>182</v>
      </c>
      <c r="N43" t="s">
        <v>254</v>
      </c>
      <c r="O43" t="s">
        <v>255</v>
      </c>
      <c r="P43" t="s">
        <v>256</v>
      </c>
      <c r="R43" t="s">
        <v>257</v>
      </c>
      <c r="T43">
        <v>10100</v>
      </c>
      <c r="U43" t="s">
        <v>258</v>
      </c>
      <c r="V43" t="s">
        <v>42</v>
      </c>
      <c r="W43" t="s">
        <v>259</v>
      </c>
      <c r="X43" t="s">
        <v>260</v>
      </c>
      <c r="Y43" t="s">
        <v>151</v>
      </c>
    </row>
    <row r="44" spans="1:25" x14ac:dyDescent="0.25">
      <c r="A44">
        <v>10291</v>
      </c>
      <c r="B44">
        <v>37</v>
      </c>
      <c r="C44">
        <v>100</v>
      </c>
      <c r="D44">
        <v>11</v>
      </c>
      <c r="E44">
        <v>7136.19</v>
      </c>
      <c r="F44" s="1">
        <v>38238</v>
      </c>
      <c r="G44" t="s">
        <v>25</v>
      </c>
      <c r="H44">
        <v>3</v>
      </c>
      <c r="I44">
        <v>9</v>
      </c>
      <c r="J44">
        <v>2004</v>
      </c>
      <c r="K44" t="s">
        <v>181</v>
      </c>
      <c r="L44">
        <v>214</v>
      </c>
      <c r="M44" t="s">
        <v>182</v>
      </c>
      <c r="N44" t="s">
        <v>261</v>
      </c>
      <c r="O44" t="s">
        <v>262</v>
      </c>
      <c r="P44" t="s">
        <v>263</v>
      </c>
      <c r="R44" t="s">
        <v>264</v>
      </c>
      <c r="T44" t="s">
        <v>265</v>
      </c>
      <c r="U44" t="s">
        <v>188</v>
      </c>
      <c r="V44" t="s">
        <v>42</v>
      </c>
      <c r="W44" t="s">
        <v>266</v>
      </c>
      <c r="X44" t="s">
        <v>206</v>
      </c>
      <c r="Y44" t="s">
        <v>151</v>
      </c>
    </row>
    <row r="45" spans="1:25" x14ac:dyDescent="0.25">
      <c r="A45">
        <v>10304</v>
      </c>
      <c r="B45">
        <v>47</v>
      </c>
      <c r="C45">
        <v>100</v>
      </c>
      <c r="D45">
        <v>6</v>
      </c>
      <c r="E45">
        <v>10172.700000000001</v>
      </c>
      <c r="F45" s="1">
        <v>38271</v>
      </c>
      <c r="G45" t="s">
        <v>25</v>
      </c>
      <c r="H45">
        <v>4</v>
      </c>
      <c r="I45">
        <v>10</v>
      </c>
      <c r="J45">
        <v>2004</v>
      </c>
      <c r="K45" t="s">
        <v>181</v>
      </c>
      <c r="L45">
        <v>214</v>
      </c>
      <c r="M45" t="s">
        <v>182</v>
      </c>
      <c r="N45" t="s">
        <v>267</v>
      </c>
      <c r="O45" t="s">
        <v>268</v>
      </c>
      <c r="P45" t="s">
        <v>269</v>
      </c>
      <c r="R45" t="s">
        <v>270</v>
      </c>
      <c r="T45">
        <v>78000</v>
      </c>
      <c r="U45" t="s">
        <v>41</v>
      </c>
      <c r="V45" t="s">
        <v>42</v>
      </c>
      <c r="W45" t="s">
        <v>271</v>
      </c>
      <c r="X45" t="s">
        <v>50</v>
      </c>
      <c r="Y45" t="s">
        <v>151</v>
      </c>
    </row>
    <row r="46" spans="1:25" x14ac:dyDescent="0.25">
      <c r="A46">
        <v>10312</v>
      </c>
      <c r="B46">
        <v>48</v>
      </c>
      <c r="C46">
        <v>100</v>
      </c>
      <c r="D46">
        <v>3</v>
      </c>
      <c r="E46">
        <v>11623.7</v>
      </c>
      <c r="F46" s="1">
        <v>38281</v>
      </c>
      <c r="G46" t="s">
        <v>25</v>
      </c>
      <c r="H46">
        <v>4</v>
      </c>
      <c r="I46">
        <v>10</v>
      </c>
      <c r="J46">
        <v>2004</v>
      </c>
      <c r="K46" t="s">
        <v>181</v>
      </c>
      <c r="L46">
        <v>214</v>
      </c>
      <c r="M46" t="s">
        <v>182</v>
      </c>
      <c r="N46" t="s">
        <v>272</v>
      </c>
      <c r="O46">
        <v>4155551450</v>
      </c>
      <c r="P46" t="s">
        <v>273</v>
      </c>
      <c r="R46" t="s">
        <v>274</v>
      </c>
      <c r="S46" t="s">
        <v>55</v>
      </c>
      <c r="T46">
        <v>97562</v>
      </c>
      <c r="U46" t="s">
        <v>32</v>
      </c>
      <c r="V46" t="s">
        <v>33</v>
      </c>
      <c r="W46" t="s">
        <v>275</v>
      </c>
      <c r="X46" t="s">
        <v>276</v>
      </c>
      <c r="Y46" t="s">
        <v>151</v>
      </c>
    </row>
    <row r="47" spans="1:25" x14ac:dyDescent="0.25">
      <c r="A47">
        <v>10322</v>
      </c>
      <c r="B47">
        <v>40</v>
      </c>
      <c r="C47">
        <v>100</v>
      </c>
      <c r="D47">
        <v>1</v>
      </c>
      <c r="E47">
        <v>6000.4</v>
      </c>
      <c r="F47" s="1">
        <v>38295</v>
      </c>
      <c r="G47" t="s">
        <v>25</v>
      </c>
      <c r="H47">
        <v>4</v>
      </c>
      <c r="I47">
        <v>11</v>
      </c>
      <c r="J47">
        <v>2004</v>
      </c>
      <c r="K47" t="s">
        <v>181</v>
      </c>
      <c r="L47">
        <v>214</v>
      </c>
      <c r="M47" t="s">
        <v>182</v>
      </c>
      <c r="N47" t="s">
        <v>277</v>
      </c>
      <c r="O47">
        <v>6035558647</v>
      </c>
      <c r="P47" t="s">
        <v>278</v>
      </c>
      <c r="R47" t="s">
        <v>279</v>
      </c>
      <c r="S47" t="s">
        <v>280</v>
      </c>
      <c r="T47">
        <v>62005</v>
      </c>
      <c r="U47" t="s">
        <v>32</v>
      </c>
      <c r="V47" t="s">
        <v>33</v>
      </c>
      <c r="W47" t="s">
        <v>56</v>
      </c>
      <c r="X47" t="s">
        <v>276</v>
      </c>
      <c r="Y47" t="s">
        <v>51</v>
      </c>
    </row>
    <row r="48" spans="1:25" x14ac:dyDescent="0.25">
      <c r="A48">
        <v>10333</v>
      </c>
      <c r="B48">
        <v>26</v>
      </c>
      <c r="C48">
        <v>100</v>
      </c>
      <c r="D48">
        <v>3</v>
      </c>
      <c r="E48">
        <v>3003</v>
      </c>
      <c r="F48" s="1">
        <v>38309</v>
      </c>
      <c r="G48" t="s">
        <v>25</v>
      </c>
      <c r="H48">
        <v>4</v>
      </c>
      <c r="I48">
        <v>11</v>
      </c>
      <c r="J48">
        <v>2004</v>
      </c>
      <c r="K48" t="s">
        <v>181</v>
      </c>
      <c r="L48">
        <v>214</v>
      </c>
      <c r="M48" t="s">
        <v>182</v>
      </c>
      <c r="N48" t="s">
        <v>81</v>
      </c>
      <c r="O48">
        <v>6505555787</v>
      </c>
      <c r="P48" t="s">
        <v>82</v>
      </c>
      <c r="R48" t="s">
        <v>60</v>
      </c>
      <c r="S48" t="s">
        <v>55</v>
      </c>
      <c r="U48" t="s">
        <v>32</v>
      </c>
      <c r="V48" t="s">
        <v>33</v>
      </c>
      <c r="W48" t="s">
        <v>83</v>
      </c>
      <c r="X48" t="s">
        <v>57</v>
      </c>
      <c r="Y48" t="s">
        <v>51</v>
      </c>
    </row>
    <row r="49" spans="1:25" x14ac:dyDescent="0.25">
      <c r="A49">
        <v>10347</v>
      </c>
      <c r="B49">
        <v>30</v>
      </c>
      <c r="C49">
        <v>100</v>
      </c>
      <c r="D49">
        <v>1</v>
      </c>
      <c r="E49">
        <v>3944.7</v>
      </c>
      <c r="F49" s="1">
        <v>38320</v>
      </c>
      <c r="G49" t="s">
        <v>25</v>
      </c>
      <c r="H49">
        <v>4</v>
      </c>
      <c r="I49">
        <v>11</v>
      </c>
      <c r="J49">
        <v>2004</v>
      </c>
      <c r="K49" t="s">
        <v>181</v>
      </c>
      <c r="L49">
        <v>214</v>
      </c>
      <c r="M49" t="s">
        <v>182</v>
      </c>
      <c r="N49" t="s">
        <v>89</v>
      </c>
      <c r="O49" t="s">
        <v>90</v>
      </c>
      <c r="P49" t="s">
        <v>91</v>
      </c>
      <c r="Q49" t="s">
        <v>92</v>
      </c>
      <c r="R49" t="s">
        <v>93</v>
      </c>
      <c r="S49" t="s">
        <v>94</v>
      </c>
      <c r="T49">
        <v>3004</v>
      </c>
      <c r="U49" t="s">
        <v>95</v>
      </c>
      <c r="V49" t="s">
        <v>96</v>
      </c>
      <c r="W49" t="s">
        <v>97</v>
      </c>
      <c r="X49" t="s">
        <v>98</v>
      </c>
      <c r="Y49" t="s">
        <v>51</v>
      </c>
    </row>
    <row r="50" spans="1:25" x14ac:dyDescent="0.25">
      <c r="A50">
        <v>10357</v>
      </c>
      <c r="B50">
        <v>32</v>
      </c>
      <c r="C50">
        <v>100</v>
      </c>
      <c r="D50">
        <v>10</v>
      </c>
      <c r="E50">
        <v>5691.84</v>
      </c>
      <c r="F50" s="1">
        <v>38331</v>
      </c>
      <c r="G50" t="s">
        <v>25</v>
      </c>
      <c r="H50">
        <v>4</v>
      </c>
      <c r="I50">
        <v>12</v>
      </c>
      <c r="J50">
        <v>2004</v>
      </c>
      <c r="K50" t="s">
        <v>181</v>
      </c>
      <c r="L50">
        <v>214</v>
      </c>
      <c r="M50" t="s">
        <v>182</v>
      </c>
      <c r="N50" t="s">
        <v>272</v>
      </c>
      <c r="O50">
        <v>4155551450</v>
      </c>
      <c r="P50" t="s">
        <v>273</v>
      </c>
      <c r="R50" t="s">
        <v>274</v>
      </c>
      <c r="S50" t="s">
        <v>55</v>
      </c>
      <c r="T50">
        <v>97562</v>
      </c>
      <c r="U50" t="s">
        <v>32</v>
      </c>
      <c r="V50" t="s">
        <v>33</v>
      </c>
      <c r="W50" t="s">
        <v>275</v>
      </c>
      <c r="X50" t="s">
        <v>276</v>
      </c>
      <c r="Y50" t="s">
        <v>51</v>
      </c>
    </row>
    <row r="51" spans="1:25" x14ac:dyDescent="0.25">
      <c r="A51">
        <v>10369</v>
      </c>
      <c r="B51">
        <v>41</v>
      </c>
      <c r="C51">
        <v>100</v>
      </c>
      <c r="D51">
        <v>2</v>
      </c>
      <c r="E51">
        <v>4514.92</v>
      </c>
      <c r="F51" s="1">
        <v>38372</v>
      </c>
      <c r="G51" t="s">
        <v>25</v>
      </c>
      <c r="H51">
        <v>1</v>
      </c>
      <c r="I51">
        <v>1</v>
      </c>
      <c r="J51">
        <v>2005</v>
      </c>
      <c r="K51" t="s">
        <v>181</v>
      </c>
      <c r="L51">
        <v>214</v>
      </c>
      <c r="M51" t="s">
        <v>182</v>
      </c>
      <c r="N51" t="s">
        <v>281</v>
      </c>
      <c r="O51">
        <v>6175558555</v>
      </c>
      <c r="P51" t="s">
        <v>282</v>
      </c>
      <c r="R51" t="s">
        <v>283</v>
      </c>
      <c r="S51" t="s">
        <v>123</v>
      </c>
      <c r="T51">
        <v>58339</v>
      </c>
      <c r="U51" t="s">
        <v>32</v>
      </c>
      <c r="V51" t="s">
        <v>33</v>
      </c>
      <c r="W51" t="s">
        <v>275</v>
      </c>
      <c r="X51" t="s">
        <v>284</v>
      </c>
      <c r="Y51" t="s">
        <v>51</v>
      </c>
    </row>
    <row r="52" spans="1:25" x14ac:dyDescent="0.25">
      <c r="A52">
        <v>10381</v>
      </c>
      <c r="B52">
        <v>36</v>
      </c>
      <c r="C52">
        <v>100</v>
      </c>
      <c r="D52">
        <v>3</v>
      </c>
      <c r="E52">
        <v>8254.7999999999993</v>
      </c>
      <c r="F52" s="1">
        <v>38400</v>
      </c>
      <c r="G52" t="s">
        <v>25</v>
      </c>
      <c r="H52">
        <v>1</v>
      </c>
      <c r="I52">
        <v>2</v>
      </c>
      <c r="J52">
        <v>2005</v>
      </c>
      <c r="K52" t="s">
        <v>181</v>
      </c>
      <c r="L52">
        <v>214</v>
      </c>
      <c r="M52" t="s">
        <v>182</v>
      </c>
      <c r="N52" t="s">
        <v>58</v>
      </c>
      <c r="O52">
        <v>6505551386</v>
      </c>
      <c r="P52" t="s">
        <v>59</v>
      </c>
      <c r="R52" t="s">
        <v>60</v>
      </c>
      <c r="S52" t="s">
        <v>55</v>
      </c>
      <c r="U52" t="s">
        <v>32</v>
      </c>
      <c r="V52" t="s">
        <v>33</v>
      </c>
      <c r="W52" t="s">
        <v>61</v>
      </c>
      <c r="X52" t="s">
        <v>57</v>
      </c>
      <c r="Y52" t="s">
        <v>151</v>
      </c>
    </row>
    <row r="53" spans="1:25" x14ac:dyDescent="0.25">
      <c r="A53">
        <v>10391</v>
      </c>
      <c r="B53">
        <v>24</v>
      </c>
      <c r="C53">
        <v>100</v>
      </c>
      <c r="D53">
        <v>4</v>
      </c>
      <c r="E53">
        <v>2416.56</v>
      </c>
      <c r="F53" s="1">
        <v>38420</v>
      </c>
      <c r="G53" t="s">
        <v>25</v>
      </c>
      <c r="H53">
        <v>1</v>
      </c>
      <c r="I53">
        <v>3</v>
      </c>
      <c r="J53">
        <v>2005</v>
      </c>
      <c r="K53" t="s">
        <v>181</v>
      </c>
      <c r="L53">
        <v>214</v>
      </c>
      <c r="M53" t="s">
        <v>182</v>
      </c>
      <c r="N53" t="s">
        <v>285</v>
      </c>
      <c r="O53" t="s">
        <v>286</v>
      </c>
      <c r="P53" t="s">
        <v>287</v>
      </c>
      <c r="Q53" t="s">
        <v>288</v>
      </c>
      <c r="R53" t="s">
        <v>289</v>
      </c>
      <c r="S53" t="s">
        <v>157</v>
      </c>
      <c r="T53">
        <v>2060</v>
      </c>
      <c r="U53" t="s">
        <v>95</v>
      </c>
      <c r="V53" t="s">
        <v>96</v>
      </c>
      <c r="W53" t="s">
        <v>290</v>
      </c>
      <c r="X53" t="s">
        <v>291</v>
      </c>
      <c r="Y53" t="s">
        <v>36</v>
      </c>
    </row>
    <row r="54" spans="1:25" x14ac:dyDescent="0.25">
      <c r="A54">
        <v>10411</v>
      </c>
      <c r="B54">
        <v>23</v>
      </c>
      <c r="C54">
        <v>100</v>
      </c>
      <c r="D54">
        <v>9</v>
      </c>
      <c r="E54">
        <v>4140.2299999999996</v>
      </c>
      <c r="F54" s="1">
        <v>38473</v>
      </c>
      <c r="G54" t="s">
        <v>25</v>
      </c>
      <c r="H54">
        <v>2</v>
      </c>
      <c r="I54">
        <v>5</v>
      </c>
      <c r="J54">
        <v>2005</v>
      </c>
      <c r="K54" t="s">
        <v>181</v>
      </c>
      <c r="L54">
        <v>214</v>
      </c>
      <c r="M54" t="s">
        <v>182</v>
      </c>
      <c r="N54" t="s">
        <v>292</v>
      </c>
      <c r="O54" t="s">
        <v>293</v>
      </c>
      <c r="P54" t="s">
        <v>294</v>
      </c>
      <c r="R54" t="s">
        <v>295</v>
      </c>
      <c r="S54" t="s">
        <v>296</v>
      </c>
      <c r="T54" t="s">
        <v>297</v>
      </c>
      <c r="U54" t="s">
        <v>231</v>
      </c>
      <c r="V54" t="s">
        <v>33</v>
      </c>
      <c r="W54" t="s">
        <v>298</v>
      </c>
      <c r="X54" t="s">
        <v>299</v>
      </c>
      <c r="Y54" t="s">
        <v>51</v>
      </c>
    </row>
    <row r="55" spans="1:25" x14ac:dyDescent="0.25">
      <c r="A55">
        <v>10424</v>
      </c>
      <c r="B55">
        <v>50</v>
      </c>
      <c r="C55">
        <v>100</v>
      </c>
      <c r="D55">
        <v>6</v>
      </c>
      <c r="E55">
        <v>12001</v>
      </c>
      <c r="F55" s="1">
        <v>38503</v>
      </c>
      <c r="G55" t="s">
        <v>300</v>
      </c>
      <c r="H55">
        <v>2</v>
      </c>
      <c r="I55">
        <v>5</v>
      </c>
      <c r="J55">
        <v>2005</v>
      </c>
      <c r="K55" t="s">
        <v>181</v>
      </c>
      <c r="L55">
        <v>214</v>
      </c>
      <c r="M55" t="s">
        <v>182</v>
      </c>
      <c r="N55" t="s">
        <v>174</v>
      </c>
      <c r="O55" t="s">
        <v>175</v>
      </c>
      <c r="P55" t="s">
        <v>176</v>
      </c>
      <c r="R55" t="s">
        <v>177</v>
      </c>
      <c r="T55">
        <v>28034</v>
      </c>
      <c r="U55" t="s">
        <v>178</v>
      </c>
      <c r="V55" t="s">
        <v>42</v>
      </c>
      <c r="W55" t="s">
        <v>179</v>
      </c>
      <c r="X55" t="s">
        <v>180</v>
      </c>
      <c r="Y55" t="s">
        <v>151</v>
      </c>
    </row>
    <row r="56" spans="1:25" x14ac:dyDescent="0.25">
      <c r="A56">
        <v>10107</v>
      </c>
      <c r="B56">
        <v>39</v>
      </c>
      <c r="C56">
        <v>99.91</v>
      </c>
      <c r="D56">
        <v>5</v>
      </c>
      <c r="E56">
        <v>3896.49</v>
      </c>
      <c r="F56" s="1">
        <v>37676</v>
      </c>
      <c r="G56" t="s">
        <v>25</v>
      </c>
      <c r="H56">
        <v>1</v>
      </c>
      <c r="I56">
        <v>2</v>
      </c>
      <c r="J56">
        <v>2003</v>
      </c>
      <c r="K56" t="s">
        <v>26</v>
      </c>
      <c r="L56">
        <v>118</v>
      </c>
      <c r="M56" t="s">
        <v>301</v>
      </c>
      <c r="N56" t="s">
        <v>28</v>
      </c>
      <c r="O56">
        <v>2125557818</v>
      </c>
      <c r="P56" t="s">
        <v>29</v>
      </c>
      <c r="R56" t="s">
        <v>30</v>
      </c>
      <c r="S56" t="s">
        <v>31</v>
      </c>
      <c r="T56">
        <v>10022</v>
      </c>
      <c r="U56" t="s">
        <v>32</v>
      </c>
      <c r="V56" t="s">
        <v>33</v>
      </c>
      <c r="W56" t="s">
        <v>34</v>
      </c>
      <c r="X56" t="s">
        <v>35</v>
      </c>
      <c r="Y56" t="s">
        <v>51</v>
      </c>
    </row>
    <row r="57" spans="1:25" x14ac:dyDescent="0.25">
      <c r="A57">
        <v>10120</v>
      </c>
      <c r="B57">
        <v>29</v>
      </c>
      <c r="C57">
        <v>96.34</v>
      </c>
      <c r="D57">
        <v>3</v>
      </c>
      <c r="E57">
        <v>2793.86</v>
      </c>
      <c r="F57" s="1">
        <v>37740</v>
      </c>
      <c r="G57" t="s">
        <v>25</v>
      </c>
      <c r="H57">
        <v>2</v>
      </c>
      <c r="I57">
        <v>4</v>
      </c>
      <c r="J57">
        <v>2003</v>
      </c>
      <c r="K57" t="s">
        <v>26</v>
      </c>
      <c r="L57">
        <v>118</v>
      </c>
      <c r="M57" t="s">
        <v>301</v>
      </c>
      <c r="N57" t="s">
        <v>89</v>
      </c>
      <c r="O57" t="s">
        <v>90</v>
      </c>
      <c r="P57" t="s">
        <v>91</v>
      </c>
      <c r="Q57" t="s">
        <v>92</v>
      </c>
      <c r="R57" t="s">
        <v>93</v>
      </c>
      <c r="S57" t="s">
        <v>94</v>
      </c>
      <c r="T57">
        <v>3004</v>
      </c>
      <c r="U57" t="s">
        <v>95</v>
      </c>
      <c r="V57" t="s">
        <v>96</v>
      </c>
      <c r="W57" t="s">
        <v>97</v>
      </c>
      <c r="X57" t="s">
        <v>98</v>
      </c>
      <c r="Y57" t="s">
        <v>36</v>
      </c>
    </row>
    <row r="58" spans="1:25" x14ac:dyDescent="0.25">
      <c r="A58">
        <v>10134</v>
      </c>
      <c r="B58">
        <v>27</v>
      </c>
      <c r="C58">
        <v>100</v>
      </c>
      <c r="D58">
        <v>5</v>
      </c>
      <c r="E58">
        <v>3307.77</v>
      </c>
      <c r="F58" s="1">
        <v>37803</v>
      </c>
      <c r="G58" t="s">
        <v>25</v>
      </c>
      <c r="H58">
        <v>3</v>
      </c>
      <c r="I58">
        <v>7</v>
      </c>
      <c r="J58">
        <v>2003</v>
      </c>
      <c r="K58" t="s">
        <v>26</v>
      </c>
      <c r="L58">
        <v>118</v>
      </c>
      <c r="M58" t="s">
        <v>301</v>
      </c>
      <c r="N58" t="s">
        <v>45</v>
      </c>
      <c r="O58" t="s">
        <v>46</v>
      </c>
      <c r="P58" t="s">
        <v>47</v>
      </c>
      <c r="R58" t="s">
        <v>48</v>
      </c>
      <c r="T58">
        <v>75508</v>
      </c>
      <c r="U58" t="s">
        <v>41</v>
      </c>
      <c r="V58" t="s">
        <v>42</v>
      </c>
      <c r="W58" t="s">
        <v>49</v>
      </c>
      <c r="X58" t="s">
        <v>50</v>
      </c>
      <c r="Y58" t="s">
        <v>51</v>
      </c>
    </row>
    <row r="59" spans="1:25" x14ac:dyDescent="0.25">
      <c r="A59">
        <v>10145</v>
      </c>
      <c r="B59">
        <v>37</v>
      </c>
      <c r="C59">
        <v>100</v>
      </c>
      <c r="D59">
        <v>9</v>
      </c>
      <c r="E59">
        <v>5192.95</v>
      </c>
      <c r="F59" s="1">
        <v>37858</v>
      </c>
      <c r="G59" t="s">
        <v>25</v>
      </c>
      <c r="H59">
        <v>3</v>
      </c>
      <c r="I59">
        <v>8</v>
      </c>
      <c r="J59">
        <v>2003</v>
      </c>
      <c r="K59" t="s">
        <v>26</v>
      </c>
      <c r="L59">
        <v>118</v>
      </c>
      <c r="M59" t="s">
        <v>301</v>
      </c>
      <c r="N59" t="s">
        <v>52</v>
      </c>
      <c r="O59">
        <v>6265557265</v>
      </c>
      <c r="P59" t="s">
        <v>53</v>
      </c>
      <c r="R59" t="s">
        <v>54</v>
      </c>
      <c r="S59" t="s">
        <v>55</v>
      </c>
      <c r="T59">
        <v>90003</v>
      </c>
      <c r="U59" t="s">
        <v>32</v>
      </c>
      <c r="V59" t="s">
        <v>33</v>
      </c>
      <c r="W59" t="s">
        <v>56</v>
      </c>
      <c r="X59" t="s">
        <v>57</v>
      </c>
      <c r="Y59" t="s">
        <v>51</v>
      </c>
    </row>
    <row r="60" spans="1:25" x14ac:dyDescent="0.25">
      <c r="A60">
        <v>10159</v>
      </c>
      <c r="B60">
        <v>37</v>
      </c>
      <c r="C60">
        <v>100</v>
      </c>
      <c r="D60">
        <v>17</v>
      </c>
      <c r="E60">
        <v>5016.83</v>
      </c>
      <c r="F60" s="1">
        <v>37904</v>
      </c>
      <c r="G60" t="s">
        <v>25</v>
      </c>
      <c r="H60">
        <v>4</v>
      </c>
      <c r="I60">
        <v>10</v>
      </c>
      <c r="J60">
        <v>2003</v>
      </c>
      <c r="K60" t="s">
        <v>26</v>
      </c>
      <c r="L60">
        <v>118</v>
      </c>
      <c r="M60" t="s">
        <v>301</v>
      </c>
      <c r="N60" t="s">
        <v>58</v>
      </c>
      <c r="O60">
        <v>6505551386</v>
      </c>
      <c r="P60" t="s">
        <v>59</v>
      </c>
      <c r="R60" t="s">
        <v>60</v>
      </c>
      <c r="S60" t="s">
        <v>55</v>
      </c>
      <c r="U60" t="s">
        <v>32</v>
      </c>
      <c r="V60" t="s">
        <v>33</v>
      </c>
      <c r="W60" t="s">
        <v>61</v>
      </c>
      <c r="X60" t="s">
        <v>57</v>
      </c>
      <c r="Y60" t="s">
        <v>51</v>
      </c>
    </row>
    <row r="61" spans="1:25" x14ac:dyDescent="0.25">
      <c r="A61">
        <v>10168</v>
      </c>
      <c r="B61">
        <v>27</v>
      </c>
      <c r="C61">
        <v>100</v>
      </c>
      <c r="D61">
        <v>4</v>
      </c>
      <c r="E61">
        <v>3660.93</v>
      </c>
      <c r="F61" s="1">
        <v>37922</v>
      </c>
      <c r="G61" t="s">
        <v>25</v>
      </c>
      <c r="H61">
        <v>4</v>
      </c>
      <c r="I61">
        <v>10</v>
      </c>
      <c r="J61">
        <v>2003</v>
      </c>
      <c r="K61" t="s">
        <v>26</v>
      </c>
      <c r="L61">
        <v>118</v>
      </c>
      <c r="M61" t="s">
        <v>301</v>
      </c>
      <c r="N61" t="s">
        <v>62</v>
      </c>
      <c r="O61">
        <v>6505556809</v>
      </c>
      <c r="P61" t="s">
        <v>63</v>
      </c>
      <c r="R61" t="s">
        <v>64</v>
      </c>
      <c r="S61" t="s">
        <v>55</v>
      </c>
      <c r="T61">
        <v>94217</v>
      </c>
      <c r="U61" t="s">
        <v>32</v>
      </c>
      <c r="V61" t="s">
        <v>33</v>
      </c>
      <c r="W61" t="s">
        <v>65</v>
      </c>
      <c r="X61" t="s">
        <v>66</v>
      </c>
      <c r="Y61" t="s">
        <v>51</v>
      </c>
    </row>
    <row r="62" spans="1:25" x14ac:dyDescent="0.25">
      <c r="A62">
        <v>10180</v>
      </c>
      <c r="B62">
        <v>42</v>
      </c>
      <c r="C62">
        <v>100</v>
      </c>
      <c r="D62">
        <v>12</v>
      </c>
      <c r="E62">
        <v>4695.6000000000004</v>
      </c>
      <c r="F62" s="1">
        <v>37936</v>
      </c>
      <c r="G62" t="s">
        <v>25</v>
      </c>
      <c r="H62">
        <v>4</v>
      </c>
      <c r="I62">
        <v>11</v>
      </c>
      <c r="J62">
        <v>2003</v>
      </c>
      <c r="K62" t="s">
        <v>26</v>
      </c>
      <c r="L62">
        <v>118</v>
      </c>
      <c r="M62" t="s">
        <v>301</v>
      </c>
      <c r="N62" t="s">
        <v>67</v>
      </c>
      <c r="O62" t="s">
        <v>68</v>
      </c>
      <c r="P62" t="s">
        <v>69</v>
      </c>
      <c r="R62" t="s">
        <v>70</v>
      </c>
      <c r="T62">
        <v>59000</v>
      </c>
      <c r="U62" t="s">
        <v>41</v>
      </c>
      <c r="V62" t="s">
        <v>42</v>
      </c>
      <c r="W62" t="s">
        <v>71</v>
      </c>
      <c r="X62" t="s">
        <v>72</v>
      </c>
      <c r="Y62" t="s">
        <v>51</v>
      </c>
    </row>
    <row r="63" spans="1:25" x14ac:dyDescent="0.25">
      <c r="A63">
        <v>10188</v>
      </c>
      <c r="B63">
        <v>38</v>
      </c>
      <c r="C63">
        <v>96.34</v>
      </c>
      <c r="D63">
        <v>4</v>
      </c>
      <c r="E63">
        <v>3660.92</v>
      </c>
      <c r="F63" s="1">
        <v>37943</v>
      </c>
      <c r="G63" t="s">
        <v>25</v>
      </c>
      <c r="H63">
        <v>4</v>
      </c>
      <c r="I63">
        <v>11</v>
      </c>
      <c r="J63">
        <v>2003</v>
      </c>
      <c r="K63" t="s">
        <v>26</v>
      </c>
      <c r="L63">
        <v>118</v>
      </c>
      <c r="M63" t="s">
        <v>301</v>
      </c>
      <c r="N63" t="s">
        <v>73</v>
      </c>
      <c r="O63" t="s">
        <v>74</v>
      </c>
      <c r="P63" t="s">
        <v>75</v>
      </c>
      <c r="R63" t="s">
        <v>76</v>
      </c>
      <c r="T63" t="s">
        <v>77</v>
      </c>
      <c r="U63" t="s">
        <v>78</v>
      </c>
      <c r="V63" t="s">
        <v>42</v>
      </c>
      <c r="W63" t="s">
        <v>79</v>
      </c>
      <c r="X63" t="s">
        <v>80</v>
      </c>
      <c r="Y63" t="s">
        <v>51</v>
      </c>
    </row>
    <row r="64" spans="1:25" x14ac:dyDescent="0.25">
      <c r="A64">
        <v>10201</v>
      </c>
      <c r="B64">
        <v>24</v>
      </c>
      <c r="C64">
        <v>100</v>
      </c>
      <c r="D64">
        <v>5</v>
      </c>
      <c r="E64">
        <v>3025.92</v>
      </c>
      <c r="F64" s="1">
        <v>37956</v>
      </c>
      <c r="G64" t="s">
        <v>25</v>
      </c>
      <c r="H64">
        <v>4</v>
      </c>
      <c r="I64">
        <v>12</v>
      </c>
      <c r="J64">
        <v>2003</v>
      </c>
      <c r="K64" t="s">
        <v>26</v>
      </c>
      <c r="L64">
        <v>118</v>
      </c>
      <c r="M64" t="s">
        <v>301</v>
      </c>
      <c r="N64" t="s">
        <v>81</v>
      </c>
      <c r="O64">
        <v>6505555787</v>
      </c>
      <c r="P64" t="s">
        <v>82</v>
      </c>
      <c r="R64" t="s">
        <v>60</v>
      </c>
      <c r="S64" t="s">
        <v>55</v>
      </c>
      <c r="U64" t="s">
        <v>32</v>
      </c>
      <c r="V64" t="s">
        <v>33</v>
      </c>
      <c r="W64" t="s">
        <v>83</v>
      </c>
      <c r="X64" t="s">
        <v>57</v>
      </c>
      <c r="Y64" t="s">
        <v>51</v>
      </c>
    </row>
    <row r="65" spans="1:25" x14ac:dyDescent="0.25">
      <c r="A65">
        <v>10210</v>
      </c>
      <c r="B65">
        <v>23</v>
      </c>
      <c r="C65">
        <v>100</v>
      </c>
      <c r="D65">
        <v>2</v>
      </c>
      <c r="E65">
        <v>3009.09</v>
      </c>
      <c r="F65" s="1">
        <v>37998</v>
      </c>
      <c r="G65" t="s">
        <v>25</v>
      </c>
      <c r="H65">
        <v>1</v>
      </c>
      <c r="I65">
        <v>1</v>
      </c>
      <c r="J65">
        <v>2004</v>
      </c>
      <c r="K65" t="s">
        <v>26</v>
      </c>
      <c r="L65">
        <v>118</v>
      </c>
      <c r="M65" t="s">
        <v>301</v>
      </c>
      <c r="N65" t="s">
        <v>302</v>
      </c>
      <c r="O65" t="s">
        <v>303</v>
      </c>
      <c r="P65" t="s">
        <v>304</v>
      </c>
      <c r="R65" t="s">
        <v>305</v>
      </c>
      <c r="S65" t="s">
        <v>305</v>
      </c>
      <c r="T65" t="s">
        <v>306</v>
      </c>
      <c r="U65" t="s">
        <v>200</v>
      </c>
      <c r="V65" t="s">
        <v>200</v>
      </c>
      <c r="W65" t="s">
        <v>307</v>
      </c>
      <c r="X65" t="s">
        <v>308</v>
      </c>
      <c r="Y65" t="s">
        <v>51</v>
      </c>
    </row>
    <row r="66" spans="1:25" x14ac:dyDescent="0.25">
      <c r="A66">
        <v>10223</v>
      </c>
      <c r="B66">
        <v>47</v>
      </c>
      <c r="C66">
        <v>100</v>
      </c>
      <c r="D66">
        <v>4</v>
      </c>
      <c r="E66">
        <v>5422.39</v>
      </c>
      <c r="F66" s="1">
        <v>38037</v>
      </c>
      <c r="G66" t="s">
        <v>25</v>
      </c>
      <c r="H66">
        <v>1</v>
      </c>
      <c r="I66">
        <v>2</v>
      </c>
      <c r="J66">
        <v>2004</v>
      </c>
      <c r="K66" t="s">
        <v>26</v>
      </c>
      <c r="L66">
        <v>118</v>
      </c>
      <c r="M66" t="s">
        <v>301</v>
      </c>
      <c r="N66" t="s">
        <v>89</v>
      </c>
      <c r="O66" t="s">
        <v>90</v>
      </c>
      <c r="P66" t="s">
        <v>91</v>
      </c>
      <c r="Q66" t="s">
        <v>92</v>
      </c>
      <c r="R66" t="s">
        <v>93</v>
      </c>
      <c r="S66" t="s">
        <v>94</v>
      </c>
      <c r="T66">
        <v>3004</v>
      </c>
      <c r="U66" t="s">
        <v>95</v>
      </c>
      <c r="V66" t="s">
        <v>96</v>
      </c>
      <c r="W66" t="s">
        <v>97</v>
      </c>
      <c r="X66" t="s">
        <v>98</v>
      </c>
      <c r="Y66" t="s">
        <v>51</v>
      </c>
    </row>
    <row r="67" spans="1:25" x14ac:dyDescent="0.25">
      <c r="A67">
        <v>10236</v>
      </c>
      <c r="B67">
        <v>22</v>
      </c>
      <c r="C67">
        <v>100</v>
      </c>
      <c r="D67">
        <v>1</v>
      </c>
      <c r="E67">
        <v>2852.08</v>
      </c>
      <c r="F67" s="1">
        <v>38080</v>
      </c>
      <c r="G67" t="s">
        <v>25</v>
      </c>
      <c r="H67">
        <v>2</v>
      </c>
      <c r="I67">
        <v>4</v>
      </c>
      <c r="J67">
        <v>2004</v>
      </c>
      <c r="K67" t="s">
        <v>26</v>
      </c>
      <c r="L67">
        <v>118</v>
      </c>
      <c r="M67" t="s">
        <v>301</v>
      </c>
      <c r="N67" t="s">
        <v>309</v>
      </c>
      <c r="O67">
        <v>2155559857</v>
      </c>
      <c r="P67" t="s">
        <v>310</v>
      </c>
      <c r="R67" t="s">
        <v>216</v>
      </c>
      <c r="S67" t="s">
        <v>142</v>
      </c>
      <c r="T67">
        <v>71270</v>
      </c>
      <c r="U67" t="s">
        <v>32</v>
      </c>
      <c r="V67" t="s">
        <v>33</v>
      </c>
      <c r="W67" t="s">
        <v>124</v>
      </c>
      <c r="X67" t="s">
        <v>311</v>
      </c>
      <c r="Y67" t="s">
        <v>36</v>
      </c>
    </row>
    <row r="68" spans="1:25" x14ac:dyDescent="0.25">
      <c r="A68">
        <v>10251</v>
      </c>
      <c r="B68">
        <v>44</v>
      </c>
      <c r="C68">
        <v>100</v>
      </c>
      <c r="D68">
        <v>5</v>
      </c>
      <c r="E68">
        <v>5756.52</v>
      </c>
      <c r="F68" s="1">
        <v>38125</v>
      </c>
      <c r="G68" t="s">
        <v>25</v>
      </c>
      <c r="H68">
        <v>2</v>
      </c>
      <c r="I68">
        <v>5</v>
      </c>
      <c r="J68">
        <v>2004</v>
      </c>
      <c r="K68" t="s">
        <v>26</v>
      </c>
      <c r="L68">
        <v>118</v>
      </c>
      <c r="M68" t="s">
        <v>301</v>
      </c>
      <c r="N68" t="s">
        <v>104</v>
      </c>
      <c r="O68">
        <v>2015559350</v>
      </c>
      <c r="P68" t="s">
        <v>105</v>
      </c>
      <c r="R68" t="s">
        <v>106</v>
      </c>
      <c r="S68" t="s">
        <v>107</v>
      </c>
      <c r="T68">
        <v>94019</v>
      </c>
      <c r="U68" t="s">
        <v>32</v>
      </c>
      <c r="V68" t="s">
        <v>33</v>
      </c>
      <c r="W68" t="s">
        <v>61</v>
      </c>
      <c r="X68" t="s">
        <v>108</v>
      </c>
      <c r="Y68" t="s">
        <v>51</v>
      </c>
    </row>
    <row r="69" spans="1:25" x14ac:dyDescent="0.25">
      <c r="A69">
        <v>10263</v>
      </c>
      <c r="B69">
        <v>40</v>
      </c>
      <c r="C69">
        <v>100</v>
      </c>
      <c r="D69">
        <v>5</v>
      </c>
      <c r="E69">
        <v>4472</v>
      </c>
      <c r="F69" s="1">
        <v>38166</v>
      </c>
      <c r="G69" t="s">
        <v>25</v>
      </c>
      <c r="H69">
        <v>2</v>
      </c>
      <c r="I69">
        <v>6</v>
      </c>
      <c r="J69">
        <v>2004</v>
      </c>
      <c r="K69" t="s">
        <v>26</v>
      </c>
      <c r="L69">
        <v>118</v>
      </c>
      <c r="M69" t="s">
        <v>301</v>
      </c>
      <c r="N69" t="s">
        <v>109</v>
      </c>
      <c r="O69">
        <v>2035552570</v>
      </c>
      <c r="P69" t="s">
        <v>110</v>
      </c>
      <c r="R69" t="s">
        <v>111</v>
      </c>
      <c r="S69" t="s">
        <v>112</v>
      </c>
      <c r="T69">
        <v>97562</v>
      </c>
      <c r="U69" t="s">
        <v>32</v>
      </c>
      <c r="V69" t="s">
        <v>33</v>
      </c>
      <c r="W69" t="s">
        <v>113</v>
      </c>
      <c r="X69" t="s">
        <v>57</v>
      </c>
      <c r="Y69" t="s">
        <v>51</v>
      </c>
    </row>
    <row r="70" spans="1:25" x14ac:dyDescent="0.25">
      <c r="A70">
        <v>10275</v>
      </c>
      <c r="B70">
        <v>22</v>
      </c>
      <c r="C70">
        <v>100</v>
      </c>
      <c r="D70">
        <v>4</v>
      </c>
      <c r="E70">
        <v>2904.44</v>
      </c>
      <c r="F70" s="1">
        <v>38191</v>
      </c>
      <c r="G70" t="s">
        <v>25</v>
      </c>
      <c r="H70">
        <v>3</v>
      </c>
      <c r="I70">
        <v>7</v>
      </c>
      <c r="J70">
        <v>2004</v>
      </c>
      <c r="K70" t="s">
        <v>26</v>
      </c>
      <c r="L70">
        <v>118</v>
      </c>
      <c r="M70" t="s">
        <v>301</v>
      </c>
      <c r="N70" t="s">
        <v>114</v>
      </c>
      <c r="O70" t="s">
        <v>115</v>
      </c>
      <c r="P70" t="s">
        <v>116</v>
      </c>
      <c r="R70" t="s">
        <v>117</v>
      </c>
      <c r="T70">
        <v>44000</v>
      </c>
      <c r="U70" t="s">
        <v>41</v>
      </c>
      <c r="V70" t="s">
        <v>42</v>
      </c>
      <c r="W70" t="s">
        <v>118</v>
      </c>
      <c r="X70" t="s">
        <v>119</v>
      </c>
      <c r="Y70" t="s">
        <v>36</v>
      </c>
    </row>
    <row r="71" spans="1:25" x14ac:dyDescent="0.25">
      <c r="A71">
        <v>10285</v>
      </c>
      <c r="B71">
        <v>47</v>
      </c>
      <c r="C71">
        <v>100</v>
      </c>
      <c r="D71">
        <v>9</v>
      </c>
      <c r="E71">
        <v>6484.59</v>
      </c>
      <c r="F71" s="1">
        <v>38226</v>
      </c>
      <c r="G71" t="s">
        <v>25</v>
      </c>
      <c r="H71">
        <v>3</v>
      </c>
      <c r="I71">
        <v>8</v>
      </c>
      <c r="J71">
        <v>2004</v>
      </c>
      <c r="K71" t="s">
        <v>26</v>
      </c>
      <c r="L71">
        <v>118</v>
      </c>
      <c r="M71" t="s">
        <v>301</v>
      </c>
      <c r="N71" t="s">
        <v>120</v>
      </c>
      <c r="O71">
        <v>6175558555</v>
      </c>
      <c r="P71" t="s">
        <v>121</v>
      </c>
      <c r="R71" t="s">
        <v>122</v>
      </c>
      <c r="S71" t="s">
        <v>123</v>
      </c>
      <c r="T71">
        <v>51247</v>
      </c>
      <c r="U71" t="s">
        <v>32</v>
      </c>
      <c r="V71" t="s">
        <v>33</v>
      </c>
      <c r="W71" t="s">
        <v>124</v>
      </c>
      <c r="X71" t="s">
        <v>125</v>
      </c>
      <c r="Y71" t="s">
        <v>51</v>
      </c>
    </row>
    <row r="72" spans="1:25" x14ac:dyDescent="0.25">
      <c r="A72">
        <v>10298</v>
      </c>
      <c r="B72">
        <v>39</v>
      </c>
      <c r="C72">
        <v>96.34</v>
      </c>
      <c r="D72">
        <v>1</v>
      </c>
      <c r="E72">
        <v>3757.26</v>
      </c>
      <c r="F72" s="1">
        <v>38257</v>
      </c>
      <c r="G72" t="s">
        <v>25</v>
      </c>
      <c r="H72">
        <v>3</v>
      </c>
      <c r="I72">
        <v>9</v>
      </c>
      <c r="J72">
        <v>2004</v>
      </c>
      <c r="K72" t="s">
        <v>26</v>
      </c>
      <c r="L72">
        <v>118</v>
      </c>
      <c r="M72" t="s">
        <v>301</v>
      </c>
      <c r="N72" t="s">
        <v>312</v>
      </c>
      <c r="O72" t="s">
        <v>313</v>
      </c>
      <c r="P72" t="s">
        <v>314</v>
      </c>
      <c r="R72" t="s">
        <v>117</v>
      </c>
      <c r="T72">
        <v>44000</v>
      </c>
      <c r="U72" t="s">
        <v>41</v>
      </c>
      <c r="V72" t="s">
        <v>42</v>
      </c>
      <c r="W72" t="s">
        <v>315</v>
      </c>
      <c r="X72" t="s">
        <v>316</v>
      </c>
      <c r="Y72" t="s">
        <v>51</v>
      </c>
    </row>
    <row r="73" spans="1:25" x14ac:dyDescent="0.25">
      <c r="A73">
        <v>10308</v>
      </c>
      <c r="B73">
        <v>34</v>
      </c>
      <c r="C73">
        <v>100</v>
      </c>
      <c r="D73">
        <v>2</v>
      </c>
      <c r="E73">
        <v>4043.96</v>
      </c>
      <c r="F73" s="1">
        <v>38275</v>
      </c>
      <c r="G73" t="s">
        <v>25</v>
      </c>
      <c r="H73">
        <v>4</v>
      </c>
      <c r="I73">
        <v>10</v>
      </c>
      <c r="J73">
        <v>2004</v>
      </c>
      <c r="K73" t="s">
        <v>26</v>
      </c>
      <c r="L73">
        <v>118</v>
      </c>
      <c r="M73" t="s">
        <v>301</v>
      </c>
      <c r="N73" t="s">
        <v>317</v>
      </c>
      <c r="O73">
        <v>9145554562</v>
      </c>
      <c r="P73" t="s">
        <v>318</v>
      </c>
      <c r="R73" t="s">
        <v>319</v>
      </c>
      <c r="S73" t="s">
        <v>31</v>
      </c>
      <c r="T73">
        <v>24067</v>
      </c>
      <c r="U73" t="s">
        <v>32</v>
      </c>
      <c r="V73" t="s">
        <v>33</v>
      </c>
      <c r="W73" t="s">
        <v>102</v>
      </c>
      <c r="X73" t="s">
        <v>238</v>
      </c>
      <c r="Y73" t="s">
        <v>51</v>
      </c>
    </row>
    <row r="74" spans="1:25" x14ac:dyDescent="0.25">
      <c r="A74">
        <v>10318</v>
      </c>
      <c r="B74">
        <v>45</v>
      </c>
      <c r="C74">
        <v>100</v>
      </c>
      <c r="D74">
        <v>4</v>
      </c>
      <c r="E74">
        <v>5566.5</v>
      </c>
      <c r="F74" s="1">
        <v>38293</v>
      </c>
      <c r="G74" t="s">
        <v>25</v>
      </c>
      <c r="H74">
        <v>4</v>
      </c>
      <c r="I74">
        <v>11</v>
      </c>
      <c r="J74">
        <v>2004</v>
      </c>
      <c r="K74" t="s">
        <v>26</v>
      </c>
      <c r="L74">
        <v>118</v>
      </c>
      <c r="M74" t="s">
        <v>301</v>
      </c>
      <c r="N74" t="s">
        <v>139</v>
      </c>
      <c r="O74">
        <v>2155551555</v>
      </c>
      <c r="P74" t="s">
        <v>140</v>
      </c>
      <c r="R74" t="s">
        <v>141</v>
      </c>
      <c r="S74" t="s">
        <v>142</v>
      </c>
      <c r="T74">
        <v>70267</v>
      </c>
      <c r="U74" t="s">
        <v>32</v>
      </c>
      <c r="V74" t="s">
        <v>33</v>
      </c>
      <c r="W74" t="s">
        <v>34</v>
      </c>
      <c r="X74" t="s">
        <v>143</v>
      </c>
      <c r="Y74" t="s">
        <v>51</v>
      </c>
    </row>
    <row r="75" spans="1:25" x14ac:dyDescent="0.25">
      <c r="A75">
        <v>10329</v>
      </c>
      <c r="B75">
        <v>20</v>
      </c>
      <c r="C75">
        <v>100</v>
      </c>
      <c r="D75">
        <v>2</v>
      </c>
      <c r="E75">
        <v>3176</v>
      </c>
      <c r="F75" s="1">
        <v>38306</v>
      </c>
      <c r="G75" t="s">
        <v>25</v>
      </c>
      <c r="H75">
        <v>4</v>
      </c>
      <c r="I75">
        <v>11</v>
      </c>
      <c r="J75">
        <v>2004</v>
      </c>
      <c r="K75" t="s">
        <v>26</v>
      </c>
      <c r="L75">
        <v>118</v>
      </c>
      <c r="M75" t="s">
        <v>301</v>
      </c>
      <c r="N75" t="s">
        <v>28</v>
      </c>
      <c r="O75">
        <v>2125557818</v>
      </c>
      <c r="P75" t="s">
        <v>29</v>
      </c>
      <c r="R75" t="s">
        <v>30</v>
      </c>
      <c r="S75" t="s">
        <v>31</v>
      </c>
      <c r="T75">
        <v>10022</v>
      </c>
      <c r="U75" t="s">
        <v>32</v>
      </c>
      <c r="V75" t="s">
        <v>33</v>
      </c>
      <c r="W75" t="s">
        <v>34</v>
      </c>
      <c r="X75" t="s">
        <v>35</v>
      </c>
      <c r="Y75" t="s">
        <v>51</v>
      </c>
    </row>
    <row r="76" spans="1:25" x14ac:dyDescent="0.25">
      <c r="A76">
        <v>10339</v>
      </c>
      <c r="B76">
        <v>40</v>
      </c>
      <c r="C76">
        <v>68.92</v>
      </c>
      <c r="D76">
        <v>4</v>
      </c>
      <c r="E76">
        <v>2756.8</v>
      </c>
      <c r="F76" s="1">
        <v>38314</v>
      </c>
      <c r="G76" t="s">
        <v>25</v>
      </c>
      <c r="H76">
        <v>4</v>
      </c>
      <c r="I76">
        <v>11</v>
      </c>
      <c r="J76">
        <v>2004</v>
      </c>
      <c r="K76" t="s">
        <v>26</v>
      </c>
      <c r="L76">
        <v>118</v>
      </c>
      <c r="M76" t="s">
        <v>301</v>
      </c>
      <c r="N76" t="s">
        <v>246</v>
      </c>
      <c r="O76" t="s">
        <v>247</v>
      </c>
      <c r="P76" t="s">
        <v>248</v>
      </c>
      <c r="R76" t="s">
        <v>249</v>
      </c>
      <c r="S76" t="s">
        <v>250</v>
      </c>
      <c r="T76" t="s">
        <v>251</v>
      </c>
      <c r="U76" t="s">
        <v>200</v>
      </c>
      <c r="V76" t="s">
        <v>200</v>
      </c>
      <c r="W76" t="s">
        <v>252</v>
      </c>
      <c r="X76" t="s">
        <v>253</v>
      </c>
      <c r="Y76" t="s">
        <v>36</v>
      </c>
    </row>
    <row r="77" spans="1:25" x14ac:dyDescent="0.25">
      <c r="A77">
        <v>10361</v>
      </c>
      <c r="B77">
        <v>26</v>
      </c>
      <c r="C77">
        <v>51.15</v>
      </c>
      <c r="D77">
        <v>8</v>
      </c>
      <c r="E77">
        <v>1329.9</v>
      </c>
      <c r="F77" s="1">
        <v>38338</v>
      </c>
      <c r="G77" t="s">
        <v>25</v>
      </c>
      <c r="H77">
        <v>4</v>
      </c>
      <c r="I77">
        <v>12</v>
      </c>
      <c r="J77">
        <v>2004</v>
      </c>
      <c r="K77" t="s">
        <v>26</v>
      </c>
      <c r="L77">
        <v>118</v>
      </c>
      <c r="M77" t="s">
        <v>301</v>
      </c>
      <c r="N77" t="s">
        <v>152</v>
      </c>
      <c r="O77" t="s">
        <v>153</v>
      </c>
      <c r="P77" t="s">
        <v>154</v>
      </c>
      <c r="Q77" t="s">
        <v>155</v>
      </c>
      <c r="R77" t="s">
        <v>156</v>
      </c>
      <c r="S77" t="s">
        <v>157</v>
      </c>
      <c r="T77">
        <v>2067</v>
      </c>
      <c r="U77" t="s">
        <v>95</v>
      </c>
      <c r="V77" t="s">
        <v>96</v>
      </c>
      <c r="W77" t="s">
        <v>158</v>
      </c>
      <c r="X77" t="s">
        <v>159</v>
      </c>
      <c r="Y77" t="s">
        <v>36</v>
      </c>
    </row>
    <row r="78" spans="1:25" x14ac:dyDescent="0.25">
      <c r="A78">
        <v>10374</v>
      </c>
      <c r="B78">
        <v>39</v>
      </c>
      <c r="C78">
        <v>100</v>
      </c>
      <c r="D78">
        <v>5</v>
      </c>
      <c r="E78">
        <v>5288.01</v>
      </c>
      <c r="F78" s="1">
        <v>38385</v>
      </c>
      <c r="G78" t="s">
        <v>25</v>
      </c>
      <c r="H78">
        <v>1</v>
      </c>
      <c r="I78">
        <v>2</v>
      </c>
      <c r="J78">
        <v>2005</v>
      </c>
      <c r="K78" t="s">
        <v>26</v>
      </c>
      <c r="L78">
        <v>118</v>
      </c>
      <c r="M78" t="s">
        <v>301</v>
      </c>
      <c r="N78" t="s">
        <v>207</v>
      </c>
      <c r="O78" t="s">
        <v>208</v>
      </c>
      <c r="P78" t="s">
        <v>209</v>
      </c>
      <c r="R78" t="s">
        <v>210</v>
      </c>
      <c r="S78" t="s">
        <v>211</v>
      </c>
      <c r="T78">
        <v>4101</v>
      </c>
      <c r="U78" t="s">
        <v>95</v>
      </c>
      <c r="V78" t="s">
        <v>96</v>
      </c>
      <c r="W78" t="s">
        <v>212</v>
      </c>
      <c r="X78" t="s">
        <v>213</v>
      </c>
      <c r="Y78" t="s">
        <v>51</v>
      </c>
    </row>
    <row r="79" spans="1:25" x14ac:dyDescent="0.25">
      <c r="A79">
        <v>10388</v>
      </c>
      <c r="B79">
        <v>50</v>
      </c>
      <c r="C79">
        <v>44.51</v>
      </c>
      <c r="D79">
        <v>5</v>
      </c>
      <c r="E79">
        <v>2225.5</v>
      </c>
      <c r="F79" s="1">
        <v>38414</v>
      </c>
      <c r="G79" t="s">
        <v>25</v>
      </c>
      <c r="H79">
        <v>1</v>
      </c>
      <c r="I79">
        <v>3</v>
      </c>
      <c r="J79">
        <v>2005</v>
      </c>
      <c r="K79" t="s">
        <v>26</v>
      </c>
      <c r="L79">
        <v>118</v>
      </c>
      <c r="M79" t="s">
        <v>301</v>
      </c>
      <c r="N79" t="s">
        <v>160</v>
      </c>
      <c r="O79">
        <v>5085552555</v>
      </c>
      <c r="P79" t="s">
        <v>161</v>
      </c>
      <c r="R79" t="s">
        <v>162</v>
      </c>
      <c r="S79" t="s">
        <v>123</v>
      </c>
      <c r="T79">
        <v>50553</v>
      </c>
      <c r="U79" t="s">
        <v>32</v>
      </c>
      <c r="V79" t="s">
        <v>33</v>
      </c>
      <c r="W79" t="s">
        <v>163</v>
      </c>
      <c r="X79" t="s">
        <v>164</v>
      </c>
      <c r="Y79" t="s">
        <v>36</v>
      </c>
    </row>
    <row r="80" spans="1:25" x14ac:dyDescent="0.25">
      <c r="A80">
        <v>10402</v>
      </c>
      <c r="B80">
        <v>45</v>
      </c>
      <c r="C80">
        <v>100</v>
      </c>
      <c r="D80">
        <v>1</v>
      </c>
      <c r="E80">
        <v>5833.8</v>
      </c>
      <c r="F80" s="1">
        <v>38449</v>
      </c>
      <c r="G80" t="s">
        <v>25</v>
      </c>
      <c r="H80">
        <v>2</v>
      </c>
      <c r="I80">
        <v>4</v>
      </c>
      <c r="J80">
        <v>2005</v>
      </c>
      <c r="K80" t="s">
        <v>26</v>
      </c>
      <c r="L80">
        <v>118</v>
      </c>
      <c r="M80" t="s">
        <v>301</v>
      </c>
      <c r="N80" t="s">
        <v>84</v>
      </c>
      <c r="O80" t="s">
        <v>85</v>
      </c>
      <c r="P80" t="s">
        <v>86</v>
      </c>
      <c r="R80" t="s">
        <v>48</v>
      </c>
      <c r="T80">
        <v>75016</v>
      </c>
      <c r="U80" t="s">
        <v>41</v>
      </c>
      <c r="V80" t="s">
        <v>42</v>
      </c>
      <c r="W80" t="s">
        <v>87</v>
      </c>
      <c r="X80" t="s">
        <v>88</v>
      </c>
      <c r="Y80" t="s">
        <v>51</v>
      </c>
    </row>
    <row r="81" spans="1:25" x14ac:dyDescent="0.25">
      <c r="A81">
        <v>10417</v>
      </c>
      <c r="B81">
        <v>45</v>
      </c>
      <c r="C81">
        <v>100</v>
      </c>
      <c r="D81">
        <v>5</v>
      </c>
      <c r="E81">
        <v>5887.35</v>
      </c>
      <c r="F81" s="1">
        <v>38485</v>
      </c>
      <c r="G81" t="s">
        <v>173</v>
      </c>
      <c r="H81">
        <v>2</v>
      </c>
      <c r="I81">
        <v>5</v>
      </c>
      <c r="J81">
        <v>2005</v>
      </c>
      <c r="K81" t="s">
        <v>26</v>
      </c>
      <c r="L81">
        <v>118</v>
      </c>
      <c r="M81" t="s">
        <v>301</v>
      </c>
      <c r="N81" t="s">
        <v>174</v>
      </c>
      <c r="O81" t="s">
        <v>175</v>
      </c>
      <c r="P81" t="s">
        <v>176</v>
      </c>
      <c r="R81" t="s">
        <v>177</v>
      </c>
      <c r="T81">
        <v>28034</v>
      </c>
      <c r="U81" t="s">
        <v>178</v>
      </c>
      <c r="V81" t="s">
        <v>42</v>
      </c>
      <c r="W81" t="s">
        <v>179</v>
      </c>
      <c r="X81" t="s">
        <v>180</v>
      </c>
      <c r="Y81" t="s">
        <v>51</v>
      </c>
    </row>
    <row r="82" spans="1:25" x14ac:dyDescent="0.25">
      <c r="A82">
        <v>10107</v>
      </c>
      <c r="B82">
        <v>27</v>
      </c>
      <c r="C82">
        <v>100</v>
      </c>
      <c r="D82">
        <v>4</v>
      </c>
      <c r="E82">
        <v>6065.55</v>
      </c>
      <c r="F82" s="1">
        <v>37676</v>
      </c>
      <c r="G82" t="s">
        <v>25</v>
      </c>
      <c r="H82">
        <v>1</v>
      </c>
      <c r="I82">
        <v>2</v>
      </c>
      <c r="J82">
        <v>2003</v>
      </c>
      <c r="K82" t="s">
        <v>26</v>
      </c>
      <c r="L82">
        <v>193</v>
      </c>
      <c r="M82" t="s">
        <v>320</v>
      </c>
      <c r="N82" t="s">
        <v>28</v>
      </c>
      <c r="O82">
        <v>2125557818</v>
      </c>
      <c r="P82" t="s">
        <v>29</v>
      </c>
      <c r="R82" t="s">
        <v>30</v>
      </c>
      <c r="S82" t="s">
        <v>31</v>
      </c>
      <c r="T82">
        <v>10022</v>
      </c>
      <c r="U82" t="s">
        <v>32</v>
      </c>
      <c r="V82" t="s">
        <v>33</v>
      </c>
      <c r="W82" t="s">
        <v>34</v>
      </c>
      <c r="X82" t="s">
        <v>35</v>
      </c>
      <c r="Y82" t="s">
        <v>51</v>
      </c>
    </row>
    <row r="83" spans="1:25" x14ac:dyDescent="0.25">
      <c r="A83">
        <v>10120</v>
      </c>
      <c r="B83">
        <v>46</v>
      </c>
      <c r="C83">
        <v>100</v>
      </c>
      <c r="D83">
        <v>2</v>
      </c>
      <c r="E83">
        <v>9264.86</v>
      </c>
      <c r="F83" s="1">
        <v>37740</v>
      </c>
      <c r="G83" t="s">
        <v>25</v>
      </c>
      <c r="H83">
        <v>2</v>
      </c>
      <c r="I83">
        <v>4</v>
      </c>
      <c r="J83">
        <v>2003</v>
      </c>
      <c r="K83" t="s">
        <v>26</v>
      </c>
      <c r="L83">
        <v>193</v>
      </c>
      <c r="M83" t="s">
        <v>320</v>
      </c>
      <c r="N83" t="s">
        <v>89</v>
      </c>
      <c r="O83" t="s">
        <v>90</v>
      </c>
      <c r="P83" t="s">
        <v>91</v>
      </c>
      <c r="Q83" t="s">
        <v>92</v>
      </c>
      <c r="R83" t="s">
        <v>93</v>
      </c>
      <c r="S83" t="s">
        <v>94</v>
      </c>
      <c r="T83">
        <v>3004</v>
      </c>
      <c r="U83" t="s">
        <v>95</v>
      </c>
      <c r="V83" t="s">
        <v>96</v>
      </c>
      <c r="W83" t="s">
        <v>97</v>
      </c>
      <c r="X83" t="s">
        <v>98</v>
      </c>
      <c r="Y83" t="s">
        <v>151</v>
      </c>
    </row>
    <row r="84" spans="1:25" x14ac:dyDescent="0.25">
      <c r="A84">
        <v>10134</v>
      </c>
      <c r="B84">
        <v>31</v>
      </c>
      <c r="C84">
        <v>100</v>
      </c>
      <c r="D84">
        <v>4</v>
      </c>
      <c r="E84">
        <v>7023.98</v>
      </c>
      <c r="F84" s="1">
        <v>37803</v>
      </c>
      <c r="G84" t="s">
        <v>25</v>
      </c>
      <c r="H84">
        <v>3</v>
      </c>
      <c r="I84">
        <v>7</v>
      </c>
      <c r="J84">
        <v>2003</v>
      </c>
      <c r="K84" t="s">
        <v>26</v>
      </c>
      <c r="L84">
        <v>193</v>
      </c>
      <c r="M84" t="s">
        <v>320</v>
      </c>
      <c r="N84" t="s">
        <v>45</v>
      </c>
      <c r="O84" t="s">
        <v>46</v>
      </c>
      <c r="P84" t="s">
        <v>47</v>
      </c>
      <c r="R84" t="s">
        <v>48</v>
      </c>
      <c r="T84">
        <v>75508</v>
      </c>
      <c r="U84" t="s">
        <v>41</v>
      </c>
      <c r="V84" t="s">
        <v>42</v>
      </c>
      <c r="W84" t="s">
        <v>49</v>
      </c>
      <c r="X84" t="s">
        <v>50</v>
      </c>
      <c r="Y84" t="s">
        <v>151</v>
      </c>
    </row>
    <row r="85" spans="1:25" x14ac:dyDescent="0.25">
      <c r="A85">
        <v>10145</v>
      </c>
      <c r="B85">
        <v>33</v>
      </c>
      <c r="C85">
        <v>100</v>
      </c>
      <c r="D85">
        <v>8</v>
      </c>
      <c r="E85">
        <v>5176.38</v>
      </c>
      <c r="F85" s="1">
        <v>37858</v>
      </c>
      <c r="G85" t="s">
        <v>25</v>
      </c>
      <c r="H85">
        <v>3</v>
      </c>
      <c r="I85">
        <v>8</v>
      </c>
      <c r="J85">
        <v>2003</v>
      </c>
      <c r="K85" t="s">
        <v>26</v>
      </c>
      <c r="L85">
        <v>193</v>
      </c>
      <c r="M85" t="s">
        <v>320</v>
      </c>
      <c r="N85" t="s">
        <v>52</v>
      </c>
      <c r="O85">
        <v>6265557265</v>
      </c>
      <c r="P85" t="s">
        <v>53</v>
      </c>
      <c r="R85" t="s">
        <v>54</v>
      </c>
      <c r="S85" t="s">
        <v>55</v>
      </c>
      <c r="T85">
        <v>90003</v>
      </c>
      <c r="U85" t="s">
        <v>32</v>
      </c>
      <c r="V85" t="s">
        <v>33</v>
      </c>
      <c r="W85" t="s">
        <v>56</v>
      </c>
      <c r="X85" t="s">
        <v>57</v>
      </c>
      <c r="Y85" t="s">
        <v>51</v>
      </c>
    </row>
    <row r="86" spans="1:25" x14ac:dyDescent="0.25">
      <c r="A86">
        <v>10159</v>
      </c>
      <c r="B86">
        <v>22</v>
      </c>
      <c r="C86">
        <v>100</v>
      </c>
      <c r="D86">
        <v>16</v>
      </c>
      <c r="E86">
        <v>4132.7</v>
      </c>
      <c r="F86" s="1">
        <v>37904</v>
      </c>
      <c r="G86" t="s">
        <v>25</v>
      </c>
      <c r="H86">
        <v>4</v>
      </c>
      <c r="I86">
        <v>10</v>
      </c>
      <c r="J86">
        <v>2003</v>
      </c>
      <c r="K86" t="s">
        <v>26</v>
      </c>
      <c r="L86">
        <v>193</v>
      </c>
      <c r="M86" t="s">
        <v>320</v>
      </c>
      <c r="N86" t="s">
        <v>58</v>
      </c>
      <c r="O86">
        <v>6505551386</v>
      </c>
      <c r="P86" t="s">
        <v>59</v>
      </c>
      <c r="R86" t="s">
        <v>60</v>
      </c>
      <c r="S86" t="s">
        <v>55</v>
      </c>
      <c r="U86" t="s">
        <v>32</v>
      </c>
      <c r="V86" t="s">
        <v>33</v>
      </c>
      <c r="W86" t="s">
        <v>61</v>
      </c>
      <c r="X86" t="s">
        <v>57</v>
      </c>
      <c r="Y86" t="s">
        <v>51</v>
      </c>
    </row>
    <row r="87" spans="1:25" x14ac:dyDescent="0.25">
      <c r="A87">
        <v>10168</v>
      </c>
      <c r="B87">
        <v>20</v>
      </c>
      <c r="C87">
        <v>100</v>
      </c>
      <c r="D87">
        <v>3</v>
      </c>
      <c r="E87">
        <v>4183</v>
      </c>
      <c r="F87" s="1">
        <v>37922</v>
      </c>
      <c r="G87" t="s">
        <v>25</v>
      </c>
      <c r="H87">
        <v>4</v>
      </c>
      <c r="I87">
        <v>10</v>
      </c>
      <c r="J87">
        <v>2003</v>
      </c>
      <c r="K87" t="s">
        <v>26</v>
      </c>
      <c r="L87">
        <v>193</v>
      </c>
      <c r="M87" t="s">
        <v>320</v>
      </c>
      <c r="N87" t="s">
        <v>62</v>
      </c>
      <c r="O87">
        <v>6505556809</v>
      </c>
      <c r="P87" t="s">
        <v>63</v>
      </c>
      <c r="R87" t="s">
        <v>64</v>
      </c>
      <c r="S87" t="s">
        <v>55</v>
      </c>
      <c r="T87">
        <v>94217</v>
      </c>
      <c r="U87" t="s">
        <v>32</v>
      </c>
      <c r="V87" t="s">
        <v>33</v>
      </c>
      <c r="W87" t="s">
        <v>65</v>
      </c>
      <c r="X87" t="s">
        <v>66</v>
      </c>
      <c r="Y87" t="s">
        <v>51</v>
      </c>
    </row>
    <row r="88" spans="1:25" x14ac:dyDescent="0.25">
      <c r="A88">
        <v>10180</v>
      </c>
      <c r="B88">
        <v>41</v>
      </c>
      <c r="C88">
        <v>100</v>
      </c>
      <c r="D88">
        <v>11</v>
      </c>
      <c r="E88">
        <v>8892.9</v>
      </c>
      <c r="F88" s="1">
        <v>37936</v>
      </c>
      <c r="G88" t="s">
        <v>25</v>
      </c>
      <c r="H88">
        <v>4</v>
      </c>
      <c r="I88">
        <v>11</v>
      </c>
      <c r="J88">
        <v>2003</v>
      </c>
      <c r="K88" t="s">
        <v>26</v>
      </c>
      <c r="L88">
        <v>193</v>
      </c>
      <c r="M88" t="s">
        <v>320</v>
      </c>
      <c r="N88" t="s">
        <v>67</v>
      </c>
      <c r="O88" t="s">
        <v>68</v>
      </c>
      <c r="P88" t="s">
        <v>69</v>
      </c>
      <c r="R88" t="s">
        <v>70</v>
      </c>
      <c r="T88">
        <v>59000</v>
      </c>
      <c r="U88" t="s">
        <v>41</v>
      </c>
      <c r="V88" t="s">
        <v>42</v>
      </c>
      <c r="W88" t="s">
        <v>71</v>
      </c>
      <c r="X88" t="s">
        <v>72</v>
      </c>
      <c r="Y88" t="s">
        <v>151</v>
      </c>
    </row>
    <row r="89" spans="1:25" x14ac:dyDescent="0.25">
      <c r="A89">
        <v>10188</v>
      </c>
      <c r="B89">
        <v>45</v>
      </c>
      <c r="C89">
        <v>100</v>
      </c>
      <c r="D89">
        <v>3</v>
      </c>
      <c r="E89">
        <v>8714.7000000000007</v>
      </c>
      <c r="F89" s="1">
        <v>37943</v>
      </c>
      <c r="G89" t="s">
        <v>25</v>
      </c>
      <c r="H89">
        <v>4</v>
      </c>
      <c r="I89">
        <v>11</v>
      </c>
      <c r="J89">
        <v>2003</v>
      </c>
      <c r="K89" t="s">
        <v>26</v>
      </c>
      <c r="L89">
        <v>193</v>
      </c>
      <c r="M89" t="s">
        <v>320</v>
      </c>
      <c r="N89" t="s">
        <v>73</v>
      </c>
      <c r="O89" t="s">
        <v>74</v>
      </c>
      <c r="P89" t="s">
        <v>75</v>
      </c>
      <c r="R89" t="s">
        <v>76</v>
      </c>
      <c r="T89" t="s">
        <v>77</v>
      </c>
      <c r="U89" t="s">
        <v>78</v>
      </c>
      <c r="V89" t="s">
        <v>42</v>
      </c>
      <c r="W89" t="s">
        <v>79</v>
      </c>
      <c r="X89" t="s">
        <v>80</v>
      </c>
      <c r="Y89" t="s">
        <v>151</v>
      </c>
    </row>
    <row r="90" spans="1:25" x14ac:dyDescent="0.25">
      <c r="A90">
        <v>10201</v>
      </c>
      <c r="B90">
        <v>49</v>
      </c>
      <c r="C90">
        <v>100</v>
      </c>
      <c r="D90">
        <v>4</v>
      </c>
      <c r="E90">
        <v>8065.89</v>
      </c>
      <c r="F90" s="1">
        <v>37956</v>
      </c>
      <c r="G90" t="s">
        <v>25</v>
      </c>
      <c r="H90">
        <v>4</v>
      </c>
      <c r="I90">
        <v>12</v>
      </c>
      <c r="J90">
        <v>2003</v>
      </c>
      <c r="K90" t="s">
        <v>26</v>
      </c>
      <c r="L90">
        <v>193</v>
      </c>
      <c r="M90" t="s">
        <v>320</v>
      </c>
      <c r="N90" t="s">
        <v>81</v>
      </c>
      <c r="O90">
        <v>6505555787</v>
      </c>
      <c r="P90" t="s">
        <v>82</v>
      </c>
      <c r="R90" t="s">
        <v>60</v>
      </c>
      <c r="S90" t="s">
        <v>55</v>
      </c>
      <c r="U90" t="s">
        <v>32</v>
      </c>
      <c r="V90" t="s">
        <v>33</v>
      </c>
      <c r="W90" t="s">
        <v>83</v>
      </c>
      <c r="X90" t="s">
        <v>57</v>
      </c>
      <c r="Y90" t="s">
        <v>151</v>
      </c>
    </row>
    <row r="91" spans="1:25" x14ac:dyDescent="0.25">
      <c r="A91">
        <v>10210</v>
      </c>
      <c r="B91">
        <v>34</v>
      </c>
      <c r="C91">
        <v>100</v>
      </c>
      <c r="D91">
        <v>1</v>
      </c>
      <c r="E91">
        <v>6123.4</v>
      </c>
      <c r="F91" s="1">
        <v>37998</v>
      </c>
      <c r="G91" t="s">
        <v>25</v>
      </c>
      <c r="H91">
        <v>1</v>
      </c>
      <c r="I91">
        <v>1</v>
      </c>
      <c r="J91">
        <v>2004</v>
      </c>
      <c r="K91" t="s">
        <v>26</v>
      </c>
      <c r="L91">
        <v>193</v>
      </c>
      <c r="M91" t="s">
        <v>320</v>
      </c>
      <c r="N91" t="s">
        <v>302</v>
      </c>
      <c r="O91" t="s">
        <v>303</v>
      </c>
      <c r="P91" t="s">
        <v>304</v>
      </c>
      <c r="R91" t="s">
        <v>305</v>
      </c>
      <c r="S91" t="s">
        <v>305</v>
      </c>
      <c r="T91" t="s">
        <v>306</v>
      </c>
      <c r="U91" t="s">
        <v>200</v>
      </c>
      <c r="V91" t="s">
        <v>200</v>
      </c>
      <c r="W91" t="s">
        <v>307</v>
      </c>
      <c r="X91" t="s">
        <v>308</v>
      </c>
      <c r="Y91" t="s">
        <v>51</v>
      </c>
    </row>
    <row r="92" spans="1:25" x14ac:dyDescent="0.25">
      <c r="A92">
        <v>10223</v>
      </c>
      <c r="B92">
        <v>49</v>
      </c>
      <c r="C92">
        <v>100</v>
      </c>
      <c r="D92">
        <v>3</v>
      </c>
      <c r="E92">
        <v>9774.0300000000007</v>
      </c>
      <c r="F92" s="1">
        <v>38037</v>
      </c>
      <c r="G92" t="s">
        <v>25</v>
      </c>
      <c r="H92">
        <v>1</v>
      </c>
      <c r="I92">
        <v>2</v>
      </c>
      <c r="J92">
        <v>2004</v>
      </c>
      <c r="K92" t="s">
        <v>26</v>
      </c>
      <c r="L92">
        <v>193</v>
      </c>
      <c r="M92" t="s">
        <v>320</v>
      </c>
      <c r="N92" t="s">
        <v>89</v>
      </c>
      <c r="O92" t="s">
        <v>90</v>
      </c>
      <c r="P92" t="s">
        <v>91</v>
      </c>
      <c r="Q92" t="s">
        <v>92</v>
      </c>
      <c r="R92" t="s">
        <v>93</v>
      </c>
      <c r="S92" t="s">
        <v>94</v>
      </c>
      <c r="T92">
        <v>3004</v>
      </c>
      <c r="U92" t="s">
        <v>95</v>
      </c>
      <c r="V92" t="s">
        <v>96</v>
      </c>
      <c r="W92" t="s">
        <v>97</v>
      </c>
      <c r="X92" t="s">
        <v>98</v>
      </c>
      <c r="Y92" t="s">
        <v>151</v>
      </c>
    </row>
    <row r="93" spans="1:25" x14ac:dyDescent="0.25">
      <c r="A93">
        <v>10237</v>
      </c>
      <c r="B93">
        <v>39</v>
      </c>
      <c r="C93">
        <v>100</v>
      </c>
      <c r="D93">
        <v>9</v>
      </c>
      <c r="E93">
        <v>7023.9</v>
      </c>
      <c r="F93" s="1">
        <v>38082</v>
      </c>
      <c r="G93" t="s">
        <v>25</v>
      </c>
      <c r="H93">
        <v>2</v>
      </c>
      <c r="I93">
        <v>4</v>
      </c>
      <c r="J93">
        <v>2004</v>
      </c>
      <c r="K93" t="s">
        <v>26</v>
      </c>
      <c r="L93">
        <v>193</v>
      </c>
      <c r="M93" t="s">
        <v>320</v>
      </c>
      <c r="N93" t="s">
        <v>99</v>
      </c>
      <c r="O93">
        <v>2125551500</v>
      </c>
      <c r="P93" t="s">
        <v>100</v>
      </c>
      <c r="Q93" t="s">
        <v>101</v>
      </c>
      <c r="R93" t="s">
        <v>30</v>
      </c>
      <c r="S93" t="s">
        <v>31</v>
      </c>
      <c r="T93">
        <v>10022</v>
      </c>
      <c r="U93" t="s">
        <v>32</v>
      </c>
      <c r="V93" t="s">
        <v>33</v>
      </c>
      <c r="W93" t="s">
        <v>102</v>
      </c>
      <c r="X93" t="s">
        <v>103</v>
      </c>
      <c r="Y93" t="s">
        <v>151</v>
      </c>
    </row>
    <row r="94" spans="1:25" x14ac:dyDescent="0.25">
      <c r="A94">
        <v>10251</v>
      </c>
      <c r="B94">
        <v>43</v>
      </c>
      <c r="C94">
        <v>100</v>
      </c>
      <c r="D94">
        <v>4</v>
      </c>
      <c r="E94">
        <v>7078.23</v>
      </c>
      <c r="F94" s="1">
        <v>38125</v>
      </c>
      <c r="G94" t="s">
        <v>25</v>
      </c>
      <c r="H94">
        <v>2</v>
      </c>
      <c r="I94">
        <v>5</v>
      </c>
      <c r="J94">
        <v>2004</v>
      </c>
      <c r="K94" t="s">
        <v>26</v>
      </c>
      <c r="L94">
        <v>193</v>
      </c>
      <c r="M94" t="s">
        <v>320</v>
      </c>
      <c r="N94" t="s">
        <v>104</v>
      </c>
      <c r="O94">
        <v>2015559350</v>
      </c>
      <c r="P94" t="s">
        <v>105</v>
      </c>
      <c r="R94" t="s">
        <v>106</v>
      </c>
      <c r="S94" t="s">
        <v>107</v>
      </c>
      <c r="T94">
        <v>94019</v>
      </c>
      <c r="U94" t="s">
        <v>32</v>
      </c>
      <c r="V94" t="s">
        <v>33</v>
      </c>
      <c r="W94" t="s">
        <v>61</v>
      </c>
      <c r="X94" t="s">
        <v>108</v>
      </c>
      <c r="Y94" t="s">
        <v>151</v>
      </c>
    </row>
    <row r="95" spans="1:25" x14ac:dyDescent="0.25">
      <c r="A95">
        <v>10263</v>
      </c>
      <c r="B95">
        <v>41</v>
      </c>
      <c r="C95">
        <v>100</v>
      </c>
      <c r="D95">
        <v>4</v>
      </c>
      <c r="E95">
        <v>8336.94</v>
      </c>
      <c r="F95" s="1">
        <v>38166</v>
      </c>
      <c r="G95" t="s">
        <v>25</v>
      </c>
      <c r="H95">
        <v>2</v>
      </c>
      <c r="I95">
        <v>6</v>
      </c>
      <c r="J95">
        <v>2004</v>
      </c>
      <c r="K95" t="s">
        <v>26</v>
      </c>
      <c r="L95">
        <v>193</v>
      </c>
      <c r="M95" t="s">
        <v>320</v>
      </c>
      <c r="N95" t="s">
        <v>109</v>
      </c>
      <c r="O95">
        <v>2035552570</v>
      </c>
      <c r="P95" t="s">
        <v>110</v>
      </c>
      <c r="R95" t="s">
        <v>111</v>
      </c>
      <c r="S95" t="s">
        <v>112</v>
      </c>
      <c r="T95">
        <v>97562</v>
      </c>
      <c r="U95" t="s">
        <v>32</v>
      </c>
      <c r="V95" t="s">
        <v>33</v>
      </c>
      <c r="W95" t="s">
        <v>113</v>
      </c>
      <c r="X95" t="s">
        <v>57</v>
      </c>
      <c r="Y95" t="s">
        <v>151</v>
      </c>
    </row>
    <row r="96" spans="1:25" x14ac:dyDescent="0.25">
      <c r="A96">
        <v>10275</v>
      </c>
      <c r="B96">
        <v>36</v>
      </c>
      <c r="C96">
        <v>100</v>
      </c>
      <c r="D96">
        <v>3</v>
      </c>
      <c r="E96">
        <v>6901.92</v>
      </c>
      <c r="F96" s="1">
        <v>38191</v>
      </c>
      <c r="G96" t="s">
        <v>25</v>
      </c>
      <c r="H96">
        <v>3</v>
      </c>
      <c r="I96">
        <v>7</v>
      </c>
      <c r="J96">
        <v>2004</v>
      </c>
      <c r="K96" t="s">
        <v>26</v>
      </c>
      <c r="L96">
        <v>193</v>
      </c>
      <c r="M96" t="s">
        <v>320</v>
      </c>
      <c r="N96" t="s">
        <v>114</v>
      </c>
      <c r="O96" t="s">
        <v>115</v>
      </c>
      <c r="P96" t="s">
        <v>116</v>
      </c>
      <c r="R96" t="s">
        <v>117</v>
      </c>
      <c r="T96">
        <v>44000</v>
      </c>
      <c r="U96" t="s">
        <v>41</v>
      </c>
      <c r="V96" t="s">
        <v>42</v>
      </c>
      <c r="W96" t="s">
        <v>118</v>
      </c>
      <c r="X96" t="s">
        <v>119</v>
      </c>
      <c r="Y96" t="s">
        <v>51</v>
      </c>
    </row>
    <row r="97" spans="1:25" x14ac:dyDescent="0.25">
      <c r="A97">
        <v>10285</v>
      </c>
      <c r="B97">
        <v>27</v>
      </c>
      <c r="C97">
        <v>100</v>
      </c>
      <c r="D97">
        <v>8</v>
      </c>
      <c r="E97">
        <v>5438.07</v>
      </c>
      <c r="F97" s="1">
        <v>38226</v>
      </c>
      <c r="G97" t="s">
        <v>25</v>
      </c>
      <c r="H97">
        <v>3</v>
      </c>
      <c r="I97">
        <v>8</v>
      </c>
      <c r="J97">
        <v>2004</v>
      </c>
      <c r="K97" t="s">
        <v>26</v>
      </c>
      <c r="L97">
        <v>193</v>
      </c>
      <c r="M97" t="s">
        <v>320</v>
      </c>
      <c r="N97" t="s">
        <v>120</v>
      </c>
      <c r="O97">
        <v>6175558555</v>
      </c>
      <c r="P97" t="s">
        <v>121</v>
      </c>
      <c r="R97" t="s">
        <v>122</v>
      </c>
      <c r="S97" t="s">
        <v>123</v>
      </c>
      <c r="T97">
        <v>51247</v>
      </c>
      <c r="U97" t="s">
        <v>32</v>
      </c>
      <c r="V97" t="s">
        <v>33</v>
      </c>
      <c r="W97" t="s">
        <v>124</v>
      </c>
      <c r="X97" t="s">
        <v>125</v>
      </c>
      <c r="Y97" t="s">
        <v>51</v>
      </c>
    </row>
    <row r="98" spans="1:25" x14ac:dyDescent="0.25">
      <c r="A98">
        <v>10299</v>
      </c>
      <c r="B98">
        <v>29</v>
      </c>
      <c r="C98">
        <v>100</v>
      </c>
      <c r="D98">
        <v>11</v>
      </c>
      <c r="E98">
        <v>6683.34</v>
      </c>
      <c r="F98" s="1">
        <v>38260</v>
      </c>
      <c r="G98" t="s">
        <v>25</v>
      </c>
      <c r="H98">
        <v>3</v>
      </c>
      <c r="I98">
        <v>9</v>
      </c>
      <c r="J98">
        <v>2004</v>
      </c>
      <c r="K98" t="s">
        <v>26</v>
      </c>
      <c r="L98">
        <v>193</v>
      </c>
      <c r="M98" t="s">
        <v>320</v>
      </c>
      <c r="N98" t="s">
        <v>126</v>
      </c>
      <c r="O98" t="s">
        <v>127</v>
      </c>
      <c r="P98" t="s">
        <v>128</v>
      </c>
      <c r="R98" t="s">
        <v>129</v>
      </c>
      <c r="T98">
        <v>21240</v>
      </c>
      <c r="U98" t="s">
        <v>130</v>
      </c>
      <c r="V98" t="s">
        <v>42</v>
      </c>
      <c r="W98" t="s">
        <v>131</v>
      </c>
      <c r="X98" t="s">
        <v>132</v>
      </c>
      <c r="Y98" t="s">
        <v>51</v>
      </c>
    </row>
    <row r="99" spans="1:25" x14ac:dyDescent="0.25">
      <c r="A99">
        <v>10308</v>
      </c>
      <c r="B99">
        <v>20</v>
      </c>
      <c r="C99">
        <v>100</v>
      </c>
      <c r="D99">
        <v>1</v>
      </c>
      <c r="E99">
        <v>4570.3999999999996</v>
      </c>
      <c r="F99" s="1">
        <v>38275</v>
      </c>
      <c r="G99" t="s">
        <v>25</v>
      </c>
      <c r="H99">
        <v>4</v>
      </c>
      <c r="I99">
        <v>10</v>
      </c>
      <c r="J99">
        <v>2004</v>
      </c>
      <c r="K99" t="s">
        <v>26</v>
      </c>
      <c r="L99">
        <v>193</v>
      </c>
      <c r="M99" t="s">
        <v>320</v>
      </c>
      <c r="N99" t="s">
        <v>317</v>
      </c>
      <c r="O99">
        <v>9145554562</v>
      </c>
      <c r="P99" t="s">
        <v>318</v>
      </c>
      <c r="R99" t="s">
        <v>319</v>
      </c>
      <c r="S99" t="s">
        <v>31</v>
      </c>
      <c r="T99">
        <v>24067</v>
      </c>
      <c r="U99" t="s">
        <v>32</v>
      </c>
      <c r="V99" t="s">
        <v>33</v>
      </c>
      <c r="W99" t="s">
        <v>102</v>
      </c>
      <c r="X99" t="s">
        <v>238</v>
      </c>
      <c r="Y99" t="s">
        <v>51</v>
      </c>
    </row>
    <row r="100" spans="1:25" x14ac:dyDescent="0.25">
      <c r="A100">
        <v>10318</v>
      </c>
      <c r="B100">
        <v>37</v>
      </c>
      <c r="C100">
        <v>100</v>
      </c>
      <c r="D100">
        <v>3</v>
      </c>
      <c r="E100">
        <v>7667.14</v>
      </c>
      <c r="F100" s="1">
        <v>38293</v>
      </c>
      <c r="G100" t="s">
        <v>25</v>
      </c>
      <c r="H100">
        <v>4</v>
      </c>
      <c r="I100">
        <v>11</v>
      </c>
      <c r="J100">
        <v>2004</v>
      </c>
      <c r="K100" t="s">
        <v>26</v>
      </c>
      <c r="L100">
        <v>193</v>
      </c>
      <c r="M100" t="s">
        <v>320</v>
      </c>
      <c r="N100" t="s">
        <v>139</v>
      </c>
      <c r="O100">
        <v>2155551555</v>
      </c>
      <c r="P100" t="s">
        <v>140</v>
      </c>
      <c r="R100" t="s">
        <v>141</v>
      </c>
      <c r="S100" t="s">
        <v>142</v>
      </c>
      <c r="T100">
        <v>70267</v>
      </c>
      <c r="U100" t="s">
        <v>32</v>
      </c>
      <c r="V100" t="s">
        <v>33</v>
      </c>
      <c r="W100" t="s">
        <v>34</v>
      </c>
      <c r="X100" t="s">
        <v>143</v>
      </c>
      <c r="Y100" t="s">
        <v>151</v>
      </c>
    </row>
    <row r="101" spans="1:25" x14ac:dyDescent="0.25">
      <c r="A101">
        <v>10329</v>
      </c>
      <c r="B101">
        <v>26</v>
      </c>
      <c r="C101">
        <v>100</v>
      </c>
      <c r="D101">
        <v>3</v>
      </c>
      <c r="E101">
        <v>5868.2</v>
      </c>
      <c r="F101" s="1">
        <v>38306</v>
      </c>
      <c r="G101" t="s">
        <v>25</v>
      </c>
      <c r="H101">
        <v>4</v>
      </c>
      <c r="I101">
        <v>11</v>
      </c>
      <c r="J101">
        <v>2004</v>
      </c>
      <c r="K101" t="s">
        <v>26</v>
      </c>
      <c r="L101">
        <v>193</v>
      </c>
      <c r="M101" t="s">
        <v>320</v>
      </c>
      <c r="N101" t="s">
        <v>28</v>
      </c>
      <c r="O101">
        <v>2125557818</v>
      </c>
      <c r="P101" t="s">
        <v>29</v>
      </c>
      <c r="R101" t="s">
        <v>30</v>
      </c>
      <c r="S101" t="s">
        <v>31</v>
      </c>
      <c r="T101">
        <v>10022</v>
      </c>
      <c r="U101" t="s">
        <v>32</v>
      </c>
      <c r="V101" t="s">
        <v>33</v>
      </c>
      <c r="W101" t="s">
        <v>34</v>
      </c>
      <c r="X101" t="s">
        <v>35</v>
      </c>
      <c r="Y101" t="s">
        <v>51</v>
      </c>
    </row>
    <row r="102" spans="1:25" x14ac:dyDescent="0.25">
      <c r="A102">
        <v>10339</v>
      </c>
      <c r="B102">
        <v>39</v>
      </c>
      <c r="C102">
        <v>76.67</v>
      </c>
      <c r="D102">
        <v>3</v>
      </c>
      <c r="E102">
        <v>2990.13</v>
      </c>
      <c r="F102" s="1">
        <v>38314</v>
      </c>
      <c r="G102" t="s">
        <v>25</v>
      </c>
      <c r="H102">
        <v>4</v>
      </c>
      <c r="I102">
        <v>11</v>
      </c>
      <c r="J102">
        <v>2004</v>
      </c>
      <c r="K102" t="s">
        <v>26</v>
      </c>
      <c r="L102">
        <v>193</v>
      </c>
      <c r="M102" t="s">
        <v>320</v>
      </c>
      <c r="N102" t="s">
        <v>246</v>
      </c>
      <c r="O102" t="s">
        <v>247</v>
      </c>
      <c r="P102" t="s">
        <v>248</v>
      </c>
      <c r="R102" t="s">
        <v>249</v>
      </c>
      <c r="S102" t="s">
        <v>250</v>
      </c>
      <c r="T102" t="s">
        <v>251</v>
      </c>
      <c r="U102" t="s">
        <v>200</v>
      </c>
      <c r="V102" t="s">
        <v>200</v>
      </c>
      <c r="W102" t="s">
        <v>252</v>
      </c>
      <c r="X102" t="s">
        <v>253</v>
      </c>
      <c r="Y102" t="s">
        <v>36</v>
      </c>
    </row>
    <row r="103" spans="1:25" x14ac:dyDescent="0.25">
      <c r="A103">
        <v>10362</v>
      </c>
      <c r="B103">
        <v>22</v>
      </c>
      <c r="C103">
        <v>100</v>
      </c>
      <c r="D103">
        <v>4</v>
      </c>
      <c r="E103">
        <v>3664.1</v>
      </c>
      <c r="F103" s="1">
        <v>38357</v>
      </c>
      <c r="G103" t="s">
        <v>25</v>
      </c>
      <c r="H103">
        <v>1</v>
      </c>
      <c r="I103">
        <v>1</v>
      </c>
      <c r="J103">
        <v>2005</v>
      </c>
      <c r="K103" t="s">
        <v>26</v>
      </c>
      <c r="L103">
        <v>193</v>
      </c>
      <c r="M103" t="s">
        <v>320</v>
      </c>
      <c r="N103" t="s">
        <v>62</v>
      </c>
      <c r="O103">
        <v>6505556809</v>
      </c>
      <c r="P103" t="s">
        <v>63</v>
      </c>
      <c r="R103" t="s">
        <v>64</v>
      </c>
      <c r="S103" t="s">
        <v>55</v>
      </c>
      <c r="T103">
        <v>94217</v>
      </c>
      <c r="U103" t="s">
        <v>32</v>
      </c>
      <c r="V103" t="s">
        <v>33</v>
      </c>
      <c r="W103" t="s">
        <v>65</v>
      </c>
      <c r="X103" t="s">
        <v>66</v>
      </c>
      <c r="Y103" t="s">
        <v>51</v>
      </c>
    </row>
    <row r="104" spans="1:25" x14ac:dyDescent="0.25">
      <c r="A104">
        <v>10374</v>
      </c>
      <c r="B104">
        <v>22</v>
      </c>
      <c r="C104">
        <v>100</v>
      </c>
      <c r="D104">
        <v>1</v>
      </c>
      <c r="E104">
        <v>3834.38</v>
      </c>
      <c r="F104" s="1">
        <v>38385</v>
      </c>
      <c r="G104" t="s">
        <v>25</v>
      </c>
      <c r="H104">
        <v>1</v>
      </c>
      <c r="I104">
        <v>2</v>
      </c>
      <c r="J104">
        <v>2005</v>
      </c>
      <c r="K104" t="s">
        <v>26</v>
      </c>
      <c r="L104">
        <v>193</v>
      </c>
      <c r="M104" t="s">
        <v>320</v>
      </c>
      <c r="N104" t="s">
        <v>207</v>
      </c>
      <c r="O104" t="s">
        <v>208</v>
      </c>
      <c r="P104" t="s">
        <v>209</v>
      </c>
      <c r="R104" t="s">
        <v>210</v>
      </c>
      <c r="S104" t="s">
        <v>211</v>
      </c>
      <c r="T104">
        <v>4101</v>
      </c>
      <c r="U104" t="s">
        <v>95</v>
      </c>
      <c r="V104" t="s">
        <v>96</v>
      </c>
      <c r="W104" t="s">
        <v>212</v>
      </c>
      <c r="X104" t="s">
        <v>213</v>
      </c>
      <c r="Y104" t="s">
        <v>51</v>
      </c>
    </row>
    <row r="105" spans="1:25" x14ac:dyDescent="0.25">
      <c r="A105">
        <v>10388</v>
      </c>
      <c r="B105">
        <v>21</v>
      </c>
      <c r="C105">
        <v>86.77</v>
      </c>
      <c r="D105">
        <v>7</v>
      </c>
      <c r="E105">
        <v>1822.17</v>
      </c>
      <c r="F105" s="1">
        <v>38414</v>
      </c>
      <c r="G105" t="s">
        <v>25</v>
      </c>
      <c r="H105">
        <v>1</v>
      </c>
      <c r="I105">
        <v>3</v>
      </c>
      <c r="J105">
        <v>2005</v>
      </c>
      <c r="K105" t="s">
        <v>26</v>
      </c>
      <c r="L105">
        <v>193</v>
      </c>
      <c r="M105" t="s">
        <v>320</v>
      </c>
      <c r="N105" t="s">
        <v>160</v>
      </c>
      <c r="O105">
        <v>5085552555</v>
      </c>
      <c r="P105" t="s">
        <v>161</v>
      </c>
      <c r="R105" t="s">
        <v>162</v>
      </c>
      <c r="S105" t="s">
        <v>123</v>
      </c>
      <c r="T105">
        <v>50553</v>
      </c>
      <c r="U105" t="s">
        <v>32</v>
      </c>
      <c r="V105" t="s">
        <v>33</v>
      </c>
      <c r="W105" t="s">
        <v>163</v>
      </c>
      <c r="X105" t="s">
        <v>164</v>
      </c>
      <c r="Y105" t="s">
        <v>36</v>
      </c>
    </row>
    <row r="106" spans="1:25" x14ac:dyDescent="0.25">
      <c r="A106">
        <v>10403</v>
      </c>
      <c r="B106">
        <v>66</v>
      </c>
      <c r="C106">
        <v>100</v>
      </c>
      <c r="D106">
        <v>9</v>
      </c>
      <c r="E106">
        <v>11886.6</v>
      </c>
      <c r="F106" s="1">
        <v>38450</v>
      </c>
      <c r="G106" t="s">
        <v>25</v>
      </c>
      <c r="H106">
        <v>2</v>
      </c>
      <c r="I106">
        <v>4</v>
      </c>
      <c r="J106">
        <v>2005</v>
      </c>
      <c r="K106" t="s">
        <v>26</v>
      </c>
      <c r="L106">
        <v>193</v>
      </c>
      <c r="M106" t="s">
        <v>320</v>
      </c>
      <c r="N106" t="s">
        <v>165</v>
      </c>
      <c r="O106" t="s">
        <v>166</v>
      </c>
      <c r="P106" t="s">
        <v>167</v>
      </c>
      <c r="R106" t="s">
        <v>168</v>
      </c>
      <c r="T106" t="s">
        <v>169</v>
      </c>
      <c r="U106" t="s">
        <v>170</v>
      </c>
      <c r="V106" t="s">
        <v>42</v>
      </c>
      <c r="W106" t="s">
        <v>171</v>
      </c>
      <c r="X106" t="s">
        <v>172</v>
      </c>
      <c r="Y106" t="s">
        <v>151</v>
      </c>
    </row>
    <row r="107" spans="1:25" x14ac:dyDescent="0.25">
      <c r="A107">
        <v>10417</v>
      </c>
      <c r="B107">
        <v>56</v>
      </c>
      <c r="C107">
        <v>100</v>
      </c>
      <c r="D107">
        <v>4</v>
      </c>
      <c r="E107">
        <v>9218.16</v>
      </c>
      <c r="F107" s="1">
        <v>38485</v>
      </c>
      <c r="G107" t="s">
        <v>173</v>
      </c>
      <c r="H107">
        <v>2</v>
      </c>
      <c r="I107">
        <v>5</v>
      </c>
      <c r="J107">
        <v>2005</v>
      </c>
      <c r="K107" t="s">
        <v>26</v>
      </c>
      <c r="L107">
        <v>193</v>
      </c>
      <c r="M107" t="s">
        <v>320</v>
      </c>
      <c r="N107" t="s">
        <v>174</v>
      </c>
      <c r="O107" t="s">
        <v>175</v>
      </c>
      <c r="P107" t="s">
        <v>176</v>
      </c>
      <c r="R107" t="s">
        <v>177</v>
      </c>
      <c r="T107">
        <v>28034</v>
      </c>
      <c r="U107" t="s">
        <v>178</v>
      </c>
      <c r="V107" t="s">
        <v>42</v>
      </c>
      <c r="W107" t="s">
        <v>179</v>
      </c>
      <c r="X107" t="s">
        <v>180</v>
      </c>
      <c r="Y107" t="s">
        <v>151</v>
      </c>
    </row>
    <row r="108" spans="1:25" x14ac:dyDescent="0.25">
      <c r="A108">
        <v>10105</v>
      </c>
      <c r="B108">
        <v>50</v>
      </c>
      <c r="C108">
        <v>100</v>
      </c>
      <c r="D108">
        <v>2</v>
      </c>
      <c r="E108">
        <v>7208</v>
      </c>
      <c r="F108" s="1">
        <v>37663</v>
      </c>
      <c r="G108" t="s">
        <v>25</v>
      </c>
      <c r="H108">
        <v>1</v>
      </c>
      <c r="I108">
        <v>2</v>
      </c>
      <c r="J108">
        <v>2003</v>
      </c>
      <c r="K108" t="s">
        <v>181</v>
      </c>
      <c r="L108">
        <v>136</v>
      </c>
      <c r="M108" t="s">
        <v>321</v>
      </c>
      <c r="N108" t="s">
        <v>322</v>
      </c>
      <c r="O108" t="s">
        <v>323</v>
      </c>
      <c r="P108" t="s">
        <v>324</v>
      </c>
      <c r="R108" t="s">
        <v>325</v>
      </c>
      <c r="T108">
        <v>1734</v>
      </c>
      <c r="U108" t="s">
        <v>326</v>
      </c>
      <c r="V108" t="s">
        <v>42</v>
      </c>
      <c r="W108" t="s">
        <v>327</v>
      </c>
      <c r="X108" t="s">
        <v>328</v>
      </c>
      <c r="Y108" t="s">
        <v>151</v>
      </c>
    </row>
    <row r="109" spans="1:25" x14ac:dyDescent="0.25">
      <c r="A109">
        <v>10119</v>
      </c>
      <c r="B109">
        <v>46</v>
      </c>
      <c r="C109">
        <v>100</v>
      </c>
      <c r="D109">
        <v>11</v>
      </c>
      <c r="E109">
        <v>5004.8</v>
      </c>
      <c r="F109" s="1">
        <v>37739</v>
      </c>
      <c r="G109" t="s">
        <v>25</v>
      </c>
      <c r="H109">
        <v>2</v>
      </c>
      <c r="I109">
        <v>4</v>
      </c>
      <c r="J109">
        <v>2003</v>
      </c>
      <c r="K109" t="s">
        <v>181</v>
      </c>
      <c r="L109">
        <v>136</v>
      </c>
      <c r="M109" t="s">
        <v>321</v>
      </c>
      <c r="N109" t="s">
        <v>144</v>
      </c>
      <c r="O109" t="s">
        <v>145</v>
      </c>
      <c r="P109" t="s">
        <v>146</v>
      </c>
      <c r="R109" t="s">
        <v>147</v>
      </c>
      <c r="T109">
        <v>5020</v>
      </c>
      <c r="U109" t="s">
        <v>148</v>
      </c>
      <c r="V109" t="s">
        <v>42</v>
      </c>
      <c r="W109" t="s">
        <v>149</v>
      </c>
      <c r="X109" t="s">
        <v>150</v>
      </c>
      <c r="Y109" t="s">
        <v>51</v>
      </c>
    </row>
    <row r="110" spans="1:25" x14ac:dyDescent="0.25">
      <c r="A110">
        <v>10129</v>
      </c>
      <c r="B110">
        <v>33</v>
      </c>
      <c r="C110">
        <v>100</v>
      </c>
      <c r="D110">
        <v>2</v>
      </c>
      <c r="E110">
        <v>4398.24</v>
      </c>
      <c r="F110" s="1">
        <v>37784</v>
      </c>
      <c r="G110" t="s">
        <v>25</v>
      </c>
      <c r="H110">
        <v>2</v>
      </c>
      <c r="I110">
        <v>6</v>
      </c>
      <c r="J110">
        <v>2003</v>
      </c>
      <c r="K110" t="s">
        <v>181</v>
      </c>
      <c r="L110">
        <v>136</v>
      </c>
      <c r="M110" t="s">
        <v>321</v>
      </c>
      <c r="N110" t="s">
        <v>329</v>
      </c>
      <c r="O110" t="s">
        <v>330</v>
      </c>
      <c r="P110" t="s">
        <v>331</v>
      </c>
      <c r="R110" t="s">
        <v>332</v>
      </c>
      <c r="T110" t="s">
        <v>333</v>
      </c>
      <c r="U110" t="s">
        <v>170</v>
      </c>
      <c r="V110" t="s">
        <v>42</v>
      </c>
      <c r="W110" t="s">
        <v>61</v>
      </c>
      <c r="X110" t="s">
        <v>334</v>
      </c>
      <c r="Y110" t="s">
        <v>51</v>
      </c>
    </row>
    <row r="111" spans="1:25" x14ac:dyDescent="0.25">
      <c r="A111">
        <v>10143</v>
      </c>
      <c r="B111">
        <v>49</v>
      </c>
      <c r="C111">
        <v>100</v>
      </c>
      <c r="D111">
        <v>15</v>
      </c>
      <c r="E111">
        <v>5597.76</v>
      </c>
      <c r="F111" s="1">
        <v>37843</v>
      </c>
      <c r="G111" t="s">
        <v>25</v>
      </c>
      <c r="H111">
        <v>3</v>
      </c>
      <c r="I111">
        <v>8</v>
      </c>
      <c r="J111">
        <v>2003</v>
      </c>
      <c r="K111" t="s">
        <v>181</v>
      </c>
      <c r="L111">
        <v>136</v>
      </c>
      <c r="M111" t="s">
        <v>321</v>
      </c>
      <c r="N111" t="s">
        <v>335</v>
      </c>
      <c r="O111">
        <v>5085559555</v>
      </c>
      <c r="P111" t="s">
        <v>336</v>
      </c>
      <c r="R111" t="s">
        <v>162</v>
      </c>
      <c r="S111" t="s">
        <v>123</v>
      </c>
      <c r="T111">
        <v>50553</v>
      </c>
      <c r="U111" t="s">
        <v>32</v>
      </c>
      <c r="V111" t="s">
        <v>33</v>
      </c>
      <c r="W111" t="s">
        <v>337</v>
      </c>
      <c r="X111" t="s">
        <v>338</v>
      </c>
      <c r="Y111" t="s">
        <v>51</v>
      </c>
    </row>
    <row r="112" spans="1:25" x14ac:dyDescent="0.25">
      <c r="A112">
        <v>10155</v>
      </c>
      <c r="B112">
        <v>32</v>
      </c>
      <c r="C112">
        <v>100</v>
      </c>
      <c r="D112">
        <v>13</v>
      </c>
      <c r="E112">
        <v>4526.08</v>
      </c>
      <c r="F112" s="1">
        <v>37900</v>
      </c>
      <c r="G112" t="s">
        <v>25</v>
      </c>
      <c r="H112">
        <v>4</v>
      </c>
      <c r="I112">
        <v>10</v>
      </c>
      <c r="J112">
        <v>2003</v>
      </c>
      <c r="K112" t="s">
        <v>181</v>
      </c>
      <c r="L112">
        <v>136</v>
      </c>
      <c r="M112" t="s">
        <v>321</v>
      </c>
      <c r="N112" t="s">
        <v>126</v>
      </c>
      <c r="O112" t="s">
        <v>127</v>
      </c>
      <c r="P112" t="s">
        <v>128</v>
      </c>
      <c r="R112" t="s">
        <v>129</v>
      </c>
      <c r="T112">
        <v>21240</v>
      </c>
      <c r="U112" t="s">
        <v>130</v>
      </c>
      <c r="V112" t="s">
        <v>42</v>
      </c>
      <c r="W112" t="s">
        <v>131</v>
      </c>
      <c r="X112" t="s">
        <v>132</v>
      </c>
      <c r="Y112" t="s">
        <v>51</v>
      </c>
    </row>
    <row r="113" spans="1:25" x14ac:dyDescent="0.25">
      <c r="A113">
        <v>10167</v>
      </c>
      <c r="B113">
        <v>44</v>
      </c>
      <c r="C113">
        <v>100</v>
      </c>
      <c r="D113">
        <v>9</v>
      </c>
      <c r="E113">
        <v>5924.16</v>
      </c>
      <c r="F113" s="1">
        <v>37917</v>
      </c>
      <c r="G113" t="s">
        <v>339</v>
      </c>
      <c r="H113">
        <v>4</v>
      </c>
      <c r="I113">
        <v>10</v>
      </c>
      <c r="J113">
        <v>2003</v>
      </c>
      <c r="K113" t="s">
        <v>181</v>
      </c>
      <c r="L113">
        <v>136</v>
      </c>
      <c r="M113" t="s">
        <v>321</v>
      </c>
      <c r="N113" t="s">
        <v>261</v>
      </c>
      <c r="O113" t="s">
        <v>262</v>
      </c>
      <c r="P113" t="s">
        <v>263</v>
      </c>
      <c r="R113" t="s">
        <v>264</v>
      </c>
      <c r="T113" t="s">
        <v>265</v>
      </c>
      <c r="U113" t="s">
        <v>188</v>
      </c>
      <c r="V113" t="s">
        <v>42</v>
      </c>
      <c r="W113" t="s">
        <v>266</v>
      </c>
      <c r="X113" t="s">
        <v>206</v>
      </c>
      <c r="Y113" t="s">
        <v>51</v>
      </c>
    </row>
    <row r="114" spans="1:25" x14ac:dyDescent="0.25">
      <c r="A114">
        <v>10178</v>
      </c>
      <c r="B114">
        <v>24</v>
      </c>
      <c r="C114">
        <v>100</v>
      </c>
      <c r="D114">
        <v>12</v>
      </c>
      <c r="E114">
        <v>3492.48</v>
      </c>
      <c r="F114" s="1">
        <v>37933</v>
      </c>
      <c r="G114" t="s">
        <v>25</v>
      </c>
      <c r="H114">
        <v>4</v>
      </c>
      <c r="I114">
        <v>11</v>
      </c>
      <c r="J114">
        <v>2003</v>
      </c>
      <c r="K114" t="s">
        <v>181</v>
      </c>
      <c r="L114">
        <v>136</v>
      </c>
      <c r="M114" t="s">
        <v>321</v>
      </c>
      <c r="N114" t="s">
        <v>340</v>
      </c>
      <c r="O114" t="s">
        <v>341</v>
      </c>
      <c r="P114" t="s">
        <v>342</v>
      </c>
      <c r="R114" t="s">
        <v>343</v>
      </c>
      <c r="T114">
        <v>31000</v>
      </c>
      <c r="U114" t="s">
        <v>41</v>
      </c>
      <c r="V114" t="s">
        <v>42</v>
      </c>
      <c r="W114" t="s">
        <v>344</v>
      </c>
      <c r="X114" t="s">
        <v>345</v>
      </c>
      <c r="Y114" t="s">
        <v>51</v>
      </c>
    </row>
    <row r="115" spans="1:25" x14ac:dyDescent="0.25">
      <c r="A115">
        <v>10186</v>
      </c>
      <c r="B115">
        <v>26</v>
      </c>
      <c r="C115">
        <v>100</v>
      </c>
      <c r="D115">
        <v>9</v>
      </c>
      <c r="E115">
        <v>3854.24</v>
      </c>
      <c r="F115" s="1">
        <v>37939</v>
      </c>
      <c r="G115" t="s">
        <v>25</v>
      </c>
      <c r="H115">
        <v>4</v>
      </c>
      <c r="I115">
        <v>11</v>
      </c>
      <c r="J115">
        <v>2003</v>
      </c>
      <c r="K115" t="s">
        <v>181</v>
      </c>
      <c r="L115">
        <v>136</v>
      </c>
      <c r="M115" t="s">
        <v>321</v>
      </c>
      <c r="N115" t="s">
        <v>346</v>
      </c>
      <c r="O115" t="s">
        <v>347</v>
      </c>
      <c r="P115" t="s">
        <v>348</v>
      </c>
      <c r="R115" t="s">
        <v>332</v>
      </c>
      <c r="T115" t="s">
        <v>349</v>
      </c>
      <c r="U115" t="s">
        <v>170</v>
      </c>
      <c r="V115" t="s">
        <v>42</v>
      </c>
      <c r="W115" t="s">
        <v>350</v>
      </c>
      <c r="X115" t="s">
        <v>351</v>
      </c>
      <c r="Y115" t="s">
        <v>51</v>
      </c>
    </row>
    <row r="116" spans="1:25" x14ac:dyDescent="0.25">
      <c r="A116">
        <v>10197</v>
      </c>
      <c r="B116">
        <v>45</v>
      </c>
      <c r="C116">
        <v>100</v>
      </c>
      <c r="D116">
        <v>6</v>
      </c>
      <c r="E116">
        <v>5324.4</v>
      </c>
      <c r="F116" s="1">
        <v>37951</v>
      </c>
      <c r="G116" t="s">
        <v>25</v>
      </c>
      <c r="H116">
        <v>4</v>
      </c>
      <c r="I116">
        <v>11</v>
      </c>
      <c r="J116">
        <v>2003</v>
      </c>
      <c r="K116" t="s">
        <v>181</v>
      </c>
      <c r="L116">
        <v>136</v>
      </c>
      <c r="M116" t="s">
        <v>321</v>
      </c>
      <c r="N116" t="s">
        <v>352</v>
      </c>
      <c r="O116" t="s">
        <v>353</v>
      </c>
      <c r="P116" t="s">
        <v>354</v>
      </c>
      <c r="R116" t="s">
        <v>355</v>
      </c>
      <c r="T116">
        <v>8022</v>
      </c>
      <c r="U116" t="s">
        <v>178</v>
      </c>
      <c r="V116" t="s">
        <v>42</v>
      </c>
      <c r="W116" t="s">
        <v>356</v>
      </c>
      <c r="X116" t="s">
        <v>357</v>
      </c>
      <c r="Y116" t="s">
        <v>51</v>
      </c>
    </row>
    <row r="117" spans="1:25" x14ac:dyDescent="0.25">
      <c r="A117">
        <v>10209</v>
      </c>
      <c r="B117">
        <v>39</v>
      </c>
      <c r="C117">
        <v>100</v>
      </c>
      <c r="D117">
        <v>8</v>
      </c>
      <c r="E117">
        <v>5197.92</v>
      </c>
      <c r="F117" s="1">
        <v>37995</v>
      </c>
      <c r="G117" t="s">
        <v>25</v>
      </c>
      <c r="H117">
        <v>1</v>
      </c>
      <c r="I117">
        <v>1</v>
      </c>
      <c r="J117">
        <v>2004</v>
      </c>
      <c r="K117" t="s">
        <v>181</v>
      </c>
      <c r="L117">
        <v>136</v>
      </c>
      <c r="M117" t="s">
        <v>321</v>
      </c>
      <c r="N117" t="s">
        <v>358</v>
      </c>
      <c r="O117">
        <v>2155554369</v>
      </c>
      <c r="P117" t="s">
        <v>359</v>
      </c>
      <c r="R117" t="s">
        <v>360</v>
      </c>
      <c r="S117" t="s">
        <v>55</v>
      </c>
      <c r="U117" t="s">
        <v>32</v>
      </c>
      <c r="V117" t="s">
        <v>33</v>
      </c>
      <c r="W117" t="s">
        <v>361</v>
      </c>
      <c r="X117" t="s">
        <v>103</v>
      </c>
      <c r="Y117" t="s">
        <v>51</v>
      </c>
    </row>
    <row r="118" spans="1:25" x14ac:dyDescent="0.25">
      <c r="A118">
        <v>10222</v>
      </c>
      <c r="B118">
        <v>49</v>
      </c>
      <c r="C118">
        <v>100</v>
      </c>
      <c r="D118">
        <v>12</v>
      </c>
      <c r="E118">
        <v>5997.6</v>
      </c>
      <c r="F118" s="1">
        <v>38036</v>
      </c>
      <c r="G118" t="s">
        <v>25</v>
      </c>
      <c r="H118">
        <v>1</v>
      </c>
      <c r="I118">
        <v>2</v>
      </c>
      <c r="J118">
        <v>2004</v>
      </c>
      <c r="K118" t="s">
        <v>181</v>
      </c>
      <c r="L118">
        <v>136</v>
      </c>
      <c r="M118" t="s">
        <v>321</v>
      </c>
      <c r="N118" t="s">
        <v>362</v>
      </c>
      <c r="O118">
        <v>7605558146</v>
      </c>
      <c r="P118" t="s">
        <v>363</v>
      </c>
      <c r="R118" t="s">
        <v>364</v>
      </c>
      <c r="S118" t="s">
        <v>55</v>
      </c>
      <c r="T118">
        <v>91217</v>
      </c>
      <c r="U118" t="s">
        <v>32</v>
      </c>
      <c r="V118" t="s">
        <v>33</v>
      </c>
      <c r="W118" t="s">
        <v>237</v>
      </c>
      <c r="X118" t="s">
        <v>276</v>
      </c>
      <c r="Y118" t="s">
        <v>51</v>
      </c>
    </row>
    <row r="119" spans="1:25" x14ac:dyDescent="0.25">
      <c r="A119">
        <v>10248</v>
      </c>
      <c r="B119">
        <v>20</v>
      </c>
      <c r="C119">
        <v>100</v>
      </c>
      <c r="D119">
        <v>3</v>
      </c>
      <c r="E119">
        <v>2910.4</v>
      </c>
      <c r="F119" s="1">
        <v>38114</v>
      </c>
      <c r="G119" t="s">
        <v>339</v>
      </c>
      <c r="H119">
        <v>2</v>
      </c>
      <c r="I119">
        <v>5</v>
      </c>
      <c r="J119">
        <v>2004</v>
      </c>
      <c r="K119" t="s">
        <v>181</v>
      </c>
      <c r="L119">
        <v>136</v>
      </c>
      <c r="M119" t="s">
        <v>321</v>
      </c>
      <c r="N119" t="s">
        <v>28</v>
      </c>
      <c r="O119">
        <v>2125557818</v>
      </c>
      <c r="P119" t="s">
        <v>29</v>
      </c>
      <c r="R119" t="s">
        <v>30</v>
      </c>
      <c r="S119" t="s">
        <v>31</v>
      </c>
      <c r="T119">
        <v>10022</v>
      </c>
      <c r="U119" t="s">
        <v>32</v>
      </c>
      <c r="V119" t="s">
        <v>33</v>
      </c>
      <c r="W119" t="s">
        <v>34</v>
      </c>
      <c r="X119" t="s">
        <v>35</v>
      </c>
      <c r="Y119" t="s">
        <v>36</v>
      </c>
    </row>
    <row r="120" spans="1:25" x14ac:dyDescent="0.25">
      <c r="A120">
        <v>10261</v>
      </c>
      <c r="B120">
        <v>27</v>
      </c>
      <c r="C120">
        <v>100</v>
      </c>
      <c r="D120">
        <v>1</v>
      </c>
      <c r="E120">
        <v>3378.24</v>
      </c>
      <c r="F120" s="1">
        <v>38155</v>
      </c>
      <c r="G120" t="s">
        <v>25</v>
      </c>
      <c r="H120">
        <v>2</v>
      </c>
      <c r="I120">
        <v>6</v>
      </c>
      <c r="J120">
        <v>2004</v>
      </c>
      <c r="K120" t="s">
        <v>181</v>
      </c>
      <c r="L120">
        <v>136</v>
      </c>
      <c r="M120" t="s">
        <v>321</v>
      </c>
      <c r="N120" t="s">
        <v>292</v>
      </c>
      <c r="O120" t="s">
        <v>293</v>
      </c>
      <c r="P120" t="s">
        <v>294</v>
      </c>
      <c r="R120" t="s">
        <v>295</v>
      </c>
      <c r="S120" t="s">
        <v>296</v>
      </c>
      <c r="T120" t="s">
        <v>297</v>
      </c>
      <c r="U120" t="s">
        <v>231</v>
      </c>
      <c r="V120" t="s">
        <v>33</v>
      </c>
      <c r="W120" t="s">
        <v>298</v>
      </c>
      <c r="X120" t="s">
        <v>299</v>
      </c>
      <c r="Y120" t="s">
        <v>51</v>
      </c>
    </row>
    <row r="121" spans="1:25" x14ac:dyDescent="0.25">
      <c r="A121">
        <v>10273</v>
      </c>
      <c r="B121">
        <v>30</v>
      </c>
      <c r="C121">
        <v>100</v>
      </c>
      <c r="D121">
        <v>4</v>
      </c>
      <c r="E121">
        <v>3508.8</v>
      </c>
      <c r="F121" s="1">
        <v>38189</v>
      </c>
      <c r="G121" t="s">
        <v>25</v>
      </c>
      <c r="H121">
        <v>3</v>
      </c>
      <c r="I121">
        <v>7</v>
      </c>
      <c r="J121">
        <v>2004</v>
      </c>
      <c r="K121" t="s">
        <v>181</v>
      </c>
      <c r="L121">
        <v>136</v>
      </c>
      <c r="M121" t="s">
        <v>321</v>
      </c>
      <c r="N121" t="s">
        <v>365</v>
      </c>
      <c r="O121" t="s">
        <v>366</v>
      </c>
      <c r="P121" t="s">
        <v>367</v>
      </c>
      <c r="R121" t="s">
        <v>368</v>
      </c>
      <c r="T121" t="s">
        <v>369</v>
      </c>
      <c r="U121" t="s">
        <v>370</v>
      </c>
      <c r="V121" t="s">
        <v>42</v>
      </c>
      <c r="W121" t="s">
        <v>371</v>
      </c>
      <c r="X121" t="s">
        <v>372</v>
      </c>
      <c r="Y121" t="s">
        <v>51</v>
      </c>
    </row>
    <row r="122" spans="1:25" x14ac:dyDescent="0.25">
      <c r="A122">
        <v>10283</v>
      </c>
      <c r="B122">
        <v>25</v>
      </c>
      <c r="C122">
        <v>100</v>
      </c>
      <c r="D122">
        <v>6</v>
      </c>
      <c r="E122">
        <v>2992</v>
      </c>
      <c r="F122" s="1">
        <v>38219</v>
      </c>
      <c r="G122" t="s">
        <v>25</v>
      </c>
      <c r="H122">
        <v>3</v>
      </c>
      <c r="I122">
        <v>8</v>
      </c>
      <c r="J122">
        <v>2004</v>
      </c>
      <c r="K122" t="s">
        <v>181</v>
      </c>
      <c r="L122">
        <v>136</v>
      </c>
      <c r="M122" t="s">
        <v>321</v>
      </c>
      <c r="N122" t="s">
        <v>373</v>
      </c>
      <c r="O122" t="s">
        <v>374</v>
      </c>
      <c r="P122" t="s">
        <v>375</v>
      </c>
      <c r="R122" t="s">
        <v>376</v>
      </c>
      <c r="S122" t="s">
        <v>229</v>
      </c>
      <c r="T122" t="s">
        <v>377</v>
      </c>
      <c r="U122" t="s">
        <v>231</v>
      </c>
      <c r="V122" t="s">
        <v>33</v>
      </c>
      <c r="W122" t="s">
        <v>378</v>
      </c>
      <c r="X122" t="s">
        <v>172</v>
      </c>
      <c r="Y122" t="s">
        <v>36</v>
      </c>
    </row>
    <row r="123" spans="1:25" x14ac:dyDescent="0.25">
      <c r="A123">
        <v>10295</v>
      </c>
      <c r="B123">
        <v>24</v>
      </c>
      <c r="C123">
        <v>100</v>
      </c>
      <c r="D123">
        <v>1</v>
      </c>
      <c r="E123">
        <v>3427.2</v>
      </c>
      <c r="F123" s="1">
        <v>38240</v>
      </c>
      <c r="G123" t="s">
        <v>25</v>
      </c>
      <c r="H123">
        <v>3</v>
      </c>
      <c r="I123">
        <v>9</v>
      </c>
      <c r="J123">
        <v>2004</v>
      </c>
      <c r="K123" t="s">
        <v>181</v>
      </c>
      <c r="L123">
        <v>136</v>
      </c>
      <c r="M123" t="s">
        <v>321</v>
      </c>
      <c r="N123" t="s">
        <v>379</v>
      </c>
      <c r="O123">
        <v>6175559555</v>
      </c>
      <c r="P123" t="s">
        <v>380</v>
      </c>
      <c r="R123" t="s">
        <v>381</v>
      </c>
      <c r="S123" t="s">
        <v>123</v>
      </c>
      <c r="T123">
        <v>51003</v>
      </c>
      <c r="U123" t="s">
        <v>32</v>
      </c>
      <c r="V123" t="s">
        <v>33</v>
      </c>
      <c r="W123" t="s">
        <v>382</v>
      </c>
      <c r="X123" t="s">
        <v>66</v>
      </c>
      <c r="Y123" t="s">
        <v>51</v>
      </c>
    </row>
    <row r="124" spans="1:25" x14ac:dyDescent="0.25">
      <c r="A124">
        <v>10307</v>
      </c>
      <c r="B124">
        <v>22</v>
      </c>
      <c r="C124">
        <v>100</v>
      </c>
      <c r="D124">
        <v>9</v>
      </c>
      <c r="E124">
        <v>2692.8</v>
      </c>
      <c r="F124" s="1">
        <v>38274</v>
      </c>
      <c r="G124" t="s">
        <v>25</v>
      </c>
      <c r="H124">
        <v>4</v>
      </c>
      <c r="I124">
        <v>10</v>
      </c>
      <c r="J124">
        <v>2004</v>
      </c>
      <c r="K124" t="s">
        <v>181</v>
      </c>
      <c r="L124">
        <v>136</v>
      </c>
      <c r="M124" t="s">
        <v>321</v>
      </c>
      <c r="N124" t="s">
        <v>214</v>
      </c>
      <c r="O124">
        <v>2155554695</v>
      </c>
      <c r="P124" t="s">
        <v>215</v>
      </c>
      <c r="R124" t="s">
        <v>216</v>
      </c>
      <c r="S124" t="s">
        <v>142</v>
      </c>
      <c r="T124">
        <v>71270</v>
      </c>
      <c r="U124" t="s">
        <v>32</v>
      </c>
      <c r="V124" t="s">
        <v>33</v>
      </c>
      <c r="W124" t="s">
        <v>217</v>
      </c>
      <c r="X124" t="s">
        <v>218</v>
      </c>
      <c r="Y124" t="s">
        <v>36</v>
      </c>
    </row>
    <row r="125" spans="1:25" x14ac:dyDescent="0.25">
      <c r="A125">
        <v>10316</v>
      </c>
      <c r="B125">
        <v>33</v>
      </c>
      <c r="C125">
        <v>100</v>
      </c>
      <c r="D125">
        <v>17</v>
      </c>
      <c r="E125">
        <v>4128.96</v>
      </c>
      <c r="F125" s="1">
        <v>38292</v>
      </c>
      <c r="G125" t="s">
        <v>25</v>
      </c>
      <c r="H125">
        <v>4</v>
      </c>
      <c r="I125">
        <v>11</v>
      </c>
      <c r="J125">
        <v>2004</v>
      </c>
      <c r="K125" t="s">
        <v>181</v>
      </c>
      <c r="L125">
        <v>136</v>
      </c>
      <c r="M125" t="s">
        <v>321</v>
      </c>
      <c r="N125" t="s">
        <v>383</v>
      </c>
      <c r="O125" t="s">
        <v>384</v>
      </c>
      <c r="P125" t="s">
        <v>385</v>
      </c>
      <c r="R125" t="s">
        <v>386</v>
      </c>
      <c r="S125" t="s">
        <v>387</v>
      </c>
      <c r="T125" t="s">
        <v>388</v>
      </c>
      <c r="U125" t="s">
        <v>170</v>
      </c>
      <c r="V125" t="s">
        <v>42</v>
      </c>
      <c r="W125" t="s">
        <v>389</v>
      </c>
      <c r="X125" t="s">
        <v>390</v>
      </c>
      <c r="Y125" t="s">
        <v>51</v>
      </c>
    </row>
    <row r="126" spans="1:25" x14ac:dyDescent="0.25">
      <c r="A126">
        <v>10325</v>
      </c>
      <c r="B126">
        <v>47</v>
      </c>
      <c r="C126">
        <v>64.930000000000007</v>
      </c>
      <c r="D126">
        <v>6</v>
      </c>
      <c r="E126">
        <v>3051.71</v>
      </c>
      <c r="F126" s="1">
        <v>38296</v>
      </c>
      <c r="G126" t="s">
        <v>25</v>
      </c>
      <c r="H126">
        <v>4</v>
      </c>
      <c r="I126">
        <v>11</v>
      </c>
      <c r="J126">
        <v>2004</v>
      </c>
      <c r="K126" t="s">
        <v>181</v>
      </c>
      <c r="L126">
        <v>136</v>
      </c>
      <c r="M126" t="s">
        <v>321</v>
      </c>
      <c r="N126" t="s">
        <v>133</v>
      </c>
      <c r="O126" t="s">
        <v>134</v>
      </c>
      <c r="P126" t="s">
        <v>135</v>
      </c>
      <c r="R126" t="s">
        <v>136</v>
      </c>
      <c r="T126">
        <v>4110</v>
      </c>
      <c r="U126" t="s">
        <v>78</v>
      </c>
      <c r="V126" t="s">
        <v>42</v>
      </c>
      <c r="W126" t="s">
        <v>137</v>
      </c>
      <c r="X126" t="s">
        <v>138</v>
      </c>
      <c r="Y126" t="s">
        <v>51</v>
      </c>
    </row>
    <row r="127" spans="1:25" x14ac:dyDescent="0.25">
      <c r="A127">
        <v>10337</v>
      </c>
      <c r="B127">
        <v>25</v>
      </c>
      <c r="C127">
        <v>48.05</v>
      </c>
      <c r="D127">
        <v>8</v>
      </c>
      <c r="E127">
        <v>1201.25</v>
      </c>
      <c r="F127" s="1">
        <v>38312</v>
      </c>
      <c r="G127" t="s">
        <v>25</v>
      </c>
      <c r="H127">
        <v>4</v>
      </c>
      <c r="I127">
        <v>11</v>
      </c>
      <c r="J127">
        <v>2004</v>
      </c>
      <c r="K127" t="s">
        <v>181</v>
      </c>
      <c r="L127">
        <v>136</v>
      </c>
      <c r="M127" t="s">
        <v>321</v>
      </c>
      <c r="N127" t="s">
        <v>203</v>
      </c>
      <c r="O127">
        <v>2125558493</v>
      </c>
      <c r="P127" t="s">
        <v>204</v>
      </c>
      <c r="Q127" t="s">
        <v>205</v>
      </c>
      <c r="R127" t="s">
        <v>30</v>
      </c>
      <c r="S127" t="s">
        <v>31</v>
      </c>
      <c r="T127">
        <v>10022</v>
      </c>
      <c r="U127" t="s">
        <v>32</v>
      </c>
      <c r="V127" t="s">
        <v>33</v>
      </c>
      <c r="W127" t="s">
        <v>124</v>
      </c>
      <c r="X127" t="s">
        <v>206</v>
      </c>
      <c r="Y127" t="s">
        <v>36</v>
      </c>
    </row>
    <row r="128" spans="1:25" x14ac:dyDescent="0.25">
      <c r="A128">
        <v>10350</v>
      </c>
      <c r="B128">
        <v>26</v>
      </c>
      <c r="C128">
        <v>75.47</v>
      </c>
      <c r="D128">
        <v>5</v>
      </c>
      <c r="E128">
        <v>1962.22</v>
      </c>
      <c r="F128" s="1">
        <v>38323</v>
      </c>
      <c r="G128" t="s">
        <v>25</v>
      </c>
      <c r="H128">
        <v>4</v>
      </c>
      <c r="I128">
        <v>12</v>
      </c>
      <c r="J128">
        <v>2004</v>
      </c>
      <c r="K128" t="s">
        <v>181</v>
      </c>
      <c r="L128">
        <v>136</v>
      </c>
      <c r="M128" t="s">
        <v>321</v>
      </c>
      <c r="N128" t="s">
        <v>174</v>
      </c>
      <c r="O128" t="s">
        <v>175</v>
      </c>
      <c r="P128" t="s">
        <v>176</v>
      </c>
      <c r="R128" t="s">
        <v>177</v>
      </c>
      <c r="T128">
        <v>28034</v>
      </c>
      <c r="U128" t="s">
        <v>178</v>
      </c>
      <c r="V128" t="s">
        <v>42</v>
      </c>
      <c r="W128" t="s">
        <v>179</v>
      </c>
      <c r="X128" t="s">
        <v>180</v>
      </c>
      <c r="Y128" t="s">
        <v>36</v>
      </c>
    </row>
    <row r="129" spans="1:25" x14ac:dyDescent="0.25">
      <c r="A129">
        <v>10359</v>
      </c>
      <c r="B129">
        <v>48</v>
      </c>
      <c r="C129">
        <v>54.68</v>
      </c>
      <c r="D129">
        <v>6</v>
      </c>
      <c r="E129">
        <v>2624.64</v>
      </c>
      <c r="F129" s="1">
        <v>38336</v>
      </c>
      <c r="G129" t="s">
        <v>25</v>
      </c>
      <c r="H129">
        <v>4</v>
      </c>
      <c r="I129">
        <v>12</v>
      </c>
      <c r="J129">
        <v>2004</v>
      </c>
      <c r="K129" t="s">
        <v>181</v>
      </c>
      <c r="L129">
        <v>136</v>
      </c>
      <c r="M129" t="s">
        <v>321</v>
      </c>
      <c r="N129" t="s">
        <v>37</v>
      </c>
      <c r="O129" t="s">
        <v>38</v>
      </c>
      <c r="P129" t="s">
        <v>39</v>
      </c>
      <c r="R129" t="s">
        <v>40</v>
      </c>
      <c r="T129">
        <v>51100</v>
      </c>
      <c r="U129" t="s">
        <v>41</v>
      </c>
      <c r="V129" t="s">
        <v>42</v>
      </c>
      <c r="W129" t="s">
        <v>43</v>
      </c>
      <c r="X129" t="s">
        <v>44</v>
      </c>
      <c r="Y129" t="s">
        <v>36</v>
      </c>
    </row>
    <row r="130" spans="1:25" x14ac:dyDescent="0.25">
      <c r="A130">
        <v>10373</v>
      </c>
      <c r="B130">
        <v>39</v>
      </c>
      <c r="C130">
        <v>100</v>
      </c>
      <c r="D130">
        <v>3</v>
      </c>
      <c r="E130">
        <v>4046.25</v>
      </c>
      <c r="F130" s="1">
        <v>38383</v>
      </c>
      <c r="G130" t="s">
        <v>25</v>
      </c>
      <c r="H130">
        <v>1</v>
      </c>
      <c r="I130">
        <v>1</v>
      </c>
      <c r="J130">
        <v>2005</v>
      </c>
      <c r="K130" t="s">
        <v>181</v>
      </c>
      <c r="L130">
        <v>136</v>
      </c>
      <c r="M130" t="s">
        <v>321</v>
      </c>
      <c r="N130" t="s">
        <v>391</v>
      </c>
      <c r="O130" t="s">
        <v>392</v>
      </c>
      <c r="P130" t="s">
        <v>393</v>
      </c>
      <c r="R130" t="s">
        <v>394</v>
      </c>
      <c r="T130">
        <v>90110</v>
      </c>
      <c r="U130" t="s">
        <v>130</v>
      </c>
      <c r="V130" t="s">
        <v>42</v>
      </c>
      <c r="W130" t="s">
        <v>395</v>
      </c>
      <c r="X130" t="s">
        <v>396</v>
      </c>
      <c r="Y130" t="s">
        <v>51</v>
      </c>
    </row>
    <row r="131" spans="1:25" x14ac:dyDescent="0.25">
      <c r="A131">
        <v>10384</v>
      </c>
      <c r="B131">
        <v>34</v>
      </c>
      <c r="C131">
        <v>100</v>
      </c>
      <c r="D131">
        <v>4</v>
      </c>
      <c r="E131">
        <v>4846.7</v>
      </c>
      <c r="F131" s="1">
        <v>38406</v>
      </c>
      <c r="G131" t="s">
        <v>25</v>
      </c>
      <c r="H131">
        <v>1</v>
      </c>
      <c r="I131">
        <v>2</v>
      </c>
      <c r="J131">
        <v>2005</v>
      </c>
      <c r="K131" t="s">
        <v>181</v>
      </c>
      <c r="L131">
        <v>136</v>
      </c>
      <c r="M131" t="s">
        <v>321</v>
      </c>
      <c r="N131" t="s">
        <v>58</v>
      </c>
      <c r="O131">
        <v>6505551386</v>
      </c>
      <c r="P131" t="s">
        <v>59</v>
      </c>
      <c r="R131" t="s">
        <v>60</v>
      </c>
      <c r="S131" t="s">
        <v>55</v>
      </c>
      <c r="U131" t="s">
        <v>32</v>
      </c>
      <c r="V131" t="s">
        <v>33</v>
      </c>
      <c r="W131" t="s">
        <v>61</v>
      </c>
      <c r="X131" t="s">
        <v>57</v>
      </c>
      <c r="Y131" t="s">
        <v>51</v>
      </c>
    </row>
    <row r="132" spans="1:25" x14ac:dyDescent="0.25">
      <c r="A132">
        <v>10395</v>
      </c>
      <c r="B132">
        <v>32</v>
      </c>
      <c r="C132">
        <v>100</v>
      </c>
      <c r="D132">
        <v>2</v>
      </c>
      <c r="E132">
        <v>3370.56</v>
      </c>
      <c r="F132" s="1">
        <v>38428</v>
      </c>
      <c r="G132" t="s">
        <v>25</v>
      </c>
      <c r="H132">
        <v>1</v>
      </c>
      <c r="I132">
        <v>3</v>
      </c>
      <c r="J132">
        <v>2005</v>
      </c>
      <c r="K132" t="s">
        <v>181</v>
      </c>
      <c r="L132">
        <v>136</v>
      </c>
      <c r="M132" t="s">
        <v>321</v>
      </c>
      <c r="N132" t="s">
        <v>45</v>
      </c>
      <c r="O132" t="s">
        <v>46</v>
      </c>
      <c r="P132" t="s">
        <v>47</v>
      </c>
      <c r="R132" t="s">
        <v>48</v>
      </c>
      <c r="T132">
        <v>75508</v>
      </c>
      <c r="U132" t="s">
        <v>41</v>
      </c>
      <c r="V132" t="s">
        <v>42</v>
      </c>
      <c r="W132" t="s">
        <v>49</v>
      </c>
      <c r="X132" t="s">
        <v>50</v>
      </c>
      <c r="Y132" t="s">
        <v>51</v>
      </c>
    </row>
    <row r="133" spans="1:25" x14ac:dyDescent="0.25">
      <c r="A133">
        <v>10400</v>
      </c>
      <c r="B133">
        <v>64</v>
      </c>
      <c r="C133">
        <v>100</v>
      </c>
      <c r="D133">
        <v>9</v>
      </c>
      <c r="E133">
        <v>9661.44</v>
      </c>
      <c r="F133" s="1">
        <v>38443</v>
      </c>
      <c r="G133" t="s">
        <v>25</v>
      </c>
      <c r="H133">
        <v>2</v>
      </c>
      <c r="I133">
        <v>4</v>
      </c>
      <c r="J133">
        <v>2005</v>
      </c>
      <c r="K133" t="s">
        <v>181</v>
      </c>
      <c r="L133">
        <v>136</v>
      </c>
      <c r="M133" t="s">
        <v>321</v>
      </c>
      <c r="N133" t="s">
        <v>397</v>
      </c>
      <c r="O133">
        <v>4085553659</v>
      </c>
      <c r="P133" t="s">
        <v>398</v>
      </c>
      <c r="R133" t="s">
        <v>399</v>
      </c>
      <c r="S133" t="s">
        <v>55</v>
      </c>
      <c r="T133">
        <v>94217</v>
      </c>
      <c r="U133" t="s">
        <v>32</v>
      </c>
      <c r="V133" t="s">
        <v>33</v>
      </c>
      <c r="W133" t="s">
        <v>102</v>
      </c>
      <c r="X133" t="s">
        <v>400</v>
      </c>
      <c r="Y133" t="s">
        <v>151</v>
      </c>
    </row>
    <row r="134" spans="1:25" x14ac:dyDescent="0.25">
      <c r="A134">
        <v>10414</v>
      </c>
      <c r="B134">
        <v>19</v>
      </c>
      <c r="C134">
        <v>100</v>
      </c>
      <c r="D134">
        <v>3</v>
      </c>
      <c r="E134">
        <v>2764.88</v>
      </c>
      <c r="F134" s="1">
        <v>38478</v>
      </c>
      <c r="G134" t="s">
        <v>401</v>
      </c>
      <c r="H134">
        <v>2</v>
      </c>
      <c r="I134">
        <v>5</v>
      </c>
      <c r="J134">
        <v>2005</v>
      </c>
      <c r="K134" t="s">
        <v>181</v>
      </c>
      <c r="L134">
        <v>136</v>
      </c>
      <c r="M134" t="s">
        <v>321</v>
      </c>
      <c r="N134" t="s">
        <v>379</v>
      </c>
      <c r="O134">
        <v>6175559555</v>
      </c>
      <c r="P134" t="s">
        <v>380</v>
      </c>
      <c r="R134" t="s">
        <v>381</v>
      </c>
      <c r="S134" t="s">
        <v>123</v>
      </c>
      <c r="T134">
        <v>51003</v>
      </c>
      <c r="U134" t="s">
        <v>32</v>
      </c>
      <c r="V134" t="s">
        <v>33</v>
      </c>
      <c r="W134" t="s">
        <v>382</v>
      </c>
      <c r="X134" t="s">
        <v>66</v>
      </c>
      <c r="Y134" t="s">
        <v>36</v>
      </c>
    </row>
    <row r="135" spans="1:25" x14ac:dyDescent="0.25">
      <c r="A135">
        <v>10103</v>
      </c>
      <c r="B135">
        <v>42</v>
      </c>
      <c r="C135">
        <v>100</v>
      </c>
      <c r="D135">
        <v>4</v>
      </c>
      <c r="E135">
        <v>5398.26</v>
      </c>
      <c r="F135" s="1">
        <v>37650</v>
      </c>
      <c r="G135" t="s">
        <v>25</v>
      </c>
      <c r="H135">
        <v>1</v>
      </c>
      <c r="I135">
        <v>1</v>
      </c>
      <c r="J135">
        <v>2003</v>
      </c>
      <c r="K135" t="s">
        <v>181</v>
      </c>
      <c r="L135">
        <v>147</v>
      </c>
      <c r="M135" t="s">
        <v>402</v>
      </c>
      <c r="N135" t="s">
        <v>133</v>
      </c>
      <c r="O135" t="s">
        <v>134</v>
      </c>
      <c r="P135" t="s">
        <v>135</v>
      </c>
      <c r="R135" t="s">
        <v>136</v>
      </c>
      <c r="T135">
        <v>4110</v>
      </c>
      <c r="U135" t="s">
        <v>78</v>
      </c>
      <c r="V135" t="s">
        <v>42</v>
      </c>
      <c r="W135" t="s">
        <v>137</v>
      </c>
      <c r="X135" t="s">
        <v>138</v>
      </c>
      <c r="Y135" t="s">
        <v>51</v>
      </c>
    </row>
    <row r="136" spans="1:25" x14ac:dyDescent="0.25">
      <c r="A136">
        <v>10114</v>
      </c>
      <c r="B136">
        <v>31</v>
      </c>
      <c r="C136">
        <v>100</v>
      </c>
      <c r="D136">
        <v>8</v>
      </c>
      <c r="E136">
        <v>4305.28</v>
      </c>
      <c r="F136" s="1">
        <v>37712</v>
      </c>
      <c r="G136" t="s">
        <v>25</v>
      </c>
      <c r="H136">
        <v>2</v>
      </c>
      <c r="I136">
        <v>4</v>
      </c>
      <c r="J136">
        <v>2003</v>
      </c>
      <c r="K136" t="s">
        <v>181</v>
      </c>
      <c r="L136">
        <v>147</v>
      </c>
      <c r="M136" t="s">
        <v>402</v>
      </c>
      <c r="N136" t="s">
        <v>403</v>
      </c>
      <c r="O136" t="s">
        <v>404</v>
      </c>
      <c r="P136" t="s">
        <v>405</v>
      </c>
      <c r="R136" t="s">
        <v>48</v>
      </c>
      <c r="T136">
        <v>75012</v>
      </c>
      <c r="U136" t="s">
        <v>41</v>
      </c>
      <c r="V136" t="s">
        <v>42</v>
      </c>
      <c r="W136" t="s">
        <v>406</v>
      </c>
      <c r="X136" t="s">
        <v>407</v>
      </c>
      <c r="Y136" t="s">
        <v>51</v>
      </c>
    </row>
    <row r="137" spans="1:25" x14ac:dyDescent="0.25">
      <c r="A137">
        <v>10126</v>
      </c>
      <c r="B137">
        <v>22</v>
      </c>
      <c r="C137">
        <v>100</v>
      </c>
      <c r="D137">
        <v>4</v>
      </c>
      <c r="E137">
        <v>3347.74</v>
      </c>
      <c r="F137" s="1">
        <v>37769</v>
      </c>
      <c r="G137" t="s">
        <v>25</v>
      </c>
      <c r="H137">
        <v>2</v>
      </c>
      <c r="I137">
        <v>5</v>
      </c>
      <c r="J137">
        <v>2003</v>
      </c>
      <c r="K137" t="s">
        <v>181</v>
      </c>
      <c r="L137">
        <v>147</v>
      </c>
      <c r="M137" t="s">
        <v>402</v>
      </c>
      <c r="N137" t="s">
        <v>191</v>
      </c>
      <c r="O137" t="s">
        <v>192</v>
      </c>
      <c r="P137" t="s">
        <v>193</v>
      </c>
      <c r="R137" t="s">
        <v>177</v>
      </c>
      <c r="T137">
        <v>28023</v>
      </c>
      <c r="U137" t="s">
        <v>178</v>
      </c>
      <c r="V137" t="s">
        <v>42</v>
      </c>
      <c r="W137" t="s">
        <v>194</v>
      </c>
      <c r="X137" t="s">
        <v>195</v>
      </c>
      <c r="Y137" t="s">
        <v>51</v>
      </c>
    </row>
    <row r="138" spans="1:25" x14ac:dyDescent="0.25">
      <c r="A138">
        <v>10140</v>
      </c>
      <c r="B138">
        <v>26</v>
      </c>
      <c r="C138">
        <v>100</v>
      </c>
      <c r="D138">
        <v>4</v>
      </c>
      <c r="E138">
        <v>3188.12</v>
      </c>
      <c r="F138" s="1">
        <v>37826</v>
      </c>
      <c r="G138" t="s">
        <v>25</v>
      </c>
      <c r="H138">
        <v>3</v>
      </c>
      <c r="I138">
        <v>7</v>
      </c>
      <c r="J138">
        <v>2003</v>
      </c>
      <c r="K138" t="s">
        <v>181</v>
      </c>
      <c r="L138">
        <v>147</v>
      </c>
      <c r="M138" t="s">
        <v>402</v>
      </c>
      <c r="N138" t="s">
        <v>62</v>
      </c>
      <c r="O138">
        <v>6505556809</v>
      </c>
      <c r="P138" t="s">
        <v>63</v>
      </c>
      <c r="R138" t="s">
        <v>64</v>
      </c>
      <c r="S138" t="s">
        <v>55</v>
      </c>
      <c r="T138">
        <v>94217</v>
      </c>
      <c r="U138" t="s">
        <v>32</v>
      </c>
      <c r="V138" t="s">
        <v>33</v>
      </c>
      <c r="W138" t="s">
        <v>65</v>
      </c>
      <c r="X138" t="s">
        <v>66</v>
      </c>
      <c r="Y138" t="s">
        <v>51</v>
      </c>
    </row>
    <row r="139" spans="1:25" x14ac:dyDescent="0.25">
      <c r="A139">
        <v>10150</v>
      </c>
      <c r="B139">
        <v>20</v>
      </c>
      <c r="C139">
        <v>100</v>
      </c>
      <c r="D139">
        <v>1</v>
      </c>
      <c r="E139">
        <v>3191.2</v>
      </c>
      <c r="F139" s="1">
        <v>37883</v>
      </c>
      <c r="G139" t="s">
        <v>25</v>
      </c>
      <c r="H139">
        <v>3</v>
      </c>
      <c r="I139">
        <v>9</v>
      </c>
      <c r="J139">
        <v>2003</v>
      </c>
      <c r="K139" t="s">
        <v>181</v>
      </c>
      <c r="L139">
        <v>147</v>
      </c>
      <c r="M139" t="s">
        <v>402</v>
      </c>
      <c r="N139" t="s">
        <v>196</v>
      </c>
      <c r="O139" t="s">
        <v>197</v>
      </c>
      <c r="P139" t="s">
        <v>198</v>
      </c>
      <c r="R139" t="s">
        <v>199</v>
      </c>
      <c r="T139">
        <v>79903</v>
      </c>
      <c r="U139" t="s">
        <v>199</v>
      </c>
      <c r="V139" t="s">
        <v>200</v>
      </c>
      <c r="W139" t="s">
        <v>201</v>
      </c>
      <c r="X139" t="s">
        <v>202</v>
      </c>
      <c r="Y139" t="s">
        <v>51</v>
      </c>
    </row>
    <row r="140" spans="1:25" x14ac:dyDescent="0.25">
      <c r="A140">
        <v>10164</v>
      </c>
      <c r="B140">
        <v>21</v>
      </c>
      <c r="C140">
        <v>100</v>
      </c>
      <c r="D140">
        <v>2</v>
      </c>
      <c r="E140">
        <v>3536.82</v>
      </c>
      <c r="F140" s="1">
        <v>37915</v>
      </c>
      <c r="G140" t="s">
        <v>408</v>
      </c>
      <c r="H140">
        <v>4</v>
      </c>
      <c r="I140">
        <v>10</v>
      </c>
      <c r="J140">
        <v>2003</v>
      </c>
      <c r="K140" t="s">
        <v>181</v>
      </c>
      <c r="L140">
        <v>147</v>
      </c>
      <c r="M140" t="s">
        <v>402</v>
      </c>
      <c r="N140" t="s">
        <v>409</v>
      </c>
      <c r="O140" t="s">
        <v>410</v>
      </c>
      <c r="P140" t="s">
        <v>411</v>
      </c>
      <c r="R140" t="s">
        <v>412</v>
      </c>
      <c r="T140">
        <v>8010</v>
      </c>
      <c r="U140" t="s">
        <v>148</v>
      </c>
      <c r="V140" t="s">
        <v>42</v>
      </c>
      <c r="W140" t="s">
        <v>413</v>
      </c>
      <c r="X140" t="s">
        <v>414</v>
      </c>
      <c r="Y140" t="s">
        <v>51</v>
      </c>
    </row>
    <row r="141" spans="1:25" x14ac:dyDescent="0.25">
      <c r="A141">
        <v>10175</v>
      </c>
      <c r="B141">
        <v>33</v>
      </c>
      <c r="C141">
        <v>100</v>
      </c>
      <c r="D141">
        <v>9</v>
      </c>
      <c r="E141">
        <v>5362.83</v>
      </c>
      <c r="F141" s="1">
        <v>37931</v>
      </c>
      <c r="G141" t="s">
        <v>25</v>
      </c>
      <c r="H141">
        <v>4</v>
      </c>
      <c r="I141">
        <v>11</v>
      </c>
      <c r="J141">
        <v>2003</v>
      </c>
      <c r="K141" t="s">
        <v>181</v>
      </c>
      <c r="L141">
        <v>147</v>
      </c>
      <c r="M141" t="s">
        <v>402</v>
      </c>
      <c r="N141" t="s">
        <v>329</v>
      </c>
      <c r="O141" t="s">
        <v>330</v>
      </c>
      <c r="P141" t="s">
        <v>331</v>
      </c>
      <c r="R141" t="s">
        <v>332</v>
      </c>
      <c r="T141" t="s">
        <v>333</v>
      </c>
      <c r="U141" t="s">
        <v>170</v>
      </c>
      <c r="V141" t="s">
        <v>42</v>
      </c>
      <c r="W141" t="s">
        <v>61</v>
      </c>
      <c r="X141" t="s">
        <v>334</v>
      </c>
      <c r="Y141" t="s">
        <v>51</v>
      </c>
    </row>
    <row r="142" spans="1:25" x14ac:dyDescent="0.25">
      <c r="A142">
        <v>10183</v>
      </c>
      <c r="B142">
        <v>28</v>
      </c>
      <c r="C142">
        <v>100</v>
      </c>
      <c r="D142">
        <v>1</v>
      </c>
      <c r="E142">
        <v>3433.36</v>
      </c>
      <c r="F142" s="1">
        <v>37938</v>
      </c>
      <c r="G142" t="s">
        <v>25</v>
      </c>
      <c r="H142">
        <v>4</v>
      </c>
      <c r="I142">
        <v>11</v>
      </c>
      <c r="J142">
        <v>2003</v>
      </c>
      <c r="K142" t="s">
        <v>181</v>
      </c>
      <c r="L142">
        <v>147</v>
      </c>
      <c r="M142" t="s">
        <v>402</v>
      </c>
      <c r="N142" t="s">
        <v>214</v>
      </c>
      <c r="O142">
        <v>2155554695</v>
      </c>
      <c r="P142" t="s">
        <v>215</v>
      </c>
      <c r="R142" t="s">
        <v>216</v>
      </c>
      <c r="S142" t="s">
        <v>142</v>
      </c>
      <c r="T142">
        <v>71270</v>
      </c>
      <c r="U142" t="s">
        <v>32</v>
      </c>
      <c r="V142" t="s">
        <v>33</v>
      </c>
      <c r="W142" t="s">
        <v>217</v>
      </c>
      <c r="X142" t="s">
        <v>218</v>
      </c>
      <c r="Y142" t="s">
        <v>51</v>
      </c>
    </row>
    <row r="143" spans="1:25" x14ac:dyDescent="0.25">
      <c r="A143">
        <v>10194</v>
      </c>
      <c r="B143">
        <v>26</v>
      </c>
      <c r="C143">
        <v>100</v>
      </c>
      <c r="D143">
        <v>4</v>
      </c>
      <c r="E143">
        <v>4263.74</v>
      </c>
      <c r="F143" s="1">
        <v>37950</v>
      </c>
      <c r="G143" t="s">
        <v>25</v>
      </c>
      <c r="H143">
        <v>4</v>
      </c>
      <c r="I143">
        <v>11</v>
      </c>
      <c r="J143">
        <v>2003</v>
      </c>
      <c r="K143" t="s">
        <v>181</v>
      </c>
      <c r="L143">
        <v>147</v>
      </c>
      <c r="M143" t="s">
        <v>402</v>
      </c>
      <c r="N143" t="s">
        <v>219</v>
      </c>
      <c r="O143" t="s">
        <v>220</v>
      </c>
      <c r="P143" t="s">
        <v>221</v>
      </c>
      <c r="R143" t="s">
        <v>222</v>
      </c>
      <c r="T143">
        <v>69004</v>
      </c>
      <c r="U143" t="s">
        <v>41</v>
      </c>
      <c r="V143" t="s">
        <v>42</v>
      </c>
      <c r="W143" t="s">
        <v>223</v>
      </c>
      <c r="X143" t="s">
        <v>224</v>
      </c>
      <c r="Y143" t="s">
        <v>51</v>
      </c>
    </row>
    <row r="144" spans="1:25" x14ac:dyDescent="0.25">
      <c r="A144">
        <v>10207</v>
      </c>
      <c r="B144">
        <v>31</v>
      </c>
      <c r="C144">
        <v>100</v>
      </c>
      <c r="D144">
        <v>15</v>
      </c>
      <c r="E144">
        <v>4076.19</v>
      </c>
      <c r="F144" s="1">
        <v>37964</v>
      </c>
      <c r="G144" t="s">
        <v>25</v>
      </c>
      <c r="H144">
        <v>4</v>
      </c>
      <c r="I144">
        <v>12</v>
      </c>
      <c r="J144">
        <v>2003</v>
      </c>
      <c r="K144" t="s">
        <v>181</v>
      </c>
      <c r="L144">
        <v>147</v>
      </c>
      <c r="M144" t="s">
        <v>402</v>
      </c>
      <c r="N144" t="s">
        <v>415</v>
      </c>
      <c r="O144">
        <v>6175552555</v>
      </c>
      <c r="P144" t="s">
        <v>416</v>
      </c>
      <c r="R144" t="s">
        <v>381</v>
      </c>
      <c r="S144" t="s">
        <v>123</v>
      </c>
      <c r="T144">
        <v>51003</v>
      </c>
      <c r="U144" t="s">
        <v>32</v>
      </c>
      <c r="V144" t="s">
        <v>33</v>
      </c>
      <c r="W144" t="s">
        <v>417</v>
      </c>
      <c r="X144" t="s">
        <v>276</v>
      </c>
      <c r="Y144" t="s">
        <v>51</v>
      </c>
    </row>
    <row r="145" spans="1:25" x14ac:dyDescent="0.25">
      <c r="A145">
        <v>10217</v>
      </c>
      <c r="B145">
        <v>48</v>
      </c>
      <c r="C145">
        <v>100</v>
      </c>
      <c r="D145">
        <v>4</v>
      </c>
      <c r="E145">
        <v>7020.48</v>
      </c>
      <c r="F145" s="1">
        <v>38021</v>
      </c>
      <c r="G145" t="s">
        <v>25</v>
      </c>
      <c r="H145">
        <v>1</v>
      </c>
      <c r="I145">
        <v>2</v>
      </c>
      <c r="J145">
        <v>2004</v>
      </c>
      <c r="K145" t="s">
        <v>181</v>
      </c>
      <c r="L145">
        <v>147</v>
      </c>
      <c r="M145" t="s">
        <v>402</v>
      </c>
      <c r="N145" t="s">
        <v>418</v>
      </c>
      <c r="O145" t="s">
        <v>419</v>
      </c>
      <c r="P145" t="s">
        <v>420</v>
      </c>
      <c r="Q145" t="s">
        <v>421</v>
      </c>
      <c r="R145" t="s">
        <v>199</v>
      </c>
      <c r="T145">
        <v>69045</v>
      </c>
      <c r="U145" t="s">
        <v>199</v>
      </c>
      <c r="V145" t="s">
        <v>96</v>
      </c>
      <c r="W145" t="s">
        <v>422</v>
      </c>
      <c r="X145" t="s">
        <v>423</v>
      </c>
      <c r="Y145" t="s">
        <v>151</v>
      </c>
    </row>
    <row r="146" spans="1:25" x14ac:dyDescent="0.25">
      <c r="A146">
        <v>10229</v>
      </c>
      <c r="B146">
        <v>50</v>
      </c>
      <c r="C146">
        <v>100</v>
      </c>
      <c r="D146">
        <v>9</v>
      </c>
      <c r="E146">
        <v>6426.5</v>
      </c>
      <c r="F146" s="1">
        <v>38057</v>
      </c>
      <c r="G146" t="s">
        <v>25</v>
      </c>
      <c r="H146">
        <v>1</v>
      </c>
      <c r="I146">
        <v>3</v>
      </c>
      <c r="J146">
        <v>2004</v>
      </c>
      <c r="K146" t="s">
        <v>181</v>
      </c>
      <c r="L146">
        <v>147</v>
      </c>
      <c r="M146" t="s">
        <v>402</v>
      </c>
      <c r="N146" t="s">
        <v>272</v>
      </c>
      <c r="O146">
        <v>4155551450</v>
      </c>
      <c r="P146" t="s">
        <v>273</v>
      </c>
      <c r="R146" t="s">
        <v>274</v>
      </c>
      <c r="S146" t="s">
        <v>55</v>
      </c>
      <c r="T146">
        <v>97562</v>
      </c>
      <c r="U146" t="s">
        <v>32</v>
      </c>
      <c r="V146" t="s">
        <v>33</v>
      </c>
      <c r="W146" t="s">
        <v>275</v>
      </c>
      <c r="X146" t="s">
        <v>276</v>
      </c>
      <c r="Y146" t="s">
        <v>51</v>
      </c>
    </row>
    <row r="147" spans="1:25" x14ac:dyDescent="0.25">
      <c r="A147">
        <v>10245</v>
      </c>
      <c r="B147">
        <v>28</v>
      </c>
      <c r="C147">
        <v>100</v>
      </c>
      <c r="D147">
        <v>2</v>
      </c>
      <c r="E147">
        <v>4591.72</v>
      </c>
      <c r="F147" s="1">
        <v>38111</v>
      </c>
      <c r="G147" t="s">
        <v>25</v>
      </c>
      <c r="H147">
        <v>2</v>
      </c>
      <c r="I147">
        <v>5</v>
      </c>
      <c r="J147">
        <v>2004</v>
      </c>
      <c r="K147" t="s">
        <v>181</v>
      </c>
      <c r="L147">
        <v>147</v>
      </c>
      <c r="M147" t="s">
        <v>402</v>
      </c>
      <c r="N147" t="s">
        <v>242</v>
      </c>
      <c r="O147">
        <v>2035559545</v>
      </c>
      <c r="P147" t="s">
        <v>243</v>
      </c>
      <c r="R147" t="s">
        <v>244</v>
      </c>
      <c r="S147" t="s">
        <v>112</v>
      </c>
      <c r="T147">
        <v>97823</v>
      </c>
      <c r="U147" t="s">
        <v>32</v>
      </c>
      <c r="V147" t="s">
        <v>33</v>
      </c>
      <c r="W147" t="s">
        <v>83</v>
      </c>
      <c r="X147" t="s">
        <v>245</v>
      </c>
      <c r="Y147" t="s">
        <v>51</v>
      </c>
    </row>
    <row r="148" spans="1:25" x14ac:dyDescent="0.25">
      <c r="A148">
        <v>10259</v>
      </c>
      <c r="B148">
        <v>26</v>
      </c>
      <c r="C148">
        <v>100</v>
      </c>
      <c r="D148">
        <v>12</v>
      </c>
      <c r="E148">
        <v>4033.38</v>
      </c>
      <c r="F148" s="1">
        <v>38153</v>
      </c>
      <c r="G148" t="s">
        <v>25</v>
      </c>
      <c r="H148">
        <v>2</v>
      </c>
      <c r="I148">
        <v>6</v>
      </c>
      <c r="J148">
        <v>2004</v>
      </c>
      <c r="K148" t="s">
        <v>181</v>
      </c>
      <c r="L148">
        <v>147</v>
      </c>
      <c r="M148" t="s">
        <v>402</v>
      </c>
      <c r="N148" t="s">
        <v>418</v>
      </c>
      <c r="O148" t="s">
        <v>419</v>
      </c>
      <c r="P148" t="s">
        <v>420</v>
      </c>
      <c r="Q148" t="s">
        <v>421</v>
      </c>
      <c r="R148" t="s">
        <v>199</v>
      </c>
      <c r="T148">
        <v>69045</v>
      </c>
      <c r="U148" t="s">
        <v>199</v>
      </c>
      <c r="V148" t="s">
        <v>96</v>
      </c>
      <c r="W148" t="s">
        <v>422</v>
      </c>
      <c r="X148" t="s">
        <v>423</v>
      </c>
      <c r="Y148" t="s">
        <v>51</v>
      </c>
    </row>
    <row r="149" spans="1:25" x14ac:dyDescent="0.25">
      <c r="A149">
        <v>10270</v>
      </c>
      <c r="B149">
        <v>32</v>
      </c>
      <c r="C149">
        <v>100</v>
      </c>
      <c r="D149">
        <v>2</v>
      </c>
      <c r="E149">
        <v>4302.08</v>
      </c>
      <c r="F149" s="1">
        <v>38187</v>
      </c>
      <c r="G149" t="s">
        <v>25</v>
      </c>
      <c r="H149">
        <v>3</v>
      </c>
      <c r="I149">
        <v>7</v>
      </c>
      <c r="J149">
        <v>2004</v>
      </c>
      <c r="K149" t="s">
        <v>181</v>
      </c>
      <c r="L149">
        <v>147</v>
      </c>
      <c r="M149" t="s">
        <v>402</v>
      </c>
      <c r="N149" t="s">
        <v>152</v>
      </c>
      <c r="O149" t="s">
        <v>153</v>
      </c>
      <c r="P149" t="s">
        <v>154</v>
      </c>
      <c r="Q149" t="s">
        <v>155</v>
      </c>
      <c r="R149" t="s">
        <v>156</v>
      </c>
      <c r="S149" t="s">
        <v>157</v>
      </c>
      <c r="T149">
        <v>2067</v>
      </c>
      <c r="U149" t="s">
        <v>95</v>
      </c>
      <c r="V149" t="s">
        <v>96</v>
      </c>
      <c r="W149" t="s">
        <v>158</v>
      </c>
      <c r="X149" t="s">
        <v>159</v>
      </c>
      <c r="Y149" t="s">
        <v>51</v>
      </c>
    </row>
    <row r="150" spans="1:25" x14ac:dyDescent="0.25">
      <c r="A150">
        <v>10281</v>
      </c>
      <c r="B150">
        <v>44</v>
      </c>
      <c r="C150">
        <v>100</v>
      </c>
      <c r="D150">
        <v>9</v>
      </c>
      <c r="E150">
        <v>7020.64</v>
      </c>
      <c r="F150" s="1">
        <v>38218</v>
      </c>
      <c r="G150" t="s">
        <v>25</v>
      </c>
      <c r="H150">
        <v>3</v>
      </c>
      <c r="I150">
        <v>8</v>
      </c>
      <c r="J150">
        <v>2004</v>
      </c>
      <c r="K150" t="s">
        <v>181</v>
      </c>
      <c r="L150">
        <v>147</v>
      </c>
      <c r="M150" t="s">
        <v>402</v>
      </c>
      <c r="N150" t="s">
        <v>139</v>
      </c>
      <c r="O150">
        <v>2155551555</v>
      </c>
      <c r="P150" t="s">
        <v>140</v>
      </c>
      <c r="R150" t="s">
        <v>141</v>
      </c>
      <c r="S150" t="s">
        <v>142</v>
      </c>
      <c r="T150">
        <v>70267</v>
      </c>
      <c r="U150" t="s">
        <v>32</v>
      </c>
      <c r="V150" t="s">
        <v>33</v>
      </c>
      <c r="W150" t="s">
        <v>34</v>
      </c>
      <c r="X150" t="s">
        <v>143</v>
      </c>
      <c r="Y150" t="s">
        <v>151</v>
      </c>
    </row>
    <row r="151" spans="1:25" x14ac:dyDescent="0.25">
      <c r="A151">
        <v>10291</v>
      </c>
      <c r="B151">
        <v>30</v>
      </c>
      <c r="C151">
        <v>100</v>
      </c>
      <c r="D151">
        <v>4</v>
      </c>
      <c r="E151">
        <v>3855.9</v>
      </c>
      <c r="F151" s="1">
        <v>38238</v>
      </c>
      <c r="G151" t="s">
        <v>25</v>
      </c>
      <c r="H151">
        <v>3</v>
      </c>
      <c r="I151">
        <v>9</v>
      </c>
      <c r="J151">
        <v>2004</v>
      </c>
      <c r="K151" t="s">
        <v>181</v>
      </c>
      <c r="L151">
        <v>147</v>
      </c>
      <c r="M151" t="s">
        <v>402</v>
      </c>
      <c r="N151" t="s">
        <v>261</v>
      </c>
      <c r="O151" t="s">
        <v>262</v>
      </c>
      <c r="P151" t="s">
        <v>263</v>
      </c>
      <c r="R151" t="s">
        <v>264</v>
      </c>
      <c r="T151" t="s">
        <v>265</v>
      </c>
      <c r="U151" t="s">
        <v>188</v>
      </c>
      <c r="V151" t="s">
        <v>42</v>
      </c>
      <c r="W151" t="s">
        <v>266</v>
      </c>
      <c r="X151" t="s">
        <v>206</v>
      </c>
      <c r="Y151" t="s">
        <v>51</v>
      </c>
    </row>
    <row r="152" spans="1:25" x14ac:dyDescent="0.25">
      <c r="A152">
        <v>10305</v>
      </c>
      <c r="B152">
        <v>38</v>
      </c>
      <c r="C152">
        <v>100</v>
      </c>
      <c r="D152">
        <v>13</v>
      </c>
      <c r="E152">
        <v>6680.78</v>
      </c>
      <c r="F152" s="1">
        <v>38273</v>
      </c>
      <c r="G152" t="s">
        <v>25</v>
      </c>
      <c r="H152">
        <v>4</v>
      </c>
      <c r="I152">
        <v>10</v>
      </c>
      <c r="J152">
        <v>2004</v>
      </c>
      <c r="K152" t="s">
        <v>181</v>
      </c>
      <c r="L152">
        <v>147</v>
      </c>
      <c r="M152" t="s">
        <v>402</v>
      </c>
      <c r="N152" t="s">
        <v>120</v>
      </c>
      <c r="O152">
        <v>6175558555</v>
      </c>
      <c r="P152" t="s">
        <v>121</v>
      </c>
      <c r="R152" t="s">
        <v>122</v>
      </c>
      <c r="S152" t="s">
        <v>123</v>
      </c>
      <c r="T152">
        <v>51247</v>
      </c>
      <c r="U152" t="s">
        <v>32</v>
      </c>
      <c r="V152" t="s">
        <v>33</v>
      </c>
      <c r="W152" t="s">
        <v>124</v>
      </c>
      <c r="X152" t="s">
        <v>125</v>
      </c>
      <c r="Y152" t="s">
        <v>51</v>
      </c>
    </row>
    <row r="153" spans="1:25" x14ac:dyDescent="0.25">
      <c r="A153">
        <v>10313</v>
      </c>
      <c r="B153">
        <v>40</v>
      </c>
      <c r="C153">
        <v>100</v>
      </c>
      <c r="D153">
        <v>7</v>
      </c>
      <c r="E153">
        <v>6678</v>
      </c>
      <c r="F153" s="1">
        <v>38282</v>
      </c>
      <c r="G153" t="s">
        <v>25</v>
      </c>
      <c r="H153">
        <v>4</v>
      </c>
      <c r="I153">
        <v>10</v>
      </c>
      <c r="J153">
        <v>2004</v>
      </c>
      <c r="K153" t="s">
        <v>181</v>
      </c>
      <c r="L153">
        <v>147</v>
      </c>
      <c r="M153" t="s">
        <v>402</v>
      </c>
      <c r="N153" t="s">
        <v>225</v>
      </c>
      <c r="O153" t="s">
        <v>226</v>
      </c>
      <c r="P153" t="s">
        <v>227</v>
      </c>
      <c r="R153" t="s">
        <v>228</v>
      </c>
      <c r="S153" t="s">
        <v>229</v>
      </c>
      <c r="T153" t="s">
        <v>230</v>
      </c>
      <c r="U153" t="s">
        <v>231</v>
      </c>
      <c r="V153" t="s">
        <v>33</v>
      </c>
      <c r="W153" t="s">
        <v>232</v>
      </c>
      <c r="X153" t="s">
        <v>233</v>
      </c>
      <c r="Y153" t="s">
        <v>51</v>
      </c>
    </row>
    <row r="154" spans="1:25" x14ac:dyDescent="0.25">
      <c r="A154">
        <v>10322</v>
      </c>
      <c r="B154">
        <v>46</v>
      </c>
      <c r="C154">
        <v>61.99</v>
      </c>
      <c r="D154">
        <v>8</v>
      </c>
      <c r="E154">
        <v>2851.54</v>
      </c>
      <c r="F154" s="1">
        <v>38295</v>
      </c>
      <c r="G154" t="s">
        <v>25</v>
      </c>
      <c r="H154">
        <v>4</v>
      </c>
      <c r="I154">
        <v>11</v>
      </c>
      <c r="J154">
        <v>2004</v>
      </c>
      <c r="K154" t="s">
        <v>181</v>
      </c>
      <c r="L154">
        <v>147</v>
      </c>
      <c r="M154" t="s">
        <v>402</v>
      </c>
      <c r="N154" t="s">
        <v>277</v>
      </c>
      <c r="O154">
        <v>6035558647</v>
      </c>
      <c r="P154" t="s">
        <v>278</v>
      </c>
      <c r="R154" t="s">
        <v>279</v>
      </c>
      <c r="S154" t="s">
        <v>280</v>
      </c>
      <c r="T154">
        <v>62005</v>
      </c>
      <c r="U154" t="s">
        <v>32</v>
      </c>
      <c r="V154" t="s">
        <v>33</v>
      </c>
      <c r="W154" t="s">
        <v>56</v>
      </c>
      <c r="X154" t="s">
        <v>276</v>
      </c>
      <c r="Y154" t="s">
        <v>36</v>
      </c>
    </row>
    <row r="155" spans="1:25" x14ac:dyDescent="0.25">
      <c r="A155">
        <v>10334</v>
      </c>
      <c r="B155">
        <v>26</v>
      </c>
      <c r="C155">
        <v>100</v>
      </c>
      <c r="D155">
        <v>2</v>
      </c>
      <c r="E155">
        <v>3188.12</v>
      </c>
      <c r="F155" s="1">
        <v>38310</v>
      </c>
      <c r="G155" t="s">
        <v>401</v>
      </c>
      <c r="H155">
        <v>4</v>
      </c>
      <c r="I155">
        <v>11</v>
      </c>
      <c r="J155">
        <v>2004</v>
      </c>
      <c r="K155" t="s">
        <v>181</v>
      </c>
      <c r="L155">
        <v>147</v>
      </c>
      <c r="M155" t="s">
        <v>402</v>
      </c>
      <c r="N155" t="s">
        <v>183</v>
      </c>
      <c r="O155" t="s">
        <v>184</v>
      </c>
      <c r="P155" t="s">
        <v>185</v>
      </c>
      <c r="R155" t="s">
        <v>186</v>
      </c>
      <c r="T155" t="s">
        <v>187</v>
      </c>
      <c r="U155" t="s">
        <v>188</v>
      </c>
      <c r="V155" t="s">
        <v>42</v>
      </c>
      <c r="W155" t="s">
        <v>189</v>
      </c>
      <c r="X155" t="s">
        <v>190</v>
      </c>
      <c r="Y155" t="s">
        <v>51</v>
      </c>
    </row>
    <row r="156" spans="1:25" x14ac:dyDescent="0.25">
      <c r="A156">
        <v>10347</v>
      </c>
      <c r="B156">
        <v>27</v>
      </c>
      <c r="C156">
        <v>100</v>
      </c>
      <c r="D156">
        <v>2</v>
      </c>
      <c r="E156">
        <v>4428</v>
      </c>
      <c r="F156" s="1">
        <v>38320</v>
      </c>
      <c r="G156" t="s">
        <v>25</v>
      </c>
      <c r="H156">
        <v>4</v>
      </c>
      <c r="I156">
        <v>11</v>
      </c>
      <c r="J156">
        <v>2004</v>
      </c>
      <c r="K156" t="s">
        <v>181</v>
      </c>
      <c r="L156">
        <v>147</v>
      </c>
      <c r="M156" t="s">
        <v>402</v>
      </c>
      <c r="N156" t="s">
        <v>89</v>
      </c>
      <c r="O156" t="s">
        <v>90</v>
      </c>
      <c r="P156" t="s">
        <v>91</v>
      </c>
      <c r="Q156" t="s">
        <v>92</v>
      </c>
      <c r="R156" t="s">
        <v>93</v>
      </c>
      <c r="S156" t="s">
        <v>94</v>
      </c>
      <c r="T156">
        <v>3004</v>
      </c>
      <c r="U156" t="s">
        <v>95</v>
      </c>
      <c r="V156" t="s">
        <v>96</v>
      </c>
      <c r="W156" t="s">
        <v>97</v>
      </c>
      <c r="X156" t="s">
        <v>98</v>
      </c>
      <c r="Y156" t="s">
        <v>51</v>
      </c>
    </row>
    <row r="157" spans="1:25" x14ac:dyDescent="0.25">
      <c r="A157">
        <v>10357</v>
      </c>
      <c r="B157">
        <v>43</v>
      </c>
      <c r="C157">
        <v>100</v>
      </c>
      <c r="D157">
        <v>9</v>
      </c>
      <c r="E157">
        <v>5780.92</v>
      </c>
      <c r="F157" s="1">
        <v>38331</v>
      </c>
      <c r="G157" t="s">
        <v>25</v>
      </c>
      <c r="H157">
        <v>4</v>
      </c>
      <c r="I157">
        <v>12</v>
      </c>
      <c r="J157">
        <v>2004</v>
      </c>
      <c r="K157" t="s">
        <v>181</v>
      </c>
      <c r="L157">
        <v>147</v>
      </c>
      <c r="M157" t="s">
        <v>402</v>
      </c>
      <c r="N157" t="s">
        <v>272</v>
      </c>
      <c r="O157">
        <v>4155551450</v>
      </c>
      <c r="P157" t="s">
        <v>273</v>
      </c>
      <c r="R157" t="s">
        <v>274</v>
      </c>
      <c r="S157" t="s">
        <v>55</v>
      </c>
      <c r="T157">
        <v>97562</v>
      </c>
      <c r="U157" t="s">
        <v>32</v>
      </c>
      <c r="V157" t="s">
        <v>33</v>
      </c>
      <c r="W157" t="s">
        <v>275</v>
      </c>
      <c r="X157" t="s">
        <v>276</v>
      </c>
      <c r="Y157" t="s">
        <v>51</v>
      </c>
    </row>
    <row r="158" spans="1:25" x14ac:dyDescent="0.25">
      <c r="A158">
        <v>10370</v>
      </c>
      <c r="B158">
        <v>35</v>
      </c>
      <c r="C158">
        <v>65.63</v>
      </c>
      <c r="D158">
        <v>4</v>
      </c>
      <c r="E158">
        <v>2297.0500000000002</v>
      </c>
      <c r="F158" s="1">
        <v>38372</v>
      </c>
      <c r="G158" t="s">
        <v>25</v>
      </c>
      <c r="H158">
        <v>1</v>
      </c>
      <c r="I158">
        <v>1</v>
      </c>
      <c r="J158">
        <v>2005</v>
      </c>
      <c r="K158" t="s">
        <v>181</v>
      </c>
      <c r="L158">
        <v>147</v>
      </c>
      <c r="M158" t="s">
        <v>402</v>
      </c>
      <c r="N158" t="s">
        <v>285</v>
      </c>
      <c r="O158" t="s">
        <v>286</v>
      </c>
      <c r="P158" t="s">
        <v>287</v>
      </c>
      <c r="Q158" t="s">
        <v>288</v>
      </c>
      <c r="R158" t="s">
        <v>289</v>
      </c>
      <c r="S158" t="s">
        <v>157</v>
      </c>
      <c r="T158">
        <v>2060</v>
      </c>
      <c r="U158" t="s">
        <v>95</v>
      </c>
      <c r="V158" t="s">
        <v>96</v>
      </c>
      <c r="W158" t="s">
        <v>290</v>
      </c>
      <c r="X158" t="s">
        <v>291</v>
      </c>
      <c r="Y158" t="s">
        <v>36</v>
      </c>
    </row>
    <row r="159" spans="1:25" x14ac:dyDescent="0.25">
      <c r="A159">
        <v>10381</v>
      </c>
      <c r="B159">
        <v>37</v>
      </c>
      <c r="C159">
        <v>100</v>
      </c>
      <c r="D159">
        <v>6</v>
      </c>
      <c r="E159">
        <v>6231.54</v>
      </c>
      <c r="F159" s="1">
        <v>38400</v>
      </c>
      <c r="G159" t="s">
        <v>25</v>
      </c>
      <c r="H159">
        <v>1</v>
      </c>
      <c r="I159">
        <v>2</v>
      </c>
      <c r="J159">
        <v>2005</v>
      </c>
      <c r="K159" t="s">
        <v>181</v>
      </c>
      <c r="L159">
        <v>147</v>
      </c>
      <c r="M159" t="s">
        <v>402</v>
      </c>
      <c r="N159" t="s">
        <v>58</v>
      </c>
      <c r="O159">
        <v>6505551386</v>
      </c>
      <c r="P159" t="s">
        <v>59</v>
      </c>
      <c r="R159" t="s">
        <v>60</v>
      </c>
      <c r="S159" t="s">
        <v>55</v>
      </c>
      <c r="U159" t="s">
        <v>32</v>
      </c>
      <c r="V159" t="s">
        <v>33</v>
      </c>
      <c r="W159" t="s">
        <v>61</v>
      </c>
      <c r="X159" t="s">
        <v>57</v>
      </c>
      <c r="Y159" t="s">
        <v>51</v>
      </c>
    </row>
    <row r="160" spans="1:25" x14ac:dyDescent="0.25">
      <c r="A160">
        <v>10391</v>
      </c>
      <c r="B160">
        <v>37</v>
      </c>
      <c r="C160">
        <v>46.9</v>
      </c>
      <c r="D160">
        <v>7</v>
      </c>
      <c r="E160">
        <v>1735.3</v>
      </c>
      <c r="F160" s="1">
        <v>38420</v>
      </c>
      <c r="G160" t="s">
        <v>25</v>
      </c>
      <c r="H160">
        <v>1</v>
      </c>
      <c r="I160">
        <v>3</v>
      </c>
      <c r="J160">
        <v>2005</v>
      </c>
      <c r="K160" t="s">
        <v>181</v>
      </c>
      <c r="L160">
        <v>147</v>
      </c>
      <c r="M160" t="s">
        <v>402</v>
      </c>
      <c r="N160" t="s">
        <v>285</v>
      </c>
      <c r="O160" t="s">
        <v>286</v>
      </c>
      <c r="P160" t="s">
        <v>287</v>
      </c>
      <c r="Q160" t="s">
        <v>288</v>
      </c>
      <c r="R160" t="s">
        <v>289</v>
      </c>
      <c r="S160" t="s">
        <v>157</v>
      </c>
      <c r="T160">
        <v>2060</v>
      </c>
      <c r="U160" t="s">
        <v>95</v>
      </c>
      <c r="V160" t="s">
        <v>96</v>
      </c>
      <c r="W160" t="s">
        <v>290</v>
      </c>
      <c r="X160" t="s">
        <v>291</v>
      </c>
      <c r="Y160" t="s">
        <v>36</v>
      </c>
    </row>
    <row r="161" spans="1:25" x14ac:dyDescent="0.25">
      <c r="A161">
        <v>10411</v>
      </c>
      <c r="B161">
        <v>27</v>
      </c>
      <c r="C161">
        <v>100</v>
      </c>
      <c r="D161">
        <v>2</v>
      </c>
      <c r="E161">
        <v>4427.7299999999996</v>
      </c>
      <c r="F161" s="1">
        <v>38473</v>
      </c>
      <c r="G161" t="s">
        <v>25</v>
      </c>
      <c r="H161">
        <v>2</v>
      </c>
      <c r="I161">
        <v>5</v>
      </c>
      <c r="J161">
        <v>2005</v>
      </c>
      <c r="K161" t="s">
        <v>181</v>
      </c>
      <c r="L161">
        <v>147</v>
      </c>
      <c r="M161" t="s">
        <v>402</v>
      </c>
      <c r="N161" t="s">
        <v>292</v>
      </c>
      <c r="O161" t="s">
        <v>293</v>
      </c>
      <c r="P161" t="s">
        <v>294</v>
      </c>
      <c r="R161" t="s">
        <v>295</v>
      </c>
      <c r="S161" t="s">
        <v>296</v>
      </c>
      <c r="T161" t="s">
        <v>297</v>
      </c>
      <c r="U161" t="s">
        <v>231</v>
      </c>
      <c r="V161" t="s">
        <v>33</v>
      </c>
      <c r="W161" t="s">
        <v>298</v>
      </c>
      <c r="X161" t="s">
        <v>299</v>
      </c>
      <c r="Y161" t="s">
        <v>51</v>
      </c>
    </row>
    <row r="162" spans="1:25" x14ac:dyDescent="0.25">
      <c r="A162">
        <v>10425</v>
      </c>
      <c r="B162">
        <v>38</v>
      </c>
      <c r="C162">
        <v>100</v>
      </c>
      <c r="D162">
        <v>12</v>
      </c>
      <c r="E162">
        <v>5894.94</v>
      </c>
      <c r="F162" s="1">
        <v>38503</v>
      </c>
      <c r="G162" t="s">
        <v>300</v>
      </c>
      <c r="H162">
        <v>2</v>
      </c>
      <c r="I162">
        <v>5</v>
      </c>
      <c r="J162">
        <v>2005</v>
      </c>
      <c r="K162" t="s">
        <v>181</v>
      </c>
      <c r="L162">
        <v>147</v>
      </c>
      <c r="M162" t="s">
        <v>402</v>
      </c>
      <c r="N162" t="s">
        <v>114</v>
      </c>
      <c r="O162" t="s">
        <v>115</v>
      </c>
      <c r="P162" t="s">
        <v>116</v>
      </c>
      <c r="R162" t="s">
        <v>117</v>
      </c>
      <c r="T162">
        <v>44000</v>
      </c>
      <c r="U162" t="s">
        <v>41</v>
      </c>
      <c r="V162" t="s">
        <v>42</v>
      </c>
      <c r="W162" t="s">
        <v>118</v>
      </c>
      <c r="X162" t="s">
        <v>119</v>
      </c>
      <c r="Y162" t="s">
        <v>51</v>
      </c>
    </row>
    <row r="163" spans="1:25" x14ac:dyDescent="0.25">
      <c r="A163">
        <v>10108</v>
      </c>
      <c r="B163">
        <v>33</v>
      </c>
      <c r="C163">
        <v>100</v>
      </c>
      <c r="D163">
        <v>6</v>
      </c>
      <c r="E163">
        <v>5265.15</v>
      </c>
      <c r="F163" s="1">
        <v>37683</v>
      </c>
      <c r="G163" t="s">
        <v>25</v>
      </c>
      <c r="H163">
        <v>1</v>
      </c>
      <c r="I163">
        <v>3</v>
      </c>
      <c r="J163">
        <v>2003</v>
      </c>
      <c r="K163" t="s">
        <v>181</v>
      </c>
      <c r="L163">
        <v>194</v>
      </c>
      <c r="M163" t="s">
        <v>424</v>
      </c>
      <c r="N163" t="s">
        <v>425</v>
      </c>
      <c r="O163" t="s">
        <v>426</v>
      </c>
      <c r="P163" t="s">
        <v>427</v>
      </c>
      <c r="R163" t="s">
        <v>428</v>
      </c>
      <c r="T163" t="s">
        <v>429</v>
      </c>
      <c r="U163" t="s">
        <v>430</v>
      </c>
      <c r="V163" t="s">
        <v>200</v>
      </c>
      <c r="W163" t="s">
        <v>431</v>
      </c>
      <c r="X163" t="s">
        <v>432</v>
      </c>
      <c r="Y163" t="s">
        <v>51</v>
      </c>
    </row>
    <row r="164" spans="1:25" x14ac:dyDescent="0.25">
      <c r="A164">
        <v>10122</v>
      </c>
      <c r="B164">
        <v>42</v>
      </c>
      <c r="C164">
        <v>100</v>
      </c>
      <c r="D164">
        <v>10</v>
      </c>
      <c r="E164">
        <v>7599.9</v>
      </c>
      <c r="F164" s="1">
        <v>37749</v>
      </c>
      <c r="G164" t="s">
        <v>25</v>
      </c>
      <c r="H164">
        <v>2</v>
      </c>
      <c r="I164">
        <v>5</v>
      </c>
      <c r="J164">
        <v>2003</v>
      </c>
      <c r="K164" t="s">
        <v>181</v>
      </c>
      <c r="L164">
        <v>194</v>
      </c>
      <c r="M164" t="s">
        <v>424</v>
      </c>
      <c r="N164" t="s">
        <v>433</v>
      </c>
      <c r="O164" t="s">
        <v>434</v>
      </c>
      <c r="P164" t="s">
        <v>435</v>
      </c>
      <c r="R164" t="s">
        <v>436</v>
      </c>
      <c r="T164">
        <v>13008</v>
      </c>
      <c r="U164" t="s">
        <v>41</v>
      </c>
      <c r="V164" t="s">
        <v>42</v>
      </c>
      <c r="W164" t="s">
        <v>437</v>
      </c>
      <c r="X164" t="s">
        <v>438</v>
      </c>
      <c r="Y164" t="s">
        <v>151</v>
      </c>
    </row>
    <row r="165" spans="1:25" x14ac:dyDescent="0.25">
      <c r="A165">
        <v>10135</v>
      </c>
      <c r="B165">
        <v>42</v>
      </c>
      <c r="C165">
        <v>100</v>
      </c>
      <c r="D165">
        <v>7</v>
      </c>
      <c r="E165">
        <v>8008.56</v>
      </c>
      <c r="F165" s="1">
        <v>37804</v>
      </c>
      <c r="G165" t="s">
        <v>25</v>
      </c>
      <c r="H165">
        <v>3</v>
      </c>
      <c r="I165">
        <v>7</v>
      </c>
      <c r="J165">
        <v>2003</v>
      </c>
      <c r="K165" t="s">
        <v>181</v>
      </c>
      <c r="L165">
        <v>194</v>
      </c>
      <c r="M165" t="s">
        <v>424</v>
      </c>
      <c r="N165" t="s">
        <v>272</v>
      </c>
      <c r="O165">
        <v>4155551450</v>
      </c>
      <c r="P165" t="s">
        <v>273</v>
      </c>
      <c r="R165" t="s">
        <v>274</v>
      </c>
      <c r="S165" t="s">
        <v>55</v>
      </c>
      <c r="T165">
        <v>97562</v>
      </c>
      <c r="U165" t="s">
        <v>32</v>
      </c>
      <c r="V165" t="s">
        <v>33</v>
      </c>
      <c r="W165" t="s">
        <v>275</v>
      </c>
      <c r="X165" t="s">
        <v>276</v>
      </c>
      <c r="Y165" t="s">
        <v>151</v>
      </c>
    </row>
    <row r="166" spans="1:25" x14ac:dyDescent="0.25">
      <c r="A166">
        <v>10147</v>
      </c>
      <c r="B166">
        <v>48</v>
      </c>
      <c r="C166">
        <v>100</v>
      </c>
      <c r="D166">
        <v>7</v>
      </c>
      <c r="E166">
        <v>9245.76</v>
      </c>
      <c r="F166" s="1">
        <v>37869</v>
      </c>
      <c r="G166" t="s">
        <v>25</v>
      </c>
      <c r="H166">
        <v>3</v>
      </c>
      <c r="I166">
        <v>9</v>
      </c>
      <c r="J166">
        <v>2003</v>
      </c>
      <c r="K166" t="s">
        <v>181</v>
      </c>
      <c r="L166">
        <v>194</v>
      </c>
      <c r="M166" t="s">
        <v>424</v>
      </c>
      <c r="N166" t="s">
        <v>281</v>
      </c>
      <c r="O166">
        <v>6175558555</v>
      </c>
      <c r="P166" t="s">
        <v>282</v>
      </c>
      <c r="R166" t="s">
        <v>283</v>
      </c>
      <c r="S166" t="s">
        <v>123</v>
      </c>
      <c r="T166">
        <v>58339</v>
      </c>
      <c r="U166" t="s">
        <v>32</v>
      </c>
      <c r="V166" t="s">
        <v>33</v>
      </c>
      <c r="W166" t="s">
        <v>275</v>
      </c>
      <c r="X166" t="s">
        <v>284</v>
      </c>
      <c r="Y166" t="s">
        <v>151</v>
      </c>
    </row>
    <row r="167" spans="1:25" x14ac:dyDescent="0.25">
      <c r="A167">
        <v>10159</v>
      </c>
      <c r="B167">
        <v>41</v>
      </c>
      <c r="C167">
        <v>100</v>
      </c>
      <c r="D167">
        <v>2</v>
      </c>
      <c r="E167">
        <v>8296.35</v>
      </c>
      <c r="F167" s="1">
        <v>37904</v>
      </c>
      <c r="G167" t="s">
        <v>25</v>
      </c>
      <c r="H167">
        <v>4</v>
      </c>
      <c r="I167">
        <v>10</v>
      </c>
      <c r="J167">
        <v>2003</v>
      </c>
      <c r="K167" t="s">
        <v>181</v>
      </c>
      <c r="L167">
        <v>194</v>
      </c>
      <c r="M167" t="s">
        <v>424</v>
      </c>
      <c r="N167" t="s">
        <v>58</v>
      </c>
      <c r="O167">
        <v>6505551386</v>
      </c>
      <c r="P167" t="s">
        <v>59</v>
      </c>
      <c r="R167" t="s">
        <v>60</v>
      </c>
      <c r="S167" t="s">
        <v>55</v>
      </c>
      <c r="U167" t="s">
        <v>32</v>
      </c>
      <c r="V167" t="s">
        <v>33</v>
      </c>
      <c r="W167" t="s">
        <v>61</v>
      </c>
      <c r="X167" t="s">
        <v>57</v>
      </c>
      <c r="Y167" t="s">
        <v>151</v>
      </c>
    </row>
    <row r="168" spans="1:25" x14ac:dyDescent="0.25">
      <c r="A168">
        <v>10169</v>
      </c>
      <c r="B168">
        <v>30</v>
      </c>
      <c r="C168">
        <v>100</v>
      </c>
      <c r="D168">
        <v>2</v>
      </c>
      <c r="E168">
        <v>5019.8999999999996</v>
      </c>
      <c r="F168" s="1">
        <v>37929</v>
      </c>
      <c r="G168" t="s">
        <v>25</v>
      </c>
      <c r="H168">
        <v>4</v>
      </c>
      <c r="I168">
        <v>11</v>
      </c>
      <c r="J168">
        <v>2003</v>
      </c>
      <c r="K168" t="s">
        <v>181</v>
      </c>
      <c r="L168">
        <v>194</v>
      </c>
      <c r="M168" t="s">
        <v>424</v>
      </c>
      <c r="N168" t="s">
        <v>285</v>
      </c>
      <c r="O168" t="s">
        <v>286</v>
      </c>
      <c r="P168" t="s">
        <v>287</v>
      </c>
      <c r="Q168" t="s">
        <v>288</v>
      </c>
      <c r="R168" t="s">
        <v>289</v>
      </c>
      <c r="S168" t="s">
        <v>157</v>
      </c>
      <c r="T168">
        <v>2060</v>
      </c>
      <c r="U168" t="s">
        <v>95</v>
      </c>
      <c r="V168" t="s">
        <v>96</v>
      </c>
      <c r="W168" t="s">
        <v>290</v>
      </c>
      <c r="X168" t="s">
        <v>291</v>
      </c>
      <c r="Y168" t="s">
        <v>51</v>
      </c>
    </row>
    <row r="169" spans="1:25" x14ac:dyDescent="0.25">
      <c r="A169">
        <v>10181</v>
      </c>
      <c r="B169">
        <v>27</v>
      </c>
      <c r="C169">
        <v>100</v>
      </c>
      <c r="D169">
        <v>14</v>
      </c>
      <c r="E169">
        <v>5411.07</v>
      </c>
      <c r="F169" s="1">
        <v>37937</v>
      </c>
      <c r="G169" t="s">
        <v>25</v>
      </c>
      <c r="H169">
        <v>4</v>
      </c>
      <c r="I169">
        <v>11</v>
      </c>
      <c r="J169">
        <v>2003</v>
      </c>
      <c r="K169" t="s">
        <v>181</v>
      </c>
      <c r="L169">
        <v>194</v>
      </c>
      <c r="M169" t="s">
        <v>424</v>
      </c>
      <c r="N169" t="s">
        <v>73</v>
      </c>
      <c r="O169" t="s">
        <v>74</v>
      </c>
      <c r="P169" t="s">
        <v>75</v>
      </c>
      <c r="R169" t="s">
        <v>76</v>
      </c>
      <c r="T169" t="s">
        <v>77</v>
      </c>
      <c r="U169" t="s">
        <v>78</v>
      </c>
      <c r="V169" t="s">
        <v>42</v>
      </c>
      <c r="W169" t="s">
        <v>79</v>
      </c>
      <c r="X169" t="s">
        <v>80</v>
      </c>
      <c r="Y169" t="s">
        <v>51</v>
      </c>
    </row>
    <row r="170" spans="1:25" x14ac:dyDescent="0.25">
      <c r="A170">
        <v>10191</v>
      </c>
      <c r="B170">
        <v>21</v>
      </c>
      <c r="C170">
        <v>100</v>
      </c>
      <c r="D170">
        <v>3</v>
      </c>
      <c r="E170">
        <v>3840.9</v>
      </c>
      <c r="F170" s="1">
        <v>37945</v>
      </c>
      <c r="G170" t="s">
        <v>25</v>
      </c>
      <c r="H170">
        <v>4</v>
      </c>
      <c r="I170">
        <v>11</v>
      </c>
      <c r="J170">
        <v>2003</v>
      </c>
      <c r="K170" t="s">
        <v>181</v>
      </c>
      <c r="L170">
        <v>194</v>
      </c>
      <c r="M170" t="s">
        <v>424</v>
      </c>
      <c r="N170" t="s">
        <v>439</v>
      </c>
      <c r="O170" t="s">
        <v>440</v>
      </c>
      <c r="P170" t="s">
        <v>441</v>
      </c>
      <c r="R170" t="s">
        <v>442</v>
      </c>
      <c r="T170">
        <v>50739</v>
      </c>
      <c r="U170" t="s">
        <v>443</v>
      </c>
      <c r="V170" t="s">
        <v>42</v>
      </c>
      <c r="W170" t="s">
        <v>444</v>
      </c>
      <c r="X170" t="s">
        <v>445</v>
      </c>
      <c r="Y170" t="s">
        <v>51</v>
      </c>
    </row>
    <row r="171" spans="1:25" x14ac:dyDescent="0.25">
      <c r="A171">
        <v>10203</v>
      </c>
      <c r="B171">
        <v>20</v>
      </c>
      <c r="C171">
        <v>100</v>
      </c>
      <c r="D171">
        <v>8</v>
      </c>
      <c r="E171">
        <v>3930.4</v>
      </c>
      <c r="F171" s="1">
        <v>37957</v>
      </c>
      <c r="G171" t="s">
        <v>25</v>
      </c>
      <c r="H171">
        <v>4</v>
      </c>
      <c r="I171">
        <v>12</v>
      </c>
      <c r="J171">
        <v>2003</v>
      </c>
      <c r="K171" t="s">
        <v>181</v>
      </c>
      <c r="L171">
        <v>194</v>
      </c>
      <c r="M171" t="s">
        <v>424</v>
      </c>
      <c r="N171" t="s">
        <v>174</v>
      </c>
      <c r="O171" t="s">
        <v>175</v>
      </c>
      <c r="P171" t="s">
        <v>176</v>
      </c>
      <c r="R171" t="s">
        <v>177</v>
      </c>
      <c r="T171">
        <v>28034</v>
      </c>
      <c r="U171" t="s">
        <v>178</v>
      </c>
      <c r="V171" t="s">
        <v>42</v>
      </c>
      <c r="W171" t="s">
        <v>179</v>
      </c>
      <c r="X171" t="s">
        <v>180</v>
      </c>
      <c r="Y171" t="s">
        <v>51</v>
      </c>
    </row>
    <row r="172" spans="1:25" x14ac:dyDescent="0.25">
      <c r="A172">
        <v>10211</v>
      </c>
      <c r="B172">
        <v>41</v>
      </c>
      <c r="C172">
        <v>100</v>
      </c>
      <c r="D172">
        <v>2</v>
      </c>
      <c r="E172">
        <v>7498.9</v>
      </c>
      <c r="F172" s="1">
        <v>38001</v>
      </c>
      <c r="G172" t="s">
        <v>25</v>
      </c>
      <c r="H172">
        <v>1</v>
      </c>
      <c r="I172">
        <v>1</v>
      </c>
      <c r="J172">
        <v>2004</v>
      </c>
      <c r="K172" t="s">
        <v>181</v>
      </c>
      <c r="L172">
        <v>194</v>
      </c>
      <c r="M172" t="s">
        <v>424</v>
      </c>
      <c r="N172" t="s">
        <v>84</v>
      </c>
      <c r="O172" t="s">
        <v>85</v>
      </c>
      <c r="P172" t="s">
        <v>86</v>
      </c>
      <c r="R172" t="s">
        <v>48</v>
      </c>
      <c r="T172">
        <v>75016</v>
      </c>
      <c r="U172" t="s">
        <v>41</v>
      </c>
      <c r="V172" t="s">
        <v>42</v>
      </c>
      <c r="W172" t="s">
        <v>87</v>
      </c>
      <c r="X172" t="s">
        <v>88</v>
      </c>
      <c r="Y172" t="s">
        <v>151</v>
      </c>
    </row>
    <row r="173" spans="1:25" x14ac:dyDescent="0.25">
      <c r="A173">
        <v>10225</v>
      </c>
      <c r="B173">
        <v>27</v>
      </c>
      <c r="C173">
        <v>100</v>
      </c>
      <c r="D173">
        <v>9</v>
      </c>
      <c r="E173">
        <v>4517.91</v>
      </c>
      <c r="F173" s="1">
        <v>38039</v>
      </c>
      <c r="G173" t="s">
        <v>25</v>
      </c>
      <c r="H173">
        <v>1</v>
      </c>
      <c r="I173">
        <v>2</v>
      </c>
      <c r="J173">
        <v>2004</v>
      </c>
      <c r="K173" t="s">
        <v>181</v>
      </c>
      <c r="L173">
        <v>194</v>
      </c>
      <c r="M173" t="s">
        <v>424</v>
      </c>
      <c r="N173" t="s">
        <v>446</v>
      </c>
      <c r="O173" t="s">
        <v>447</v>
      </c>
      <c r="P173" t="s">
        <v>448</v>
      </c>
      <c r="R173" t="s">
        <v>449</v>
      </c>
      <c r="T173">
        <v>1203</v>
      </c>
      <c r="U173" t="s">
        <v>450</v>
      </c>
      <c r="V173" t="s">
        <v>42</v>
      </c>
      <c r="W173" t="s">
        <v>451</v>
      </c>
      <c r="X173" t="s">
        <v>103</v>
      </c>
      <c r="Y173" t="s">
        <v>51</v>
      </c>
    </row>
    <row r="174" spans="1:25" x14ac:dyDescent="0.25">
      <c r="A174">
        <v>10238</v>
      </c>
      <c r="B174">
        <v>28</v>
      </c>
      <c r="C174">
        <v>100</v>
      </c>
      <c r="D174">
        <v>3</v>
      </c>
      <c r="E174">
        <v>5774.72</v>
      </c>
      <c r="F174" s="1">
        <v>38086</v>
      </c>
      <c r="G174" t="s">
        <v>25</v>
      </c>
      <c r="H174">
        <v>2</v>
      </c>
      <c r="I174">
        <v>4</v>
      </c>
      <c r="J174">
        <v>2004</v>
      </c>
      <c r="K174" t="s">
        <v>181</v>
      </c>
      <c r="L174">
        <v>194</v>
      </c>
      <c r="M174" t="s">
        <v>424</v>
      </c>
      <c r="N174" t="s">
        <v>322</v>
      </c>
      <c r="O174" t="s">
        <v>323</v>
      </c>
      <c r="P174" t="s">
        <v>324</v>
      </c>
      <c r="R174" t="s">
        <v>325</v>
      </c>
      <c r="T174">
        <v>1734</v>
      </c>
      <c r="U174" t="s">
        <v>326</v>
      </c>
      <c r="V174" t="s">
        <v>42</v>
      </c>
      <c r="W174" t="s">
        <v>327</v>
      </c>
      <c r="X174" t="s">
        <v>328</v>
      </c>
      <c r="Y174" t="s">
        <v>51</v>
      </c>
    </row>
    <row r="175" spans="1:25" x14ac:dyDescent="0.25">
      <c r="A175">
        <v>10253</v>
      </c>
      <c r="B175">
        <v>24</v>
      </c>
      <c r="C175">
        <v>100</v>
      </c>
      <c r="D175">
        <v>13</v>
      </c>
      <c r="E175">
        <v>3922.56</v>
      </c>
      <c r="F175" s="1">
        <v>38139</v>
      </c>
      <c r="G175" t="s">
        <v>339</v>
      </c>
      <c r="H175">
        <v>2</v>
      </c>
      <c r="I175">
        <v>6</v>
      </c>
      <c r="J175">
        <v>2004</v>
      </c>
      <c r="K175" t="s">
        <v>181</v>
      </c>
      <c r="L175">
        <v>194</v>
      </c>
      <c r="M175" t="s">
        <v>424</v>
      </c>
      <c r="N175" t="s">
        <v>165</v>
      </c>
      <c r="O175" t="s">
        <v>166</v>
      </c>
      <c r="P175" t="s">
        <v>167</v>
      </c>
      <c r="R175" t="s">
        <v>168</v>
      </c>
      <c r="T175" t="s">
        <v>169</v>
      </c>
      <c r="U175" t="s">
        <v>170</v>
      </c>
      <c r="V175" t="s">
        <v>42</v>
      </c>
      <c r="W175" t="s">
        <v>171</v>
      </c>
      <c r="X175" t="s">
        <v>172</v>
      </c>
      <c r="Y175" t="s">
        <v>51</v>
      </c>
    </row>
    <row r="176" spans="1:25" x14ac:dyDescent="0.25">
      <c r="A176">
        <v>10266</v>
      </c>
      <c r="B176">
        <v>44</v>
      </c>
      <c r="C176">
        <v>100</v>
      </c>
      <c r="D176">
        <v>14</v>
      </c>
      <c r="E176">
        <v>9160.36</v>
      </c>
      <c r="F176" s="1">
        <v>38174</v>
      </c>
      <c r="G176" t="s">
        <v>25</v>
      </c>
      <c r="H176">
        <v>3</v>
      </c>
      <c r="I176">
        <v>7</v>
      </c>
      <c r="J176">
        <v>2004</v>
      </c>
      <c r="K176" t="s">
        <v>181</v>
      </c>
      <c r="L176">
        <v>194</v>
      </c>
      <c r="M176" t="s">
        <v>424</v>
      </c>
      <c r="N176" t="s">
        <v>452</v>
      </c>
      <c r="O176" t="s">
        <v>453</v>
      </c>
      <c r="P176" t="s">
        <v>454</v>
      </c>
      <c r="R176" t="s">
        <v>455</v>
      </c>
      <c r="T176">
        <v>42100</v>
      </c>
      <c r="U176" t="s">
        <v>258</v>
      </c>
      <c r="V176" t="s">
        <v>42</v>
      </c>
      <c r="W176" t="s">
        <v>456</v>
      </c>
      <c r="X176" t="s">
        <v>457</v>
      </c>
      <c r="Y176" t="s">
        <v>151</v>
      </c>
    </row>
    <row r="177" spans="1:25" x14ac:dyDescent="0.25">
      <c r="A177">
        <v>10276</v>
      </c>
      <c r="B177">
        <v>50</v>
      </c>
      <c r="C177">
        <v>100</v>
      </c>
      <c r="D177">
        <v>3</v>
      </c>
      <c r="E177">
        <v>9631</v>
      </c>
      <c r="F177" s="1">
        <v>38201</v>
      </c>
      <c r="G177" t="s">
        <v>25</v>
      </c>
      <c r="H177">
        <v>3</v>
      </c>
      <c r="I177">
        <v>8</v>
      </c>
      <c r="J177">
        <v>2004</v>
      </c>
      <c r="K177" t="s">
        <v>181</v>
      </c>
      <c r="L177">
        <v>194</v>
      </c>
      <c r="M177" t="s">
        <v>424</v>
      </c>
      <c r="N177" t="s">
        <v>458</v>
      </c>
      <c r="O177">
        <v>6175557555</v>
      </c>
      <c r="P177" t="s">
        <v>459</v>
      </c>
      <c r="R177" t="s">
        <v>283</v>
      </c>
      <c r="S177" t="s">
        <v>123</v>
      </c>
      <c r="T177">
        <v>58339</v>
      </c>
      <c r="U177" t="s">
        <v>32</v>
      </c>
      <c r="V177" t="s">
        <v>33</v>
      </c>
      <c r="W177" t="s">
        <v>460</v>
      </c>
      <c r="X177" t="s">
        <v>461</v>
      </c>
      <c r="Y177" t="s">
        <v>151</v>
      </c>
    </row>
    <row r="178" spans="1:25" x14ac:dyDescent="0.25">
      <c r="A178">
        <v>10287</v>
      </c>
      <c r="B178">
        <v>21</v>
      </c>
      <c r="C178">
        <v>100</v>
      </c>
      <c r="D178">
        <v>12</v>
      </c>
      <c r="E178">
        <v>3432.24</v>
      </c>
      <c r="F178" s="1">
        <v>38229</v>
      </c>
      <c r="G178" t="s">
        <v>25</v>
      </c>
      <c r="H178">
        <v>3</v>
      </c>
      <c r="I178">
        <v>8</v>
      </c>
      <c r="J178">
        <v>2004</v>
      </c>
      <c r="K178" t="s">
        <v>181</v>
      </c>
      <c r="L178">
        <v>194</v>
      </c>
      <c r="M178" t="s">
        <v>424</v>
      </c>
      <c r="N178" t="s">
        <v>446</v>
      </c>
      <c r="O178" t="s">
        <v>447</v>
      </c>
      <c r="P178" t="s">
        <v>448</v>
      </c>
      <c r="R178" t="s">
        <v>449</v>
      </c>
      <c r="T178">
        <v>1203</v>
      </c>
      <c r="U178" t="s">
        <v>450</v>
      </c>
      <c r="V178" t="s">
        <v>42</v>
      </c>
      <c r="W178" t="s">
        <v>451</v>
      </c>
      <c r="X178" t="s">
        <v>103</v>
      </c>
      <c r="Y178" t="s">
        <v>51</v>
      </c>
    </row>
    <row r="179" spans="1:25" x14ac:dyDescent="0.25">
      <c r="A179">
        <v>10300</v>
      </c>
      <c r="B179">
        <v>33</v>
      </c>
      <c r="C179">
        <v>100</v>
      </c>
      <c r="D179">
        <v>5</v>
      </c>
      <c r="E179">
        <v>5521.89</v>
      </c>
      <c r="F179" s="1">
        <v>37898</v>
      </c>
      <c r="G179" t="s">
        <v>25</v>
      </c>
      <c r="H179">
        <v>4</v>
      </c>
      <c r="I179">
        <v>10</v>
      </c>
      <c r="J179">
        <v>2003</v>
      </c>
      <c r="K179" t="s">
        <v>181</v>
      </c>
      <c r="L179">
        <v>194</v>
      </c>
      <c r="M179" t="s">
        <v>424</v>
      </c>
      <c r="N179" t="s">
        <v>462</v>
      </c>
      <c r="O179" t="s">
        <v>463</v>
      </c>
      <c r="P179" t="s">
        <v>464</v>
      </c>
      <c r="R179" t="s">
        <v>465</v>
      </c>
      <c r="T179">
        <v>60528</v>
      </c>
      <c r="U179" t="s">
        <v>443</v>
      </c>
      <c r="V179" t="s">
        <v>42</v>
      </c>
      <c r="W179" t="s">
        <v>466</v>
      </c>
      <c r="X179" t="s">
        <v>414</v>
      </c>
      <c r="Y179" t="s">
        <v>51</v>
      </c>
    </row>
    <row r="180" spans="1:25" x14ac:dyDescent="0.25">
      <c r="A180">
        <v>10310</v>
      </c>
      <c r="B180">
        <v>33</v>
      </c>
      <c r="C180">
        <v>100</v>
      </c>
      <c r="D180">
        <v>10</v>
      </c>
      <c r="E180">
        <v>6934.62</v>
      </c>
      <c r="F180" s="1">
        <v>38276</v>
      </c>
      <c r="G180" t="s">
        <v>25</v>
      </c>
      <c r="H180">
        <v>4</v>
      </c>
      <c r="I180">
        <v>10</v>
      </c>
      <c r="J180">
        <v>2004</v>
      </c>
      <c r="K180" t="s">
        <v>181</v>
      </c>
      <c r="L180">
        <v>194</v>
      </c>
      <c r="M180" t="s">
        <v>424</v>
      </c>
      <c r="N180" t="s">
        <v>439</v>
      </c>
      <c r="O180" t="s">
        <v>440</v>
      </c>
      <c r="P180" t="s">
        <v>441</v>
      </c>
      <c r="R180" t="s">
        <v>442</v>
      </c>
      <c r="T180">
        <v>50739</v>
      </c>
      <c r="U180" t="s">
        <v>443</v>
      </c>
      <c r="V180" t="s">
        <v>42</v>
      </c>
      <c r="W180" t="s">
        <v>444</v>
      </c>
      <c r="X180" t="s">
        <v>445</v>
      </c>
      <c r="Y180" t="s">
        <v>51</v>
      </c>
    </row>
    <row r="181" spans="1:25" x14ac:dyDescent="0.25">
      <c r="A181">
        <v>10320</v>
      </c>
      <c r="B181">
        <v>31</v>
      </c>
      <c r="C181">
        <v>100</v>
      </c>
      <c r="D181">
        <v>3</v>
      </c>
      <c r="E181">
        <v>6876.11</v>
      </c>
      <c r="F181" s="1">
        <v>38294</v>
      </c>
      <c r="G181" t="s">
        <v>25</v>
      </c>
      <c r="H181">
        <v>4</v>
      </c>
      <c r="I181">
        <v>11</v>
      </c>
      <c r="J181">
        <v>2004</v>
      </c>
      <c r="K181" t="s">
        <v>181</v>
      </c>
      <c r="L181">
        <v>194</v>
      </c>
      <c r="M181" t="s">
        <v>424</v>
      </c>
      <c r="N181" t="s">
        <v>183</v>
      </c>
      <c r="O181" t="s">
        <v>184</v>
      </c>
      <c r="P181" t="s">
        <v>185</v>
      </c>
      <c r="R181" t="s">
        <v>186</v>
      </c>
      <c r="T181" t="s">
        <v>187</v>
      </c>
      <c r="U181" t="s">
        <v>188</v>
      </c>
      <c r="V181" t="s">
        <v>42</v>
      </c>
      <c r="W181" t="s">
        <v>189</v>
      </c>
      <c r="X181" t="s">
        <v>190</v>
      </c>
      <c r="Y181" t="s">
        <v>51</v>
      </c>
    </row>
    <row r="182" spans="1:25" x14ac:dyDescent="0.25">
      <c r="A182">
        <v>10329</v>
      </c>
      <c r="B182">
        <v>41</v>
      </c>
      <c r="C182">
        <v>71.47</v>
      </c>
      <c r="D182">
        <v>5</v>
      </c>
      <c r="E182">
        <v>2930.27</v>
      </c>
      <c r="F182" s="1">
        <v>38306</v>
      </c>
      <c r="G182" t="s">
        <v>25</v>
      </c>
      <c r="H182">
        <v>4</v>
      </c>
      <c r="I182">
        <v>11</v>
      </c>
      <c r="J182">
        <v>2004</v>
      </c>
      <c r="K182" t="s">
        <v>181</v>
      </c>
      <c r="L182">
        <v>194</v>
      </c>
      <c r="M182" t="s">
        <v>424</v>
      </c>
      <c r="N182" t="s">
        <v>28</v>
      </c>
      <c r="O182">
        <v>2125557818</v>
      </c>
      <c r="P182" t="s">
        <v>29</v>
      </c>
      <c r="R182" t="s">
        <v>30</v>
      </c>
      <c r="S182" t="s">
        <v>31</v>
      </c>
      <c r="T182">
        <v>10022</v>
      </c>
      <c r="U182" t="s">
        <v>32</v>
      </c>
      <c r="V182" t="s">
        <v>33</v>
      </c>
      <c r="W182" t="s">
        <v>34</v>
      </c>
      <c r="X182" t="s">
        <v>35</v>
      </c>
      <c r="Y182" t="s">
        <v>36</v>
      </c>
    </row>
    <row r="183" spans="1:25" x14ac:dyDescent="0.25">
      <c r="A183">
        <v>10341</v>
      </c>
      <c r="B183">
        <v>45</v>
      </c>
      <c r="C183">
        <v>79.650000000000006</v>
      </c>
      <c r="D183">
        <v>2</v>
      </c>
      <c r="E183">
        <v>3584.25</v>
      </c>
      <c r="F183" s="1">
        <v>38315</v>
      </c>
      <c r="G183" t="s">
        <v>25</v>
      </c>
      <c r="H183">
        <v>4</v>
      </c>
      <c r="I183">
        <v>11</v>
      </c>
      <c r="J183">
        <v>2004</v>
      </c>
      <c r="K183" t="s">
        <v>181</v>
      </c>
      <c r="L183">
        <v>194</v>
      </c>
      <c r="M183" t="s">
        <v>424</v>
      </c>
      <c r="N183" t="s">
        <v>144</v>
      </c>
      <c r="O183" t="s">
        <v>145</v>
      </c>
      <c r="P183" t="s">
        <v>146</v>
      </c>
      <c r="R183" t="s">
        <v>147</v>
      </c>
      <c r="T183">
        <v>5020</v>
      </c>
      <c r="U183" t="s">
        <v>148</v>
      </c>
      <c r="V183" t="s">
        <v>42</v>
      </c>
      <c r="W183" t="s">
        <v>149</v>
      </c>
      <c r="X183" t="s">
        <v>150</v>
      </c>
      <c r="Y183" t="s">
        <v>51</v>
      </c>
    </row>
    <row r="184" spans="1:25" x14ac:dyDescent="0.25">
      <c r="A184">
        <v>10363</v>
      </c>
      <c r="B184">
        <v>33</v>
      </c>
      <c r="C184">
        <v>85.39</v>
      </c>
      <c r="D184">
        <v>3</v>
      </c>
      <c r="E184">
        <v>2817.87</v>
      </c>
      <c r="F184" s="1">
        <v>38358</v>
      </c>
      <c r="G184" t="s">
        <v>25</v>
      </c>
      <c r="H184">
        <v>1</v>
      </c>
      <c r="I184">
        <v>1</v>
      </c>
      <c r="J184">
        <v>2005</v>
      </c>
      <c r="K184" t="s">
        <v>181</v>
      </c>
      <c r="L184">
        <v>194</v>
      </c>
      <c r="M184" t="s">
        <v>424</v>
      </c>
      <c r="N184" t="s">
        <v>467</v>
      </c>
      <c r="O184" t="s">
        <v>468</v>
      </c>
      <c r="P184" t="s">
        <v>469</v>
      </c>
      <c r="R184" t="s">
        <v>470</v>
      </c>
      <c r="T184" t="s">
        <v>471</v>
      </c>
      <c r="U184" t="s">
        <v>130</v>
      </c>
      <c r="V184" t="s">
        <v>42</v>
      </c>
      <c r="W184" t="s">
        <v>472</v>
      </c>
      <c r="X184" t="s">
        <v>473</v>
      </c>
      <c r="Y184" t="s">
        <v>36</v>
      </c>
    </row>
    <row r="185" spans="1:25" x14ac:dyDescent="0.25">
      <c r="A185">
        <v>10375</v>
      </c>
      <c r="B185">
        <v>45</v>
      </c>
      <c r="C185">
        <v>76</v>
      </c>
      <c r="D185">
        <v>7</v>
      </c>
      <c r="E185">
        <v>3420</v>
      </c>
      <c r="F185" s="1">
        <v>38386</v>
      </c>
      <c r="G185" t="s">
        <v>25</v>
      </c>
      <c r="H185">
        <v>1</v>
      </c>
      <c r="I185">
        <v>2</v>
      </c>
      <c r="J185">
        <v>2005</v>
      </c>
      <c r="K185" t="s">
        <v>181</v>
      </c>
      <c r="L185">
        <v>194</v>
      </c>
      <c r="M185" t="s">
        <v>424</v>
      </c>
      <c r="N185" t="s">
        <v>114</v>
      </c>
      <c r="O185" t="s">
        <v>115</v>
      </c>
      <c r="P185" t="s">
        <v>116</v>
      </c>
      <c r="R185" t="s">
        <v>117</v>
      </c>
      <c r="T185">
        <v>44000</v>
      </c>
      <c r="U185" t="s">
        <v>41</v>
      </c>
      <c r="V185" t="s">
        <v>42</v>
      </c>
      <c r="W185" t="s">
        <v>118</v>
      </c>
      <c r="X185" t="s">
        <v>119</v>
      </c>
      <c r="Y185" t="s">
        <v>51</v>
      </c>
    </row>
    <row r="186" spans="1:25" x14ac:dyDescent="0.25">
      <c r="A186">
        <v>10389</v>
      </c>
      <c r="B186">
        <v>26</v>
      </c>
      <c r="C186">
        <v>99.04</v>
      </c>
      <c r="D186">
        <v>4</v>
      </c>
      <c r="E186">
        <v>2575.04</v>
      </c>
      <c r="F186" s="1">
        <v>38414</v>
      </c>
      <c r="G186" t="s">
        <v>25</v>
      </c>
      <c r="H186">
        <v>1</v>
      </c>
      <c r="I186">
        <v>3</v>
      </c>
      <c r="J186">
        <v>2005</v>
      </c>
      <c r="K186" t="s">
        <v>181</v>
      </c>
      <c r="L186">
        <v>194</v>
      </c>
      <c r="M186" t="s">
        <v>424</v>
      </c>
      <c r="N186" t="s">
        <v>261</v>
      </c>
      <c r="O186" t="s">
        <v>262</v>
      </c>
      <c r="P186" t="s">
        <v>263</v>
      </c>
      <c r="R186" t="s">
        <v>264</v>
      </c>
      <c r="T186" t="s">
        <v>265</v>
      </c>
      <c r="U186" t="s">
        <v>188</v>
      </c>
      <c r="V186" t="s">
        <v>42</v>
      </c>
      <c r="W186" t="s">
        <v>266</v>
      </c>
      <c r="X186" t="s">
        <v>206</v>
      </c>
      <c r="Y186" t="s">
        <v>36</v>
      </c>
    </row>
    <row r="187" spans="1:25" x14ac:dyDescent="0.25">
      <c r="A187">
        <v>10419</v>
      </c>
      <c r="B187">
        <v>12</v>
      </c>
      <c r="C187">
        <v>100</v>
      </c>
      <c r="D187">
        <v>13</v>
      </c>
      <c r="E187">
        <v>1961.28</v>
      </c>
      <c r="F187" s="1">
        <v>38489</v>
      </c>
      <c r="G187" t="s">
        <v>25</v>
      </c>
      <c r="H187">
        <v>2</v>
      </c>
      <c r="I187">
        <v>5</v>
      </c>
      <c r="J187">
        <v>2005</v>
      </c>
      <c r="K187" t="s">
        <v>181</v>
      </c>
      <c r="L187">
        <v>194</v>
      </c>
      <c r="M187" t="s">
        <v>424</v>
      </c>
      <c r="N187" t="s">
        <v>144</v>
      </c>
      <c r="O187" t="s">
        <v>145</v>
      </c>
      <c r="P187" t="s">
        <v>146</v>
      </c>
      <c r="R187" t="s">
        <v>147</v>
      </c>
      <c r="T187">
        <v>5020</v>
      </c>
      <c r="U187" t="s">
        <v>148</v>
      </c>
      <c r="V187" t="s">
        <v>42</v>
      </c>
      <c r="W187" t="s">
        <v>149</v>
      </c>
      <c r="X187" t="s">
        <v>150</v>
      </c>
      <c r="Y187" t="s">
        <v>36</v>
      </c>
    </row>
    <row r="188" spans="1:25" x14ac:dyDescent="0.25">
      <c r="A188">
        <v>10105</v>
      </c>
      <c r="B188">
        <v>41</v>
      </c>
      <c r="C188">
        <v>100</v>
      </c>
      <c r="D188">
        <v>15</v>
      </c>
      <c r="E188">
        <v>8690.36</v>
      </c>
      <c r="F188" s="1">
        <v>37663</v>
      </c>
      <c r="G188" t="s">
        <v>25</v>
      </c>
      <c r="H188">
        <v>1</v>
      </c>
      <c r="I188">
        <v>2</v>
      </c>
      <c r="J188">
        <v>2003</v>
      </c>
      <c r="K188" t="s">
        <v>181</v>
      </c>
      <c r="L188">
        <v>207</v>
      </c>
      <c r="M188" t="s">
        <v>474</v>
      </c>
      <c r="N188" t="s">
        <v>322</v>
      </c>
      <c r="O188" t="s">
        <v>323</v>
      </c>
      <c r="P188" t="s">
        <v>324</v>
      </c>
      <c r="R188" t="s">
        <v>325</v>
      </c>
      <c r="T188">
        <v>1734</v>
      </c>
      <c r="U188" t="s">
        <v>326</v>
      </c>
      <c r="V188" t="s">
        <v>42</v>
      </c>
      <c r="W188" t="s">
        <v>327</v>
      </c>
      <c r="X188" t="s">
        <v>328</v>
      </c>
      <c r="Y188" t="s">
        <v>151</v>
      </c>
    </row>
    <row r="189" spans="1:25" x14ac:dyDescent="0.25">
      <c r="A189">
        <v>10117</v>
      </c>
      <c r="B189">
        <v>33</v>
      </c>
      <c r="C189">
        <v>100</v>
      </c>
      <c r="D189">
        <v>9</v>
      </c>
      <c r="E189">
        <v>6034.38</v>
      </c>
      <c r="F189" s="1">
        <v>37727</v>
      </c>
      <c r="G189" t="s">
        <v>25</v>
      </c>
      <c r="H189">
        <v>2</v>
      </c>
      <c r="I189">
        <v>4</v>
      </c>
      <c r="J189">
        <v>2003</v>
      </c>
      <c r="K189" t="s">
        <v>181</v>
      </c>
      <c r="L189">
        <v>207</v>
      </c>
      <c r="M189" t="s">
        <v>474</v>
      </c>
      <c r="N189" t="s">
        <v>196</v>
      </c>
      <c r="O189" t="s">
        <v>197</v>
      </c>
      <c r="P189" t="s">
        <v>198</v>
      </c>
      <c r="R189" t="s">
        <v>199</v>
      </c>
      <c r="T189">
        <v>79903</v>
      </c>
      <c r="U189" t="s">
        <v>199</v>
      </c>
      <c r="V189" t="s">
        <v>200</v>
      </c>
      <c r="W189" t="s">
        <v>201</v>
      </c>
      <c r="X189" t="s">
        <v>202</v>
      </c>
      <c r="Y189" t="s">
        <v>51</v>
      </c>
    </row>
    <row r="190" spans="1:25" x14ac:dyDescent="0.25">
      <c r="A190">
        <v>10127</v>
      </c>
      <c r="B190">
        <v>46</v>
      </c>
      <c r="C190">
        <v>100</v>
      </c>
      <c r="D190">
        <v>2</v>
      </c>
      <c r="E190">
        <v>11279.2</v>
      </c>
      <c r="F190" s="1">
        <v>37775</v>
      </c>
      <c r="G190" t="s">
        <v>25</v>
      </c>
      <c r="H190">
        <v>2</v>
      </c>
      <c r="I190">
        <v>6</v>
      </c>
      <c r="J190">
        <v>2003</v>
      </c>
      <c r="K190" t="s">
        <v>181</v>
      </c>
      <c r="L190">
        <v>207</v>
      </c>
      <c r="M190" t="s">
        <v>474</v>
      </c>
      <c r="N190" t="s">
        <v>475</v>
      </c>
      <c r="O190">
        <v>2125557413</v>
      </c>
      <c r="P190" t="s">
        <v>476</v>
      </c>
      <c r="Q190" t="s">
        <v>477</v>
      </c>
      <c r="R190" t="s">
        <v>30</v>
      </c>
      <c r="S190" t="s">
        <v>31</v>
      </c>
      <c r="T190">
        <v>10022</v>
      </c>
      <c r="U190" t="s">
        <v>32</v>
      </c>
      <c r="V190" t="s">
        <v>33</v>
      </c>
      <c r="W190" t="s">
        <v>56</v>
      </c>
      <c r="X190" t="s">
        <v>478</v>
      </c>
      <c r="Y190" t="s">
        <v>151</v>
      </c>
    </row>
    <row r="191" spans="1:25" x14ac:dyDescent="0.25">
      <c r="A191">
        <v>10142</v>
      </c>
      <c r="B191">
        <v>33</v>
      </c>
      <c r="C191">
        <v>100</v>
      </c>
      <c r="D191">
        <v>12</v>
      </c>
      <c r="E191">
        <v>8023.29</v>
      </c>
      <c r="F191" s="1">
        <v>37841</v>
      </c>
      <c r="G191" t="s">
        <v>25</v>
      </c>
      <c r="H191">
        <v>3</v>
      </c>
      <c r="I191">
        <v>8</v>
      </c>
      <c r="J191">
        <v>2003</v>
      </c>
      <c r="K191" t="s">
        <v>181</v>
      </c>
      <c r="L191">
        <v>207</v>
      </c>
      <c r="M191" t="s">
        <v>474</v>
      </c>
      <c r="N191" t="s">
        <v>272</v>
      </c>
      <c r="O191">
        <v>4155551450</v>
      </c>
      <c r="P191" t="s">
        <v>273</v>
      </c>
      <c r="R191" t="s">
        <v>274</v>
      </c>
      <c r="S191" t="s">
        <v>55</v>
      </c>
      <c r="T191">
        <v>97562</v>
      </c>
      <c r="U191" t="s">
        <v>32</v>
      </c>
      <c r="V191" t="s">
        <v>33</v>
      </c>
      <c r="W191" t="s">
        <v>275</v>
      </c>
      <c r="X191" t="s">
        <v>276</v>
      </c>
      <c r="Y191" t="s">
        <v>151</v>
      </c>
    </row>
    <row r="192" spans="1:25" x14ac:dyDescent="0.25">
      <c r="A192">
        <v>10153</v>
      </c>
      <c r="B192">
        <v>20</v>
      </c>
      <c r="C192">
        <v>100</v>
      </c>
      <c r="D192">
        <v>11</v>
      </c>
      <c r="E192">
        <v>4904</v>
      </c>
      <c r="F192" s="1">
        <v>37892</v>
      </c>
      <c r="G192" t="s">
        <v>25</v>
      </c>
      <c r="H192">
        <v>3</v>
      </c>
      <c r="I192">
        <v>9</v>
      </c>
      <c r="J192">
        <v>2003</v>
      </c>
      <c r="K192" t="s">
        <v>181</v>
      </c>
      <c r="L192">
        <v>207</v>
      </c>
      <c r="M192" t="s">
        <v>474</v>
      </c>
      <c r="N192" t="s">
        <v>174</v>
      </c>
      <c r="O192" t="s">
        <v>175</v>
      </c>
      <c r="P192" t="s">
        <v>176</v>
      </c>
      <c r="R192" t="s">
        <v>177</v>
      </c>
      <c r="T192">
        <v>28034</v>
      </c>
      <c r="U192" t="s">
        <v>178</v>
      </c>
      <c r="V192" t="s">
        <v>42</v>
      </c>
      <c r="W192" t="s">
        <v>179</v>
      </c>
      <c r="X192" t="s">
        <v>180</v>
      </c>
      <c r="Y192" t="s">
        <v>51</v>
      </c>
    </row>
    <row r="193" spans="1:25" x14ac:dyDescent="0.25">
      <c r="A193">
        <v>10165</v>
      </c>
      <c r="B193">
        <v>44</v>
      </c>
      <c r="C193">
        <v>100</v>
      </c>
      <c r="D193">
        <v>3</v>
      </c>
      <c r="E193">
        <v>8594.52</v>
      </c>
      <c r="F193" s="1">
        <v>37916</v>
      </c>
      <c r="G193" t="s">
        <v>25</v>
      </c>
      <c r="H193">
        <v>4</v>
      </c>
      <c r="I193">
        <v>10</v>
      </c>
      <c r="J193">
        <v>2003</v>
      </c>
      <c r="K193" t="s">
        <v>181</v>
      </c>
      <c r="L193">
        <v>207</v>
      </c>
      <c r="M193" t="s">
        <v>474</v>
      </c>
      <c r="N193" t="s">
        <v>196</v>
      </c>
      <c r="O193" t="s">
        <v>197</v>
      </c>
      <c r="P193" t="s">
        <v>198</v>
      </c>
      <c r="R193" t="s">
        <v>199</v>
      </c>
      <c r="T193">
        <v>79903</v>
      </c>
      <c r="U193" t="s">
        <v>199</v>
      </c>
      <c r="V193" t="s">
        <v>200</v>
      </c>
      <c r="W193" t="s">
        <v>201</v>
      </c>
      <c r="X193" t="s">
        <v>202</v>
      </c>
      <c r="Y193" t="s">
        <v>151</v>
      </c>
    </row>
    <row r="194" spans="1:25" x14ac:dyDescent="0.25">
      <c r="A194">
        <v>10176</v>
      </c>
      <c r="B194">
        <v>33</v>
      </c>
      <c r="C194">
        <v>100</v>
      </c>
      <c r="D194">
        <v>2</v>
      </c>
      <c r="E194">
        <v>7474.5</v>
      </c>
      <c r="F194" s="1">
        <v>37931</v>
      </c>
      <c r="G194" t="s">
        <v>25</v>
      </c>
      <c r="H194">
        <v>4</v>
      </c>
      <c r="I194">
        <v>11</v>
      </c>
      <c r="J194">
        <v>2003</v>
      </c>
      <c r="K194" t="s">
        <v>181</v>
      </c>
      <c r="L194">
        <v>207</v>
      </c>
      <c r="M194" t="s">
        <v>474</v>
      </c>
      <c r="N194" t="s">
        <v>452</v>
      </c>
      <c r="O194" t="s">
        <v>453</v>
      </c>
      <c r="P194" t="s">
        <v>454</v>
      </c>
      <c r="R194" t="s">
        <v>455</v>
      </c>
      <c r="T194">
        <v>42100</v>
      </c>
      <c r="U194" t="s">
        <v>258</v>
      </c>
      <c r="V194" t="s">
        <v>42</v>
      </c>
      <c r="W194" t="s">
        <v>456</v>
      </c>
      <c r="X194" t="s">
        <v>457</v>
      </c>
      <c r="Y194" t="s">
        <v>151</v>
      </c>
    </row>
    <row r="195" spans="1:25" x14ac:dyDescent="0.25">
      <c r="A195">
        <v>10185</v>
      </c>
      <c r="B195">
        <v>21</v>
      </c>
      <c r="C195">
        <v>100</v>
      </c>
      <c r="D195">
        <v>13</v>
      </c>
      <c r="E195">
        <v>3883.74</v>
      </c>
      <c r="F195" s="1">
        <v>37939</v>
      </c>
      <c r="G195" t="s">
        <v>25</v>
      </c>
      <c r="H195">
        <v>4</v>
      </c>
      <c r="I195">
        <v>11</v>
      </c>
      <c r="J195">
        <v>2003</v>
      </c>
      <c r="K195" t="s">
        <v>181</v>
      </c>
      <c r="L195">
        <v>207</v>
      </c>
      <c r="M195" t="s">
        <v>474</v>
      </c>
      <c r="N195" t="s">
        <v>335</v>
      </c>
      <c r="O195">
        <v>5085559555</v>
      </c>
      <c r="P195" t="s">
        <v>336</v>
      </c>
      <c r="R195" t="s">
        <v>162</v>
      </c>
      <c r="S195" t="s">
        <v>123</v>
      </c>
      <c r="T195">
        <v>50553</v>
      </c>
      <c r="U195" t="s">
        <v>32</v>
      </c>
      <c r="V195" t="s">
        <v>33</v>
      </c>
      <c r="W195" t="s">
        <v>337</v>
      </c>
      <c r="X195" t="s">
        <v>338</v>
      </c>
      <c r="Y195" t="s">
        <v>51</v>
      </c>
    </row>
    <row r="196" spans="1:25" x14ac:dyDescent="0.25">
      <c r="A196">
        <v>10196</v>
      </c>
      <c r="B196">
        <v>47</v>
      </c>
      <c r="C196">
        <v>100</v>
      </c>
      <c r="D196">
        <v>5</v>
      </c>
      <c r="E196">
        <v>8887.7000000000007</v>
      </c>
      <c r="F196" s="1">
        <v>37951</v>
      </c>
      <c r="G196" t="s">
        <v>25</v>
      </c>
      <c r="H196">
        <v>4</v>
      </c>
      <c r="I196">
        <v>11</v>
      </c>
      <c r="J196">
        <v>2003</v>
      </c>
      <c r="K196" t="s">
        <v>181</v>
      </c>
      <c r="L196">
        <v>207</v>
      </c>
      <c r="M196" t="s">
        <v>474</v>
      </c>
      <c r="N196" t="s">
        <v>242</v>
      </c>
      <c r="O196">
        <v>2035559545</v>
      </c>
      <c r="P196" t="s">
        <v>243</v>
      </c>
      <c r="R196" t="s">
        <v>244</v>
      </c>
      <c r="S196" t="s">
        <v>112</v>
      </c>
      <c r="T196">
        <v>97823</v>
      </c>
      <c r="U196" t="s">
        <v>32</v>
      </c>
      <c r="V196" t="s">
        <v>33</v>
      </c>
      <c r="W196" t="s">
        <v>83</v>
      </c>
      <c r="X196" t="s">
        <v>245</v>
      </c>
      <c r="Y196" t="s">
        <v>151</v>
      </c>
    </row>
    <row r="197" spans="1:25" x14ac:dyDescent="0.25">
      <c r="A197">
        <v>10208</v>
      </c>
      <c r="B197">
        <v>46</v>
      </c>
      <c r="C197">
        <v>100</v>
      </c>
      <c r="D197">
        <v>13</v>
      </c>
      <c r="E197">
        <v>8602.92</v>
      </c>
      <c r="F197" s="1">
        <v>37988</v>
      </c>
      <c r="G197" t="s">
        <v>25</v>
      </c>
      <c r="H197">
        <v>1</v>
      </c>
      <c r="I197">
        <v>1</v>
      </c>
      <c r="J197">
        <v>2004</v>
      </c>
      <c r="K197" t="s">
        <v>181</v>
      </c>
      <c r="L197">
        <v>207</v>
      </c>
      <c r="M197" t="s">
        <v>474</v>
      </c>
      <c r="N197" t="s">
        <v>219</v>
      </c>
      <c r="O197" t="s">
        <v>220</v>
      </c>
      <c r="P197" t="s">
        <v>221</v>
      </c>
      <c r="R197" t="s">
        <v>222</v>
      </c>
      <c r="T197">
        <v>69004</v>
      </c>
      <c r="U197" t="s">
        <v>41</v>
      </c>
      <c r="V197" t="s">
        <v>42</v>
      </c>
      <c r="W197" t="s">
        <v>223</v>
      </c>
      <c r="X197" t="s">
        <v>224</v>
      </c>
      <c r="Y197" t="s">
        <v>151</v>
      </c>
    </row>
    <row r="198" spans="1:25" x14ac:dyDescent="0.25">
      <c r="A198">
        <v>10220</v>
      </c>
      <c r="B198">
        <v>32</v>
      </c>
      <c r="C198">
        <v>100</v>
      </c>
      <c r="D198">
        <v>2</v>
      </c>
      <c r="E198">
        <v>7181.44</v>
      </c>
      <c r="F198" s="1">
        <v>38029</v>
      </c>
      <c r="G198" t="s">
        <v>25</v>
      </c>
      <c r="H198">
        <v>1</v>
      </c>
      <c r="I198">
        <v>2</v>
      </c>
      <c r="J198">
        <v>2004</v>
      </c>
      <c r="K198" t="s">
        <v>181</v>
      </c>
      <c r="L198">
        <v>207</v>
      </c>
      <c r="M198" t="s">
        <v>474</v>
      </c>
      <c r="N198" t="s">
        <v>479</v>
      </c>
      <c r="O198" t="s">
        <v>480</v>
      </c>
      <c r="P198" t="s">
        <v>481</v>
      </c>
      <c r="Q198" t="s">
        <v>482</v>
      </c>
      <c r="R198" t="s">
        <v>483</v>
      </c>
      <c r="T198">
        <v>2</v>
      </c>
      <c r="U198" t="s">
        <v>484</v>
      </c>
      <c r="V198" t="s">
        <v>42</v>
      </c>
      <c r="W198" t="s">
        <v>485</v>
      </c>
      <c r="X198" t="s">
        <v>486</v>
      </c>
      <c r="Y198" t="s">
        <v>151</v>
      </c>
    </row>
    <row r="199" spans="1:25" x14ac:dyDescent="0.25">
      <c r="A199">
        <v>10231</v>
      </c>
      <c r="B199">
        <v>42</v>
      </c>
      <c r="C199">
        <v>100</v>
      </c>
      <c r="D199">
        <v>2</v>
      </c>
      <c r="E199">
        <v>8378.58</v>
      </c>
      <c r="F199" s="1">
        <v>38065</v>
      </c>
      <c r="G199" t="s">
        <v>25</v>
      </c>
      <c r="H199">
        <v>1</v>
      </c>
      <c r="I199">
        <v>3</v>
      </c>
      <c r="J199">
        <v>2004</v>
      </c>
      <c r="K199" t="s">
        <v>181</v>
      </c>
      <c r="L199">
        <v>207</v>
      </c>
      <c r="M199" t="s">
        <v>474</v>
      </c>
      <c r="N199" t="s">
        <v>487</v>
      </c>
      <c r="O199" t="s">
        <v>488</v>
      </c>
      <c r="P199" t="s">
        <v>489</v>
      </c>
      <c r="R199" t="s">
        <v>177</v>
      </c>
      <c r="T199">
        <v>28023</v>
      </c>
      <c r="U199" t="s">
        <v>178</v>
      </c>
      <c r="V199" t="s">
        <v>42</v>
      </c>
      <c r="W199" t="s">
        <v>490</v>
      </c>
      <c r="X199" t="s">
        <v>491</v>
      </c>
      <c r="Y199" t="s">
        <v>151</v>
      </c>
    </row>
    <row r="200" spans="1:25" x14ac:dyDescent="0.25">
      <c r="A200">
        <v>10247</v>
      </c>
      <c r="B200">
        <v>44</v>
      </c>
      <c r="C200">
        <v>100</v>
      </c>
      <c r="D200">
        <v>2</v>
      </c>
      <c r="E200">
        <v>10606.2</v>
      </c>
      <c r="F200" s="1">
        <v>38112</v>
      </c>
      <c r="G200" t="s">
        <v>25</v>
      </c>
      <c r="H200">
        <v>2</v>
      </c>
      <c r="I200">
        <v>5</v>
      </c>
      <c r="J200">
        <v>2004</v>
      </c>
      <c r="K200" t="s">
        <v>181</v>
      </c>
      <c r="L200">
        <v>207</v>
      </c>
      <c r="M200" t="s">
        <v>474</v>
      </c>
      <c r="N200" t="s">
        <v>467</v>
      </c>
      <c r="O200" t="s">
        <v>468</v>
      </c>
      <c r="P200" t="s">
        <v>469</v>
      </c>
      <c r="R200" t="s">
        <v>470</v>
      </c>
      <c r="T200" t="s">
        <v>471</v>
      </c>
      <c r="U200" t="s">
        <v>130</v>
      </c>
      <c r="V200" t="s">
        <v>42</v>
      </c>
      <c r="W200" t="s">
        <v>472</v>
      </c>
      <c r="X200" t="s">
        <v>473</v>
      </c>
      <c r="Y200" t="s">
        <v>151</v>
      </c>
    </row>
    <row r="201" spans="1:25" x14ac:dyDescent="0.25">
      <c r="A201">
        <v>10272</v>
      </c>
      <c r="B201">
        <v>35</v>
      </c>
      <c r="C201">
        <v>100</v>
      </c>
      <c r="D201">
        <v>2</v>
      </c>
      <c r="E201">
        <v>5818.4</v>
      </c>
      <c r="F201" s="1">
        <v>38188</v>
      </c>
      <c r="G201" t="s">
        <v>25</v>
      </c>
      <c r="H201">
        <v>3</v>
      </c>
      <c r="I201">
        <v>7</v>
      </c>
      <c r="J201">
        <v>2004</v>
      </c>
      <c r="K201" t="s">
        <v>181</v>
      </c>
      <c r="L201">
        <v>207</v>
      </c>
      <c r="M201" t="s">
        <v>474</v>
      </c>
      <c r="N201" t="s">
        <v>139</v>
      </c>
      <c r="O201">
        <v>2155551555</v>
      </c>
      <c r="P201" t="s">
        <v>140</v>
      </c>
      <c r="R201" t="s">
        <v>141</v>
      </c>
      <c r="S201" t="s">
        <v>142</v>
      </c>
      <c r="T201">
        <v>70267</v>
      </c>
      <c r="U201" t="s">
        <v>32</v>
      </c>
      <c r="V201" t="s">
        <v>33</v>
      </c>
      <c r="W201" t="s">
        <v>34</v>
      </c>
      <c r="X201" t="s">
        <v>143</v>
      </c>
      <c r="Y201" t="s">
        <v>51</v>
      </c>
    </row>
    <row r="202" spans="1:25" x14ac:dyDescent="0.25">
      <c r="A202">
        <v>10282</v>
      </c>
      <c r="B202">
        <v>41</v>
      </c>
      <c r="C202">
        <v>100</v>
      </c>
      <c r="D202">
        <v>5</v>
      </c>
      <c r="E202">
        <v>7071.27</v>
      </c>
      <c r="F202" s="1">
        <v>38219</v>
      </c>
      <c r="G202" t="s">
        <v>25</v>
      </c>
      <c r="H202">
        <v>3</v>
      </c>
      <c r="I202">
        <v>8</v>
      </c>
      <c r="J202">
        <v>2004</v>
      </c>
      <c r="K202" t="s">
        <v>181</v>
      </c>
      <c r="L202">
        <v>207</v>
      </c>
      <c r="M202" t="s">
        <v>474</v>
      </c>
      <c r="N202" t="s">
        <v>272</v>
      </c>
      <c r="O202">
        <v>4155551450</v>
      </c>
      <c r="P202" t="s">
        <v>273</v>
      </c>
      <c r="R202" t="s">
        <v>274</v>
      </c>
      <c r="S202" t="s">
        <v>55</v>
      </c>
      <c r="T202">
        <v>97562</v>
      </c>
      <c r="U202" t="s">
        <v>32</v>
      </c>
      <c r="V202" t="s">
        <v>33</v>
      </c>
      <c r="W202" t="s">
        <v>275</v>
      </c>
      <c r="X202" t="s">
        <v>276</v>
      </c>
      <c r="Y202" t="s">
        <v>151</v>
      </c>
    </row>
    <row r="203" spans="1:25" x14ac:dyDescent="0.25">
      <c r="A203">
        <v>10293</v>
      </c>
      <c r="B203">
        <v>46</v>
      </c>
      <c r="C203">
        <v>100</v>
      </c>
      <c r="D203">
        <v>8</v>
      </c>
      <c r="E203">
        <v>8411.56</v>
      </c>
      <c r="F203" s="1">
        <v>38239</v>
      </c>
      <c r="G203" t="s">
        <v>25</v>
      </c>
      <c r="H203">
        <v>3</v>
      </c>
      <c r="I203">
        <v>9</v>
      </c>
      <c r="J203">
        <v>2004</v>
      </c>
      <c r="K203" t="s">
        <v>181</v>
      </c>
      <c r="L203">
        <v>207</v>
      </c>
      <c r="M203" t="s">
        <v>474</v>
      </c>
      <c r="N203" t="s">
        <v>254</v>
      </c>
      <c r="O203" t="s">
        <v>255</v>
      </c>
      <c r="P203" t="s">
        <v>256</v>
      </c>
      <c r="R203" t="s">
        <v>257</v>
      </c>
      <c r="T203">
        <v>10100</v>
      </c>
      <c r="U203" t="s">
        <v>258</v>
      </c>
      <c r="V203" t="s">
        <v>42</v>
      </c>
      <c r="W203" t="s">
        <v>259</v>
      </c>
      <c r="X203" t="s">
        <v>260</v>
      </c>
      <c r="Y203" t="s">
        <v>151</v>
      </c>
    </row>
    <row r="204" spans="1:25" x14ac:dyDescent="0.25">
      <c r="A204">
        <v>10306</v>
      </c>
      <c r="B204">
        <v>31</v>
      </c>
      <c r="C204">
        <v>100</v>
      </c>
      <c r="D204">
        <v>13</v>
      </c>
      <c r="E204">
        <v>6570.76</v>
      </c>
      <c r="F204" s="1">
        <v>38274</v>
      </c>
      <c r="G204" t="s">
        <v>25</v>
      </c>
      <c r="H204">
        <v>4</v>
      </c>
      <c r="I204">
        <v>10</v>
      </c>
      <c r="J204">
        <v>2004</v>
      </c>
      <c r="K204" t="s">
        <v>181</v>
      </c>
      <c r="L204">
        <v>207</v>
      </c>
      <c r="M204" t="s">
        <v>474</v>
      </c>
      <c r="N204" t="s">
        <v>492</v>
      </c>
      <c r="O204" t="s">
        <v>493</v>
      </c>
      <c r="P204" t="s">
        <v>494</v>
      </c>
      <c r="R204" t="s">
        <v>495</v>
      </c>
      <c r="T204" t="s">
        <v>496</v>
      </c>
      <c r="U204" t="s">
        <v>170</v>
      </c>
      <c r="V204" t="s">
        <v>42</v>
      </c>
      <c r="W204" t="s">
        <v>497</v>
      </c>
      <c r="X204" t="s">
        <v>94</v>
      </c>
      <c r="Y204" t="s">
        <v>51</v>
      </c>
    </row>
    <row r="205" spans="1:25" x14ac:dyDescent="0.25">
      <c r="A205">
        <v>10314</v>
      </c>
      <c r="B205">
        <v>38</v>
      </c>
      <c r="C205">
        <v>100</v>
      </c>
      <c r="D205">
        <v>5</v>
      </c>
      <c r="E205">
        <v>7975.44</v>
      </c>
      <c r="F205" s="1">
        <v>38282</v>
      </c>
      <c r="G205" t="s">
        <v>25</v>
      </c>
      <c r="H205">
        <v>4</v>
      </c>
      <c r="I205">
        <v>10</v>
      </c>
      <c r="J205">
        <v>2004</v>
      </c>
      <c r="K205" t="s">
        <v>181</v>
      </c>
      <c r="L205">
        <v>207</v>
      </c>
      <c r="M205" t="s">
        <v>474</v>
      </c>
      <c r="N205" t="s">
        <v>498</v>
      </c>
      <c r="O205" t="s">
        <v>499</v>
      </c>
      <c r="P205" t="s">
        <v>500</v>
      </c>
      <c r="R205" t="s">
        <v>501</v>
      </c>
      <c r="T205">
        <v>8200</v>
      </c>
      <c r="U205" t="s">
        <v>326</v>
      </c>
      <c r="V205" t="s">
        <v>42</v>
      </c>
      <c r="W205" t="s">
        <v>502</v>
      </c>
      <c r="X205" t="s">
        <v>503</v>
      </c>
      <c r="Y205" t="s">
        <v>151</v>
      </c>
    </row>
    <row r="206" spans="1:25" x14ac:dyDescent="0.25">
      <c r="A206">
        <v>10325</v>
      </c>
      <c r="B206">
        <v>42</v>
      </c>
      <c r="C206">
        <v>64</v>
      </c>
      <c r="D206">
        <v>8</v>
      </c>
      <c r="E206">
        <v>2688</v>
      </c>
      <c r="F206" s="1">
        <v>38296</v>
      </c>
      <c r="G206" t="s">
        <v>25</v>
      </c>
      <c r="H206">
        <v>4</v>
      </c>
      <c r="I206">
        <v>11</v>
      </c>
      <c r="J206">
        <v>2004</v>
      </c>
      <c r="K206" t="s">
        <v>181</v>
      </c>
      <c r="L206">
        <v>207</v>
      </c>
      <c r="M206" t="s">
        <v>474</v>
      </c>
      <c r="N206" t="s">
        <v>133</v>
      </c>
      <c r="O206" t="s">
        <v>134</v>
      </c>
      <c r="P206" t="s">
        <v>135</v>
      </c>
      <c r="R206" t="s">
        <v>136</v>
      </c>
      <c r="T206">
        <v>4110</v>
      </c>
      <c r="U206" t="s">
        <v>78</v>
      </c>
      <c r="V206" t="s">
        <v>42</v>
      </c>
      <c r="W206" t="s">
        <v>137</v>
      </c>
      <c r="X206" t="s">
        <v>138</v>
      </c>
      <c r="Y206" t="s">
        <v>36</v>
      </c>
    </row>
    <row r="207" spans="1:25" x14ac:dyDescent="0.25">
      <c r="A207">
        <v>10336</v>
      </c>
      <c r="B207">
        <v>33</v>
      </c>
      <c r="C207">
        <v>57.22</v>
      </c>
      <c r="D207">
        <v>10</v>
      </c>
      <c r="E207">
        <v>1888.26</v>
      </c>
      <c r="F207" s="1">
        <v>38311</v>
      </c>
      <c r="G207" t="s">
        <v>25</v>
      </c>
      <c r="H207">
        <v>4</v>
      </c>
      <c r="I207">
        <v>11</v>
      </c>
      <c r="J207">
        <v>2004</v>
      </c>
      <c r="K207" t="s">
        <v>181</v>
      </c>
      <c r="L207">
        <v>207</v>
      </c>
      <c r="M207" t="s">
        <v>474</v>
      </c>
      <c r="N207" t="s">
        <v>403</v>
      </c>
      <c r="O207" t="s">
        <v>404</v>
      </c>
      <c r="P207" t="s">
        <v>405</v>
      </c>
      <c r="R207" t="s">
        <v>48</v>
      </c>
      <c r="T207">
        <v>75012</v>
      </c>
      <c r="U207" t="s">
        <v>41</v>
      </c>
      <c r="V207" t="s">
        <v>42</v>
      </c>
      <c r="W207" t="s">
        <v>406</v>
      </c>
      <c r="X207" t="s">
        <v>407</v>
      </c>
      <c r="Y207" t="s">
        <v>36</v>
      </c>
    </row>
    <row r="208" spans="1:25" x14ac:dyDescent="0.25">
      <c r="A208">
        <v>10348</v>
      </c>
      <c r="B208">
        <v>48</v>
      </c>
      <c r="C208">
        <v>52.36</v>
      </c>
      <c r="D208">
        <v>8</v>
      </c>
      <c r="E208">
        <v>2513.2800000000002</v>
      </c>
      <c r="F208" s="1">
        <v>38292</v>
      </c>
      <c r="G208" t="s">
        <v>25</v>
      </c>
      <c r="H208">
        <v>4</v>
      </c>
      <c r="I208">
        <v>11</v>
      </c>
      <c r="J208">
        <v>2004</v>
      </c>
      <c r="K208" t="s">
        <v>181</v>
      </c>
      <c r="L208">
        <v>207</v>
      </c>
      <c r="M208" t="s">
        <v>474</v>
      </c>
      <c r="N208" t="s">
        <v>191</v>
      </c>
      <c r="O208" t="s">
        <v>192</v>
      </c>
      <c r="P208" t="s">
        <v>193</v>
      </c>
      <c r="R208" t="s">
        <v>177</v>
      </c>
      <c r="T208">
        <v>28023</v>
      </c>
      <c r="U208" t="s">
        <v>178</v>
      </c>
      <c r="V208" t="s">
        <v>42</v>
      </c>
      <c r="W208" t="s">
        <v>194</v>
      </c>
      <c r="X208" t="s">
        <v>195</v>
      </c>
      <c r="Y208" t="s">
        <v>36</v>
      </c>
    </row>
    <row r="209" spans="1:25" x14ac:dyDescent="0.25">
      <c r="A209">
        <v>10359</v>
      </c>
      <c r="B209">
        <v>42</v>
      </c>
      <c r="C209">
        <v>100</v>
      </c>
      <c r="D209">
        <v>8</v>
      </c>
      <c r="E209">
        <v>4764.4799999999996</v>
      </c>
      <c r="F209" s="1">
        <v>38336</v>
      </c>
      <c r="G209" t="s">
        <v>25</v>
      </c>
      <c r="H209">
        <v>4</v>
      </c>
      <c r="I209">
        <v>12</v>
      </c>
      <c r="J209">
        <v>2004</v>
      </c>
      <c r="K209" t="s">
        <v>181</v>
      </c>
      <c r="L209">
        <v>207</v>
      </c>
      <c r="M209" t="s">
        <v>474</v>
      </c>
      <c r="N209" t="s">
        <v>37</v>
      </c>
      <c r="O209" t="s">
        <v>38</v>
      </c>
      <c r="P209" t="s">
        <v>39</v>
      </c>
      <c r="R209" t="s">
        <v>40</v>
      </c>
      <c r="T209">
        <v>51100</v>
      </c>
      <c r="U209" t="s">
        <v>41</v>
      </c>
      <c r="V209" t="s">
        <v>42</v>
      </c>
      <c r="W209" t="s">
        <v>43</v>
      </c>
      <c r="X209" t="s">
        <v>44</v>
      </c>
      <c r="Y209" t="s">
        <v>51</v>
      </c>
    </row>
    <row r="210" spans="1:25" x14ac:dyDescent="0.25">
      <c r="A210">
        <v>10371</v>
      </c>
      <c r="B210">
        <v>32</v>
      </c>
      <c r="C210">
        <v>100</v>
      </c>
      <c r="D210">
        <v>6</v>
      </c>
      <c r="E210">
        <v>3560.64</v>
      </c>
      <c r="F210" s="1">
        <v>38375</v>
      </c>
      <c r="G210" t="s">
        <v>25</v>
      </c>
      <c r="H210">
        <v>1</v>
      </c>
      <c r="I210">
        <v>1</v>
      </c>
      <c r="J210">
        <v>2005</v>
      </c>
      <c r="K210" t="s">
        <v>181</v>
      </c>
      <c r="L210">
        <v>207</v>
      </c>
      <c r="M210" t="s">
        <v>474</v>
      </c>
      <c r="N210" t="s">
        <v>272</v>
      </c>
      <c r="O210">
        <v>4155551450</v>
      </c>
      <c r="P210" t="s">
        <v>273</v>
      </c>
      <c r="R210" t="s">
        <v>274</v>
      </c>
      <c r="S210" t="s">
        <v>55</v>
      </c>
      <c r="T210">
        <v>97562</v>
      </c>
      <c r="U210" t="s">
        <v>32</v>
      </c>
      <c r="V210" t="s">
        <v>33</v>
      </c>
      <c r="W210" t="s">
        <v>275</v>
      </c>
      <c r="X210" t="s">
        <v>276</v>
      </c>
      <c r="Y210" t="s">
        <v>51</v>
      </c>
    </row>
    <row r="211" spans="1:25" x14ac:dyDescent="0.25">
      <c r="A211">
        <v>10382</v>
      </c>
      <c r="B211">
        <v>34</v>
      </c>
      <c r="C211">
        <v>100</v>
      </c>
      <c r="D211">
        <v>10</v>
      </c>
      <c r="E211">
        <v>3823.64</v>
      </c>
      <c r="F211" s="1">
        <v>38400</v>
      </c>
      <c r="G211" t="s">
        <v>25</v>
      </c>
      <c r="H211">
        <v>1</v>
      </c>
      <c r="I211">
        <v>2</v>
      </c>
      <c r="J211">
        <v>2005</v>
      </c>
      <c r="K211" t="s">
        <v>181</v>
      </c>
      <c r="L211">
        <v>207</v>
      </c>
      <c r="M211" t="s">
        <v>474</v>
      </c>
      <c r="N211" t="s">
        <v>272</v>
      </c>
      <c r="O211">
        <v>4155551450</v>
      </c>
      <c r="P211" t="s">
        <v>273</v>
      </c>
      <c r="R211" t="s">
        <v>274</v>
      </c>
      <c r="S211" t="s">
        <v>55</v>
      </c>
      <c r="T211">
        <v>97562</v>
      </c>
      <c r="U211" t="s">
        <v>32</v>
      </c>
      <c r="V211" t="s">
        <v>33</v>
      </c>
      <c r="W211" t="s">
        <v>275</v>
      </c>
      <c r="X211" t="s">
        <v>276</v>
      </c>
      <c r="Y211" t="s">
        <v>51</v>
      </c>
    </row>
    <row r="212" spans="1:25" x14ac:dyDescent="0.25">
      <c r="A212">
        <v>10395</v>
      </c>
      <c r="B212">
        <v>33</v>
      </c>
      <c r="C212">
        <v>69.12</v>
      </c>
      <c r="D212">
        <v>1</v>
      </c>
      <c r="E212">
        <v>2280.96</v>
      </c>
      <c r="F212" s="1">
        <v>38428</v>
      </c>
      <c r="G212" t="s">
        <v>25</v>
      </c>
      <c r="H212">
        <v>1</v>
      </c>
      <c r="I212">
        <v>3</v>
      </c>
      <c r="J212">
        <v>2005</v>
      </c>
      <c r="K212" t="s">
        <v>181</v>
      </c>
      <c r="L212">
        <v>207</v>
      </c>
      <c r="M212" t="s">
        <v>474</v>
      </c>
      <c r="N212" t="s">
        <v>45</v>
      </c>
      <c r="O212" t="s">
        <v>46</v>
      </c>
      <c r="P212" t="s">
        <v>47</v>
      </c>
      <c r="R212" t="s">
        <v>48</v>
      </c>
      <c r="T212">
        <v>75508</v>
      </c>
      <c r="U212" t="s">
        <v>41</v>
      </c>
      <c r="V212" t="s">
        <v>42</v>
      </c>
      <c r="W212" t="s">
        <v>49</v>
      </c>
      <c r="X212" t="s">
        <v>50</v>
      </c>
      <c r="Y212" t="s">
        <v>36</v>
      </c>
    </row>
    <row r="213" spans="1:25" x14ac:dyDescent="0.25">
      <c r="A213">
        <v>10413</v>
      </c>
      <c r="B213">
        <v>36</v>
      </c>
      <c r="C213">
        <v>100</v>
      </c>
      <c r="D213">
        <v>2</v>
      </c>
      <c r="E213">
        <v>8677.7999999999993</v>
      </c>
      <c r="F213" s="1">
        <v>38477</v>
      </c>
      <c r="G213" t="s">
        <v>25</v>
      </c>
      <c r="H213">
        <v>2</v>
      </c>
      <c r="I213">
        <v>5</v>
      </c>
      <c r="J213">
        <v>2005</v>
      </c>
      <c r="K213" t="s">
        <v>181</v>
      </c>
      <c r="L213">
        <v>207</v>
      </c>
      <c r="M213" t="s">
        <v>474</v>
      </c>
      <c r="N213" t="s">
        <v>109</v>
      </c>
      <c r="O213">
        <v>2035552570</v>
      </c>
      <c r="P213" t="s">
        <v>110</v>
      </c>
      <c r="R213" t="s">
        <v>111</v>
      </c>
      <c r="S213" t="s">
        <v>112</v>
      </c>
      <c r="T213">
        <v>97562</v>
      </c>
      <c r="U213" t="s">
        <v>32</v>
      </c>
      <c r="V213" t="s">
        <v>33</v>
      </c>
      <c r="W213" t="s">
        <v>113</v>
      </c>
      <c r="X213" t="s">
        <v>57</v>
      </c>
      <c r="Y213" t="s">
        <v>151</v>
      </c>
    </row>
    <row r="214" spans="1:25" x14ac:dyDescent="0.25">
      <c r="A214">
        <v>10103</v>
      </c>
      <c r="B214">
        <v>27</v>
      </c>
      <c r="C214">
        <v>100</v>
      </c>
      <c r="D214">
        <v>8</v>
      </c>
      <c r="E214">
        <v>3394.98</v>
      </c>
      <c r="F214" s="1">
        <v>37650</v>
      </c>
      <c r="G214" t="s">
        <v>25</v>
      </c>
      <c r="H214">
        <v>1</v>
      </c>
      <c r="I214">
        <v>1</v>
      </c>
      <c r="J214">
        <v>2003</v>
      </c>
      <c r="K214" t="s">
        <v>504</v>
      </c>
      <c r="L214">
        <v>136</v>
      </c>
      <c r="M214" t="s">
        <v>505</v>
      </c>
      <c r="N214" t="s">
        <v>133</v>
      </c>
      <c r="O214" t="s">
        <v>134</v>
      </c>
      <c r="P214" t="s">
        <v>135</v>
      </c>
      <c r="R214" t="s">
        <v>136</v>
      </c>
      <c r="T214">
        <v>4110</v>
      </c>
      <c r="U214" t="s">
        <v>78</v>
      </c>
      <c r="V214" t="s">
        <v>42</v>
      </c>
      <c r="W214" t="s">
        <v>137</v>
      </c>
      <c r="X214" t="s">
        <v>138</v>
      </c>
      <c r="Y214" t="s">
        <v>51</v>
      </c>
    </row>
    <row r="215" spans="1:25" x14ac:dyDescent="0.25">
      <c r="A215">
        <v>10113</v>
      </c>
      <c r="B215">
        <v>21</v>
      </c>
      <c r="C215">
        <v>100</v>
      </c>
      <c r="D215">
        <v>2</v>
      </c>
      <c r="E215">
        <v>3415.44</v>
      </c>
      <c r="F215" s="1">
        <v>37706</v>
      </c>
      <c r="G215" t="s">
        <v>25</v>
      </c>
      <c r="H215">
        <v>1</v>
      </c>
      <c r="I215">
        <v>3</v>
      </c>
      <c r="J215">
        <v>2003</v>
      </c>
      <c r="K215" t="s">
        <v>504</v>
      </c>
      <c r="L215">
        <v>136</v>
      </c>
      <c r="M215" t="s">
        <v>505</v>
      </c>
      <c r="N215" t="s">
        <v>272</v>
      </c>
      <c r="O215">
        <v>4155551450</v>
      </c>
      <c r="P215" t="s">
        <v>273</v>
      </c>
      <c r="R215" t="s">
        <v>274</v>
      </c>
      <c r="S215" t="s">
        <v>55</v>
      </c>
      <c r="T215">
        <v>97562</v>
      </c>
      <c r="U215" t="s">
        <v>32</v>
      </c>
      <c r="V215" t="s">
        <v>33</v>
      </c>
      <c r="W215" t="s">
        <v>275</v>
      </c>
      <c r="X215" t="s">
        <v>276</v>
      </c>
      <c r="Y215" t="s">
        <v>51</v>
      </c>
    </row>
    <row r="216" spans="1:25" x14ac:dyDescent="0.25">
      <c r="A216">
        <v>10126</v>
      </c>
      <c r="B216">
        <v>21</v>
      </c>
      <c r="C216">
        <v>100</v>
      </c>
      <c r="D216">
        <v>8</v>
      </c>
      <c r="E216">
        <v>2439.5700000000002</v>
      </c>
      <c r="F216" s="1">
        <v>37769</v>
      </c>
      <c r="G216" t="s">
        <v>25</v>
      </c>
      <c r="H216">
        <v>2</v>
      </c>
      <c r="I216">
        <v>5</v>
      </c>
      <c r="J216">
        <v>2003</v>
      </c>
      <c r="K216" t="s">
        <v>504</v>
      </c>
      <c r="L216">
        <v>136</v>
      </c>
      <c r="M216" t="s">
        <v>505</v>
      </c>
      <c r="N216" t="s">
        <v>191</v>
      </c>
      <c r="O216" t="s">
        <v>192</v>
      </c>
      <c r="P216" t="s">
        <v>193</v>
      </c>
      <c r="R216" t="s">
        <v>177</v>
      </c>
      <c r="T216">
        <v>28023</v>
      </c>
      <c r="U216" t="s">
        <v>178</v>
      </c>
      <c r="V216" t="s">
        <v>42</v>
      </c>
      <c r="W216" t="s">
        <v>194</v>
      </c>
      <c r="X216" t="s">
        <v>195</v>
      </c>
      <c r="Y216" t="s">
        <v>36</v>
      </c>
    </row>
    <row r="217" spans="1:25" x14ac:dyDescent="0.25">
      <c r="A217">
        <v>10140</v>
      </c>
      <c r="B217">
        <v>38</v>
      </c>
      <c r="C217">
        <v>100</v>
      </c>
      <c r="D217">
        <v>8</v>
      </c>
      <c r="E217">
        <v>4829.8</v>
      </c>
      <c r="F217" s="1">
        <v>37826</v>
      </c>
      <c r="G217" t="s">
        <v>25</v>
      </c>
      <c r="H217">
        <v>3</v>
      </c>
      <c r="I217">
        <v>7</v>
      </c>
      <c r="J217">
        <v>2003</v>
      </c>
      <c r="K217" t="s">
        <v>504</v>
      </c>
      <c r="L217">
        <v>136</v>
      </c>
      <c r="M217" t="s">
        <v>505</v>
      </c>
      <c r="N217" t="s">
        <v>62</v>
      </c>
      <c r="O217">
        <v>6505556809</v>
      </c>
      <c r="P217" t="s">
        <v>63</v>
      </c>
      <c r="R217" t="s">
        <v>64</v>
      </c>
      <c r="S217" t="s">
        <v>55</v>
      </c>
      <c r="T217">
        <v>94217</v>
      </c>
      <c r="U217" t="s">
        <v>32</v>
      </c>
      <c r="V217" t="s">
        <v>33</v>
      </c>
      <c r="W217" t="s">
        <v>65</v>
      </c>
      <c r="X217" t="s">
        <v>66</v>
      </c>
      <c r="Y217" t="s">
        <v>51</v>
      </c>
    </row>
    <row r="218" spans="1:25" x14ac:dyDescent="0.25">
      <c r="A218">
        <v>10150</v>
      </c>
      <c r="B218">
        <v>30</v>
      </c>
      <c r="C218">
        <v>100</v>
      </c>
      <c r="D218">
        <v>5</v>
      </c>
      <c r="E218">
        <v>4100.1000000000004</v>
      </c>
      <c r="F218" s="1">
        <v>37883</v>
      </c>
      <c r="G218" t="s">
        <v>25</v>
      </c>
      <c r="H218">
        <v>3</v>
      </c>
      <c r="I218">
        <v>9</v>
      </c>
      <c r="J218">
        <v>2003</v>
      </c>
      <c r="K218" t="s">
        <v>504</v>
      </c>
      <c r="L218">
        <v>136</v>
      </c>
      <c r="M218" t="s">
        <v>505</v>
      </c>
      <c r="N218" t="s">
        <v>196</v>
      </c>
      <c r="O218" t="s">
        <v>197</v>
      </c>
      <c r="P218" t="s">
        <v>198</v>
      </c>
      <c r="R218" t="s">
        <v>199</v>
      </c>
      <c r="T218">
        <v>79903</v>
      </c>
      <c r="U218" t="s">
        <v>199</v>
      </c>
      <c r="V218" t="s">
        <v>200</v>
      </c>
      <c r="W218" t="s">
        <v>201</v>
      </c>
      <c r="X218" t="s">
        <v>202</v>
      </c>
      <c r="Y218" t="s">
        <v>51</v>
      </c>
    </row>
    <row r="219" spans="1:25" x14ac:dyDescent="0.25">
      <c r="A219">
        <v>10164</v>
      </c>
      <c r="B219">
        <v>49</v>
      </c>
      <c r="C219">
        <v>100</v>
      </c>
      <c r="D219">
        <v>6</v>
      </c>
      <c r="E219">
        <v>6563.06</v>
      </c>
      <c r="F219" s="1">
        <v>37915</v>
      </c>
      <c r="G219" t="s">
        <v>408</v>
      </c>
      <c r="H219">
        <v>4</v>
      </c>
      <c r="I219">
        <v>10</v>
      </c>
      <c r="J219">
        <v>2003</v>
      </c>
      <c r="K219" t="s">
        <v>504</v>
      </c>
      <c r="L219">
        <v>136</v>
      </c>
      <c r="M219" t="s">
        <v>505</v>
      </c>
      <c r="N219" t="s">
        <v>409</v>
      </c>
      <c r="O219" t="s">
        <v>410</v>
      </c>
      <c r="P219" t="s">
        <v>411</v>
      </c>
      <c r="R219" t="s">
        <v>412</v>
      </c>
      <c r="T219">
        <v>8010</v>
      </c>
      <c r="U219" t="s">
        <v>148</v>
      </c>
      <c r="V219" t="s">
        <v>42</v>
      </c>
      <c r="W219" t="s">
        <v>413</v>
      </c>
      <c r="X219" t="s">
        <v>414</v>
      </c>
      <c r="Y219" t="s">
        <v>51</v>
      </c>
    </row>
    <row r="220" spans="1:25" x14ac:dyDescent="0.25">
      <c r="A220">
        <v>10174</v>
      </c>
      <c r="B220">
        <v>43</v>
      </c>
      <c r="C220">
        <v>100</v>
      </c>
      <c r="D220">
        <v>1</v>
      </c>
      <c r="E220">
        <v>6817.22</v>
      </c>
      <c r="F220" s="1">
        <v>37931</v>
      </c>
      <c r="G220" t="s">
        <v>25</v>
      </c>
      <c r="H220">
        <v>4</v>
      </c>
      <c r="I220">
        <v>11</v>
      </c>
      <c r="J220">
        <v>2003</v>
      </c>
      <c r="K220" t="s">
        <v>504</v>
      </c>
      <c r="L220">
        <v>136</v>
      </c>
      <c r="M220" t="s">
        <v>505</v>
      </c>
      <c r="N220" t="s">
        <v>207</v>
      </c>
      <c r="O220" t="s">
        <v>208</v>
      </c>
      <c r="P220" t="s">
        <v>209</v>
      </c>
      <c r="R220" t="s">
        <v>210</v>
      </c>
      <c r="S220" t="s">
        <v>211</v>
      </c>
      <c r="T220">
        <v>4101</v>
      </c>
      <c r="U220" t="s">
        <v>95</v>
      </c>
      <c r="V220" t="s">
        <v>96</v>
      </c>
      <c r="W220" t="s">
        <v>212</v>
      </c>
      <c r="X220" t="s">
        <v>213</v>
      </c>
      <c r="Y220" t="s">
        <v>51</v>
      </c>
    </row>
    <row r="221" spans="1:25" x14ac:dyDescent="0.25">
      <c r="A221">
        <v>10183</v>
      </c>
      <c r="B221">
        <v>41</v>
      </c>
      <c r="C221">
        <v>100</v>
      </c>
      <c r="D221">
        <v>5</v>
      </c>
      <c r="E221">
        <v>6163.94</v>
      </c>
      <c r="F221" s="1">
        <v>37938</v>
      </c>
      <c r="G221" t="s">
        <v>25</v>
      </c>
      <c r="H221">
        <v>4</v>
      </c>
      <c r="I221">
        <v>11</v>
      </c>
      <c r="J221">
        <v>2003</v>
      </c>
      <c r="K221" t="s">
        <v>504</v>
      </c>
      <c r="L221">
        <v>136</v>
      </c>
      <c r="M221" t="s">
        <v>505</v>
      </c>
      <c r="N221" t="s">
        <v>214</v>
      </c>
      <c r="O221">
        <v>2155554695</v>
      </c>
      <c r="P221" t="s">
        <v>215</v>
      </c>
      <c r="R221" t="s">
        <v>216</v>
      </c>
      <c r="S221" t="s">
        <v>142</v>
      </c>
      <c r="T221">
        <v>71270</v>
      </c>
      <c r="U221" t="s">
        <v>32</v>
      </c>
      <c r="V221" t="s">
        <v>33</v>
      </c>
      <c r="W221" t="s">
        <v>217</v>
      </c>
      <c r="X221" t="s">
        <v>218</v>
      </c>
      <c r="Y221" t="s">
        <v>51</v>
      </c>
    </row>
    <row r="222" spans="1:25" x14ac:dyDescent="0.25">
      <c r="A222">
        <v>10194</v>
      </c>
      <c r="B222">
        <v>38</v>
      </c>
      <c r="C222">
        <v>100</v>
      </c>
      <c r="D222">
        <v>8</v>
      </c>
      <c r="E222">
        <v>4933.92</v>
      </c>
      <c r="F222" s="1">
        <v>37950</v>
      </c>
      <c r="G222" t="s">
        <v>25</v>
      </c>
      <c r="H222">
        <v>4</v>
      </c>
      <c r="I222">
        <v>11</v>
      </c>
      <c r="J222">
        <v>2003</v>
      </c>
      <c r="K222" t="s">
        <v>504</v>
      </c>
      <c r="L222">
        <v>136</v>
      </c>
      <c r="M222" t="s">
        <v>505</v>
      </c>
      <c r="N222" t="s">
        <v>219</v>
      </c>
      <c r="O222" t="s">
        <v>220</v>
      </c>
      <c r="P222" t="s">
        <v>221</v>
      </c>
      <c r="R222" t="s">
        <v>222</v>
      </c>
      <c r="T222">
        <v>69004</v>
      </c>
      <c r="U222" t="s">
        <v>41</v>
      </c>
      <c r="V222" t="s">
        <v>42</v>
      </c>
      <c r="W222" t="s">
        <v>223</v>
      </c>
      <c r="X222" t="s">
        <v>224</v>
      </c>
      <c r="Y222" t="s">
        <v>51</v>
      </c>
    </row>
    <row r="223" spans="1:25" x14ac:dyDescent="0.25">
      <c r="A223">
        <v>10206</v>
      </c>
      <c r="B223">
        <v>28</v>
      </c>
      <c r="C223">
        <v>100</v>
      </c>
      <c r="D223">
        <v>3</v>
      </c>
      <c r="E223">
        <v>4056.36</v>
      </c>
      <c r="F223" s="1">
        <v>37960</v>
      </c>
      <c r="G223" t="s">
        <v>25</v>
      </c>
      <c r="H223">
        <v>4</v>
      </c>
      <c r="I223">
        <v>12</v>
      </c>
      <c r="J223">
        <v>2003</v>
      </c>
      <c r="K223" t="s">
        <v>504</v>
      </c>
      <c r="L223">
        <v>136</v>
      </c>
      <c r="M223" t="s">
        <v>505</v>
      </c>
      <c r="N223" t="s">
        <v>225</v>
      </c>
      <c r="O223" t="s">
        <v>226</v>
      </c>
      <c r="P223" t="s">
        <v>227</v>
      </c>
      <c r="R223" t="s">
        <v>228</v>
      </c>
      <c r="S223" t="s">
        <v>229</v>
      </c>
      <c r="T223" t="s">
        <v>230</v>
      </c>
      <c r="U223" t="s">
        <v>231</v>
      </c>
      <c r="V223" t="s">
        <v>33</v>
      </c>
      <c r="W223" t="s">
        <v>232</v>
      </c>
      <c r="X223" t="s">
        <v>233</v>
      </c>
      <c r="Y223" t="s">
        <v>51</v>
      </c>
    </row>
    <row r="224" spans="1:25" x14ac:dyDescent="0.25">
      <c r="A224">
        <v>10216</v>
      </c>
      <c r="B224">
        <v>43</v>
      </c>
      <c r="C224">
        <v>100</v>
      </c>
      <c r="D224">
        <v>1</v>
      </c>
      <c r="E224">
        <v>5759.42</v>
      </c>
      <c r="F224" s="1">
        <v>38019</v>
      </c>
      <c r="G224" t="s">
        <v>25</v>
      </c>
      <c r="H224">
        <v>1</v>
      </c>
      <c r="I224">
        <v>2</v>
      </c>
      <c r="J224">
        <v>2004</v>
      </c>
      <c r="K224" t="s">
        <v>504</v>
      </c>
      <c r="L224">
        <v>136</v>
      </c>
      <c r="M224" t="s">
        <v>505</v>
      </c>
      <c r="N224" t="s">
        <v>267</v>
      </c>
      <c r="O224" t="s">
        <v>268</v>
      </c>
      <c r="P224" t="s">
        <v>269</v>
      </c>
      <c r="R224" t="s">
        <v>270</v>
      </c>
      <c r="T224">
        <v>78000</v>
      </c>
      <c r="U224" t="s">
        <v>41</v>
      </c>
      <c r="V224" t="s">
        <v>42</v>
      </c>
      <c r="W224" t="s">
        <v>271</v>
      </c>
      <c r="X224" t="s">
        <v>50</v>
      </c>
      <c r="Y224" t="s">
        <v>51</v>
      </c>
    </row>
    <row r="225" spans="1:25" x14ac:dyDescent="0.25">
      <c r="A225">
        <v>10229</v>
      </c>
      <c r="B225">
        <v>25</v>
      </c>
      <c r="C225">
        <v>100</v>
      </c>
      <c r="D225">
        <v>13</v>
      </c>
      <c r="E225">
        <v>3451</v>
      </c>
      <c r="F225" s="1">
        <v>38057</v>
      </c>
      <c r="G225" t="s">
        <v>25</v>
      </c>
      <c r="H225">
        <v>1</v>
      </c>
      <c r="I225">
        <v>3</v>
      </c>
      <c r="J225">
        <v>2004</v>
      </c>
      <c r="K225" t="s">
        <v>504</v>
      </c>
      <c r="L225">
        <v>136</v>
      </c>
      <c r="M225" t="s">
        <v>505</v>
      </c>
      <c r="N225" t="s">
        <v>272</v>
      </c>
      <c r="O225">
        <v>4155551450</v>
      </c>
      <c r="P225" t="s">
        <v>273</v>
      </c>
      <c r="R225" t="s">
        <v>274</v>
      </c>
      <c r="S225" t="s">
        <v>55</v>
      </c>
      <c r="T225">
        <v>97562</v>
      </c>
      <c r="U225" t="s">
        <v>32</v>
      </c>
      <c r="V225" t="s">
        <v>33</v>
      </c>
      <c r="W225" t="s">
        <v>275</v>
      </c>
      <c r="X225" t="s">
        <v>276</v>
      </c>
      <c r="Y225" t="s">
        <v>51</v>
      </c>
    </row>
    <row r="226" spans="1:25" x14ac:dyDescent="0.25">
      <c r="A226">
        <v>10245</v>
      </c>
      <c r="B226">
        <v>38</v>
      </c>
      <c r="C226">
        <v>100</v>
      </c>
      <c r="D226">
        <v>6</v>
      </c>
      <c r="E226">
        <v>5920.4</v>
      </c>
      <c r="F226" s="1">
        <v>38111</v>
      </c>
      <c r="G226" t="s">
        <v>25</v>
      </c>
      <c r="H226">
        <v>2</v>
      </c>
      <c r="I226">
        <v>5</v>
      </c>
      <c r="J226">
        <v>2004</v>
      </c>
      <c r="K226" t="s">
        <v>504</v>
      </c>
      <c r="L226">
        <v>136</v>
      </c>
      <c r="M226" t="s">
        <v>505</v>
      </c>
      <c r="N226" t="s">
        <v>242</v>
      </c>
      <c r="O226">
        <v>2035559545</v>
      </c>
      <c r="P226" t="s">
        <v>243</v>
      </c>
      <c r="R226" t="s">
        <v>244</v>
      </c>
      <c r="S226" t="s">
        <v>112</v>
      </c>
      <c r="T226">
        <v>97823</v>
      </c>
      <c r="U226" t="s">
        <v>32</v>
      </c>
      <c r="V226" t="s">
        <v>33</v>
      </c>
      <c r="W226" t="s">
        <v>83</v>
      </c>
      <c r="X226" t="s">
        <v>245</v>
      </c>
      <c r="Y226" t="s">
        <v>51</v>
      </c>
    </row>
    <row r="227" spans="1:25" x14ac:dyDescent="0.25">
      <c r="A227">
        <v>10258</v>
      </c>
      <c r="B227">
        <v>41</v>
      </c>
      <c r="C227">
        <v>100</v>
      </c>
      <c r="D227">
        <v>3</v>
      </c>
      <c r="E227">
        <v>6668.24</v>
      </c>
      <c r="F227" s="1">
        <v>38153</v>
      </c>
      <c r="G227" t="s">
        <v>25</v>
      </c>
      <c r="H227">
        <v>2</v>
      </c>
      <c r="I227">
        <v>6</v>
      </c>
      <c r="J227">
        <v>2004</v>
      </c>
      <c r="K227" t="s">
        <v>504</v>
      </c>
      <c r="L227">
        <v>136</v>
      </c>
      <c r="M227" t="s">
        <v>505</v>
      </c>
      <c r="N227" t="s">
        <v>246</v>
      </c>
      <c r="O227" t="s">
        <v>247</v>
      </c>
      <c r="P227" t="s">
        <v>248</v>
      </c>
      <c r="R227" t="s">
        <v>249</v>
      </c>
      <c r="S227" t="s">
        <v>250</v>
      </c>
      <c r="T227" t="s">
        <v>251</v>
      </c>
      <c r="U227" t="s">
        <v>200</v>
      </c>
      <c r="V227" t="s">
        <v>200</v>
      </c>
      <c r="W227" t="s">
        <v>252</v>
      </c>
      <c r="X227" t="s">
        <v>253</v>
      </c>
      <c r="Y227" t="s">
        <v>51</v>
      </c>
    </row>
    <row r="228" spans="1:25" x14ac:dyDescent="0.25">
      <c r="A228">
        <v>10270</v>
      </c>
      <c r="B228">
        <v>28</v>
      </c>
      <c r="C228">
        <v>100</v>
      </c>
      <c r="D228">
        <v>6</v>
      </c>
      <c r="E228">
        <v>4094.72</v>
      </c>
      <c r="F228" s="1">
        <v>38187</v>
      </c>
      <c r="G228" t="s">
        <v>25</v>
      </c>
      <c r="H228">
        <v>3</v>
      </c>
      <c r="I228">
        <v>7</v>
      </c>
      <c r="J228">
        <v>2004</v>
      </c>
      <c r="K228" t="s">
        <v>504</v>
      </c>
      <c r="L228">
        <v>136</v>
      </c>
      <c r="M228" t="s">
        <v>505</v>
      </c>
      <c r="N228" t="s">
        <v>152</v>
      </c>
      <c r="O228" t="s">
        <v>153</v>
      </c>
      <c r="P228" t="s">
        <v>154</v>
      </c>
      <c r="Q228" t="s">
        <v>155</v>
      </c>
      <c r="R228" t="s">
        <v>156</v>
      </c>
      <c r="S228" t="s">
        <v>157</v>
      </c>
      <c r="T228">
        <v>2067</v>
      </c>
      <c r="U228" t="s">
        <v>95</v>
      </c>
      <c r="V228" t="s">
        <v>96</v>
      </c>
      <c r="W228" t="s">
        <v>158</v>
      </c>
      <c r="X228" t="s">
        <v>159</v>
      </c>
      <c r="Y228" t="s">
        <v>51</v>
      </c>
    </row>
    <row r="229" spans="1:25" x14ac:dyDescent="0.25">
      <c r="A229">
        <v>10281</v>
      </c>
      <c r="B229">
        <v>25</v>
      </c>
      <c r="C229">
        <v>100</v>
      </c>
      <c r="D229">
        <v>13</v>
      </c>
      <c r="E229">
        <v>2938.5</v>
      </c>
      <c r="F229" s="1">
        <v>38218</v>
      </c>
      <c r="G229" t="s">
        <v>25</v>
      </c>
      <c r="H229">
        <v>3</v>
      </c>
      <c r="I229">
        <v>8</v>
      </c>
      <c r="J229">
        <v>2004</v>
      </c>
      <c r="K229" t="s">
        <v>504</v>
      </c>
      <c r="L229">
        <v>136</v>
      </c>
      <c r="M229" t="s">
        <v>505</v>
      </c>
      <c r="N229" t="s">
        <v>139</v>
      </c>
      <c r="O229">
        <v>2155551555</v>
      </c>
      <c r="P229" t="s">
        <v>140</v>
      </c>
      <c r="R229" t="s">
        <v>141</v>
      </c>
      <c r="S229" t="s">
        <v>142</v>
      </c>
      <c r="T229">
        <v>70267</v>
      </c>
      <c r="U229" t="s">
        <v>32</v>
      </c>
      <c r="V229" t="s">
        <v>33</v>
      </c>
      <c r="W229" t="s">
        <v>34</v>
      </c>
      <c r="X229" t="s">
        <v>143</v>
      </c>
      <c r="Y229" t="s">
        <v>36</v>
      </c>
    </row>
    <row r="230" spans="1:25" x14ac:dyDescent="0.25">
      <c r="A230">
        <v>10291</v>
      </c>
      <c r="B230">
        <v>41</v>
      </c>
      <c r="C230">
        <v>100</v>
      </c>
      <c r="D230">
        <v>8</v>
      </c>
      <c r="E230">
        <v>6387.8</v>
      </c>
      <c r="F230" s="1">
        <v>38238</v>
      </c>
      <c r="G230" t="s">
        <v>25</v>
      </c>
      <c r="H230">
        <v>3</v>
      </c>
      <c r="I230">
        <v>9</v>
      </c>
      <c r="J230">
        <v>2004</v>
      </c>
      <c r="K230" t="s">
        <v>504</v>
      </c>
      <c r="L230">
        <v>136</v>
      </c>
      <c r="M230" t="s">
        <v>505</v>
      </c>
      <c r="N230" t="s">
        <v>261</v>
      </c>
      <c r="O230" t="s">
        <v>262</v>
      </c>
      <c r="P230" t="s">
        <v>263</v>
      </c>
      <c r="R230" t="s">
        <v>264</v>
      </c>
      <c r="T230" t="s">
        <v>265</v>
      </c>
      <c r="U230" t="s">
        <v>188</v>
      </c>
      <c r="V230" t="s">
        <v>42</v>
      </c>
      <c r="W230" t="s">
        <v>266</v>
      </c>
      <c r="X230" t="s">
        <v>206</v>
      </c>
      <c r="Y230" t="s">
        <v>51</v>
      </c>
    </row>
    <row r="231" spans="1:25" x14ac:dyDescent="0.25">
      <c r="A231">
        <v>10304</v>
      </c>
      <c r="B231">
        <v>39</v>
      </c>
      <c r="C231">
        <v>100</v>
      </c>
      <c r="D231">
        <v>3</v>
      </c>
      <c r="E231">
        <v>6396</v>
      </c>
      <c r="F231" s="1">
        <v>38271</v>
      </c>
      <c r="G231" t="s">
        <v>25</v>
      </c>
      <c r="H231">
        <v>4</v>
      </c>
      <c r="I231">
        <v>10</v>
      </c>
      <c r="J231">
        <v>2004</v>
      </c>
      <c r="K231" t="s">
        <v>504</v>
      </c>
      <c r="L231">
        <v>136</v>
      </c>
      <c r="M231" t="s">
        <v>505</v>
      </c>
      <c r="N231" t="s">
        <v>267</v>
      </c>
      <c r="O231" t="s">
        <v>268</v>
      </c>
      <c r="P231" t="s">
        <v>269</v>
      </c>
      <c r="R231" t="s">
        <v>270</v>
      </c>
      <c r="T231">
        <v>78000</v>
      </c>
      <c r="U231" t="s">
        <v>41</v>
      </c>
      <c r="V231" t="s">
        <v>42</v>
      </c>
      <c r="W231" t="s">
        <v>271</v>
      </c>
      <c r="X231" t="s">
        <v>50</v>
      </c>
      <c r="Y231" t="s">
        <v>51</v>
      </c>
    </row>
    <row r="232" spans="1:25" x14ac:dyDescent="0.25">
      <c r="A232">
        <v>10313</v>
      </c>
      <c r="B232">
        <v>21</v>
      </c>
      <c r="C232">
        <v>100</v>
      </c>
      <c r="D232">
        <v>11</v>
      </c>
      <c r="E232">
        <v>2669.1</v>
      </c>
      <c r="F232" s="1">
        <v>38282</v>
      </c>
      <c r="G232" t="s">
        <v>25</v>
      </c>
      <c r="H232">
        <v>4</v>
      </c>
      <c r="I232">
        <v>10</v>
      </c>
      <c r="J232">
        <v>2004</v>
      </c>
      <c r="K232" t="s">
        <v>504</v>
      </c>
      <c r="L232">
        <v>136</v>
      </c>
      <c r="M232" t="s">
        <v>505</v>
      </c>
      <c r="N232" t="s">
        <v>225</v>
      </c>
      <c r="O232" t="s">
        <v>226</v>
      </c>
      <c r="P232" t="s">
        <v>227</v>
      </c>
      <c r="R232" t="s">
        <v>228</v>
      </c>
      <c r="S232" t="s">
        <v>229</v>
      </c>
      <c r="T232" t="s">
        <v>230</v>
      </c>
      <c r="U232" t="s">
        <v>231</v>
      </c>
      <c r="V232" t="s">
        <v>33</v>
      </c>
      <c r="W232" t="s">
        <v>232</v>
      </c>
      <c r="X232" t="s">
        <v>233</v>
      </c>
      <c r="Y232" t="s">
        <v>36</v>
      </c>
    </row>
    <row r="233" spans="1:25" x14ac:dyDescent="0.25">
      <c r="A233">
        <v>10322</v>
      </c>
      <c r="B233">
        <v>27</v>
      </c>
      <c r="C233">
        <v>100</v>
      </c>
      <c r="D233">
        <v>9</v>
      </c>
      <c r="E233">
        <v>4784.13</v>
      </c>
      <c r="F233" s="1">
        <v>38295</v>
      </c>
      <c r="G233" t="s">
        <v>25</v>
      </c>
      <c r="H233">
        <v>4</v>
      </c>
      <c r="I233">
        <v>11</v>
      </c>
      <c r="J233">
        <v>2004</v>
      </c>
      <c r="K233" t="s">
        <v>504</v>
      </c>
      <c r="L233">
        <v>136</v>
      </c>
      <c r="M233" t="s">
        <v>505</v>
      </c>
      <c r="N233" t="s">
        <v>277</v>
      </c>
      <c r="O233">
        <v>6035558647</v>
      </c>
      <c r="P233" t="s">
        <v>278</v>
      </c>
      <c r="R233" t="s">
        <v>279</v>
      </c>
      <c r="S233" t="s">
        <v>280</v>
      </c>
      <c r="T233">
        <v>62005</v>
      </c>
      <c r="U233" t="s">
        <v>32</v>
      </c>
      <c r="V233" t="s">
        <v>33</v>
      </c>
      <c r="W233" t="s">
        <v>56</v>
      </c>
      <c r="X233" t="s">
        <v>276</v>
      </c>
      <c r="Y233" t="s">
        <v>51</v>
      </c>
    </row>
    <row r="234" spans="1:25" x14ac:dyDescent="0.25">
      <c r="A234">
        <v>10333</v>
      </c>
      <c r="B234">
        <v>33</v>
      </c>
      <c r="C234">
        <v>99.21</v>
      </c>
      <c r="D234">
        <v>6</v>
      </c>
      <c r="E234">
        <v>3273.93</v>
      </c>
      <c r="F234" s="1">
        <v>38309</v>
      </c>
      <c r="G234" t="s">
        <v>25</v>
      </c>
      <c r="H234">
        <v>4</v>
      </c>
      <c r="I234">
        <v>11</v>
      </c>
      <c r="J234">
        <v>2004</v>
      </c>
      <c r="K234" t="s">
        <v>504</v>
      </c>
      <c r="L234">
        <v>136</v>
      </c>
      <c r="M234" t="s">
        <v>505</v>
      </c>
      <c r="N234" t="s">
        <v>81</v>
      </c>
      <c r="O234">
        <v>6505555787</v>
      </c>
      <c r="P234" t="s">
        <v>82</v>
      </c>
      <c r="R234" t="s">
        <v>60</v>
      </c>
      <c r="S234" t="s">
        <v>55</v>
      </c>
      <c r="U234" t="s">
        <v>32</v>
      </c>
      <c r="V234" t="s">
        <v>33</v>
      </c>
      <c r="W234" t="s">
        <v>83</v>
      </c>
      <c r="X234" t="s">
        <v>57</v>
      </c>
      <c r="Y234" t="s">
        <v>51</v>
      </c>
    </row>
    <row r="235" spans="1:25" x14ac:dyDescent="0.25">
      <c r="A235">
        <v>10347</v>
      </c>
      <c r="B235">
        <v>29</v>
      </c>
      <c r="C235">
        <v>100</v>
      </c>
      <c r="D235">
        <v>3</v>
      </c>
      <c r="E235">
        <v>3586.43</v>
      </c>
      <c r="F235" s="1">
        <v>38320</v>
      </c>
      <c r="G235" t="s">
        <v>25</v>
      </c>
      <c r="H235">
        <v>4</v>
      </c>
      <c r="I235">
        <v>11</v>
      </c>
      <c r="J235">
        <v>2004</v>
      </c>
      <c r="K235" t="s">
        <v>504</v>
      </c>
      <c r="L235">
        <v>136</v>
      </c>
      <c r="M235" t="s">
        <v>505</v>
      </c>
      <c r="N235" t="s">
        <v>89</v>
      </c>
      <c r="O235" t="s">
        <v>90</v>
      </c>
      <c r="P235" t="s">
        <v>91</v>
      </c>
      <c r="Q235" t="s">
        <v>92</v>
      </c>
      <c r="R235" t="s">
        <v>93</v>
      </c>
      <c r="S235" t="s">
        <v>94</v>
      </c>
      <c r="T235">
        <v>3004</v>
      </c>
      <c r="U235" t="s">
        <v>95</v>
      </c>
      <c r="V235" t="s">
        <v>96</v>
      </c>
      <c r="W235" t="s">
        <v>97</v>
      </c>
      <c r="X235" t="s">
        <v>98</v>
      </c>
      <c r="Y235" t="s">
        <v>51</v>
      </c>
    </row>
    <row r="236" spans="1:25" x14ac:dyDescent="0.25">
      <c r="A236">
        <v>10357</v>
      </c>
      <c r="B236">
        <v>49</v>
      </c>
      <c r="C236">
        <v>100</v>
      </c>
      <c r="D236">
        <v>8</v>
      </c>
      <c r="E236">
        <v>5960.36</v>
      </c>
      <c r="F236" s="1">
        <v>38331</v>
      </c>
      <c r="G236" t="s">
        <v>25</v>
      </c>
      <c r="H236">
        <v>4</v>
      </c>
      <c r="I236">
        <v>12</v>
      </c>
      <c r="J236">
        <v>2004</v>
      </c>
      <c r="K236" t="s">
        <v>504</v>
      </c>
      <c r="L236">
        <v>136</v>
      </c>
      <c r="M236" t="s">
        <v>505</v>
      </c>
      <c r="N236" t="s">
        <v>272</v>
      </c>
      <c r="O236">
        <v>4155551450</v>
      </c>
      <c r="P236" t="s">
        <v>273</v>
      </c>
      <c r="R236" t="s">
        <v>274</v>
      </c>
      <c r="S236" t="s">
        <v>55</v>
      </c>
      <c r="T236">
        <v>97562</v>
      </c>
      <c r="U236" t="s">
        <v>32</v>
      </c>
      <c r="V236" t="s">
        <v>33</v>
      </c>
      <c r="W236" t="s">
        <v>275</v>
      </c>
      <c r="X236" t="s">
        <v>276</v>
      </c>
      <c r="Y236" t="s">
        <v>51</v>
      </c>
    </row>
    <row r="237" spans="1:25" x14ac:dyDescent="0.25">
      <c r="A237">
        <v>10370</v>
      </c>
      <c r="B237">
        <v>49</v>
      </c>
      <c r="C237">
        <v>100</v>
      </c>
      <c r="D237">
        <v>8</v>
      </c>
      <c r="E237">
        <v>8470.14</v>
      </c>
      <c r="F237" s="1">
        <v>38372</v>
      </c>
      <c r="G237" t="s">
        <v>25</v>
      </c>
      <c r="H237">
        <v>1</v>
      </c>
      <c r="I237">
        <v>1</v>
      </c>
      <c r="J237">
        <v>2005</v>
      </c>
      <c r="K237" t="s">
        <v>504</v>
      </c>
      <c r="L237">
        <v>136</v>
      </c>
      <c r="M237" t="s">
        <v>505</v>
      </c>
      <c r="N237" t="s">
        <v>285</v>
      </c>
      <c r="O237" t="s">
        <v>286</v>
      </c>
      <c r="P237" t="s">
        <v>287</v>
      </c>
      <c r="Q237" t="s">
        <v>288</v>
      </c>
      <c r="R237" t="s">
        <v>289</v>
      </c>
      <c r="S237" t="s">
        <v>157</v>
      </c>
      <c r="T237">
        <v>2060</v>
      </c>
      <c r="U237" t="s">
        <v>95</v>
      </c>
      <c r="V237" t="s">
        <v>96</v>
      </c>
      <c r="W237" t="s">
        <v>290</v>
      </c>
      <c r="X237" t="s">
        <v>291</v>
      </c>
      <c r="Y237" t="s">
        <v>151</v>
      </c>
    </row>
    <row r="238" spans="1:25" x14ac:dyDescent="0.25">
      <c r="A238">
        <v>10381</v>
      </c>
      <c r="B238">
        <v>20</v>
      </c>
      <c r="C238">
        <v>100</v>
      </c>
      <c r="D238">
        <v>1</v>
      </c>
      <c r="E238">
        <v>2952</v>
      </c>
      <c r="F238" s="1">
        <v>38400</v>
      </c>
      <c r="G238" t="s">
        <v>25</v>
      </c>
      <c r="H238">
        <v>1</v>
      </c>
      <c r="I238">
        <v>2</v>
      </c>
      <c r="J238">
        <v>2005</v>
      </c>
      <c r="K238" t="s">
        <v>504</v>
      </c>
      <c r="L238">
        <v>136</v>
      </c>
      <c r="M238" t="s">
        <v>505</v>
      </c>
      <c r="N238" t="s">
        <v>58</v>
      </c>
      <c r="O238">
        <v>6505551386</v>
      </c>
      <c r="P238" t="s">
        <v>59</v>
      </c>
      <c r="R238" t="s">
        <v>60</v>
      </c>
      <c r="S238" t="s">
        <v>55</v>
      </c>
      <c r="U238" t="s">
        <v>32</v>
      </c>
      <c r="V238" t="s">
        <v>33</v>
      </c>
      <c r="W238" t="s">
        <v>61</v>
      </c>
      <c r="X238" t="s">
        <v>57</v>
      </c>
      <c r="Y238" t="s">
        <v>36</v>
      </c>
    </row>
    <row r="239" spans="1:25" x14ac:dyDescent="0.25">
      <c r="A239">
        <v>10391</v>
      </c>
      <c r="B239">
        <v>39</v>
      </c>
      <c r="C239">
        <v>63.2</v>
      </c>
      <c r="D239">
        <v>9</v>
      </c>
      <c r="E239">
        <v>2464.8000000000002</v>
      </c>
      <c r="F239" s="1">
        <v>38420</v>
      </c>
      <c r="G239" t="s">
        <v>25</v>
      </c>
      <c r="H239">
        <v>1</v>
      </c>
      <c r="I239">
        <v>3</v>
      </c>
      <c r="J239">
        <v>2005</v>
      </c>
      <c r="K239" t="s">
        <v>504</v>
      </c>
      <c r="L239">
        <v>136</v>
      </c>
      <c r="M239" t="s">
        <v>505</v>
      </c>
      <c r="N239" t="s">
        <v>285</v>
      </c>
      <c r="O239" t="s">
        <v>286</v>
      </c>
      <c r="P239" t="s">
        <v>287</v>
      </c>
      <c r="Q239" t="s">
        <v>288</v>
      </c>
      <c r="R239" t="s">
        <v>289</v>
      </c>
      <c r="S239" t="s">
        <v>157</v>
      </c>
      <c r="T239">
        <v>2060</v>
      </c>
      <c r="U239" t="s">
        <v>95</v>
      </c>
      <c r="V239" t="s">
        <v>96</v>
      </c>
      <c r="W239" t="s">
        <v>290</v>
      </c>
      <c r="X239" t="s">
        <v>291</v>
      </c>
      <c r="Y239" t="s">
        <v>36</v>
      </c>
    </row>
    <row r="240" spans="1:25" x14ac:dyDescent="0.25">
      <c r="A240">
        <v>10411</v>
      </c>
      <c r="B240">
        <v>40</v>
      </c>
      <c r="C240">
        <v>100</v>
      </c>
      <c r="D240">
        <v>6</v>
      </c>
      <c r="E240">
        <v>6232</v>
      </c>
      <c r="F240" s="1">
        <v>38473</v>
      </c>
      <c r="G240" t="s">
        <v>25</v>
      </c>
      <c r="H240">
        <v>2</v>
      </c>
      <c r="I240">
        <v>5</v>
      </c>
      <c r="J240">
        <v>2005</v>
      </c>
      <c r="K240" t="s">
        <v>504</v>
      </c>
      <c r="L240">
        <v>136</v>
      </c>
      <c r="M240" t="s">
        <v>505</v>
      </c>
      <c r="N240" t="s">
        <v>292</v>
      </c>
      <c r="O240" t="s">
        <v>293</v>
      </c>
      <c r="P240" t="s">
        <v>294</v>
      </c>
      <c r="R240" t="s">
        <v>295</v>
      </c>
      <c r="S240" t="s">
        <v>296</v>
      </c>
      <c r="T240" t="s">
        <v>297</v>
      </c>
      <c r="U240" t="s">
        <v>231</v>
      </c>
      <c r="V240" t="s">
        <v>33</v>
      </c>
      <c r="W240" t="s">
        <v>298</v>
      </c>
      <c r="X240" t="s">
        <v>299</v>
      </c>
      <c r="Y240" t="s">
        <v>51</v>
      </c>
    </row>
    <row r="241" spans="1:25" x14ac:dyDescent="0.25">
      <c r="A241">
        <v>10424</v>
      </c>
      <c r="B241">
        <v>49</v>
      </c>
      <c r="C241">
        <v>100</v>
      </c>
      <c r="D241">
        <v>3</v>
      </c>
      <c r="E241">
        <v>7969.36</v>
      </c>
      <c r="F241" s="1">
        <v>38503</v>
      </c>
      <c r="G241" t="s">
        <v>300</v>
      </c>
      <c r="H241">
        <v>2</v>
      </c>
      <c r="I241">
        <v>5</v>
      </c>
      <c r="J241">
        <v>2005</v>
      </c>
      <c r="K241" t="s">
        <v>504</v>
      </c>
      <c r="L241">
        <v>136</v>
      </c>
      <c r="M241" t="s">
        <v>505</v>
      </c>
      <c r="N241" t="s">
        <v>174</v>
      </c>
      <c r="O241" t="s">
        <v>175</v>
      </c>
      <c r="P241" t="s">
        <v>176</v>
      </c>
      <c r="R241" t="s">
        <v>177</v>
      </c>
      <c r="T241">
        <v>28034</v>
      </c>
      <c r="U241" t="s">
        <v>178</v>
      </c>
      <c r="V241" t="s">
        <v>42</v>
      </c>
      <c r="W241" t="s">
        <v>179</v>
      </c>
      <c r="X241" t="s">
        <v>180</v>
      </c>
      <c r="Y241" t="s">
        <v>151</v>
      </c>
    </row>
    <row r="242" spans="1:25" x14ac:dyDescent="0.25">
      <c r="A242">
        <v>10107</v>
      </c>
      <c r="B242">
        <v>21</v>
      </c>
      <c r="C242">
        <v>100</v>
      </c>
      <c r="D242">
        <v>1</v>
      </c>
      <c r="E242">
        <v>3036.6</v>
      </c>
      <c r="F242" s="1">
        <v>37676</v>
      </c>
      <c r="G242" t="s">
        <v>25</v>
      </c>
      <c r="H242">
        <v>1</v>
      </c>
      <c r="I242">
        <v>2</v>
      </c>
      <c r="J242">
        <v>2003</v>
      </c>
      <c r="K242" t="s">
        <v>26</v>
      </c>
      <c r="L242">
        <v>150</v>
      </c>
      <c r="M242" t="s">
        <v>506</v>
      </c>
      <c r="N242" t="s">
        <v>28</v>
      </c>
      <c r="O242">
        <v>2125557818</v>
      </c>
      <c r="P242" t="s">
        <v>29</v>
      </c>
      <c r="R242" t="s">
        <v>30</v>
      </c>
      <c r="S242" t="s">
        <v>31</v>
      </c>
      <c r="T242">
        <v>10022</v>
      </c>
      <c r="U242" t="s">
        <v>32</v>
      </c>
      <c r="V242" t="s">
        <v>33</v>
      </c>
      <c r="W242" t="s">
        <v>34</v>
      </c>
      <c r="X242" t="s">
        <v>35</v>
      </c>
      <c r="Y242" t="s">
        <v>51</v>
      </c>
    </row>
    <row r="243" spans="1:25" x14ac:dyDescent="0.25">
      <c r="A243">
        <v>10121</v>
      </c>
      <c r="B243">
        <v>50</v>
      </c>
      <c r="C243">
        <v>100</v>
      </c>
      <c r="D243">
        <v>4</v>
      </c>
      <c r="E243">
        <v>8284</v>
      </c>
      <c r="F243" s="1">
        <v>37748</v>
      </c>
      <c r="G243" t="s">
        <v>25</v>
      </c>
      <c r="H243">
        <v>2</v>
      </c>
      <c r="I243">
        <v>5</v>
      </c>
      <c r="J243">
        <v>2003</v>
      </c>
      <c r="K243" t="s">
        <v>26</v>
      </c>
      <c r="L243">
        <v>150</v>
      </c>
      <c r="M243" t="s">
        <v>506</v>
      </c>
      <c r="N243" t="s">
        <v>37</v>
      </c>
      <c r="O243" t="s">
        <v>38</v>
      </c>
      <c r="P243" t="s">
        <v>39</v>
      </c>
      <c r="R243" t="s">
        <v>40</v>
      </c>
      <c r="T243">
        <v>51100</v>
      </c>
      <c r="U243" t="s">
        <v>41</v>
      </c>
      <c r="V243" t="s">
        <v>42</v>
      </c>
      <c r="W243" t="s">
        <v>43</v>
      </c>
      <c r="X243" t="s">
        <v>44</v>
      </c>
      <c r="Y243" t="s">
        <v>151</v>
      </c>
    </row>
    <row r="244" spans="1:25" x14ac:dyDescent="0.25">
      <c r="A244">
        <v>10134</v>
      </c>
      <c r="B244">
        <v>20</v>
      </c>
      <c r="C244">
        <v>100</v>
      </c>
      <c r="D244">
        <v>1</v>
      </c>
      <c r="E244">
        <v>2711.2</v>
      </c>
      <c r="F244" s="1">
        <v>37803</v>
      </c>
      <c r="G244" t="s">
        <v>25</v>
      </c>
      <c r="H244">
        <v>3</v>
      </c>
      <c r="I244">
        <v>7</v>
      </c>
      <c r="J244">
        <v>2003</v>
      </c>
      <c r="K244" t="s">
        <v>26</v>
      </c>
      <c r="L244">
        <v>150</v>
      </c>
      <c r="M244" t="s">
        <v>506</v>
      </c>
      <c r="N244" t="s">
        <v>45</v>
      </c>
      <c r="O244" t="s">
        <v>46</v>
      </c>
      <c r="P244" t="s">
        <v>47</v>
      </c>
      <c r="R244" t="s">
        <v>48</v>
      </c>
      <c r="T244">
        <v>75508</v>
      </c>
      <c r="U244" t="s">
        <v>41</v>
      </c>
      <c r="V244" t="s">
        <v>42</v>
      </c>
      <c r="W244" t="s">
        <v>49</v>
      </c>
      <c r="X244" t="s">
        <v>50</v>
      </c>
      <c r="Y244" t="s">
        <v>36</v>
      </c>
    </row>
    <row r="245" spans="1:25" x14ac:dyDescent="0.25">
      <c r="A245">
        <v>10145</v>
      </c>
      <c r="B245">
        <v>49</v>
      </c>
      <c r="C245">
        <v>100</v>
      </c>
      <c r="D245">
        <v>5</v>
      </c>
      <c r="E245">
        <v>8339.7999999999993</v>
      </c>
      <c r="F245" s="1">
        <v>37858</v>
      </c>
      <c r="G245" t="s">
        <v>25</v>
      </c>
      <c r="H245">
        <v>3</v>
      </c>
      <c r="I245">
        <v>8</v>
      </c>
      <c r="J245">
        <v>2003</v>
      </c>
      <c r="K245" t="s">
        <v>26</v>
      </c>
      <c r="L245">
        <v>150</v>
      </c>
      <c r="M245" t="s">
        <v>506</v>
      </c>
      <c r="N245" t="s">
        <v>52</v>
      </c>
      <c r="O245">
        <v>6265557265</v>
      </c>
      <c r="P245" t="s">
        <v>53</v>
      </c>
      <c r="R245" t="s">
        <v>54</v>
      </c>
      <c r="S245" t="s">
        <v>55</v>
      </c>
      <c r="T245">
        <v>90003</v>
      </c>
      <c r="U245" t="s">
        <v>32</v>
      </c>
      <c r="V245" t="s">
        <v>33</v>
      </c>
      <c r="W245" t="s">
        <v>56</v>
      </c>
      <c r="X245" t="s">
        <v>57</v>
      </c>
      <c r="Y245" t="s">
        <v>151</v>
      </c>
    </row>
    <row r="246" spans="1:25" x14ac:dyDescent="0.25">
      <c r="A246">
        <v>10159</v>
      </c>
      <c r="B246">
        <v>38</v>
      </c>
      <c r="C246">
        <v>100</v>
      </c>
      <c r="D246">
        <v>13</v>
      </c>
      <c r="E246">
        <v>6238.84</v>
      </c>
      <c r="F246" s="1">
        <v>37904</v>
      </c>
      <c r="G246" t="s">
        <v>25</v>
      </c>
      <c r="H246">
        <v>4</v>
      </c>
      <c r="I246">
        <v>10</v>
      </c>
      <c r="J246">
        <v>2003</v>
      </c>
      <c r="K246" t="s">
        <v>26</v>
      </c>
      <c r="L246">
        <v>150</v>
      </c>
      <c r="M246" t="s">
        <v>506</v>
      </c>
      <c r="N246" t="s">
        <v>58</v>
      </c>
      <c r="O246">
        <v>6505551386</v>
      </c>
      <c r="P246" t="s">
        <v>59</v>
      </c>
      <c r="R246" t="s">
        <v>60</v>
      </c>
      <c r="S246" t="s">
        <v>55</v>
      </c>
      <c r="U246" t="s">
        <v>32</v>
      </c>
      <c r="V246" t="s">
        <v>33</v>
      </c>
      <c r="W246" t="s">
        <v>61</v>
      </c>
      <c r="X246" t="s">
        <v>57</v>
      </c>
      <c r="Y246" t="s">
        <v>51</v>
      </c>
    </row>
    <row r="247" spans="1:25" x14ac:dyDescent="0.25">
      <c r="A247">
        <v>10169</v>
      </c>
      <c r="B247">
        <v>35</v>
      </c>
      <c r="C247">
        <v>100</v>
      </c>
      <c r="D247">
        <v>13</v>
      </c>
      <c r="E247">
        <v>4639.25</v>
      </c>
      <c r="F247" s="1">
        <v>37929</v>
      </c>
      <c r="G247" t="s">
        <v>25</v>
      </c>
      <c r="H247">
        <v>4</v>
      </c>
      <c r="I247">
        <v>11</v>
      </c>
      <c r="J247">
        <v>2003</v>
      </c>
      <c r="K247" t="s">
        <v>26</v>
      </c>
      <c r="L247">
        <v>150</v>
      </c>
      <c r="M247" t="s">
        <v>506</v>
      </c>
      <c r="N247" t="s">
        <v>285</v>
      </c>
      <c r="O247" t="s">
        <v>286</v>
      </c>
      <c r="P247" t="s">
        <v>287</v>
      </c>
      <c r="Q247" t="s">
        <v>288</v>
      </c>
      <c r="R247" t="s">
        <v>289</v>
      </c>
      <c r="S247" t="s">
        <v>157</v>
      </c>
      <c r="T247">
        <v>2060</v>
      </c>
      <c r="U247" t="s">
        <v>95</v>
      </c>
      <c r="V247" t="s">
        <v>96</v>
      </c>
      <c r="W247" t="s">
        <v>290</v>
      </c>
      <c r="X247" t="s">
        <v>291</v>
      </c>
      <c r="Y247" t="s">
        <v>51</v>
      </c>
    </row>
    <row r="248" spans="1:25" x14ac:dyDescent="0.25">
      <c r="A248">
        <v>10180</v>
      </c>
      <c r="B248">
        <v>40</v>
      </c>
      <c r="C248">
        <v>100</v>
      </c>
      <c r="D248">
        <v>8</v>
      </c>
      <c r="E248">
        <v>6747.6</v>
      </c>
      <c r="F248" s="1">
        <v>37936</v>
      </c>
      <c r="G248" t="s">
        <v>25</v>
      </c>
      <c r="H248">
        <v>4</v>
      </c>
      <c r="I248">
        <v>11</v>
      </c>
      <c r="J248">
        <v>2003</v>
      </c>
      <c r="K248" t="s">
        <v>26</v>
      </c>
      <c r="L248">
        <v>150</v>
      </c>
      <c r="M248" t="s">
        <v>506</v>
      </c>
      <c r="N248" t="s">
        <v>67</v>
      </c>
      <c r="O248" t="s">
        <v>68</v>
      </c>
      <c r="P248" t="s">
        <v>69</v>
      </c>
      <c r="R248" t="s">
        <v>70</v>
      </c>
      <c r="T248">
        <v>59000</v>
      </c>
      <c r="U248" t="s">
        <v>41</v>
      </c>
      <c r="V248" t="s">
        <v>42</v>
      </c>
      <c r="W248" t="s">
        <v>71</v>
      </c>
      <c r="X248" t="s">
        <v>72</v>
      </c>
      <c r="Y248" t="s">
        <v>51</v>
      </c>
    </row>
    <row r="249" spans="1:25" x14ac:dyDescent="0.25">
      <c r="A249">
        <v>10189</v>
      </c>
      <c r="B249">
        <v>28</v>
      </c>
      <c r="C249">
        <v>100</v>
      </c>
      <c r="D249">
        <v>1</v>
      </c>
      <c r="E249">
        <v>4512.4799999999996</v>
      </c>
      <c r="F249" s="1">
        <v>37943</v>
      </c>
      <c r="G249" t="s">
        <v>25</v>
      </c>
      <c r="H249">
        <v>4</v>
      </c>
      <c r="I249">
        <v>11</v>
      </c>
      <c r="J249">
        <v>2003</v>
      </c>
      <c r="K249" t="s">
        <v>26</v>
      </c>
      <c r="L249">
        <v>150</v>
      </c>
      <c r="M249" t="s">
        <v>506</v>
      </c>
      <c r="N249" t="s">
        <v>52</v>
      </c>
      <c r="O249">
        <v>6265557265</v>
      </c>
      <c r="P249" t="s">
        <v>53</v>
      </c>
      <c r="R249" t="s">
        <v>54</v>
      </c>
      <c r="S249" t="s">
        <v>55</v>
      </c>
      <c r="T249">
        <v>90003</v>
      </c>
      <c r="U249" t="s">
        <v>32</v>
      </c>
      <c r="V249" t="s">
        <v>33</v>
      </c>
      <c r="W249" t="s">
        <v>56</v>
      </c>
      <c r="X249" t="s">
        <v>57</v>
      </c>
      <c r="Y249" t="s">
        <v>51</v>
      </c>
    </row>
    <row r="250" spans="1:25" x14ac:dyDescent="0.25">
      <c r="A250">
        <v>10201</v>
      </c>
      <c r="B250">
        <v>25</v>
      </c>
      <c r="C250">
        <v>100</v>
      </c>
      <c r="D250">
        <v>1</v>
      </c>
      <c r="E250">
        <v>4029</v>
      </c>
      <c r="F250" s="1">
        <v>37956</v>
      </c>
      <c r="G250" t="s">
        <v>25</v>
      </c>
      <c r="H250">
        <v>4</v>
      </c>
      <c r="I250">
        <v>12</v>
      </c>
      <c r="J250">
        <v>2003</v>
      </c>
      <c r="K250" t="s">
        <v>26</v>
      </c>
      <c r="L250">
        <v>150</v>
      </c>
      <c r="M250" t="s">
        <v>506</v>
      </c>
      <c r="N250" t="s">
        <v>81</v>
      </c>
      <c r="O250">
        <v>6505555787</v>
      </c>
      <c r="P250" t="s">
        <v>82</v>
      </c>
      <c r="R250" t="s">
        <v>60</v>
      </c>
      <c r="S250" t="s">
        <v>55</v>
      </c>
      <c r="U250" t="s">
        <v>32</v>
      </c>
      <c r="V250" t="s">
        <v>33</v>
      </c>
      <c r="W250" t="s">
        <v>83</v>
      </c>
      <c r="X250" t="s">
        <v>57</v>
      </c>
      <c r="Y250" t="s">
        <v>51</v>
      </c>
    </row>
    <row r="251" spans="1:25" x14ac:dyDescent="0.25">
      <c r="A251">
        <v>10211</v>
      </c>
      <c r="B251">
        <v>36</v>
      </c>
      <c r="C251">
        <v>100</v>
      </c>
      <c r="D251">
        <v>13</v>
      </c>
      <c r="E251">
        <v>4771.8</v>
      </c>
      <c r="F251" s="1">
        <v>38001</v>
      </c>
      <c r="G251" t="s">
        <v>25</v>
      </c>
      <c r="H251">
        <v>1</v>
      </c>
      <c r="I251">
        <v>1</v>
      </c>
      <c r="J251">
        <v>2004</v>
      </c>
      <c r="K251" t="s">
        <v>26</v>
      </c>
      <c r="L251">
        <v>150</v>
      </c>
      <c r="M251" t="s">
        <v>506</v>
      </c>
      <c r="N251" t="s">
        <v>84</v>
      </c>
      <c r="O251" t="s">
        <v>85</v>
      </c>
      <c r="P251" t="s">
        <v>86</v>
      </c>
      <c r="R251" t="s">
        <v>48</v>
      </c>
      <c r="T251">
        <v>75016</v>
      </c>
      <c r="U251" t="s">
        <v>41</v>
      </c>
      <c r="V251" t="s">
        <v>42</v>
      </c>
      <c r="W251" t="s">
        <v>87</v>
      </c>
      <c r="X251" t="s">
        <v>88</v>
      </c>
      <c r="Y251" t="s">
        <v>51</v>
      </c>
    </row>
    <row r="252" spans="1:25" x14ac:dyDescent="0.25">
      <c r="A252">
        <v>10224</v>
      </c>
      <c r="B252">
        <v>43</v>
      </c>
      <c r="C252">
        <v>100</v>
      </c>
      <c r="D252">
        <v>6</v>
      </c>
      <c r="E252">
        <v>6087.94</v>
      </c>
      <c r="F252" s="1">
        <v>38038</v>
      </c>
      <c r="G252" t="s">
        <v>25</v>
      </c>
      <c r="H252">
        <v>1</v>
      </c>
      <c r="I252">
        <v>2</v>
      </c>
      <c r="J252">
        <v>2004</v>
      </c>
      <c r="K252" t="s">
        <v>26</v>
      </c>
      <c r="L252">
        <v>150</v>
      </c>
      <c r="M252" t="s">
        <v>506</v>
      </c>
      <c r="N252" t="s">
        <v>67</v>
      </c>
      <c r="O252" t="s">
        <v>68</v>
      </c>
      <c r="P252" t="s">
        <v>69</v>
      </c>
      <c r="R252" t="s">
        <v>70</v>
      </c>
      <c r="T252">
        <v>59000</v>
      </c>
      <c r="U252" t="s">
        <v>41</v>
      </c>
      <c r="V252" t="s">
        <v>42</v>
      </c>
      <c r="W252" t="s">
        <v>71</v>
      </c>
      <c r="X252" t="s">
        <v>72</v>
      </c>
      <c r="Y252" t="s">
        <v>51</v>
      </c>
    </row>
    <row r="253" spans="1:25" x14ac:dyDescent="0.25">
      <c r="A253">
        <v>10237</v>
      </c>
      <c r="B253">
        <v>32</v>
      </c>
      <c r="C253">
        <v>100</v>
      </c>
      <c r="D253">
        <v>6</v>
      </c>
      <c r="E253">
        <v>4193.28</v>
      </c>
      <c r="F253" s="1">
        <v>38082</v>
      </c>
      <c r="G253" t="s">
        <v>25</v>
      </c>
      <c r="H253">
        <v>2</v>
      </c>
      <c r="I253">
        <v>4</v>
      </c>
      <c r="J253">
        <v>2004</v>
      </c>
      <c r="K253" t="s">
        <v>26</v>
      </c>
      <c r="L253">
        <v>150</v>
      </c>
      <c r="M253" t="s">
        <v>506</v>
      </c>
      <c r="N253" t="s">
        <v>99</v>
      </c>
      <c r="O253">
        <v>2125551500</v>
      </c>
      <c r="P253" t="s">
        <v>100</v>
      </c>
      <c r="Q253" t="s">
        <v>101</v>
      </c>
      <c r="R253" t="s">
        <v>30</v>
      </c>
      <c r="S253" t="s">
        <v>31</v>
      </c>
      <c r="T253">
        <v>10022</v>
      </c>
      <c r="U253" t="s">
        <v>32</v>
      </c>
      <c r="V253" t="s">
        <v>33</v>
      </c>
      <c r="W253" t="s">
        <v>102</v>
      </c>
      <c r="X253" t="s">
        <v>103</v>
      </c>
      <c r="Y253" t="s">
        <v>51</v>
      </c>
    </row>
    <row r="254" spans="1:25" x14ac:dyDescent="0.25">
      <c r="A254">
        <v>10251</v>
      </c>
      <c r="B254">
        <v>46</v>
      </c>
      <c r="C254">
        <v>100</v>
      </c>
      <c r="D254">
        <v>1</v>
      </c>
      <c r="E254">
        <v>7552.28</v>
      </c>
      <c r="F254" s="1">
        <v>38125</v>
      </c>
      <c r="G254" t="s">
        <v>25</v>
      </c>
      <c r="H254">
        <v>2</v>
      </c>
      <c r="I254">
        <v>5</v>
      </c>
      <c r="J254">
        <v>2004</v>
      </c>
      <c r="K254" t="s">
        <v>26</v>
      </c>
      <c r="L254">
        <v>150</v>
      </c>
      <c r="M254" t="s">
        <v>506</v>
      </c>
      <c r="N254" t="s">
        <v>104</v>
      </c>
      <c r="O254">
        <v>2015559350</v>
      </c>
      <c r="P254" t="s">
        <v>105</v>
      </c>
      <c r="R254" t="s">
        <v>106</v>
      </c>
      <c r="S254" t="s">
        <v>107</v>
      </c>
      <c r="T254">
        <v>94019</v>
      </c>
      <c r="U254" t="s">
        <v>32</v>
      </c>
      <c r="V254" t="s">
        <v>33</v>
      </c>
      <c r="W254" t="s">
        <v>61</v>
      </c>
      <c r="X254" t="s">
        <v>108</v>
      </c>
      <c r="Y254" t="s">
        <v>151</v>
      </c>
    </row>
    <row r="255" spans="1:25" x14ac:dyDescent="0.25">
      <c r="A255">
        <v>10263</v>
      </c>
      <c r="B255">
        <v>48</v>
      </c>
      <c r="C255">
        <v>100</v>
      </c>
      <c r="D255">
        <v>1</v>
      </c>
      <c r="E255">
        <v>6434.4</v>
      </c>
      <c r="F255" s="1">
        <v>38166</v>
      </c>
      <c r="G255" t="s">
        <v>25</v>
      </c>
      <c r="H255">
        <v>2</v>
      </c>
      <c r="I255">
        <v>6</v>
      </c>
      <c r="J255">
        <v>2004</v>
      </c>
      <c r="K255" t="s">
        <v>26</v>
      </c>
      <c r="L255">
        <v>150</v>
      </c>
      <c r="M255" t="s">
        <v>506</v>
      </c>
      <c r="N255" t="s">
        <v>109</v>
      </c>
      <c r="O255">
        <v>2035552570</v>
      </c>
      <c r="P255" t="s">
        <v>110</v>
      </c>
      <c r="R255" t="s">
        <v>111</v>
      </c>
      <c r="S255" t="s">
        <v>112</v>
      </c>
      <c r="T255">
        <v>97562</v>
      </c>
      <c r="U255" t="s">
        <v>32</v>
      </c>
      <c r="V255" t="s">
        <v>33</v>
      </c>
      <c r="W255" t="s">
        <v>113</v>
      </c>
      <c r="X255" t="s">
        <v>57</v>
      </c>
      <c r="Y255" t="s">
        <v>51</v>
      </c>
    </row>
    <row r="256" spans="1:25" x14ac:dyDescent="0.25">
      <c r="A256">
        <v>10276</v>
      </c>
      <c r="B256">
        <v>43</v>
      </c>
      <c r="C256">
        <v>100</v>
      </c>
      <c r="D256">
        <v>14</v>
      </c>
      <c r="E256">
        <v>5181.5</v>
      </c>
      <c r="F256" s="1">
        <v>38201</v>
      </c>
      <c r="G256" t="s">
        <v>25</v>
      </c>
      <c r="H256">
        <v>3</v>
      </c>
      <c r="I256">
        <v>8</v>
      </c>
      <c r="J256">
        <v>2004</v>
      </c>
      <c r="K256" t="s">
        <v>26</v>
      </c>
      <c r="L256">
        <v>150</v>
      </c>
      <c r="M256" t="s">
        <v>506</v>
      </c>
      <c r="N256" t="s">
        <v>458</v>
      </c>
      <c r="O256">
        <v>6175557555</v>
      </c>
      <c r="P256" t="s">
        <v>459</v>
      </c>
      <c r="R256" t="s">
        <v>283</v>
      </c>
      <c r="S256" t="s">
        <v>123</v>
      </c>
      <c r="T256">
        <v>58339</v>
      </c>
      <c r="U256" t="s">
        <v>32</v>
      </c>
      <c r="V256" t="s">
        <v>33</v>
      </c>
      <c r="W256" t="s">
        <v>460</v>
      </c>
      <c r="X256" t="s">
        <v>461</v>
      </c>
      <c r="Y256" t="s">
        <v>51</v>
      </c>
    </row>
    <row r="257" spans="1:25" x14ac:dyDescent="0.25">
      <c r="A257">
        <v>10285</v>
      </c>
      <c r="B257">
        <v>49</v>
      </c>
      <c r="C257">
        <v>100</v>
      </c>
      <c r="D257">
        <v>5</v>
      </c>
      <c r="E257">
        <v>6863.92</v>
      </c>
      <c r="F257" s="1">
        <v>38226</v>
      </c>
      <c r="G257" t="s">
        <v>25</v>
      </c>
      <c r="H257">
        <v>3</v>
      </c>
      <c r="I257">
        <v>8</v>
      </c>
      <c r="J257">
        <v>2004</v>
      </c>
      <c r="K257" t="s">
        <v>26</v>
      </c>
      <c r="L257">
        <v>150</v>
      </c>
      <c r="M257" t="s">
        <v>506</v>
      </c>
      <c r="N257" t="s">
        <v>120</v>
      </c>
      <c r="O257">
        <v>6175558555</v>
      </c>
      <c r="P257" t="s">
        <v>121</v>
      </c>
      <c r="R257" t="s">
        <v>122</v>
      </c>
      <c r="S257" t="s">
        <v>123</v>
      </c>
      <c r="T257">
        <v>51247</v>
      </c>
      <c r="U257" t="s">
        <v>32</v>
      </c>
      <c r="V257" t="s">
        <v>33</v>
      </c>
      <c r="W257" t="s">
        <v>124</v>
      </c>
      <c r="X257" t="s">
        <v>125</v>
      </c>
      <c r="Y257" t="s">
        <v>51</v>
      </c>
    </row>
    <row r="258" spans="1:25" x14ac:dyDescent="0.25">
      <c r="A258">
        <v>10299</v>
      </c>
      <c r="B258">
        <v>24</v>
      </c>
      <c r="C258">
        <v>100</v>
      </c>
      <c r="D258">
        <v>8</v>
      </c>
      <c r="E258">
        <v>4157.04</v>
      </c>
      <c r="F258" s="1">
        <v>38260</v>
      </c>
      <c r="G258" t="s">
        <v>25</v>
      </c>
      <c r="H258">
        <v>3</v>
      </c>
      <c r="I258">
        <v>9</v>
      </c>
      <c r="J258">
        <v>2004</v>
      </c>
      <c r="K258" t="s">
        <v>26</v>
      </c>
      <c r="L258">
        <v>150</v>
      </c>
      <c r="M258" t="s">
        <v>506</v>
      </c>
      <c r="N258" t="s">
        <v>126</v>
      </c>
      <c r="O258" t="s">
        <v>127</v>
      </c>
      <c r="P258" t="s">
        <v>128</v>
      </c>
      <c r="R258" t="s">
        <v>129</v>
      </c>
      <c r="T258">
        <v>21240</v>
      </c>
      <c r="U258" t="s">
        <v>130</v>
      </c>
      <c r="V258" t="s">
        <v>42</v>
      </c>
      <c r="W258" t="s">
        <v>131</v>
      </c>
      <c r="X258" t="s">
        <v>132</v>
      </c>
      <c r="Y258" t="s">
        <v>51</v>
      </c>
    </row>
    <row r="259" spans="1:25" x14ac:dyDescent="0.25">
      <c r="A259">
        <v>10309</v>
      </c>
      <c r="B259">
        <v>26</v>
      </c>
      <c r="C259">
        <v>100</v>
      </c>
      <c r="D259">
        <v>4</v>
      </c>
      <c r="E259">
        <v>4660.24</v>
      </c>
      <c r="F259" s="1">
        <v>38275</v>
      </c>
      <c r="G259" t="s">
        <v>25</v>
      </c>
      <c r="H259">
        <v>4</v>
      </c>
      <c r="I259">
        <v>10</v>
      </c>
      <c r="J259">
        <v>2004</v>
      </c>
      <c r="K259" t="s">
        <v>26</v>
      </c>
      <c r="L259">
        <v>150</v>
      </c>
      <c r="M259" t="s">
        <v>506</v>
      </c>
      <c r="N259" t="s">
        <v>133</v>
      </c>
      <c r="O259" t="s">
        <v>134</v>
      </c>
      <c r="P259" t="s">
        <v>135</v>
      </c>
      <c r="R259" t="s">
        <v>136</v>
      </c>
      <c r="T259">
        <v>4110</v>
      </c>
      <c r="U259" t="s">
        <v>78</v>
      </c>
      <c r="V259" t="s">
        <v>42</v>
      </c>
      <c r="W259" t="s">
        <v>137</v>
      </c>
      <c r="X259" t="s">
        <v>138</v>
      </c>
      <c r="Y259" t="s">
        <v>51</v>
      </c>
    </row>
    <row r="260" spans="1:25" x14ac:dyDescent="0.25">
      <c r="A260">
        <v>10319</v>
      </c>
      <c r="B260">
        <v>30</v>
      </c>
      <c r="C260">
        <v>100</v>
      </c>
      <c r="D260">
        <v>9</v>
      </c>
      <c r="E260">
        <v>4111.8</v>
      </c>
      <c r="F260" s="1">
        <v>38294</v>
      </c>
      <c r="G260" t="s">
        <v>25</v>
      </c>
      <c r="H260">
        <v>4</v>
      </c>
      <c r="I260">
        <v>11</v>
      </c>
      <c r="J260">
        <v>2004</v>
      </c>
      <c r="K260" t="s">
        <v>26</v>
      </c>
      <c r="L260">
        <v>150</v>
      </c>
      <c r="M260" t="s">
        <v>506</v>
      </c>
      <c r="N260" t="s">
        <v>507</v>
      </c>
      <c r="O260">
        <v>2125551957</v>
      </c>
      <c r="P260" t="s">
        <v>508</v>
      </c>
      <c r="Q260" t="s">
        <v>509</v>
      </c>
      <c r="R260" t="s">
        <v>30</v>
      </c>
      <c r="S260" t="s">
        <v>31</v>
      </c>
      <c r="T260">
        <v>10022</v>
      </c>
      <c r="U260" t="s">
        <v>32</v>
      </c>
      <c r="V260" t="s">
        <v>33</v>
      </c>
      <c r="W260" t="s">
        <v>510</v>
      </c>
      <c r="X260" t="s">
        <v>511</v>
      </c>
      <c r="Y260" t="s">
        <v>51</v>
      </c>
    </row>
    <row r="261" spans="1:25" x14ac:dyDescent="0.25">
      <c r="A261">
        <v>10329</v>
      </c>
      <c r="B261">
        <v>24</v>
      </c>
      <c r="C261">
        <v>100</v>
      </c>
      <c r="D261">
        <v>6</v>
      </c>
      <c r="E261">
        <v>3542.64</v>
      </c>
      <c r="F261" s="1">
        <v>38306</v>
      </c>
      <c r="G261" t="s">
        <v>25</v>
      </c>
      <c r="H261">
        <v>4</v>
      </c>
      <c r="I261">
        <v>11</v>
      </c>
      <c r="J261">
        <v>2004</v>
      </c>
      <c r="K261" t="s">
        <v>26</v>
      </c>
      <c r="L261">
        <v>150</v>
      </c>
      <c r="M261" t="s">
        <v>506</v>
      </c>
      <c r="N261" t="s">
        <v>28</v>
      </c>
      <c r="O261">
        <v>2125557818</v>
      </c>
      <c r="P261" t="s">
        <v>29</v>
      </c>
      <c r="R261" t="s">
        <v>30</v>
      </c>
      <c r="S261" t="s">
        <v>31</v>
      </c>
      <c r="T261">
        <v>10022</v>
      </c>
      <c r="U261" t="s">
        <v>32</v>
      </c>
      <c r="V261" t="s">
        <v>33</v>
      </c>
      <c r="W261" t="s">
        <v>34</v>
      </c>
      <c r="X261" t="s">
        <v>35</v>
      </c>
      <c r="Y261" t="s">
        <v>51</v>
      </c>
    </row>
    <row r="262" spans="1:25" x14ac:dyDescent="0.25">
      <c r="A262">
        <v>10341</v>
      </c>
      <c r="B262">
        <v>55</v>
      </c>
      <c r="C262">
        <v>100</v>
      </c>
      <c r="D262">
        <v>8</v>
      </c>
      <c r="E262">
        <v>8118.55</v>
      </c>
      <c r="F262" s="1">
        <v>38315</v>
      </c>
      <c r="G262" t="s">
        <v>25</v>
      </c>
      <c r="H262">
        <v>4</v>
      </c>
      <c r="I262">
        <v>11</v>
      </c>
      <c r="J262">
        <v>2004</v>
      </c>
      <c r="K262" t="s">
        <v>26</v>
      </c>
      <c r="L262">
        <v>150</v>
      </c>
      <c r="M262" t="s">
        <v>506</v>
      </c>
      <c r="N262" t="s">
        <v>144</v>
      </c>
      <c r="O262" t="s">
        <v>145</v>
      </c>
      <c r="P262" t="s">
        <v>146</v>
      </c>
      <c r="R262" t="s">
        <v>147</v>
      </c>
      <c r="T262">
        <v>5020</v>
      </c>
      <c r="U262" t="s">
        <v>148</v>
      </c>
      <c r="V262" t="s">
        <v>42</v>
      </c>
      <c r="W262" t="s">
        <v>149</v>
      </c>
      <c r="X262" t="s">
        <v>150</v>
      </c>
      <c r="Y262" t="s">
        <v>151</v>
      </c>
    </row>
    <row r="263" spans="1:25" x14ac:dyDescent="0.25">
      <c r="A263">
        <v>10362</v>
      </c>
      <c r="B263">
        <v>22</v>
      </c>
      <c r="C263">
        <v>100</v>
      </c>
      <c r="D263">
        <v>1</v>
      </c>
      <c r="E263">
        <v>3877.06</v>
      </c>
      <c r="F263" s="1">
        <v>38357</v>
      </c>
      <c r="G263" t="s">
        <v>25</v>
      </c>
      <c r="H263">
        <v>1</v>
      </c>
      <c r="I263">
        <v>1</v>
      </c>
      <c r="J263">
        <v>2005</v>
      </c>
      <c r="K263" t="s">
        <v>26</v>
      </c>
      <c r="L263">
        <v>150</v>
      </c>
      <c r="M263" t="s">
        <v>506</v>
      </c>
      <c r="N263" t="s">
        <v>62</v>
      </c>
      <c r="O263">
        <v>6505556809</v>
      </c>
      <c r="P263" t="s">
        <v>63</v>
      </c>
      <c r="R263" t="s">
        <v>64</v>
      </c>
      <c r="S263" t="s">
        <v>55</v>
      </c>
      <c r="T263">
        <v>94217</v>
      </c>
      <c r="U263" t="s">
        <v>32</v>
      </c>
      <c r="V263" t="s">
        <v>33</v>
      </c>
      <c r="W263" t="s">
        <v>65</v>
      </c>
      <c r="X263" t="s">
        <v>66</v>
      </c>
      <c r="Y263" t="s">
        <v>51</v>
      </c>
    </row>
    <row r="264" spans="1:25" x14ac:dyDescent="0.25">
      <c r="A264">
        <v>10375</v>
      </c>
      <c r="B264">
        <v>49</v>
      </c>
      <c r="C264">
        <v>78.92</v>
      </c>
      <c r="D264">
        <v>13</v>
      </c>
      <c r="E264">
        <v>3867.08</v>
      </c>
      <c r="F264" s="1">
        <v>38386</v>
      </c>
      <c r="G264" t="s">
        <v>25</v>
      </c>
      <c r="H264">
        <v>1</v>
      </c>
      <c r="I264">
        <v>2</v>
      </c>
      <c r="J264">
        <v>2005</v>
      </c>
      <c r="K264" t="s">
        <v>26</v>
      </c>
      <c r="L264">
        <v>150</v>
      </c>
      <c r="M264" t="s">
        <v>506</v>
      </c>
      <c r="N264" t="s">
        <v>114</v>
      </c>
      <c r="O264" t="s">
        <v>115</v>
      </c>
      <c r="P264" t="s">
        <v>116</v>
      </c>
      <c r="R264" t="s">
        <v>117</v>
      </c>
      <c r="T264">
        <v>44000</v>
      </c>
      <c r="U264" t="s">
        <v>41</v>
      </c>
      <c r="V264" t="s">
        <v>42</v>
      </c>
      <c r="W264" t="s">
        <v>118</v>
      </c>
      <c r="X264" t="s">
        <v>119</v>
      </c>
      <c r="Y264" t="s">
        <v>51</v>
      </c>
    </row>
    <row r="265" spans="1:25" x14ac:dyDescent="0.25">
      <c r="A265">
        <v>10388</v>
      </c>
      <c r="B265">
        <v>44</v>
      </c>
      <c r="C265">
        <v>100</v>
      </c>
      <c r="D265">
        <v>6</v>
      </c>
      <c r="E265">
        <v>5951.44</v>
      </c>
      <c r="F265" s="1">
        <v>38414</v>
      </c>
      <c r="G265" t="s">
        <v>25</v>
      </c>
      <c r="H265">
        <v>1</v>
      </c>
      <c r="I265">
        <v>3</v>
      </c>
      <c r="J265">
        <v>2005</v>
      </c>
      <c r="K265" t="s">
        <v>26</v>
      </c>
      <c r="L265">
        <v>150</v>
      </c>
      <c r="M265" t="s">
        <v>506</v>
      </c>
      <c r="N265" t="s">
        <v>160</v>
      </c>
      <c r="O265">
        <v>5085552555</v>
      </c>
      <c r="P265" t="s">
        <v>161</v>
      </c>
      <c r="R265" t="s">
        <v>162</v>
      </c>
      <c r="S265" t="s">
        <v>123</v>
      </c>
      <c r="T265">
        <v>50553</v>
      </c>
      <c r="U265" t="s">
        <v>32</v>
      </c>
      <c r="V265" t="s">
        <v>33</v>
      </c>
      <c r="W265" t="s">
        <v>163</v>
      </c>
      <c r="X265" t="s">
        <v>164</v>
      </c>
      <c r="Y265" t="s">
        <v>51</v>
      </c>
    </row>
    <row r="266" spans="1:25" x14ac:dyDescent="0.25">
      <c r="A266">
        <v>10403</v>
      </c>
      <c r="B266">
        <v>66</v>
      </c>
      <c r="C266">
        <v>100</v>
      </c>
      <c r="D266">
        <v>6</v>
      </c>
      <c r="E266">
        <v>8648.64</v>
      </c>
      <c r="F266" s="1">
        <v>38450</v>
      </c>
      <c r="G266" t="s">
        <v>25</v>
      </c>
      <c r="H266">
        <v>2</v>
      </c>
      <c r="I266">
        <v>4</v>
      </c>
      <c r="J266">
        <v>2005</v>
      </c>
      <c r="K266" t="s">
        <v>26</v>
      </c>
      <c r="L266">
        <v>150</v>
      </c>
      <c r="M266" t="s">
        <v>506</v>
      </c>
      <c r="N266" t="s">
        <v>165</v>
      </c>
      <c r="O266" t="s">
        <v>166</v>
      </c>
      <c r="P266" t="s">
        <v>167</v>
      </c>
      <c r="R266" t="s">
        <v>168</v>
      </c>
      <c r="T266" t="s">
        <v>169</v>
      </c>
      <c r="U266" t="s">
        <v>170</v>
      </c>
      <c r="V266" t="s">
        <v>42</v>
      </c>
      <c r="W266" t="s">
        <v>171</v>
      </c>
      <c r="X266" t="s">
        <v>172</v>
      </c>
      <c r="Y266" t="s">
        <v>151</v>
      </c>
    </row>
    <row r="267" spans="1:25" x14ac:dyDescent="0.25">
      <c r="A267">
        <v>10417</v>
      </c>
      <c r="B267">
        <v>21</v>
      </c>
      <c r="C267">
        <v>100</v>
      </c>
      <c r="D267">
        <v>1</v>
      </c>
      <c r="E267">
        <v>3447.78</v>
      </c>
      <c r="F267" s="1">
        <v>38485</v>
      </c>
      <c r="G267" t="s">
        <v>173</v>
      </c>
      <c r="H267">
        <v>2</v>
      </c>
      <c r="I267">
        <v>5</v>
      </c>
      <c r="J267">
        <v>2005</v>
      </c>
      <c r="K267" t="s">
        <v>26</v>
      </c>
      <c r="L267">
        <v>150</v>
      </c>
      <c r="M267" t="s">
        <v>506</v>
      </c>
      <c r="N267" t="s">
        <v>174</v>
      </c>
      <c r="O267" t="s">
        <v>175</v>
      </c>
      <c r="P267" t="s">
        <v>176</v>
      </c>
      <c r="R267" t="s">
        <v>177</v>
      </c>
      <c r="T267">
        <v>28034</v>
      </c>
      <c r="U267" t="s">
        <v>178</v>
      </c>
      <c r="V267" t="s">
        <v>42</v>
      </c>
      <c r="W267" t="s">
        <v>179</v>
      </c>
      <c r="X267" t="s">
        <v>180</v>
      </c>
      <c r="Y267" t="s">
        <v>51</v>
      </c>
    </row>
    <row r="268" spans="1:25" x14ac:dyDescent="0.25">
      <c r="A268">
        <v>10104</v>
      </c>
      <c r="B268">
        <v>34</v>
      </c>
      <c r="C268">
        <v>100</v>
      </c>
      <c r="D268">
        <v>1</v>
      </c>
      <c r="E268">
        <v>5958.5</v>
      </c>
      <c r="F268" s="1">
        <v>37652</v>
      </c>
      <c r="G268" t="s">
        <v>25</v>
      </c>
      <c r="H268">
        <v>1</v>
      </c>
      <c r="I268">
        <v>1</v>
      </c>
      <c r="J268">
        <v>2003</v>
      </c>
      <c r="K268" t="s">
        <v>181</v>
      </c>
      <c r="L268">
        <v>151</v>
      </c>
      <c r="M268" t="s">
        <v>512</v>
      </c>
      <c r="N268" t="s">
        <v>174</v>
      </c>
      <c r="O268" t="s">
        <v>175</v>
      </c>
      <c r="P268" t="s">
        <v>176</v>
      </c>
      <c r="R268" t="s">
        <v>177</v>
      </c>
      <c r="T268">
        <v>28034</v>
      </c>
      <c r="U268" t="s">
        <v>178</v>
      </c>
      <c r="V268" t="s">
        <v>42</v>
      </c>
      <c r="W268" t="s">
        <v>179</v>
      </c>
      <c r="X268" t="s">
        <v>180</v>
      </c>
      <c r="Y268" t="s">
        <v>51</v>
      </c>
    </row>
    <row r="269" spans="1:25" x14ac:dyDescent="0.25">
      <c r="A269">
        <v>10117</v>
      </c>
      <c r="B269">
        <v>43</v>
      </c>
      <c r="C269">
        <v>100</v>
      </c>
      <c r="D269">
        <v>10</v>
      </c>
      <c r="E269">
        <v>5911.64</v>
      </c>
      <c r="F269" s="1">
        <v>37727</v>
      </c>
      <c r="G269" t="s">
        <v>25</v>
      </c>
      <c r="H269">
        <v>2</v>
      </c>
      <c r="I269">
        <v>4</v>
      </c>
      <c r="J269">
        <v>2003</v>
      </c>
      <c r="K269" t="s">
        <v>181</v>
      </c>
      <c r="L269">
        <v>151</v>
      </c>
      <c r="M269" t="s">
        <v>512</v>
      </c>
      <c r="N269" t="s">
        <v>196</v>
      </c>
      <c r="O269" t="s">
        <v>197</v>
      </c>
      <c r="P269" t="s">
        <v>198</v>
      </c>
      <c r="R269" t="s">
        <v>199</v>
      </c>
      <c r="T269">
        <v>79903</v>
      </c>
      <c r="U269" t="s">
        <v>199</v>
      </c>
      <c r="V269" t="s">
        <v>200</v>
      </c>
      <c r="W269" t="s">
        <v>201</v>
      </c>
      <c r="X269" t="s">
        <v>202</v>
      </c>
      <c r="Y269" t="s">
        <v>51</v>
      </c>
    </row>
    <row r="270" spans="1:25" x14ac:dyDescent="0.25">
      <c r="A270">
        <v>10127</v>
      </c>
      <c r="B270">
        <v>46</v>
      </c>
      <c r="C270">
        <v>100</v>
      </c>
      <c r="D270">
        <v>3</v>
      </c>
      <c r="E270">
        <v>7366.44</v>
      </c>
      <c r="F270" s="1">
        <v>37775</v>
      </c>
      <c r="G270" t="s">
        <v>25</v>
      </c>
      <c r="H270">
        <v>2</v>
      </c>
      <c r="I270">
        <v>6</v>
      </c>
      <c r="J270">
        <v>2003</v>
      </c>
      <c r="K270" t="s">
        <v>181</v>
      </c>
      <c r="L270">
        <v>151</v>
      </c>
      <c r="M270" t="s">
        <v>512</v>
      </c>
      <c r="N270" t="s">
        <v>475</v>
      </c>
      <c r="O270">
        <v>2125557413</v>
      </c>
      <c r="P270" t="s">
        <v>476</v>
      </c>
      <c r="Q270" t="s">
        <v>477</v>
      </c>
      <c r="R270" t="s">
        <v>30</v>
      </c>
      <c r="S270" t="s">
        <v>31</v>
      </c>
      <c r="T270">
        <v>10022</v>
      </c>
      <c r="U270" t="s">
        <v>32</v>
      </c>
      <c r="V270" t="s">
        <v>33</v>
      </c>
      <c r="W270" t="s">
        <v>56</v>
      </c>
      <c r="X270" t="s">
        <v>478</v>
      </c>
      <c r="Y270" t="s">
        <v>151</v>
      </c>
    </row>
    <row r="271" spans="1:25" x14ac:dyDescent="0.25">
      <c r="A271">
        <v>10142</v>
      </c>
      <c r="B271">
        <v>33</v>
      </c>
      <c r="C271">
        <v>100</v>
      </c>
      <c r="D271">
        <v>13</v>
      </c>
      <c r="E271">
        <v>4985.6400000000003</v>
      </c>
      <c r="F271" s="1">
        <v>37841</v>
      </c>
      <c r="G271" t="s">
        <v>25</v>
      </c>
      <c r="H271">
        <v>3</v>
      </c>
      <c r="I271">
        <v>8</v>
      </c>
      <c r="J271">
        <v>2003</v>
      </c>
      <c r="K271" t="s">
        <v>181</v>
      </c>
      <c r="L271">
        <v>151</v>
      </c>
      <c r="M271" t="s">
        <v>512</v>
      </c>
      <c r="N271" t="s">
        <v>272</v>
      </c>
      <c r="O271">
        <v>4155551450</v>
      </c>
      <c r="P271" t="s">
        <v>273</v>
      </c>
      <c r="R271" t="s">
        <v>274</v>
      </c>
      <c r="S271" t="s">
        <v>55</v>
      </c>
      <c r="T271">
        <v>97562</v>
      </c>
      <c r="U271" t="s">
        <v>32</v>
      </c>
      <c r="V271" t="s">
        <v>33</v>
      </c>
      <c r="W271" t="s">
        <v>275</v>
      </c>
      <c r="X271" t="s">
        <v>276</v>
      </c>
      <c r="Y271" t="s">
        <v>51</v>
      </c>
    </row>
    <row r="272" spans="1:25" x14ac:dyDescent="0.25">
      <c r="A272">
        <v>10153</v>
      </c>
      <c r="B272">
        <v>42</v>
      </c>
      <c r="C272">
        <v>100</v>
      </c>
      <c r="D272">
        <v>12</v>
      </c>
      <c r="E272">
        <v>5393.64</v>
      </c>
      <c r="F272" s="1">
        <v>37892</v>
      </c>
      <c r="G272" t="s">
        <v>25</v>
      </c>
      <c r="H272">
        <v>3</v>
      </c>
      <c r="I272">
        <v>9</v>
      </c>
      <c r="J272">
        <v>2003</v>
      </c>
      <c r="K272" t="s">
        <v>181</v>
      </c>
      <c r="L272">
        <v>151</v>
      </c>
      <c r="M272" t="s">
        <v>512</v>
      </c>
      <c r="N272" t="s">
        <v>174</v>
      </c>
      <c r="O272" t="s">
        <v>175</v>
      </c>
      <c r="P272" t="s">
        <v>176</v>
      </c>
      <c r="R272" t="s">
        <v>177</v>
      </c>
      <c r="T272">
        <v>28034</v>
      </c>
      <c r="U272" t="s">
        <v>178</v>
      </c>
      <c r="V272" t="s">
        <v>42</v>
      </c>
      <c r="W272" t="s">
        <v>179</v>
      </c>
      <c r="X272" t="s">
        <v>180</v>
      </c>
      <c r="Y272" t="s">
        <v>51</v>
      </c>
    </row>
    <row r="273" spans="1:25" x14ac:dyDescent="0.25">
      <c r="A273">
        <v>10165</v>
      </c>
      <c r="B273">
        <v>34</v>
      </c>
      <c r="C273">
        <v>100</v>
      </c>
      <c r="D273">
        <v>4</v>
      </c>
      <c r="E273">
        <v>4880.0200000000004</v>
      </c>
      <c r="F273" s="1">
        <v>37916</v>
      </c>
      <c r="G273" t="s">
        <v>25</v>
      </c>
      <c r="H273">
        <v>4</v>
      </c>
      <c r="I273">
        <v>10</v>
      </c>
      <c r="J273">
        <v>2003</v>
      </c>
      <c r="K273" t="s">
        <v>181</v>
      </c>
      <c r="L273">
        <v>151</v>
      </c>
      <c r="M273" t="s">
        <v>512</v>
      </c>
      <c r="N273" t="s">
        <v>196</v>
      </c>
      <c r="O273" t="s">
        <v>197</v>
      </c>
      <c r="P273" t="s">
        <v>198</v>
      </c>
      <c r="R273" t="s">
        <v>199</v>
      </c>
      <c r="T273">
        <v>79903</v>
      </c>
      <c r="U273" t="s">
        <v>199</v>
      </c>
      <c r="V273" t="s">
        <v>200</v>
      </c>
      <c r="W273" t="s">
        <v>201</v>
      </c>
      <c r="X273" t="s">
        <v>202</v>
      </c>
      <c r="Y273" t="s">
        <v>51</v>
      </c>
    </row>
    <row r="274" spans="1:25" x14ac:dyDescent="0.25">
      <c r="A274">
        <v>10176</v>
      </c>
      <c r="B274">
        <v>47</v>
      </c>
      <c r="C274">
        <v>100</v>
      </c>
      <c r="D274">
        <v>3</v>
      </c>
      <c r="E274">
        <v>8378.69</v>
      </c>
      <c r="F274" s="1">
        <v>37931</v>
      </c>
      <c r="G274" t="s">
        <v>25</v>
      </c>
      <c r="H274">
        <v>4</v>
      </c>
      <c r="I274">
        <v>11</v>
      </c>
      <c r="J274">
        <v>2003</v>
      </c>
      <c r="K274" t="s">
        <v>181</v>
      </c>
      <c r="L274">
        <v>151</v>
      </c>
      <c r="M274" t="s">
        <v>512</v>
      </c>
      <c r="N274" t="s">
        <v>452</v>
      </c>
      <c r="O274" t="s">
        <v>453</v>
      </c>
      <c r="P274" t="s">
        <v>454</v>
      </c>
      <c r="R274" t="s">
        <v>455</v>
      </c>
      <c r="T274">
        <v>42100</v>
      </c>
      <c r="U274" t="s">
        <v>258</v>
      </c>
      <c r="V274" t="s">
        <v>42</v>
      </c>
      <c r="W274" t="s">
        <v>456</v>
      </c>
      <c r="X274" t="s">
        <v>457</v>
      </c>
      <c r="Y274" t="s">
        <v>151</v>
      </c>
    </row>
    <row r="275" spans="1:25" x14ac:dyDescent="0.25">
      <c r="A275">
        <v>10185</v>
      </c>
      <c r="B275">
        <v>33</v>
      </c>
      <c r="C275">
        <v>100</v>
      </c>
      <c r="D275">
        <v>14</v>
      </c>
      <c r="E275">
        <v>4038.21</v>
      </c>
      <c r="F275" s="1">
        <v>37939</v>
      </c>
      <c r="G275" t="s">
        <v>25</v>
      </c>
      <c r="H275">
        <v>4</v>
      </c>
      <c r="I275">
        <v>11</v>
      </c>
      <c r="J275">
        <v>2003</v>
      </c>
      <c r="K275" t="s">
        <v>181</v>
      </c>
      <c r="L275">
        <v>151</v>
      </c>
      <c r="M275" t="s">
        <v>512</v>
      </c>
      <c r="N275" t="s">
        <v>335</v>
      </c>
      <c r="O275">
        <v>5085559555</v>
      </c>
      <c r="P275" t="s">
        <v>336</v>
      </c>
      <c r="R275" t="s">
        <v>162</v>
      </c>
      <c r="S275" t="s">
        <v>123</v>
      </c>
      <c r="T275">
        <v>50553</v>
      </c>
      <c r="U275" t="s">
        <v>32</v>
      </c>
      <c r="V275" t="s">
        <v>33</v>
      </c>
      <c r="W275" t="s">
        <v>337</v>
      </c>
      <c r="X275" t="s">
        <v>338</v>
      </c>
      <c r="Y275" t="s">
        <v>51</v>
      </c>
    </row>
    <row r="276" spans="1:25" x14ac:dyDescent="0.25">
      <c r="A276">
        <v>10196</v>
      </c>
      <c r="B276">
        <v>24</v>
      </c>
      <c r="C276">
        <v>100</v>
      </c>
      <c r="D276">
        <v>6</v>
      </c>
      <c r="E276">
        <v>3807.12</v>
      </c>
      <c r="F276" s="1">
        <v>37951</v>
      </c>
      <c r="G276" t="s">
        <v>25</v>
      </c>
      <c r="H276">
        <v>4</v>
      </c>
      <c r="I276">
        <v>11</v>
      </c>
      <c r="J276">
        <v>2003</v>
      </c>
      <c r="K276" t="s">
        <v>181</v>
      </c>
      <c r="L276">
        <v>151</v>
      </c>
      <c r="M276" t="s">
        <v>512</v>
      </c>
      <c r="N276" t="s">
        <v>242</v>
      </c>
      <c r="O276">
        <v>2035559545</v>
      </c>
      <c r="P276" t="s">
        <v>243</v>
      </c>
      <c r="R276" t="s">
        <v>244</v>
      </c>
      <c r="S276" t="s">
        <v>112</v>
      </c>
      <c r="T276">
        <v>97823</v>
      </c>
      <c r="U276" t="s">
        <v>32</v>
      </c>
      <c r="V276" t="s">
        <v>33</v>
      </c>
      <c r="W276" t="s">
        <v>83</v>
      </c>
      <c r="X276" t="s">
        <v>245</v>
      </c>
      <c r="Y276" t="s">
        <v>51</v>
      </c>
    </row>
    <row r="277" spans="1:25" x14ac:dyDescent="0.25">
      <c r="A277">
        <v>10208</v>
      </c>
      <c r="B277">
        <v>26</v>
      </c>
      <c r="C277">
        <v>100</v>
      </c>
      <c r="D277">
        <v>14</v>
      </c>
      <c r="E277">
        <v>3142.36</v>
      </c>
      <c r="F277" s="1">
        <v>37988</v>
      </c>
      <c r="G277" t="s">
        <v>25</v>
      </c>
      <c r="H277">
        <v>1</v>
      </c>
      <c r="I277">
        <v>1</v>
      </c>
      <c r="J277">
        <v>2004</v>
      </c>
      <c r="K277" t="s">
        <v>181</v>
      </c>
      <c r="L277">
        <v>151</v>
      </c>
      <c r="M277" t="s">
        <v>512</v>
      </c>
      <c r="N277" t="s">
        <v>219</v>
      </c>
      <c r="O277" t="s">
        <v>220</v>
      </c>
      <c r="P277" t="s">
        <v>221</v>
      </c>
      <c r="R277" t="s">
        <v>222</v>
      </c>
      <c r="T277">
        <v>69004</v>
      </c>
      <c r="U277" t="s">
        <v>41</v>
      </c>
      <c r="V277" t="s">
        <v>42</v>
      </c>
      <c r="W277" t="s">
        <v>223</v>
      </c>
      <c r="X277" t="s">
        <v>224</v>
      </c>
      <c r="Y277" t="s">
        <v>51</v>
      </c>
    </row>
    <row r="278" spans="1:25" x14ac:dyDescent="0.25">
      <c r="A278">
        <v>10220</v>
      </c>
      <c r="B278">
        <v>30</v>
      </c>
      <c r="C278">
        <v>100</v>
      </c>
      <c r="D278">
        <v>3</v>
      </c>
      <c r="E278">
        <v>4713.6000000000004</v>
      </c>
      <c r="F278" s="1">
        <v>38029</v>
      </c>
      <c r="G278" t="s">
        <v>25</v>
      </c>
      <c r="H278">
        <v>1</v>
      </c>
      <c r="I278">
        <v>2</v>
      </c>
      <c r="J278">
        <v>2004</v>
      </c>
      <c r="K278" t="s">
        <v>181</v>
      </c>
      <c r="L278">
        <v>151</v>
      </c>
      <c r="M278" t="s">
        <v>512</v>
      </c>
      <c r="N278" t="s">
        <v>479</v>
      </c>
      <c r="O278" t="s">
        <v>480</v>
      </c>
      <c r="P278" t="s">
        <v>481</v>
      </c>
      <c r="Q278" t="s">
        <v>482</v>
      </c>
      <c r="R278" t="s">
        <v>483</v>
      </c>
      <c r="T278">
        <v>2</v>
      </c>
      <c r="U278" t="s">
        <v>484</v>
      </c>
      <c r="V278" t="s">
        <v>42</v>
      </c>
      <c r="W278" t="s">
        <v>485</v>
      </c>
      <c r="X278" t="s">
        <v>486</v>
      </c>
      <c r="Y278" t="s">
        <v>51</v>
      </c>
    </row>
    <row r="279" spans="1:25" x14ac:dyDescent="0.25">
      <c r="A279">
        <v>10230</v>
      </c>
      <c r="B279">
        <v>43</v>
      </c>
      <c r="C279">
        <v>100</v>
      </c>
      <c r="D279">
        <v>1</v>
      </c>
      <c r="E279">
        <v>7016.31</v>
      </c>
      <c r="F279" s="1">
        <v>38061</v>
      </c>
      <c r="G279" t="s">
        <v>25</v>
      </c>
      <c r="H279">
        <v>1</v>
      </c>
      <c r="I279">
        <v>3</v>
      </c>
      <c r="J279">
        <v>2004</v>
      </c>
      <c r="K279" t="s">
        <v>181</v>
      </c>
      <c r="L279">
        <v>151</v>
      </c>
      <c r="M279" t="s">
        <v>512</v>
      </c>
      <c r="N279" t="s">
        <v>462</v>
      </c>
      <c r="O279" t="s">
        <v>463</v>
      </c>
      <c r="P279" t="s">
        <v>464</v>
      </c>
      <c r="R279" t="s">
        <v>465</v>
      </c>
      <c r="T279">
        <v>60528</v>
      </c>
      <c r="U279" t="s">
        <v>443</v>
      </c>
      <c r="V279" t="s">
        <v>42</v>
      </c>
      <c r="W279" t="s">
        <v>466</v>
      </c>
      <c r="X279" t="s">
        <v>414</v>
      </c>
      <c r="Y279" t="s">
        <v>151</v>
      </c>
    </row>
    <row r="280" spans="1:25" x14ac:dyDescent="0.25">
      <c r="A280">
        <v>10247</v>
      </c>
      <c r="B280">
        <v>25</v>
      </c>
      <c r="C280">
        <v>100</v>
      </c>
      <c r="D280">
        <v>3</v>
      </c>
      <c r="E280">
        <v>4381.25</v>
      </c>
      <c r="F280" s="1">
        <v>38112</v>
      </c>
      <c r="G280" t="s">
        <v>25</v>
      </c>
      <c r="H280">
        <v>2</v>
      </c>
      <c r="I280">
        <v>5</v>
      </c>
      <c r="J280">
        <v>2004</v>
      </c>
      <c r="K280" t="s">
        <v>181</v>
      </c>
      <c r="L280">
        <v>151</v>
      </c>
      <c r="M280" t="s">
        <v>512</v>
      </c>
      <c r="N280" t="s">
        <v>467</v>
      </c>
      <c r="O280" t="s">
        <v>468</v>
      </c>
      <c r="P280" t="s">
        <v>469</v>
      </c>
      <c r="R280" t="s">
        <v>470</v>
      </c>
      <c r="T280" t="s">
        <v>471</v>
      </c>
      <c r="U280" t="s">
        <v>130</v>
      </c>
      <c r="V280" t="s">
        <v>42</v>
      </c>
      <c r="W280" t="s">
        <v>472</v>
      </c>
      <c r="X280" t="s">
        <v>473</v>
      </c>
      <c r="Y280" t="s">
        <v>51</v>
      </c>
    </row>
    <row r="281" spans="1:25" x14ac:dyDescent="0.25">
      <c r="A281">
        <v>10272</v>
      </c>
      <c r="B281">
        <v>27</v>
      </c>
      <c r="C281">
        <v>100</v>
      </c>
      <c r="D281">
        <v>3</v>
      </c>
      <c r="E281">
        <v>4283.01</v>
      </c>
      <c r="F281" s="1">
        <v>38188</v>
      </c>
      <c r="G281" t="s">
        <v>25</v>
      </c>
      <c r="H281">
        <v>3</v>
      </c>
      <c r="I281">
        <v>7</v>
      </c>
      <c r="J281">
        <v>2004</v>
      </c>
      <c r="K281" t="s">
        <v>181</v>
      </c>
      <c r="L281">
        <v>151</v>
      </c>
      <c r="M281" t="s">
        <v>512</v>
      </c>
      <c r="N281" t="s">
        <v>139</v>
      </c>
      <c r="O281">
        <v>2155551555</v>
      </c>
      <c r="P281" t="s">
        <v>140</v>
      </c>
      <c r="R281" t="s">
        <v>141</v>
      </c>
      <c r="S281" t="s">
        <v>142</v>
      </c>
      <c r="T281">
        <v>70267</v>
      </c>
      <c r="U281" t="s">
        <v>32</v>
      </c>
      <c r="V281" t="s">
        <v>33</v>
      </c>
      <c r="W281" t="s">
        <v>34</v>
      </c>
      <c r="X281" t="s">
        <v>143</v>
      </c>
      <c r="Y281" t="s">
        <v>51</v>
      </c>
    </row>
    <row r="282" spans="1:25" x14ac:dyDescent="0.25">
      <c r="A282">
        <v>10282</v>
      </c>
      <c r="B282">
        <v>27</v>
      </c>
      <c r="C282">
        <v>100</v>
      </c>
      <c r="D282">
        <v>6</v>
      </c>
      <c r="E282">
        <v>4364.82</v>
      </c>
      <c r="F282" s="1">
        <v>38219</v>
      </c>
      <c r="G282" t="s">
        <v>25</v>
      </c>
      <c r="H282">
        <v>3</v>
      </c>
      <c r="I282">
        <v>8</v>
      </c>
      <c r="J282">
        <v>2004</v>
      </c>
      <c r="K282" t="s">
        <v>181</v>
      </c>
      <c r="L282">
        <v>151</v>
      </c>
      <c r="M282" t="s">
        <v>512</v>
      </c>
      <c r="N282" t="s">
        <v>272</v>
      </c>
      <c r="O282">
        <v>4155551450</v>
      </c>
      <c r="P282" t="s">
        <v>273</v>
      </c>
      <c r="R282" t="s">
        <v>274</v>
      </c>
      <c r="S282" t="s">
        <v>55</v>
      </c>
      <c r="T282">
        <v>97562</v>
      </c>
      <c r="U282" t="s">
        <v>32</v>
      </c>
      <c r="V282" t="s">
        <v>33</v>
      </c>
      <c r="W282" t="s">
        <v>275</v>
      </c>
      <c r="X282" t="s">
        <v>276</v>
      </c>
      <c r="Y282" t="s">
        <v>51</v>
      </c>
    </row>
    <row r="283" spans="1:25" x14ac:dyDescent="0.25">
      <c r="A283">
        <v>10293</v>
      </c>
      <c r="B283">
        <v>24</v>
      </c>
      <c r="C283">
        <v>100</v>
      </c>
      <c r="D283">
        <v>9</v>
      </c>
      <c r="E283">
        <v>4242.24</v>
      </c>
      <c r="F283" s="1">
        <v>38239</v>
      </c>
      <c r="G283" t="s">
        <v>25</v>
      </c>
      <c r="H283">
        <v>3</v>
      </c>
      <c r="I283">
        <v>9</v>
      </c>
      <c r="J283">
        <v>2004</v>
      </c>
      <c r="K283" t="s">
        <v>181</v>
      </c>
      <c r="L283">
        <v>151</v>
      </c>
      <c r="M283" t="s">
        <v>512</v>
      </c>
      <c r="N283" t="s">
        <v>254</v>
      </c>
      <c r="O283" t="s">
        <v>255</v>
      </c>
      <c r="P283" t="s">
        <v>256</v>
      </c>
      <c r="R283" t="s">
        <v>257</v>
      </c>
      <c r="T283">
        <v>10100</v>
      </c>
      <c r="U283" t="s">
        <v>258</v>
      </c>
      <c r="V283" t="s">
        <v>42</v>
      </c>
      <c r="W283" t="s">
        <v>259</v>
      </c>
      <c r="X283" t="s">
        <v>260</v>
      </c>
      <c r="Y283" t="s">
        <v>51</v>
      </c>
    </row>
    <row r="284" spans="1:25" x14ac:dyDescent="0.25">
      <c r="A284">
        <v>10306</v>
      </c>
      <c r="B284">
        <v>34</v>
      </c>
      <c r="C284">
        <v>100</v>
      </c>
      <c r="D284">
        <v>14</v>
      </c>
      <c r="E284">
        <v>4982.7</v>
      </c>
      <c r="F284" s="1">
        <v>38274</v>
      </c>
      <c r="G284" t="s">
        <v>25</v>
      </c>
      <c r="H284">
        <v>4</v>
      </c>
      <c r="I284">
        <v>10</v>
      </c>
      <c r="J284">
        <v>2004</v>
      </c>
      <c r="K284" t="s">
        <v>181</v>
      </c>
      <c r="L284">
        <v>151</v>
      </c>
      <c r="M284" t="s">
        <v>512</v>
      </c>
      <c r="N284" t="s">
        <v>492</v>
      </c>
      <c r="O284" t="s">
        <v>493</v>
      </c>
      <c r="P284" t="s">
        <v>494</v>
      </c>
      <c r="R284" t="s">
        <v>495</v>
      </c>
      <c r="T284" t="s">
        <v>496</v>
      </c>
      <c r="U284" t="s">
        <v>170</v>
      </c>
      <c r="V284" t="s">
        <v>42</v>
      </c>
      <c r="W284" t="s">
        <v>497</v>
      </c>
      <c r="X284" t="s">
        <v>94</v>
      </c>
      <c r="Y284" t="s">
        <v>51</v>
      </c>
    </row>
    <row r="285" spans="1:25" x14ac:dyDescent="0.25">
      <c r="A285">
        <v>10314</v>
      </c>
      <c r="B285">
        <v>46</v>
      </c>
      <c r="C285">
        <v>100</v>
      </c>
      <c r="D285">
        <v>6</v>
      </c>
      <c r="E285">
        <v>6393.54</v>
      </c>
      <c r="F285" s="1">
        <v>38282</v>
      </c>
      <c r="G285" t="s">
        <v>25</v>
      </c>
      <c r="H285">
        <v>4</v>
      </c>
      <c r="I285">
        <v>10</v>
      </c>
      <c r="J285">
        <v>2004</v>
      </c>
      <c r="K285" t="s">
        <v>181</v>
      </c>
      <c r="L285">
        <v>151</v>
      </c>
      <c r="M285" t="s">
        <v>512</v>
      </c>
      <c r="N285" t="s">
        <v>498</v>
      </c>
      <c r="O285" t="s">
        <v>499</v>
      </c>
      <c r="P285" t="s">
        <v>500</v>
      </c>
      <c r="R285" t="s">
        <v>501</v>
      </c>
      <c r="T285">
        <v>8200</v>
      </c>
      <c r="U285" t="s">
        <v>326</v>
      </c>
      <c r="V285" t="s">
        <v>42</v>
      </c>
      <c r="W285" t="s">
        <v>502</v>
      </c>
      <c r="X285" t="s">
        <v>503</v>
      </c>
      <c r="Y285" t="s">
        <v>51</v>
      </c>
    </row>
    <row r="286" spans="1:25" x14ac:dyDescent="0.25">
      <c r="A286">
        <v>10324</v>
      </c>
      <c r="B286">
        <v>27</v>
      </c>
      <c r="C286">
        <v>54.33</v>
      </c>
      <c r="D286">
        <v>1</v>
      </c>
      <c r="E286">
        <v>1466.91</v>
      </c>
      <c r="F286" s="1">
        <v>38296</v>
      </c>
      <c r="G286" t="s">
        <v>25</v>
      </c>
      <c r="H286">
        <v>4</v>
      </c>
      <c r="I286">
        <v>11</v>
      </c>
      <c r="J286">
        <v>2004</v>
      </c>
      <c r="K286" t="s">
        <v>181</v>
      </c>
      <c r="L286">
        <v>151</v>
      </c>
      <c r="M286" t="s">
        <v>512</v>
      </c>
      <c r="N286" t="s">
        <v>99</v>
      </c>
      <c r="O286">
        <v>2125551500</v>
      </c>
      <c r="P286" t="s">
        <v>100</v>
      </c>
      <c r="Q286" t="s">
        <v>101</v>
      </c>
      <c r="R286" t="s">
        <v>30</v>
      </c>
      <c r="S286" t="s">
        <v>31</v>
      </c>
      <c r="T286">
        <v>10022</v>
      </c>
      <c r="U286" t="s">
        <v>32</v>
      </c>
      <c r="V286" t="s">
        <v>33</v>
      </c>
      <c r="W286" t="s">
        <v>102</v>
      </c>
      <c r="X286" t="s">
        <v>103</v>
      </c>
      <c r="Y286" t="s">
        <v>36</v>
      </c>
    </row>
    <row r="287" spans="1:25" x14ac:dyDescent="0.25">
      <c r="A287">
        <v>10336</v>
      </c>
      <c r="B287">
        <v>33</v>
      </c>
      <c r="C287">
        <v>100</v>
      </c>
      <c r="D287">
        <v>11</v>
      </c>
      <c r="E287">
        <v>4059.33</v>
      </c>
      <c r="F287" s="1">
        <v>38311</v>
      </c>
      <c r="G287" t="s">
        <v>25</v>
      </c>
      <c r="H287">
        <v>4</v>
      </c>
      <c r="I287">
        <v>11</v>
      </c>
      <c r="J287">
        <v>2004</v>
      </c>
      <c r="K287" t="s">
        <v>181</v>
      </c>
      <c r="L287">
        <v>151</v>
      </c>
      <c r="M287" t="s">
        <v>512</v>
      </c>
      <c r="N287" t="s">
        <v>403</v>
      </c>
      <c r="O287" t="s">
        <v>404</v>
      </c>
      <c r="P287" t="s">
        <v>405</v>
      </c>
      <c r="R287" t="s">
        <v>48</v>
      </c>
      <c r="T287">
        <v>75012</v>
      </c>
      <c r="U287" t="s">
        <v>41</v>
      </c>
      <c r="V287" t="s">
        <v>42</v>
      </c>
      <c r="W287" t="s">
        <v>406</v>
      </c>
      <c r="X287" t="s">
        <v>407</v>
      </c>
      <c r="Y287" t="s">
        <v>51</v>
      </c>
    </row>
    <row r="288" spans="1:25" x14ac:dyDescent="0.25">
      <c r="A288">
        <v>10348</v>
      </c>
      <c r="B288">
        <v>47</v>
      </c>
      <c r="C288">
        <v>100</v>
      </c>
      <c r="D288">
        <v>4</v>
      </c>
      <c r="E288">
        <v>4801.5200000000004</v>
      </c>
      <c r="F288" s="1">
        <v>38292</v>
      </c>
      <c r="G288" t="s">
        <v>25</v>
      </c>
      <c r="H288">
        <v>4</v>
      </c>
      <c r="I288">
        <v>11</v>
      </c>
      <c r="J288">
        <v>2004</v>
      </c>
      <c r="K288" t="s">
        <v>181</v>
      </c>
      <c r="L288">
        <v>151</v>
      </c>
      <c r="M288" t="s">
        <v>512</v>
      </c>
      <c r="N288" t="s">
        <v>191</v>
      </c>
      <c r="O288" t="s">
        <v>192</v>
      </c>
      <c r="P288" t="s">
        <v>193</v>
      </c>
      <c r="R288" t="s">
        <v>177</v>
      </c>
      <c r="T288">
        <v>28023</v>
      </c>
      <c r="U288" t="s">
        <v>178</v>
      </c>
      <c r="V288" t="s">
        <v>42</v>
      </c>
      <c r="W288" t="s">
        <v>194</v>
      </c>
      <c r="X288" t="s">
        <v>195</v>
      </c>
      <c r="Y288" t="s">
        <v>51</v>
      </c>
    </row>
    <row r="289" spans="1:25" x14ac:dyDescent="0.25">
      <c r="A289">
        <v>10358</v>
      </c>
      <c r="B289">
        <v>49</v>
      </c>
      <c r="C289">
        <v>55.34</v>
      </c>
      <c r="D289">
        <v>5</v>
      </c>
      <c r="E289">
        <v>2711.66</v>
      </c>
      <c r="F289" s="1">
        <v>38331</v>
      </c>
      <c r="G289" t="s">
        <v>25</v>
      </c>
      <c r="H289">
        <v>4</v>
      </c>
      <c r="I289">
        <v>12</v>
      </c>
      <c r="J289">
        <v>2004</v>
      </c>
      <c r="K289" t="s">
        <v>181</v>
      </c>
      <c r="L289">
        <v>151</v>
      </c>
      <c r="M289" t="s">
        <v>512</v>
      </c>
      <c r="N289" t="s">
        <v>174</v>
      </c>
      <c r="O289" t="s">
        <v>175</v>
      </c>
      <c r="P289" t="s">
        <v>176</v>
      </c>
      <c r="R289" t="s">
        <v>177</v>
      </c>
      <c r="T289">
        <v>28034</v>
      </c>
      <c r="U289" t="s">
        <v>178</v>
      </c>
      <c r="V289" t="s">
        <v>42</v>
      </c>
      <c r="W289" t="s">
        <v>179</v>
      </c>
      <c r="X289" t="s">
        <v>180</v>
      </c>
      <c r="Y289" t="s">
        <v>36</v>
      </c>
    </row>
    <row r="290" spans="1:25" x14ac:dyDescent="0.25">
      <c r="A290">
        <v>10372</v>
      </c>
      <c r="B290">
        <v>40</v>
      </c>
      <c r="C290">
        <v>100</v>
      </c>
      <c r="D290">
        <v>4</v>
      </c>
      <c r="E290">
        <v>5862</v>
      </c>
      <c r="F290" s="1">
        <v>38378</v>
      </c>
      <c r="G290" t="s">
        <v>25</v>
      </c>
      <c r="H290">
        <v>1</v>
      </c>
      <c r="I290">
        <v>1</v>
      </c>
      <c r="J290">
        <v>2005</v>
      </c>
      <c r="K290" t="s">
        <v>181</v>
      </c>
      <c r="L290">
        <v>151</v>
      </c>
      <c r="M290" t="s">
        <v>512</v>
      </c>
      <c r="N290" t="s">
        <v>246</v>
      </c>
      <c r="O290" t="s">
        <v>247</v>
      </c>
      <c r="P290" t="s">
        <v>248</v>
      </c>
      <c r="R290" t="s">
        <v>249</v>
      </c>
      <c r="S290" t="s">
        <v>250</v>
      </c>
      <c r="T290" t="s">
        <v>251</v>
      </c>
      <c r="U290" t="s">
        <v>200</v>
      </c>
      <c r="V290" t="s">
        <v>200</v>
      </c>
      <c r="W290" t="s">
        <v>252</v>
      </c>
      <c r="X290" t="s">
        <v>253</v>
      </c>
      <c r="Y290" t="s">
        <v>51</v>
      </c>
    </row>
    <row r="291" spans="1:25" x14ac:dyDescent="0.25">
      <c r="A291">
        <v>10382</v>
      </c>
      <c r="B291">
        <v>37</v>
      </c>
      <c r="C291">
        <v>100</v>
      </c>
      <c r="D291">
        <v>11</v>
      </c>
      <c r="E291">
        <v>4071.85</v>
      </c>
      <c r="F291" s="1">
        <v>38400</v>
      </c>
      <c r="G291" t="s">
        <v>25</v>
      </c>
      <c r="H291">
        <v>1</v>
      </c>
      <c r="I291">
        <v>2</v>
      </c>
      <c r="J291">
        <v>2005</v>
      </c>
      <c r="K291" t="s">
        <v>181</v>
      </c>
      <c r="L291">
        <v>151</v>
      </c>
      <c r="M291" t="s">
        <v>512</v>
      </c>
      <c r="N291" t="s">
        <v>272</v>
      </c>
      <c r="O291">
        <v>4155551450</v>
      </c>
      <c r="P291" t="s">
        <v>273</v>
      </c>
      <c r="R291" t="s">
        <v>274</v>
      </c>
      <c r="S291" t="s">
        <v>55</v>
      </c>
      <c r="T291">
        <v>97562</v>
      </c>
      <c r="U291" t="s">
        <v>32</v>
      </c>
      <c r="V291" t="s">
        <v>33</v>
      </c>
      <c r="W291" t="s">
        <v>275</v>
      </c>
      <c r="X291" t="s">
        <v>276</v>
      </c>
      <c r="Y291" t="s">
        <v>51</v>
      </c>
    </row>
    <row r="292" spans="1:25" x14ac:dyDescent="0.25">
      <c r="A292">
        <v>10413</v>
      </c>
      <c r="B292">
        <v>47</v>
      </c>
      <c r="C292">
        <v>100</v>
      </c>
      <c r="D292">
        <v>3</v>
      </c>
      <c r="E292">
        <v>8236.75</v>
      </c>
      <c r="F292" s="1">
        <v>38477</v>
      </c>
      <c r="G292" t="s">
        <v>25</v>
      </c>
      <c r="H292">
        <v>2</v>
      </c>
      <c r="I292">
        <v>5</v>
      </c>
      <c r="J292">
        <v>2005</v>
      </c>
      <c r="K292" t="s">
        <v>181</v>
      </c>
      <c r="L292">
        <v>151</v>
      </c>
      <c r="M292" t="s">
        <v>512</v>
      </c>
      <c r="N292" t="s">
        <v>109</v>
      </c>
      <c r="O292">
        <v>2035552570</v>
      </c>
      <c r="P292" t="s">
        <v>110</v>
      </c>
      <c r="R292" t="s">
        <v>111</v>
      </c>
      <c r="S292" t="s">
        <v>112</v>
      </c>
      <c r="T292">
        <v>97562</v>
      </c>
      <c r="U292" t="s">
        <v>32</v>
      </c>
      <c r="V292" t="s">
        <v>33</v>
      </c>
      <c r="W292" t="s">
        <v>113</v>
      </c>
      <c r="X292" t="s">
        <v>57</v>
      </c>
      <c r="Y292" t="s">
        <v>151</v>
      </c>
    </row>
    <row r="293" spans="1:25" x14ac:dyDescent="0.25">
      <c r="A293">
        <v>10108</v>
      </c>
      <c r="B293">
        <v>45</v>
      </c>
      <c r="C293">
        <v>100</v>
      </c>
      <c r="D293">
        <v>4</v>
      </c>
      <c r="E293">
        <v>6130.35</v>
      </c>
      <c r="F293" s="1">
        <v>37683</v>
      </c>
      <c r="G293" t="s">
        <v>25</v>
      </c>
      <c r="H293">
        <v>1</v>
      </c>
      <c r="I293">
        <v>3</v>
      </c>
      <c r="J293">
        <v>2003</v>
      </c>
      <c r="K293" t="s">
        <v>181</v>
      </c>
      <c r="L293">
        <v>117</v>
      </c>
      <c r="M293" t="s">
        <v>513</v>
      </c>
      <c r="N293" t="s">
        <v>425</v>
      </c>
      <c r="O293" t="s">
        <v>426</v>
      </c>
      <c r="P293" t="s">
        <v>427</v>
      </c>
      <c r="R293" t="s">
        <v>428</v>
      </c>
      <c r="T293" t="s">
        <v>429</v>
      </c>
      <c r="U293" t="s">
        <v>430</v>
      </c>
      <c r="V293" t="s">
        <v>200</v>
      </c>
      <c r="W293" t="s">
        <v>431</v>
      </c>
      <c r="X293" t="s">
        <v>432</v>
      </c>
      <c r="Y293" t="s">
        <v>51</v>
      </c>
    </row>
    <row r="294" spans="1:25" x14ac:dyDescent="0.25">
      <c r="A294">
        <v>10122</v>
      </c>
      <c r="B294">
        <v>37</v>
      </c>
      <c r="C294">
        <v>99.82</v>
      </c>
      <c r="D294">
        <v>8</v>
      </c>
      <c r="E294">
        <v>3693.34</v>
      </c>
      <c r="F294" s="1">
        <v>37749</v>
      </c>
      <c r="G294" t="s">
        <v>25</v>
      </c>
      <c r="H294">
        <v>2</v>
      </c>
      <c r="I294">
        <v>5</v>
      </c>
      <c r="J294">
        <v>2003</v>
      </c>
      <c r="K294" t="s">
        <v>181</v>
      </c>
      <c r="L294">
        <v>117</v>
      </c>
      <c r="M294" t="s">
        <v>513</v>
      </c>
      <c r="N294" t="s">
        <v>433</v>
      </c>
      <c r="O294" t="s">
        <v>434</v>
      </c>
      <c r="P294" t="s">
        <v>435</v>
      </c>
      <c r="R294" t="s">
        <v>436</v>
      </c>
      <c r="T294">
        <v>13008</v>
      </c>
      <c r="U294" t="s">
        <v>41</v>
      </c>
      <c r="V294" t="s">
        <v>42</v>
      </c>
      <c r="W294" t="s">
        <v>437</v>
      </c>
      <c r="X294" t="s">
        <v>438</v>
      </c>
      <c r="Y294" t="s">
        <v>51</v>
      </c>
    </row>
    <row r="295" spans="1:25" x14ac:dyDescent="0.25">
      <c r="A295">
        <v>10135</v>
      </c>
      <c r="B295">
        <v>48</v>
      </c>
      <c r="C295">
        <v>100</v>
      </c>
      <c r="D295">
        <v>5</v>
      </c>
      <c r="E295">
        <v>6031.68</v>
      </c>
      <c r="F295" s="1">
        <v>37804</v>
      </c>
      <c r="G295" t="s">
        <v>25</v>
      </c>
      <c r="H295">
        <v>3</v>
      </c>
      <c r="I295">
        <v>7</v>
      </c>
      <c r="J295">
        <v>2003</v>
      </c>
      <c r="K295" t="s">
        <v>181</v>
      </c>
      <c r="L295">
        <v>117</v>
      </c>
      <c r="M295" t="s">
        <v>513</v>
      </c>
      <c r="N295" t="s">
        <v>272</v>
      </c>
      <c r="O295">
        <v>4155551450</v>
      </c>
      <c r="P295" t="s">
        <v>273</v>
      </c>
      <c r="R295" t="s">
        <v>274</v>
      </c>
      <c r="S295" t="s">
        <v>55</v>
      </c>
      <c r="T295">
        <v>97562</v>
      </c>
      <c r="U295" t="s">
        <v>32</v>
      </c>
      <c r="V295" t="s">
        <v>33</v>
      </c>
      <c r="W295" t="s">
        <v>275</v>
      </c>
      <c r="X295" t="s">
        <v>276</v>
      </c>
      <c r="Y295" t="s">
        <v>51</v>
      </c>
    </row>
    <row r="296" spans="1:25" x14ac:dyDescent="0.25">
      <c r="A296">
        <v>10147</v>
      </c>
      <c r="B296">
        <v>31</v>
      </c>
      <c r="C296">
        <v>100</v>
      </c>
      <c r="D296">
        <v>5</v>
      </c>
      <c r="E296">
        <v>3494.94</v>
      </c>
      <c r="F296" s="1">
        <v>37869</v>
      </c>
      <c r="G296" t="s">
        <v>25</v>
      </c>
      <c r="H296">
        <v>3</v>
      </c>
      <c r="I296">
        <v>9</v>
      </c>
      <c r="J296">
        <v>2003</v>
      </c>
      <c r="K296" t="s">
        <v>181</v>
      </c>
      <c r="L296">
        <v>117</v>
      </c>
      <c r="M296" t="s">
        <v>513</v>
      </c>
      <c r="N296" t="s">
        <v>281</v>
      </c>
      <c r="O296">
        <v>6175558555</v>
      </c>
      <c r="P296" t="s">
        <v>282</v>
      </c>
      <c r="R296" t="s">
        <v>283</v>
      </c>
      <c r="S296" t="s">
        <v>123</v>
      </c>
      <c r="T296">
        <v>58339</v>
      </c>
      <c r="U296" t="s">
        <v>32</v>
      </c>
      <c r="V296" t="s">
        <v>33</v>
      </c>
      <c r="W296" t="s">
        <v>275</v>
      </c>
      <c r="X296" t="s">
        <v>284</v>
      </c>
      <c r="Y296" t="s">
        <v>51</v>
      </c>
    </row>
    <row r="297" spans="1:25" x14ac:dyDescent="0.25">
      <c r="A297">
        <v>10160</v>
      </c>
      <c r="B297">
        <v>46</v>
      </c>
      <c r="C297">
        <v>100</v>
      </c>
      <c r="D297">
        <v>6</v>
      </c>
      <c r="E297">
        <v>5294.14</v>
      </c>
      <c r="F297" s="1">
        <v>37905</v>
      </c>
      <c r="G297" t="s">
        <v>25</v>
      </c>
      <c r="H297">
        <v>4</v>
      </c>
      <c r="I297">
        <v>10</v>
      </c>
      <c r="J297">
        <v>2003</v>
      </c>
      <c r="K297" t="s">
        <v>181</v>
      </c>
      <c r="L297">
        <v>117</v>
      </c>
      <c r="M297" t="s">
        <v>513</v>
      </c>
      <c r="N297" t="s">
        <v>358</v>
      </c>
      <c r="O297">
        <v>2155554369</v>
      </c>
      <c r="P297" t="s">
        <v>359</v>
      </c>
      <c r="R297" t="s">
        <v>360</v>
      </c>
      <c r="S297" t="s">
        <v>55</v>
      </c>
      <c r="U297" t="s">
        <v>32</v>
      </c>
      <c r="V297" t="s">
        <v>33</v>
      </c>
      <c r="W297" t="s">
        <v>361</v>
      </c>
      <c r="X297" t="s">
        <v>103</v>
      </c>
      <c r="Y297" t="s">
        <v>51</v>
      </c>
    </row>
    <row r="298" spans="1:25" x14ac:dyDescent="0.25">
      <c r="A298">
        <v>10170</v>
      </c>
      <c r="B298">
        <v>47</v>
      </c>
      <c r="C298">
        <v>100</v>
      </c>
      <c r="D298">
        <v>4</v>
      </c>
      <c r="E298">
        <v>5464.69</v>
      </c>
      <c r="F298" s="1">
        <v>37929</v>
      </c>
      <c r="G298" t="s">
        <v>25</v>
      </c>
      <c r="H298">
        <v>4</v>
      </c>
      <c r="I298">
        <v>11</v>
      </c>
      <c r="J298">
        <v>2003</v>
      </c>
      <c r="K298" t="s">
        <v>181</v>
      </c>
      <c r="L298">
        <v>117</v>
      </c>
      <c r="M298" t="s">
        <v>513</v>
      </c>
      <c r="N298" t="s">
        <v>409</v>
      </c>
      <c r="O298" t="s">
        <v>410</v>
      </c>
      <c r="P298" t="s">
        <v>411</v>
      </c>
      <c r="R298" t="s">
        <v>412</v>
      </c>
      <c r="T298">
        <v>8010</v>
      </c>
      <c r="U298" t="s">
        <v>148</v>
      </c>
      <c r="V298" t="s">
        <v>42</v>
      </c>
      <c r="W298" t="s">
        <v>413</v>
      </c>
      <c r="X298" t="s">
        <v>414</v>
      </c>
      <c r="Y298" t="s">
        <v>51</v>
      </c>
    </row>
    <row r="299" spans="1:25" x14ac:dyDescent="0.25">
      <c r="A299">
        <v>10181</v>
      </c>
      <c r="B299">
        <v>28</v>
      </c>
      <c r="C299">
        <v>100</v>
      </c>
      <c r="D299">
        <v>12</v>
      </c>
      <c r="E299">
        <v>2860.76</v>
      </c>
      <c r="F299" s="1">
        <v>37937</v>
      </c>
      <c r="G299" t="s">
        <v>25</v>
      </c>
      <c r="H299">
        <v>4</v>
      </c>
      <c r="I299">
        <v>11</v>
      </c>
      <c r="J299">
        <v>2003</v>
      </c>
      <c r="K299" t="s">
        <v>181</v>
      </c>
      <c r="L299">
        <v>117</v>
      </c>
      <c r="M299" t="s">
        <v>513</v>
      </c>
      <c r="N299" t="s">
        <v>73</v>
      </c>
      <c r="O299" t="s">
        <v>74</v>
      </c>
      <c r="P299" t="s">
        <v>75</v>
      </c>
      <c r="R299" t="s">
        <v>76</v>
      </c>
      <c r="T299" t="s">
        <v>77</v>
      </c>
      <c r="U299" t="s">
        <v>78</v>
      </c>
      <c r="V299" t="s">
        <v>42</v>
      </c>
      <c r="W299" t="s">
        <v>79</v>
      </c>
      <c r="X299" t="s">
        <v>80</v>
      </c>
      <c r="Y299" t="s">
        <v>36</v>
      </c>
    </row>
    <row r="300" spans="1:25" x14ac:dyDescent="0.25">
      <c r="A300">
        <v>10191</v>
      </c>
      <c r="B300">
        <v>40</v>
      </c>
      <c r="C300">
        <v>100</v>
      </c>
      <c r="D300">
        <v>1</v>
      </c>
      <c r="E300">
        <v>5590</v>
      </c>
      <c r="F300" s="1">
        <v>37945</v>
      </c>
      <c r="G300" t="s">
        <v>25</v>
      </c>
      <c r="H300">
        <v>4</v>
      </c>
      <c r="I300">
        <v>11</v>
      </c>
      <c r="J300">
        <v>2003</v>
      </c>
      <c r="K300" t="s">
        <v>181</v>
      </c>
      <c r="L300">
        <v>117</v>
      </c>
      <c r="M300" t="s">
        <v>513</v>
      </c>
      <c r="N300" t="s">
        <v>439</v>
      </c>
      <c r="O300" t="s">
        <v>440</v>
      </c>
      <c r="P300" t="s">
        <v>441</v>
      </c>
      <c r="R300" t="s">
        <v>442</v>
      </c>
      <c r="T300">
        <v>50739</v>
      </c>
      <c r="U300" t="s">
        <v>443</v>
      </c>
      <c r="V300" t="s">
        <v>42</v>
      </c>
      <c r="W300" t="s">
        <v>444</v>
      </c>
      <c r="X300" t="s">
        <v>445</v>
      </c>
      <c r="Y300" t="s">
        <v>51</v>
      </c>
    </row>
    <row r="301" spans="1:25" x14ac:dyDescent="0.25">
      <c r="A301">
        <v>10203</v>
      </c>
      <c r="B301">
        <v>20</v>
      </c>
      <c r="C301">
        <v>100</v>
      </c>
      <c r="D301">
        <v>6</v>
      </c>
      <c r="E301">
        <v>2254.8000000000002</v>
      </c>
      <c r="F301" s="1">
        <v>37957</v>
      </c>
      <c r="G301" t="s">
        <v>25</v>
      </c>
      <c r="H301">
        <v>4</v>
      </c>
      <c r="I301">
        <v>12</v>
      </c>
      <c r="J301">
        <v>2003</v>
      </c>
      <c r="K301" t="s">
        <v>181</v>
      </c>
      <c r="L301">
        <v>117</v>
      </c>
      <c r="M301" t="s">
        <v>513</v>
      </c>
      <c r="N301" t="s">
        <v>174</v>
      </c>
      <c r="O301" t="s">
        <v>175</v>
      </c>
      <c r="P301" t="s">
        <v>176</v>
      </c>
      <c r="R301" t="s">
        <v>177</v>
      </c>
      <c r="T301">
        <v>28034</v>
      </c>
      <c r="U301" t="s">
        <v>178</v>
      </c>
      <c r="V301" t="s">
        <v>42</v>
      </c>
      <c r="W301" t="s">
        <v>179</v>
      </c>
      <c r="X301" t="s">
        <v>180</v>
      </c>
      <c r="Y301" t="s">
        <v>36</v>
      </c>
    </row>
    <row r="302" spans="1:25" x14ac:dyDescent="0.25">
      <c r="A302">
        <v>10212</v>
      </c>
      <c r="B302">
        <v>39</v>
      </c>
      <c r="C302">
        <v>100</v>
      </c>
      <c r="D302">
        <v>16</v>
      </c>
      <c r="E302">
        <v>4946.76</v>
      </c>
      <c r="F302" s="1">
        <v>38002</v>
      </c>
      <c r="G302" t="s">
        <v>25</v>
      </c>
      <c r="H302">
        <v>1</v>
      </c>
      <c r="I302">
        <v>1</v>
      </c>
      <c r="J302">
        <v>2004</v>
      </c>
      <c r="K302" t="s">
        <v>181</v>
      </c>
      <c r="L302">
        <v>117</v>
      </c>
      <c r="M302" t="s">
        <v>513</v>
      </c>
      <c r="N302" t="s">
        <v>174</v>
      </c>
      <c r="O302" t="s">
        <v>175</v>
      </c>
      <c r="P302" t="s">
        <v>176</v>
      </c>
      <c r="R302" t="s">
        <v>177</v>
      </c>
      <c r="T302">
        <v>28034</v>
      </c>
      <c r="U302" t="s">
        <v>178</v>
      </c>
      <c r="V302" t="s">
        <v>42</v>
      </c>
      <c r="W302" t="s">
        <v>179</v>
      </c>
      <c r="X302" t="s">
        <v>180</v>
      </c>
      <c r="Y302" t="s">
        <v>51</v>
      </c>
    </row>
    <row r="303" spans="1:25" x14ac:dyDescent="0.25">
      <c r="A303">
        <v>10225</v>
      </c>
      <c r="B303">
        <v>25</v>
      </c>
      <c r="C303">
        <v>99.82</v>
      </c>
      <c r="D303">
        <v>7</v>
      </c>
      <c r="E303">
        <v>2495.5</v>
      </c>
      <c r="F303" s="1">
        <v>38039</v>
      </c>
      <c r="G303" t="s">
        <v>25</v>
      </c>
      <c r="H303">
        <v>1</v>
      </c>
      <c r="I303">
        <v>2</v>
      </c>
      <c r="J303">
        <v>2004</v>
      </c>
      <c r="K303" t="s">
        <v>181</v>
      </c>
      <c r="L303">
        <v>117</v>
      </c>
      <c r="M303" t="s">
        <v>513</v>
      </c>
      <c r="N303" t="s">
        <v>446</v>
      </c>
      <c r="O303" t="s">
        <v>447</v>
      </c>
      <c r="P303" t="s">
        <v>448</v>
      </c>
      <c r="R303" t="s">
        <v>449</v>
      </c>
      <c r="T303">
        <v>1203</v>
      </c>
      <c r="U303" t="s">
        <v>450</v>
      </c>
      <c r="V303" t="s">
        <v>42</v>
      </c>
      <c r="W303" t="s">
        <v>451</v>
      </c>
      <c r="X303" t="s">
        <v>103</v>
      </c>
      <c r="Y303" t="s">
        <v>36</v>
      </c>
    </row>
    <row r="304" spans="1:25" x14ac:dyDescent="0.25">
      <c r="A304">
        <v>10238</v>
      </c>
      <c r="B304">
        <v>29</v>
      </c>
      <c r="C304">
        <v>100</v>
      </c>
      <c r="D304">
        <v>1</v>
      </c>
      <c r="E304">
        <v>3167.38</v>
      </c>
      <c r="F304" s="1">
        <v>38086</v>
      </c>
      <c r="G304" t="s">
        <v>25</v>
      </c>
      <c r="H304">
        <v>2</v>
      </c>
      <c r="I304">
        <v>4</v>
      </c>
      <c r="J304">
        <v>2004</v>
      </c>
      <c r="K304" t="s">
        <v>181</v>
      </c>
      <c r="L304">
        <v>117</v>
      </c>
      <c r="M304" t="s">
        <v>513</v>
      </c>
      <c r="N304" t="s">
        <v>322</v>
      </c>
      <c r="O304" t="s">
        <v>323</v>
      </c>
      <c r="P304" t="s">
        <v>324</v>
      </c>
      <c r="R304" t="s">
        <v>325</v>
      </c>
      <c r="T304">
        <v>1734</v>
      </c>
      <c r="U304" t="s">
        <v>326</v>
      </c>
      <c r="V304" t="s">
        <v>42</v>
      </c>
      <c r="W304" t="s">
        <v>327</v>
      </c>
      <c r="X304" t="s">
        <v>328</v>
      </c>
      <c r="Y304" t="s">
        <v>51</v>
      </c>
    </row>
    <row r="305" spans="1:25" x14ac:dyDescent="0.25">
      <c r="A305">
        <v>10253</v>
      </c>
      <c r="B305">
        <v>22</v>
      </c>
      <c r="C305">
        <v>100</v>
      </c>
      <c r="D305">
        <v>11</v>
      </c>
      <c r="E305">
        <v>2402.84</v>
      </c>
      <c r="F305" s="1">
        <v>38139</v>
      </c>
      <c r="G305" t="s">
        <v>339</v>
      </c>
      <c r="H305">
        <v>2</v>
      </c>
      <c r="I305">
        <v>6</v>
      </c>
      <c r="J305">
        <v>2004</v>
      </c>
      <c r="K305" t="s">
        <v>181</v>
      </c>
      <c r="L305">
        <v>117</v>
      </c>
      <c r="M305" t="s">
        <v>513</v>
      </c>
      <c r="N305" t="s">
        <v>165</v>
      </c>
      <c r="O305" t="s">
        <v>166</v>
      </c>
      <c r="P305" t="s">
        <v>167</v>
      </c>
      <c r="R305" t="s">
        <v>168</v>
      </c>
      <c r="T305" t="s">
        <v>169</v>
      </c>
      <c r="U305" t="s">
        <v>170</v>
      </c>
      <c r="V305" t="s">
        <v>42</v>
      </c>
      <c r="W305" t="s">
        <v>171</v>
      </c>
      <c r="X305" t="s">
        <v>172</v>
      </c>
      <c r="Y305" t="s">
        <v>36</v>
      </c>
    </row>
    <row r="306" spans="1:25" x14ac:dyDescent="0.25">
      <c r="A306">
        <v>10266</v>
      </c>
      <c r="B306">
        <v>22</v>
      </c>
      <c r="C306">
        <v>100</v>
      </c>
      <c r="D306">
        <v>12</v>
      </c>
      <c r="E306">
        <v>2454.54</v>
      </c>
      <c r="F306" s="1">
        <v>38174</v>
      </c>
      <c r="G306" t="s">
        <v>25</v>
      </c>
      <c r="H306">
        <v>3</v>
      </c>
      <c r="I306">
        <v>7</v>
      </c>
      <c r="J306">
        <v>2004</v>
      </c>
      <c r="K306" t="s">
        <v>181</v>
      </c>
      <c r="L306">
        <v>117</v>
      </c>
      <c r="M306" t="s">
        <v>513</v>
      </c>
      <c r="N306" t="s">
        <v>452</v>
      </c>
      <c r="O306" t="s">
        <v>453</v>
      </c>
      <c r="P306" t="s">
        <v>454</v>
      </c>
      <c r="R306" t="s">
        <v>455</v>
      </c>
      <c r="T306">
        <v>42100</v>
      </c>
      <c r="U306" t="s">
        <v>258</v>
      </c>
      <c r="V306" t="s">
        <v>42</v>
      </c>
      <c r="W306" t="s">
        <v>456</v>
      </c>
      <c r="X306" t="s">
        <v>457</v>
      </c>
      <c r="Y306" t="s">
        <v>36</v>
      </c>
    </row>
    <row r="307" spans="1:25" x14ac:dyDescent="0.25">
      <c r="A307">
        <v>10276</v>
      </c>
      <c r="B307">
        <v>47</v>
      </c>
      <c r="C307">
        <v>100</v>
      </c>
      <c r="D307">
        <v>1</v>
      </c>
      <c r="E307">
        <v>5464.69</v>
      </c>
      <c r="F307" s="1">
        <v>38201</v>
      </c>
      <c r="G307" t="s">
        <v>25</v>
      </c>
      <c r="H307">
        <v>3</v>
      </c>
      <c r="I307">
        <v>8</v>
      </c>
      <c r="J307">
        <v>2004</v>
      </c>
      <c r="K307" t="s">
        <v>181</v>
      </c>
      <c r="L307">
        <v>117</v>
      </c>
      <c r="M307" t="s">
        <v>513</v>
      </c>
      <c r="N307" t="s">
        <v>458</v>
      </c>
      <c r="O307">
        <v>6175557555</v>
      </c>
      <c r="P307" t="s">
        <v>459</v>
      </c>
      <c r="R307" t="s">
        <v>283</v>
      </c>
      <c r="S307" t="s">
        <v>123</v>
      </c>
      <c r="T307">
        <v>58339</v>
      </c>
      <c r="U307" t="s">
        <v>32</v>
      </c>
      <c r="V307" t="s">
        <v>33</v>
      </c>
      <c r="W307" t="s">
        <v>460</v>
      </c>
      <c r="X307" t="s">
        <v>461</v>
      </c>
      <c r="Y307" t="s">
        <v>51</v>
      </c>
    </row>
    <row r="308" spans="1:25" x14ac:dyDescent="0.25">
      <c r="A308">
        <v>10287</v>
      </c>
      <c r="B308">
        <v>45</v>
      </c>
      <c r="C308">
        <v>100</v>
      </c>
      <c r="D308">
        <v>10</v>
      </c>
      <c r="E308">
        <v>4756.5</v>
      </c>
      <c r="F308" s="1">
        <v>38229</v>
      </c>
      <c r="G308" t="s">
        <v>25</v>
      </c>
      <c r="H308">
        <v>3</v>
      </c>
      <c r="I308">
        <v>8</v>
      </c>
      <c r="J308">
        <v>2004</v>
      </c>
      <c r="K308" t="s">
        <v>181</v>
      </c>
      <c r="L308">
        <v>117</v>
      </c>
      <c r="M308" t="s">
        <v>513</v>
      </c>
      <c r="N308" t="s">
        <v>446</v>
      </c>
      <c r="O308" t="s">
        <v>447</v>
      </c>
      <c r="P308" t="s">
        <v>448</v>
      </c>
      <c r="R308" t="s">
        <v>449</v>
      </c>
      <c r="T308">
        <v>1203</v>
      </c>
      <c r="U308" t="s">
        <v>450</v>
      </c>
      <c r="V308" t="s">
        <v>42</v>
      </c>
      <c r="W308" t="s">
        <v>451</v>
      </c>
      <c r="X308" t="s">
        <v>103</v>
      </c>
      <c r="Y308" t="s">
        <v>51</v>
      </c>
    </row>
    <row r="309" spans="1:25" x14ac:dyDescent="0.25">
      <c r="A309">
        <v>10300</v>
      </c>
      <c r="B309">
        <v>29</v>
      </c>
      <c r="C309">
        <v>100</v>
      </c>
      <c r="D309">
        <v>3</v>
      </c>
      <c r="E309">
        <v>3984.6</v>
      </c>
      <c r="F309" s="1">
        <v>37898</v>
      </c>
      <c r="G309" t="s">
        <v>25</v>
      </c>
      <c r="H309">
        <v>4</v>
      </c>
      <c r="I309">
        <v>10</v>
      </c>
      <c r="J309">
        <v>2003</v>
      </c>
      <c r="K309" t="s">
        <v>181</v>
      </c>
      <c r="L309">
        <v>117</v>
      </c>
      <c r="M309" t="s">
        <v>513</v>
      </c>
      <c r="N309" t="s">
        <v>462</v>
      </c>
      <c r="O309" t="s">
        <v>463</v>
      </c>
      <c r="P309" t="s">
        <v>464</v>
      </c>
      <c r="R309" t="s">
        <v>465</v>
      </c>
      <c r="T309">
        <v>60528</v>
      </c>
      <c r="U309" t="s">
        <v>443</v>
      </c>
      <c r="V309" t="s">
        <v>42</v>
      </c>
      <c r="W309" t="s">
        <v>466</v>
      </c>
      <c r="X309" t="s">
        <v>414</v>
      </c>
      <c r="Y309" t="s">
        <v>51</v>
      </c>
    </row>
    <row r="310" spans="1:25" x14ac:dyDescent="0.25">
      <c r="A310">
        <v>10310</v>
      </c>
      <c r="B310">
        <v>24</v>
      </c>
      <c r="C310">
        <v>100</v>
      </c>
      <c r="D310">
        <v>8</v>
      </c>
      <c r="E310">
        <v>3100.32</v>
      </c>
      <c r="F310" s="1">
        <v>38276</v>
      </c>
      <c r="G310" t="s">
        <v>25</v>
      </c>
      <c r="H310">
        <v>4</v>
      </c>
      <c r="I310">
        <v>10</v>
      </c>
      <c r="J310">
        <v>2004</v>
      </c>
      <c r="K310" t="s">
        <v>181</v>
      </c>
      <c r="L310">
        <v>117</v>
      </c>
      <c r="M310" t="s">
        <v>513</v>
      </c>
      <c r="N310" t="s">
        <v>439</v>
      </c>
      <c r="O310" t="s">
        <v>440</v>
      </c>
      <c r="P310" t="s">
        <v>441</v>
      </c>
      <c r="R310" t="s">
        <v>442</v>
      </c>
      <c r="T310">
        <v>50739</v>
      </c>
      <c r="U310" t="s">
        <v>443</v>
      </c>
      <c r="V310" t="s">
        <v>42</v>
      </c>
      <c r="W310" t="s">
        <v>444</v>
      </c>
      <c r="X310" t="s">
        <v>445</v>
      </c>
      <c r="Y310" t="s">
        <v>51</v>
      </c>
    </row>
    <row r="311" spans="1:25" x14ac:dyDescent="0.25">
      <c r="A311">
        <v>10320</v>
      </c>
      <c r="B311">
        <v>35</v>
      </c>
      <c r="C311">
        <v>100</v>
      </c>
      <c r="D311">
        <v>1</v>
      </c>
      <c r="E311">
        <v>4850.3</v>
      </c>
      <c r="F311" s="1">
        <v>38294</v>
      </c>
      <c r="G311" t="s">
        <v>25</v>
      </c>
      <c r="H311">
        <v>4</v>
      </c>
      <c r="I311">
        <v>11</v>
      </c>
      <c r="J311">
        <v>2004</v>
      </c>
      <c r="K311" t="s">
        <v>181</v>
      </c>
      <c r="L311">
        <v>117</v>
      </c>
      <c r="M311" t="s">
        <v>513</v>
      </c>
      <c r="N311" t="s">
        <v>183</v>
      </c>
      <c r="O311" t="s">
        <v>184</v>
      </c>
      <c r="P311" t="s">
        <v>185</v>
      </c>
      <c r="R311" t="s">
        <v>186</v>
      </c>
      <c r="T311" t="s">
        <v>187</v>
      </c>
      <c r="U311" t="s">
        <v>188</v>
      </c>
      <c r="V311" t="s">
        <v>42</v>
      </c>
      <c r="W311" t="s">
        <v>189</v>
      </c>
      <c r="X311" t="s">
        <v>190</v>
      </c>
      <c r="Y311" t="s">
        <v>51</v>
      </c>
    </row>
    <row r="312" spans="1:25" x14ac:dyDescent="0.25">
      <c r="A312">
        <v>10329</v>
      </c>
      <c r="B312">
        <v>46</v>
      </c>
      <c r="C312">
        <v>83.63</v>
      </c>
      <c r="D312">
        <v>13</v>
      </c>
      <c r="E312">
        <v>3846.98</v>
      </c>
      <c r="F312" s="1">
        <v>38306</v>
      </c>
      <c r="G312" t="s">
        <v>25</v>
      </c>
      <c r="H312">
        <v>4</v>
      </c>
      <c r="I312">
        <v>11</v>
      </c>
      <c r="J312">
        <v>2004</v>
      </c>
      <c r="K312" t="s">
        <v>181</v>
      </c>
      <c r="L312">
        <v>117</v>
      </c>
      <c r="M312" t="s">
        <v>513</v>
      </c>
      <c r="N312" t="s">
        <v>28</v>
      </c>
      <c r="O312">
        <v>2125557818</v>
      </c>
      <c r="P312" t="s">
        <v>29</v>
      </c>
      <c r="R312" t="s">
        <v>30</v>
      </c>
      <c r="S312" t="s">
        <v>31</v>
      </c>
      <c r="T312">
        <v>10022</v>
      </c>
      <c r="U312" t="s">
        <v>32</v>
      </c>
      <c r="V312" t="s">
        <v>33</v>
      </c>
      <c r="W312" t="s">
        <v>34</v>
      </c>
      <c r="X312" t="s">
        <v>35</v>
      </c>
      <c r="Y312" t="s">
        <v>51</v>
      </c>
    </row>
    <row r="313" spans="1:25" x14ac:dyDescent="0.25">
      <c r="A313">
        <v>10341</v>
      </c>
      <c r="B313">
        <v>44</v>
      </c>
      <c r="C313">
        <v>95.93</v>
      </c>
      <c r="D313">
        <v>1</v>
      </c>
      <c r="E313">
        <v>4220.92</v>
      </c>
      <c r="F313" s="1">
        <v>38315</v>
      </c>
      <c r="G313" t="s">
        <v>25</v>
      </c>
      <c r="H313">
        <v>4</v>
      </c>
      <c r="I313">
        <v>11</v>
      </c>
      <c r="J313">
        <v>2004</v>
      </c>
      <c r="K313" t="s">
        <v>181</v>
      </c>
      <c r="L313">
        <v>117</v>
      </c>
      <c r="M313" t="s">
        <v>513</v>
      </c>
      <c r="N313" t="s">
        <v>144</v>
      </c>
      <c r="O313" t="s">
        <v>145</v>
      </c>
      <c r="P313" t="s">
        <v>146</v>
      </c>
      <c r="R313" t="s">
        <v>147</v>
      </c>
      <c r="T313">
        <v>5020</v>
      </c>
      <c r="U313" t="s">
        <v>148</v>
      </c>
      <c r="V313" t="s">
        <v>42</v>
      </c>
      <c r="W313" t="s">
        <v>149</v>
      </c>
      <c r="X313" t="s">
        <v>150</v>
      </c>
      <c r="Y313" t="s">
        <v>51</v>
      </c>
    </row>
    <row r="314" spans="1:25" x14ac:dyDescent="0.25">
      <c r="A314">
        <v>10363</v>
      </c>
      <c r="B314">
        <v>34</v>
      </c>
      <c r="C314">
        <v>96.73</v>
      </c>
      <c r="D314">
        <v>4</v>
      </c>
      <c r="E314">
        <v>3288.82</v>
      </c>
      <c r="F314" s="1">
        <v>38358</v>
      </c>
      <c r="G314" t="s">
        <v>25</v>
      </c>
      <c r="H314">
        <v>1</v>
      </c>
      <c r="I314">
        <v>1</v>
      </c>
      <c r="J314">
        <v>2005</v>
      </c>
      <c r="K314" t="s">
        <v>181</v>
      </c>
      <c r="L314">
        <v>117</v>
      </c>
      <c r="M314" t="s">
        <v>513</v>
      </c>
      <c r="N314" t="s">
        <v>467</v>
      </c>
      <c r="O314" t="s">
        <v>468</v>
      </c>
      <c r="P314" t="s">
        <v>469</v>
      </c>
      <c r="R314" t="s">
        <v>470</v>
      </c>
      <c r="T314" t="s">
        <v>471</v>
      </c>
      <c r="U314" t="s">
        <v>130</v>
      </c>
      <c r="V314" t="s">
        <v>42</v>
      </c>
      <c r="W314" t="s">
        <v>472</v>
      </c>
      <c r="X314" t="s">
        <v>473</v>
      </c>
      <c r="Y314" t="s">
        <v>51</v>
      </c>
    </row>
    <row r="315" spans="1:25" x14ac:dyDescent="0.25">
      <c r="A315">
        <v>10376</v>
      </c>
      <c r="B315">
        <v>35</v>
      </c>
      <c r="C315">
        <v>100</v>
      </c>
      <c r="D315">
        <v>1</v>
      </c>
      <c r="E315">
        <v>3987.2</v>
      </c>
      <c r="F315" s="1">
        <v>38391</v>
      </c>
      <c r="G315" t="s">
        <v>25</v>
      </c>
      <c r="H315">
        <v>1</v>
      </c>
      <c r="I315">
        <v>2</v>
      </c>
      <c r="J315">
        <v>2005</v>
      </c>
      <c r="K315" t="s">
        <v>181</v>
      </c>
      <c r="L315">
        <v>117</v>
      </c>
      <c r="M315" t="s">
        <v>513</v>
      </c>
      <c r="N315" t="s">
        <v>514</v>
      </c>
      <c r="O315">
        <v>3105552373</v>
      </c>
      <c r="P315" t="s">
        <v>515</v>
      </c>
      <c r="R315" t="s">
        <v>516</v>
      </c>
      <c r="S315" t="s">
        <v>55</v>
      </c>
      <c r="T315">
        <v>92561</v>
      </c>
      <c r="U315" t="s">
        <v>32</v>
      </c>
      <c r="V315" t="s">
        <v>33</v>
      </c>
      <c r="W315" t="s">
        <v>56</v>
      </c>
      <c r="X315" t="s">
        <v>245</v>
      </c>
      <c r="Y315" t="s">
        <v>51</v>
      </c>
    </row>
    <row r="316" spans="1:25" x14ac:dyDescent="0.25">
      <c r="A316">
        <v>10389</v>
      </c>
      <c r="B316">
        <v>25</v>
      </c>
      <c r="C316">
        <v>72.38</v>
      </c>
      <c r="D316">
        <v>6</v>
      </c>
      <c r="E316">
        <v>1809.5</v>
      </c>
      <c r="F316" s="1">
        <v>38414</v>
      </c>
      <c r="G316" t="s">
        <v>25</v>
      </c>
      <c r="H316">
        <v>1</v>
      </c>
      <c r="I316">
        <v>3</v>
      </c>
      <c r="J316">
        <v>2005</v>
      </c>
      <c r="K316" t="s">
        <v>181</v>
      </c>
      <c r="L316">
        <v>117</v>
      </c>
      <c r="M316" t="s">
        <v>513</v>
      </c>
      <c r="N316" t="s">
        <v>261</v>
      </c>
      <c r="O316" t="s">
        <v>262</v>
      </c>
      <c r="P316" t="s">
        <v>263</v>
      </c>
      <c r="R316" t="s">
        <v>264</v>
      </c>
      <c r="T316" t="s">
        <v>265</v>
      </c>
      <c r="U316" t="s">
        <v>188</v>
      </c>
      <c r="V316" t="s">
        <v>42</v>
      </c>
      <c r="W316" t="s">
        <v>266</v>
      </c>
      <c r="X316" t="s">
        <v>206</v>
      </c>
      <c r="Y316" t="s">
        <v>36</v>
      </c>
    </row>
    <row r="317" spans="1:25" x14ac:dyDescent="0.25">
      <c r="A317">
        <v>10419</v>
      </c>
      <c r="B317">
        <v>10</v>
      </c>
      <c r="C317">
        <v>100</v>
      </c>
      <c r="D317">
        <v>11</v>
      </c>
      <c r="E317">
        <v>1092.2</v>
      </c>
      <c r="F317" s="1">
        <v>38489</v>
      </c>
      <c r="G317" t="s">
        <v>25</v>
      </c>
      <c r="H317">
        <v>2</v>
      </c>
      <c r="I317">
        <v>5</v>
      </c>
      <c r="J317">
        <v>2005</v>
      </c>
      <c r="K317" t="s">
        <v>181</v>
      </c>
      <c r="L317">
        <v>117</v>
      </c>
      <c r="M317" t="s">
        <v>513</v>
      </c>
      <c r="N317" t="s">
        <v>144</v>
      </c>
      <c r="O317" t="s">
        <v>145</v>
      </c>
      <c r="P317" t="s">
        <v>146</v>
      </c>
      <c r="R317" t="s">
        <v>147</v>
      </c>
      <c r="T317">
        <v>5020</v>
      </c>
      <c r="U317" t="s">
        <v>148</v>
      </c>
      <c r="V317" t="s">
        <v>42</v>
      </c>
      <c r="W317" t="s">
        <v>149</v>
      </c>
      <c r="X317" t="s">
        <v>150</v>
      </c>
      <c r="Y317" t="s">
        <v>36</v>
      </c>
    </row>
    <row r="318" spans="1:25" x14ac:dyDescent="0.25">
      <c r="A318">
        <v>10105</v>
      </c>
      <c r="B318">
        <v>29</v>
      </c>
      <c r="C318">
        <v>100</v>
      </c>
      <c r="D318">
        <v>14</v>
      </c>
      <c r="E318">
        <v>4566.05</v>
      </c>
      <c r="F318" s="1">
        <v>37663</v>
      </c>
      <c r="G318" t="s">
        <v>25</v>
      </c>
      <c r="H318">
        <v>1</v>
      </c>
      <c r="I318">
        <v>2</v>
      </c>
      <c r="J318">
        <v>2003</v>
      </c>
      <c r="K318" t="s">
        <v>181</v>
      </c>
      <c r="L318">
        <v>173</v>
      </c>
      <c r="M318" t="s">
        <v>517</v>
      </c>
      <c r="N318" t="s">
        <v>322</v>
      </c>
      <c r="O318" t="s">
        <v>323</v>
      </c>
      <c r="P318" t="s">
        <v>324</v>
      </c>
      <c r="R318" t="s">
        <v>325</v>
      </c>
      <c r="T318">
        <v>1734</v>
      </c>
      <c r="U318" t="s">
        <v>326</v>
      </c>
      <c r="V318" t="s">
        <v>42</v>
      </c>
      <c r="W318" t="s">
        <v>327</v>
      </c>
      <c r="X318" t="s">
        <v>328</v>
      </c>
      <c r="Y318" t="s">
        <v>51</v>
      </c>
    </row>
    <row r="319" spans="1:25" x14ac:dyDescent="0.25">
      <c r="A319">
        <v>10117</v>
      </c>
      <c r="B319">
        <v>39</v>
      </c>
      <c r="C319">
        <v>100</v>
      </c>
      <c r="D319">
        <v>8</v>
      </c>
      <c r="E319">
        <v>5938.14</v>
      </c>
      <c r="F319" s="1">
        <v>37727</v>
      </c>
      <c r="G319" t="s">
        <v>25</v>
      </c>
      <c r="H319">
        <v>2</v>
      </c>
      <c r="I319">
        <v>4</v>
      </c>
      <c r="J319">
        <v>2003</v>
      </c>
      <c r="K319" t="s">
        <v>181</v>
      </c>
      <c r="L319">
        <v>173</v>
      </c>
      <c r="M319" t="s">
        <v>517</v>
      </c>
      <c r="N319" t="s">
        <v>196</v>
      </c>
      <c r="O319" t="s">
        <v>197</v>
      </c>
      <c r="P319" t="s">
        <v>198</v>
      </c>
      <c r="R319" t="s">
        <v>199</v>
      </c>
      <c r="T319">
        <v>79903</v>
      </c>
      <c r="U319" t="s">
        <v>199</v>
      </c>
      <c r="V319" t="s">
        <v>200</v>
      </c>
      <c r="W319" t="s">
        <v>201</v>
      </c>
      <c r="X319" t="s">
        <v>202</v>
      </c>
      <c r="Y319" t="s">
        <v>51</v>
      </c>
    </row>
    <row r="320" spans="1:25" x14ac:dyDescent="0.25">
      <c r="A320">
        <v>10127</v>
      </c>
      <c r="B320">
        <v>42</v>
      </c>
      <c r="C320">
        <v>100</v>
      </c>
      <c r="D320">
        <v>1</v>
      </c>
      <c r="E320">
        <v>8138.76</v>
      </c>
      <c r="F320" s="1">
        <v>37775</v>
      </c>
      <c r="G320" t="s">
        <v>25</v>
      </c>
      <c r="H320">
        <v>2</v>
      </c>
      <c r="I320">
        <v>6</v>
      </c>
      <c r="J320">
        <v>2003</v>
      </c>
      <c r="K320" t="s">
        <v>181</v>
      </c>
      <c r="L320">
        <v>173</v>
      </c>
      <c r="M320" t="s">
        <v>517</v>
      </c>
      <c r="N320" t="s">
        <v>475</v>
      </c>
      <c r="O320">
        <v>2125557413</v>
      </c>
      <c r="P320" t="s">
        <v>476</v>
      </c>
      <c r="Q320" t="s">
        <v>477</v>
      </c>
      <c r="R320" t="s">
        <v>30</v>
      </c>
      <c r="S320" t="s">
        <v>31</v>
      </c>
      <c r="T320">
        <v>10022</v>
      </c>
      <c r="U320" t="s">
        <v>32</v>
      </c>
      <c r="V320" t="s">
        <v>33</v>
      </c>
      <c r="W320" t="s">
        <v>56</v>
      </c>
      <c r="X320" t="s">
        <v>478</v>
      </c>
      <c r="Y320" t="s">
        <v>151</v>
      </c>
    </row>
    <row r="321" spans="1:25" x14ac:dyDescent="0.25">
      <c r="A321">
        <v>10142</v>
      </c>
      <c r="B321">
        <v>46</v>
      </c>
      <c r="C321">
        <v>100</v>
      </c>
      <c r="D321">
        <v>11</v>
      </c>
      <c r="E321">
        <v>9470.94</v>
      </c>
      <c r="F321" s="1">
        <v>37841</v>
      </c>
      <c r="G321" t="s">
        <v>25</v>
      </c>
      <c r="H321">
        <v>3</v>
      </c>
      <c r="I321">
        <v>8</v>
      </c>
      <c r="J321">
        <v>2003</v>
      </c>
      <c r="K321" t="s">
        <v>181</v>
      </c>
      <c r="L321">
        <v>173</v>
      </c>
      <c r="M321" t="s">
        <v>517</v>
      </c>
      <c r="N321" t="s">
        <v>272</v>
      </c>
      <c r="O321">
        <v>4155551450</v>
      </c>
      <c r="P321" t="s">
        <v>273</v>
      </c>
      <c r="R321" t="s">
        <v>274</v>
      </c>
      <c r="S321" t="s">
        <v>55</v>
      </c>
      <c r="T321">
        <v>97562</v>
      </c>
      <c r="U321" t="s">
        <v>32</v>
      </c>
      <c r="V321" t="s">
        <v>33</v>
      </c>
      <c r="W321" t="s">
        <v>275</v>
      </c>
      <c r="X321" t="s">
        <v>276</v>
      </c>
      <c r="Y321" t="s">
        <v>151</v>
      </c>
    </row>
    <row r="322" spans="1:25" x14ac:dyDescent="0.25">
      <c r="A322">
        <v>10153</v>
      </c>
      <c r="B322">
        <v>49</v>
      </c>
      <c r="C322">
        <v>100</v>
      </c>
      <c r="D322">
        <v>10</v>
      </c>
      <c r="E322">
        <v>7036.89</v>
      </c>
      <c r="F322" s="1">
        <v>37892</v>
      </c>
      <c r="G322" t="s">
        <v>25</v>
      </c>
      <c r="H322">
        <v>3</v>
      </c>
      <c r="I322">
        <v>9</v>
      </c>
      <c r="J322">
        <v>2003</v>
      </c>
      <c r="K322" t="s">
        <v>181</v>
      </c>
      <c r="L322">
        <v>173</v>
      </c>
      <c r="M322" t="s">
        <v>517</v>
      </c>
      <c r="N322" t="s">
        <v>174</v>
      </c>
      <c r="O322" t="s">
        <v>175</v>
      </c>
      <c r="P322" t="s">
        <v>176</v>
      </c>
      <c r="R322" t="s">
        <v>177</v>
      </c>
      <c r="T322">
        <v>28034</v>
      </c>
      <c r="U322" t="s">
        <v>178</v>
      </c>
      <c r="V322" t="s">
        <v>42</v>
      </c>
      <c r="W322" t="s">
        <v>179</v>
      </c>
      <c r="X322" t="s">
        <v>180</v>
      </c>
      <c r="Y322" t="s">
        <v>151</v>
      </c>
    </row>
    <row r="323" spans="1:25" x14ac:dyDescent="0.25">
      <c r="A323">
        <v>10165</v>
      </c>
      <c r="B323">
        <v>27</v>
      </c>
      <c r="C323">
        <v>100</v>
      </c>
      <c r="D323">
        <v>2</v>
      </c>
      <c r="E323">
        <v>5559.03</v>
      </c>
      <c r="F323" s="1">
        <v>37916</v>
      </c>
      <c r="G323" t="s">
        <v>25</v>
      </c>
      <c r="H323">
        <v>4</v>
      </c>
      <c r="I323">
        <v>10</v>
      </c>
      <c r="J323">
        <v>2003</v>
      </c>
      <c r="K323" t="s">
        <v>181</v>
      </c>
      <c r="L323">
        <v>173</v>
      </c>
      <c r="M323" t="s">
        <v>517</v>
      </c>
      <c r="N323" t="s">
        <v>196</v>
      </c>
      <c r="O323" t="s">
        <v>197</v>
      </c>
      <c r="P323" t="s">
        <v>198</v>
      </c>
      <c r="R323" t="s">
        <v>199</v>
      </c>
      <c r="T323">
        <v>79903</v>
      </c>
      <c r="U323" t="s">
        <v>199</v>
      </c>
      <c r="V323" t="s">
        <v>200</v>
      </c>
      <c r="W323" t="s">
        <v>201</v>
      </c>
      <c r="X323" t="s">
        <v>202</v>
      </c>
      <c r="Y323" t="s">
        <v>51</v>
      </c>
    </row>
    <row r="324" spans="1:25" x14ac:dyDescent="0.25">
      <c r="A324">
        <v>10176</v>
      </c>
      <c r="B324">
        <v>50</v>
      </c>
      <c r="C324">
        <v>100</v>
      </c>
      <c r="D324">
        <v>1</v>
      </c>
      <c r="E324">
        <v>7872.5</v>
      </c>
      <c r="F324" s="1">
        <v>37931</v>
      </c>
      <c r="G324" t="s">
        <v>25</v>
      </c>
      <c r="H324">
        <v>4</v>
      </c>
      <c r="I324">
        <v>11</v>
      </c>
      <c r="J324">
        <v>2003</v>
      </c>
      <c r="K324" t="s">
        <v>181</v>
      </c>
      <c r="L324">
        <v>173</v>
      </c>
      <c r="M324" t="s">
        <v>517</v>
      </c>
      <c r="N324" t="s">
        <v>452</v>
      </c>
      <c r="O324" t="s">
        <v>453</v>
      </c>
      <c r="P324" t="s">
        <v>454</v>
      </c>
      <c r="R324" t="s">
        <v>455</v>
      </c>
      <c r="T324">
        <v>42100</v>
      </c>
      <c r="U324" t="s">
        <v>258</v>
      </c>
      <c r="V324" t="s">
        <v>42</v>
      </c>
      <c r="W324" t="s">
        <v>456</v>
      </c>
      <c r="X324" t="s">
        <v>457</v>
      </c>
      <c r="Y324" t="s">
        <v>151</v>
      </c>
    </row>
    <row r="325" spans="1:25" x14ac:dyDescent="0.25">
      <c r="A325">
        <v>10185</v>
      </c>
      <c r="B325">
        <v>43</v>
      </c>
      <c r="C325">
        <v>100</v>
      </c>
      <c r="D325">
        <v>12</v>
      </c>
      <c r="E325">
        <v>7886.2</v>
      </c>
      <c r="F325" s="1">
        <v>37939</v>
      </c>
      <c r="G325" t="s">
        <v>25</v>
      </c>
      <c r="H325">
        <v>4</v>
      </c>
      <c r="I325">
        <v>11</v>
      </c>
      <c r="J325">
        <v>2003</v>
      </c>
      <c r="K325" t="s">
        <v>181</v>
      </c>
      <c r="L325">
        <v>173</v>
      </c>
      <c r="M325" t="s">
        <v>517</v>
      </c>
      <c r="N325" t="s">
        <v>335</v>
      </c>
      <c r="O325">
        <v>5085559555</v>
      </c>
      <c r="P325" t="s">
        <v>336</v>
      </c>
      <c r="R325" t="s">
        <v>162</v>
      </c>
      <c r="S325" t="s">
        <v>123</v>
      </c>
      <c r="T325">
        <v>50553</v>
      </c>
      <c r="U325" t="s">
        <v>32</v>
      </c>
      <c r="V325" t="s">
        <v>33</v>
      </c>
      <c r="W325" t="s">
        <v>337</v>
      </c>
      <c r="X325" t="s">
        <v>338</v>
      </c>
      <c r="Y325" t="s">
        <v>151</v>
      </c>
    </row>
    <row r="326" spans="1:25" x14ac:dyDescent="0.25">
      <c r="A326">
        <v>10196</v>
      </c>
      <c r="B326">
        <v>38</v>
      </c>
      <c r="C326">
        <v>100</v>
      </c>
      <c r="D326">
        <v>4</v>
      </c>
      <c r="E326">
        <v>7232.16</v>
      </c>
      <c r="F326" s="1">
        <v>37951</v>
      </c>
      <c r="G326" t="s">
        <v>25</v>
      </c>
      <c r="H326">
        <v>4</v>
      </c>
      <c r="I326">
        <v>11</v>
      </c>
      <c r="J326">
        <v>2003</v>
      </c>
      <c r="K326" t="s">
        <v>181</v>
      </c>
      <c r="L326">
        <v>173</v>
      </c>
      <c r="M326" t="s">
        <v>517</v>
      </c>
      <c r="N326" t="s">
        <v>242</v>
      </c>
      <c r="O326">
        <v>2035559545</v>
      </c>
      <c r="P326" t="s">
        <v>243</v>
      </c>
      <c r="R326" t="s">
        <v>244</v>
      </c>
      <c r="S326" t="s">
        <v>112</v>
      </c>
      <c r="T326">
        <v>97823</v>
      </c>
      <c r="U326" t="s">
        <v>32</v>
      </c>
      <c r="V326" t="s">
        <v>33</v>
      </c>
      <c r="W326" t="s">
        <v>83</v>
      </c>
      <c r="X326" t="s">
        <v>245</v>
      </c>
      <c r="Y326" t="s">
        <v>151</v>
      </c>
    </row>
    <row r="327" spans="1:25" x14ac:dyDescent="0.25">
      <c r="A327">
        <v>10208</v>
      </c>
      <c r="B327">
        <v>20</v>
      </c>
      <c r="C327">
        <v>100</v>
      </c>
      <c r="D327">
        <v>12</v>
      </c>
      <c r="E327">
        <v>3114.4</v>
      </c>
      <c r="F327" s="1">
        <v>37988</v>
      </c>
      <c r="G327" t="s">
        <v>25</v>
      </c>
      <c r="H327">
        <v>1</v>
      </c>
      <c r="I327">
        <v>1</v>
      </c>
      <c r="J327">
        <v>2004</v>
      </c>
      <c r="K327" t="s">
        <v>181</v>
      </c>
      <c r="L327">
        <v>173</v>
      </c>
      <c r="M327" t="s">
        <v>517</v>
      </c>
      <c r="N327" t="s">
        <v>219</v>
      </c>
      <c r="O327" t="s">
        <v>220</v>
      </c>
      <c r="P327" t="s">
        <v>221</v>
      </c>
      <c r="R327" t="s">
        <v>222</v>
      </c>
      <c r="T327">
        <v>69004</v>
      </c>
      <c r="U327" t="s">
        <v>41</v>
      </c>
      <c r="V327" t="s">
        <v>42</v>
      </c>
      <c r="W327" t="s">
        <v>223</v>
      </c>
      <c r="X327" t="s">
        <v>224</v>
      </c>
      <c r="Y327" t="s">
        <v>51</v>
      </c>
    </row>
    <row r="328" spans="1:25" x14ac:dyDescent="0.25">
      <c r="A328">
        <v>10220</v>
      </c>
      <c r="B328">
        <v>27</v>
      </c>
      <c r="C328">
        <v>100</v>
      </c>
      <c r="D328">
        <v>1</v>
      </c>
      <c r="E328">
        <v>5045.22</v>
      </c>
      <c r="F328" s="1">
        <v>38029</v>
      </c>
      <c r="G328" t="s">
        <v>25</v>
      </c>
      <c r="H328">
        <v>1</v>
      </c>
      <c r="I328">
        <v>2</v>
      </c>
      <c r="J328">
        <v>2004</v>
      </c>
      <c r="K328" t="s">
        <v>181</v>
      </c>
      <c r="L328">
        <v>173</v>
      </c>
      <c r="M328" t="s">
        <v>517</v>
      </c>
      <c r="N328" t="s">
        <v>479</v>
      </c>
      <c r="O328" t="s">
        <v>480</v>
      </c>
      <c r="P328" t="s">
        <v>481</v>
      </c>
      <c r="Q328" t="s">
        <v>482</v>
      </c>
      <c r="R328" t="s">
        <v>483</v>
      </c>
      <c r="T328">
        <v>2</v>
      </c>
      <c r="U328" t="s">
        <v>484</v>
      </c>
      <c r="V328" t="s">
        <v>42</v>
      </c>
      <c r="W328" t="s">
        <v>485</v>
      </c>
      <c r="X328" t="s">
        <v>486</v>
      </c>
      <c r="Y328" t="s">
        <v>51</v>
      </c>
    </row>
    <row r="329" spans="1:25" x14ac:dyDescent="0.25">
      <c r="A329">
        <v>10231</v>
      </c>
      <c r="B329">
        <v>49</v>
      </c>
      <c r="C329">
        <v>100</v>
      </c>
      <c r="D329">
        <v>1</v>
      </c>
      <c r="E329">
        <v>6952.12</v>
      </c>
      <c r="F329" s="1">
        <v>38065</v>
      </c>
      <c r="G329" t="s">
        <v>25</v>
      </c>
      <c r="H329">
        <v>1</v>
      </c>
      <c r="I329">
        <v>3</v>
      </c>
      <c r="J329">
        <v>2004</v>
      </c>
      <c r="K329" t="s">
        <v>181</v>
      </c>
      <c r="L329">
        <v>173</v>
      </c>
      <c r="M329" t="s">
        <v>517</v>
      </c>
      <c r="N329" t="s">
        <v>487</v>
      </c>
      <c r="O329" t="s">
        <v>488</v>
      </c>
      <c r="P329" t="s">
        <v>489</v>
      </c>
      <c r="R329" t="s">
        <v>177</v>
      </c>
      <c r="T329">
        <v>28023</v>
      </c>
      <c r="U329" t="s">
        <v>178</v>
      </c>
      <c r="V329" t="s">
        <v>42</v>
      </c>
      <c r="W329" t="s">
        <v>490</v>
      </c>
      <c r="X329" t="s">
        <v>491</v>
      </c>
      <c r="Y329" t="s">
        <v>51</v>
      </c>
    </row>
    <row r="330" spans="1:25" x14ac:dyDescent="0.25">
      <c r="A330">
        <v>10247</v>
      </c>
      <c r="B330">
        <v>27</v>
      </c>
      <c r="C330">
        <v>100</v>
      </c>
      <c r="D330">
        <v>1</v>
      </c>
      <c r="E330">
        <v>4157.7299999999996</v>
      </c>
      <c r="F330" s="1">
        <v>38112</v>
      </c>
      <c r="G330" t="s">
        <v>25</v>
      </c>
      <c r="H330">
        <v>2</v>
      </c>
      <c r="I330">
        <v>5</v>
      </c>
      <c r="J330">
        <v>2004</v>
      </c>
      <c r="K330" t="s">
        <v>181</v>
      </c>
      <c r="L330">
        <v>173</v>
      </c>
      <c r="M330" t="s">
        <v>517</v>
      </c>
      <c r="N330" t="s">
        <v>467</v>
      </c>
      <c r="O330" t="s">
        <v>468</v>
      </c>
      <c r="P330" t="s">
        <v>469</v>
      </c>
      <c r="R330" t="s">
        <v>470</v>
      </c>
      <c r="T330" t="s">
        <v>471</v>
      </c>
      <c r="U330" t="s">
        <v>130</v>
      </c>
      <c r="V330" t="s">
        <v>42</v>
      </c>
      <c r="W330" t="s">
        <v>472</v>
      </c>
      <c r="X330" t="s">
        <v>473</v>
      </c>
      <c r="Y330" t="s">
        <v>51</v>
      </c>
    </row>
    <row r="331" spans="1:25" x14ac:dyDescent="0.25">
      <c r="A331">
        <v>10272</v>
      </c>
      <c r="B331">
        <v>39</v>
      </c>
      <c r="C331">
        <v>100</v>
      </c>
      <c r="D331">
        <v>1</v>
      </c>
      <c r="E331">
        <v>7962.24</v>
      </c>
      <c r="F331" s="1">
        <v>38188</v>
      </c>
      <c r="G331" t="s">
        <v>25</v>
      </c>
      <c r="H331">
        <v>3</v>
      </c>
      <c r="I331">
        <v>7</v>
      </c>
      <c r="J331">
        <v>2004</v>
      </c>
      <c r="K331" t="s">
        <v>181</v>
      </c>
      <c r="L331">
        <v>173</v>
      </c>
      <c r="M331" t="s">
        <v>517</v>
      </c>
      <c r="N331" t="s">
        <v>139</v>
      </c>
      <c r="O331">
        <v>2155551555</v>
      </c>
      <c r="P331" t="s">
        <v>140</v>
      </c>
      <c r="R331" t="s">
        <v>141</v>
      </c>
      <c r="S331" t="s">
        <v>142</v>
      </c>
      <c r="T331">
        <v>70267</v>
      </c>
      <c r="U331" t="s">
        <v>32</v>
      </c>
      <c r="V331" t="s">
        <v>33</v>
      </c>
      <c r="W331" t="s">
        <v>34</v>
      </c>
      <c r="X331" t="s">
        <v>143</v>
      </c>
      <c r="Y331" t="s">
        <v>151</v>
      </c>
    </row>
    <row r="332" spans="1:25" x14ac:dyDescent="0.25">
      <c r="A332">
        <v>10282</v>
      </c>
      <c r="B332">
        <v>24</v>
      </c>
      <c r="C332">
        <v>100</v>
      </c>
      <c r="D332">
        <v>4</v>
      </c>
      <c r="E332">
        <v>3778.8</v>
      </c>
      <c r="F332" s="1">
        <v>38219</v>
      </c>
      <c r="G332" t="s">
        <v>25</v>
      </c>
      <c r="H332">
        <v>3</v>
      </c>
      <c r="I332">
        <v>8</v>
      </c>
      <c r="J332">
        <v>2004</v>
      </c>
      <c r="K332" t="s">
        <v>181</v>
      </c>
      <c r="L332">
        <v>173</v>
      </c>
      <c r="M332" t="s">
        <v>517</v>
      </c>
      <c r="N332" t="s">
        <v>272</v>
      </c>
      <c r="O332">
        <v>4155551450</v>
      </c>
      <c r="P332" t="s">
        <v>273</v>
      </c>
      <c r="R332" t="s">
        <v>274</v>
      </c>
      <c r="S332" t="s">
        <v>55</v>
      </c>
      <c r="T332">
        <v>97562</v>
      </c>
      <c r="U332" t="s">
        <v>32</v>
      </c>
      <c r="V332" t="s">
        <v>33</v>
      </c>
      <c r="W332" t="s">
        <v>275</v>
      </c>
      <c r="X332" t="s">
        <v>276</v>
      </c>
      <c r="Y332" t="s">
        <v>51</v>
      </c>
    </row>
    <row r="333" spans="1:25" x14ac:dyDescent="0.25">
      <c r="A333">
        <v>10293</v>
      </c>
      <c r="B333">
        <v>45</v>
      </c>
      <c r="C333">
        <v>100</v>
      </c>
      <c r="D333">
        <v>7</v>
      </c>
      <c r="E333">
        <v>8253</v>
      </c>
      <c r="F333" s="1">
        <v>38239</v>
      </c>
      <c r="G333" t="s">
        <v>25</v>
      </c>
      <c r="H333">
        <v>3</v>
      </c>
      <c r="I333">
        <v>9</v>
      </c>
      <c r="J333">
        <v>2004</v>
      </c>
      <c r="K333" t="s">
        <v>181</v>
      </c>
      <c r="L333">
        <v>173</v>
      </c>
      <c r="M333" t="s">
        <v>517</v>
      </c>
      <c r="N333" t="s">
        <v>254</v>
      </c>
      <c r="O333" t="s">
        <v>255</v>
      </c>
      <c r="P333" t="s">
        <v>256</v>
      </c>
      <c r="R333" t="s">
        <v>257</v>
      </c>
      <c r="T333">
        <v>10100</v>
      </c>
      <c r="U333" t="s">
        <v>258</v>
      </c>
      <c r="V333" t="s">
        <v>42</v>
      </c>
      <c r="W333" t="s">
        <v>259</v>
      </c>
      <c r="X333" t="s">
        <v>260</v>
      </c>
      <c r="Y333" t="s">
        <v>151</v>
      </c>
    </row>
    <row r="334" spans="1:25" x14ac:dyDescent="0.25">
      <c r="A334">
        <v>10306</v>
      </c>
      <c r="B334">
        <v>20</v>
      </c>
      <c r="C334">
        <v>100</v>
      </c>
      <c r="D334">
        <v>12</v>
      </c>
      <c r="E334">
        <v>3633.4</v>
      </c>
      <c r="F334" s="1">
        <v>38274</v>
      </c>
      <c r="G334" t="s">
        <v>25</v>
      </c>
      <c r="H334">
        <v>4</v>
      </c>
      <c r="I334">
        <v>10</v>
      </c>
      <c r="J334">
        <v>2004</v>
      </c>
      <c r="K334" t="s">
        <v>181</v>
      </c>
      <c r="L334">
        <v>173</v>
      </c>
      <c r="M334" t="s">
        <v>517</v>
      </c>
      <c r="N334" t="s">
        <v>492</v>
      </c>
      <c r="O334" t="s">
        <v>493</v>
      </c>
      <c r="P334" t="s">
        <v>494</v>
      </c>
      <c r="R334" t="s">
        <v>495</v>
      </c>
      <c r="T334" t="s">
        <v>496</v>
      </c>
      <c r="U334" t="s">
        <v>170</v>
      </c>
      <c r="V334" t="s">
        <v>42</v>
      </c>
      <c r="W334" t="s">
        <v>497</v>
      </c>
      <c r="X334" t="s">
        <v>94</v>
      </c>
      <c r="Y334" t="s">
        <v>51</v>
      </c>
    </row>
    <row r="335" spans="1:25" x14ac:dyDescent="0.25">
      <c r="A335">
        <v>10314</v>
      </c>
      <c r="B335">
        <v>36</v>
      </c>
      <c r="C335">
        <v>100</v>
      </c>
      <c r="D335">
        <v>4</v>
      </c>
      <c r="E335">
        <v>6913.8</v>
      </c>
      <c r="F335" s="1">
        <v>38282</v>
      </c>
      <c r="G335" t="s">
        <v>25</v>
      </c>
      <c r="H335">
        <v>4</v>
      </c>
      <c r="I335">
        <v>10</v>
      </c>
      <c r="J335">
        <v>2004</v>
      </c>
      <c r="K335" t="s">
        <v>181</v>
      </c>
      <c r="L335">
        <v>173</v>
      </c>
      <c r="M335" t="s">
        <v>517</v>
      </c>
      <c r="N335" t="s">
        <v>498</v>
      </c>
      <c r="O335" t="s">
        <v>499</v>
      </c>
      <c r="P335" t="s">
        <v>500</v>
      </c>
      <c r="R335" t="s">
        <v>501</v>
      </c>
      <c r="T335">
        <v>8200</v>
      </c>
      <c r="U335" t="s">
        <v>326</v>
      </c>
      <c r="V335" t="s">
        <v>42</v>
      </c>
      <c r="W335" t="s">
        <v>502</v>
      </c>
      <c r="X335" t="s">
        <v>503</v>
      </c>
      <c r="Y335" t="s">
        <v>51</v>
      </c>
    </row>
    <row r="336" spans="1:25" x14ac:dyDescent="0.25">
      <c r="A336">
        <v>10325</v>
      </c>
      <c r="B336">
        <v>24</v>
      </c>
      <c r="C336">
        <v>100</v>
      </c>
      <c r="D336">
        <v>1</v>
      </c>
      <c r="E336">
        <v>2583.6</v>
      </c>
      <c r="F336" s="1">
        <v>38296</v>
      </c>
      <c r="G336" t="s">
        <v>25</v>
      </c>
      <c r="H336">
        <v>4</v>
      </c>
      <c r="I336">
        <v>11</v>
      </c>
      <c r="J336">
        <v>2004</v>
      </c>
      <c r="K336" t="s">
        <v>181</v>
      </c>
      <c r="L336">
        <v>173</v>
      </c>
      <c r="M336" t="s">
        <v>517</v>
      </c>
      <c r="N336" t="s">
        <v>133</v>
      </c>
      <c r="O336" t="s">
        <v>134</v>
      </c>
      <c r="P336" t="s">
        <v>135</v>
      </c>
      <c r="R336" t="s">
        <v>136</v>
      </c>
      <c r="T336">
        <v>4110</v>
      </c>
      <c r="U336" t="s">
        <v>78</v>
      </c>
      <c r="V336" t="s">
        <v>42</v>
      </c>
      <c r="W336" t="s">
        <v>137</v>
      </c>
      <c r="X336" t="s">
        <v>138</v>
      </c>
      <c r="Y336" t="s">
        <v>36</v>
      </c>
    </row>
    <row r="337" spans="1:25" x14ac:dyDescent="0.25">
      <c r="A337">
        <v>10336</v>
      </c>
      <c r="B337">
        <v>49</v>
      </c>
      <c r="C337">
        <v>63.38</v>
      </c>
      <c r="D337">
        <v>1</v>
      </c>
      <c r="E337">
        <v>3105.62</v>
      </c>
      <c r="F337" s="1">
        <v>38311</v>
      </c>
      <c r="G337" t="s">
        <v>25</v>
      </c>
      <c r="H337">
        <v>4</v>
      </c>
      <c r="I337">
        <v>11</v>
      </c>
      <c r="J337">
        <v>2004</v>
      </c>
      <c r="K337" t="s">
        <v>181</v>
      </c>
      <c r="L337">
        <v>173</v>
      </c>
      <c r="M337" t="s">
        <v>517</v>
      </c>
      <c r="N337" t="s">
        <v>403</v>
      </c>
      <c r="O337" t="s">
        <v>404</v>
      </c>
      <c r="P337" t="s">
        <v>405</v>
      </c>
      <c r="R337" t="s">
        <v>48</v>
      </c>
      <c r="T337">
        <v>75012</v>
      </c>
      <c r="U337" t="s">
        <v>41</v>
      </c>
      <c r="V337" t="s">
        <v>42</v>
      </c>
      <c r="W337" t="s">
        <v>406</v>
      </c>
      <c r="X337" t="s">
        <v>407</v>
      </c>
      <c r="Y337" t="s">
        <v>51</v>
      </c>
    </row>
    <row r="338" spans="1:25" x14ac:dyDescent="0.25">
      <c r="A338">
        <v>10349</v>
      </c>
      <c r="B338">
        <v>26</v>
      </c>
      <c r="C338">
        <v>100</v>
      </c>
      <c r="D338">
        <v>10</v>
      </c>
      <c r="E338">
        <v>4408.5600000000004</v>
      </c>
      <c r="F338" s="1">
        <v>38322</v>
      </c>
      <c r="G338" t="s">
        <v>25</v>
      </c>
      <c r="H338">
        <v>4</v>
      </c>
      <c r="I338">
        <v>12</v>
      </c>
      <c r="J338">
        <v>2004</v>
      </c>
      <c r="K338" t="s">
        <v>181</v>
      </c>
      <c r="L338">
        <v>173</v>
      </c>
      <c r="M338" t="s">
        <v>517</v>
      </c>
      <c r="N338" t="s">
        <v>475</v>
      </c>
      <c r="O338">
        <v>2125557413</v>
      </c>
      <c r="P338" t="s">
        <v>476</v>
      </c>
      <c r="Q338" t="s">
        <v>477</v>
      </c>
      <c r="R338" t="s">
        <v>30</v>
      </c>
      <c r="S338" t="s">
        <v>31</v>
      </c>
      <c r="T338">
        <v>10022</v>
      </c>
      <c r="U338" t="s">
        <v>32</v>
      </c>
      <c r="V338" t="s">
        <v>33</v>
      </c>
      <c r="W338" t="s">
        <v>56</v>
      </c>
      <c r="X338" t="s">
        <v>478</v>
      </c>
      <c r="Y338" t="s">
        <v>51</v>
      </c>
    </row>
    <row r="339" spans="1:25" x14ac:dyDescent="0.25">
      <c r="A339">
        <v>10359</v>
      </c>
      <c r="B339">
        <v>49</v>
      </c>
      <c r="C339">
        <v>62.09</v>
      </c>
      <c r="D339">
        <v>5</v>
      </c>
      <c r="E339">
        <v>3042.41</v>
      </c>
      <c r="F339" s="1">
        <v>38336</v>
      </c>
      <c r="G339" t="s">
        <v>25</v>
      </c>
      <c r="H339">
        <v>4</v>
      </c>
      <c r="I339">
        <v>12</v>
      </c>
      <c r="J339">
        <v>2004</v>
      </c>
      <c r="K339" t="s">
        <v>181</v>
      </c>
      <c r="L339">
        <v>173</v>
      </c>
      <c r="M339" t="s">
        <v>517</v>
      </c>
      <c r="N339" t="s">
        <v>37</v>
      </c>
      <c r="O339" t="s">
        <v>38</v>
      </c>
      <c r="P339" t="s">
        <v>39</v>
      </c>
      <c r="R339" t="s">
        <v>40</v>
      </c>
      <c r="T339">
        <v>51100</v>
      </c>
      <c r="U339" t="s">
        <v>41</v>
      </c>
      <c r="V339" t="s">
        <v>42</v>
      </c>
      <c r="W339" t="s">
        <v>43</v>
      </c>
      <c r="X339" t="s">
        <v>44</v>
      </c>
      <c r="Y339" t="s">
        <v>51</v>
      </c>
    </row>
    <row r="340" spans="1:25" x14ac:dyDescent="0.25">
      <c r="A340">
        <v>10372</v>
      </c>
      <c r="B340">
        <v>34</v>
      </c>
      <c r="C340">
        <v>100</v>
      </c>
      <c r="D340">
        <v>1</v>
      </c>
      <c r="E340">
        <v>5941.5</v>
      </c>
      <c r="F340" s="1">
        <v>38378</v>
      </c>
      <c r="G340" t="s">
        <v>25</v>
      </c>
      <c r="H340">
        <v>1</v>
      </c>
      <c r="I340">
        <v>1</v>
      </c>
      <c r="J340">
        <v>2005</v>
      </c>
      <c r="K340" t="s">
        <v>181</v>
      </c>
      <c r="L340">
        <v>173</v>
      </c>
      <c r="M340" t="s">
        <v>517</v>
      </c>
      <c r="N340" t="s">
        <v>246</v>
      </c>
      <c r="O340" t="s">
        <v>247</v>
      </c>
      <c r="P340" t="s">
        <v>248</v>
      </c>
      <c r="R340" t="s">
        <v>249</v>
      </c>
      <c r="S340" t="s">
        <v>250</v>
      </c>
      <c r="T340" t="s">
        <v>251</v>
      </c>
      <c r="U340" t="s">
        <v>200</v>
      </c>
      <c r="V340" t="s">
        <v>200</v>
      </c>
      <c r="W340" t="s">
        <v>252</v>
      </c>
      <c r="X340" t="s">
        <v>253</v>
      </c>
      <c r="Y340" t="s">
        <v>51</v>
      </c>
    </row>
    <row r="341" spans="1:25" x14ac:dyDescent="0.25">
      <c r="A341">
        <v>10382</v>
      </c>
      <c r="B341">
        <v>34</v>
      </c>
      <c r="C341">
        <v>95.35</v>
      </c>
      <c r="D341">
        <v>12</v>
      </c>
      <c r="E341">
        <v>3241.9</v>
      </c>
      <c r="F341" s="1">
        <v>38400</v>
      </c>
      <c r="G341" t="s">
        <v>25</v>
      </c>
      <c r="H341">
        <v>1</v>
      </c>
      <c r="I341">
        <v>2</v>
      </c>
      <c r="J341">
        <v>2005</v>
      </c>
      <c r="K341" t="s">
        <v>181</v>
      </c>
      <c r="L341">
        <v>173</v>
      </c>
      <c r="M341" t="s">
        <v>517</v>
      </c>
      <c r="N341" t="s">
        <v>272</v>
      </c>
      <c r="O341">
        <v>4155551450</v>
      </c>
      <c r="P341" t="s">
        <v>273</v>
      </c>
      <c r="R341" t="s">
        <v>274</v>
      </c>
      <c r="S341" t="s">
        <v>55</v>
      </c>
      <c r="T341">
        <v>97562</v>
      </c>
      <c r="U341" t="s">
        <v>32</v>
      </c>
      <c r="V341" t="s">
        <v>33</v>
      </c>
      <c r="W341" t="s">
        <v>275</v>
      </c>
      <c r="X341" t="s">
        <v>276</v>
      </c>
      <c r="Y341" t="s">
        <v>51</v>
      </c>
    </row>
    <row r="342" spans="1:25" x14ac:dyDescent="0.25">
      <c r="A342">
        <v>10396</v>
      </c>
      <c r="B342">
        <v>33</v>
      </c>
      <c r="C342">
        <v>100</v>
      </c>
      <c r="D342">
        <v>3</v>
      </c>
      <c r="E342">
        <v>6109.29</v>
      </c>
      <c r="F342" s="1">
        <v>38434</v>
      </c>
      <c r="G342" t="s">
        <v>25</v>
      </c>
      <c r="H342">
        <v>1</v>
      </c>
      <c r="I342">
        <v>3</v>
      </c>
      <c r="J342">
        <v>2005</v>
      </c>
      <c r="K342" t="s">
        <v>181</v>
      </c>
      <c r="L342">
        <v>173</v>
      </c>
      <c r="M342" t="s">
        <v>517</v>
      </c>
      <c r="N342" t="s">
        <v>272</v>
      </c>
      <c r="O342">
        <v>4155551450</v>
      </c>
      <c r="P342" t="s">
        <v>273</v>
      </c>
      <c r="R342" t="s">
        <v>274</v>
      </c>
      <c r="S342" t="s">
        <v>55</v>
      </c>
      <c r="T342">
        <v>97562</v>
      </c>
      <c r="U342" t="s">
        <v>32</v>
      </c>
      <c r="V342" t="s">
        <v>33</v>
      </c>
      <c r="W342" t="s">
        <v>275</v>
      </c>
      <c r="X342" t="s">
        <v>276</v>
      </c>
      <c r="Y342" t="s">
        <v>51</v>
      </c>
    </row>
    <row r="343" spans="1:25" x14ac:dyDescent="0.25">
      <c r="A343">
        <v>10413</v>
      </c>
      <c r="B343">
        <v>22</v>
      </c>
      <c r="C343">
        <v>100</v>
      </c>
      <c r="D343">
        <v>1</v>
      </c>
      <c r="E343">
        <v>3387.78</v>
      </c>
      <c r="F343" s="1">
        <v>38477</v>
      </c>
      <c r="G343" t="s">
        <v>25</v>
      </c>
      <c r="H343">
        <v>2</v>
      </c>
      <c r="I343">
        <v>5</v>
      </c>
      <c r="J343">
        <v>2005</v>
      </c>
      <c r="K343" t="s">
        <v>181</v>
      </c>
      <c r="L343">
        <v>173</v>
      </c>
      <c r="M343" t="s">
        <v>517</v>
      </c>
      <c r="N343" t="s">
        <v>109</v>
      </c>
      <c r="O343">
        <v>2035552570</v>
      </c>
      <c r="P343" t="s">
        <v>110</v>
      </c>
      <c r="R343" t="s">
        <v>111</v>
      </c>
      <c r="S343" t="s">
        <v>112</v>
      </c>
      <c r="T343">
        <v>97562</v>
      </c>
      <c r="U343" t="s">
        <v>32</v>
      </c>
      <c r="V343" t="s">
        <v>33</v>
      </c>
      <c r="W343" t="s">
        <v>113</v>
      </c>
      <c r="X343" t="s">
        <v>57</v>
      </c>
      <c r="Y343" t="s">
        <v>51</v>
      </c>
    </row>
    <row r="344" spans="1:25" x14ac:dyDescent="0.25">
      <c r="A344">
        <v>10108</v>
      </c>
      <c r="B344">
        <v>39</v>
      </c>
      <c r="C344">
        <v>89.38</v>
      </c>
      <c r="D344">
        <v>7</v>
      </c>
      <c r="E344">
        <v>3485.82</v>
      </c>
      <c r="F344" s="1">
        <v>37683</v>
      </c>
      <c r="G344" t="s">
        <v>25</v>
      </c>
      <c r="H344">
        <v>1</v>
      </c>
      <c r="I344">
        <v>3</v>
      </c>
      <c r="J344">
        <v>2003</v>
      </c>
      <c r="K344" t="s">
        <v>181</v>
      </c>
      <c r="L344">
        <v>79</v>
      </c>
      <c r="M344" t="s">
        <v>518</v>
      </c>
      <c r="N344" t="s">
        <v>425</v>
      </c>
      <c r="O344" t="s">
        <v>426</v>
      </c>
      <c r="P344" t="s">
        <v>427</v>
      </c>
      <c r="R344" t="s">
        <v>428</v>
      </c>
      <c r="T344" t="s">
        <v>429</v>
      </c>
      <c r="U344" t="s">
        <v>430</v>
      </c>
      <c r="V344" t="s">
        <v>200</v>
      </c>
      <c r="W344" t="s">
        <v>431</v>
      </c>
      <c r="X344" t="s">
        <v>432</v>
      </c>
      <c r="Y344" t="s">
        <v>51</v>
      </c>
    </row>
    <row r="345" spans="1:25" x14ac:dyDescent="0.25">
      <c r="A345">
        <v>10122</v>
      </c>
      <c r="B345">
        <v>32</v>
      </c>
      <c r="C345">
        <v>63.84</v>
      </c>
      <c r="D345">
        <v>11</v>
      </c>
      <c r="E345">
        <v>2042.88</v>
      </c>
      <c r="F345" s="1">
        <v>37749</v>
      </c>
      <c r="G345" t="s">
        <v>25</v>
      </c>
      <c r="H345">
        <v>2</v>
      </c>
      <c r="I345">
        <v>5</v>
      </c>
      <c r="J345">
        <v>2003</v>
      </c>
      <c r="K345" t="s">
        <v>181</v>
      </c>
      <c r="L345">
        <v>79</v>
      </c>
      <c r="M345" t="s">
        <v>518</v>
      </c>
      <c r="N345" t="s">
        <v>433</v>
      </c>
      <c r="O345" t="s">
        <v>434</v>
      </c>
      <c r="P345" t="s">
        <v>435</v>
      </c>
      <c r="R345" t="s">
        <v>436</v>
      </c>
      <c r="T345">
        <v>13008</v>
      </c>
      <c r="U345" t="s">
        <v>41</v>
      </c>
      <c r="V345" t="s">
        <v>42</v>
      </c>
      <c r="W345" t="s">
        <v>437</v>
      </c>
      <c r="X345" t="s">
        <v>438</v>
      </c>
      <c r="Y345" t="s">
        <v>36</v>
      </c>
    </row>
    <row r="346" spans="1:25" x14ac:dyDescent="0.25">
      <c r="A346">
        <v>10135</v>
      </c>
      <c r="B346">
        <v>24</v>
      </c>
      <c r="C346">
        <v>75.010000000000005</v>
      </c>
      <c r="D346">
        <v>8</v>
      </c>
      <c r="E346">
        <v>1800.24</v>
      </c>
      <c r="F346" s="1">
        <v>37804</v>
      </c>
      <c r="G346" t="s">
        <v>25</v>
      </c>
      <c r="H346">
        <v>3</v>
      </c>
      <c r="I346">
        <v>7</v>
      </c>
      <c r="J346">
        <v>2003</v>
      </c>
      <c r="K346" t="s">
        <v>181</v>
      </c>
      <c r="L346">
        <v>79</v>
      </c>
      <c r="M346" t="s">
        <v>518</v>
      </c>
      <c r="N346" t="s">
        <v>272</v>
      </c>
      <c r="O346">
        <v>4155551450</v>
      </c>
      <c r="P346" t="s">
        <v>273</v>
      </c>
      <c r="R346" t="s">
        <v>274</v>
      </c>
      <c r="S346" t="s">
        <v>55</v>
      </c>
      <c r="T346">
        <v>97562</v>
      </c>
      <c r="U346" t="s">
        <v>32</v>
      </c>
      <c r="V346" t="s">
        <v>33</v>
      </c>
      <c r="W346" t="s">
        <v>275</v>
      </c>
      <c r="X346" t="s">
        <v>276</v>
      </c>
      <c r="Y346" t="s">
        <v>36</v>
      </c>
    </row>
    <row r="347" spans="1:25" x14ac:dyDescent="0.25">
      <c r="A347">
        <v>10147</v>
      </c>
      <c r="B347">
        <v>21</v>
      </c>
      <c r="C347">
        <v>63.84</v>
      </c>
      <c r="D347">
        <v>8</v>
      </c>
      <c r="E347">
        <v>1340.64</v>
      </c>
      <c r="F347" s="1">
        <v>37869</v>
      </c>
      <c r="G347" t="s">
        <v>25</v>
      </c>
      <c r="H347">
        <v>3</v>
      </c>
      <c r="I347">
        <v>9</v>
      </c>
      <c r="J347">
        <v>2003</v>
      </c>
      <c r="K347" t="s">
        <v>181</v>
      </c>
      <c r="L347">
        <v>79</v>
      </c>
      <c r="M347" t="s">
        <v>518</v>
      </c>
      <c r="N347" t="s">
        <v>281</v>
      </c>
      <c r="O347">
        <v>6175558555</v>
      </c>
      <c r="P347" t="s">
        <v>282</v>
      </c>
      <c r="R347" t="s">
        <v>283</v>
      </c>
      <c r="S347" t="s">
        <v>123</v>
      </c>
      <c r="T347">
        <v>58339</v>
      </c>
      <c r="U347" t="s">
        <v>32</v>
      </c>
      <c r="V347" t="s">
        <v>33</v>
      </c>
      <c r="W347" t="s">
        <v>275</v>
      </c>
      <c r="X347" t="s">
        <v>284</v>
      </c>
      <c r="Y347" t="s">
        <v>36</v>
      </c>
    </row>
    <row r="348" spans="1:25" x14ac:dyDescent="0.25">
      <c r="A348">
        <v>10159</v>
      </c>
      <c r="B348">
        <v>24</v>
      </c>
      <c r="C348">
        <v>73.42</v>
      </c>
      <c r="D348">
        <v>3</v>
      </c>
      <c r="E348">
        <v>1762.08</v>
      </c>
      <c r="F348" s="1">
        <v>37904</v>
      </c>
      <c r="G348" t="s">
        <v>25</v>
      </c>
      <c r="H348">
        <v>4</v>
      </c>
      <c r="I348">
        <v>10</v>
      </c>
      <c r="J348">
        <v>2003</v>
      </c>
      <c r="K348" t="s">
        <v>181</v>
      </c>
      <c r="L348">
        <v>79</v>
      </c>
      <c r="M348" t="s">
        <v>518</v>
      </c>
      <c r="N348" t="s">
        <v>58</v>
      </c>
      <c r="O348">
        <v>6505551386</v>
      </c>
      <c r="P348" t="s">
        <v>59</v>
      </c>
      <c r="R348" t="s">
        <v>60</v>
      </c>
      <c r="S348" t="s">
        <v>55</v>
      </c>
      <c r="U348" t="s">
        <v>32</v>
      </c>
      <c r="V348" t="s">
        <v>33</v>
      </c>
      <c r="W348" t="s">
        <v>61</v>
      </c>
      <c r="X348" t="s">
        <v>57</v>
      </c>
      <c r="Y348" t="s">
        <v>36</v>
      </c>
    </row>
    <row r="349" spans="1:25" x14ac:dyDescent="0.25">
      <c r="A349">
        <v>10169</v>
      </c>
      <c r="B349">
        <v>36</v>
      </c>
      <c r="C349">
        <v>63.84</v>
      </c>
      <c r="D349">
        <v>3</v>
      </c>
      <c r="E349">
        <v>2298.2399999999998</v>
      </c>
      <c r="F349" s="1">
        <v>37929</v>
      </c>
      <c r="G349" t="s">
        <v>25</v>
      </c>
      <c r="H349">
        <v>4</v>
      </c>
      <c r="I349">
        <v>11</v>
      </c>
      <c r="J349">
        <v>2003</v>
      </c>
      <c r="K349" t="s">
        <v>181</v>
      </c>
      <c r="L349">
        <v>79</v>
      </c>
      <c r="M349" t="s">
        <v>518</v>
      </c>
      <c r="N349" t="s">
        <v>285</v>
      </c>
      <c r="O349" t="s">
        <v>286</v>
      </c>
      <c r="P349" t="s">
        <v>287</v>
      </c>
      <c r="Q349" t="s">
        <v>288</v>
      </c>
      <c r="R349" t="s">
        <v>289</v>
      </c>
      <c r="S349" t="s">
        <v>157</v>
      </c>
      <c r="T349">
        <v>2060</v>
      </c>
      <c r="U349" t="s">
        <v>95</v>
      </c>
      <c r="V349" t="s">
        <v>96</v>
      </c>
      <c r="W349" t="s">
        <v>290</v>
      </c>
      <c r="X349" t="s">
        <v>291</v>
      </c>
      <c r="Y349" t="s">
        <v>36</v>
      </c>
    </row>
    <row r="350" spans="1:25" x14ac:dyDescent="0.25">
      <c r="A350">
        <v>10181</v>
      </c>
      <c r="B350">
        <v>20</v>
      </c>
      <c r="C350">
        <v>81.400000000000006</v>
      </c>
      <c r="D350">
        <v>15</v>
      </c>
      <c r="E350">
        <v>1628</v>
      </c>
      <c r="F350" s="1">
        <v>37937</v>
      </c>
      <c r="G350" t="s">
        <v>25</v>
      </c>
      <c r="H350">
        <v>4</v>
      </c>
      <c r="I350">
        <v>11</v>
      </c>
      <c r="J350">
        <v>2003</v>
      </c>
      <c r="K350" t="s">
        <v>181</v>
      </c>
      <c r="L350">
        <v>79</v>
      </c>
      <c r="M350" t="s">
        <v>518</v>
      </c>
      <c r="N350" t="s">
        <v>73</v>
      </c>
      <c r="O350" t="s">
        <v>74</v>
      </c>
      <c r="P350" t="s">
        <v>75</v>
      </c>
      <c r="R350" t="s">
        <v>76</v>
      </c>
      <c r="T350" t="s">
        <v>77</v>
      </c>
      <c r="U350" t="s">
        <v>78</v>
      </c>
      <c r="V350" t="s">
        <v>42</v>
      </c>
      <c r="W350" t="s">
        <v>79</v>
      </c>
      <c r="X350" t="s">
        <v>80</v>
      </c>
      <c r="Y350" t="s">
        <v>36</v>
      </c>
    </row>
    <row r="351" spans="1:25" x14ac:dyDescent="0.25">
      <c r="A351">
        <v>10191</v>
      </c>
      <c r="B351">
        <v>30</v>
      </c>
      <c r="C351">
        <v>64.64</v>
      </c>
      <c r="D351">
        <v>4</v>
      </c>
      <c r="E351">
        <v>1939.2</v>
      </c>
      <c r="F351" s="1">
        <v>37945</v>
      </c>
      <c r="G351" t="s">
        <v>25</v>
      </c>
      <c r="H351">
        <v>4</v>
      </c>
      <c r="I351">
        <v>11</v>
      </c>
      <c r="J351">
        <v>2003</v>
      </c>
      <c r="K351" t="s">
        <v>181</v>
      </c>
      <c r="L351">
        <v>79</v>
      </c>
      <c r="M351" t="s">
        <v>518</v>
      </c>
      <c r="N351" t="s">
        <v>439</v>
      </c>
      <c r="O351" t="s">
        <v>440</v>
      </c>
      <c r="P351" t="s">
        <v>441</v>
      </c>
      <c r="R351" t="s">
        <v>442</v>
      </c>
      <c r="T351">
        <v>50739</v>
      </c>
      <c r="U351" t="s">
        <v>443</v>
      </c>
      <c r="V351" t="s">
        <v>42</v>
      </c>
      <c r="W351" t="s">
        <v>444</v>
      </c>
      <c r="X351" t="s">
        <v>445</v>
      </c>
      <c r="Y351" t="s">
        <v>36</v>
      </c>
    </row>
    <row r="352" spans="1:25" x14ac:dyDescent="0.25">
      <c r="A352">
        <v>10203</v>
      </c>
      <c r="B352">
        <v>44</v>
      </c>
      <c r="C352">
        <v>82.99</v>
      </c>
      <c r="D352">
        <v>9</v>
      </c>
      <c r="E352">
        <v>3651.56</v>
      </c>
      <c r="F352" s="1">
        <v>37957</v>
      </c>
      <c r="G352" t="s">
        <v>25</v>
      </c>
      <c r="H352">
        <v>4</v>
      </c>
      <c r="I352">
        <v>12</v>
      </c>
      <c r="J352">
        <v>2003</v>
      </c>
      <c r="K352" t="s">
        <v>181</v>
      </c>
      <c r="L352">
        <v>79</v>
      </c>
      <c r="M352" t="s">
        <v>518</v>
      </c>
      <c r="N352" t="s">
        <v>174</v>
      </c>
      <c r="O352" t="s">
        <v>175</v>
      </c>
      <c r="P352" t="s">
        <v>176</v>
      </c>
      <c r="R352" t="s">
        <v>177</v>
      </c>
      <c r="T352">
        <v>28034</v>
      </c>
      <c r="U352" t="s">
        <v>178</v>
      </c>
      <c r="V352" t="s">
        <v>42</v>
      </c>
      <c r="W352" t="s">
        <v>179</v>
      </c>
      <c r="X352" t="s">
        <v>180</v>
      </c>
      <c r="Y352" t="s">
        <v>51</v>
      </c>
    </row>
    <row r="353" spans="1:25" x14ac:dyDescent="0.25">
      <c r="A353">
        <v>10211</v>
      </c>
      <c r="B353">
        <v>28</v>
      </c>
      <c r="C353">
        <v>92.57</v>
      </c>
      <c r="D353">
        <v>3</v>
      </c>
      <c r="E353">
        <v>2591.96</v>
      </c>
      <c r="F353" s="1">
        <v>38001</v>
      </c>
      <c r="G353" t="s">
        <v>25</v>
      </c>
      <c r="H353">
        <v>1</v>
      </c>
      <c r="I353">
        <v>1</v>
      </c>
      <c r="J353">
        <v>2004</v>
      </c>
      <c r="K353" t="s">
        <v>181</v>
      </c>
      <c r="L353">
        <v>79</v>
      </c>
      <c r="M353" t="s">
        <v>518</v>
      </c>
      <c r="N353" t="s">
        <v>84</v>
      </c>
      <c r="O353" t="s">
        <v>85</v>
      </c>
      <c r="P353" t="s">
        <v>86</v>
      </c>
      <c r="R353" t="s">
        <v>48</v>
      </c>
      <c r="T353">
        <v>75016</v>
      </c>
      <c r="U353" t="s">
        <v>41</v>
      </c>
      <c r="V353" t="s">
        <v>42</v>
      </c>
      <c r="W353" t="s">
        <v>87</v>
      </c>
      <c r="X353" t="s">
        <v>88</v>
      </c>
      <c r="Y353" t="s">
        <v>36</v>
      </c>
    </row>
    <row r="354" spans="1:25" x14ac:dyDescent="0.25">
      <c r="A354">
        <v>10225</v>
      </c>
      <c r="B354">
        <v>37</v>
      </c>
      <c r="C354">
        <v>77.41</v>
      </c>
      <c r="D354">
        <v>10</v>
      </c>
      <c r="E354">
        <v>2864.17</v>
      </c>
      <c r="F354" s="1">
        <v>38039</v>
      </c>
      <c r="G354" t="s">
        <v>25</v>
      </c>
      <c r="H354">
        <v>1</v>
      </c>
      <c r="I354">
        <v>2</v>
      </c>
      <c r="J354">
        <v>2004</v>
      </c>
      <c r="K354" t="s">
        <v>181</v>
      </c>
      <c r="L354">
        <v>79</v>
      </c>
      <c r="M354" t="s">
        <v>518</v>
      </c>
      <c r="N354" t="s">
        <v>446</v>
      </c>
      <c r="O354" t="s">
        <v>447</v>
      </c>
      <c r="P354" t="s">
        <v>448</v>
      </c>
      <c r="R354" t="s">
        <v>449</v>
      </c>
      <c r="T354">
        <v>1203</v>
      </c>
      <c r="U354" t="s">
        <v>450</v>
      </c>
      <c r="V354" t="s">
        <v>42</v>
      </c>
      <c r="W354" t="s">
        <v>451</v>
      </c>
      <c r="X354" t="s">
        <v>103</v>
      </c>
      <c r="Y354" t="s">
        <v>36</v>
      </c>
    </row>
    <row r="355" spans="1:25" x14ac:dyDescent="0.25">
      <c r="A355">
        <v>10238</v>
      </c>
      <c r="B355">
        <v>20</v>
      </c>
      <c r="C355">
        <v>74.209999999999994</v>
      </c>
      <c r="D355">
        <v>4</v>
      </c>
      <c r="E355">
        <v>1484.2</v>
      </c>
      <c r="F355" s="1">
        <v>38086</v>
      </c>
      <c r="G355" t="s">
        <v>25</v>
      </c>
      <c r="H355">
        <v>2</v>
      </c>
      <c r="I355">
        <v>4</v>
      </c>
      <c r="J355">
        <v>2004</v>
      </c>
      <c r="K355" t="s">
        <v>181</v>
      </c>
      <c r="L355">
        <v>79</v>
      </c>
      <c r="M355" t="s">
        <v>518</v>
      </c>
      <c r="N355" t="s">
        <v>322</v>
      </c>
      <c r="O355" t="s">
        <v>323</v>
      </c>
      <c r="P355" t="s">
        <v>324</v>
      </c>
      <c r="R355" t="s">
        <v>325</v>
      </c>
      <c r="T355">
        <v>1734</v>
      </c>
      <c r="U355" t="s">
        <v>326</v>
      </c>
      <c r="V355" t="s">
        <v>42</v>
      </c>
      <c r="W355" t="s">
        <v>327</v>
      </c>
      <c r="X355" t="s">
        <v>328</v>
      </c>
      <c r="Y355" t="s">
        <v>36</v>
      </c>
    </row>
    <row r="356" spans="1:25" x14ac:dyDescent="0.25">
      <c r="A356">
        <v>10253</v>
      </c>
      <c r="B356">
        <v>25</v>
      </c>
      <c r="C356">
        <v>90.17</v>
      </c>
      <c r="D356">
        <v>14</v>
      </c>
      <c r="E356">
        <v>2254.25</v>
      </c>
      <c r="F356" s="1">
        <v>38139</v>
      </c>
      <c r="G356" t="s">
        <v>339</v>
      </c>
      <c r="H356">
        <v>2</v>
      </c>
      <c r="I356">
        <v>6</v>
      </c>
      <c r="J356">
        <v>2004</v>
      </c>
      <c r="K356" t="s">
        <v>181</v>
      </c>
      <c r="L356">
        <v>79</v>
      </c>
      <c r="M356" t="s">
        <v>518</v>
      </c>
      <c r="N356" t="s">
        <v>165</v>
      </c>
      <c r="O356" t="s">
        <v>166</v>
      </c>
      <c r="P356" t="s">
        <v>167</v>
      </c>
      <c r="R356" t="s">
        <v>168</v>
      </c>
      <c r="T356" t="s">
        <v>169</v>
      </c>
      <c r="U356" t="s">
        <v>170</v>
      </c>
      <c r="V356" t="s">
        <v>42</v>
      </c>
      <c r="W356" t="s">
        <v>171</v>
      </c>
      <c r="X356" t="s">
        <v>172</v>
      </c>
      <c r="Y356" t="s">
        <v>36</v>
      </c>
    </row>
    <row r="357" spans="1:25" x14ac:dyDescent="0.25">
      <c r="A357">
        <v>10266</v>
      </c>
      <c r="B357">
        <v>35</v>
      </c>
      <c r="C357">
        <v>76.61</v>
      </c>
      <c r="D357">
        <v>15</v>
      </c>
      <c r="E357">
        <v>2681.35</v>
      </c>
      <c r="F357" s="1">
        <v>38174</v>
      </c>
      <c r="G357" t="s">
        <v>25</v>
      </c>
      <c r="H357">
        <v>3</v>
      </c>
      <c r="I357">
        <v>7</v>
      </c>
      <c r="J357">
        <v>2004</v>
      </c>
      <c r="K357" t="s">
        <v>181</v>
      </c>
      <c r="L357">
        <v>79</v>
      </c>
      <c r="M357" t="s">
        <v>518</v>
      </c>
      <c r="N357" t="s">
        <v>452</v>
      </c>
      <c r="O357" t="s">
        <v>453</v>
      </c>
      <c r="P357" t="s">
        <v>454</v>
      </c>
      <c r="R357" t="s">
        <v>455</v>
      </c>
      <c r="T357">
        <v>42100</v>
      </c>
      <c r="U357" t="s">
        <v>258</v>
      </c>
      <c r="V357" t="s">
        <v>42</v>
      </c>
      <c r="W357" t="s">
        <v>456</v>
      </c>
      <c r="X357" t="s">
        <v>457</v>
      </c>
      <c r="Y357" t="s">
        <v>36</v>
      </c>
    </row>
    <row r="358" spans="1:25" x14ac:dyDescent="0.25">
      <c r="A358">
        <v>10276</v>
      </c>
      <c r="B358">
        <v>38</v>
      </c>
      <c r="C358">
        <v>83.79</v>
      </c>
      <c r="D358">
        <v>4</v>
      </c>
      <c r="E358">
        <v>3184.02</v>
      </c>
      <c r="F358" s="1">
        <v>38201</v>
      </c>
      <c r="G358" t="s">
        <v>25</v>
      </c>
      <c r="H358">
        <v>3</v>
      </c>
      <c r="I358">
        <v>8</v>
      </c>
      <c r="J358">
        <v>2004</v>
      </c>
      <c r="K358" t="s">
        <v>181</v>
      </c>
      <c r="L358">
        <v>79</v>
      </c>
      <c r="M358" t="s">
        <v>518</v>
      </c>
      <c r="N358" t="s">
        <v>458</v>
      </c>
      <c r="O358">
        <v>6175557555</v>
      </c>
      <c r="P358" t="s">
        <v>459</v>
      </c>
      <c r="R358" t="s">
        <v>283</v>
      </c>
      <c r="S358" t="s">
        <v>123</v>
      </c>
      <c r="T358">
        <v>58339</v>
      </c>
      <c r="U358" t="s">
        <v>32</v>
      </c>
      <c r="V358" t="s">
        <v>33</v>
      </c>
      <c r="W358" t="s">
        <v>460</v>
      </c>
      <c r="X358" t="s">
        <v>461</v>
      </c>
      <c r="Y358" t="s">
        <v>51</v>
      </c>
    </row>
    <row r="359" spans="1:25" x14ac:dyDescent="0.25">
      <c r="A359">
        <v>10287</v>
      </c>
      <c r="B359">
        <v>41</v>
      </c>
      <c r="C359">
        <v>69.430000000000007</v>
      </c>
      <c r="D359">
        <v>13</v>
      </c>
      <c r="E359">
        <v>2846.63</v>
      </c>
      <c r="F359" s="1">
        <v>38229</v>
      </c>
      <c r="G359" t="s">
        <v>25</v>
      </c>
      <c r="H359">
        <v>3</v>
      </c>
      <c r="I359">
        <v>8</v>
      </c>
      <c r="J359">
        <v>2004</v>
      </c>
      <c r="K359" t="s">
        <v>181</v>
      </c>
      <c r="L359">
        <v>79</v>
      </c>
      <c r="M359" t="s">
        <v>518</v>
      </c>
      <c r="N359" t="s">
        <v>446</v>
      </c>
      <c r="O359" t="s">
        <v>447</v>
      </c>
      <c r="P359" t="s">
        <v>448</v>
      </c>
      <c r="R359" t="s">
        <v>449</v>
      </c>
      <c r="T359">
        <v>1203</v>
      </c>
      <c r="U359" t="s">
        <v>450</v>
      </c>
      <c r="V359" t="s">
        <v>42</v>
      </c>
      <c r="W359" t="s">
        <v>451</v>
      </c>
      <c r="X359" t="s">
        <v>103</v>
      </c>
      <c r="Y359" t="s">
        <v>36</v>
      </c>
    </row>
    <row r="360" spans="1:25" x14ac:dyDescent="0.25">
      <c r="A360">
        <v>10300</v>
      </c>
      <c r="B360">
        <v>22</v>
      </c>
      <c r="C360">
        <v>76.61</v>
      </c>
      <c r="D360">
        <v>6</v>
      </c>
      <c r="E360">
        <v>1685.42</v>
      </c>
      <c r="F360" s="1">
        <v>37898</v>
      </c>
      <c r="G360" t="s">
        <v>25</v>
      </c>
      <c r="H360">
        <v>4</v>
      </c>
      <c r="I360">
        <v>10</v>
      </c>
      <c r="J360">
        <v>2003</v>
      </c>
      <c r="K360" t="s">
        <v>181</v>
      </c>
      <c r="L360">
        <v>79</v>
      </c>
      <c r="M360" t="s">
        <v>518</v>
      </c>
      <c r="N360" t="s">
        <v>462</v>
      </c>
      <c r="O360" t="s">
        <v>463</v>
      </c>
      <c r="P360" t="s">
        <v>464</v>
      </c>
      <c r="R360" t="s">
        <v>465</v>
      </c>
      <c r="T360">
        <v>60528</v>
      </c>
      <c r="U360" t="s">
        <v>443</v>
      </c>
      <c r="V360" t="s">
        <v>42</v>
      </c>
      <c r="W360" t="s">
        <v>466</v>
      </c>
      <c r="X360" t="s">
        <v>414</v>
      </c>
      <c r="Y360" t="s">
        <v>36</v>
      </c>
    </row>
    <row r="361" spans="1:25" x14ac:dyDescent="0.25">
      <c r="A361">
        <v>10310</v>
      </c>
      <c r="B361">
        <v>49</v>
      </c>
      <c r="C361">
        <v>81.400000000000006</v>
      </c>
      <c r="D361">
        <v>11</v>
      </c>
      <c r="E361">
        <v>3988.6</v>
      </c>
      <c r="F361" s="1">
        <v>38276</v>
      </c>
      <c r="G361" t="s">
        <v>25</v>
      </c>
      <c r="H361">
        <v>4</v>
      </c>
      <c r="I361">
        <v>10</v>
      </c>
      <c r="J361">
        <v>2004</v>
      </c>
      <c r="K361" t="s">
        <v>181</v>
      </c>
      <c r="L361">
        <v>79</v>
      </c>
      <c r="M361" t="s">
        <v>518</v>
      </c>
      <c r="N361" t="s">
        <v>439</v>
      </c>
      <c r="O361" t="s">
        <v>440</v>
      </c>
      <c r="P361" t="s">
        <v>441</v>
      </c>
      <c r="R361" t="s">
        <v>442</v>
      </c>
      <c r="T361">
        <v>50739</v>
      </c>
      <c r="U361" t="s">
        <v>443</v>
      </c>
      <c r="V361" t="s">
        <v>42</v>
      </c>
      <c r="W361" t="s">
        <v>444</v>
      </c>
      <c r="X361" t="s">
        <v>445</v>
      </c>
      <c r="Y361" t="s">
        <v>51</v>
      </c>
    </row>
    <row r="362" spans="1:25" x14ac:dyDescent="0.25">
      <c r="A362">
        <v>10320</v>
      </c>
      <c r="B362">
        <v>38</v>
      </c>
      <c r="C362">
        <v>73.42</v>
      </c>
      <c r="D362">
        <v>4</v>
      </c>
      <c r="E362">
        <v>2789.96</v>
      </c>
      <c r="F362" s="1">
        <v>38294</v>
      </c>
      <c r="G362" t="s">
        <v>25</v>
      </c>
      <c r="H362">
        <v>4</v>
      </c>
      <c r="I362">
        <v>11</v>
      </c>
      <c r="J362">
        <v>2004</v>
      </c>
      <c r="K362" t="s">
        <v>181</v>
      </c>
      <c r="L362">
        <v>79</v>
      </c>
      <c r="M362" t="s">
        <v>518</v>
      </c>
      <c r="N362" t="s">
        <v>183</v>
      </c>
      <c r="O362" t="s">
        <v>184</v>
      </c>
      <c r="P362" t="s">
        <v>185</v>
      </c>
      <c r="R362" t="s">
        <v>186</v>
      </c>
      <c r="T362" t="s">
        <v>187</v>
      </c>
      <c r="U362" t="s">
        <v>188</v>
      </c>
      <c r="V362" t="s">
        <v>42</v>
      </c>
      <c r="W362" t="s">
        <v>189</v>
      </c>
      <c r="X362" t="s">
        <v>190</v>
      </c>
      <c r="Y362" t="s">
        <v>36</v>
      </c>
    </row>
    <row r="363" spans="1:25" x14ac:dyDescent="0.25">
      <c r="A363">
        <v>10329</v>
      </c>
      <c r="B363">
        <v>33</v>
      </c>
      <c r="C363">
        <v>100</v>
      </c>
      <c r="D363">
        <v>14</v>
      </c>
      <c r="E363">
        <v>3607.56</v>
      </c>
      <c r="F363" s="1">
        <v>38306</v>
      </c>
      <c r="G363" t="s">
        <v>25</v>
      </c>
      <c r="H363">
        <v>4</v>
      </c>
      <c r="I363">
        <v>11</v>
      </c>
      <c r="J363">
        <v>2004</v>
      </c>
      <c r="K363" t="s">
        <v>181</v>
      </c>
      <c r="L363">
        <v>79</v>
      </c>
      <c r="M363" t="s">
        <v>518</v>
      </c>
      <c r="N363" t="s">
        <v>28</v>
      </c>
      <c r="O363">
        <v>2125557818</v>
      </c>
      <c r="P363" t="s">
        <v>29</v>
      </c>
      <c r="R363" t="s">
        <v>30</v>
      </c>
      <c r="S363" t="s">
        <v>31</v>
      </c>
      <c r="T363">
        <v>10022</v>
      </c>
      <c r="U363" t="s">
        <v>32</v>
      </c>
      <c r="V363" t="s">
        <v>33</v>
      </c>
      <c r="W363" t="s">
        <v>34</v>
      </c>
      <c r="X363" t="s">
        <v>35</v>
      </c>
      <c r="Y363" t="s">
        <v>51</v>
      </c>
    </row>
    <row r="364" spans="1:25" x14ac:dyDescent="0.25">
      <c r="A364">
        <v>10341</v>
      </c>
      <c r="B364">
        <v>36</v>
      </c>
      <c r="C364">
        <v>93.56</v>
      </c>
      <c r="D364">
        <v>10</v>
      </c>
      <c r="E364">
        <v>3368.16</v>
      </c>
      <c r="F364" s="1">
        <v>38315</v>
      </c>
      <c r="G364" t="s">
        <v>25</v>
      </c>
      <c r="H364">
        <v>4</v>
      </c>
      <c r="I364">
        <v>11</v>
      </c>
      <c r="J364">
        <v>2004</v>
      </c>
      <c r="K364" t="s">
        <v>181</v>
      </c>
      <c r="L364">
        <v>79</v>
      </c>
      <c r="M364" t="s">
        <v>518</v>
      </c>
      <c r="N364" t="s">
        <v>144</v>
      </c>
      <c r="O364" t="s">
        <v>145</v>
      </c>
      <c r="P364" t="s">
        <v>146</v>
      </c>
      <c r="R364" t="s">
        <v>147</v>
      </c>
      <c r="T364">
        <v>5020</v>
      </c>
      <c r="U364" t="s">
        <v>148</v>
      </c>
      <c r="V364" t="s">
        <v>42</v>
      </c>
      <c r="W364" t="s">
        <v>149</v>
      </c>
      <c r="X364" t="s">
        <v>150</v>
      </c>
      <c r="Y364" t="s">
        <v>51</v>
      </c>
    </row>
    <row r="365" spans="1:25" x14ac:dyDescent="0.25">
      <c r="A365">
        <v>10363</v>
      </c>
      <c r="B365">
        <v>34</v>
      </c>
      <c r="C365">
        <v>81.62</v>
      </c>
      <c r="D365">
        <v>5</v>
      </c>
      <c r="E365">
        <v>2775.08</v>
      </c>
      <c r="F365" s="1">
        <v>38358</v>
      </c>
      <c r="G365" t="s">
        <v>25</v>
      </c>
      <c r="H365">
        <v>1</v>
      </c>
      <c r="I365">
        <v>1</v>
      </c>
      <c r="J365">
        <v>2005</v>
      </c>
      <c r="K365" t="s">
        <v>181</v>
      </c>
      <c r="L365">
        <v>79</v>
      </c>
      <c r="M365" t="s">
        <v>518</v>
      </c>
      <c r="N365" t="s">
        <v>467</v>
      </c>
      <c r="O365" t="s">
        <v>468</v>
      </c>
      <c r="P365" t="s">
        <v>469</v>
      </c>
      <c r="R365" t="s">
        <v>470</v>
      </c>
      <c r="T365" t="s">
        <v>471</v>
      </c>
      <c r="U365" t="s">
        <v>130</v>
      </c>
      <c r="V365" t="s">
        <v>42</v>
      </c>
      <c r="W365" t="s">
        <v>472</v>
      </c>
      <c r="X365" t="s">
        <v>473</v>
      </c>
      <c r="Y365" t="s">
        <v>36</v>
      </c>
    </row>
    <row r="366" spans="1:25" x14ac:dyDescent="0.25">
      <c r="A366">
        <v>10377</v>
      </c>
      <c r="B366">
        <v>24</v>
      </c>
      <c r="C366">
        <v>67.83</v>
      </c>
      <c r="D366">
        <v>5</v>
      </c>
      <c r="E366">
        <v>1627.92</v>
      </c>
      <c r="F366" s="1">
        <v>38392</v>
      </c>
      <c r="G366" t="s">
        <v>25</v>
      </c>
      <c r="H366">
        <v>1</v>
      </c>
      <c r="I366">
        <v>2</v>
      </c>
      <c r="J366">
        <v>2005</v>
      </c>
      <c r="K366" t="s">
        <v>181</v>
      </c>
      <c r="L366">
        <v>79</v>
      </c>
      <c r="M366" t="s">
        <v>518</v>
      </c>
      <c r="N366" t="s">
        <v>126</v>
      </c>
      <c r="O366" t="s">
        <v>127</v>
      </c>
      <c r="P366" t="s">
        <v>128</v>
      </c>
      <c r="R366" t="s">
        <v>129</v>
      </c>
      <c r="T366">
        <v>21240</v>
      </c>
      <c r="U366" t="s">
        <v>130</v>
      </c>
      <c r="V366" t="s">
        <v>42</v>
      </c>
      <c r="W366" t="s">
        <v>131</v>
      </c>
      <c r="X366" t="s">
        <v>132</v>
      </c>
      <c r="Y366" t="s">
        <v>36</v>
      </c>
    </row>
    <row r="367" spans="1:25" x14ac:dyDescent="0.25">
      <c r="A367">
        <v>10389</v>
      </c>
      <c r="B367">
        <v>36</v>
      </c>
      <c r="C367">
        <v>70.260000000000005</v>
      </c>
      <c r="D367">
        <v>7</v>
      </c>
      <c r="E367">
        <v>2529.36</v>
      </c>
      <c r="F367" s="1">
        <v>38414</v>
      </c>
      <c r="G367" t="s">
        <v>25</v>
      </c>
      <c r="H367">
        <v>1</v>
      </c>
      <c r="I367">
        <v>3</v>
      </c>
      <c r="J367">
        <v>2005</v>
      </c>
      <c r="K367" t="s">
        <v>181</v>
      </c>
      <c r="L367">
        <v>79</v>
      </c>
      <c r="M367" t="s">
        <v>518</v>
      </c>
      <c r="N367" t="s">
        <v>261</v>
      </c>
      <c r="O367" t="s">
        <v>262</v>
      </c>
      <c r="P367" t="s">
        <v>263</v>
      </c>
      <c r="R367" t="s">
        <v>264</v>
      </c>
      <c r="T367" t="s">
        <v>265</v>
      </c>
      <c r="U367" t="s">
        <v>188</v>
      </c>
      <c r="V367" t="s">
        <v>42</v>
      </c>
      <c r="W367" t="s">
        <v>266</v>
      </c>
      <c r="X367" t="s">
        <v>206</v>
      </c>
      <c r="Y367" t="s">
        <v>36</v>
      </c>
    </row>
    <row r="368" spans="1:25" x14ac:dyDescent="0.25">
      <c r="A368">
        <v>10419</v>
      </c>
      <c r="B368">
        <v>34</v>
      </c>
      <c r="C368">
        <v>90.17</v>
      </c>
      <c r="D368">
        <v>14</v>
      </c>
      <c r="E368">
        <v>3065.78</v>
      </c>
      <c r="F368" s="1">
        <v>38489</v>
      </c>
      <c r="G368" t="s">
        <v>25</v>
      </c>
      <c r="H368">
        <v>2</v>
      </c>
      <c r="I368">
        <v>5</v>
      </c>
      <c r="J368">
        <v>2005</v>
      </c>
      <c r="K368" t="s">
        <v>181</v>
      </c>
      <c r="L368">
        <v>79</v>
      </c>
      <c r="M368" t="s">
        <v>518</v>
      </c>
      <c r="N368" t="s">
        <v>144</v>
      </c>
      <c r="O368" t="s">
        <v>145</v>
      </c>
      <c r="P368" t="s">
        <v>146</v>
      </c>
      <c r="R368" t="s">
        <v>147</v>
      </c>
      <c r="T368">
        <v>5020</v>
      </c>
      <c r="U368" t="s">
        <v>148</v>
      </c>
      <c r="V368" t="s">
        <v>42</v>
      </c>
      <c r="W368" t="s">
        <v>149</v>
      </c>
      <c r="X368" t="s">
        <v>150</v>
      </c>
      <c r="Y368" t="s">
        <v>51</v>
      </c>
    </row>
    <row r="369" spans="1:25" x14ac:dyDescent="0.25">
      <c r="A369">
        <v>10104</v>
      </c>
      <c r="B369">
        <v>41</v>
      </c>
      <c r="C369">
        <v>100</v>
      </c>
      <c r="D369">
        <v>9</v>
      </c>
      <c r="E369">
        <v>4615.78</v>
      </c>
      <c r="F369" s="1">
        <v>37652</v>
      </c>
      <c r="G369" t="s">
        <v>25</v>
      </c>
      <c r="H369">
        <v>1</v>
      </c>
      <c r="I369">
        <v>1</v>
      </c>
      <c r="J369">
        <v>2003</v>
      </c>
      <c r="K369" t="s">
        <v>504</v>
      </c>
      <c r="L369">
        <v>118</v>
      </c>
      <c r="M369" t="s">
        <v>519</v>
      </c>
      <c r="N369" t="s">
        <v>174</v>
      </c>
      <c r="O369" t="s">
        <v>175</v>
      </c>
      <c r="P369" t="s">
        <v>176</v>
      </c>
      <c r="R369" t="s">
        <v>177</v>
      </c>
      <c r="T369">
        <v>28034</v>
      </c>
      <c r="U369" t="s">
        <v>178</v>
      </c>
      <c r="V369" t="s">
        <v>42</v>
      </c>
      <c r="W369" t="s">
        <v>179</v>
      </c>
      <c r="X369" t="s">
        <v>180</v>
      </c>
      <c r="Y369" t="s">
        <v>51</v>
      </c>
    </row>
    <row r="370" spans="1:25" x14ac:dyDescent="0.25">
      <c r="A370">
        <v>10115</v>
      </c>
      <c r="B370">
        <v>46</v>
      </c>
      <c r="C370">
        <v>100</v>
      </c>
      <c r="D370">
        <v>5</v>
      </c>
      <c r="E370">
        <v>5723.78</v>
      </c>
      <c r="F370" s="1">
        <v>37715</v>
      </c>
      <c r="G370" t="s">
        <v>25</v>
      </c>
      <c r="H370">
        <v>2</v>
      </c>
      <c r="I370">
        <v>4</v>
      </c>
      <c r="J370">
        <v>2003</v>
      </c>
      <c r="K370" t="s">
        <v>504</v>
      </c>
      <c r="L370">
        <v>118</v>
      </c>
      <c r="M370" t="s">
        <v>519</v>
      </c>
      <c r="N370" t="s">
        <v>203</v>
      </c>
      <c r="O370">
        <v>2125558493</v>
      </c>
      <c r="P370" t="s">
        <v>204</v>
      </c>
      <c r="Q370" t="s">
        <v>205</v>
      </c>
      <c r="R370" t="s">
        <v>30</v>
      </c>
      <c r="S370" t="s">
        <v>31</v>
      </c>
      <c r="T370">
        <v>10022</v>
      </c>
      <c r="U370" t="s">
        <v>32</v>
      </c>
      <c r="V370" t="s">
        <v>33</v>
      </c>
      <c r="W370" t="s">
        <v>124</v>
      </c>
      <c r="X370" t="s">
        <v>206</v>
      </c>
      <c r="Y370" t="s">
        <v>51</v>
      </c>
    </row>
    <row r="371" spans="1:25" x14ac:dyDescent="0.25">
      <c r="A371">
        <v>10127</v>
      </c>
      <c r="B371">
        <v>24</v>
      </c>
      <c r="C371">
        <v>100</v>
      </c>
      <c r="D371">
        <v>11</v>
      </c>
      <c r="E371">
        <v>2559.6</v>
      </c>
      <c r="F371" s="1">
        <v>37775</v>
      </c>
      <c r="G371" t="s">
        <v>25</v>
      </c>
      <c r="H371">
        <v>2</v>
      </c>
      <c r="I371">
        <v>6</v>
      </c>
      <c r="J371">
        <v>2003</v>
      </c>
      <c r="K371" t="s">
        <v>504</v>
      </c>
      <c r="L371">
        <v>118</v>
      </c>
      <c r="M371" t="s">
        <v>519</v>
      </c>
      <c r="N371" t="s">
        <v>475</v>
      </c>
      <c r="O371">
        <v>2125557413</v>
      </c>
      <c r="P371" t="s">
        <v>476</v>
      </c>
      <c r="Q371" t="s">
        <v>477</v>
      </c>
      <c r="R371" t="s">
        <v>30</v>
      </c>
      <c r="S371" t="s">
        <v>31</v>
      </c>
      <c r="T371">
        <v>10022</v>
      </c>
      <c r="U371" t="s">
        <v>32</v>
      </c>
      <c r="V371" t="s">
        <v>33</v>
      </c>
      <c r="W371" t="s">
        <v>56</v>
      </c>
      <c r="X371" t="s">
        <v>478</v>
      </c>
      <c r="Y371" t="s">
        <v>36</v>
      </c>
    </row>
    <row r="372" spans="1:25" x14ac:dyDescent="0.25">
      <c r="A372">
        <v>10141</v>
      </c>
      <c r="B372">
        <v>21</v>
      </c>
      <c r="C372">
        <v>100</v>
      </c>
      <c r="D372">
        <v>5</v>
      </c>
      <c r="E372">
        <v>2140.11</v>
      </c>
      <c r="F372" s="1">
        <v>37834</v>
      </c>
      <c r="G372" t="s">
        <v>25</v>
      </c>
      <c r="H372">
        <v>3</v>
      </c>
      <c r="I372">
        <v>8</v>
      </c>
      <c r="J372">
        <v>2003</v>
      </c>
      <c r="K372" t="s">
        <v>504</v>
      </c>
      <c r="L372">
        <v>118</v>
      </c>
      <c r="M372" t="s">
        <v>519</v>
      </c>
      <c r="N372" t="s">
        <v>467</v>
      </c>
      <c r="O372" t="s">
        <v>468</v>
      </c>
      <c r="P372" t="s">
        <v>469</v>
      </c>
      <c r="R372" t="s">
        <v>470</v>
      </c>
      <c r="T372" t="s">
        <v>471</v>
      </c>
      <c r="U372" t="s">
        <v>130</v>
      </c>
      <c r="V372" t="s">
        <v>42</v>
      </c>
      <c r="W372" t="s">
        <v>472</v>
      </c>
      <c r="X372" t="s">
        <v>473</v>
      </c>
      <c r="Y372" t="s">
        <v>36</v>
      </c>
    </row>
    <row r="373" spans="1:25" x14ac:dyDescent="0.25">
      <c r="A373">
        <v>10151</v>
      </c>
      <c r="B373">
        <v>24</v>
      </c>
      <c r="C373">
        <v>100</v>
      </c>
      <c r="D373">
        <v>3</v>
      </c>
      <c r="E373">
        <v>3327.6</v>
      </c>
      <c r="F373" s="1">
        <v>37885</v>
      </c>
      <c r="G373" t="s">
        <v>25</v>
      </c>
      <c r="H373">
        <v>3</v>
      </c>
      <c r="I373">
        <v>9</v>
      </c>
      <c r="J373">
        <v>2003</v>
      </c>
      <c r="K373" t="s">
        <v>504</v>
      </c>
      <c r="L373">
        <v>118</v>
      </c>
      <c r="M373" t="s">
        <v>519</v>
      </c>
      <c r="N373" t="s">
        <v>391</v>
      </c>
      <c r="O373" t="s">
        <v>392</v>
      </c>
      <c r="P373" t="s">
        <v>393</v>
      </c>
      <c r="R373" t="s">
        <v>394</v>
      </c>
      <c r="T373">
        <v>90110</v>
      </c>
      <c r="U373" t="s">
        <v>130</v>
      </c>
      <c r="V373" t="s">
        <v>42</v>
      </c>
      <c r="W373" t="s">
        <v>395</v>
      </c>
      <c r="X373" t="s">
        <v>396</v>
      </c>
      <c r="Y373" t="s">
        <v>51</v>
      </c>
    </row>
    <row r="374" spans="1:25" x14ac:dyDescent="0.25">
      <c r="A374">
        <v>10165</v>
      </c>
      <c r="B374">
        <v>48</v>
      </c>
      <c r="C374">
        <v>100</v>
      </c>
      <c r="D374">
        <v>12</v>
      </c>
      <c r="E374">
        <v>6825.6</v>
      </c>
      <c r="F374" s="1">
        <v>37916</v>
      </c>
      <c r="G374" t="s">
        <v>25</v>
      </c>
      <c r="H374">
        <v>4</v>
      </c>
      <c r="I374">
        <v>10</v>
      </c>
      <c r="J374">
        <v>2003</v>
      </c>
      <c r="K374" t="s">
        <v>504</v>
      </c>
      <c r="L374">
        <v>118</v>
      </c>
      <c r="M374" t="s">
        <v>519</v>
      </c>
      <c r="N374" t="s">
        <v>196</v>
      </c>
      <c r="O374" t="s">
        <v>197</v>
      </c>
      <c r="P374" t="s">
        <v>198</v>
      </c>
      <c r="R374" t="s">
        <v>199</v>
      </c>
      <c r="T374">
        <v>79903</v>
      </c>
      <c r="U374" t="s">
        <v>199</v>
      </c>
      <c r="V374" t="s">
        <v>200</v>
      </c>
      <c r="W374" t="s">
        <v>201</v>
      </c>
      <c r="X374" t="s">
        <v>202</v>
      </c>
      <c r="Y374" t="s">
        <v>51</v>
      </c>
    </row>
    <row r="375" spans="1:25" x14ac:dyDescent="0.25">
      <c r="A375">
        <v>10175</v>
      </c>
      <c r="B375">
        <v>26</v>
      </c>
      <c r="C375">
        <v>100</v>
      </c>
      <c r="D375">
        <v>1</v>
      </c>
      <c r="E375">
        <v>3543.28</v>
      </c>
      <c r="F375" s="1">
        <v>37931</v>
      </c>
      <c r="G375" t="s">
        <v>25</v>
      </c>
      <c r="H375">
        <v>4</v>
      </c>
      <c r="I375">
        <v>11</v>
      </c>
      <c r="J375">
        <v>2003</v>
      </c>
      <c r="K375" t="s">
        <v>504</v>
      </c>
      <c r="L375">
        <v>118</v>
      </c>
      <c r="M375" t="s">
        <v>519</v>
      </c>
      <c r="N375" t="s">
        <v>329</v>
      </c>
      <c r="O375" t="s">
        <v>330</v>
      </c>
      <c r="P375" t="s">
        <v>331</v>
      </c>
      <c r="R375" t="s">
        <v>332</v>
      </c>
      <c r="T375" t="s">
        <v>333</v>
      </c>
      <c r="U375" t="s">
        <v>170</v>
      </c>
      <c r="V375" t="s">
        <v>42</v>
      </c>
      <c r="W375" t="s">
        <v>61</v>
      </c>
      <c r="X375" t="s">
        <v>334</v>
      </c>
      <c r="Y375" t="s">
        <v>51</v>
      </c>
    </row>
    <row r="376" spans="1:25" x14ac:dyDescent="0.25">
      <c r="A376">
        <v>10184</v>
      </c>
      <c r="B376">
        <v>37</v>
      </c>
      <c r="C376">
        <v>100</v>
      </c>
      <c r="D376">
        <v>6</v>
      </c>
      <c r="E376">
        <v>4516.22</v>
      </c>
      <c r="F376" s="1">
        <v>37939</v>
      </c>
      <c r="G376" t="s">
        <v>25</v>
      </c>
      <c r="H376">
        <v>4</v>
      </c>
      <c r="I376">
        <v>11</v>
      </c>
      <c r="J376">
        <v>2003</v>
      </c>
      <c r="K376" t="s">
        <v>504</v>
      </c>
      <c r="L376">
        <v>118</v>
      </c>
      <c r="M376" t="s">
        <v>519</v>
      </c>
      <c r="N376" t="s">
        <v>520</v>
      </c>
      <c r="O376" t="s">
        <v>521</v>
      </c>
      <c r="P376" t="s">
        <v>522</v>
      </c>
      <c r="R376" t="s">
        <v>523</v>
      </c>
      <c r="T376">
        <v>41101</v>
      </c>
      <c r="U376" t="s">
        <v>178</v>
      </c>
      <c r="V376" t="s">
        <v>42</v>
      </c>
      <c r="W376" t="s">
        <v>524</v>
      </c>
      <c r="X376" t="s">
        <v>525</v>
      </c>
      <c r="Y376" t="s">
        <v>51</v>
      </c>
    </row>
    <row r="377" spans="1:25" x14ac:dyDescent="0.25">
      <c r="A377">
        <v>10195</v>
      </c>
      <c r="B377">
        <v>49</v>
      </c>
      <c r="C377">
        <v>100</v>
      </c>
      <c r="D377">
        <v>6</v>
      </c>
      <c r="E377">
        <v>6445.46</v>
      </c>
      <c r="F377" s="1">
        <v>37950</v>
      </c>
      <c r="G377" t="s">
        <v>25</v>
      </c>
      <c r="H377">
        <v>4</v>
      </c>
      <c r="I377">
        <v>11</v>
      </c>
      <c r="J377">
        <v>2003</v>
      </c>
      <c r="K377" t="s">
        <v>504</v>
      </c>
      <c r="L377">
        <v>118</v>
      </c>
      <c r="M377" t="s">
        <v>519</v>
      </c>
      <c r="N377" t="s">
        <v>317</v>
      </c>
      <c r="O377">
        <v>9145554562</v>
      </c>
      <c r="P377" t="s">
        <v>318</v>
      </c>
      <c r="R377" t="s">
        <v>319</v>
      </c>
      <c r="S377" t="s">
        <v>31</v>
      </c>
      <c r="T377">
        <v>24067</v>
      </c>
      <c r="U377" t="s">
        <v>32</v>
      </c>
      <c r="V377" t="s">
        <v>33</v>
      </c>
      <c r="W377" t="s">
        <v>102</v>
      </c>
      <c r="X377" t="s">
        <v>238</v>
      </c>
      <c r="Y377" t="s">
        <v>51</v>
      </c>
    </row>
    <row r="378" spans="1:25" x14ac:dyDescent="0.25">
      <c r="A378">
        <v>10207</v>
      </c>
      <c r="B378">
        <v>34</v>
      </c>
      <c r="C378">
        <v>99.54</v>
      </c>
      <c r="D378">
        <v>7</v>
      </c>
      <c r="E378">
        <v>3384.36</v>
      </c>
      <c r="F378" s="1">
        <v>37964</v>
      </c>
      <c r="G378" t="s">
        <v>25</v>
      </c>
      <c r="H378">
        <v>4</v>
      </c>
      <c r="I378">
        <v>12</v>
      </c>
      <c r="J378">
        <v>2003</v>
      </c>
      <c r="K378" t="s">
        <v>504</v>
      </c>
      <c r="L378">
        <v>118</v>
      </c>
      <c r="M378" t="s">
        <v>519</v>
      </c>
      <c r="N378" t="s">
        <v>415</v>
      </c>
      <c r="O378">
        <v>6175552555</v>
      </c>
      <c r="P378" t="s">
        <v>416</v>
      </c>
      <c r="R378" t="s">
        <v>381</v>
      </c>
      <c r="S378" t="s">
        <v>123</v>
      </c>
      <c r="T378">
        <v>51003</v>
      </c>
      <c r="U378" t="s">
        <v>32</v>
      </c>
      <c r="V378" t="s">
        <v>33</v>
      </c>
      <c r="W378" t="s">
        <v>417</v>
      </c>
      <c r="X378" t="s">
        <v>276</v>
      </c>
      <c r="Y378" t="s">
        <v>51</v>
      </c>
    </row>
    <row r="379" spans="1:25" x14ac:dyDescent="0.25">
      <c r="A379">
        <v>10219</v>
      </c>
      <c r="B379">
        <v>48</v>
      </c>
      <c r="C379">
        <v>100</v>
      </c>
      <c r="D379">
        <v>2</v>
      </c>
      <c r="E379">
        <v>4891.68</v>
      </c>
      <c r="F379" s="1">
        <v>38027</v>
      </c>
      <c r="G379" t="s">
        <v>25</v>
      </c>
      <c r="H379">
        <v>1</v>
      </c>
      <c r="I379">
        <v>2</v>
      </c>
      <c r="J379">
        <v>2004</v>
      </c>
      <c r="K379" t="s">
        <v>504</v>
      </c>
      <c r="L379">
        <v>118</v>
      </c>
      <c r="M379" t="s">
        <v>519</v>
      </c>
      <c r="N379" t="s">
        <v>526</v>
      </c>
      <c r="O379">
        <v>4155554312</v>
      </c>
      <c r="P379" t="s">
        <v>527</v>
      </c>
      <c r="R379" t="s">
        <v>528</v>
      </c>
      <c r="S379" t="s">
        <v>55</v>
      </c>
      <c r="T379">
        <v>94217</v>
      </c>
      <c r="U379" t="s">
        <v>32</v>
      </c>
      <c r="V379" t="s">
        <v>33</v>
      </c>
      <c r="W379" t="s">
        <v>529</v>
      </c>
      <c r="X379" t="s">
        <v>400</v>
      </c>
      <c r="Y379" t="s">
        <v>51</v>
      </c>
    </row>
    <row r="380" spans="1:25" x14ac:dyDescent="0.25">
      <c r="A380">
        <v>10229</v>
      </c>
      <c r="B380">
        <v>36</v>
      </c>
      <c r="C380">
        <v>100</v>
      </c>
      <c r="D380">
        <v>1</v>
      </c>
      <c r="E380">
        <v>4521.96</v>
      </c>
      <c r="F380" s="1">
        <v>38057</v>
      </c>
      <c r="G380" t="s">
        <v>25</v>
      </c>
      <c r="H380">
        <v>1</v>
      </c>
      <c r="I380">
        <v>3</v>
      </c>
      <c r="J380">
        <v>2004</v>
      </c>
      <c r="K380" t="s">
        <v>504</v>
      </c>
      <c r="L380">
        <v>118</v>
      </c>
      <c r="M380" t="s">
        <v>519</v>
      </c>
      <c r="N380" t="s">
        <v>272</v>
      </c>
      <c r="O380">
        <v>4155551450</v>
      </c>
      <c r="P380" t="s">
        <v>273</v>
      </c>
      <c r="R380" t="s">
        <v>274</v>
      </c>
      <c r="S380" t="s">
        <v>55</v>
      </c>
      <c r="T380">
        <v>97562</v>
      </c>
      <c r="U380" t="s">
        <v>32</v>
      </c>
      <c r="V380" t="s">
        <v>33</v>
      </c>
      <c r="W380" t="s">
        <v>275</v>
      </c>
      <c r="X380" t="s">
        <v>276</v>
      </c>
      <c r="Y380" t="s">
        <v>51</v>
      </c>
    </row>
    <row r="381" spans="1:25" x14ac:dyDescent="0.25">
      <c r="A381">
        <v>10246</v>
      </c>
      <c r="B381">
        <v>46</v>
      </c>
      <c r="C381">
        <v>100</v>
      </c>
      <c r="D381">
        <v>5</v>
      </c>
      <c r="E381">
        <v>5069.66</v>
      </c>
      <c r="F381" s="1">
        <v>38112</v>
      </c>
      <c r="G381" t="s">
        <v>25</v>
      </c>
      <c r="H381">
        <v>2</v>
      </c>
      <c r="I381">
        <v>5</v>
      </c>
      <c r="J381">
        <v>2004</v>
      </c>
      <c r="K381" t="s">
        <v>504</v>
      </c>
      <c r="L381">
        <v>118</v>
      </c>
      <c r="M381" t="s">
        <v>519</v>
      </c>
      <c r="N381" t="s">
        <v>174</v>
      </c>
      <c r="O381" t="s">
        <v>175</v>
      </c>
      <c r="P381" t="s">
        <v>176</v>
      </c>
      <c r="R381" t="s">
        <v>177</v>
      </c>
      <c r="T381">
        <v>28034</v>
      </c>
      <c r="U381" t="s">
        <v>178</v>
      </c>
      <c r="V381" t="s">
        <v>42</v>
      </c>
      <c r="W381" t="s">
        <v>179</v>
      </c>
      <c r="X381" t="s">
        <v>180</v>
      </c>
      <c r="Y381" t="s">
        <v>51</v>
      </c>
    </row>
    <row r="382" spans="1:25" x14ac:dyDescent="0.25">
      <c r="A382">
        <v>10259</v>
      </c>
      <c r="B382">
        <v>46</v>
      </c>
      <c r="C382">
        <v>100</v>
      </c>
      <c r="D382">
        <v>4</v>
      </c>
      <c r="E382">
        <v>6541.2</v>
      </c>
      <c r="F382" s="1">
        <v>38153</v>
      </c>
      <c r="G382" t="s">
        <v>25</v>
      </c>
      <c r="H382">
        <v>2</v>
      </c>
      <c r="I382">
        <v>6</v>
      </c>
      <c r="J382">
        <v>2004</v>
      </c>
      <c r="K382" t="s">
        <v>504</v>
      </c>
      <c r="L382">
        <v>118</v>
      </c>
      <c r="M382" t="s">
        <v>519</v>
      </c>
      <c r="N382" t="s">
        <v>418</v>
      </c>
      <c r="O382" t="s">
        <v>419</v>
      </c>
      <c r="P382" t="s">
        <v>420</v>
      </c>
      <c r="Q382" t="s">
        <v>421</v>
      </c>
      <c r="R382" t="s">
        <v>199</v>
      </c>
      <c r="T382">
        <v>69045</v>
      </c>
      <c r="U382" t="s">
        <v>199</v>
      </c>
      <c r="V382" t="s">
        <v>96</v>
      </c>
      <c r="W382" t="s">
        <v>422</v>
      </c>
      <c r="X382" t="s">
        <v>423</v>
      </c>
      <c r="Y382" t="s">
        <v>51</v>
      </c>
    </row>
    <row r="383" spans="1:25" x14ac:dyDescent="0.25">
      <c r="A383">
        <v>10271</v>
      </c>
      <c r="B383">
        <v>31</v>
      </c>
      <c r="C383">
        <v>97.17</v>
      </c>
      <c r="D383">
        <v>5</v>
      </c>
      <c r="E383">
        <v>3012.27</v>
      </c>
      <c r="F383" s="1">
        <v>38188</v>
      </c>
      <c r="G383" t="s">
        <v>25</v>
      </c>
      <c r="H383">
        <v>3</v>
      </c>
      <c r="I383">
        <v>7</v>
      </c>
      <c r="J383">
        <v>2004</v>
      </c>
      <c r="K383" t="s">
        <v>504</v>
      </c>
      <c r="L383">
        <v>118</v>
      </c>
      <c r="M383" t="s">
        <v>519</v>
      </c>
      <c r="N383" t="s">
        <v>272</v>
      </c>
      <c r="O383">
        <v>4155551450</v>
      </c>
      <c r="P383" t="s">
        <v>273</v>
      </c>
      <c r="R383" t="s">
        <v>274</v>
      </c>
      <c r="S383" t="s">
        <v>55</v>
      </c>
      <c r="T383">
        <v>97562</v>
      </c>
      <c r="U383" t="s">
        <v>32</v>
      </c>
      <c r="V383" t="s">
        <v>33</v>
      </c>
      <c r="W383" t="s">
        <v>275</v>
      </c>
      <c r="X383" t="s">
        <v>276</v>
      </c>
      <c r="Y383" t="s">
        <v>51</v>
      </c>
    </row>
    <row r="384" spans="1:25" x14ac:dyDescent="0.25">
      <c r="A384">
        <v>10281</v>
      </c>
      <c r="B384">
        <v>41</v>
      </c>
      <c r="C384">
        <v>100</v>
      </c>
      <c r="D384">
        <v>1</v>
      </c>
      <c r="E384">
        <v>5247.18</v>
      </c>
      <c r="F384" s="1">
        <v>38218</v>
      </c>
      <c r="G384" t="s">
        <v>25</v>
      </c>
      <c r="H384">
        <v>3</v>
      </c>
      <c r="I384">
        <v>8</v>
      </c>
      <c r="J384">
        <v>2004</v>
      </c>
      <c r="K384" t="s">
        <v>504</v>
      </c>
      <c r="L384">
        <v>118</v>
      </c>
      <c r="M384" t="s">
        <v>519</v>
      </c>
      <c r="N384" t="s">
        <v>139</v>
      </c>
      <c r="O384">
        <v>2155551555</v>
      </c>
      <c r="P384" t="s">
        <v>140</v>
      </c>
      <c r="R384" t="s">
        <v>141</v>
      </c>
      <c r="S384" t="s">
        <v>142</v>
      </c>
      <c r="T384">
        <v>70267</v>
      </c>
      <c r="U384" t="s">
        <v>32</v>
      </c>
      <c r="V384" t="s">
        <v>33</v>
      </c>
      <c r="W384" t="s">
        <v>34</v>
      </c>
      <c r="X384" t="s">
        <v>143</v>
      </c>
      <c r="Y384" t="s">
        <v>51</v>
      </c>
    </row>
    <row r="385" spans="1:25" x14ac:dyDescent="0.25">
      <c r="A385">
        <v>10292</v>
      </c>
      <c r="B385">
        <v>21</v>
      </c>
      <c r="C385">
        <v>100</v>
      </c>
      <c r="D385">
        <v>8</v>
      </c>
      <c r="E385">
        <v>2214.87</v>
      </c>
      <c r="F385" s="1">
        <v>38238</v>
      </c>
      <c r="G385" t="s">
        <v>25</v>
      </c>
      <c r="H385">
        <v>3</v>
      </c>
      <c r="I385">
        <v>9</v>
      </c>
      <c r="J385">
        <v>2004</v>
      </c>
      <c r="K385" t="s">
        <v>504</v>
      </c>
      <c r="L385">
        <v>118</v>
      </c>
      <c r="M385" t="s">
        <v>519</v>
      </c>
      <c r="N385" t="s">
        <v>28</v>
      </c>
      <c r="O385">
        <v>2125557818</v>
      </c>
      <c r="P385" t="s">
        <v>29</v>
      </c>
      <c r="R385" t="s">
        <v>30</v>
      </c>
      <c r="S385" t="s">
        <v>31</v>
      </c>
      <c r="T385">
        <v>10022</v>
      </c>
      <c r="U385" t="s">
        <v>32</v>
      </c>
      <c r="V385" t="s">
        <v>33</v>
      </c>
      <c r="W385" t="s">
        <v>34</v>
      </c>
      <c r="X385" t="s">
        <v>35</v>
      </c>
      <c r="Y385" t="s">
        <v>36</v>
      </c>
    </row>
    <row r="386" spans="1:25" x14ac:dyDescent="0.25">
      <c r="A386">
        <v>10305</v>
      </c>
      <c r="B386">
        <v>38</v>
      </c>
      <c r="C386">
        <v>100</v>
      </c>
      <c r="D386">
        <v>5</v>
      </c>
      <c r="E386">
        <v>4773.18</v>
      </c>
      <c r="F386" s="1">
        <v>38273</v>
      </c>
      <c r="G386" t="s">
        <v>25</v>
      </c>
      <c r="H386">
        <v>4</v>
      </c>
      <c r="I386">
        <v>10</v>
      </c>
      <c r="J386">
        <v>2004</v>
      </c>
      <c r="K386" t="s">
        <v>504</v>
      </c>
      <c r="L386">
        <v>118</v>
      </c>
      <c r="M386" t="s">
        <v>519</v>
      </c>
      <c r="N386" t="s">
        <v>120</v>
      </c>
      <c r="O386">
        <v>6175558555</v>
      </c>
      <c r="P386" t="s">
        <v>121</v>
      </c>
      <c r="R386" t="s">
        <v>122</v>
      </c>
      <c r="S386" t="s">
        <v>123</v>
      </c>
      <c r="T386">
        <v>51247</v>
      </c>
      <c r="U386" t="s">
        <v>32</v>
      </c>
      <c r="V386" t="s">
        <v>33</v>
      </c>
      <c r="W386" t="s">
        <v>124</v>
      </c>
      <c r="X386" t="s">
        <v>125</v>
      </c>
      <c r="Y386" t="s">
        <v>51</v>
      </c>
    </row>
    <row r="387" spans="1:25" x14ac:dyDescent="0.25">
      <c r="A387">
        <v>10314</v>
      </c>
      <c r="B387">
        <v>45</v>
      </c>
      <c r="C387">
        <v>100</v>
      </c>
      <c r="D387">
        <v>14</v>
      </c>
      <c r="E387">
        <v>6185.7</v>
      </c>
      <c r="F387" s="1">
        <v>38282</v>
      </c>
      <c r="G387" t="s">
        <v>25</v>
      </c>
      <c r="H387">
        <v>4</v>
      </c>
      <c r="I387">
        <v>10</v>
      </c>
      <c r="J387">
        <v>2004</v>
      </c>
      <c r="K387" t="s">
        <v>504</v>
      </c>
      <c r="L387">
        <v>118</v>
      </c>
      <c r="M387" t="s">
        <v>519</v>
      </c>
      <c r="N387" t="s">
        <v>498</v>
      </c>
      <c r="O387" t="s">
        <v>499</v>
      </c>
      <c r="P387" t="s">
        <v>500</v>
      </c>
      <c r="R387" t="s">
        <v>501</v>
      </c>
      <c r="T387">
        <v>8200</v>
      </c>
      <c r="U387" t="s">
        <v>326</v>
      </c>
      <c r="V387" t="s">
        <v>42</v>
      </c>
      <c r="W387" t="s">
        <v>502</v>
      </c>
      <c r="X387" t="s">
        <v>503</v>
      </c>
      <c r="Y387" t="s">
        <v>51</v>
      </c>
    </row>
    <row r="388" spans="1:25" x14ac:dyDescent="0.25">
      <c r="A388">
        <v>10324</v>
      </c>
      <c r="B388">
        <v>26</v>
      </c>
      <c r="C388">
        <v>58.38</v>
      </c>
      <c r="D388">
        <v>7</v>
      </c>
      <c r="E388">
        <v>1517.88</v>
      </c>
      <c r="F388" s="1">
        <v>38296</v>
      </c>
      <c r="G388" t="s">
        <v>25</v>
      </c>
      <c r="H388">
        <v>4</v>
      </c>
      <c r="I388">
        <v>11</v>
      </c>
      <c r="J388">
        <v>2004</v>
      </c>
      <c r="K388" t="s">
        <v>504</v>
      </c>
      <c r="L388">
        <v>118</v>
      </c>
      <c r="M388" t="s">
        <v>519</v>
      </c>
      <c r="N388" t="s">
        <v>99</v>
      </c>
      <c r="O388">
        <v>2125551500</v>
      </c>
      <c r="P388" t="s">
        <v>100</v>
      </c>
      <c r="Q388" t="s">
        <v>101</v>
      </c>
      <c r="R388" t="s">
        <v>30</v>
      </c>
      <c r="S388" t="s">
        <v>31</v>
      </c>
      <c r="T388">
        <v>10022</v>
      </c>
      <c r="U388" t="s">
        <v>32</v>
      </c>
      <c r="V388" t="s">
        <v>33</v>
      </c>
      <c r="W388" t="s">
        <v>102</v>
      </c>
      <c r="X388" t="s">
        <v>103</v>
      </c>
      <c r="Y388" t="s">
        <v>36</v>
      </c>
    </row>
    <row r="389" spans="1:25" x14ac:dyDescent="0.25">
      <c r="A389">
        <v>10336</v>
      </c>
      <c r="B389">
        <v>38</v>
      </c>
      <c r="C389">
        <v>100</v>
      </c>
      <c r="D389">
        <v>3</v>
      </c>
      <c r="E389">
        <v>6372.6</v>
      </c>
      <c r="F389" s="1">
        <v>38311</v>
      </c>
      <c r="G389" t="s">
        <v>25</v>
      </c>
      <c r="H389">
        <v>4</v>
      </c>
      <c r="I389">
        <v>11</v>
      </c>
      <c r="J389">
        <v>2004</v>
      </c>
      <c r="K389" t="s">
        <v>504</v>
      </c>
      <c r="L389">
        <v>118</v>
      </c>
      <c r="M389" t="s">
        <v>519</v>
      </c>
      <c r="N389" t="s">
        <v>403</v>
      </c>
      <c r="O389" t="s">
        <v>404</v>
      </c>
      <c r="P389" t="s">
        <v>405</v>
      </c>
      <c r="R389" t="s">
        <v>48</v>
      </c>
      <c r="T389">
        <v>75012</v>
      </c>
      <c r="U389" t="s">
        <v>41</v>
      </c>
      <c r="V389" t="s">
        <v>42</v>
      </c>
      <c r="W389" t="s">
        <v>406</v>
      </c>
      <c r="X389" t="s">
        <v>407</v>
      </c>
      <c r="Y389" t="s">
        <v>51</v>
      </c>
    </row>
    <row r="390" spans="1:25" x14ac:dyDescent="0.25">
      <c r="A390">
        <v>10349</v>
      </c>
      <c r="B390">
        <v>48</v>
      </c>
      <c r="C390">
        <v>100</v>
      </c>
      <c r="D390">
        <v>9</v>
      </c>
      <c r="E390">
        <v>5232.96</v>
      </c>
      <c r="F390" s="1">
        <v>38322</v>
      </c>
      <c r="G390" t="s">
        <v>25</v>
      </c>
      <c r="H390">
        <v>4</v>
      </c>
      <c r="I390">
        <v>12</v>
      </c>
      <c r="J390">
        <v>2004</v>
      </c>
      <c r="K390" t="s">
        <v>504</v>
      </c>
      <c r="L390">
        <v>118</v>
      </c>
      <c r="M390" t="s">
        <v>519</v>
      </c>
      <c r="N390" t="s">
        <v>475</v>
      </c>
      <c r="O390">
        <v>2125557413</v>
      </c>
      <c r="P390" t="s">
        <v>476</v>
      </c>
      <c r="Q390" t="s">
        <v>477</v>
      </c>
      <c r="R390" t="s">
        <v>30</v>
      </c>
      <c r="S390" t="s">
        <v>31</v>
      </c>
      <c r="T390">
        <v>10022</v>
      </c>
      <c r="U390" t="s">
        <v>32</v>
      </c>
      <c r="V390" t="s">
        <v>33</v>
      </c>
      <c r="W390" t="s">
        <v>56</v>
      </c>
      <c r="X390" t="s">
        <v>478</v>
      </c>
      <c r="Y390" t="s">
        <v>51</v>
      </c>
    </row>
    <row r="391" spans="1:25" x14ac:dyDescent="0.25">
      <c r="A391">
        <v>10358</v>
      </c>
      <c r="B391">
        <v>42</v>
      </c>
      <c r="C391">
        <v>64.16</v>
      </c>
      <c r="D391">
        <v>9</v>
      </c>
      <c r="E391">
        <v>2694.72</v>
      </c>
      <c r="F391" s="1">
        <v>38331</v>
      </c>
      <c r="G391" t="s">
        <v>25</v>
      </c>
      <c r="H391">
        <v>4</v>
      </c>
      <c r="I391">
        <v>12</v>
      </c>
      <c r="J391">
        <v>2004</v>
      </c>
      <c r="K391" t="s">
        <v>504</v>
      </c>
      <c r="L391">
        <v>118</v>
      </c>
      <c r="M391" t="s">
        <v>519</v>
      </c>
      <c r="N391" t="s">
        <v>174</v>
      </c>
      <c r="O391" t="s">
        <v>175</v>
      </c>
      <c r="P391" t="s">
        <v>176</v>
      </c>
      <c r="R391" t="s">
        <v>177</v>
      </c>
      <c r="T391">
        <v>28034</v>
      </c>
      <c r="U391" t="s">
        <v>178</v>
      </c>
      <c r="V391" t="s">
        <v>42</v>
      </c>
      <c r="W391" t="s">
        <v>179</v>
      </c>
      <c r="X391" t="s">
        <v>180</v>
      </c>
      <c r="Y391" t="s">
        <v>36</v>
      </c>
    </row>
    <row r="392" spans="1:25" x14ac:dyDescent="0.25">
      <c r="A392">
        <v>10371</v>
      </c>
      <c r="B392">
        <v>49</v>
      </c>
      <c r="C392">
        <v>35.71</v>
      </c>
      <c r="D392">
        <v>4</v>
      </c>
      <c r="E392">
        <v>1749.79</v>
      </c>
      <c r="F392" s="1">
        <v>38375</v>
      </c>
      <c r="G392" t="s">
        <v>25</v>
      </c>
      <c r="H392">
        <v>1</v>
      </c>
      <c r="I392">
        <v>1</v>
      </c>
      <c r="J392">
        <v>2005</v>
      </c>
      <c r="K392" t="s">
        <v>504</v>
      </c>
      <c r="L392">
        <v>118</v>
      </c>
      <c r="M392" t="s">
        <v>519</v>
      </c>
      <c r="N392" t="s">
        <v>272</v>
      </c>
      <c r="O392">
        <v>4155551450</v>
      </c>
      <c r="P392" t="s">
        <v>273</v>
      </c>
      <c r="R392" t="s">
        <v>274</v>
      </c>
      <c r="S392" t="s">
        <v>55</v>
      </c>
      <c r="T392">
        <v>97562</v>
      </c>
      <c r="U392" t="s">
        <v>32</v>
      </c>
      <c r="V392" t="s">
        <v>33</v>
      </c>
      <c r="W392" t="s">
        <v>275</v>
      </c>
      <c r="X392" t="s">
        <v>276</v>
      </c>
      <c r="Y392" t="s">
        <v>36</v>
      </c>
    </row>
    <row r="393" spans="1:25" x14ac:dyDescent="0.25">
      <c r="A393">
        <v>10382</v>
      </c>
      <c r="B393">
        <v>32</v>
      </c>
      <c r="C393">
        <v>66.58</v>
      </c>
      <c r="D393">
        <v>13</v>
      </c>
      <c r="E393">
        <v>2130.56</v>
      </c>
      <c r="F393" s="1">
        <v>38400</v>
      </c>
      <c r="G393" t="s">
        <v>25</v>
      </c>
      <c r="H393">
        <v>1</v>
      </c>
      <c r="I393">
        <v>2</v>
      </c>
      <c r="J393">
        <v>2005</v>
      </c>
      <c r="K393" t="s">
        <v>504</v>
      </c>
      <c r="L393">
        <v>118</v>
      </c>
      <c r="M393" t="s">
        <v>519</v>
      </c>
      <c r="N393" t="s">
        <v>272</v>
      </c>
      <c r="O393">
        <v>4155551450</v>
      </c>
      <c r="P393" t="s">
        <v>273</v>
      </c>
      <c r="R393" t="s">
        <v>274</v>
      </c>
      <c r="S393" t="s">
        <v>55</v>
      </c>
      <c r="T393">
        <v>97562</v>
      </c>
      <c r="U393" t="s">
        <v>32</v>
      </c>
      <c r="V393" t="s">
        <v>33</v>
      </c>
      <c r="W393" t="s">
        <v>275</v>
      </c>
      <c r="X393" t="s">
        <v>276</v>
      </c>
      <c r="Y393" t="s">
        <v>36</v>
      </c>
    </row>
    <row r="394" spans="1:25" x14ac:dyDescent="0.25">
      <c r="A394">
        <v>10412</v>
      </c>
      <c r="B394">
        <v>54</v>
      </c>
      <c r="C394">
        <v>100</v>
      </c>
      <c r="D394">
        <v>5</v>
      </c>
      <c r="E394">
        <v>5951.34</v>
      </c>
      <c r="F394" s="1">
        <v>38475</v>
      </c>
      <c r="G394" t="s">
        <v>25</v>
      </c>
      <c r="H394">
        <v>2</v>
      </c>
      <c r="I394">
        <v>5</v>
      </c>
      <c r="J394">
        <v>2005</v>
      </c>
      <c r="K394" t="s">
        <v>504</v>
      </c>
      <c r="L394">
        <v>118</v>
      </c>
      <c r="M394" t="s">
        <v>519</v>
      </c>
      <c r="N394" t="s">
        <v>174</v>
      </c>
      <c r="O394" t="s">
        <v>175</v>
      </c>
      <c r="P394" t="s">
        <v>176</v>
      </c>
      <c r="R394" t="s">
        <v>177</v>
      </c>
      <c r="T394">
        <v>28034</v>
      </c>
      <c r="U394" t="s">
        <v>178</v>
      </c>
      <c r="V394" t="s">
        <v>42</v>
      </c>
      <c r="W394" t="s">
        <v>179</v>
      </c>
      <c r="X394" t="s">
        <v>180</v>
      </c>
      <c r="Y394" t="s">
        <v>51</v>
      </c>
    </row>
    <row r="395" spans="1:25" x14ac:dyDescent="0.25">
      <c r="A395">
        <v>10425</v>
      </c>
      <c r="B395">
        <v>33</v>
      </c>
      <c r="C395">
        <v>100</v>
      </c>
      <c r="D395">
        <v>4</v>
      </c>
      <c r="E395">
        <v>4692.6000000000004</v>
      </c>
      <c r="F395" s="1">
        <v>38503</v>
      </c>
      <c r="G395" t="s">
        <v>300</v>
      </c>
      <c r="H395">
        <v>2</v>
      </c>
      <c r="I395">
        <v>5</v>
      </c>
      <c r="J395">
        <v>2005</v>
      </c>
      <c r="K395" t="s">
        <v>504</v>
      </c>
      <c r="L395">
        <v>118</v>
      </c>
      <c r="M395" t="s">
        <v>519</v>
      </c>
      <c r="N395" t="s">
        <v>114</v>
      </c>
      <c r="O395" t="s">
        <v>115</v>
      </c>
      <c r="P395" t="s">
        <v>116</v>
      </c>
      <c r="R395" t="s">
        <v>117</v>
      </c>
      <c r="T395">
        <v>44000</v>
      </c>
      <c r="U395" t="s">
        <v>41</v>
      </c>
      <c r="V395" t="s">
        <v>42</v>
      </c>
      <c r="W395" t="s">
        <v>118</v>
      </c>
      <c r="X395" t="s">
        <v>119</v>
      </c>
      <c r="Y395" t="s">
        <v>51</v>
      </c>
    </row>
    <row r="396" spans="1:25" x14ac:dyDescent="0.25">
      <c r="A396">
        <v>10108</v>
      </c>
      <c r="B396">
        <v>36</v>
      </c>
      <c r="C396">
        <v>100</v>
      </c>
      <c r="D396">
        <v>3</v>
      </c>
      <c r="E396">
        <v>3731.04</v>
      </c>
      <c r="F396" s="1">
        <v>37683</v>
      </c>
      <c r="G396" t="s">
        <v>25</v>
      </c>
      <c r="H396">
        <v>1</v>
      </c>
      <c r="I396">
        <v>3</v>
      </c>
      <c r="J396">
        <v>2003</v>
      </c>
      <c r="K396" t="s">
        <v>181</v>
      </c>
      <c r="L396">
        <v>115</v>
      </c>
      <c r="M396" t="s">
        <v>530</v>
      </c>
      <c r="N396" t="s">
        <v>425</v>
      </c>
      <c r="O396" t="s">
        <v>426</v>
      </c>
      <c r="P396" t="s">
        <v>427</v>
      </c>
      <c r="R396" t="s">
        <v>428</v>
      </c>
      <c r="T396" t="s">
        <v>429</v>
      </c>
      <c r="U396" t="s">
        <v>430</v>
      </c>
      <c r="V396" t="s">
        <v>200</v>
      </c>
      <c r="W396" t="s">
        <v>431</v>
      </c>
      <c r="X396" t="s">
        <v>432</v>
      </c>
      <c r="Y396" t="s">
        <v>51</v>
      </c>
    </row>
    <row r="397" spans="1:25" x14ac:dyDescent="0.25">
      <c r="A397">
        <v>10122</v>
      </c>
      <c r="B397">
        <v>20</v>
      </c>
      <c r="C397">
        <v>100</v>
      </c>
      <c r="D397">
        <v>7</v>
      </c>
      <c r="E397">
        <v>2142</v>
      </c>
      <c r="F397" s="1">
        <v>37749</v>
      </c>
      <c r="G397" t="s">
        <v>25</v>
      </c>
      <c r="H397">
        <v>2</v>
      </c>
      <c r="I397">
        <v>5</v>
      </c>
      <c r="J397">
        <v>2003</v>
      </c>
      <c r="K397" t="s">
        <v>181</v>
      </c>
      <c r="L397">
        <v>115</v>
      </c>
      <c r="M397" t="s">
        <v>530</v>
      </c>
      <c r="N397" t="s">
        <v>433</v>
      </c>
      <c r="O397" t="s">
        <v>434</v>
      </c>
      <c r="P397" t="s">
        <v>435</v>
      </c>
      <c r="R397" t="s">
        <v>436</v>
      </c>
      <c r="T397">
        <v>13008</v>
      </c>
      <c r="U397" t="s">
        <v>41</v>
      </c>
      <c r="V397" t="s">
        <v>42</v>
      </c>
      <c r="W397" t="s">
        <v>437</v>
      </c>
      <c r="X397" t="s">
        <v>438</v>
      </c>
      <c r="Y397" t="s">
        <v>36</v>
      </c>
    </row>
    <row r="398" spans="1:25" x14ac:dyDescent="0.25">
      <c r="A398">
        <v>10135</v>
      </c>
      <c r="B398">
        <v>29</v>
      </c>
      <c r="C398">
        <v>97.89</v>
      </c>
      <c r="D398">
        <v>4</v>
      </c>
      <c r="E398">
        <v>2838.81</v>
      </c>
      <c r="F398" s="1">
        <v>37804</v>
      </c>
      <c r="G398" t="s">
        <v>25</v>
      </c>
      <c r="H398">
        <v>3</v>
      </c>
      <c r="I398">
        <v>7</v>
      </c>
      <c r="J398">
        <v>2003</v>
      </c>
      <c r="K398" t="s">
        <v>181</v>
      </c>
      <c r="L398">
        <v>115</v>
      </c>
      <c r="M398" t="s">
        <v>530</v>
      </c>
      <c r="N398" t="s">
        <v>272</v>
      </c>
      <c r="O398">
        <v>4155551450</v>
      </c>
      <c r="P398" t="s">
        <v>273</v>
      </c>
      <c r="R398" t="s">
        <v>274</v>
      </c>
      <c r="S398" t="s">
        <v>55</v>
      </c>
      <c r="T398">
        <v>97562</v>
      </c>
      <c r="U398" t="s">
        <v>32</v>
      </c>
      <c r="V398" t="s">
        <v>33</v>
      </c>
      <c r="W398" t="s">
        <v>275</v>
      </c>
      <c r="X398" t="s">
        <v>276</v>
      </c>
      <c r="Y398" t="s">
        <v>36</v>
      </c>
    </row>
    <row r="399" spans="1:25" x14ac:dyDescent="0.25">
      <c r="A399">
        <v>10147</v>
      </c>
      <c r="B399">
        <v>33</v>
      </c>
      <c r="C399">
        <v>97.89</v>
      </c>
      <c r="D399">
        <v>4</v>
      </c>
      <c r="E399">
        <v>3230.37</v>
      </c>
      <c r="F399" s="1">
        <v>37869</v>
      </c>
      <c r="G399" t="s">
        <v>25</v>
      </c>
      <c r="H399">
        <v>3</v>
      </c>
      <c r="I399">
        <v>9</v>
      </c>
      <c r="J399">
        <v>2003</v>
      </c>
      <c r="K399" t="s">
        <v>181</v>
      </c>
      <c r="L399">
        <v>115</v>
      </c>
      <c r="M399" t="s">
        <v>530</v>
      </c>
      <c r="N399" t="s">
        <v>281</v>
      </c>
      <c r="O399">
        <v>6175558555</v>
      </c>
      <c r="P399" t="s">
        <v>282</v>
      </c>
      <c r="R399" t="s">
        <v>283</v>
      </c>
      <c r="S399" t="s">
        <v>123</v>
      </c>
      <c r="T399">
        <v>58339</v>
      </c>
      <c r="U399" t="s">
        <v>32</v>
      </c>
      <c r="V399" t="s">
        <v>33</v>
      </c>
      <c r="W399" t="s">
        <v>275</v>
      </c>
      <c r="X399" t="s">
        <v>284</v>
      </c>
      <c r="Y399" t="s">
        <v>51</v>
      </c>
    </row>
    <row r="400" spans="1:25" x14ac:dyDescent="0.25">
      <c r="A400">
        <v>10160</v>
      </c>
      <c r="B400">
        <v>50</v>
      </c>
      <c r="C400">
        <v>100</v>
      </c>
      <c r="D400">
        <v>5</v>
      </c>
      <c r="E400">
        <v>5182</v>
      </c>
      <c r="F400" s="1">
        <v>37905</v>
      </c>
      <c r="G400" t="s">
        <v>25</v>
      </c>
      <c r="H400">
        <v>4</v>
      </c>
      <c r="I400">
        <v>10</v>
      </c>
      <c r="J400">
        <v>2003</v>
      </c>
      <c r="K400" t="s">
        <v>181</v>
      </c>
      <c r="L400">
        <v>115</v>
      </c>
      <c r="M400" t="s">
        <v>530</v>
      </c>
      <c r="N400" t="s">
        <v>358</v>
      </c>
      <c r="O400">
        <v>2155554369</v>
      </c>
      <c r="P400" t="s">
        <v>359</v>
      </c>
      <c r="R400" t="s">
        <v>360</v>
      </c>
      <c r="S400" t="s">
        <v>55</v>
      </c>
      <c r="U400" t="s">
        <v>32</v>
      </c>
      <c r="V400" t="s">
        <v>33</v>
      </c>
      <c r="W400" t="s">
        <v>361</v>
      </c>
      <c r="X400" t="s">
        <v>103</v>
      </c>
      <c r="Y400" t="s">
        <v>51</v>
      </c>
    </row>
    <row r="401" spans="1:25" x14ac:dyDescent="0.25">
      <c r="A401">
        <v>10170</v>
      </c>
      <c r="B401">
        <v>41</v>
      </c>
      <c r="C401">
        <v>100</v>
      </c>
      <c r="D401">
        <v>3</v>
      </c>
      <c r="E401">
        <v>4391.1000000000004</v>
      </c>
      <c r="F401" s="1">
        <v>37929</v>
      </c>
      <c r="G401" t="s">
        <v>25</v>
      </c>
      <c r="H401">
        <v>4</v>
      </c>
      <c r="I401">
        <v>11</v>
      </c>
      <c r="J401">
        <v>2003</v>
      </c>
      <c r="K401" t="s">
        <v>181</v>
      </c>
      <c r="L401">
        <v>115</v>
      </c>
      <c r="M401" t="s">
        <v>530</v>
      </c>
      <c r="N401" t="s">
        <v>409</v>
      </c>
      <c r="O401" t="s">
        <v>410</v>
      </c>
      <c r="P401" t="s">
        <v>411</v>
      </c>
      <c r="R401" t="s">
        <v>412</v>
      </c>
      <c r="T401">
        <v>8010</v>
      </c>
      <c r="U401" t="s">
        <v>148</v>
      </c>
      <c r="V401" t="s">
        <v>42</v>
      </c>
      <c r="W401" t="s">
        <v>413</v>
      </c>
      <c r="X401" t="s">
        <v>414</v>
      </c>
      <c r="Y401" t="s">
        <v>51</v>
      </c>
    </row>
    <row r="402" spans="1:25" x14ac:dyDescent="0.25">
      <c r="A402">
        <v>10181</v>
      </c>
      <c r="B402">
        <v>36</v>
      </c>
      <c r="C402">
        <v>100</v>
      </c>
      <c r="D402">
        <v>11</v>
      </c>
      <c r="E402">
        <v>4477.32</v>
      </c>
      <c r="F402" s="1">
        <v>37937</v>
      </c>
      <c r="G402" t="s">
        <v>25</v>
      </c>
      <c r="H402">
        <v>4</v>
      </c>
      <c r="I402">
        <v>11</v>
      </c>
      <c r="J402">
        <v>2003</v>
      </c>
      <c r="K402" t="s">
        <v>181</v>
      </c>
      <c r="L402">
        <v>115</v>
      </c>
      <c r="M402" t="s">
        <v>530</v>
      </c>
      <c r="N402" t="s">
        <v>73</v>
      </c>
      <c r="O402" t="s">
        <v>74</v>
      </c>
      <c r="P402" t="s">
        <v>75</v>
      </c>
      <c r="R402" t="s">
        <v>76</v>
      </c>
      <c r="T402" t="s">
        <v>77</v>
      </c>
      <c r="U402" t="s">
        <v>78</v>
      </c>
      <c r="V402" t="s">
        <v>42</v>
      </c>
      <c r="W402" t="s">
        <v>79</v>
      </c>
      <c r="X402" t="s">
        <v>80</v>
      </c>
      <c r="Y402" t="s">
        <v>51</v>
      </c>
    </row>
    <row r="403" spans="1:25" x14ac:dyDescent="0.25">
      <c r="A403">
        <v>10192</v>
      </c>
      <c r="B403">
        <v>27</v>
      </c>
      <c r="C403">
        <v>100</v>
      </c>
      <c r="D403">
        <v>16</v>
      </c>
      <c r="E403">
        <v>3544.56</v>
      </c>
      <c r="F403" s="1">
        <v>37945</v>
      </c>
      <c r="G403" t="s">
        <v>25</v>
      </c>
      <c r="H403">
        <v>4</v>
      </c>
      <c r="I403">
        <v>11</v>
      </c>
      <c r="J403">
        <v>2003</v>
      </c>
      <c r="K403" t="s">
        <v>181</v>
      </c>
      <c r="L403">
        <v>115</v>
      </c>
      <c r="M403" t="s">
        <v>530</v>
      </c>
      <c r="N403" t="s">
        <v>277</v>
      </c>
      <c r="O403">
        <v>6035558647</v>
      </c>
      <c r="P403" t="s">
        <v>278</v>
      </c>
      <c r="R403" t="s">
        <v>279</v>
      </c>
      <c r="S403" t="s">
        <v>280</v>
      </c>
      <c r="T403">
        <v>62005</v>
      </c>
      <c r="U403" t="s">
        <v>32</v>
      </c>
      <c r="V403" t="s">
        <v>33</v>
      </c>
      <c r="W403" t="s">
        <v>56</v>
      </c>
      <c r="X403" t="s">
        <v>276</v>
      </c>
      <c r="Y403" t="s">
        <v>51</v>
      </c>
    </row>
    <row r="404" spans="1:25" x14ac:dyDescent="0.25">
      <c r="A404">
        <v>10203</v>
      </c>
      <c r="B404">
        <v>47</v>
      </c>
      <c r="C404">
        <v>100</v>
      </c>
      <c r="D404">
        <v>5</v>
      </c>
      <c r="E404">
        <v>5195.8500000000004</v>
      </c>
      <c r="F404" s="1">
        <v>37957</v>
      </c>
      <c r="G404" t="s">
        <v>25</v>
      </c>
      <c r="H404">
        <v>4</v>
      </c>
      <c r="I404">
        <v>12</v>
      </c>
      <c r="J404">
        <v>2003</v>
      </c>
      <c r="K404" t="s">
        <v>181</v>
      </c>
      <c r="L404">
        <v>115</v>
      </c>
      <c r="M404" t="s">
        <v>530</v>
      </c>
      <c r="N404" t="s">
        <v>174</v>
      </c>
      <c r="O404" t="s">
        <v>175</v>
      </c>
      <c r="P404" t="s">
        <v>176</v>
      </c>
      <c r="R404" t="s">
        <v>177</v>
      </c>
      <c r="T404">
        <v>28034</v>
      </c>
      <c r="U404" t="s">
        <v>178</v>
      </c>
      <c r="V404" t="s">
        <v>42</v>
      </c>
      <c r="W404" t="s">
        <v>179</v>
      </c>
      <c r="X404" t="s">
        <v>180</v>
      </c>
      <c r="Y404" t="s">
        <v>51</v>
      </c>
    </row>
    <row r="405" spans="1:25" x14ac:dyDescent="0.25">
      <c r="A405">
        <v>10212</v>
      </c>
      <c r="B405">
        <v>33</v>
      </c>
      <c r="C405">
        <v>100</v>
      </c>
      <c r="D405">
        <v>15</v>
      </c>
      <c r="E405">
        <v>4180.4399999999996</v>
      </c>
      <c r="F405" s="1">
        <v>38002</v>
      </c>
      <c r="G405" t="s">
        <v>25</v>
      </c>
      <c r="H405">
        <v>1</v>
      </c>
      <c r="I405">
        <v>1</v>
      </c>
      <c r="J405">
        <v>2004</v>
      </c>
      <c r="K405" t="s">
        <v>181</v>
      </c>
      <c r="L405">
        <v>115</v>
      </c>
      <c r="M405" t="s">
        <v>530</v>
      </c>
      <c r="N405" t="s">
        <v>174</v>
      </c>
      <c r="O405" t="s">
        <v>175</v>
      </c>
      <c r="P405" t="s">
        <v>176</v>
      </c>
      <c r="R405" t="s">
        <v>177</v>
      </c>
      <c r="T405">
        <v>28034</v>
      </c>
      <c r="U405" t="s">
        <v>178</v>
      </c>
      <c r="V405" t="s">
        <v>42</v>
      </c>
      <c r="W405" t="s">
        <v>179</v>
      </c>
      <c r="X405" t="s">
        <v>180</v>
      </c>
      <c r="Y405" t="s">
        <v>51</v>
      </c>
    </row>
    <row r="406" spans="1:25" x14ac:dyDescent="0.25">
      <c r="A406">
        <v>10225</v>
      </c>
      <c r="B406">
        <v>21</v>
      </c>
      <c r="C406">
        <v>100</v>
      </c>
      <c r="D406">
        <v>6</v>
      </c>
      <c r="E406">
        <v>2684.43</v>
      </c>
      <c r="F406" s="1">
        <v>38039</v>
      </c>
      <c r="G406" t="s">
        <v>25</v>
      </c>
      <c r="H406">
        <v>1</v>
      </c>
      <c r="I406">
        <v>2</v>
      </c>
      <c r="J406">
        <v>2004</v>
      </c>
      <c r="K406" t="s">
        <v>181</v>
      </c>
      <c r="L406">
        <v>115</v>
      </c>
      <c r="M406" t="s">
        <v>530</v>
      </c>
      <c r="N406" t="s">
        <v>446</v>
      </c>
      <c r="O406" t="s">
        <v>447</v>
      </c>
      <c r="P406" t="s">
        <v>448</v>
      </c>
      <c r="R406" t="s">
        <v>449</v>
      </c>
      <c r="T406">
        <v>1203</v>
      </c>
      <c r="U406" t="s">
        <v>450</v>
      </c>
      <c r="V406" t="s">
        <v>42</v>
      </c>
      <c r="W406" t="s">
        <v>451</v>
      </c>
      <c r="X406" t="s">
        <v>103</v>
      </c>
      <c r="Y406" t="s">
        <v>36</v>
      </c>
    </row>
    <row r="407" spans="1:25" x14ac:dyDescent="0.25">
      <c r="A407">
        <v>10239</v>
      </c>
      <c r="B407">
        <v>21</v>
      </c>
      <c r="C407">
        <v>93.28</v>
      </c>
      <c r="D407">
        <v>5</v>
      </c>
      <c r="E407">
        <v>1958.88</v>
      </c>
      <c r="F407" s="1">
        <v>38089</v>
      </c>
      <c r="G407" t="s">
        <v>25</v>
      </c>
      <c r="H407">
        <v>2</v>
      </c>
      <c r="I407">
        <v>4</v>
      </c>
      <c r="J407">
        <v>2004</v>
      </c>
      <c r="K407" t="s">
        <v>181</v>
      </c>
      <c r="L407">
        <v>115</v>
      </c>
      <c r="M407" t="s">
        <v>530</v>
      </c>
      <c r="N407" t="s">
        <v>391</v>
      </c>
      <c r="O407" t="s">
        <v>392</v>
      </c>
      <c r="P407" t="s">
        <v>393</v>
      </c>
      <c r="R407" t="s">
        <v>394</v>
      </c>
      <c r="T407">
        <v>90110</v>
      </c>
      <c r="U407" t="s">
        <v>130</v>
      </c>
      <c r="V407" t="s">
        <v>42</v>
      </c>
      <c r="W407" t="s">
        <v>395</v>
      </c>
      <c r="X407" t="s">
        <v>396</v>
      </c>
      <c r="Y407" t="s">
        <v>36</v>
      </c>
    </row>
    <row r="408" spans="1:25" x14ac:dyDescent="0.25">
      <c r="A408">
        <v>10253</v>
      </c>
      <c r="B408">
        <v>41</v>
      </c>
      <c r="C408">
        <v>100</v>
      </c>
      <c r="D408">
        <v>10</v>
      </c>
      <c r="E408">
        <v>4910.57</v>
      </c>
      <c r="F408" s="1">
        <v>38139</v>
      </c>
      <c r="G408" t="s">
        <v>339</v>
      </c>
      <c r="H408">
        <v>2</v>
      </c>
      <c r="I408">
        <v>6</v>
      </c>
      <c r="J408">
        <v>2004</v>
      </c>
      <c r="K408" t="s">
        <v>181</v>
      </c>
      <c r="L408">
        <v>115</v>
      </c>
      <c r="M408" t="s">
        <v>530</v>
      </c>
      <c r="N408" t="s">
        <v>165</v>
      </c>
      <c r="O408" t="s">
        <v>166</v>
      </c>
      <c r="P408" t="s">
        <v>167</v>
      </c>
      <c r="R408" t="s">
        <v>168</v>
      </c>
      <c r="T408" t="s">
        <v>169</v>
      </c>
      <c r="U408" t="s">
        <v>170</v>
      </c>
      <c r="V408" t="s">
        <v>42</v>
      </c>
      <c r="W408" t="s">
        <v>171</v>
      </c>
      <c r="X408" t="s">
        <v>172</v>
      </c>
      <c r="Y408" t="s">
        <v>51</v>
      </c>
    </row>
    <row r="409" spans="1:25" x14ac:dyDescent="0.25">
      <c r="A409">
        <v>10266</v>
      </c>
      <c r="B409">
        <v>40</v>
      </c>
      <c r="C409">
        <v>100</v>
      </c>
      <c r="D409">
        <v>11</v>
      </c>
      <c r="E409">
        <v>4468.3999999999996</v>
      </c>
      <c r="F409" s="1">
        <v>38174</v>
      </c>
      <c r="G409" t="s">
        <v>25</v>
      </c>
      <c r="H409">
        <v>3</v>
      </c>
      <c r="I409">
        <v>7</v>
      </c>
      <c r="J409">
        <v>2004</v>
      </c>
      <c r="K409" t="s">
        <v>181</v>
      </c>
      <c r="L409">
        <v>115</v>
      </c>
      <c r="M409" t="s">
        <v>530</v>
      </c>
      <c r="N409" t="s">
        <v>452</v>
      </c>
      <c r="O409" t="s">
        <v>453</v>
      </c>
      <c r="P409" t="s">
        <v>454</v>
      </c>
      <c r="R409" t="s">
        <v>455</v>
      </c>
      <c r="T409">
        <v>42100</v>
      </c>
      <c r="U409" t="s">
        <v>258</v>
      </c>
      <c r="V409" t="s">
        <v>42</v>
      </c>
      <c r="W409" t="s">
        <v>456</v>
      </c>
      <c r="X409" t="s">
        <v>457</v>
      </c>
      <c r="Y409" t="s">
        <v>51</v>
      </c>
    </row>
    <row r="410" spans="1:25" x14ac:dyDescent="0.25">
      <c r="A410">
        <v>10277</v>
      </c>
      <c r="B410">
        <v>28</v>
      </c>
      <c r="C410">
        <v>100</v>
      </c>
      <c r="D410">
        <v>1</v>
      </c>
      <c r="E410">
        <v>3127.88</v>
      </c>
      <c r="F410" s="1">
        <v>38203</v>
      </c>
      <c r="G410" t="s">
        <v>25</v>
      </c>
      <c r="H410">
        <v>3</v>
      </c>
      <c r="I410">
        <v>8</v>
      </c>
      <c r="J410">
        <v>2004</v>
      </c>
      <c r="K410" t="s">
        <v>181</v>
      </c>
      <c r="L410">
        <v>115</v>
      </c>
      <c r="M410" t="s">
        <v>530</v>
      </c>
      <c r="N410" t="s">
        <v>196</v>
      </c>
      <c r="O410" t="s">
        <v>197</v>
      </c>
      <c r="P410" t="s">
        <v>198</v>
      </c>
      <c r="R410" t="s">
        <v>199</v>
      </c>
      <c r="T410">
        <v>79903</v>
      </c>
      <c r="U410" t="s">
        <v>199</v>
      </c>
      <c r="V410" t="s">
        <v>200</v>
      </c>
      <c r="W410" t="s">
        <v>201</v>
      </c>
      <c r="X410" t="s">
        <v>202</v>
      </c>
      <c r="Y410" t="s">
        <v>51</v>
      </c>
    </row>
    <row r="411" spans="1:25" x14ac:dyDescent="0.25">
      <c r="A411">
        <v>10287</v>
      </c>
      <c r="B411">
        <v>23</v>
      </c>
      <c r="C411">
        <v>100</v>
      </c>
      <c r="D411">
        <v>9</v>
      </c>
      <c r="E411">
        <v>2675.13</v>
      </c>
      <c r="F411" s="1">
        <v>38229</v>
      </c>
      <c r="G411" t="s">
        <v>25</v>
      </c>
      <c r="H411">
        <v>3</v>
      </c>
      <c r="I411">
        <v>8</v>
      </c>
      <c r="J411">
        <v>2004</v>
      </c>
      <c r="K411" t="s">
        <v>181</v>
      </c>
      <c r="L411">
        <v>115</v>
      </c>
      <c r="M411" t="s">
        <v>530</v>
      </c>
      <c r="N411" t="s">
        <v>446</v>
      </c>
      <c r="O411" t="s">
        <v>447</v>
      </c>
      <c r="P411" t="s">
        <v>448</v>
      </c>
      <c r="R411" t="s">
        <v>449</v>
      </c>
      <c r="T411">
        <v>1203</v>
      </c>
      <c r="U411" t="s">
        <v>450</v>
      </c>
      <c r="V411" t="s">
        <v>42</v>
      </c>
      <c r="W411" t="s">
        <v>451</v>
      </c>
      <c r="X411" t="s">
        <v>103</v>
      </c>
      <c r="Y411" t="s">
        <v>36</v>
      </c>
    </row>
    <row r="412" spans="1:25" x14ac:dyDescent="0.25">
      <c r="A412">
        <v>10300</v>
      </c>
      <c r="B412">
        <v>23</v>
      </c>
      <c r="C412">
        <v>100</v>
      </c>
      <c r="D412">
        <v>2</v>
      </c>
      <c r="E412">
        <v>2807.61</v>
      </c>
      <c r="F412" s="1">
        <v>37898</v>
      </c>
      <c r="G412" t="s">
        <v>25</v>
      </c>
      <c r="H412">
        <v>4</v>
      </c>
      <c r="I412">
        <v>10</v>
      </c>
      <c r="J412">
        <v>2003</v>
      </c>
      <c r="K412" t="s">
        <v>181</v>
      </c>
      <c r="L412">
        <v>115</v>
      </c>
      <c r="M412" t="s">
        <v>530</v>
      </c>
      <c r="N412" t="s">
        <v>462</v>
      </c>
      <c r="O412" t="s">
        <v>463</v>
      </c>
      <c r="P412" t="s">
        <v>464</v>
      </c>
      <c r="R412" t="s">
        <v>465</v>
      </c>
      <c r="T412">
        <v>60528</v>
      </c>
      <c r="U412" t="s">
        <v>443</v>
      </c>
      <c r="V412" t="s">
        <v>42</v>
      </c>
      <c r="W412" t="s">
        <v>466</v>
      </c>
      <c r="X412" t="s">
        <v>414</v>
      </c>
      <c r="Y412" t="s">
        <v>36</v>
      </c>
    </row>
    <row r="413" spans="1:25" x14ac:dyDescent="0.25">
      <c r="A413">
        <v>10310</v>
      </c>
      <c r="B413">
        <v>25</v>
      </c>
      <c r="C413">
        <v>100</v>
      </c>
      <c r="D413">
        <v>7</v>
      </c>
      <c r="E413">
        <v>2504.75</v>
      </c>
      <c r="F413" s="1">
        <v>38276</v>
      </c>
      <c r="G413" t="s">
        <v>25</v>
      </c>
      <c r="H413">
        <v>4</v>
      </c>
      <c r="I413">
        <v>10</v>
      </c>
      <c r="J413">
        <v>2004</v>
      </c>
      <c r="K413" t="s">
        <v>181</v>
      </c>
      <c r="L413">
        <v>115</v>
      </c>
      <c r="M413" t="s">
        <v>530</v>
      </c>
      <c r="N413" t="s">
        <v>439</v>
      </c>
      <c r="O413" t="s">
        <v>440</v>
      </c>
      <c r="P413" t="s">
        <v>441</v>
      </c>
      <c r="R413" t="s">
        <v>442</v>
      </c>
      <c r="T413">
        <v>50739</v>
      </c>
      <c r="U413" t="s">
        <v>443</v>
      </c>
      <c r="V413" t="s">
        <v>42</v>
      </c>
      <c r="W413" t="s">
        <v>444</v>
      </c>
      <c r="X413" t="s">
        <v>445</v>
      </c>
      <c r="Y413" t="s">
        <v>36</v>
      </c>
    </row>
    <row r="414" spans="1:25" x14ac:dyDescent="0.25">
      <c r="A414">
        <v>10321</v>
      </c>
      <c r="B414">
        <v>24</v>
      </c>
      <c r="C414">
        <v>100</v>
      </c>
      <c r="D414">
        <v>15</v>
      </c>
      <c r="E414">
        <v>2984.88</v>
      </c>
      <c r="F414" s="1">
        <v>38295</v>
      </c>
      <c r="G414" t="s">
        <v>25</v>
      </c>
      <c r="H414">
        <v>4</v>
      </c>
      <c r="I414">
        <v>11</v>
      </c>
      <c r="J414">
        <v>2004</v>
      </c>
      <c r="K414" t="s">
        <v>181</v>
      </c>
      <c r="L414">
        <v>115</v>
      </c>
      <c r="M414" t="s">
        <v>530</v>
      </c>
      <c r="N414" t="s">
        <v>160</v>
      </c>
      <c r="O414">
        <v>5085552555</v>
      </c>
      <c r="P414" t="s">
        <v>161</v>
      </c>
      <c r="R414" t="s">
        <v>162</v>
      </c>
      <c r="S414" t="s">
        <v>123</v>
      </c>
      <c r="T414">
        <v>50553</v>
      </c>
      <c r="U414" t="s">
        <v>32</v>
      </c>
      <c r="V414" t="s">
        <v>33</v>
      </c>
      <c r="W414" t="s">
        <v>163</v>
      </c>
      <c r="X414" t="s">
        <v>164</v>
      </c>
      <c r="Y414" t="s">
        <v>36</v>
      </c>
    </row>
    <row r="415" spans="1:25" x14ac:dyDescent="0.25">
      <c r="A415">
        <v>10329</v>
      </c>
      <c r="B415">
        <v>39</v>
      </c>
      <c r="C415">
        <v>64.739999999999995</v>
      </c>
      <c r="D415">
        <v>15</v>
      </c>
      <c r="E415">
        <v>2524.86</v>
      </c>
      <c r="F415" s="1">
        <v>38306</v>
      </c>
      <c r="G415" t="s">
        <v>25</v>
      </c>
      <c r="H415">
        <v>4</v>
      </c>
      <c r="I415">
        <v>11</v>
      </c>
      <c r="J415">
        <v>2004</v>
      </c>
      <c r="K415" t="s">
        <v>181</v>
      </c>
      <c r="L415">
        <v>115</v>
      </c>
      <c r="M415" t="s">
        <v>530</v>
      </c>
      <c r="N415" t="s">
        <v>28</v>
      </c>
      <c r="O415">
        <v>2125557818</v>
      </c>
      <c r="P415" t="s">
        <v>29</v>
      </c>
      <c r="R415" t="s">
        <v>30</v>
      </c>
      <c r="S415" t="s">
        <v>31</v>
      </c>
      <c r="T415">
        <v>10022</v>
      </c>
      <c r="U415" t="s">
        <v>32</v>
      </c>
      <c r="V415" t="s">
        <v>33</v>
      </c>
      <c r="W415" t="s">
        <v>34</v>
      </c>
      <c r="X415" t="s">
        <v>35</v>
      </c>
      <c r="Y415" t="s">
        <v>36</v>
      </c>
    </row>
    <row r="416" spans="1:25" x14ac:dyDescent="0.25">
      <c r="A416">
        <v>10341</v>
      </c>
      <c r="B416">
        <v>55</v>
      </c>
      <c r="C416">
        <v>75.2</v>
      </c>
      <c r="D416">
        <v>7</v>
      </c>
      <c r="E416">
        <v>4136</v>
      </c>
      <c r="F416" s="1">
        <v>38315</v>
      </c>
      <c r="G416" t="s">
        <v>25</v>
      </c>
      <c r="H416">
        <v>4</v>
      </c>
      <c r="I416">
        <v>11</v>
      </c>
      <c r="J416">
        <v>2004</v>
      </c>
      <c r="K416" t="s">
        <v>181</v>
      </c>
      <c r="L416">
        <v>115</v>
      </c>
      <c r="M416" t="s">
        <v>530</v>
      </c>
      <c r="N416" t="s">
        <v>144</v>
      </c>
      <c r="O416" t="s">
        <v>145</v>
      </c>
      <c r="P416" t="s">
        <v>146</v>
      </c>
      <c r="R416" t="s">
        <v>147</v>
      </c>
      <c r="T416">
        <v>5020</v>
      </c>
      <c r="U416" t="s">
        <v>148</v>
      </c>
      <c r="V416" t="s">
        <v>42</v>
      </c>
      <c r="W416" t="s">
        <v>149</v>
      </c>
      <c r="X416" t="s">
        <v>150</v>
      </c>
      <c r="Y416" t="s">
        <v>51</v>
      </c>
    </row>
    <row r="417" spans="1:25" x14ac:dyDescent="0.25">
      <c r="A417">
        <v>10363</v>
      </c>
      <c r="B417">
        <v>46</v>
      </c>
      <c r="C417">
        <v>88.45</v>
      </c>
      <c r="D417">
        <v>6</v>
      </c>
      <c r="E417">
        <v>4068.7</v>
      </c>
      <c r="F417" s="1">
        <v>38358</v>
      </c>
      <c r="G417" t="s">
        <v>25</v>
      </c>
      <c r="H417">
        <v>1</v>
      </c>
      <c r="I417">
        <v>1</v>
      </c>
      <c r="J417">
        <v>2005</v>
      </c>
      <c r="K417" t="s">
        <v>181</v>
      </c>
      <c r="L417">
        <v>115</v>
      </c>
      <c r="M417" t="s">
        <v>530</v>
      </c>
      <c r="N417" t="s">
        <v>467</v>
      </c>
      <c r="O417" t="s">
        <v>468</v>
      </c>
      <c r="P417" t="s">
        <v>469</v>
      </c>
      <c r="R417" t="s">
        <v>470</v>
      </c>
      <c r="T417" t="s">
        <v>471</v>
      </c>
      <c r="U417" t="s">
        <v>130</v>
      </c>
      <c r="V417" t="s">
        <v>42</v>
      </c>
      <c r="W417" t="s">
        <v>472</v>
      </c>
      <c r="X417" t="s">
        <v>473</v>
      </c>
      <c r="Y417" t="s">
        <v>51</v>
      </c>
    </row>
    <row r="418" spans="1:25" x14ac:dyDescent="0.25">
      <c r="A418">
        <v>10377</v>
      </c>
      <c r="B418">
        <v>50</v>
      </c>
      <c r="C418">
        <v>100</v>
      </c>
      <c r="D418">
        <v>1</v>
      </c>
      <c r="E418">
        <v>5182</v>
      </c>
      <c r="F418" s="1">
        <v>38392</v>
      </c>
      <c r="G418" t="s">
        <v>25</v>
      </c>
      <c r="H418">
        <v>1</v>
      </c>
      <c r="I418">
        <v>2</v>
      </c>
      <c r="J418">
        <v>2005</v>
      </c>
      <c r="K418" t="s">
        <v>181</v>
      </c>
      <c r="L418">
        <v>115</v>
      </c>
      <c r="M418" t="s">
        <v>530</v>
      </c>
      <c r="N418" t="s">
        <v>126</v>
      </c>
      <c r="O418" t="s">
        <v>127</v>
      </c>
      <c r="P418" t="s">
        <v>128</v>
      </c>
      <c r="R418" t="s">
        <v>129</v>
      </c>
      <c r="T418">
        <v>21240</v>
      </c>
      <c r="U418" t="s">
        <v>130</v>
      </c>
      <c r="V418" t="s">
        <v>42</v>
      </c>
      <c r="W418" t="s">
        <v>131</v>
      </c>
      <c r="X418" t="s">
        <v>132</v>
      </c>
      <c r="Y418" t="s">
        <v>51</v>
      </c>
    </row>
    <row r="419" spans="1:25" x14ac:dyDescent="0.25">
      <c r="A419">
        <v>10389</v>
      </c>
      <c r="B419">
        <v>47</v>
      </c>
      <c r="C419">
        <v>100</v>
      </c>
      <c r="D419">
        <v>8</v>
      </c>
      <c r="E419">
        <v>5243.79</v>
      </c>
      <c r="F419" s="1">
        <v>38414</v>
      </c>
      <c r="G419" t="s">
        <v>25</v>
      </c>
      <c r="H419">
        <v>1</v>
      </c>
      <c r="I419">
        <v>3</v>
      </c>
      <c r="J419">
        <v>2005</v>
      </c>
      <c r="K419" t="s">
        <v>181</v>
      </c>
      <c r="L419">
        <v>115</v>
      </c>
      <c r="M419" t="s">
        <v>530</v>
      </c>
      <c r="N419" t="s">
        <v>261</v>
      </c>
      <c r="O419" t="s">
        <v>262</v>
      </c>
      <c r="P419" t="s">
        <v>263</v>
      </c>
      <c r="R419" t="s">
        <v>264</v>
      </c>
      <c r="T419" t="s">
        <v>265</v>
      </c>
      <c r="U419" t="s">
        <v>188</v>
      </c>
      <c r="V419" t="s">
        <v>42</v>
      </c>
      <c r="W419" t="s">
        <v>266</v>
      </c>
      <c r="X419" t="s">
        <v>206</v>
      </c>
      <c r="Y419" t="s">
        <v>51</v>
      </c>
    </row>
    <row r="420" spans="1:25" x14ac:dyDescent="0.25">
      <c r="A420">
        <v>10405</v>
      </c>
      <c r="B420">
        <v>97</v>
      </c>
      <c r="C420">
        <v>93.28</v>
      </c>
      <c r="D420">
        <v>5</v>
      </c>
      <c r="E420">
        <v>9048.16</v>
      </c>
      <c r="F420" s="1">
        <v>38456</v>
      </c>
      <c r="G420" t="s">
        <v>25</v>
      </c>
      <c r="H420">
        <v>2</v>
      </c>
      <c r="I420">
        <v>4</v>
      </c>
      <c r="J420">
        <v>2005</v>
      </c>
      <c r="K420" t="s">
        <v>181</v>
      </c>
      <c r="L420">
        <v>115</v>
      </c>
      <c r="M420" t="s">
        <v>530</v>
      </c>
      <c r="N420" t="s">
        <v>531</v>
      </c>
      <c r="O420" t="s">
        <v>532</v>
      </c>
      <c r="P420" t="s">
        <v>533</v>
      </c>
      <c r="R420" t="s">
        <v>534</v>
      </c>
      <c r="T420">
        <v>67000</v>
      </c>
      <c r="U420" t="s">
        <v>41</v>
      </c>
      <c r="V420" t="s">
        <v>42</v>
      </c>
      <c r="W420" t="s">
        <v>535</v>
      </c>
      <c r="X420" t="s">
        <v>536</v>
      </c>
      <c r="Y420" t="s">
        <v>151</v>
      </c>
    </row>
    <row r="421" spans="1:25" x14ac:dyDescent="0.25">
      <c r="A421">
        <v>10419</v>
      </c>
      <c r="B421">
        <v>32</v>
      </c>
      <c r="C421">
        <v>100</v>
      </c>
      <c r="D421">
        <v>10</v>
      </c>
      <c r="E421">
        <v>3832.64</v>
      </c>
      <c r="F421" s="1">
        <v>38489</v>
      </c>
      <c r="G421" t="s">
        <v>25</v>
      </c>
      <c r="H421">
        <v>2</v>
      </c>
      <c r="I421">
        <v>5</v>
      </c>
      <c r="J421">
        <v>2005</v>
      </c>
      <c r="K421" t="s">
        <v>181</v>
      </c>
      <c r="L421">
        <v>115</v>
      </c>
      <c r="M421" t="s">
        <v>530</v>
      </c>
      <c r="N421" t="s">
        <v>144</v>
      </c>
      <c r="O421" t="s">
        <v>145</v>
      </c>
      <c r="P421" t="s">
        <v>146</v>
      </c>
      <c r="R421" t="s">
        <v>147</v>
      </c>
      <c r="T421">
        <v>5020</v>
      </c>
      <c r="U421" t="s">
        <v>148</v>
      </c>
      <c r="V421" t="s">
        <v>42</v>
      </c>
      <c r="W421" t="s">
        <v>149</v>
      </c>
      <c r="X421" t="s">
        <v>150</v>
      </c>
      <c r="Y421" t="s">
        <v>51</v>
      </c>
    </row>
    <row r="422" spans="1:25" x14ac:dyDescent="0.25">
      <c r="A422">
        <v>10103</v>
      </c>
      <c r="B422">
        <v>35</v>
      </c>
      <c r="C422">
        <v>100</v>
      </c>
      <c r="D422">
        <v>10</v>
      </c>
      <c r="E422">
        <v>3920</v>
      </c>
      <c r="F422" s="1">
        <v>37650</v>
      </c>
      <c r="G422" t="s">
        <v>25</v>
      </c>
      <c r="H422">
        <v>1</v>
      </c>
      <c r="I422">
        <v>1</v>
      </c>
      <c r="J422">
        <v>2003</v>
      </c>
      <c r="K422" t="s">
        <v>504</v>
      </c>
      <c r="L422">
        <v>116</v>
      </c>
      <c r="M422" t="s">
        <v>537</v>
      </c>
      <c r="N422" t="s">
        <v>133</v>
      </c>
      <c r="O422" t="s">
        <v>134</v>
      </c>
      <c r="P422" t="s">
        <v>135</v>
      </c>
      <c r="R422" t="s">
        <v>136</v>
      </c>
      <c r="T422">
        <v>4110</v>
      </c>
      <c r="U422" t="s">
        <v>78</v>
      </c>
      <c r="V422" t="s">
        <v>42</v>
      </c>
      <c r="W422" t="s">
        <v>137</v>
      </c>
      <c r="X422" t="s">
        <v>138</v>
      </c>
      <c r="Y422" t="s">
        <v>51</v>
      </c>
    </row>
    <row r="423" spans="1:25" x14ac:dyDescent="0.25">
      <c r="A423">
        <v>10113</v>
      </c>
      <c r="B423">
        <v>49</v>
      </c>
      <c r="C423">
        <v>100</v>
      </c>
      <c r="D423">
        <v>4</v>
      </c>
      <c r="E423">
        <v>4916.66</v>
      </c>
      <c r="F423" s="1">
        <v>37706</v>
      </c>
      <c r="G423" t="s">
        <v>25</v>
      </c>
      <c r="H423">
        <v>1</v>
      </c>
      <c r="I423">
        <v>3</v>
      </c>
      <c r="J423">
        <v>2003</v>
      </c>
      <c r="K423" t="s">
        <v>504</v>
      </c>
      <c r="L423">
        <v>116</v>
      </c>
      <c r="M423" t="s">
        <v>537</v>
      </c>
      <c r="N423" t="s">
        <v>272</v>
      </c>
      <c r="O423">
        <v>4155551450</v>
      </c>
      <c r="P423" t="s">
        <v>273</v>
      </c>
      <c r="R423" t="s">
        <v>274</v>
      </c>
      <c r="S423" t="s">
        <v>55</v>
      </c>
      <c r="T423">
        <v>97562</v>
      </c>
      <c r="U423" t="s">
        <v>32</v>
      </c>
      <c r="V423" t="s">
        <v>33</v>
      </c>
      <c r="W423" t="s">
        <v>275</v>
      </c>
      <c r="X423" t="s">
        <v>276</v>
      </c>
      <c r="Y423" t="s">
        <v>51</v>
      </c>
    </row>
    <row r="424" spans="1:25" x14ac:dyDescent="0.25">
      <c r="A424">
        <v>10126</v>
      </c>
      <c r="B424">
        <v>38</v>
      </c>
      <c r="C424">
        <v>100</v>
      </c>
      <c r="D424">
        <v>10</v>
      </c>
      <c r="E424">
        <v>3857</v>
      </c>
      <c r="F424" s="1">
        <v>37769</v>
      </c>
      <c r="G424" t="s">
        <v>25</v>
      </c>
      <c r="H424">
        <v>2</v>
      </c>
      <c r="I424">
        <v>5</v>
      </c>
      <c r="J424">
        <v>2003</v>
      </c>
      <c r="K424" t="s">
        <v>504</v>
      </c>
      <c r="L424">
        <v>116</v>
      </c>
      <c r="M424" t="s">
        <v>537</v>
      </c>
      <c r="N424" t="s">
        <v>191</v>
      </c>
      <c r="O424" t="s">
        <v>192</v>
      </c>
      <c r="P424" t="s">
        <v>193</v>
      </c>
      <c r="R424" t="s">
        <v>177</v>
      </c>
      <c r="T424">
        <v>28023</v>
      </c>
      <c r="U424" t="s">
        <v>178</v>
      </c>
      <c r="V424" t="s">
        <v>42</v>
      </c>
      <c r="W424" t="s">
        <v>194</v>
      </c>
      <c r="X424" t="s">
        <v>195</v>
      </c>
      <c r="Y424" t="s">
        <v>51</v>
      </c>
    </row>
    <row r="425" spans="1:25" x14ac:dyDescent="0.25">
      <c r="A425">
        <v>10140</v>
      </c>
      <c r="B425">
        <v>32</v>
      </c>
      <c r="C425">
        <v>100</v>
      </c>
      <c r="D425">
        <v>10</v>
      </c>
      <c r="E425">
        <v>4181.4399999999996</v>
      </c>
      <c r="F425" s="1">
        <v>37826</v>
      </c>
      <c r="G425" t="s">
        <v>25</v>
      </c>
      <c r="H425">
        <v>3</v>
      </c>
      <c r="I425">
        <v>7</v>
      </c>
      <c r="J425">
        <v>2003</v>
      </c>
      <c r="K425" t="s">
        <v>504</v>
      </c>
      <c r="L425">
        <v>116</v>
      </c>
      <c r="M425" t="s">
        <v>537</v>
      </c>
      <c r="N425" t="s">
        <v>62</v>
      </c>
      <c r="O425">
        <v>6505556809</v>
      </c>
      <c r="P425" t="s">
        <v>63</v>
      </c>
      <c r="R425" t="s">
        <v>64</v>
      </c>
      <c r="S425" t="s">
        <v>55</v>
      </c>
      <c r="T425">
        <v>94217</v>
      </c>
      <c r="U425" t="s">
        <v>32</v>
      </c>
      <c r="V425" t="s">
        <v>33</v>
      </c>
      <c r="W425" t="s">
        <v>65</v>
      </c>
      <c r="X425" t="s">
        <v>66</v>
      </c>
      <c r="Y425" t="s">
        <v>51</v>
      </c>
    </row>
    <row r="426" spans="1:25" x14ac:dyDescent="0.25">
      <c r="A426">
        <v>10150</v>
      </c>
      <c r="B426">
        <v>34</v>
      </c>
      <c r="C426">
        <v>100</v>
      </c>
      <c r="D426">
        <v>7</v>
      </c>
      <c r="E426">
        <v>4641</v>
      </c>
      <c r="F426" s="1">
        <v>37883</v>
      </c>
      <c r="G426" t="s">
        <v>25</v>
      </c>
      <c r="H426">
        <v>3</v>
      </c>
      <c r="I426">
        <v>9</v>
      </c>
      <c r="J426">
        <v>2003</v>
      </c>
      <c r="K426" t="s">
        <v>504</v>
      </c>
      <c r="L426">
        <v>116</v>
      </c>
      <c r="M426" t="s">
        <v>537</v>
      </c>
      <c r="N426" t="s">
        <v>196</v>
      </c>
      <c r="O426" t="s">
        <v>197</v>
      </c>
      <c r="P426" t="s">
        <v>198</v>
      </c>
      <c r="R426" t="s">
        <v>199</v>
      </c>
      <c r="T426">
        <v>79903</v>
      </c>
      <c r="U426" t="s">
        <v>199</v>
      </c>
      <c r="V426" t="s">
        <v>200</v>
      </c>
      <c r="W426" t="s">
        <v>201</v>
      </c>
      <c r="X426" t="s">
        <v>202</v>
      </c>
      <c r="Y426" t="s">
        <v>51</v>
      </c>
    </row>
    <row r="427" spans="1:25" x14ac:dyDescent="0.25">
      <c r="A427">
        <v>10164</v>
      </c>
      <c r="B427">
        <v>36</v>
      </c>
      <c r="C427">
        <v>99.17</v>
      </c>
      <c r="D427">
        <v>8</v>
      </c>
      <c r="E427">
        <v>3570.12</v>
      </c>
      <c r="F427" s="1">
        <v>37915</v>
      </c>
      <c r="G427" t="s">
        <v>408</v>
      </c>
      <c r="H427">
        <v>4</v>
      </c>
      <c r="I427">
        <v>10</v>
      </c>
      <c r="J427">
        <v>2003</v>
      </c>
      <c r="K427" t="s">
        <v>504</v>
      </c>
      <c r="L427">
        <v>116</v>
      </c>
      <c r="M427" t="s">
        <v>537</v>
      </c>
      <c r="N427" t="s">
        <v>409</v>
      </c>
      <c r="O427" t="s">
        <v>410</v>
      </c>
      <c r="P427" t="s">
        <v>411</v>
      </c>
      <c r="R427" t="s">
        <v>412</v>
      </c>
      <c r="T427">
        <v>8010</v>
      </c>
      <c r="U427" t="s">
        <v>148</v>
      </c>
      <c r="V427" t="s">
        <v>42</v>
      </c>
      <c r="W427" t="s">
        <v>413</v>
      </c>
      <c r="X427" t="s">
        <v>414</v>
      </c>
      <c r="Y427" t="s">
        <v>51</v>
      </c>
    </row>
    <row r="428" spans="1:25" x14ac:dyDescent="0.25">
      <c r="A428">
        <v>10174</v>
      </c>
      <c r="B428">
        <v>48</v>
      </c>
      <c r="C428">
        <v>93.34</v>
      </c>
      <c r="D428">
        <v>3</v>
      </c>
      <c r="E428">
        <v>4480.32</v>
      </c>
      <c r="F428" s="1">
        <v>37931</v>
      </c>
      <c r="G428" t="s">
        <v>25</v>
      </c>
      <c r="H428">
        <v>4</v>
      </c>
      <c r="I428">
        <v>11</v>
      </c>
      <c r="J428">
        <v>2003</v>
      </c>
      <c r="K428" t="s">
        <v>504</v>
      </c>
      <c r="L428">
        <v>116</v>
      </c>
      <c r="M428" t="s">
        <v>537</v>
      </c>
      <c r="N428" t="s">
        <v>207</v>
      </c>
      <c r="O428" t="s">
        <v>208</v>
      </c>
      <c r="P428" t="s">
        <v>209</v>
      </c>
      <c r="R428" t="s">
        <v>210</v>
      </c>
      <c r="S428" t="s">
        <v>211</v>
      </c>
      <c r="T428">
        <v>4101</v>
      </c>
      <c r="U428" t="s">
        <v>95</v>
      </c>
      <c r="V428" t="s">
        <v>96</v>
      </c>
      <c r="W428" t="s">
        <v>212</v>
      </c>
      <c r="X428" t="s">
        <v>213</v>
      </c>
      <c r="Y428" t="s">
        <v>51</v>
      </c>
    </row>
    <row r="429" spans="1:25" x14ac:dyDescent="0.25">
      <c r="A429">
        <v>10183</v>
      </c>
      <c r="B429">
        <v>21</v>
      </c>
      <c r="C429">
        <v>96.84</v>
      </c>
      <c r="D429">
        <v>7</v>
      </c>
      <c r="E429">
        <v>2033.64</v>
      </c>
      <c r="F429" s="1">
        <v>37938</v>
      </c>
      <c r="G429" t="s">
        <v>25</v>
      </c>
      <c r="H429">
        <v>4</v>
      </c>
      <c r="I429">
        <v>11</v>
      </c>
      <c r="J429">
        <v>2003</v>
      </c>
      <c r="K429" t="s">
        <v>504</v>
      </c>
      <c r="L429">
        <v>116</v>
      </c>
      <c r="M429" t="s">
        <v>537</v>
      </c>
      <c r="N429" t="s">
        <v>214</v>
      </c>
      <c r="O429">
        <v>2155554695</v>
      </c>
      <c r="P429" t="s">
        <v>215</v>
      </c>
      <c r="R429" t="s">
        <v>216</v>
      </c>
      <c r="S429" t="s">
        <v>142</v>
      </c>
      <c r="T429">
        <v>71270</v>
      </c>
      <c r="U429" t="s">
        <v>32</v>
      </c>
      <c r="V429" t="s">
        <v>33</v>
      </c>
      <c r="W429" t="s">
        <v>217</v>
      </c>
      <c r="X429" t="s">
        <v>218</v>
      </c>
      <c r="Y429" t="s">
        <v>36</v>
      </c>
    </row>
    <row r="430" spans="1:25" x14ac:dyDescent="0.25">
      <c r="A430">
        <v>10194</v>
      </c>
      <c r="B430">
        <v>21</v>
      </c>
      <c r="C430">
        <v>93.34</v>
      </c>
      <c r="D430">
        <v>10</v>
      </c>
      <c r="E430">
        <v>1960.14</v>
      </c>
      <c r="F430" s="1">
        <v>37950</v>
      </c>
      <c r="G430" t="s">
        <v>25</v>
      </c>
      <c r="H430">
        <v>4</v>
      </c>
      <c r="I430">
        <v>11</v>
      </c>
      <c r="J430">
        <v>2003</v>
      </c>
      <c r="K430" t="s">
        <v>504</v>
      </c>
      <c r="L430">
        <v>116</v>
      </c>
      <c r="M430" t="s">
        <v>537</v>
      </c>
      <c r="N430" t="s">
        <v>219</v>
      </c>
      <c r="O430" t="s">
        <v>220</v>
      </c>
      <c r="P430" t="s">
        <v>221</v>
      </c>
      <c r="R430" t="s">
        <v>222</v>
      </c>
      <c r="T430">
        <v>69004</v>
      </c>
      <c r="U430" t="s">
        <v>41</v>
      </c>
      <c r="V430" t="s">
        <v>42</v>
      </c>
      <c r="W430" t="s">
        <v>223</v>
      </c>
      <c r="X430" t="s">
        <v>224</v>
      </c>
      <c r="Y430" t="s">
        <v>36</v>
      </c>
    </row>
    <row r="431" spans="1:25" x14ac:dyDescent="0.25">
      <c r="A431">
        <v>10206</v>
      </c>
      <c r="B431">
        <v>34</v>
      </c>
      <c r="C431">
        <v>100</v>
      </c>
      <c r="D431">
        <v>5</v>
      </c>
      <c r="E431">
        <v>3966.78</v>
      </c>
      <c r="F431" s="1">
        <v>37960</v>
      </c>
      <c r="G431" t="s">
        <v>25</v>
      </c>
      <c r="H431">
        <v>4</v>
      </c>
      <c r="I431">
        <v>12</v>
      </c>
      <c r="J431">
        <v>2003</v>
      </c>
      <c r="K431" t="s">
        <v>504</v>
      </c>
      <c r="L431">
        <v>116</v>
      </c>
      <c r="M431" t="s">
        <v>537</v>
      </c>
      <c r="N431" t="s">
        <v>225</v>
      </c>
      <c r="O431" t="s">
        <v>226</v>
      </c>
      <c r="P431" t="s">
        <v>227</v>
      </c>
      <c r="R431" t="s">
        <v>228</v>
      </c>
      <c r="S431" t="s">
        <v>229</v>
      </c>
      <c r="T431" t="s">
        <v>230</v>
      </c>
      <c r="U431" t="s">
        <v>231</v>
      </c>
      <c r="V431" t="s">
        <v>33</v>
      </c>
      <c r="W431" t="s">
        <v>232</v>
      </c>
      <c r="X431" t="s">
        <v>233</v>
      </c>
      <c r="Y431" t="s">
        <v>51</v>
      </c>
    </row>
    <row r="432" spans="1:25" x14ac:dyDescent="0.25">
      <c r="A432">
        <v>10215</v>
      </c>
      <c r="B432">
        <v>46</v>
      </c>
      <c r="C432">
        <v>100</v>
      </c>
      <c r="D432">
        <v>2</v>
      </c>
      <c r="E432">
        <v>5152</v>
      </c>
      <c r="F432" s="1">
        <v>38015</v>
      </c>
      <c r="G432" t="s">
        <v>25</v>
      </c>
      <c r="H432">
        <v>1</v>
      </c>
      <c r="I432">
        <v>1</v>
      </c>
      <c r="J432">
        <v>2004</v>
      </c>
      <c r="K432" t="s">
        <v>504</v>
      </c>
      <c r="L432">
        <v>116</v>
      </c>
      <c r="M432" t="s">
        <v>537</v>
      </c>
      <c r="N432" t="s">
        <v>234</v>
      </c>
      <c r="O432">
        <v>3105553722</v>
      </c>
      <c r="P432" t="s">
        <v>235</v>
      </c>
      <c r="R432" t="s">
        <v>236</v>
      </c>
      <c r="S432" t="s">
        <v>55</v>
      </c>
      <c r="T432">
        <v>94019</v>
      </c>
      <c r="U432" t="s">
        <v>32</v>
      </c>
      <c r="V432" t="s">
        <v>33</v>
      </c>
      <c r="W432" t="s">
        <v>237</v>
      </c>
      <c r="X432" t="s">
        <v>238</v>
      </c>
      <c r="Y432" t="s">
        <v>51</v>
      </c>
    </row>
    <row r="433" spans="1:25" x14ac:dyDescent="0.25">
      <c r="A433">
        <v>10228</v>
      </c>
      <c r="B433">
        <v>32</v>
      </c>
      <c r="C433">
        <v>100</v>
      </c>
      <c r="D433">
        <v>1</v>
      </c>
      <c r="E433">
        <v>3360</v>
      </c>
      <c r="F433" s="1">
        <v>38056</v>
      </c>
      <c r="G433" t="s">
        <v>25</v>
      </c>
      <c r="H433">
        <v>1</v>
      </c>
      <c r="I433">
        <v>3</v>
      </c>
      <c r="J433">
        <v>2004</v>
      </c>
      <c r="K433" t="s">
        <v>504</v>
      </c>
      <c r="L433">
        <v>116</v>
      </c>
      <c r="M433" t="s">
        <v>537</v>
      </c>
      <c r="N433" t="s">
        <v>239</v>
      </c>
      <c r="O433">
        <v>6175555555</v>
      </c>
      <c r="P433" t="s">
        <v>240</v>
      </c>
      <c r="R433" t="s">
        <v>122</v>
      </c>
      <c r="S433" t="s">
        <v>123</v>
      </c>
      <c r="T433">
        <v>51247</v>
      </c>
      <c r="U433" t="s">
        <v>32</v>
      </c>
      <c r="V433" t="s">
        <v>33</v>
      </c>
      <c r="W433" t="s">
        <v>241</v>
      </c>
      <c r="X433" t="s">
        <v>143</v>
      </c>
      <c r="Y433" t="s">
        <v>51</v>
      </c>
    </row>
    <row r="434" spans="1:25" x14ac:dyDescent="0.25">
      <c r="A434">
        <v>10245</v>
      </c>
      <c r="B434">
        <v>29</v>
      </c>
      <c r="C434">
        <v>100</v>
      </c>
      <c r="D434">
        <v>8</v>
      </c>
      <c r="E434">
        <v>3451</v>
      </c>
      <c r="F434" s="1">
        <v>38111</v>
      </c>
      <c r="G434" t="s">
        <v>25</v>
      </c>
      <c r="H434">
        <v>2</v>
      </c>
      <c r="I434">
        <v>5</v>
      </c>
      <c r="J434">
        <v>2004</v>
      </c>
      <c r="K434" t="s">
        <v>504</v>
      </c>
      <c r="L434">
        <v>116</v>
      </c>
      <c r="M434" t="s">
        <v>537</v>
      </c>
      <c r="N434" t="s">
        <v>242</v>
      </c>
      <c r="O434">
        <v>2035559545</v>
      </c>
      <c r="P434" t="s">
        <v>243</v>
      </c>
      <c r="R434" t="s">
        <v>244</v>
      </c>
      <c r="S434" t="s">
        <v>112</v>
      </c>
      <c r="T434">
        <v>97823</v>
      </c>
      <c r="U434" t="s">
        <v>32</v>
      </c>
      <c r="V434" t="s">
        <v>33</v>
      </c>
      <c r="W434" t="s">
        <v>83</v>
      </c>
      <c r="X434" t="s">
        <v>245</v>
      </c>
      <c r="Y434" t="s">
        <v>51</v>
      </c>
    </row>
    <row r="435" spans="1:25" x14ac:dyDescent="0.25">
      <c r="A435">
        <v>10258</v>
      </c>
      <c r="B435">
        <v>41</v>
      </c>
      <c r="C435">
        <v>100</v>
      </c>
      <c r="D435">
        <v>5</v>
      </c>
      <c r="E435">
        <v>5453</v>
      </c>
      <c r="F435" s="1">
        <v>38153</v>
      </c>
      <c r="G435" t="s">
        <v>25</v>
      </c>
      <c r="H435">
        <v>2</v>
      </c>
      <c r="I435">
        <v>6</v>
      </c>
      <c r="J435">
        <v>2004</v>
      </c>
      <c r="K435" t="s">
        <v>504</v>
      </c>
      <c r="L435">
        <v>116</v>
      </c>
      <c r="M435" t="s">
        <v>537</v>
      </c>
      <c r="N435" t="s">
        <v>246</v>
      </c>
      <c r="O435" t="s">
        <v>247</v>
      </c>
      <c r="P435" t="s">
        <v>248</v>
      </c>
      <c r="R435" t="s">
        <v>249</v>
      </c>
      <c r="S435" t="s">
        <v>250</v>
      </c>
      <c r="T435" t="s">
        <v>251</v>
      </c>
      <c r="U435" t="s">
        <v>200</v>
      </c>
      <c r="V435" t="s">
        <v>200</v>
      </c>
      <c r="W435" t="s">
        <v>252</v>
      </c>
      <c r="X435" t="s">
        <v>253</v>
      </c>
      <c r="Y435" t="s">
        <v>51</v>
      </c>
    </row>
    <row r="436" spans="1:25" x14ac:dyDescent="0.25">
      <c r="A436">
        <v>10270</v>
      </c>
      <c r="B436">
        <v>43</v>
      </c>
      <c r="C436">
        <v>96.84</v>
      </c>
      <c r="D436">
        <v>8</v>
      </c>
      <c r="E436">
        <v>4164.12</v>
      </c>
      <c r="F436" s="1">
        <v>38187</v>
      </c>
      <c r="G436" t="s">
        <v>25</v>
      </c>
      <c r="H436">
        <v>3</v>
      </c>
      <c r="I436">
        <v>7</v>
      </c>
      <c r="J436">
        <v>2004</v>
      </c>
      <c r="K436" t="s">
        <v>504</v>
      </c>
      <c r="L436">
        <v>116</v>
      </c>
      <c r="M436" t="s">
        <v>537</v>
      </c>
      <c r="N436" t="s">
        <v>152</v>
      </c>
      <c r="O436" t="s">
        <v>153</v>
      </c>
      <c r="P436" t="s">
        <v>154</v>
      </c>
      <c r="Q436" t="s">
        <v>155</v>
      </c>
      <c r="R436" t="s">
        <v>156</v>
      </c>
      <c r="S436" t="s">
        <v>157</v>
      </c>
      <c r="T436">
        <v>2067</v>
      </c>
      <c r="U436" t="s">
        <v>95</v>
      </c>
      <c r="V436" t="s">
        <v>96</v>
      </c>
      <c r="W436" t="s">
        <v>158</v>
      </c>
      <c r="X436" t="s">
        <v>159</v>
      </c>
      <c r="Y436" t="s">
        <v>51</v>
      </c>
    </row>
    <row r="437" spans="1:25" x14ac:dyDescent="0.25">
      <c r="A437">
        <v>10280</v>
      </c>
      <c r="B437">
        <v>24</v>
      </c>
      <c r="C437">
        <v>100</v>
      </c>
      <c r="D437">
        <v>1</v>
      </c>
      <c r="E437">
        <v>2800.08</v>
      </c>
      <c r="F437" s="1">
        <v>38216</v>
      </c>
      <c r="G437" t="s">
        <v>25</v>
      </c>
      <c r="H437">
        <v>3</v>
      </c>
      <c r="I437">
        <v>8</v>
      </c>
      <c r="J437">
        <v>2004</v>
      </c>
      <c r="K437" t="s">
        <v>504</v>
      </c>
      <c r="L437">
        <v>116</v>
      </c>
      <c r="M437" t="s">
        <v>537</v>
      </c>
      <c r="N437" t="s">
        <v>254</v>
      </c>
      <c r="O437" t="s">
        <v>255</v>
      </c>
      <c r="P437" t="s">
        <v>256</v>
      </c>
      <c r="R437" t="s">
        <v>257</v>
      </c>
      <c r="T437">
        <v>10100</v>
      </c>
      <c r="U437" t="s">
        <v>258</v>
      </c>
      <c r="V437" t="s">
        <v>42</v>
      </c>
      <c r="W437" t="s">
        <v>259</v>
      </c>
      <c r="X437" t="s">
        <v>260</v>
      </c>
      <c r="Y437" t="s">
        <v>36</v>
      </c>
    </row>
    <row r="438" spans="1:25" x14ac:dyDescent="0.25">
      <c r="A438">
        <v>10291</v>
      </c>
      <c r="B438">
        <v>41</v>
      </c>
      <c r="C438">
        <v>100</v>
      </c>
      <c r="D438">
        <v>10</v>
      </c>
      <c r="E438">
        <v>4687.9399999999996</v>
      </c>
      <c r="F438" s="1">
        <v>38238</v>
      </c>
      <c r="G438" t="s">
        <v>25</v>
      </c>
      <c r="H438">
        <v>3</v>
      </c>
      <c r="I438">
        <v>9</v>
      </c>
      <c r="J438">
        <v>2004</v>
      </c>
      <c r="K438" t="s">
        <v>504</v>
      </c>
      <c r="L438">
        <v>116</v>
      </c>
      <c r="M438" t="s">
        <v>537</v>
      </c>
      <c r="N438" t="s">
        <v>261</v>
      </c>
      <c r="O438" t="s">
        <v>262</v>
      </c>
      <c r="P438" t="s">
        <v>263</v>
      </c>
      <c r="R438" t="s">
        <v>264</v>
      </c>
      <c r="T438" t="s">
        <v>265</v>
      </c>
      <c r="U438" t="s">
        <v>188</v>
      </c>
      <c r="V438" t="s">
        <v>42</v>
      </c>
      <c r="W438" t="s">
        <v>266</v>
      </c>
      <c r="X438" t="s">
        <v>206</v>
      </c>
      <c r="Y438" t="s">
        <v>51</v>
      </c>
    </row>
    <row r="439" spans="1:25" x14ac:dyDescent="0.25">
      <c r="A439">
        <v>10304</v>
      </c>
      <c r="B439">
        <v>46</v>
      </c>
      <c r="C439">
        <v>98</v>
      </c>
      <c r="D439">
        <v>5</v>
      </c>
      <c r="E439">
        <v>4508</v>
      </c>
      <c r="F439" s="1">
        <v>38271</v>
      </c>
      <c r="G439" t="s">
        <v>25</v>
      </c>
      <c r="H439">
        <v>4</v>
      </c>
      <c r="I439">
        <v>10</v>
      </c>
      <c r="J439">
        <v>2004</v>
      </c>
      <c r="K439" t="s">
        <v>504</v>
      </c>
      <c r="L439">
        <v>116</v>
      </c>
      <c r="M439" t="s">
        <v>537</v>
      </c>
      <c r="N439" t="s">
        <v>267</v>
      </c>
      <c r="O439" t="s">
        <v>268</v>
      </c>
      <c r="P439" t="s">
        <v>269</v>
      </c>
      <c r="R439" t="s">
        <v>270</v>
      </c>
      <c r="T439">
        <v>78000</v>
      </c>
      <c r="U439" t="s">
        <v>41</v>
      </c>
      <c r="V439" t="s">
        <v>42</v>
      </c>
      <c r="W439" t="s">
        <v>271</v>
      </c>
      <c r="X439" t="s">
        <v>50</v>
      </c>
      <c r="Y439" t="s">
        <v>51</v>
      </c>
    </row>
    <row r="440" spans="1:25" x14ac:dyDescent="0.25">
      <c r="A440">
        <v>10312</v>
      </c>
      <c r="B440">
        <v>32</v>
      </c>
      <c r="C440">
        <v>100</v>
      </c>
      <c r="D440">
        <v>2</v>
      </c>
      <c r="E440">
        <v>4181.4399999999996</v>
      </c>
      <c r="F440" s="1">
        <v>38281</v>
      </c>
      <c r="G440" t="s">
        <v>25</v>
      </c>
      <c r="H440">
        <v>4</v>
      </c>
      <c r="I440">
        <v>10</v>
      </c>
      <c r="J440">
        <v>2004</v>
      </c>
      <c r="K440" t="s">
        <v>504</v>
      </c>
      <c r="L440">
        <v>116</v>
      </c>
      <c r="M440" t="s">
        <v>537</v>
      </c>
      <c r="N440" t="s">
        <v>272</v>
      </c>
      <c r="O440">
        <v>4155551450</v>
      </c>
      <c r="P440" t="s">
        <v>273</v>
      </c>
      <c r="R440" t="s">
        <v>274</v>
      </c>
      <c r="S440" t="s">
        <v>55</v>
      </c>
      <c r="T440">
        <v>97562</v>
      </c>
      <c r="U440" t="s">
        <v>32</v>
      </c>
      <c r="V440" t="s">
        <v>33</v>
      </c>
      <c r="W440" t="s">
        <v>275</v>
      </c>
      <c r="X440" t="s">
        <v>276</v>
      </c>
      <c r="Y440" t="s">
        <v>51</v>
      </c>
    </row>
    <row r="441" spans="1:25" x14ac:dyDescent="0.25">
      <c r="A441">
        <v>10322</v>
      </c>
      <c r="B441">
        <v>22</v>
      </c>
      <c r="C441">
        <v>100</v>
      </c>
      <c r="D441">
        <v>10</v>
      </c>
      <c r="E441">
        <v>2251.04</v>
      </c>
      <c r="F441" s="1">
        <v>38295</v>
      </c>
      <c r="G441" t="s">
        <v>25</v>
      </c>
      <c r="H441">
        <v>4</v>
      </c>
      <c r="I441">
        <v>11</v>
      </c>
      <c r="J441">
        <v>2004</v>
      </c>
      <c r="K441" t="s">
        <v>504</v>
      </c>
      <c r="L441">
        <v>116</v>
      </c>
      <c r="M441" t="s">
        <v>537</v>
      </c>
      <c r="N441" t="s">
        <v>277</v>
      </c>
      <c r="O441">
        <v>6035558647</v>
      </c>
      <c r="P441" t="s">
        <v>278</v>
      </c>
      <c r="R441" t="s">
        <v>279</v>
      </c>
      <c r="S441" t="s">
        <v>280</v>
      </c>
      <c r="T441">
        <v>62005</v>
      </c>
      <c r="U441" t="s">
        <v>32</v>
      </c>
      <c r="V441" t="s">
        <v>33</v>
      </c>
      <c r="W441" t="s">
        <v>56</v>
      </c>
      <c r="X441" t="s">
        <v>276</v>
      </c>
      <c r="Y441" t="s">
        <v>36</v>
      </c>
    </row>
    <row r="442" spans="1:25" x14ac:dyDescent="0.25">
      <c r="A442">
        <v>10333</v>
      </c>
      <c r="B442">
        <v>29</v>
      </c>
      <c r="C442">
        <v>40.25</v>
      </c>
      <c r="D442">
        <v>7</v>
      </c>
      <c r="E442">
        <v>1167.25</v>
      </c>
      <c r="F442" s="1">
        <v>38309</v>
      </c>
      <c r="G442" t="s">
        <v>25</v>
      </c>
      <c r="H442">
        <v>4</v>
      </c>
      <c r="I442">
        <v>11</v>
      </c>
      <c r="J442">
        <v>2004</v>
      </c>
      <c r="K442" t="s">
        <v>504</v>
      </c>
      <c r="L442">
        <v>116</v>
      </c>
      <c r="M442" t="s">
        <v>537</v>
      </c>
      <c r="N442" t="s">
        <v>81</v>
      </c>
      <c r="O442">
        <v>6505555787</v>
      </c>
      <c r="P442" t="s">
        <v>82</v>
      </c>
      <c r="R442" t="s">
        <v>60</v>
      </c>
      <c r="S442" t="s">
        <v>55</v>
      </c>
      <c r="U442" t="s">
        <v>32</v>
      </c>
      <c r="V442" t="s">
        <v>33</v>
      </c>
      <c r="W442" t="s">
        <v>83</v>
      </c>
      <c r="X442" t="s">
        <v>57</v>
      </c>
      <c r="Y442" t="s">
        <v>36</v>
      </c>
    </row>
    <row r="443" spans="1:25" x14ac:dyDescent="0.25">
      <c r="A443">
        <v>10347</v>
      </c>
      <c r="B443">
        <v>42</v>
      </c>
      <c r="C443">
        <v>49.6</v>
      </c>
      <c r="D443">
        <v>5</v>
      </c>
      <c r="E443">
        <v>2083.1999999999998</v>
      </c>
      <c r="F443" s="1">
        <v>38320</v>
      </c>
      <c r="G443" t="s">
        <v>25</v>
      </c>
      <c r="H443">
        <v>4</v>
      </c>
      <c r="I443">
        <v>11</v>
      </c>
      <c r="J443">
        <v>2004</v>
      </c>
      <c r="K443" t="s">
        <v>504</v>
      </c>
      <c r="L443">
        <v>116</v>
      </c>
      <c r="M443" t="s">
        <v>537</v>
      </c>
      <c r="N443" t="s">
        <v>89</v>
      </c>
      <c r="O443" t="s">
        <v>90</v>
      </c>
      <c r="P443" t="s">
        <v>91</v>
      </c>
      <c r="Q443" t="s">
        <v>92</v>
      </c>
      <c r="R443" t="s">
        <v>93</v>
      </c>
      <c r="S443" t="s">
        <v>94</v>
      </c>
      <c r="T443">
        <v>3004</v>
      </c>
      <c r="U443" t="s">
        <v>95</v>
      </c>
      <c r="V443" t="s">
        <v>96</v>
      </c>
      <c r="W443" t="s">
        <v>97</v>
      </c>
      <c r="X443" t="s">
        <v>98</v>
      </c>
      <c r="Y443" t="s">
        <v>36</v>
      </c>
    </row>
    <row r="444" spans="1:25" x14ac:dyDescent="0.25">
      <c r="A444">
        <v>10357</v>
      </c>
      <c r="B444">
        <v>39</v>
      </c>
      <c r="C444">
        <v>98</v>
      </c>
      <c r="D444">
        <v>1</v>
      </c>
      <c r="E444">
        <v>3822</v>
      </c>
      <c r="F444" s="1">
        <v>38331</v>
      </c>
      <c r="G444" t="s">
        <v>25</v>
      </c>
      <c r="H444">
        <v>4</v>
      </c>
      <c r="I444">
        <v>12</v>
      </c>
      <c r="J444">
        <v>2004</v>
      </c>
      <c r="K444" t="s">
        <v>504</v>
      </c>
      <c r="L444">
        <v>116</v>
      </c>
      <c r="M444" t="s">
        <v>537</v>
      </c>
      <c r="N444" t="s">
        <v>272</v>
      </c>
      <c r="O444">
        <v>4155551450</v>
      </c>
      <c r="P444" t="s">
        <v>273</v>
      </c>
      <c r="R444" t="s">
        <v>274</v>
      </c>
      <c r="S444" t="s">
        <v>55</v>
      </c>
      <c r="T444">
        <v>97562</v>
      </c>
      <c r="U444" t="s">
        <v>32</v>
      </c>
      <c r="V444" t="s">
        <v>33</v>
      </c>
      <c r="W444" t="s">
        <v>275</v>
      </c>
      <c r="X444" t="s">
        <v>276</v>
      </c>
      <c r="Y444" t="s">
        <v>51</v>
      </c>
    </row>
    <row r="445" spans="1:25" x14ac:dyDescent="0.25">
      <c r="A445">
        <v>10370</v>
      </c>
      <c r="B445">
        <v>27</v>
      </c>
      <c r="C445">
        <v>100</v>
      </c>
      <c r="D445">
        <v>1</v>
      </c>
      <c r="E445">
        <v>3911.49</v>
      </c>
      <c r="F445" s="1">
        <v>38372</v>
      </c>
      <c r="G445" t="s">
        <v>25</v>
      </c>
      <c r="H445">
        <v>1</v>
      </c>
      <c r="I445">
        <v>1</v>
      </c>
      <c r="J445">
        <v>2005</v>
      </c>
      <c r="K445" t="s">
        <v>504</v>
      </c>
      <c r="L445">
        <v>116</v>
      </c>
      <c r="M445" t="s">
        <v>537</v>
      </c>
      <c r="N445" t="s">
        <v>285</v>
      </c>
      <c r="O445" t="s">
        <v>286</v>
      </c>
      <c r="P445" t="s">
        <v>287</v>
      </c>
      <c r="Q445" t="s">
        <v>288</v>
      </c>
      <c r="R445" t="s">
        <v>289</v>
      </c>
      <c r="S445" t="s">
        <v>157</v>
      </c>
      <c r="T445">
        <v>2060</v>
      </c>
      <c r="U445" t="s">
        <v>95</v>
      </c>
      <c r="V445" t="s">
        <v>96</v>
      </c>
      <c r="W445" t="s">
        <v>290</v>
      </c>
      <c r="X445" t="s">
        <v>291</v>
      </c>
      <c r="Y445" t="s">
        <v>51</v>
      </c>
    </row>
    <row r="446" spans="1:25" x14ac:dyDescent="0.25">
      <c r="A446">
        <v>10381</v>
      </c>
      <c r="B446">
        <v>48</v>
      </c>
      <c r="C446">
        <v>98</v>
      </c>
      <c r="D446">
        <v>2</v>
      </c>
      <c r="E446">
        <v>4704</v>
      </c>
      <c r="F446" s="1">
        <v>38400</v>
      </c>
      <c r="G446" t="s">
        <v>25</v>
      </c>
      <c r="H446">
        <v>1</v>
      </c>
      <c r="I446">
        <v>2</v>
      </c>
      <c r="J446">
        <v>2005</v>
      </c>
      <c r="K446" t="s">
        <v>504</v>
      </c>
      <c r="L446">
        <v>116</v>
      </c>
      <c r="M446" t="s">
        <v>537</v>
      </c>
      <c r="N446" t="s">
        <v>58</v>
      </c>
      <c r="O446">
        <v>6505551386</v>
      </c>
      <c r="P446" t="s">
        <v>59</v>
      </c>
      <c r="R446" t="s">
        <v>60</v>
      </c>
      <c r="S446" t="s">
        <v>55</v>
      </c>
      <c r="U446" t="s">
        <v>32</v>
      </c>
      <c r="V446" t="s">
        <v>33</v>
      </c>
      <c r="W446" t="s">
        <v>61</v>
      </c>
      <c r="X446" t="s">
        <v>57</v>
      </c>
      <c r="Y446" t="s">
        <v>51</v>
      </c>
    </row>
    <row r="447" spans="1:25" x14ac:dyDescent="0.25">
      <c r="A447">
        <v>10391</v>
      </c>
      <c r="B447">
        <v>29</v>
      </c>
      <c r="C447">
        <v>85.1</v>
      </c>
      <c r="D447">
        <v>10</v>
      </c>
      <c r="E447">
        <v>2467.9</v>
      </c>
      <c r="F447" s="1">
        <v>38420</v>
      </c>
      <c r="G447" t="s">
        <v>25</v>
      </c>
      <c r="H447">
        <v>1</v>
      </c>
      <c r="I447">
        <v>3</v>
      </c>
      <c r="J447">
        <v>2005</v>
      </c>
      <c r="K447" t="s">
        <v>504</v>
      </c>
      <c r="L447">
        <v>116</v>
      </c>
      <c r="M447" t="s">
        <v>537</v>
      </c>
      <c r="N447" t="s">
        <v>285</v>
      </c>
      <c r="O447" t="s">
        <v>286</v>
      </c>
      <c r="P447" t="s">
        <v>287</v>
      </c>
      <c r="Q447" t="s">
        <v>288</v>
      </c>
      <c r="R447" t="s">
        <v>289</v>
      </c>
      <c r="S447" t="s">
        <v>157</v>
      </c>
      <c r="T447">
        <v>2060</v>
      </c>
      <c r="U447" t="s">
        <v>95</v>
      </c>
      <c r="V447" t="s">
        <v>96</v>
      </c>
      <c r="W447" t="s">
        <v>290</v>
      </c>
      <c r="X447" t="s">
        <v>291</v>
      </c>
      <c r="Y447" t="s">
        <v>36</v>
      </c>
    </row>
    <row r="448" spans="1:25" x14ac:dyDescent="0.25">
      <c r="A448">
        <v>10411</v>
      </c>
      <c r="B448">
        <v>27</v>
      </c>
      <c r="C448">
        <v>100</v>
      </c>
      <c r="D448">
        <v>8</v>
      </c>
      <c r="E448">
        <v>3213</v>
      </c>
      <c r="F448" s="1">
        <v>38473</v>
      </c>
      <c r="G448" t="s">
        <v>25</v>
      </c>
      <c r="H448">
        <v>2</v>
      </c>
      <c r="I448">
        <v>5</v>
      </c>
      <c r="J448">
        <v>2005</v>
      </c>
      <c r="K448" t="s">
        <v>504</v>
      </c>
      <c r="L448">
        <v>116</v>
      </c>
      <c r="M448" t="s">
        <v>537</v>
      </c>
      <c r="N448" t="s">
        <v>292</v>
      </c>
      <c r="O448" t="s">
        <v>293</v>
      </c>
      <c r="P448" t="s">
        <v>294</v>
      </c>
      <c r="R448" t="s">
        <v>295</v>
      </c>
      <c r="S448" t="s">
        <v>296</v>
      </c>
      <c r="T448" t="s">
        <v>297</v>
      </c>
      <c r="U448" t="s">
        <v>231</v>
      </c>
      <c r="V448" t="s">
        <v>33</v>
      </c>
      <c r="W448" t="s">
        <v>298</v>
      </c>
      <c r="X448" t="s">
        <v>299</v>
      </c>
      <c r="Y448" t="s">
        <v>51</v>
      </c>
    </row>
    <row r="449" spans="1:25" x14ac:dyDescent="0.25">
      <c r="A449">
        <v>10424</v>
      </c>
      <c r="B449">
        <v>54</v>
      </c>
      <c r="C449">
        <v>100</v>
      </c>
      <c r="D449">
        <v>5</v>
      </c>
      <c r="E449">
        <v>7182</v>
      </c>
      <c r="F449" s="1">
        <v>38503</v>
      </c>
      <c r="G449" t="s">
        <v>300</v>
      </c>
      <c r="H449">
        <v>2</v>
      </c>
      <c r="I449">
        <v>5</v>
      </c>
      <c r="J449">
        <v>2005</v>
      </c>
      <c r="K449" t="s">
        <v>504</v>
      </c>
      <c r="L449">
        <v>116</v>
      </c>
      <c r="M449" t="s">
        <v>537</v>
      </c>
      <c r="N449" t="s">
        <v>174</v>
      </c>
      <c r="O449" t="s">
        <v>175</v>
      </c>
      <c r="P449" t="s">
        <v>176</v>
      </c>
      <c r="R449" t="s">
        <v>177</v>
      </c>
      <c r="T449">
        <v>28034</v>
      </c>
      <c r="U449" t="s">
        <v>178</v>
      </c>
      <c r="V449" t="s">
        <v>42</v>
      </c>
      <c r="W449" t="s">
        <v>179</v>
      </c>
      <c r="X449" t="s">
        <v>180</v>
      </c>
      <c r="Y449" t="s">
        <v>151</v>
      </c>
    </row>
    <row r="450" spans="1:25" x14ac:dyDescent="0.25">
      <c r="A450">
        <v>10109</v>
      </c>
      <c r="B450">
        <v>26</v>
      </c>
      <c r="C450">
        <v>100</v>
      </c>
      <c r="D450">
        <v>4</v>
      </c>
      <c r="E450">
        <v>4379.18</v>
      </c>
      <c r="F450" s="1">
        <v>37690</v>
      </c>
      <c r="G450" t="s">
        <v>25</v>
      </c>
      <c r="H450">
        <v>1</v>
      </c>
      <c r="I450">
        <v>3</v>
      </c>
      <c r="J450">
        <v>2003</v>
      </c>
      <c r="K450" t="s">
        <v>181</v>
      </c>
      <c r="L450">
        <v>141</v>
      </c>
      <c r="M450" t="s">
        <v>538</v>
      </c>
      <c r="N450" t="s">
        <v>309</v>
      </c>
      <c r="O450">
        <v>2155559857</v>
      </c>
      <c r="P450" t="s">
        <v>310</v>
      </c>
      <c r="R450" t="s">
        <v>216</v>
      </c>
      <c r="S450" t="s">
        <v>142</v>
      </c>
      <c r="T450">
        <v>71270</v>
      </c>
      <c r="U450" t="s">
        <v>32</v>
      </c>
      <c r="V450" t="s">
        <v>33</v>
      </c>
      <c r="W450" t="s">
        <v>124</v>
      </c>
      <c r="X450" t="s">
        <v>311</v>
      </c>
      <c r="Y450" t="s">
        <v>51</v>
      </c>
    </row>
    <row r="451" spans="1:25" x14ac:dyDescent="0.25">
      <c r="A451">
        <v>10122</v>
      </c>
      <c r="B451">
        <v>34</v>
      </c>
      <c r="C451">
        <v>100</v>
      </c>
      <c r="D451">
        <v>2</v>
      </c>
      <c r="E451">
        <v>5004.8</v>
      </c>
      <c r="F451" s="1">
        <v>37749</v>
      </c>
      <c r="G451" t="s">
        <v>25</v>
      </c>
      <c r="H451">
        <v>2</v>
      </c>
      <c r="I451">
        <v>5</v>
      </c>
      <c r="J451">
        <v>2003</v>
      </c>
      <c r="K451" t="s">
        <v>181</v>
      </c>
      <c r="L451">
        <v>141</v>
      </c>
      <c r="M451" t="s">
        <v>538</v>
      </c>
      <c r="N451" t="s">
        <v>433</v>
      </c>
      <c r="O451" t="s">
        <v>434</v>
      </c>
      <c r="P451" t="s">
        <v>435</v>
      </c>
      <c r="R451" t="s">
        <v>436</v>
      </c>
      <c r="T451">
        <v>13008</v>
      </c>
      <c r="U451" t="s">
        <v>41</v>
      </c>
      <c r="V451" t="s">
        <v>42</v>
      </c>
      <c r="W451" t="s">
        <v>437</v>
      </c>
      <c r="X451" t="s">
        <v>438</v>
      </c>
      <c r="Y451" t="s">
        <v>51</v>
      </c>
    </row>
    <row r="452" spans="1:25" x14ac:dyDescent="0.25">
      <c r="A452">
        <v>10136</v>
      </c>
      <c r="B452">
        <v>25</v>
      </c>
      <c r="C452">
        <v>100</v>
      </c>
      <c r="D452">
        <v>2</v>
      </c>
      <c r="E452">
        <v>3644.75</v>
      </c>
      <c r="F452" s="1">
        <v>37806</v>
      </c>
      <c r="G452" t="s">
        <v>25</v>
      </c>
      <c r="H452">
        <v>3</v>
      </c>
      <c r="I452">
        <v>7</v>
      </c>
      <c r="J452">
        <v>2003</v>
      </c>
      <c r="K452" t="s">
        <v>181</v>
      </c>
      <c r="L452">
        <v>141</v>
      </c>
      <c r="M452" t="s">
        <v>538</v>
      </c>
      <c r="N452" t="s">
        <v>340</v>
      </c>
      <c r="O452" t="s">
        <v>341</v>
      </c>
      <c r="P452" t="s">
        <v>342</v>
      </c>
      <c r="R452" t="s">
        <v>343</v>
      </c>
      <c r="T452">
        <v>31000</v>
      </c>
      <c r="U452" t="s">
        <v>41</v>
      </c>
      <c r="V452" t="s">
        <v>42</v>
      </c>
      <c r="W452" t="s">
        <v>344</v>
      </c>
      <c r="X452" t="s">
        <v>345</v>
      </c>
      <c r="Y452" t="s">
        <v>51</v>
      </c>
    </row>
    <row r="453" spans="1:25" x14ac:dyDescent="0.25">
      <c r="A453">
        <v>10148</v>
      </c>
      <c r="B453">
        <v>23</v>
      </c>
      <c r="C453">
        <v>100</v>
      </c>
      <c r="D453">
        <v>13</v>
      </c>
      <c r="E453">
        <v>2702.04</v>
      </c>
      <c r="F453" s="1">
        <v>37875</v>
      </c>
      <c r="G453" t="s">
        <v>25</v>
      </c>
      <c r="H453">
        <v>3</v>
      </c>
      <c r="I453">
        <v>9</v>
      </c>
      <c r="J453">
        <v>2003</v>
      </c>
      <c r="K453" t="s">
        <v>181</v>
      </c>
      <c r="L453">
        <v>141</v>
      </c>
      <c r="M453" t="s">
        <v>538</v>
      </c>
      <c r="N453" t="s">
        <v>285</v>
      </c>
      <c r="O453" t="s">
        <v>286</v>
      </c>
      <c r="P453" t="s">
        <v>287</v>
      </c>
      <c r="Q453" t="s">
        <v>288</v>
      </c>
      <c r="R453" t="s">
        <v>289</v>
      </c>
      <c r="S453" t="s">
        <v>157</v>
      </c>
      <c r="T453">
        <v>2060</v>
      </c>
      <c r="U453" t="s">
        <v>95</v>
      </c>
      <c r="V453" t="s">
        <v>96</v>
      </c>
      <c r="W453" t="s">
        <v>290</v>
      </c>
      <c r="X453" t="s">
        <v>291</v>
      </c>
      <c r="Y453" t="s">
        <v>36</v>
      </c>
    </row>
    <row r="454" spans="1:25" x14ac:dyDescent="0.25">
      <c r="A454">
        <v>10161</v>
      </c>
      <c r="B454">
        <v>28</v>
      </c>
      <c r="C454">
        <v>100</v>
      </c>
      <c r="D454">
        <v>12</v>
      </c>
      <c r="E454">
        <v>3764.88</v>
      </c>
      <c r="F454" s="1">
        <v>37911</v>
      </c>
      <c r="G454" t="s">
        <v>25</v>
      </c>
      <c r="H454">
        <v>4</v>
      </c>
      <c r="I454">
        <v>10</v>
      </c>
      <c r="J454">
        <v>2003</v>
      </c>
      <c r="K454" t="s">
        <v>181</v>
      </c>
      <c r="L454">
        <v>141</v>
      </c>
      <c r="M454" t="s">
        <v>538</v>
      </c>
      <c r="N454" t="s">
        <v>498</v>
      </c>
      <c r="O454" t="s">
        <v>499</v>
      </c>
      <c r="P454" t="s">
        <v>500</v>
      </c>
      <c r="R454" t="s">
        <v>501</v>
      </c>
      <c r="T454">
        <v>8200</v>
      </c>
      <c r="U454" t="s">
        <v>326</v>
      </c>
      <c r="V454" t="s">
        <v>42</v>
      </c>
      <c r="W454" t="s">
        <v>502</v>
      </c>
      <c r="X454" t="s">
        <v>503</v>
      </c>
      <c r="Y454" t="s">
        <v>51</v>
      </c>
    </row>
    <row r="455" spans="1:25" x14ac:dyDescent="0.25">
      <c r="A455">
        <v>10171</v>
      </c>
      <c r="B455">
        <v>35</v>
      </c>
      <c r="C455">
        <v>100</v>
      </c>
      <c r="D455">
        <v>2</v>
      </c>
      <c r="E455">
        <v>4508</v>
      </c>
      <c r="F455" s="1">
        <v>37930</v>
      </c>
      <c r="G455" t="s">
        <v>25</v>
      </c>
      <c r="H455">
        <v>4</v>
      </c>
      <c r="I455">
        <v>11</v>
      </c>
      <c r="J455">
        <v>2003</v>
      </c>
      <c r="K455" t="s">
        <v>181</v>
      </c>
      <c r="L455">
        <v>141</v>
      </c>
      <c r="M455" t="s">
        <v>538</v>
      </c>
      <c r="N455" t="s">
        <v>292</v>
      </c>
      <c r="O455" t="s">
        <v>293</v>
      </c>
      <c r="P455" t="s">
        <v>294</v>
      </c>
      <c r="R455" t="s">
        <v>295</v>
      </c>
      <c r="S455" t="s">
        <v>296</v>
      </c>
      <c r="T455" t="s">
        <v>297</v>
      </c>
      <c r="U455" t="s">
        <v>231</v>
      </c>
      <c r="V455" t="s">
        <v>33</v>
      </c>
      <c r="W455" t="s">
        <v>298</v>
      </c>
      <c r="X455" t="s">
        <v>299</v>
      </c>
      <c r="Y455" t="s">
        <v>51</v>
      </c>
    </row>
    <row r="456" spans="1:25" x14ac:dyDescent="0.25">
      <c r="A456">
        <v>10181</v>
      </c>
      <c r="B456">
        <v>44</v>
      </c>
      <c r="C456">
        <v>100</v>
      </c>
      <c r="D456">
        <v>6</v>
      </c>
      <c r="E456">
        <v>5418.16</v>
      </c>
      <c r="F456" s="1">
        <v>37937</v>
      </c>
      <c r="G456" t="s">
        <v>25</v>
      </c>
      <c r="H456">
        <v>4</v>
      </c>
      <c r="I456">
        <v>11</v>
      </c>
      <c r="J456">
        <v>2003</v>
      </c>
      <c r="K456" t="s">
        <v>181</v>
      </c>
      <c r="L456">
        <v>141</v>
      </c>
      <c r="M456" t="s">
        <v>538</v>
      </c>
      <c r="N456" t="s">
        <v>73</v>
      </c>
      <c r="O456" t="s">
        <v>74</v>
      </c>
      <c r="P456" t="s">
        <v>75</v>
      </c>
      <c r="R456" t="s">
        <v>76</v>
      </c>
      <c r="T456" t="s">
        <v>77</v>
      </c>
      <c r="U456" t="s">
        <v>78</v>
      </c>
      <c r="V456" t="s">
        <v>42</v>
      </c>
      <c r="W456" t="s">
        <v>79</v>
      </c>
      <c r="X456" t="s">
        <v>80</v>
      </c>
      <c r="Y456" t="s">
        <v>51</v>
      </c>
    </row>
    <row r="457" spans="1:25" x14ac:dyDescent="0.25">
      <c r="A457">
        <v>10192</v>
      </c>
      <c r="B457">
        <v>22</v>
      </c>
      <c r="C457">
        <v>100</v>
      </c>
      <c r="D457">
        <v>11</v>
      </c>
      <c r="E457">
        <v>3300.66</v>
      </c>
      <c r="F457" s="1">
        <v>37945</v>
      </c>
      <c r="G457" t="s">
        <v>25</v>
      </c>
      <c r="H457">
        <v>4</v>
      </c>
      <c r="I457">
        <v>11</v>
      </c>
      <c r="J457">
        <v>2003</v>
      </c>
      <c r="K457" t="s">
        <v>181</v>
      </c>
      <c r="L457">
        <v>141</v>
      </c>
      <c r="M457" t="s">
        <v>538</v>
      </c>
      <c r="N457" t="s">
        <v>277</v>
      </c>
      <c r="O457">
        <v>6035558647</v>
      </c>
      <c r="P457" t="s">
        <v>278</v>
      </c>
      <c r="R457" t="s">
        <v>279</v>
      </c>
      <c r="S457" t="s">
        <v>280</v>
      </c>
      <c r="T457">
        <v>62005</v>
      </c>
      <c r="U457" t="s">
        <v>32</v>
      </c>
      <c r="V457" t="s">
        <v>33</v>
      </c>
      <c r="W457" t="s">
        <v>56</v>
      </c>
      <c r="X457" t="s">
        <v>276</v>
      </c>
      <c r="Y457" t="s">
        <v>51</v>
      </c>
    </row>
    <row r="458" spans="1:25" x14ac:dyDescent="0.25">
      <c r="A458">
        <v>10204</v>
      </c>
      <c r="B458">
        <v>42</v>
      </c>
      <c r="C458">
        <v>100</v>
      </c>
      <c r="D458">
        <v>17</v>
      </c>
      <c r="E458">
        <v>6182.4</v>
      </c>
      <c r="F458" s="1">
        <v>37957</v>
      </c>
      <c r="G458" t="s">
        <v>25</v>
      </c>
      <c r="H458">
        <v>4</v>
      </c>
      <c r="I458">
        <v>12</v>
      </c>
      <c r="J458">
        <v>2003</v>
      </c>
      <c r="K458" t="s">
        <v>181</v>
      </c>
      <c r="L458">
        <v>141</v>
      </c>
      <c r="M458" t="s">
        <v>538</v>
      </c>
      <c r="N458" t="s">
        <v>475</v>
      </c>
      <c r="O458">
        <v>2125557413</v>
      </c>
      <c r="P458" t="s">
        <v>476</v>
      </c>
      <c r="Q458" t="s">
        <v>477</v>
      </c>
      <c r="R458" t="s">
        <v>30</v>
      </c>
      <c r="S458" t="s">
        <v>31</v>
      </c>
      <c r="T458">
        <v>10022</v>
      </c>
      <c r="U458" t="s">
        <v>32</v>
      </c>
      <c r="V458" t="s">
        <v>33</v>
      </c>
      <c r="W458" t="s">
        <v>56</v>
      </c>
      <c r="X458" t="s">
        <v>478</v>
      </c>
      <c r="Y458" t="s">
        <v>51</v>
      </c>
    </row>
    <row r="459" spans="1:25" x14ac:dyDescent="0.25">
      <c r="A459">
        <v>10212</v>
      </c>
      <c r="B459">
        <v>29</v>
      </c>
      <c r="C459">
        <v>100</v>
      </c>
      <c r="D459">
        <v>10</v>
      </c>
      <c r="E459">
        <v>4186.7299999999996</v>
      </c>
      <c r="F459" s="1">
        <v>38002</v>
      </c>
      <c r="G459" t="s">
        <v>25</v>
      </c>
      <c r="H459">
        <v>1</v>
      </c>
      <c r="I459">
        <v>1</v>
      </c>
      <c r="J459">
        <v>2004</v>
      </c>
      <c r="K459" t="s">
        <v>181</v>
      </c>
      <c r="L459">
        <v>141</v>
      </c>
      <c r="M459" t="s">
        <v>538</v>
      </c>
      <c r="N459" t="s">
        <v>174</v>
      </c>
      <c r="O459" t="s">
        <v>175</v>
      </c>
      <c r="P459" t="s">
        <v>176</v>
      </c>
      <c r="R459" t="s">
        <v>177</v>
      </c>
      <c r="T459">
        <v>28034</v>
      </c>
      <c r="U459" t="s">
        <v>178</v>
      </c>
      <c r="V459" t="s">
        <v>42</v>
      </c>
      <c r="W459" t="s">
        <v>179</v>
      </c>
      <c r="X459" t="s">
        <v>180</v>
      </c>
      <c r="Y459" t="s">
        <v>51</v>
      </c>
    </row>
    <row r="460" spans="1:25" x14ac:dyDescent="0.25">
      <c r="A460">
        <v>10225</v>
      </c>
      <c r="B460">
        <v>32</v>
      </c>
      <c r="C460">
        <v>100</v>
      </c>
      <c r="D460">
        <v>1</v>
      </c>
      <c r="E460">
        <v>4529.28</v>
      </c>
      <c r="F460" s="1">
        <v>38039</v>
      </c>
      <c r="G460" t="s">
        <v>25</v>
      </c>
      <c r="H460">
        <v>1</v>
      </c>
      <c r="I460">
        <v>2</v>
      </c>
      <c r="J460">
        <v>2004</v>
      </c>
      <c r="K460" t="s">
        <v>181</v>
      </c>
      <c r="L460">
        <v>141</v>
      </c>
      <c r="M460" t="s">
        <v>538</v>
      </c>
      <c r="N460" t="s">
        <v>446</v>
      </c>
      <c r="O460" t="s">
        <v>447</v>
      </c>
      <c r="P460" t="s">
        <v>448</v>
      </c>
      <c r="R460" t="s">
        <v>449</v>
      </c>
      <c r="T460">
        <v>1203</v>
      </c>
      <c r="U460" t="s">
        <v>450</v>
      </c>
      <c r="V460" t="s">
        <v>42</v>
      </c>
      <c r="W460" t="s">
        <v>451</v>
      </c>
      <c r="X460" t="s">
        <v>103</v>
      </c>
      <c r="Y460" t="s">
        <v>51</v>
      </c>
    </row>
    <row r="461" spans="1:25" x14ac:dyDescent="0.25">
      <c r="A461">
        <v>10240</v>
      </c>
      <c r="B461">
        <v>41</v>
      </c>
      <c r="C461">
        <v>100</v>
      </c>
      <c r="D461">
        <v>3</v>
      </c>
      <c r="E461">
        <v>5628.89</v>
      </c>
      <c r="F461" s="1">
        <v>38090</v>
      </c>
      <c r="G461" t="s">
        <v>25</v>
      </c>
      <c r="H461">
        <v>2</v>
      </c>
      <c r="I461">
        <v>4</v>
      </c>
      <c r="J461">
        <v>2004</v>
      </c>
      <c r="K461" t="s">
        <v>181</v>
      </c>
      <c r="L461">
        <v>141</v>
      </c>
      <c r="M461" t="s">
        <v>538</v>
      </c>
      <c r="N461" t="s">
        <v>302</v>
      </c>
      <c r="O461" t="s">
        <v>303</v>
      </c>
      <c r="P461" t="s">
        <v>304</v>
      </c>
      <c r="R461" t="s">
        <v>305</v>
      </c>
      <c r="S461" t="s">
        <v>305</v>
      </c>
      <c r="T461" t="s">
        <v>306</v>
      </c>
      <c r="U461" t="s">
        <v>200</v>
      </c>
      <c r="V461" t="s">
        <v>200</v>
      </c>
      <c r="W461" t="s">
        <v>307</v>
      </c>
      <c r="X461" t="s">
        <v>308</v>
      </c>
      <c r="Y461" t="s">
        <v>51</v>
      </c>
    </row>
    <row r="462" spans="1:25" x14ac:dyDescent="0.25">
      <c r="A462">
        <v>10253</v>
      </c>
      <c r="B462">
        <v>26</v>
      </c>
      <c r="C462">
        <v>100</v>
      </c>
      <c r="D462">
        <v>5</v>
      </c>
      <c r="E462">
        <v>3054.48</v>
      </c>
      <c r="F462" s="1">
        <v>38139</v>
      </c>
      <c r="G462" t="s">
        <v>339</v>
      </c>
      <c r="H462">
        <v>2</v>
      </c>
      <c r="I462">
        <v>6</v>
      </c>
      <c r="J462">
        <v>2004</v>
      </c>
      <c r="K462" t="s">
        <v>181</v>
      </c>
      <c r="L462">
        <v>141</v>
      </c>
      <c r="M462" t="s">
        <v>538</v>
      </c>
      <c r="N462" t="s">
        <v>165</v>
      </c>
      <c r="O462" t="s">
        <v>166</v>
      </c>
      <c r="P462" t="s">
        <v>167</v>
      </c>
      <c r="R462" t="s">
        <v>168</v>
      </c>
      <c r="T462" t="s">
        <v>169</v>
      </c>
      <c r="U462" t="s">
        <v>170</v>
      </c>
      <c r="V462" t="s">
        <v>42</v>
      </c>
      <c r="W462" t="s">
        <v>171</v>
      </c>
      <c r="X462" t="s">
        <v>172</v>
      </c>
      <c r="Y462" t="s">
        <v>51</v>
      </c>
    </row>
    <row r="463" spans="1:25" x14ac:dyDescent="0.25">
      <c r="A463">
        <v>10266</v>
      </c>
      <c r="B463">
        <v>21</v>
      </c>
      <c r="C463">
        <v>100</v>
      </c>
      <c r="D463">
        <v>6</v>
      </c>
      <c r="E463">
        <v>2526.5100000000002</v>
      </c>
      <c r="F463" s="1">
        <v>38174</v>
      </c>
      <c r="G463" t="s">
        <v>25</v>
      </c>
      <c r="H463">
        <v>3</v>
      </c>
      <c r="I463">
        <v>7</v>
      </c>
      <c r="J463">
        <v>2004</v>
      </c>
      <c r="K463" t="s">
        <v>181</v>
      </c>
      <c r="L463">
        <v>141</v>
      </c>
      <c r="M463" t="s">
        <v>538</v>
      </c>
      <c r="N463" t="s">
        <v>452</v>
      </c>
      <c r="O463" t="s">
        <v>453</v>
      </c>
      <c r="P463" t="s">
        <v>454</v>
      </c>
      <c r="R463" t="s">
        <v>455</v>
      </c>
      <c r="T463">
        <v>42100</v>
      </c>
      <c r="U463" t="s">
        <v>258</v>
      </c>
      <c r="V463" t="s">
        <v>42</v>
      </c>
      <c r="W463" t="s">
        <v>456</v>
      </c>
      <c r="X463" t="s">
        <v>457</v>
      </c>
      <c r="Y463" t="s">
        <v>36</v>
      </c>
    </row>
    <row r="464" spans="1:25" x14ac:dyDescent="0.25">
      <c r="A464">
        <v>10278</v>
      </c>
      <c r="B464">
        <v>34</v>
      </c>
      <c r="C464">
        <v>100</v>
      </c>
      <c r="D464">
        <v>6</v>
      </c>
      <c r="E464">
        <v>4667.8599999999997</v>
      </c>
      <c r="F464" s="1">
        <v>38205</v>
      </c>
      <c r="G464" t="s">
        <v>25</v>
      </c>
      <c r="H464">
        <v>3</v>
      </c>
      <c r="I464">
        <v>8</v>
      </c>
      <c r="J464">
        <v>2004</v>
      </c>
      <c r="K464" t="s">
        <v>181</v>
      </c>
      <c r="L464">
        <v>141</v>
      </c>
      <c r="M464" t="s">
        <v>538</v>
      </c>
      <c r="N464" t="s">
        <v>539</v>
      </c>
      <c r="O464">
        <v>7025551838</v>
      </c>
      <c r="P464" t="s">
        <v>540</v>
      </c>
      <c r="R464" t="s">
        <v>541</v>
      </c>
      <c r="S464" t="s">
        <v>542</v>
      </c>
      <c r="T464">
        <v>83030</v>
      </c>
      <c r="U464" t="s">
        <v>32</v>
      </c>
      <c r="V464" t="s">
        <v>33</v>
      </c>
      <c r="W464" t="s">
        <v>113</v>
      </c>
      <c r="X464" t="s">
        <v>400</v>
      </c>
      <c r="Y464" t="s">
        <v>51</v>
      </c>
    </row>
    <row r="465" spans="1:25" x14ac:dyDescent="0.25">
      <c r="A465">
        <v>10287</v>
      </c>
      <c r="B465">
        <v>41</v>
      </c>
      <c r="C465">
        <v>100</v>
      </c>
      <c r="D465">
        <v>4</v>
      </c>
      <c r="E465">
        <v>6499.32</v>
      </c>
      <c r="F465" s="1">
        <v>38229</v>
      </c>
      <c r="G465" t="s">
        <v>25</v>
      </c>
      <c r="H465">
        <v>3</v>
      </c>
      <c r="I465">
        <v>8</v>
      </c>
      <c r="J465">
        <v>2004</v>
      </c>
      <c r="K465" t="s">
        <v>181</v>
      </c>
      <c r="L465">
        <v>141</v>
      </c>
      <c r="M465" t="s">
        <v>538</v>
      </c>
      <c r="N465" t="s">
        <v>446</v>
      </c>
      <c r="O465" t="s">
        <v>447</v>
      </c>
      <c r="P465" t="s">
        <v>448</v>
      </c>
      <c r="R465" t="s">
        <v>449</v>
      </c>
      <c r="T465">
        <v>1203</v>
      </c>
      <c r="U465" t="s">
        <v>450</v>
      </c>
      <c r="V465" t="s">
        <v>42</v>
      </c>
      <c r="W465" t="s">
        <v>451</v>
      </c>
      <c r="X465" t="s">
        <v>103</v>
      </c>
      <c r="Y465" t="s">
        <v>51</v>
      </c>
    </row>
    <row r="466" spans="1:25" x14ac:dyDescent="0.25">
      <c r="A466">
        <v>10301</v>
      </c>
      <c r="B466">
        <v>37</v>
      </c>
      <c r="C466">
        <v>100</v>
      </c>
      <c r="D466">
        <v>8</v>
      </c>
      <c r="E466">
        <v>5917.78</v>
      </c>
      <c r="F466" s="1">
        <v>37899</v>
      </c>
      <c r="G466" t="s">
        <v>25</v>
      </c>
      <c r="H466">
        <v>4</v>
      </c>
      <c r="I466">
        <v>10</v>
      </c>
      <c r="J466">
        <v>2003</v>
      </c>
      <c r="K466" t="s">
        <v>181</v>
      </c>
      <c r="L466">
        <v>141</v>
      </c>
      <c r="M466" t="s">
        <v>538</v>
      </c>
      <c r="N466" t="s">
        <v>543</v>
      </c>
      <c r="O466" t="s">
        <v>544</v>
      </c>
      <c r="P466" t="s">
        <v>545</v>
      </c>
      <c r="R466" t="s">
        <v>546</v>
      </c>
      <c r="T466" t="s">
        <v>547</v>
      </c>
      <c r="U466" t="s">
        <v>78</v>
      </c>
      <c r="V466" t="s">
        <v>42</v>
      </c>
      <c r="W466" t="s">
        <v>548</v>
      </c>
      <c r="X466" t="s">
        <v>549</v>
      </c>
      <c r="Y466" t="s">
        <v>51</v>
      </c>
    </row>
    <row r="467" spans="1:25" x14ac:dyDescent="0.25">
      <c r="A467">
        <v>10310</v>
      </c>
      <c r="B467">
        <v>37</v>
      </c>
      <c r="C467">
        <v>100</v>
      </c>
      <c r="D467">
        <v>2</v>
      </c>
      <c r="E467">
        <v>6231.91</v>
      </c>
      <c r="F467" s="1">
        <v>38276</v>
      </c>
      <c r="G467" t="s">
        <v>25</v>
      </c>
      <c r="H467">
        <v>4</v>
      </c>
      <c r="I467">
        <v>10</v>
      </c>
      <c r="J467">
        <v>2004</v>
      </c>
      <c r="K467" t="s">
        <v>181</v>
      </c>
      <c r="L467">
        <v>141</v>
      </c>
      <c r="M467" t="s">
        <v>538</v>
      </c>
      <c r="N467" t="s">
        <v>439</v>
      </c>
      <c r="O467" t="s">
        <v>440</v>
      </c>
      <c r="P467" t="s">
        <v>441</v>
      </c>
      <c r="R467" t="s">
        <v>442</v>
      </c>
      <c r="T467">
        <v>50739</v>
      </c>
      <c r="U467" t="s">
        <v>443</v>
      </c>
      <c r="V467" t="s">
        <v>42</v>
      </c>
      <c r="W467" t="s">
        <v>444</v>
      </c>
      <c r="X467" t="s">
        <v>445</v>
      </c>
      <c r="Y467" t="s">
        <v>51</v>
      </c>
    </row>
    <row r="468" spans="1:25" x14ac:dyDescent="0.25">
      <c r="A468">
        <v>10321</v>
      </c>
      <c r="B468">
        <v>41</v>
      </c>
      <c r="C468">
        <v>100</v>
      </c>
      <c r="D468">
        <v>10</v>
      </c>
      <c r="E468">
        <v>5803.14</v>
      </c>
      <c r="F468" s="1">
        <v>38295</v>
      </c>
      <c r="G468" t="s">
        <v>25</v>
      </c>
      <c r="H468">
        <v>4</v>
      </c>
      <c r="I468">
        <v>11</v>
      </c>
      <c r="J468">
        <v>2004</v>
      </c>
      <c r="K468" t="s">
        <v>181</v>
      </c>
      <c r="L468">
        <v>141</v>
      </c>
      <c r="M468" t="s">
        <v>538</v>
      </c>
      <c r="N468" t="s">
        <v>160</v>
      </c>
      <c r="O468">
        <v>5085552555</v>
      </c>
      <c r="P468" t="s">
        <v>161</v>
      </c>
      <c r="R468" t="s">
        <v>162</v>
      </c>
      <c r="S468" t="s">
        <v>123</v>
      </c>
      <c r="T468">
        <v>50553</v>
      </c>
      <c r="U468" t="s">
        <v>32</v>
      </c>
      <c r="V468" t="s">
        <v>33</v>
      </c>
      <c r="W468" t="s">
        <v>163</v>
      </c>
      <c r="X468" t="s">
        <v>164</v>
      </c>
      <c r="Y468" t="s">
        <v>51</v>
      </c>
    </row>
    <row r="469" spans="1:25" x14ac:dyDescent="0.25">
      <c r="A469">
        <v>10331</v>
      </c>
      <c r="B469">
        <v>46</v>
      </c>
      <c r="C469">
        <v>100</v>
      </c>
      <c r="D469">
        <v>6</v>
      </c>
      <c r="E469">
        <v>6434.02</v>
      </c>
      <c r="F469" s="1">
        <v>38308</v>
      </c>
      <c r="G469" t="s">
        <v>25</v>
      </c>
      <c r="H469">
        <v>4</v>
      </c>
      <c r="I469">
        <v>11</v>
      </c>
      <c r="J469">
        <v>2004</v>
      </c>
      <c r="K469" t="s">
        <v>181</v>
      </c>
      <c r="L469">
        <v>141</v>
      </c>
      <c r="M469" t="s">
        <v>538</v>
      </c>
      <c r="N469" t="s">
        <v>309</v>
      </c>
      <c r="O469">
        <v>2155559857</v>
      </c>
      <c r="P469" t="s">
        <v>310</v>
      </c>
      <c r="R469" t="s">
        <v>216</v>
      </c>
      <c r="S469" t="s">
        <v>142</v>
      </c>
      <c r="T469">
        <v>71270</v>
      </c>
      <c r="U469" t="s">
        <v>32</v>
      </c>
      <c r="V469" t="s">
        <v>33</v>
      </c>
      <c r="W469" t="s">
        <v>124</v>
      </c>
      <c r="X469" t="s">
        <v>311</v>
      </c>
      <c r="Y469" t="s">
        <v>51</v>
      </c>
    </row>
    <row r="470" spans="1:25" x14ac:dyDescent="0.25">
      <c r="A470">
        <v>10342</v>
      </c>
      <c r="B470">
        <v>40</v>
      </c>
      <c r="C470">
        <v>100</v>
      </c>
      <c r="D470">
        <v>2</v>
      </c>
      <c r="E470">
        <v>6454.4</v>
      </c>
      <c r="F470" s="1">
        <v>38315</v>
      </c>
      <c r="G470" t="s">
        <v>25</v>
      </c>
      <c r="H470">
        <v>4</v>
      </c>
      <c r="I470">
        <v>11</v>
      </c>
      <c r="J470">
        <v>2004</v>
      </c>
      <c r="K470" t="s">
        <v>181</v>
      </c>
      <c r="L470">
        <v>141</v>
      </c>
      <c r="M470" t="s">
        <v>538</v>
      </c>
      <c r="N470" t="s">
        <v>89</v>
      </c>
      <c r="O470" t="s">
        <v>90</v>
      </c>
      <c r="P470" t="s">
        <v>91</v>
      </c>
      <c r="Q470" t="s">
        <v>92</v>
      </c>
      <c r="R470" t="s">
        <v>93</v>
      </c>
      <c r="S470" t="s">
        <v>94</v>
      </c>
      <c r="T470">
        <v>3004</v>
      </c>
      <c r="U470" t="s">
        <v>95</v>
      </c>
      <c r="V470" t="s">
        <v>96</v>
      </c>
      <c r="W470" t="s">
        <v>97</v>
      </c>
      <c r="X470" t="s">
        <v>98</v>
      </c>
      <c r="Y470" t="s">
        <v>51</v>
      </c>
    </row>
    <row r="471" spans="1:25" x14ac:dyDescent="0.25">
      <c r="A471">
        <v>10356</v>
      </c>
      <c r="B471">
        <v>43</v>
      </c>
      <c r="C471">
        <v>97.6</v>
      </c>
      <c r="D471">
        <v>8</v>
      </c>
      <c r="E471">
        <v>4196.8</v>
      </c>
      <c r="F471" s="1">
        <v>38330</v>
      </c>
      <c r="G471" t="s">
        <v>25</v>
      </c>
      <c r="H471">
        <v>4</v>
      </c>
      <c r="I471">
        <v>12</v>
      </c>
      <c r="J471">
        <v>2004</v>
      </c>
      <c r="K471" t="s">
        <v>181</v>
      </c>
      <c r="L471">
        <v>141</v>
      </c>
      <c r="M471" t="s">
        <v>538</v>
      </c>
      <c r="N471" t="s">
        <v>45</v>
      </c>
      <c r="O471" t="s">
        <v>46</v>
      </c>
      <c r="P471" t="s">
        <v>47</v>
      </c>
      <c r="R471" t="s">
        <v>48</v>
      </c>
      <c r="T471">
        <v>75508</v>
      </c>
      <c r="U471" t="s">
        <v>41</v>
      </c>
      <c r="V471" t="s">
        <v>42</v>
      </c>
      <c r="W471" t="s">
        <v>49</v>
      </c>
      <c r="X471" t="s">
        <v>50</v>
      </c>
      <c r="Y471" t="s">
        <v>51</v>
      </c>
    </row>
    <row r="472" spans="1:25" x14ac:dyDescent="0.25">
      <c r="A472">
        <v>10365</v>
      </c>
      <c r="B472">
        <v>30</v>
      </c>
      <c r="C472">
        <v>87.06</v>
      </c>
      <c r="D472">
        <v>1</v>
      </c>
      <c r="E472">
        <v>2611.8000000000002</v>
      </c>
      <c r="F472" s="1">
        <v>38359</v>
      </c>
      <c r="G472" t="s">
        <v>25</v>
      </c>
      <c r="H472">
        <v>1</v>
      </c>
      <c r="I472">
        <v>1</v>
      </c>
      <c r="J472">
        <v>2005</v>
      </c>
      <c r="K472" t="s">
        <v>181</v>
      </c>
      <c r="L472">
        <v>141</v>
      </c>
      <c r="M472" t="s">
        <v>538</v>
      </c>
      <c r="N472" t="s">
        <v>335</v>
      </c>
      <c r="O472">
        <v>5085559555</v>
      </c>
      <c r="P472" t="s">
        <v>336</v>
      </c>
      <c r="R472" t="s">
        <v>162</v>
      </c>
      <c r="S472" t="s">
        <v>123</v>
      </c>
      <c r="T472">
        <v>50553</v>
      </c>
      <c r="U472" t="s">
        <v>32</v>
      </c>
      <c r="V472" t="s">
        <v>33</v>
      </c>
      <c r="W472" t="s">
        <v>337</v>
      </c>
      <c r="X472" t="s">
        <v>338</v>
      </c>
      <c r="Y472" t="s">
        <v>36</v>
      </c>
    </row>
    <row r="473" spans="1:25" x14ac:dyDescent="0.25">
      <c r="A473">
        <v>10377</v>
      </c>
      <c r="B473">
        <v>35</v>
      </c>
      <c r="C473">
        <v>100</v>
      </c>
      <c r="D473">
        <v>2</v>
      </c>
      <c r="E473">
        <v>5895.05</v>
      </c>
      <c r="F473" s="1">
        <v>38392</v>
      </c>
      <c r="G473" t="s">
        <v>25</v>
      </c>
      <c r="H473">
        <v>1</v>
      </c>
      <c r="I473">
        <v>2</v>
      </c>
      <c r="J473">
        <v>2005</v>
      </c>
      <c r="K473" t="s">
        <v>181</v>
      </c>
      <c r="L473">
        <v>141</v>
      </c>
      <c r="M473" t="s">
        <v>538</v>
      </c>
      <c r="N473" t="s">
        <v>126</v>
      </c>
      <c r="O473" t="s">
        <v>127</v>
      </c>
      <c r="P473" t="s">
        <v>128</v>
      </c>
      <c r="R473" t="s">
        <v>129</v>
      </c>
      <c r="T473">
        <v>21240</v>
      </c>
      <c r="U473" t="s">
        <v>130</v>
      </c>
      <c r="V473" t="s">
        <v>42</v>
      </c>
      <c r="W473" t="s">
        <v>131</v>
      </c>
      <c r="X473" t="s">
        <v>132</v>
      </c>
      <c r="Y473" t="s">
        <v>51</v>
      </c>
    </row>
    <row r="474" spans="1:25" x14ac:dyDescent="0.25">
      <c r="A474">
        <v>10390</v>
      </c>
      <c r="B474">
        <v>36</v>
      </c>
      <c r="C474">
        <v>93.77</v>
      </c>
      <c r="D474">
        <v>14</v>
      </c>
      <c r="E474">
        <v>3375.72</v>
      </c>
      <c r="F474" s="1">
        <v>38415</v>
      </c>
      <c r="G474" t="s">
        <v>25</v>
      </c>
      <c r="H474">
        <v>1</v>
      </c>
      <c r="I474">
        <v>3</v>
      </c>
      <c r="J474">
        <v>2005</v>
      </c>
      <c r="K474" t="s">
        <v>181</v>
      </c>
      <c r="L474">
        <v>141</v>
      </c>
      <c r="M474" t="s">
        <v>538</v>
      </c>
      <c r="N474" t="s">
        <v>272</v>
      </c>
      <c r="O474">
        <v>4155551450</v>
      </c>
      <c r="P474" t="s">
        <v>273</v>
      </c>
      <c r="R474" t="s">
        <v>274</v>
      </c>
      <c r="S474" t="s">
        <v>55</v>
      </c>
      <c r="T474">
        <v>97562</v>
      </c>
      <c r="U474" t="s">
        <v>32</v>
      </c>
      <c r="V474" t="s">
        <v>33</v>
      </c>
      <c r="W474" t="s">
        <v>275</v>
      </c>
      <c r="X474" t="s">
        <v>276</v>
      </c>
      <c r="Y474" t="s">
        <v>51</v>
      </c>
    </row>
    <row r="475" spans="1:25" x14ac:dyDescent="0.25">
      <c r="A475">
        <v>10406</v>
      </c>
      <c r="B475">
        <v>61</v>
      </c>
      <c r="C475">
        <v>100</v>
      </c>
      <c r="D475">
        <v>3</v>
      </c>
      <c r="E475">
        <v>8374.69</v>
      </c>
      <c r="F475" s="1">
        <v>38457</v>
      </c>
      <c r="G475" t="s">
        <v>173</v>
      </c>
      <c r="H475">
        <v>2</v>
      </c>
      <c r="I475">
        <v>4</v>
      </c>
      <c r="J475">
        <v>2005</v>
      </c>
      <c r="K475" t="s">
        <v>181</v>
      </c>
      <c r="L475">
        <v>141</v>
      </c>
      <c r="M475" t="s">
        <v>538</v>
      </c>
      <c r="N475" t="s">
        <v>322</v>
      </c>
      <c r="O475" t="s">
        <v>323</v>
      </c>
      <c r="P475" t="s">
        <v>324</v>
      </c>
      <c r="R475" t="s">
        <v>325</v>
      </c>
      <c r="T475">
        <v>1734</v>
      </c>
      <c r="U475" t="s">
        <v>326</v>
      </c>
      <c r="V475" t="s">
        <v>42</v>
      </c>
      <c r="W475" t="s">
        <v>327</v>
      </c>
      <c r="X475" t="s">
        <v>328</v>
      </c>
      <c r="Y475" t="s">
        <v>151</v>
      </c>
    </row>
    <row r="476" spans="1:25" x14ac:dyDescent="0.25">
      <c r="A476">
        <v>10419</v>
      </c>
      <c r="B476">
        <v>38</v>
      </c>
      <c r="C476">
        <v>100</v>
      </c>
      <c r="D476">
        <v>5</v>
      </c>
      <c r="E476">
        <v>4464.24</v>
      </c>
      <c r="F476" s="1">
        <v>38489</v>
      </c>
      <c r="G476" t="s">
        <v>25</v>
      </c>
      <c r="H476">
        <v>2</v>
      </c>
      <c r="I476">
        <v>5</v>
      </c>
      <c r="J476">
        <v>2005</v>
      </c>
      <c r="K476" t="s">
        <v>181</v>
      </c>
      <c r="L476">
        <v>141</v>
      </c>
      <c r="M476" t="s">
        <v>538</v>
      </c>
      <c r="N476" t="s">
        <v>144</v>
      </c>
      <c r="O476" t="s">
        <v>145</v>
      </c>
      <c r="P476" t="s">
        <v>146</v>
      </c>
      <c r="R476" t="s">
        <v>147</v>
      </c>
      <c r="T476">
        <v>5020</v>
      </c>
      <c r="U476" t="s">
        <v>148</v>
      </c>
      <c r="V476" t="s">
        <v>42</v>
      </c>
      <c r="W476" t="s">
        <v>149</v>
      </c>
      <c r="X476" t="s">
        <v>150</v>
      </c>
      <c r="Y476" t="s">
        <v>51</v>
      </c>
    </row>
    <row r="477" spans="1:25" x14ac:dyDescent="0.25">
      <c r="A477">
        <v>10102</v>
      </c>
      <c r="B477">
        <v>39</v>
      </c>
      <c r="C477">
        <v>100</v>
      </c>
      <c r="D477">
        <v>2</v>
      </c>
      <c r="E477">
        <v>4808.3100000000004</v>
      </c>
      <c r="F477" s="1">
        <v>37631</v>
      </c>
      <c r="G477" t="s">
        <v>25</v>
      </c>
      <c r="H477">
        <v>1</v>
      </c>
      <c r="I477">
        <v>1</v>
      </c>
      <c r="J477">
        <v>2003</v>
      </c>
      <c r="K477" t="s">
        <v>550</v>
      </c>
      <c r="L477">
        <v>102</v>
      </c>
      <c r="M477" t="s">
        <v>551</v>
      </c>
      <c r="N477" t="s">
        <v>99</v>
      </c>
      <c r="O477">
        <v>2125551500</v>
      </c>
      <c r="P477" t="s">
        <v>100</v>
      </c>
      <c r="Q477" t="s">
        <v>101</v>
      </c>
      <c r="R477" t="s">
        <v>30</v>
      </c>
      <c r="S477" t="s">
        <v>31</v>
      </c>
      <c r="T477">
        <v>10022</v>
      </c>
      <c r="U477" t="s">
        <v>32</v>
      </c>
      <c r="V477" t="s">
        <v>33</v>
      </c>
      <c r="W477" t="s">
        <v>102</v>
      </c>
      <c r="X477" t="s">
        <v>103</v>
      </c>
      <c r="Y477" t="s">
        <v>51</v>
      </c>
    </row>
    <row r="478" spans="1:25" x14ac:dyDescent="0.25">
      <c r="A478">
        <v>10111</v>
      </c>
      <c r="B478">
        <v>33</v>
      </c>
      <c r="C478">
        <v>99.66</v>
      </c>
      <c r="D478">
        <v>6</v>
      </c>
      <c r="E478">
        <v>3288.78</v>
      </c>
      <c r="F478" s="1">
        <v>37705</v>
      </c>
      <c r="G478" t="s">
        <v>25</v>
      </c>
      <c r="H478">
        <v>1</v>
      </c>
      <c r="I478">
        <v>3</v>
      </c>
      <c r="J478">
        <v>2003</v>
      </c>
      <c r="K478" t="s">
        <v>550</v>
      </c>
      <c r="L478">
        <v>102</v>
      </c>
      <c r="M478" t="s">
        <v>551</v>
      </c>
      <c r="N478" t="s">
        <v>81</v>
      </c>
      <c r="O478">
        <v>6505555787</v>
      </c>
      <c r="P478" t="s">
        <v>82</v>
      </c>
      <c r="R478" t="s">
        <v>60</v>
      </c>
      <c r="S478" t="s">
        <v>55</v>
      </c>
      <c r="U478" t="s">
        <v>32</v>
      </c>
      <c r="V478" t="s">
        <v>33</v>
      </c>
      <c r="W478" t="s">
        <v>83</v>
      </c>
      <c r="X478" t="s">
        <v>57</v>
      </c>
      <c r="Y478" t="s">
        <v>51</v>
      </c>
    </row>
    <row r="479" spans="1:25" x14ac:dyDescent="0.25">
      <c r="A479">
        <v>10125</v>
      </c>
      <c r="B479">
        <v>32</v>
      </c>
      <c r="C479">
        <v>100</v>
      </c>
      <c r="D479">
        <v>1</v>
      </c>
      <c r="E479">
        <v>3254.72</v>
      </c>
      <c r="F479" s="1">
        <v>37762</v>
      </c>
      <c r="G479" t="s">
        <v>25</v>
      </c>
      <c r="H479">
        <v>2</v>
      </c>
      <c r="I479">
        <v>5</v>
      </c>
      <c r="J479">
        <v>2003</v>
      </c>
      <c r="K479" t="s">
        <v>550</v>
      </c>
      <c r="L479">
        <v>102</v>
      </c>
      <c r="M479" t="s">
        <v>551</v>
      </c>
      <c r="N479" t="s">
        <v>89</v>
      </c>
      <c r="O479" t="s">
        <v>90</v>
      </c>
      <c r="P479" t="s">
        <v>91</v>
      </c>
      <c r="Q479" t="s">
        <v>92</v>
      </c>
      <c r="R479" t="s">
        <v>93</v>
      </c>
      <c r="S479" t="s">
        <v>94</v>
      </c>
      <c r="T479">
        <v>3004</v>
      </c>
      <c r="U479" t="s">
        <v>95</v>
      </c>
      <c r="V479" t="s">
        <v>96</v>
      </c>
      <c r="W479" t="s">
        <v>97</v>
      </c>
      <c r="X479" t="s">
        <v>98</v>
      </c>
      <c r="Y479" t="s">
        <v>51</v>
      </c>
    </row>
    <row r="480" spans="1:25" x14ac:dyDescent="0.25">
      <c r="A480">
        <v>10139</v>
      </c>
      <c r="B480">
        <v>31</v>
      </c>
      <c r="C480">
        <v>100</v>
      </c>
      <c r="D480">
        <v>7</v>
      </c>
      <c r="E480">
        <v>3184.94</v>
      </c>
      <c r="F480" s="1">
        <v>37818</v>
      </c>
      <c r="G480" t="s">
        <v>25</v>
      </c>
      <c r="H480">
        <v>3</v>
      </c>
      <c r="I480">
        <v>7</v>
      </c>
      <c r="J480">
        <v>2003</v>
      </c>
      <c r="K480" t="s">
        <v>550</v>
      </c>
      <c r="L480">
        <v>102</v>
      </c>
      <c r="M480" t="s">
        <v>551</v>
      </c>
      <c r="N480" t="s">
        <v>152</v>
      </c>
      <c r="O480" t="s">
        <v>153</v>
      </c>
      <c r="P480" t="s">
        <v>154</v>
      </c>
      <c r="Q480" t="s">
        <v>155</v>
      </c>
      <c r="R480" t="s">
        <v>156</v>
      </c>
      <c r="S480" t="s">
        <v>157</v>
      </c>
      <c r="T480">
        <v>2067</v>
      </c>
      <c r="U480" t="s">
        <v>95</v>
      </c>
      <c r="V480" t="s">
        <v>96</v>
      </c>
      <c r="W480" t="s">
        <v>158</v>
      </c>
      <c r="X480" t="s">
        <v>159</v>
      </c>
      <c r="Y480" t="s">
        <v>51</v>
      </c>
    </row>
    <row r="481" spans="1:25" x14ac:dyDescent="0.25">
      <c r="A481">
        <v>10149</v>
      </c>
      <c r="B481">
        <v>50</v>
      </c>
      <c r="C481">
        <v>100</v>
      </c>
      <c r="D481">
        <v>4</v>
      </c>
      <c r="E481">
        <v>5907.5</v>
      </c>
      <c r="F481" s="1">
        <v>37876</v>
      </c>
      <c r="G481" t="s">
        <v>25</v>
      </c>
      <c r="H481">
        <v>3</v>
      </c>
      <c r="I481">
        <v>9</v>
      </c>
      <c r="J481">
        <v>2003</v>
      </c>
      <c r="K481" t="s">
        <v>550</v>
      </c>
      <c r="L481">
        <v>102</v>
      </c>
      <c r="M481" t="s">
        <v>551</v>
      </c>
      <c r="N481" t="s">
        <v>526</v>
      </c>
      <c r="O481">
        <v>4155554312</v>
      </c>
      <c r="P481" t="s">
        <v>527</v>
      </c>
      <c r="R481" t="s">
        <v>528</v>
      </c>
      <c r="S481" t="s">
        <v>55</v>
      </c>
      <c r="T481">
        <v>94217</v>
      </c>
      <c r="U481" t="s">
        <v>32</v>
      </c>
      <c r="V481" t="s">
        <v>33</v>
      </c>
      <c r="W481" t="s">
        <v>529</v>
      </c>
      <c r="X481" t="s">
        <v>400</v>
      </c>
      <c r="Y481" t="s">
        <v>51</v>
      </c>
    </row>
    <row r="482" spans="1:25" x14ac:dyDescent="0.25">
      <c r="A482">
        <v>10162</v>
      </c>
      <c r="B482">
        <v>48</v>
      </c>
      <c r="C482">
        <v>91.44</v>
      </c>
      <c r="D482">
        <v>2</v>
      </c>
      <c r="E482">
        <v>4389.12</v>
      </c>
      <c r="F482" s="1">
        <v>37912</v>
      </c>
      <c r="G482" t="s">
        <v>25</v>
      </c>
      <c r="H482">
        <v>4</v>
      </c>
      <c r="I482">
        <v>10</v>
      </c>
      <c r="J482">
        <v>2003</v>
      </c>
      <c r="K482" t="s">
        <v>550</v>
      </c>
      <c r="L482">
        <v>102</v>
      </c>
      <c r="M482" t="s">
        <v>551</v>
      </c>
      <c r="N482" t="s">
        <v>58</v>
      </c>
      <c r="O482">
        <v>6505551386</v>
      </c>
      <c r="P482" t="s">
        <v>59</v>
      </c>
      <c r="R482" t="s">
        <v>60</v>
      </c>
      <c r="S482" t="s">
        <v>55</v>
      </c>
      <c r="U482" t="s">
        <v>32</v>
      </c>
      <c r="V482" t="s">
        <v>33</v>
      </c>
      <c r="W482" t="s">
        <v>61</v>
      </c>
      <c r="X482" t="s">
        <v>57</v>
      </c>
      <c r="Y482" t="s">
        <v>51</v>
      </c>
    </row>
    <row r="483" spans="1:25" x14ac:dyDescent="0.25">
      <c r="A483">
        <v>10173</v>
      </c>
      <c r="B483">
        <v>43</v>
      </c>
      <c r="C483">
        <v>100</v>
      </c>
      <c r="D483">
        <v>6</v>
      </c>
      <c r="E483">
        <v>5036.16</v>
      </c>
      <c r="F483" s="1">
        <v>37930</v>
      </c>
      <c r="G483" t="s">
        <v>25</v>
      </c>
      <c r="H483">
        <v>4</v>
      </c>
      <c r="I483">
        <v>11</v>
      </c>
      <c r="J483">
        <v>2003</v>
      </c>
      <c r="K483" t="s">
        <v>550</v>
      </c>
      <c r="L483">
        <v>102</v>
      </c>
      <c r="M483" t="s">
        <v>551</v>
      </c>
      <c r="N483" t="s">
        <v>552</v>
      </c>
      <c r="O483" t="s">
        <v>553</v>
      </c>
      <c r="P483" t="s">
        <v>554</v>
      </c>
      <c r="R483" t="s">
        <v>555</v>
      </c>
      <c r="T483">
        <v>24100</v>
      </c>
      <c r="U483" t="s">
        <v>258</v>
      </c>
      <c r="V483" t="s">
        <v>42</v>
      </c>
      <c r="W483" t="s">
        <v>556</v>
      </c>
      <c r="X483" t="s">
        <v>557</v>
      </c>
      <c r="Y483" t="s">
        <v>51</v>
      </c>
    </row>
    <row r="484" spans="1:25" x14ac:dyDescent="0.25">
      <c r="A484">
        <v>10182</v>
      </c>
      <c r="B484">
        <v>25</v>
      </c>
      <c r="C484">
        <v>87.33</v>
      </c>
      <c r="D484">
        <v>3</v>
      </c>
      <c r="E484">
        <v>2183.25</v>
      </c>
      <c r="F484" s="1">
        <v>37937</v>
      </c>
      <c r="G484" t="s">
        <v>25</v>
      </c>
      <c r="H484">
        <v>4</v>
      </c>
      <c r="I484">
        <v>11</v>
      </c>
      <c r="J484">
        <v>2003</v>
      </c>
      <c r="K484" t="s">
        <v>550</v>
      </c>
      <c r="L484">
        <v>102</v>
      </c>
      <c r="M484" t="s">
        <v>551</v>
      </c>
      <c r="N484" t="s">
        <v>272</v>
      </c>
      <c r="O484">
        <v>4155551450</v>
      </c>
      <c r="P484" t="s">
        <v>273</v>
      </c>
      <c r="R484" t="s">
        <v>274</v>
      </c>
      <c r="S484" t="s">
        <v>55</v>
      </c>
      <c r="T484">
        <v>97562</v>
      </c>
      <c r="U484" t="s">
        <v>32</v>
      </c>
      <c r="V484" t="s">
        <v>33</v>
      </c>
      <c r="W484" t="s">
        <v>275</v>
      </c>
      <c r="X484" t="s">
        <v>276</v>
      </c>
      <c r="Y484" t="s">
        <v>36</v>
      </c>
    </row>
    <row r="485" spans="1:25" x14ac:dyDescent="0.25">
      <c r="A485">
        <v>10193</v>
      </c>
      <c r="B485">
        <v>28</v>
      </c>
      <c r="C485">
        <v>100</v>
      </c>
      <c r="D485">
        <v>7</v>
      </c>
      <c r="E485">
        <v>3106.88</v>
      </c>
      <c r="F485" s="1">
        <v>37946</v>
      </c>
      <c r="G485" t="s">
        <v>25</v>
      </c>
      <c r="H485">
        <v>4</v>
      </c>
      <c r="I485">
        <v>11</v>
      </c>
      <c r="J485">
        <v>2003</v>
      </c>
      <c r="K485" t="s">
        <v>550</v>
      </c>
      <c r="L485">
        <v>102</v>
      </c>
      <c r="M485" t="s">
        <v>551</v>
      </c>
      <c r="N485" t="s">
        <v>558</v>
      </c>
      <c r="O485" t="s">
        <v>559</v>
      </c>
      <c r="P485" t="s">
        <v>560</v>
      </c>
      <c r="R485" t="s">
        <v>561</v>
      </c>
      <c r="S485" t="s">
        <v>94</v>
      </c>
      <c r="T485">
        <v>3150</v>
      </c>
      <c r="U485" t="s">
        <v>95</v>
      </c>
      <c r="V485" t="s">
        <v>96</v>
      </c>
      <c r="W485" t="s">
        <v>562</v>
      </c>
      <c r="X485" t="s">
        <v>563</v>
      </c>
      <c r="Y485" t="s">
        <v>51</v>
      </c>
    </row>
    <row r="486" spans="1:25" x14ac:dyDescent="0.25">
      <c r="A486">
        <v>10205</v>
      </c>
      <c r="B486">
        <v>36</v>
      </c>
      <c r="C486">
        <v>100</v>
      </c>
      <c r="D486">
        <v>2</v>
      </c>
      <c r="E486">
        <v>3735.72</v>
      </c>
      <c r="F486" s="1">
        <v>37958</v>
      </c>
      <c r="G486" t="s">
        <v>25</v>
      </c>
      <c r="H486">
        <v>4</v>
      </c>
      <c r="I486">
        <v>12</v>
      </c>
      <c r="J486">
        <v>2003</v>
      </c>
      <c r="K486" t="s">
        <v>550</v>
      </c>
      <c r="L486">
        <v>102</v>
      </c>
      <c r="M486" t="s">
        <v>551</v>
      </c>
      <c r="N486" t="s">
        <v>174</v>
      </c>
      <c r="O486" t="s">
        <v>175</v>
      </c>
      <c r="P486" t="s">
        <v>176</v>
      </c>
      <c r="R486" t="s">
        <v>177</v>
      </c>
      <c r="T486">
        <v>28034</v>
      </c>
      <c r="U486" t="s">
        <v>178</v>
      </c>
      <c r="V486" t="s">
        <v>42</v>
      </c>
      <c r="W486" t="s">
        <v>179</v>
      </c>
      <c r="X486" t="s">
        <v>180</v>
      </c>
      <c r="Y486" t="s">
        <v>51</v>
      </c>
    </row>
    <row r="487" spans="1:25" x14ac:dyDescent="0.25">
      <c r="A487">
        <v>10215</v>
      </c>
      <c r="B487">
        <v>27</v>
      </c>
      <c r="C487">
        <v>89.38</v>
      </c>
      <c r="D487">
        <v>10</v>
      </c>
      <c r="E487">
        <v>2413.2600000000002</v>
      </c>
      <c r="F487" s="1">
        <v>38015</v>
      </c>
      <c r="G487" t="s">
        <v>25</v>
      </c>
      <c r="H487">
        <v>1</v>
      </c>
      <c r="I487">
        <v>1</v>
      </c>
      <c r="J487">
        <v>2004</v>
      </c>
      <c r="K487" t="s">
        <v>550</v>
      </c>
      <c r="L487">
        <v>102</v>
      </c>
      <c r="M487" t="s">
        <v>551</v>
      </c>
      <c r="N487" t="s">
        <v>234</v>
      </c>
      <c r="O487">
        <v>3105553722</v>
      </c>
      <c r="P487" t="s">
        <v>235</v>
      </c>
      <c r="R487" t="s">
        <v>236</v>
      </c>
      <c r="S487" t="s">
        <v>55</v>
      </c>
      <c r="T487">
        <v>94019</v>
      </c>
      <c r="U487" t="s">
        <v>32</v>
      </c>
      <c r="V487" t="s">
        <v>33</v>
      </c>
      <c r="W487" t="s">
        <v>237</v>
      </c>
      <c r="X487" t="s">
        <v>238</v>
      </c>
      <c r="Y487" t="s">
        <v>36</v>
      </c>
    </row>
    <row r="488" spans="1:25" x14ac:dyDescent="0.25">
      <c r="A488">
        <v>10227</v>
      </c>
      <c r="B488">
        <v>25</v>
      </c>
      <c r="C488">
        <v>100</v>
      </c>
      <c r="D488">
        <v>3</v>
      </c>
      <c r="E488">
        <v>2953.75</v>
      </c>
      <c r="F488" s="1">
        <v>38048</v>
      </c>
      <c r="G488" t="s">
        <v>25</v>
      </c>
      <c r="H488">
        <v>1</v>
      </c>
      <c r="I488">
        <v>3</v>
      </c>
      <c r="J488">
        <v>2004</v>
      </c>
      <c r="K488" t="s">
        <v>550</v>
      </c>
      <c r="L488">
        <v>102</v>
      </c>
      <c r="M488" t="s">
        <v>551</v>
      </c>
      <c r="N488" t="s">
        <v>219</v>
      </c>
      <c r="O488" t="s">
        <v>220</v>
      </c>
      <c r="P488" t="s">
        <v>221</v>
      </c>
      <c r="R488" t="s">
        <v>222</v>
      </c>
      <c r="T488">
        <v>69004</v>
      </c>
      <c r="U488" t="s">
        <v>41</v>
      </c>
      <c r="V488" t="s">
        <v>42</v>
      </c>
      <c r="W488" t="s">
        <v>223</v>
      </c>
      <c r="X488" t="s">
        <v>224</v>
      </c>
      <c r="Y488" t="s">
        <v>36</v>
      </c>
    </row>
    <row r="489" spans="1:25" x14ac:dyDescent="0.25">
      <c r="A489">
        <v>10244</v>
      </c>
      <c r="B489">
        <v>40</v>
      </c>
      <c r="C489">
        <v>100</v>
      </c>
      <c r="D489">
        <v>7</v>
      </c>
      <c r="E489">
        <v>4684.8</v>
      </c>
      <c r="F489" s="1">
        <v>38106</v>
      </c>
      <c r="G489" t="s">
        <v>25</v>
      </c>
      <c r="H489">
        <v>2</v>
      </c>
      <c r="I489">
        <v>4</v>
      </c>
      <c r="J489">
        <v>2004</v>
      </c>
      <c r="K489" t="s">
        <v>550</v>
      </c>
      <c r="L489">
        <v>102</v>
      </c>
      <c r="M489" t="s">
        <v>551</v>
      </c>
      <c r="N489" t="s">
        <v>174</v>
      </c>
      <c r="O489" t="s">
        <v>175</v>
      </c>
      <c r="P489" t="s">
        <v>176</v>
      </c>
      <c r="R489" t="s">
        <v>177</v>
      </c>
      <c r="T489">
        <v>28034</v>
      </c>
      <c r="U489" t="s">
        <v>178</v>
      </c>
      <c r="V489" t="s">
        <v>42</v>
      </c>
      <c r="W489" t="s">
        <v>179</v>
      </c>
      <c r="X489" t="s">
        <v>180</v>
      </c>
      <c r="Y489" t="s">
        <v>51</v>
      </c>
    </row>
    <row r="490" spans="1:25" x14ac:dyDescent="0.25">
      <c r="A490">
        <v>10256</v>
      </c>
      <c r="B490">
        <v>34</v>
      </c>
      <c r="C490">
        <v>95.55</v>
      </c>
      <c r="D490">
        <v>2</v>
      </c>
      <c r="E490">
        <v>3248.7</v>
      </c>
      <c r="F490" s="1">
        <v>38146</v>
      </c>
      <c r="G490" t="s">
        <v>25</v>
      </c>
      <c r="H490">
        <v>2</v>
      </c>
      <c r="I490">
        <v>6</v>
      </c>
      <c r="J490">
        <v>2004</v>
      </c>
      <c r="K490" t="s">
        <v>550</v>
      </c>
      <c r="L490">
        <v>102</v>
      </c>
      <c r="M490" t="s">
        <v>551</v>
      </c>
      <c r="N490" t="s">
        <v>322</v>
      </c>
      <c r="O490" t="s">
        <v>323</v>
      </c>
      <c r="P490" t="s">
        <v>324</v>
      </c>
      <c r="R490" t="s">
        <v>325</v>
      </c>
      <c r="T490">
        <v>1734</v>
      </c>
      <c r="U490" t="s">
        <v>326</v>
      </c>
      <c r="V490" t="s">
        <v>42</v>
      </c>
      <c r="W490" t="s">
        <v>327</v>
      </c>
      <c r="X490" t="s">
        <v>328</v>
      </c>
      <c r="Y490" t="s">
        <v>51</v>
      </c>
    </row>
    <row r="491" spans="1:25" x14ac:dyDescent="0.25">
      <c r="A491">
        <v>10280</v>
      </c>
      <c r="B491">
        <v>50</v>
      </c>
      <c r="C491">
        <v>100</v>
      </c>
      <c r="D491">
        <v>9</v>
      </c>
      <c r="E491">
        <v>5239.5</v>
      </c>
      <c r="F491" s="1">
        <v>38216</v>
      </c>
      <c r="G491" t="s">
        <v>25</v>
      </c>
      <c r="H491">
        <v>3</v>
      </c>
      <c r="I491">
        <v>8</v>
      </c>
      <c r="J491">
        <v>2004</v>
      </c>
      <c r="K491" t="s">
        <v>550</v>
      </c>
      <c r="L491">
        <v>102</v>
      </c>
      <c r="M491" t="s">
        <v>551</v>
      </c>
      <c r="N491" t="s">
        <v>254</v>
      </c>
      <c r="O491" t="s">
        <v>255</v>
      </c>
      <c r="P491" t="s">
        <v>256</v>
      </c>
      <c r="R491" t="s">
        <v>257</v>
      </c>
      <c r="T491">
        <v>10100</v>
      </c>
      <c r="U491" t="s">
        <v>258</v>
      </c>
      <c r="V491" t="s">
        <v>42</v>
      </c>
      <c r="W491" t="s">
        <v>259</v>
      </c>
      <c r="X491" t="s">
        <v>260</v>
      </c>
      <c r="Y491" t="s">
        <v>51</v>
      </c>
    </row>
    <row r="492" spans="1:25" x14ac:dyDescent="0.25">
      <c r="A492">
        <v>10289</v>
      </c>
      <c r="B492">
        <v>38</v>
      </c>
      <c r="C492">
        <v>100</v>
      </c>
      <c r="D492">
        <v>2</v>
      </c>
      <c r="E492">
        <v>4567.9799999999996</v>
      </c>
      <c r="F492" s="1">
        <v>38233</v>
      </c>
      <c r="G492" t="s">
        <v>25</v>
      </c>
      <c r="H492">
        <v>3</v>
      </c>
      <c r="I492">
        <v>9</v>
      </c>
      <c r="J492">
        <v>2004</v>
      </c>
      <c r="K492" t="s">
        <v>550</v>
      </c>
      <c r="L492">
        <v>102</v>
      </c>
      <c r="M492" t="s">
        <v>551</v>
      </c>
      <c r="N492" t="s">
        <v>73</v>
      </c>
      <c r="O492" t="s">
        <v>74</v>
      </c>
      <c r="P492" t="s">
        <v>75</v>
      </c>
      <c r="R492" t="s">
        <v>76</v>
      </c>
      <c r="T492" t="s">
        <v>77</v>
      </c>
      <c r="U492" t="s">
        <v>78</v>
      </c>
      <c r="V492" t="s">
        <v>42</v>
      </c>
      <c r="W492" t="s">
        <v>79</v>
      </c>
      <c r="X492" t="s">
        <v>80</v>
      </c>
      <c r="Y492" t="s">
        <v>51</v>
      </c>
    </row>
    <row r="493" spans="1:25" x14ac:dyDescent="0.25">
      <c r="A493">
        <v>10304</v>
      </c>
      <c r="B493">
        <v>37</v>
      </c>
      <c r="C493">
        <v>95.55</v>
      </c>
      <c r="D493">
        <v>13</v>
      </c>
      <c r="E493">
        <v>3535.35</v>
      </c>
      <c r="F493" s="1">
        <v>38271</v>
      </c>
      <c r="G493" t="s">
        <v>25</v>
      </c>
      <c r="H493">
        <v>4</v>
      </c>
      <c r="I493">
        <v>10</v>
      </c>
      <c r="J493">
        <v>2004</v>
      </c>
      <c r="K493" t="s">
        <v>550</v>
      </c>
      <c r="L493">
        <v>102</v>
      </c>
      <c r="M493" t="s">
        <v>551</v>
      </c>
      <c r="N493" t="s">
        <v>267</v>
      </c>
      <c r="O493" t="s">
        <v>268</v>
      </c>
      <c r="P493" t="s">
        <v>269</v>
      </c>
      <c r="R493" t="s">
        <v>270</v>
      </c>
      <c r="T493">
        <v>78000</v>
      </c>
      <c r="U493" t="s">
        <v>41</v>
      </c>
      <c r="V493" t="s">
        <v>42</v>
      </c>
      <c r="W493" t="s">
        <v>271</v>
      </c>
      <c r="X493" t="s">
        <v>50</v>
      </c>
      <c r="Y493" t="s">
        <v>51</v>
      </c>
    </row>
    <row r="494" spans="1:25" x14ac:dyDescent="0.25">
      <c r="A494">
        <v>10312</v>
      </c>
      <c r="B494">
        <v>43</v>
      </c>
      <c r="C494">
        <v>89.38</v>
      </c>
      <c r="D494">
        <v>10</v>
      </c>
      <c r="E494">
        <v>3843.34</v>
      </c>
      <c r="F494" s="1">
        <v>38281</v>
      </c>
      <c r="G494" t="s">
        <v>25</v>
      </c>
      <c r="H494">
        <v>4</v>
      </c>
      <c r="I494">
        <v>10</v>
      </c>
      <c r="J494">
        <v>2004</v>
      </c>
      <c r="K494" t="s">
        <v>550</v>
      </c>
      <c r="L494">
        <v>102</v>
      </c>
      <c r="M494" t="s">
        <v>551</v>
      </c>
      <c r="N494" t="s">
        <v>272</v>
      </c>
      <c r="O494">
        <v>4155551450</v>
      </c>
      <c r="P494" t="s">
        <v>273</v>
      </c>
      <c r="R494" t="s">
        <v>274</v>
      </c>
      <c r="S494" t="s">
        <v>55</v>
      </c>
      <c r="T494">
        <v>97562</v>
      </c>
      <c r="U494" t="s">
        <v>32</v>
      </c>
      <c r="V494" t="s">
        <v>33</v>
      </c>
      <c r="W494" t="s">
        <v>275</v>
      </c>
      <c r="X494" t="s">
        <v>276</v>
      </c>
      <c r="Y494" t="s">
        <v>51</v>
      </c>
    </row>
    <row r="495" spans="1:25" x14ac:dyDescent="0.25">
      <c r="A495">
        <v>10322</v>
      </c>
      <c r="B495">
        <v>43</v>
      </c>
      <c r="C495">
        <v>86.3</v>
      </c>
      <c r="D495">
        <v>14</v>
      </c>
      <c r="E495">
        <v>3710.9</v>
      </c>
      <c r="F495" s="1">
        <v>38295</v>
      </c>
      <c r="G495" t="s">
        <v>25</v>
      </c>
      <c r="H495">
        <v>4</v>
      </c>
      <c r="I495">
        <v>11</v>
      </c>
      <c r="J495">
        <v>2004</v>
      </c>
      <c r="K495" t="s">
        <v>550</v>
      </c>
      <c r="L495">
        <v>102</v>
      </c>
      <c r="M495" t="s">
        <v>551</v>
      </c>
      <c r="N495" t="s">
        <v>277</v>
      </c>
      <c r="O495">
        <v>6035558647</v>
      </c>
      <c r="P495" t="s">
        <v>278</v>
      </c>
      <c r="R495" t="s">
        <v>279</v>
      </c>
      <c r="S495" t="s">
        <v>280</v>
      </c>
      <c r="T495">
        <v>62005</v>
      </c>
      <c r="U495" t="s">
        <v>32</v>
      </c>
      <c r="V495" t="s">
        <v>33</v>
      </c>
      <c r="W495" t="s">
        <v>56</v>
      </c>
      <c r="X495" t="s">
        <v>276</v>
      </c>
      <c r="Y495" t="s">
        <v>51</v>
      </c>
    </row>
    <row r="496" spans="1:25" x14ac:dyDescent="0.25">
      <c r="A496">
        <v>10332</v>
      </c>
      <c r="B496">
        <v>46</v>
      </c>
      <c r="C496">
        <v>95.13</v>
      </c>
      <c r="D496">
        <v>15</v>
      </c>
      <c r="E496">
        <v>4375.9799999999996</v>
      </c>
      <c r="F496" s="1">
        <v>38308</v>
      </c>
      <c r="G496" t="s">
        <v>25</v>
      </c>
      <c r="H496">
        <v>4</v>
      </c>
      <c r="I496">
        <v>11</v>
      </c>
      <c r="J496">
        <v>2004</v>
      </c>
      <c r="K496" t="s">
        <v>550</v>
      </c>
      <c r="L496">
        <v>102</v>
      </c>
      <c r="M496" t="s">
        <v>551</v>
      </c>
      <c r="N496" t="s">
        <v>492</v>
      </c>
      <c r="O496" t="s">
        <v>493</v>
      </c>
      <c r="P496" t="s">
        <v>494</v>
      </c>
      <c r="R496" t="s">
        <v>495</v>
      </c>
      <c r="T496" t="s">
        <v>496</v>
      </c>
      <c r="U496" t="s">
        <v>170</v>
      </c>
      <c r="V496" t="s">
        <v>42</v>
      </c>
      <c r="W496" t="s">
        <v>497</v>
      </c>
      <c r="X496" t="s">
        <v>94</v>
      </c>
      <c r="Y496" t="s">
        <v>51</v>
      </c>
    </row>
    <row r="497" spans="1:25" x14ac:dyDescent="0.25">
      <c r="A497">
        <v>10346</v>
      </c>
      <c r="B497">
        <v>42</v>
      </c>
      <c r="C497">
        <v>36.11</v>
      </c>
      <c r="D497">
        <v>3</v>
      </c>
      <c r="E497">
        <v>1516.62</v>
      </c>
      <c r="F497" s="1">
        <v>38320</v>
      </c>
      <c r="G497" t="s">
        <v>25</v>
      </c>
      <c r="H497">
        <v>4</v>
      </c>
      <c r="I497">
        <v>11</v>
      </c>
      <c r="J497">
        <v>2004</v>
      </c>
      <c r="K497" t="s">
        <v>550</v>
      </c>
      <c r="L497">
        <v>102</v>
      </c>
      <c r="M497" t="s">
        <v>551</v>
      </c>
      <c r="N497" t="s">
        <v>539</v>
      </c>
      <c r="O497">
        <v>7025551838</v>
      </c>
      <c r="P497" t="s">
        <v>540</v>
      </c>
      <c r="R497" t="s">
        <v>541</v>
      </c>
      <c r="S497" t="s">
        <v>542</v>
      </c>
      <c r="T497">
        <v>83030</v>
      </c>
      <c r="U497" t="s">
        <v>32</v>
      </c>
      <c r="V497" t="s">
        <v>33</v>
      </c>
      <c r="W497" t="s">
        <v>113</v>
      </c>
      <c r="X497" t="s">
        <v>400</v>
      </c>
      <c r="Y497" t="s">
        <v>36</v>
      </c>
    </row>
    <row r="498" spans="1:25" x14ac:dyDescent="0.25">
      <c r="A498">
        <v>10356</v>
      </c>
      <c r="B498">
        <v>50</v>
      </c>
      <c r="C498">
        <v>50.18</v>
      </c>
      <c r="D498">
        <v>9</v>
      </c>
      <c r="E498">
        <v>2509</v>
      </c>
      <c r="F498" s="1">
        <v>38330</v>
      </c>
      <c r="G498" t="s">
        <v>25</v>
      </c>
      <c r="H498">
        <v>4</v>
      </c>
      <c r="I498">
        <v>12</v>
      </c>
      <c r="J498">
        <v>2004</v>
      </c>
      <c r="K498" t="s">
        <v>550</v>
      </c>
      <c r="L498">
        <v>102</v>
      </c>
      <c r="M498" t="s">
        <v>551</v>
      </c>
      <c r="N498" t="s">
        <v>45</v>
      </c>
      <c r="O498" t="s">
        <v>46</v>
      </c>
      <c r="P498" t="s">
        <v>47</v>
      </c>
      <c r="R498" t="s">
        <v>48</v>
      </c>
      <c r="T498">
        <v>75508</v>
      </c>
      <c r="U498" t="s">
        <v>41</v>
      </c>
      <c r="V498" t="s">
        <v>42</v>
      </c>
      <c r="W498" t="s">
        <v>49</v>
      </c>
      <c r="X498" t="s">
        <v>50</v>
      </c>
      <c r="Y498" t="s">
        <v>36</v>
      </c>
    </row>
    <row r="499" spans="1:25" x14ac:dyDescent="0.25">
      <c r="A499">
        <v>10369</v>
      </c>
      <c r="B499">
        <v>44</v>
      </c>
      <c r="C499">
        <v>100</v>
      </c>
      <c r="D499">
        <v>8</v>
      </c>
      <c r="E499">
        <v>9240.44</v>
      </c>
      <c r="F499" s="1">
        <v>38372</v>
      </c>
      <c r="G499" t="s">
        <v>25</v>
      </c>
      <c r="H499">
        <v>1</v>
      </c>
      <c r="I499">
        <v>1</v>
      </c>
      <c r="J499">
        <v>2005</v>
      </c>
      <c r="K499" t="s">
        <v>550</v>
      </c>
      <c r="L499">
        <v>102</v>
      </c>
      <c r="M499" t="s">
        <v>551</v>
      </c>
      <c r="N499" t="s">
        <v>281</v>
      </c>
      <c r="O499">
        <v>6175558555</v>
      </c>
      <c r="P499" t="s">
        <v>282</v>
      </c>
      <c r="R499" t="s">
        <v>283</v>
      </c>
      <c r="S499" t="s">
        <v>123</v>
      </c>
      <c r="T499">
        <v>58339</v>
      </c>
      <c r="U499" t="s">
        <v>32</v>
      </c>
      <c r="V499" t="s">
        <v>33</v>
      </c>
      <c r="W499" t="s">
        <v>275</v>
      </c>
      <c r="X499" t="s">
        <v>284</v>
      </c>
      <c r="Y499" t="s">
        <v>151</v>
      </c>
    </row>
    <row r="500" spans="1:25" x14ac:dyDescent="0.25">
      <c r="A500">
        <v>10380</v>
      </c>
      <c r="B500">
        <v>27</v>
      </c>
      <c r="C500">
        <v>93.16</v>
      </c>
      <c r="D500">
        <v>13</v>
      </c>
      <c r="E500">
        <v>2515.3200000000002</v>
      </c>
      <c r="F500" s="1">
        <v>38399</v>
      </c>
      <c r="G500" t="s">
        <v>25</v>
      </c>
      <c r="H500">
        <v>1</v>
      </c>
      <c r="I500">
        <v>2</v>
      </c>
      <c r="J500">
        <v>2005</v>
      </c>
      <c r="K500" t="s">
        <v>550</v>
      </c>
      <c r="L500">
        <v>102</v>
      </c>
      <c r="M500" t="s">
        <v>551</v>
      </c>
      <c r="N500" t="s">
        <v>174</v>
      </c>
      <c r="O500" t="s">
        <v>175</v>
      </c>
      <c r="P500" t="s">
        <v>176</v>
      </c>
      <c r="R500" t="s">
        <v>177</v>
      </c>
      <c r="T500">
        <v>28034</v>
      </c>
      <c r="U500" t="s">
        <v>178</v>
      </c>
      <c r="V500" t="s">
        <v>42</v>
      </c>
      <c r="W500" t="s">
        <v>179</v>
      </c>
      <c r="X500" t="s">
        <v>180</v>
      </c>
      <c r="Y500" t="s">
        <v>36</v>
      </c>
    </row>
    <row r="501" spans="1:25" x14ac:dyDescent="0.25">
      <c r="A501">
        <v>10391</v>
      </c>
      <c r="B501">
        <v>35</v>
      </c>
      <c r="C501">
        <v>100</v>
      </c>
      <c r="D501">
        <v>2</v>
      </c>
      <c r="E501">
        <v>5548.9</v>
      </c>
      <c r="F501" s="1">
        <v>38420</v>
      </c>
      <c r="G501" t="s">
        <v>25</v>
      </c>
      <c r="H501">
        <v>1</v>
      </c>
      <c r="I501">
        <v>3</v>
      </c>
      <c r="J501">
        <v>2005</v>
      </c>
      <c r="K501" t="s">
        <v>550</v>
      </c>
      <c r="L501">
        <v>102</v>
      </c>
      <c r="M501" t="s">
        <v>551</v>
      </c>
      <c r="N501" t="s">
        <v>285</v>
      </c>
      <c r="O501" t="s">
        <v>286</v>
      </c>
      <c r="P501" t="s">
        <v>287</v>
      </c>
      <c r="Q501" t="s">
        <v>288</v>
      </c>
      <c r="R501" t="s">
        <v>289</v>
      </c>
      <c r="S501" t="s">
        <v>157</v>
      </c>
      <c r="T501">
        <v>2060</v>
      </c>
      <c r="U501" t="s">
        <v>95</v>
      </c>
      <c r="V501" t="s">
        <v>96</v>
      </c>
      <c r="W501" t="s">
        <v>290</v>
      </c>
      <c r="X501" t="s">
        <v>291</v>
      </c>
      <c r="Y501" t="s">
        <v>51</v>
      </c>
    </row>
    <row r="502" spans="1:25" x14ac:dyDescent="0.25">
      <c r="A502">
        <v>10422</v>
      </c>
      <c r="B502">
        <v>51</v>
      </c>
      <c r="C502">
        <v>95.55</v>
      </c>
      <c r="D502">
        <v>2</v>
      </c>
      <c r="E502">
        <v>4873.05</v>
      </c>
      <c r="F502" s="1">
        <v>38502</v>
      </c>
      <c r="G502" t="s">
        <v>300</v>
      </c>
      <c r="H502">
        <v>2</v>
      </c>
      <c r="I502">
        <v>5</v>
      </c>
      <c r="J502">
        <v>2005</v>
      </c>
      <c r="K502" t="s">
        <v>550</v>
      </c>
      <c r="L502">
        <v>102</v>
      </c>
      <c r="M502" t="s">
        <v>551</v>
      </c>
      <c r="N502" t="s">
        <v>139</v>
      </c>
      <c r="O502">
        <v>2155551555</v>
      </c>
      <c r="P502" t="s">
        <v>140</v>
      </c>
      <c r="R502" t="s">
        <v>141</v>
      </c>
      <c r="S502" t="s">
        <v>142</v>
      </c>
      <c r="T502">
        <v>70267</v>
      </c>
      <c r="U502" t="s">
        <v>32</v>
      </c>
      <c r="V502" t="s">
        <v>33</v>
      </c>
      <c r="W502" t="s">
        <v>34</v>
      </c>
      <c r="X502" t="s">
        <v>143</v>
      </c>
      <c r="Y502" t="s">
        <v>51</v>
      </c>
    </row>
    <row r="503" spans="1:25" x14ac:dyDescent="0.25">
      <c r="A503">
        <v>10102</v>
      </c>
      <c r="B503">
        <v>41</v>
      </c>
      <c r="C503">
        <v>50.14</v>
      </c>
      <c r="D503">
        <v>1</v>
      </c>
      <c r="E503">
        <v>2055.7399999999998</v>
      </c>
      <c r="F503" s="1">
        <v>37631</v>
      </c>
      <c r="G503" t="s">
        <v>25</v>
      </c>
      <c r="H503">
        <v>1</v>
      </c>
      <c r="I503">
        <v>1</v>
      </c>
      <c r="J503">
        <v>2003</v>
      </c>
      <c r="K503" t="s">
        <v>550</v>
      </c>
      <c r="L503">
        <v>53</v>
      </c>
      <c r="M503" t="s">
        <v>564</v>
      </c>
      <c r="N503" t="s">
        <v>99</v>
      </c>
      <c r="O503">
        <v>2125551500</v>
      </c>
      <c r="P503" t="s">
        <v>100</v>
      </c>
      <c r="Q503" t="s">
        <v>101</v>
      </c>
      <c r="R503" t="s">
        <v>30</v>
      </c>
      <c r="S503" t="s">
        <v>31</v>
      </c>
      <c r="T503">
        <v>10022</v>
      </c>
      <c r="U503" t="s">
        <v>32</v>
      </c>
      <c r="V503" t="s">
        <v>33</v>
      </c>
      <c r="W503" t="s">
        <v>102</v>
      </c>
      <c r="X503" t="s">
        <v>103</v>
      </c>
      <c r="Y503" t="s">
        <v>36</v>
      </c>
    </row>
    <row r="504" spans="1:25" x14ac:dyDescent="0.25">
      <c r="A504">
        <v>10111</v>
      </c>
      <c r="B504">
        <v>48</v>
      </c>
      <c r="C504">
        <v>49.06</v>
      </c>
      <c r="D504">
        <v>5</v>
      </c>
      <c r="E504">
        <v>2354.88</v>
      </c>
      <c r="F504" s="1">
        <v>37705</v>
      </c>
      <c r="G504" t="s">
        <v>25</v>
      </c>
      <c r="H504">
        <v>1</v>
      </c>
      <c r="I504">
        <v>3</v>
      </c>
      <c r="J504">
        <v>2003</v>
      </c>
      <c r="K504" t="s">
        <v>550</v>
      </c>
      <c r="L504">
        <v>53</v>
      </c>
      <c r="M504" t="s">
        <v>564</v>
      </c>
      <c r="N504" t="s">
        <v>81</v>
      </c>
      <c r="O504">
        <v>6505555787</v>
      </c>
      <c r="P504" t="s">
        <v>82</v>
      </c>
      <c r="R504" t="s">
        <v>60</v>
      </c>
      <c r="S504" t="s">
        <v>55</v>
      </c>
      <c r="U504" t="s">
        <v>32</v>
      </c>
      <c r="V504" t="s">
        <v>33</v>
      </c>
      <c r="W504" t="s">
        <v>83</v>
      </c>
      <c r="X504" t="s">
        <v>57</v>
      </c>
      <c r="Y504" t="s">
        <v>36</v>
      </c>
    </row>
    <row r="505" spans="1:25" x14ac:dyDescent="0.25">
      <c r="A505">
        <v>10126</v>
      </c>
      <c r="B505">
        <v>42</v>
      </c>
      <c r="C505">
        <v>54.99</v>
      </c>
      <c r="D505">
        <v>17</v>
      </c>
      <c r="E505">
        <v>2309.58</v>
      </c>
      <c r="F505" s="1">
        <v>37769</v>
      </c>
      <c r="G505" t="s">
        <v>25</v>
      </c>
      <c r="H505">
        <v>2</v>
      </c>
      <c r="I505">
        <v>5</v>
      </c>
      <c r="J505">
        <v>2003</v>
      </c>
      <c r="K505" t="s">
        <v>550</v>
      </c>
      <c r="L505">
        <v>53</v>
      </c>
      <c r="M505" t="s">
        <v>564</v>
      </c>
      <c r="N505" t="s">
        <v>191</v>
      </c>
      <c r="O505" t="s">
        <v>192</v>
      </c>
      <c r="P505" t="s">
        <v>193</v>
      </c>
      <c r="R505" t="s">
        <v>177</v>
      </c>
      <c r="T505">
        <v>28023</v>
      </c>
      <c r="U505" t="s">
        <v>178</v>
      </c>
      <c r="V505" t="s">
        <v>42</v>
      </c>
      <c r="W505" t="s">
        <v>194</v>
      </c>
      <c r="X505" t="s">
        <v>195</v>
      </c>
      <c r="Y505" t="s">
        <v>36</v>
      </c>
    </row>
    <row r="506" spans="1:25" x14ac:dyDescent="0.25">
      <c r="A506">
        <v>10139</v>
      </c>
      <c r="B506">
        <v>49</v>
      </c>
      <c r="C506">
        <v>43.13</v>
      </c>
      <c r="D506">
        <v>6</v>
      </c>
      <c r="E506">
        <v>2113.37</v>
      </c>
      <c r="F506" s="1">
        <v>37818</v>
      </c>
      <c r="G506" t="s">
        <v>25</v>
      </c>
      <c r="H506">
        <v>3</v>
      </c>
      <c r="I506">
        <v>7</v>
      </c>
      <c r="J506">
        <v>2003</v>
      </c>
      <c r="K506" t="s">
        <v>550</v>
      </c>
      <c r="L506">
        <v>53</v>
      </c>
      <c r="M506" t="s">
        <v>564</v>
      </c>
      <c r="N506" t="s">
        <v>152</v>
      </c>
      <c r="O506" t="s">
        <v>153</v>
      </c>
      <c r="P506" t="s">
        <v>154</v>
      </c>
      <c r="Q506" t="s">
        <v>155</v>
      </c>
      <c r="R506" t="s">
        <v>156</v>
      </c>
      <c r="S506" t="s">
        <v>157</v>
      </c>
      <c r="T506">
        <v>2067</v>
      </c>
      <c r="U506" t="s">
        <v>95</v>
      </c>
      <c r="V506" t="s">
        <v>96</v>
      </c>
      <c r="W506" t="s">
        <v>158</v>
      </c>
      <c r="X506" t="s">
        <v>159</v>
      </c>
      <c r="Y506" t="s">
        <v>36</v>
      </c>
    </row>
    <row r="507" spans="1:25" x14ac:dyDescent="0.25">
      <c r="A507">
        <v>10149</v>
      </c>
      <c r="B507">
        <v>30</v>
      </c>
      <c r="C507">
        <v>58.22</v>
      </c>
      <c r="D507">
        <v>3</v>
      </c>
      <c r="E507">
        <v>1746.6</v>
      </c>
      <c r="F507" s="1">
        <v>37876</v>
      </c>
      <c r="G507" t="s">
        <v>25</v>
      </c>
      <c r="H507">
        <v>3</v>
      </c>
      <c r="I507">
        <v>9</v>
      </c>
      <c r="J507">
        <v>2003</v>
      </c>
      <c r="K507" t="s">
        <v>550</v>
      </c>
      <c r="L507">
        <v>53</v>
      </c>
      <c r="M507" t="s">
        <v>564</v>
      </c>
      <c r="N507" t="s">
        <v>526</v>
      </c>
      <c r="O507">
        <v>4155554312</v>
      </c>
      <c r="P507" t="s">
        <v>527</v>
      </c>
      <c r="R507" t="s">
        <v>528</v>
      </c>
      <c r="S507" t="s">
        <v>55</v>
      </c>
      <c r="T507">
        <v>94217</v>
      </c>
      <c r="U507" t="s">
        <v>32</v>
      </c>
      <c r="V507" t="s">
        <v>33</v>
      </c>
      <c r="W507" t="s">
        <v>529</v>
      </c>
      <c r="X507" t="s">
        <v>400</v>
      </c>
      <c r="Y507" t="s">
        <v>36</v>
      </c>
    </row>
    <row r="508" spans="1:25" x14ac:dyDescent="0.25">
      <c r="A508">
        <v>10162</v>
      </c>
      <c r="B508">
        <v>45</v>
      </c>
      <c r="C508">
        <v>51.21</v>
      </c>
      <c r="D508">
        <v>1</v>
      </c>
      <c r="E508">
        <v>2304.4499999999998</v>
      </c>
      <c r="F508" s="1">
        <v>37912</v>
      </c>
      <c r="G508" t="s">
        <v>25</v>
      </c>
      <c r="H508">
        <v>4</v>
      </c>
      <c r="I508">
        <v>10</v>
      </c>
      <c r="J508">
        <v>2003</v>
      </c>
      <c r="K508" t="s">
        <v>550</v>
      </c>
      <c r="L508">
        <v>53</v>
      </c>
      <c r="M508" t="s">
        <v>564</v>
      </c>
      <c r="N508" t="s">
        <v>58</v>
      </c>
      <c r="O508">
        <v>6505551386</v>
      </c>
      <c r="P508" t="s">
        <v>59</v>
      </c>
      <c r="R508" t="s">
        <v>60</v>
      </c>
      <c r="S508" t="s">
        <v>55</v>
      </c>
      <c r="U508" t="s">
        <v>32</v>
      </c>
      <c r="V508" t="s">
        <v>33</v>
      </c>
      <c r="W508" t="s">
        <v>61</v>
      </c>
      <c r="X508" t="s">
        <v>57</v>
      </c>
      <c r="Y508" t="s">
        <v>36</v>
      </c>
    </row>
    <row r="509" spans="1:25" x14ac:dyDescent="0.25">
      <c r="A509">
        <v>10173</v>
      </c>
      <c r="B509">
        <v>48</v>
      </c>
      <c r="C509">
        <v>44.21</v>
      </c>
      <c r="D509">
        <v>5</v>
      </c>
      <c r="E509">
        <v>2122.08</v>
      </c>
      <c r="F509" s="1">
        <v>37930</v>
      </c>
      <c r="G509" t="s">
        <v>25</v>
      </c>
      <c r="H509">
        <v>4</v>
      </c>
      <c r="I509">
        <v>11</v>
      </c>
      <c r="J509">
        <v>2003</v>
      </c>
      <c r="K509" t="s">
        <v>550</v>
      </c>
      <c r="L509">
        <v>53</v>
      </c>
      <c r="M509" t="s">
        <v>564</v>
      </c>
      <c r="N509" t="s">
        <v>552</v>
      </c>
      <c r="O509" t="s">
        <v>553</v>
      </c>
      <c r="P509" t="s">
        <v>554</v>
      </c>
      <c r="R509" t="s">
        <v>555</v>
      </c>
      <c r="T509">
        <v>24100</v>
      </c>
      <c r="U509" t="s">
        <v>258</v>
      </c>
      <c r="V509" t="s">
        <v>42</v>
      </c>
      <c r="W509" t="s">
        <v>556</v>
      </c>
      <c r="X509" t="s">
        <v>557</v>
      </c>
      <c r="Y509" t="s">
        <v>36</v>
      </c>
    </row>
    <row r="510" spans="1:25" x14ac:dyDescent="0.25">
      <c r="A510">
        <v>10182</v>
      </c>
      <c r="B510">
        <v>32</v>
      </c>
      <c r="C510">
        <v>54.45</v>
      </c>
      <c r="D510">
        <v>2</v>
      </c>
      <c r="E510">
        <v>1742.4</v>
      </c>
      <c r="F510" s="1">
        <v>37937</v>
      </c>
      <c r="G510" t="s">
        <v>25</v>
      </c>
      <c r="H510">
        <v>4</v>
      </c>
      <c r="I510">
        <v>11</v>
      </c>
      <c r="J510">
        <v>2003</v>
      </c>
      <c r="K510" t="s">
        <v>550</v>
      </c>
      <c r="L510">
        <v>53</v>
      </c>
      <c r="M510" t="s">
        <v>564</v>
      </c>
      <c r="N510" t="s">
        <v>272</v>
      </c>
      <c r="O510">
        <v>4155551450</v>
      </c>
      <c r="P510" t="s">
        <v>273</v>
      </c>
      <c r="R510" t="s">
        <v>274</v>
      </c>
      <c r="S510" t="s">
        <v>55</v>
      </c>
      <c r="T510">
        <v>97562</v>
      </c>
      <c r="U510" t="s">
        <v>32</v>
      </c>
      <c r="V510" t="s">
        <v>33</v>
      </c>
      <c r="W510" t="s">
        <v>275</v>
      </c>
      <c r="X510" t="s">
        <v>276</v>
      </c>
      <c r="Y510" t="s">
        <v>36</v>
      </c>
    </row>
    <row r="511" spans="1:25" x14ac:dyDescent="0.25">
      <c r="A511">
        <v>10193</v>
      </c>
      <c r="B511">
        <v>46</v>
      </c>
      <c r="C511">
        <v>53.37</v>
      </c>
      <c r="D511">
        <v>6</v>
      </c>
      <c r="E511">
        <v>2455.02</v>
      </c>
      <c r="F511" s="1">
        <v>37946</v>
      </c>
      <c r="G511" t="s">
        <v>25</v>
      </c>
      <c r="H511">
        <v>4</v>
      </c>
      <c r="I511">
        <v>11</v>
      </c>
      <c r="J511">
        <v>2003</v>
      </c>
      <c r="K511" t="s">
        <v>550</v>
      </c>
      <c r="L511">
        <v>53</v>
      </c>
      <c r="M511" t="s">
        <v>564</v>
      </c>
      <c r="N511" t="s">
        <v>558</v>
      </c>
      <c r="O511" t="s">
        <v>559</v>
      </c>
      <c r="P511" t="s">
        <v>560</v>
      </c>
      <c r="R511" t="s">
        <v>561</v>
      </c>
      <c r="S511" t="s">
        <v>94</v>
      </c>
      <c r="T511">
        <v>3150</v>
      </c>
      <c r="U511" t="s">
        <v>95</v>
      </c>
      <c r="V511" t="s">
        <v>96</v>
      </c>
      <c r="W511" t="s">
        <v>562</v>
      </c>
      <c r="X511" t="s">
        <v>563</v>
      </c>
      <c r="Y511" t="s">
        <v>36</v>
      </c>
    </row>
    <row r="512" spans="1:25" x14ac:dyDescent="0.25">
      <c r="A512">
        <v>10205</v>
      </c>
      <c r="B512">
        <v>48</v>
      </c>
      <c r="C512">
        <v>63.61</v>
      </c>
      <c r="D512">
        <v>1</v>
      </c>
      <c r="E512">
        <v>3053.28</v>
      </c>
      <c r="F512" s="1">
        <v>37958</v>
      </c>
      <c r="G512" t="s">
        <v>25</v>
      </c>
      <c r="H512">
        <v>4</v>
      </c>
      <c r="I512">
        <v>12</v>
      </c>
      <c r="J512">
        <v>2003</v>
      </c>
      <c r="K512" t="s">
        <v>550</v>
      </c>
      <c r="L512">
        <v>53</v>
      </c>
      <c r="M512" t="s">
        <v>564</v>
      </c>
      <c r="N512" t="s">
        <v>174</v>
      </c>
      <c r="O512" t="s">
        <v>175</v>
      </c>
      <c r="P512" t="s">
        <v>176</v>
      </c>
      <c r="R512" t="s">
        <v>177</v>
      </c>
      <c r="T512">
        <v>28034</v>
      </c>
      <c r="U512" t="s">
        <v>178</v>
      </c>
      <c r="V512" t="s">
        <v>42</v>
      </c>
      <c r="W512" t="s">
        <v>179</v>
      </c>
      <c r="X512" t="s">
        <v>180</v>
      </c>
      <c r="Y512" t="s">
        <v>51</v>
      </c>
    </row>
    <row r="513" spans="1:25" x14ac:dyDescent="0.25">
      <c r="A513">
        <v>10215</v>
      </c>
      <c r="B513">
        <v>33</v>
      </c>
      <c r="C513">
        <v>43.13</v>
      </c>
      <c r="D513">
        <v>9</v>
      </c>
      <c r="E513">
        <v>1423.29</v>
      </c>
      <c r="F513" s="1">
        <v>38015</v>
      </c>
      <c r="G513" t="s">
        <v>25</v>
      </c>
      <c r="H513">
        <v>1</v>
      </c>
      <c r="I513">
        <v>1</v>
      </c>
      <c r="J513">
        <v>2004</v>
      </c>
      <c r="K513" t="s">
        <v>550</v>
      </c>
      <c r="L513">
        <v>53</v>
      </c>
      <c r="M513" t="s">
        <v>564</v>
      </c>
      <c r="N513" t="s">
        <v>234</v>
      </c>
      <c r="O513">
        <v>3105553722</v>
      </c>
      <c r="P513" t="s">
        <v>235</v>
      </c>
      <c r="R513" t="s">
        <v>236</v>
      </c>
      <c r="S513" t="s">
        <v>55</v>
      </c>
      <c r="T513">
        <v>94019</v>
      </c>
      <c r="U513" t="s">
        <v>32</v>
      </c>
      <c r="V513" t="s">
        <v>33</v>
      </c>
      <c r="W513" t="s">
        <v>237</v>
      </c>
      <c r="X513" t="s">
        <v>238</v>
      </c>
      <c r="Y513" t="s">
        <v>36</v>
      </c>
    </row>
    <row r="514" spans="1:25" x14ac:dyDescent="0.25">
      <c r="A514">
        <v>10227</v>
      </c>
      <c r="B514">
        <v>31</v>
      </c>
      <c r="C514">
        <v>48.52</v>
      </c>
      <c r="D514">
        <v>2</v>
      </c>
      <c r="E514">
        <v>1504.12</v>
      </c>
      <c r="F514" s="1">
        <v>38048</v>
      </c>
      <c r="G514" t="s">
        <v>25</v>
      </c>
      <c r="H514">
        <v>1</v>
      </c>
      <c r="I514">
        <v>3</v>
      </c>
      <c r="J514">
        <v>2004</v>
      </c>
      <c r="K514" t="s">
        <v>550</v>
      </c>
      <c r="L514">
        <v>53</v>
      </c>
      <c r="M514" t="s">
        <v>564</v>
      </c>
      <c r="N514" t="s">
        <v>219</v>
      </c>
      <c r="O514" t="s">
        <v>220</v>
      </c>
      <c r="P514" t="s">
        <v>221</v>
      </c>
      <c r="R514" t="s">
        <v>222</v>
      </c>
      <c r="T514">
        <v>69004</v>
      </c>
      <c r="U514" t="s">
        <v>41</v>
      </c>
      <c r="V514" t="s">
        <v>42</v>
      </c>
      <c r="W514" t="s">
        <v>223</v>
      </c>
      <c r="X514" t="s">
        <v>224</v>
      </c>
      <c r="Y514" t="s">
        <v>36</v>
      </c>
    </row>
    <row r="515" spans="1:25" x14ac:dyDescent="0.25">
      <c r="A515">
        <v>10244</v>
      </c>
      <c r="B515">
        <v>20</v>
      </c>
      <c r="C515">
        <v>58.22</v>
      </c>
      <c r="D515">
        <v>6</v>
      </c>
      <c r="E515">
        <v>1164.4000000000001</v>
      </c>
      <c r="F515" s="1">
        <v>38106</v>
      </c>
      <c r="G515" t="s">
        <v>25</v>
      </c>
      <c r="H515">
        <v>2</v>
      </c>
      <c r="I515">
        <v>4</v>
      </c>
      <c r="J515">
        <v>2004</v>
      </c>
      <c r="K515" t="s">
        <v>550</v>
      </c>
      <c r="L515">
        <v>53</v>
      </c>
      <c r="M515" t="s">
        <v>564</v>
      </c>
      <c r="N515" t="s">
        <v>174</v>
      </c>
      <c r="O515" t="s">
        <v>175</v>
      </c>
      <c r="P515" t="s">
        <v>176</v>
      </c>
      <c r="R515" t="s">
        <v>177</v>
      </c>
      <c r="T515">
        <v>28034</v>
      </c>
      <c r="U515" t="s">
        <v>178</v>
      </c>
      <c r="V515" t="s">
        <v>42</v>
      </c>
      <c r="W515" t="s">
        <v>179</v>
      </c>
      <c r="X515" t="s">
        <v>180</v>
      </c>
      <c r="Y515" t="s">
        <v>36</v>
      </c>
    </row>
    <row r="516" spans="1:25" x14ac:dyDescent="0.25">
      <c r="A516">
        <v>10256</v>
      </c>
      <c r="B516">
        <v>29</v>
      </c>
      <c r="C516">
        <v>51.75</v>
      </c>
      <c r="D516">
        <v>1</v>
      </c>
      <c r="E516">
        <v>1500.75</v>
      </c>
      <c r="F516" s="1">
        <v>38146</v>
      </c>
      <c r="G516" t="s">
        <v>25</v>
      </c>
      <c r="H516">
        <v>2</v>
      </c>
      <c r="I516">
        <v>6</v>
      </c>
      <c r="J516">
        <v>2004</v>
      </c>
      <c r="K516" t="s">
        <v>550</v>
      </c>
      <c r="L516">
        <v>53</v>
      </c>
      <c r="M516" t="s">
        <v>564</v>
      </c>
      <c r="N516" t="s">
        <v>322</v>
      </c>
      <c r="O516" t="s">
        <v>323</v>
      </c>
      <c r="P516" t="s">
        <v>324</v>
      </c>
      <c r="R516" t="s">
        <v>325</v>
      </c>
      <c r="T516">
        <v>1734</v>
      </c>
      <c r="U516" t="s">
        <v>326</v>
      </c>
      <c r="V516" t="s">
        <v>42</v>
      </c>
      <c r="W516" t="s">
        <v>327</v>
      </c>
      <c r="X516" t="s">
        <v>328</v>
      </c>
      <c r="Y516" t="s">
        <v>36</v>
      </c>
    </row>
    <row r="517" spans="1:25" x14ac:dyDescent="0.25">
      <c r="A517">
        <v>10280</v>
      </c>
      <c r="B517">
        <v>27</v>
      </c>
      <c r="C517">
        <v>57.68</v>
      </c>
      <c r="D517">
        <v>8</v>
      </c>
      <c r="E517">
        <v>1557.36</v>
      </c>
      <c r="F517" s="1">
        <v>38216</v>
      </c>
      <c r="G517" t="s">
        <v>25</v>
      </c>
      <c r="H517">
        <v>3</v>
      </c>
      <c r="I517">
        <v>8</v>
      </c>
      <c r="J517">
        <v>2004</v>
      </c>
      <c r="K517" t="s">
        <v>550</v>
      </c>
      <c r="L517">
        <v>53</v>
      </c>
      <c r="M517" t="s">
        <v>564</v>
      </c>
      <c r="N517" t="s">
        <v>254</v>
      </c>
      <c r="O517" t="s">
        <v>255</v>
      </c>
      <c r="P517" t="s">
        <v>256</v>
      </c>
      <c r="R517" t="s">
        <v>257</v>
      </c>
      <c r="T517">
        <v>10100</v>
      </c>
      <c r="U517" t="s">
        <v>258</v>
      </c>
      <c r="V517" t="s">
        <v>42</v>
      </c>
      <c r="W517" t="s">
        <v>259</v>
      </c>
      <c r="X517" t="s">
        <v>260</v>
      </c>
      <c r="Y517" t="s">
        <v>36</v>
      </c>
    </row>
    <row r="518" spans="1:25" x14ac:dyDescent="0.25">
      <c r="A518">
        <v>10289</v>
      </c>
      <c r="B518">
        <v>24</v>
      </c>
      <c r="C518">
        <v>56.07</v>
      </c>
      <c r="D518">
        <v>1</v>
      </c>
      <c r="E518">
        <v>1345.68</v>
      </c>
      <c r="F518" s="1">
        <v>38233</v>
      </c>
      <c r="G518" t="s">
        <v>25</v>
      </c>
      <c r="H518">
        <v>3</v>
      </c>
      <c r="I518">
        <v>9</v>
      </c>
      <c r="J518">
        <v>2004</v>
      </c>
      <c r="K518" t="s">
        <v>550</v>
      </c>
      <c r="L518">
        <v>53</v>
      </c>
      <c r="M518" t="s">
        <v>564</v>
      </c>
      <c r="N518" t="s">
        <v>73</v>
      </c>
      <c r="O518" t="s">
        <v>74</v>
      </c>
      <c r="P518" t="s">
        <v>75</v>
      </c>
      <c r="R518" t="s">
        <v>76</v>
      </c>
      <c r="T518" t="s">
        <v>77</v>
      </c>
      <c r="U518" t="s">
        <v>78</v>
      </c>
      <c r="V518" t="s">
        <v>42</v>
      </c>
      <c r="W518" t="s">
        <v>79</v>
      </c>
      <c r="X518" t="s">
        <v>80</v>
      </c>
      <c r="Y518" t="s">
        <v>36</v>
      </c>
    </row>
    <row r="519" spans="1:25" x14ac:dyDescent="0.25">
      <c r="A519">
        <v>10304</v>
      </c>
      <c r="B519">
        <v>37</v>
      </c>
      <c r="C519">
        <v>48.52</v>
      </c>
      <c r="D519">
        <v>12</v>
      </c>
      <c r="E519">
        <v>1795.24</v>
      </c>
      <c r="F519" s="1">
        <v>38271</v>
      </c>
      <c r="G519" t="s">
        <v>25</v>
      </c>
      <c r="H519">
        <v>4</v>
      </c>
      <c r="I519">
        <v>10</v>
      </c>
      <c r="J519">
        <v>2004</v>
      </c>
      <c r="K519" t="s">
        <v>550</v>
      </c>
      <c r="L519">
        <v>53</v>
      </c>
      <c r="M519" t="s">
        <v>564</v>
      </c>
      <c r="N519" t="s">
        <v>267</v>
      </c>
      <c r="O519" t="s">
        <v>268</v>
      </c>
      <c r="P519" t="s">
        <v>269</v>
      </c>
      <c r="R519" t="s">
        <v>270</v>
      </c>
      <c r="T519">
        <v>78000</v>
      </c>
      <c r="U519" t="s">
        <v>41</v>
      </c>
      <c r="V519" t="s">
        <v>42</v>
      </c>
      <c r="W519" t="s">
        <v>271</v>
      </c>
      <c r="X519" t="s">
        <v>50</v>
      </c>
      <c r="Y519" t="s">
        <v>36</v>
      </c>
    </row>
    <row r="520" spans="1:25" x14ac:dyDescent="0.25">
      <c r="A520">
        <v>10312</v>
      </c>
      <c r="B520">
        <v>25</v>
      </c>
      <c r="C520">
        <v>44.21</v>
      </c>
      <c r="D520">
        <v>9</v>
      </c>
      <c r="E520">
        <v>1105.25</v>
      </c>
      <c r="F520" s="1">
        <v>38281</v>
      </c>
      <c r="G520" t="s">
        <v>25</v>
      </c>
      <c r="H520">
        <v>4</v>
      </c>
      <c r="I520">
        <v>10</v>
      </c>
      <c r="J520">
        <v>2004</v>
      </c>
      <c r="K520" t="s">
        <v>550</v>
      </c>
      <c r="L520">
        <v>53</v>
      </c>
      <c r="M520" t="s">
        <v>564</v>
      </c>
      <c r="N520" t="s">
        <v>272</v>
      </c>
      <c r="O520">
        <v>4155551450</v>
      </c>
      <c r="P520" t="s">
        <v>273</v>
      </c>
      <c r="R520" t="s">
        <v>274</v>
      </c>
      <c r="S520" t="s">
        <v>55</v>
      </c>
      <c r="T520">
        <v>97562</v>
      </c>
      <c r="U520" t="s">
        <v>32</v>
      </c>
      <c r="V520" t="s">
        <v>33</v>
      </c>
      <c r="W520" t="s">
        <v>275</v>
      </c>
      <c r="X520" t="s">
        <v>276</v>
      </c>
      <c r="Y520" t="s">
        <v>36</v>
      </c>
    </row>
    <row r="521" spans="1:25" x14ac:dyDescent="0.25">
      <c r="A521">
        <v>10322</v>
      </c>
      <c r="B521">
        <v>41</v>
      </c>
      <c r="C521">
        <v>57.68</v>
      </c>
      <c r="D521">
        <v>5</v>
      </c>
      <c r="E521">
        <v>2364.88</v>
      </c>
      <c r="F521" s="1">
        <v>38295</v>
      </c>
      <c r="G521" t="s">
        <v>25</v>
      </c>
      <c r="H521">
        <v>4</v>
      </c>
      <c r="I521">
        <v>11</v>
      </c>
      <c r="J521">
        <v>2004</v>
      </c>
      <c r="K521" t="s">
        <v>550</v>
      </c>
      <c r="L521">
        <v>53</v>
      </c>
      <c r="M521" t="s">
        <v>564</v>
      </c>
      <c r="N521" t="s">
        <v>277</v>
      </c>
      <c r="O521">
        <v>6035558647</v>
      </c>
      <c r="P521" t="s">
        <v>278</v>
      </c>
      <c r="R521" t="s">
        <v>279</v>
      </c>
      <c r="S521" t="s">
        <v>280</v>
      </c>
      <c r="T521">
        <v>62005</v>
      </c>
      <c r="U521" t="s">
        <v>32</v>
      </c>
      <c r="V521" t="s">
        <v>33</v>
      </c>
      <c r="W521" t="s">
        <v>56</v>
      </c>
      <c r="X521" t="s">
        <v>276</v>
      </c>
      <c r="Y521" t="s">
        <v>36</v>
      </c>
    </row>
    <row r="522" spans="1:25" x14ac:dyDescent="0.25">
      <c r="A522">
        <v>10332</v>
      </c>
      <c r="B522">
        <v>27</v>
      </c>
      <c r="C522">
        <v>89.89</v>
      </c>
      <c r="D522">
        <v>16</v>
      </c>
      <c r="E522">
        <v>2427.0300000000002</v>
      </c>
      <c r="F522" s="1">
        <v>38308</v>
      </c>
      <c r="G522" t="s">
        <v>25</v>
      </c>
      <c r="H522">
        <v>4</v>
      </c>
      <c r="I522">
        <v>11</v>
      </c>
      <c r="J522">
        <v>2004</v>
      </c>
      <c r="K522" t="s">
        <v>550</v>
      </c>
      <c r="L522">
        <v>53</v>
      </c>
      <c r="M522" t="s">
        <v>564</v>
      </c>
      <c r="N522" t="s">
        <v>492</v>
      </c>
      <c r="O522" t="s">
        <v>493</v>
      </c>
      <c r="P522" t="s">
        <v>494</v>
      </c>
      <c r="R522" t="s">
        <v>495</v>
      </c>
      <c r="T522" t="s">
        <v>496</v>
      </c>
      <c r="U522" t="s">
        <v>170</v>
      </c>
      <c r="V522" t="s">
        <v>42</v>
      </c>
      <c r="W522" t="s">
        <v>497</v>
      </c>
      <c r="X522" t="s">
        <v>94</v>
      </c>
      <c r="Y522" t="s">
        <v>36</v>
      </c>
    </row>
    <row r="523" spans="1:25" x14ac:dyDescent="0.25">
      <c r="A523">
        <v>10347</v>
      </c>
      <c r="B523">
        <v>21</v>
      </c>
      <c r="C523">
        <v>58.95</v>
      </c>
      <c r="D523">
        <v>7</v>
      </c>
      <c r="E523">
        <v>1237.95</v>
      </c>
      <c r="F523" s="1">
        <v>38320</v>
      </c>
      <c r="G523" t="s">
        <v>25</v>
      </c>
      <c r="H523">
        <v>4</v>
      </c>
      <c r="I523">
        <v>11</v>
      </c>
      <c r="J523">
        <v>2004</v>
      </c>
      <c r="K523" t="s">
        <v>550</v>
      </c>
      <c r="L523">
        <v>53</v>
      </c>
      <c r="M523" t="s">
        <v>564</v>
      </c>
      <c r="N523" t="s">
        <v>89</v>
      </c>
      <c r="O523" t="s">
        <v>90</v>
      </c>
      <c r="P523" t="s">
        <v>91</v>
      </c>
      <c r="Q523" t="s">
        <v>92</v>
      </c>
      <c r="R523" t="s">
        <v>93</v>
      </c>
      <c r="S523" t="s">
        <v>94</v>
      </c>
      <c r="T523">
        <v>3004</v>
      </c>
      <c r="U523" t="s">
        <v>95</v>
      </c>
      <c r="V523" t="s">
        <v>96</v>
      </c>
      <c r="W523" t="s">
        <v>97</v>
      </c>
      <c r="X523" t="s">
        <v>98</v>
      </c>
      <c r="Y523" t="s">
        <v>36</v>
      </c>
    </row>
    <row r="524" spans="1:25" x14ac:dyDescent="0.25">
      <c r="A524">
        <v>10356</v>
      </c>
      <c r="B524">
        <v>22</v>
      </c>
      <c r="C524">
        <v>72.41</v>
      </c>
      <c r="D524">
        <v>6</v>
      </c>
      <c r="E524">
        <v>1593.02</v>
      </c>
      <c r="F524" s="1">
        <v>38330</v>
      </c>
      <c r="G524" t="s">
        <v>25</v>
      </c>
      <c r="H524">
        <v>4</v>
      </c>
      <c r="I524">
        <v>12</v>
      </c>
      <c r="J524">
        <v>2004</v>
      </c>
      <c r="K524" t="s">
        <v>550</v>
      </c>
      <c r="L524">
        <v>53</v>
      </c>
      <c r="M524" t="s">
        <v>564</v>
      </c>
      <c r="N524" t="s">
        <v>45</v>
      </c>
      <c r="O524" t="s">
        <v>46</v>
      </c>
      <c r="P524" t="s">
        <v>47</v>
      </c>
      <c r="R524" t="s">
        <v>48</v>
      </c>
      <c r="T524">
        <v>75508</v>
      </c>
      <c r="U524" t="s">
        <v>41</v>
      </c>
      <c r="V524" t="s">
        <v>42</v>
      </c>
      <c r="W524" t="s">
        <v>49</v>
      </c>
      <c r="X524" t="s">
        <v>50</v>
      </c>
      <c r="Y524" t="s">
        <v>36</v>
      </c>
    </row>
    <row r="525" spans="1:25" x14ac:dyDescent="0.25">
      <c r="A525">
        <v>10369</v>
      </c>
      <c r="B525">
        <v>32</v>
      </c>
      <c r="C525">
        <v>98.63</v>
      </c>
      <c r="D525">
        <v>7</v>
      </c>
      <c r="E525">
        <v>3156.16</v>
      </c>
      <c r="F525" s="1">
        <v>38372</v>
      </c>
      <c r="G525" t="s">
        <v>25</v>
      </c>
      <c r="H525">
        <v>1</v>
      </c>
      <c r="I525">
        <v>1</v>
      </c>
      <c r="J525">
        <v>2005</v>
      </c>
      <c r="K525" t="s">
        <v>550</v>
      </c>
      <c r="L525">
        <v>53</v>
      </c>
      <c r="M525" t="s">
        <v>564</v>
      </c>
      <c r="N525" t="s">
        <v>281</v>
      </c>
      <c r="O525">
        <v>6175558555</v>
      </c>
      <c r="P525" t="s">
        <v>282</v>
      </c>
      <c r="R525" t="s">
        <v>283</v>
      </c>
      <c r="S525" t="s">
        <v>123</v>
      </c>
      <c r="T525">
        <v>58339</v>
      </c>
      <c r="U525" t="s">
        <v>32</v>
      </c>
      <c r="V525" t="s">
        <v>33</v>
      </c>
      <c r="W525" t="s">
        <v>275</v>
      </c>
      <c r="X525" t="s">
        <v>284</v>
      </c>
      <c r="Y525" t="s">
        <v>51</v>
      </c>
    </row>
    <row r="526" spans="1:25" x14ac:dyDescent="0.25">
      <c r="A526">
        <v>10381</v>
      </c>
      <c r="B526">
        <v>25</v>
      </c>
      <c r="C526">
        <v>52.83</v>
      </c>
      <c r="D526">
        <v>9</v>
      </c>
      <c r="E526">
        <v>1320.75</v>
      </c>
      <c r="F526" s="1">
        <v>38400</v>
      </c>
      <c r="G526" t="s">
        <v>25</v>
      </c>
      <c r="H526">
        <v>1</v>
      </c>
      <c r="I526">
        <v>2</v>
      </c>
      <c r="J526">
        <v>2005</v>
      </c>
      <c r="K526" t="s">
        <v>550</v>
      </c>
      <c r="L526">
        <v>53</v>
      </c>
      <c r="M526" t="s">
        <v>564</v>
      </c>
      <c r="N526" t="s">
        <v>58</v>
      </c>
      <c r="O526">
        <v>6505551386</v>
      </c>
      <c r="P526" t="s">
        <v>59</v>
      </c>
      <c r="R526" t="s">
        <v>60</v>
      </c>
      <c r="S526" t="s">
        <v>55</v>
      </c>
      <c r="U526" t="s">
        <v>32</v>
      </c>
      <c r="V526" t="s">
        <v>33</v>
      </c>
      <c r="W526" t="s">
        <v>61</v>
      </c>
      <c r="X526" t="s">
        <v>57</v>
      </c>
      <c r="Y526" t="s">
        <v>36</v>
      </c>
    </row>
    <row r="527" spans="1:25" x14ac:dyDescent="0.25">
      <c r="A527">
        <v>10391</v>
      </c>
      <c r="B527">
        <v>42</v>
      </c>
      <c r="C527">
        <v>100</v>
      </c>
      <c r="D527">
        <v>3</v>
      </c>
      <c r="E527">
        <v>4998</v>
      </c>
      <c r="F527" s="1">
        <v>38420</v>
      </c>
      <c r="G527" t="s">
        <v>25</v>
      </c>
      <c r="H527">
        <v>1</v>
      </c>
      <c r="I527">
        <v>3</v>
      </c>
      <c r="J527">
        <v>2005</v>
      </c>
      <c r="K527" t="s">
        <v>550</v>
      </c>
      <c r="L527">
        <v>53</v>
      </c>
      <c r="M527" t="s">
        <v>564</v>
      </c>
      <c r="N527" t="s">
        <v>285</v>
      </c>
      <c r="O527" t="s">
        <v>286</v>
      </c>
      <c r="P527" t="s">
        <v>287</v>
      </c>
      <c r="Q527" t="s">
        <v>288</v>
      </c>
      <c r="R527" t="s">
        <v>289</v>
      </c>
      <c r="S527" t="s">
        <v>157</v>
      </c>
      <c r="T527">
        <v>2060</v>
      </c>
      <c r="U527" t="s">
        <v>95</v>
      </c>
      <c r="V527" t="s">
        <v>96</v>
      </c>
      <c r="W527" t="s">
        <v>290</v>
      </c>
      <c r="X527" t="s">
        <v>291</v>
      </c>
      <c r="Y527" t="s">
        <v>51</v>
      </c>
    </row>
    <row r="528" spans="1:25" x14ac:dyDescent="0.25">
      <c r="A528">
        <v>10422</v>
      </c>
      <c r="B528">
        <v>25</v>
      </c>
      <c r="C528">
        <v>51.75</v>
      </c>
      <c r="D528">
        <v>1</v>
      </c>
      <c r="E528">
        <v>1293.75</v>
      </c>
      <c r="F528" s="1">
        <v>38502</v>
      </c>
      <c r="G528" t="s">
        <v>300</v>
      </c>
      <c r="H528">
        <v>2</v>
      </c>
      <c r="I528">
        <v>5</v>
      </c>
      <c r="J528">
        <v>2005</v>
      </c>
      <c r="K528" t="s">
        <v>550</v>
      </c>
      <c r="L528">
        <v>53</v>
      </c>
      <c r="M528" t="s">
        <v>564</v>
      </c>
      <c r="N528" t="s">
        <v>139</v>
      </c>
      <c r="O528">
        <v>2155551555</v>
      </c>
      <c r="P528" t="s">
        <v>140</v>
      </c>
      <c r="R528" t="s">
        <v>141</v>
      </c>
      <c r="S528" t="s">
        <v>142</v>
      </c>
      <c r="T528">
        <v>70267</v>
      </c>
      <c r="U528" t="s">
        <v>32</v>
      </c>
      <c r="V528" t="s">
        <v>33</v>
      </c>
      <c r="W528" t="s">
        <v>34</v>
      </c>
      <c r="X528" t="s">
        <v>143</v>
      </c>
      <c r="Y528" t="s">
        <v>36</v>
      </c>
    </row>
    <row r="529" spans="1:25" x14ac:dyDescent="0.25">
      <c r="A529">
        <v>10110</v>
      </c>
      <c r="B529">
        <v>37</v>
      </c>
      <c r="C529">
        <v>100</v>
      </c>
      <c r="D529">
        <v>16</v>
      </c>
      <c r="E529">
        <v>5433.08</v>
      </c>
      <c r="F529" s="1">
        <v>37698</v>
      </c>
      <c r="G529" t="s">
        <v>25</v>
      </c>
      <c r="H529">
        <v>1</v>
      </c>
      <c r="I529">
        <v>3</v>
      </c>
      <c r="J529">
        <v>2003</v>
      </c>
      <c r="K529" t="s">
        <v>181</v>
      </c>
      <c r="L529">
        <v>124</v>
      </c>
      <c r="M529" t="s">
        <v>565</v>
      </c>
      <c r="N529" t="s">
        <v>492</v>
      </c>
      <c r="O529" t="s">
        <v>493</v>
      </c>
      <c r="P529" t="s">
        <v>494</v>
      </c>
      <c r="R529" t="s">
        <v>495</v>
      </c>
      <c r="T529" t="s">
        <v>496</v>
      </c>
      <c r="U529" t="s">
        <v>170</v>
      </c>
      <c r="V529" t="s">
        <v>42</v>
      </c>
      <c r="W529" t="s">
        <v>497</v>
      </c>
      <c r="X529" t="s">
        <v>94</v>
      </c>
      <c r="Y529" t="s">
        <v>51</v>
      </c>
    </row>
    <row r="530" spans="1:25" x14ac:dyDescent="0.25">
      <c r="A530">
        <v>10123</v>
      </c>
      <c r="B530">
        <v>26</v>
      </c>
      <c r="C530">
        <v>100</v>
      </c>
      <c r="D530">
        <v>2</v>
      </c>
      <c r="E530">
        <v>3073.72</v>
      </c>
      <c r="F530" s="1">
        <v>37761</v>
      </c>
      <c r="G530" t="s">
        <v>25</v>
      </c>
      <c r="H530">
        <v>2</v>
      </c>
      <c r="I530">
        <v>5</v>
      </c>
      <c r="J530">
        <v>2003</v>
      </c>
      <c r="K530" t="s">
        <v>181</v>
      </c>
      <c r="L530">
        <v>124</v>
      </c>
      <c r="M530" t="s">
        <v>565</v>
      </c>
      <c r="N530" t="s">
        <v>312</v>
      </c>
      <c r="O530" t="s">
        <v>313</v>
      </c>
      <c r="P530" t="s">
        <v>314</v>
      </c>
      <c r="R530" t="s">
        <v>117</v>
      </c>
      <c r="T530">
        <v>44000</v>
      </c>
      <c r="U530" t="s">
        <v>41</v>
      </c>
      <c r="V530" t="s">
        <v>42</v>
      </c>
      <c r="W530" t="s">
        <v>315</v>
      </c>
      <c r="X530" t="s">
        <v>316</v>
      </c>
      <c r="Y530" t="s">
        <v>51</v>
      </c>
    </row>
    <row r="531" spans="1:25" x14ac:dyDescent="0.25">
      <c r="A531">
        <v>10137</v>
      </c>
      <c r="B531">
        <v>44</v>
      </c>
      <c r="C531">
        <v>99.55</v>
      </c>
      <c r="D531">
        <v>2</v>
      </c>
      <c r="E531">
        <v>4380.2</v>
      </c>
      <c r="F531" s="1">
        <v>37812</v>
      </c>
      <c r="G531" t="s">
        <v>25</v>
      </c>
      <c r="H531">
        <v>3</v>
      </c>
      <c r="I531">
        <v>7</v>
      </c>
      <c r="J531">
        <v>2003</v>
      </c>
      <c r="K531" t="s">
        <v>181</v>
      </c>
      <c r="L531">
        <v>124</v>
      </c>
      <c r="M531" t="s">
        <v>565</v>
      </c>
      <c r="N531" t="s">
        <v>37</v>
      </c>
      <c r="O531" t="s">
        <v>38</v>
      </c>
      <c r="P531" t="s">
        <v>39</v>
      </c>
      <c r="R531" t="s">
        <v>40</v>
      </c>
      <c r="T531">
        <v>51100</v>
      </c>
      <c r="U531" t="s">
        <v>41</v>
      </c>
      <c r="V531" t="s">
        <v>42</v>
      </c>
      <c r="W531" t="s">
        <v>43</v>
      </c>
      <c r="X531" t="s">
        <v>44</v>
      </c>
      <c r="Y531" t="s">
        <v>51</v>
      </c>
    </row>
    <row r="532" spans="1:25" x14ac:dyDescent="0.25">
      <c r="A532">
        <v>10148</v>
      </c>
      <c r="B532">
        <v>47</v>
      </c>
      <c r="C532">
        <v>100</v>
      </c>
      <c r="D532">
        <v>9</v>
      </c>
      <c r="E532">
        <v>5848.68</v>
      </c>
      <c r="F532" s="1">
        <v>37875</v>
      </c>
      <c r="G532" t="s">
        <v>25</v>
      </c>
      <c r="H532">
        <v>3</v>
      </c>
      <c r="I532">
        <v>9</v>
      </c>
      <c r="J532">
        <v>2003</v>
      </c>
      <c r="K532" t="s">
        <v>181</v>
      </c>
      <c r="L532">
        <v>124</v>
      </c>
      <c r="M532" t="s">
        <v>565</v>
      </c>
      <c r="N532" t="s">
        <v>285</v>
      </c>
      <c r="O532" t="s">
        <v>286</v>
      </c>
      <c r="P532" t="s">
        <v>287</v>
      </c>
      <c r="Q532" t="s">
        <v>288</v>
      </c>
      <c r="R532" t="s">
        <v>289</v>
      </c>
      <c r="S532" t="s">
        <v>157</v>
      </c>
      <c r="T532">
        <v>2060</v>
      </c>
      <c r="U532" t="s">
        <v>95</v>
      </c>
      <c r="V532" t="s">
        <v>96</v>
      </c>
      <c r="W532" t="s">
        <v>290</v>
      </c>
      <c r="X532" t="s">
        <v>291</v>
      </c>
      <c r="Y532" t="s">
        <v>51</v>
      </c>
    </row>
    <row r="533" spans="1:25" x14ac:dyDescent="0.25">
      <c r="A533">
        <v>10161</v>
      </c>
      <c r="B533">
        <v>43</v>
      </c>
      <c r="C533">
        <v>100</v>
      </c>
      <c r="D533">
        <v>8</v>
      </c>
      <c r="E533">
        <v>6153.73</v>
      </c>
      <c r="F533" s="1">
        <v>37911</v>
      </c>
      <c r="G533" t="s">
        <v>25</v>
      </c>
      <c r="H533">
        <v>4</v>
      </c>
      <c r="I533">
        <v>10</v>
      </c>
      <c r="J533">
        <v>2003</v>
      </c>
      <c r="K533" t="s">
        <v>181</v>
      </c>
      <c r="L533">
        <v>124</v>
      </c>
      <c r="M533" t="s">
        <v>565</v>
      </c>
      <c r="N533" t="s">
        <v>498</v>
      </c>
      <c r="O533" t="s">
        <v>499</v>
      </c>
      <c r="P533" t="s">
        <v>500</v>
      </c>
      <c r="R533" t="s">
        <v>501</v>
      </c>
      <c r="T533">
        <v>8200</v>
      </c>
      <c r="U533" t="s">
        <v>326</v>
      </c>
      <c r="V533" t="s">
        <v>42</v>
      </c>
      <c r="W533" t="s">
        <v>502</v>
      </c>
      <c r="X533" t="s">
        <v>503</v>
      </c>
      <c r="Y533" t="s">
        <v>51</v>
      </c>
    </row>
    <row r="534" spans="1:25" x14ac:dyDescent="0.25">
      <c r="A534">
        <v>10172</v>
      </c>
      <c r="B534">
        <v>42</v>
      </c>
      <c r="C534">
        <v>100</v>
      </c>
      <c r="D534">
        <v>6</v>
      </c>
      <c r="E534">
        <v>4965.24</v>
      </c>
      <c r="F534" s="1">
        <v>37930</v>
      </c>
      <c r="G534" t="s">
        <v>25</v>
      </c>
      <c r="H534">
        <v>4</v>
      </c>
      <c r="I534">
        <v>11</v>
      </c>
      <c r="J534">
        <v>2003</v>
      </c>
      <c r="K534" t="s">
        <v>181</v>
      </c>
      <c r="L534">
        <v>124</v>
      </c>
      <c r="M534" t="s">
        <v>565</v>
      </c>
      <c r="N534" t="s">
        <v>109</v>
      </c>
      <c r="O534">
        <v>2035552570</v>
      </c>
      <c r="P534" t="s">
        <v>110</v>
      </c>
      <c r="R534" t="s">
        <v>111</v>
      </c>
      <c r="S534" t="s">
        <v>112</v>
      </c>
      <c r="T534">
        <v>97562</v>
      </c>
      <c r="U534" t="s">
        <v>32</v>
      </c>
      <c r="V534" t="s">
        <v>33</v>
      </c>
      <c r="W534" t="s">
        <v>113</v>
      </c>
      <c r="X534" t="s">
        <v>57</v>
      </c>
      <c r="Y534" t="s">
        <v>51</v>
      </c>
    </row>
    <row r="535" spans="1:25" x14ac:dyDescent="0.25">
      <c r="A535">
        <v>10181</v>
      </c>
      <c r="B535">
        <v>42</v>
      </c>
      <c r="C535">
        <v>100</v>
      </c>
      <c r="D535">
        <v>2</v>
      </c>
      <c r="E535">
        <v>5435.64</v>
      </c>
      <c r="F535" s="1">
        <v>37937</v>
      </c>
      <c r="G535" t="s">
        <v>25</v>
      </c>
      <c r="H535">
        <v>4</v>
      </c>
      <c r="I535">
        <v>11</v>
      </c>
      <c r="J535">
        <v>2003</v>
      </c>
      <c r="K535" t="s">
        <v>181</v>
      </c>
      <c r="L535">
        <v>124</v>
      </c>
      <c r="M535" t="s">
        <v>565</v>
      </c>
      <c r="N535" t="s">
        <v>73</v>
      </c>
      <c r="O535" t="s">
        <v>74</v>
      </c>
      <c r="P535" t="s">
        <v>75</v>
      </c>
      <c r="R535" t="s">
        <v>76</v>
      </c>
      <c r="T535" t="s">
        <v>77</v>
      </c>
      <c r="U535" t="s">
        <v>78</v>
      </c>
      <c r="V535" t="s">
        <v>42</v>
      </c>
      <c r="W535" t="s">
        <v>79</v>
      </c>
      <c r="X535" t="s">
        <v>80</v>
      </c>
      <c r="Y535" t="s">
        <v>51</v>
      </c>
    </row>
    <row r="536" spans="1:25" x14ac:dyDescent="0.25">
      <c r="A536">
        <v>10192</v>
      </c>
      <c r="B536">
        <v>29</v>
      </c>
      <c r="C536">
        <v>100</v>
      </c>
      <c r="D536">
        <v>7</v>
      </c>
      <c r="E536">
        <v>4258.3599999999997</v>
      </c>
      <c r="F536" s="1">
        <v>37945</v>
      </c>
      <c r="G536" t="s">
        <v>25</v>
      </c>
      <c r="H536">
        <v>4</v>
      </c>
      <c r="I536">
        <v>11</v>
      </c>
      <c r="J536">
        <v>2003</v>
      </c>
      <c r="K536" t="s">
        <v>181</v>
      </c>
      <c r="L536">
        <v>124</v>
      </c>
      <c r="M536" t="s">
        <v>565</v>
      </c>
      <c r="N536" t="s">
        <v>277</v>
      </c>
      <c r="O536">
        <v>6035558647</v>
      </c>
      <c r="P536" t="s">
        <v>278</v>
      </c>
      <c r="R536" t="s">
        <v>279</v>
      </c>
      <c r="S536" t="s">
        <v>280</v>
      </c>
      <c r="T536">
        <v>62005</v>
      </c>
      <c r="U536" t="s">
        <v>32</v>
      </c>
      <c r="V536" t="s">
        <v>33</v>
      </c>
      <c r="W536" t="s">
        <v>56</v>
      </c>
      <c r="X536" t="s">
        <v>276</v>
      </c>
      <c r="Y536" t="s">
        <v>51</v>
      </c>
    </row>
    <row r="537" spans="1:25" x14ac:dyDescent="0.25">
      <c r="A537">
        <v>10204</v>
      </c>
      <c r="B537">
        <v>40</v>
      </c>
      <c r="C537">
        <v>100</v>
      </c>
      <c r="D537">
        <v>13</v>
      </c>
      <c r="E537">
        <v>4032</v>
      </c>
      <c r="F537" s="1">
        <v>37957</v>
      </c>
      <c r="G537" t="s">
        <v>25</v>
      </c>
      <c r="H537">
        <v>4</v>
      </c>
      <c r="I537">
        <v>12</v>
      </c>
      <c r="J537">
        <v>2003</v>
      </c>
      <c r="K537" t="s">
        <v>181</v>
      </c>
      <c r="L537">
        <v>124</v>
      </c>
      <c r="M537" t="s">
        <v>565</v>
      </c>
      <c r="N537" t="s">
        <v>475</v>
      </c>
      <c r="O537">
        <v>2125557413</v>
      </c>
      <c r="P537" t="s">
        <v>476</v>
      </c>
      <c r="Q537" t="s">
        <v>477</v>
      </c>
      <c r="R537" t="s">
        <v>30</v>
      </c>
      <c r="S537" t="s">
        <v>31</v>
      </c>
      <c r="T537">
        <v>10022</v>
      </c>
      <c r="U537" t="s">
        <v>32</v>
      </c>
      <c r="V537" t="s">
        <v>33</v>
      </c>
      <c r="W537" t="s">
        <v>56</v>
      </c>
      <c r="X537" t="s">
        <v>478</v>
      </c>
      <c r="Y537" t="s">
        <v>51</v>
      </c>
    </row>
    <row r="538" spans="1:25" x14ac:dyDescent="0.25">
      <c r="A538">
        <v>10212</v>
      </c>
      <c r="B538">
        <v>38</v>
      </c>
      <c r="C538">
        <v>100</v>
      </c>
      <c r="D538">
        <v>6</v>
      </c>
      <c r="E538">
        <v>4492.3599999999997</v>
      </c>
      <c r="F538" s="1">
        <v>38002</v>
      </c>
      <c r="G538" t="s">
        <v>25</v>
      </c>
      <c r="H538">
        <v>1</v>
      </c>
      <c r="I538">
        <v>1</v>
      </c>
      <c r="J538">
        <v>2004</v>
      </c>
      <c r="K538" t="s">
        <v>181</v>
      </c>
      <c r="L538">
        <v>124</v>
      </c>
      <c r="M538" t="s">
        <v>565</v>
      </c>
      <c r="N538" t="s">
        <v>174</v>
      </c>
      <c r="O538" t="s">
        <v>175</v>
      </c>
      <c r="P538" t="s">
        <v>176</v>
      </c>
      <c r="R538" t="s">
        <v>177</v>
      </c>
      <c r="T538">
        <v>28034</v>
      </c>
      <c r="U538" t="s">
        <v>178</v>
      </c>
      <c r="V538" t="s">
        <v>42</v>
      </c>
      <c r="W538" t="s">
        <v>179</v>
      </c>
      <c r="X538" t="s">
        <v>180</v>
      </c>
      <c r="Y538" t="s">
        <v>51</v>
      </c>
    </row>
    <row r="539" spans="1:25" x14ac:dyDescent="0.25">
      <c r="A539">
        <v>10226</v>
      </c>
      <c r="B539">
        <v>38</v>
      </c>
      <c r="C539">
        <v>100</v>
      </c>
      <c r="D539">
        <v>4</v>
      </c>
      <c r="E539">
        <v>4161.38</v>
      </c>
      <c r="F539" s="1">
        <v>38043</v>
      </c>
      <c r="G539" t="s">
        <v>25</v>
      </c>
      <c r="H539">
        <v>1</v>
      </c>
      <c r="I539">
        <v>2</v>
      </c>
      <c r="J539">
        <v>2004</v>
      </c>
      <c r="K539" t="s">
        <v>181</v>
      </c>
      <c r="L539">
        <v>124</v>
      </c>
      <c r="M539" t="s">
        <v>565</v>
      </c>
      <c r="N539" t="s">
        <v>362</v>
      </c>
      <c r="O539">
        <v>7605558146</v>
      </c>
      <c r="P539" t="s">
        <v>363</v>
      </c>
      <c r="R539" t="s">
        <v>364</v>
      </c>
      <c r="S539" t="s">
        <v>55</v>
      </c>
      <c r="T539">
        <v>91217</v>
      </c>
      <c r="U539" t="s">
        <v>32</v>
      </c>
      <c r="V539" t="s">
        <v>33</v>
      </c>
      <c r="W539" t="s">
        <v>237</v>
      </c>
      <c r="X539" t="s">
        <v>276</v>
      </c>
      <c r="Y539" t="s">
        <v>51</v>
      </c>
    </row>
    <row r="540" spans="1:25" x14ac:dyDescent="0.25">
      <c r="A540">
        <v>10241</v>
      </c>
      <c r="B540">
        <v>21</v>
      </c>
      <c r="C540">
        <v>100</v>
      </c>
      <c r="D540">
        <v>11</v>
      </c>
      <c r="E540">
        <v>2508.66</v>
      </c>
      <c r="F540" s="1">
        <v>38090</v>
      </c>
      <c r="G540" t="s">
        <v>25</v>
      </c>
      <c r="H540">
        <v>2</v>
      </c>
      <c r="I540">
        <v>4</v>
      </c>
      <c r="J540">
        <v>2004</v>
      </c>
      <c r="K540" t="s">
        <v>181</v>
      </c>
      <c r="L540">
        <v>124</v>
      </c>
      <c r="M540" t="s">
        <v>565</v>
      </c>
      <c r="N540" t="s">
        <v>531</v>
      </c>
      <c r="O540" t="s">
        <v>532</v>
      </c>
      <c r="P540" t="s">
        <v>533</v>
      </c>
      <c r="R540" t="s">
        <v>534</v>
      </c>
      <c r="T540">
        <v>67000</v>
      </c>
      <c r="U540" t="s">
        <v>41</v>
      </c>
      <c r="V540" t="s">
        <v>42</v>
      </c>
      <c r="W540" t="s">
        <v>535</v>
      </c>
      <c r="X540" t="s">
        <v>536</v>
      </c>
      <c r="Y540" t="s">
        <v>36</v>
      </c>
    </row>
    <row r="541" spans="1:25" x14ac:dyDescent="0.25">
      <c r="A541">
        <v>10253</v>
      </c>
      <c r="B541">
        <v>24</v>
      </c>
      <c r="C541">
        <v>100</v>
      </c>
      <c r="D541">
        <v>1</v>
      </c>
      <c r="E541">
        <v>3374.88</v>
      </c>
      <c r="F541" s="1">
        <v>38139</v>
      </c>
      <c r="G541" t="s">
        <v>339</v>
      </c>
      <c r="H541">
        <v>2</v>
      </c>
      <c r="I541">
        <v>6</v>
      </c>
      <c r="J541">
        <v>2004</v>
      </c>
      <c r="K541" t="s">
        <v>181</v>
      </c>
      <c r="L541">
        <v>124</v>
      </c>
      <c r="M541" t="s">
        <v>565</v>
      </c>
      <c r="N541" t="s">
        <v>165</v>
      </c>
      <c r="O541" t="s">
        <v>166</v>
      </c>
      <c r="P541" t="s">
        <v>167</v>
      </c>
      <c r="R541" t="s">
        <v>168</v>
      </c>
      <c r="T541" t="s">
        <v>169</v>
      </c>
      <c r="U541" t="s">
        <v>170</v>
      </c>
      <c r="V541" t="s">
        <v>42</v>
      </c>
      <c r="W541" t="s">
        <v>171</v>
      </c>
      <c r="X541" t="s">
        <v>172</v>
      </c>
      <c r="Y541" t="s">
        <v>51</v>
      </c>
    </row>
    <row r="542" spans="1:25" x14ac:dyDescent="0.25">
      <c r="A542">
        <v>10266</v>
      </c>
      <c r="B542">
        <v>36</v>
      </c>
      <c r="C542">
        <v>100</v>
      </c>
      <c r="D542">
        <v>2</v>
      </c>
      <c r="E542">
        <v>5196.6000000000004</v>
      </c>
      <c r="F542" s="1">
        <v>38174</v>
      </c>
      <c r="G542" t="s">
        <v>25</v>
      </c>
      <c r="H542">
        <v>3</v>
      </c>
      <c r="I542">
        <v>7</v>
      </c>
      <c r="J542">
        <v>2004</v>
      </c>
      <c r="K542" t="s">
        <v>181</v>
      </c>
      <c r="L542">
        <v>124</v>
      </c>
      <c r="M542" t="s">
        <v>565</v>
      </c>
      <c r="N542" t="s">
        <v>452</v>
      </c>
      <c r="O542" t="s">
        <v>453</v>
      </c>
      <c r="P542" t="s">
        <v>454</v>
      </c>
      <c r="R542" t="s">
        <v>455</v>
      </c>
      <c r="T542">
        <v>42100</v>
      </c>
      <c r="U542" t="s">
        <v>258</v>
      </c>
      <c r="V542" t="s">
        <v>42</v>
      </c>
      <c r="W542" t="s">
        <v>456</v>
      </c>
      <c r="X542" t="s">
        <v>457</v>
      </c>
      <c r="Y542" t="s">
        <v>51</v>
      </c>
    </row>
    <row r="543" spans="1:25" x14ac:dyDescent="0.25">
      <c r="A543">
        <v>10278</v>
      </c>
      <c r="B543">
        <v>23</v>
      </c>
      <c r="C543">
        <v>100</v>
      </c>
      <c r="D543">
        <v>2</v>
      </c>
      <c r="E543">
        <v>2604.52</v>
      </c>
      <c r="F543" s="1">
        <v>38205</v>
      </c>
      <c r="G543" t="s">
        <v>25</v>
      </c>
      <c r="H543">
        <v>3</v>
      </c>
      <c r="I543">
        <v>8</v>
      </c>
      <c r="J543">
        <v>2004</v>
      </c>
      <c r="K543" t="s">
        <v>181</v>
      </c>
      <c r="L543">
        <v>124</v>
      </c>
      <c r="M543" t="s">
        <v>565</v>
      </c>
      <c r="N543" t="s">
        <v>539</v>
      </c>
      <c r="O543">
        <v>7025551838</v>
      </c>
      <c r="P543" t="s">
        <v>540</v>
      </c>
      <c r="R543" t="s">
        <v>541</v>
      </c>
      <c r="S543" t="s">
        <v>542</v>
      </c>
      <c r="T543">
        <v>83030</v>
      </c>
      <c r="U543" t="s">
        <v>32</v>
      </c>
      <c r="V543" t="s">
        <v>33</v>
      </c>
      <c r="W543" t="s">
        <v>113</v>
      </c>
      <c r="X543" t="s">
        <v>400</v>
      </c>
      <c r="Y543" t="s">
        <v>36</v>
      </c>
    </row>
    <row r="544" spans="1:25" x14ac:dyDescent="0.25">
      <c r="A544">
        <v>10288</v>
      </c>
      <c r="B544">
        <v>20</v>
      </c>
      <c r="C544">
        <v>100</v>
      </c>
      <c r="D544">
        <v>14</v>
      </c>
      <c r="E544">
        <v>2936.8</v>
      </c>
      <c r="F544" s="1">
        <v>38231</v>
      </c>
      <c r="G544" t="s">
        <v>25</v>
      </c>
      <c r="H544">
        <v>3</v>
      </c>
      <c r="I544">
        <v>9</v>
      </c>
      <c r="J544">
        <v>2004</v>
      </c>
      <c r="K544" t="s">
        <v>181</v>
      </c>
      <c r="L544">
        <v>124</v>
      </c>
      <c r="M544" t="s">
        <v>565</v>
      </c>
      <c r="N544" t="s">
        <v>418</v>
      </c>
      <c r="O544" t="s">
        <v>419</v>
      </c>
      <c r="P544" t="s">
        <v>420</v>
      </c>
      <c r="Q544" t="s">
        <v>421</v>
      </c>
      <c r="R544" t="s">
        <v>199</v>
      </c>
      <c r="T544">
        <v>69045</v>
      </c>
      <c r="U544" t="s">
        <v>199</v>
      </c>
      <c r="V544" t="s">
        <v>96</v>
      </c>
      <c r="W544" t="s">
        <v>422</v>
      </c>
      <c r="X544" t="s">
        <v>423</v>
      </c>
      <c r="Y544" t="s">
        <v>36</v>
      </c>
    </row>
    <row r="545" spans="1:25" x14ac:dyDescent="0.25">
      <c r="A545">
        <v>10301</v>
      </c>
      <c r="B545">
        <v>32</v>
      </c>
      <c r="C545">
        <v>100</v>
      </c>
      <c r="D545">
        <v>4</v>
      </c>
      <c r="E545">
        <v>3424.64</v>
      </c>
      <c r="F545" s="1">
        <v>37899</v>
      </c>
      <c r="G545" t="s">
        <v>25</v>
      </c>
      <c r="H545">
        <v>4</v>
      </c>
      <c r="I545">
        <v>10</v>
      </c>
      <c r="J545">
        <v>2003</v>
      </c>
      <c r="K545" t="s">
        <v>181</v>
      </c>
      <c r="L545">
        <v>124</v>
      </c>
      <c r="M545" t="s">
        <v>565</v>
      </c>
      <c r="N545" t="s">
        <v>543</v>
      </c>
      <c r="O545" t="s">
        <v>544</v>
      </c>
      <c r="P545" t="s">
        <v>545</v>
      </c>
      <c r="R545" t="s">
        <v>546</v>
      </c>
      <c r="T545" t="s">
        <v>547</v>
      </c>
      <c r="U545" t="s">
        <v>78</v>
      </c>
      <c r="V545" t="s">
        <v>42</v>
      </c>
      <c r="W545" t="s">
        <v>548</v>
      </c>
      <c r="X545" t="s">
        <v>549</v>
      </c>
      <c r="Y545" t="s">
        <v>51</v>
      </c>
    </row>
    <row r="546" spans="1:25" x14ac:dyDescent="0.25">
      <c r="A546">
        <v>10311</v>
      </c>
      <c r="B546">
        <v>29</v>
      </c>
      <c r="C546">
        <v>100</v>
      </c>
      <c r="D546">
        <v>9</v>
      </c>
      <c r="E546">
        <v>2923.2</v>
      </c>
      <c r="F546" s="1">
        <v>38276</v>
      </c>
      <c r="G546" t="s">
        <v>25</v>
      </c>
      <c r="H546">
        <v>4</v>
      </c>
      <c r="I546">
        <v>10</v>
      </c>
      <c r="J546">
        <v>2004</v>
      </c>
      <c r="K546" t="s">
        <v>181</v>
      </c>
      <c r="L546">
        <v>124</v>
      </c>
      <c r="M546" t="s">
        <v>565</v>
      </c>
      <c r="N546" t="s">
        <v>174</v>
      </c>
      <c r="O546" t="s">
        <v>175</v>
      </c>
      <c r="P546" t="s">
        <v>176</v>
      </c>
      <c r="R546" t="s">
        <v>177</v>
      </c>
      <c r="T546">
        <v>28034</v>
      </c>
      <c r="U546" t="s">
        <v>178</v>
      </c>
      <c r="V546" t="s">
        <v>42</v>
      </c>
      <c r="W546" t="s">
        <v>179</v>
      </c>
      <c r="X546" t="s">
        <v>180</v>
      </c>
      <c r="Y546" t="s">
        <v>36</v>
      </c>
    </row>
    <row r="547" spans="1:25" x14ac:dyDescent="0.25">
      <c r="A547">
        <v>10321</v>
      </c>
      <c r="B547">
        <v>44</v>
      </c>
      <c r="C547">
        <v>100</v>
      </c>
      <c r="D547">
        <v>6</v>
      </c>
      <c r="E547">
        <v>4489.76</v>
      </c>
      <c r="F547" s="1">
        <v>38295</v>
      </c>
      <c r="G547" t="s">
        <v>25</v>
      </c>
      <c r="H547">
        <v>4</v>
      </c>
      <c r="I547">
        <v>11</v>
      </c>
      <c r="J547">
        <v>2004</v>
      </c>
      <c r="K547" t="s">
        <v>181</v>
      </c>
      <c r="L547">
        <v>124</v>
      </c>
      <c r="M547" t="s">
        <v>565</v>
      </c>
      <c r="N547" t="s">
        <v>160</v>
      </c>
      <c r="O547">
        <v>5085552555</v>
      </c>
      <c r="P547" t="s">
        <v>161</v>
      </c>
      <c r="R547" t="s">
        <v>162</v>
      </c>
      <c r="S547" t="s">
        <v>123</v>
      </c>
      <c r="T547">
        <v>50553</v>
      </c>
      <c r="U547" t="s">
        <v>32</v>
      </c>
      <c r="V547" t="s">
        <v>33</v>
      </c>
      <c r="W547" t="s">
        <v>163</v>
      </c>
      <c r="X547" t="s">
        <v>164</v>
      </c>
      <c r="Y547" t="s">
        <v>51</v>
      </c>
    </row>
    <row r="548" spans="1:25" x14ac:dyDescent="0.25">
      <c r="A548">
        <v>10331</v>
      </c>
      <c r="B548">
        <v>44</v>
      </c>
      <c r="C548">
        <v>100</v>
      </c>
      <c r="D548">
        <v>14</v>
      </c>
      <c r="E548">
        <v>4849.24</v>
      </c>
      <c r="F548" s="1">
        <v>38308</v>
      </c>
      <c r="G548" t="s">
        <v>25</v>
      </c>
      <c r="H548">
        <v>4</v>
      </c>
      <c r="I548">
        <v>11</v>
      </c>
      <c r="J548">
        <v>2004</v>
      </c>
      <c r="K548" t="s">
        <v>181</v>
      </c>
      <c r="L548">
        <v>124</v>
      </c>
      <c r="M548" t="s">
        <v>565</v>
      </c>
      <c r="N548" t="s">
        <v>309</v>
      </c>
      <c r="O548">
        <v>2155559857</v>
      </c>
      <c r="P548" t="s">
        <v>310</v>
      </c>
      <c r="R548" t="s">
        <v>216</v>
      </c>
      <c r="S548" t="s">
        <v>142</v>
      </c>
      <c r="T548">
        <v>71270</v>
      </c>
      <c r="U548" t="s">
        <v>32</v>
      </c>
      <c r="V548" t="s">
        <v>33</v>
      </c>
      <c r="W548" t="s">
        <v>124</v>
      </c>
      <c r="X548" t="s">
        <v>311</v>
      </c>
      <c r="Y548" t="s">
        <v>51</v>
      </c>
    </row>
    <row r="549" spans="1:25" x14ac:dyDescent="0.25">
      <c r="A549">
        <v>10343</v>
      </c>
      <c r="B549">
        <v>36</v>
      </c>
      <c r="C549">
        <v>100</v>
      </c>
      <c r="D549">
        <v>4</v>
      </c>
      <c r="E549">
        <v>5848.92</v>
      </c>
      <c r="F549" s="1">
        <v>38315</v>
      </c>
      <c r="G549" t="s">
        <v>25</v>
      </c>
      <c r="H549">
        <v>4</v>
      </c>
      <c r="I549">
        <v>11</v>
      </c>
      <c r="J549">
        <v>2004</v>
      </c>
      <c r="K549" t="s">
        <v>181</v>
      </c>
      <c r="L549">
        <v>124</v>
      </c>
      <c r="M549" t="s">
        <v>565</v>
      </c>
      <c r="N549" t="s">
        <v>37</v>
      </c>
      <c r="O549" t="s">
        <v>38</v>
      </c>
      <c r="P549" t="s">
        <v>39</v>
      </c>
      <c r="R549" t="s">
        <v>40</v>
      </c>
      <c r="T549">
        <v>51100</v>
      </c>
      <c r="U549" t="s">
        <v>41</v>
      </c>
      <c r="V549" t="s">
        <v>42</v>
      </c>
      <c r="W549" t="s">
        <v>43</v>
      </c>
      <c r="X549" t="s">
        <v>44</v>
      </c>
      <c r="Y549" t="s">
        <v>51</v>
      </c>
    </row>
    <row r="550" spans="1:25" x14ac:dyDescent="0.25">
      <c r="A550">
        <v>10367</v>
      </c>
      <c r="B550">
        <v>49</v>
      </c>
      <c r="C550">
        <v>56.3</v>
      </c>
      <c r="D550">
        <v>1</v>
      </c>
      <c r="E550">
        <v>2758.7</v>
      </c>
      <c r="F550" s="1">
        <v>38364</v>
      </c>
      <c r="G550" t="s">
        <v>408</v>
      </c>
      <c r="H550">
        <v>1</v>
      </c>
      <c r="I550">
        <v>1</v>
      </c>
      <c r="J550">
        <v>2005</v>
      </c>
      <c r="K550" t="s">
        <v>181</v>
      </c>
      <c r="L550">
        <v>124</v>
      </c>
      <c r="M550" t="s">
        <v>565</v>
      </c>
      <c r="N550" t="s">
        <v>52</v>
      </c>
      <c r="O550">
        <v>6265557265</v>
      </c>
      <c r="P550" t="s">
        <v>53</v>
      </c>
      <c r="R550" t="s">
        <v>54</v>
      </c>
      <c r="S550" t="s">
        <v>55</v>
      </c>
      <c r="T550">
        <v>90003</v>
      </c>
      <c r="U550" t="s">
        <v>32</v>
      </c>
      <c r="V550" t="s">
        <v>33</v>
      </c>
      <c r="W550" t="s">
        <v>56</v>
      </c>
      <c r="X550" t="s">
        <v>57</v>
      </c>
      <c r="Y550" t="s">
        <v>36</v>
      </c>
    </row>
    <row r="551" spans="1:25" x14ac:dyDescent="0.25">
      <c r="A551">
        <v>10378</v>
      </c>
      <c r="B551">
        <v>34</v>
      </c>
      <c r="C551">
        <v>42.64</v>
      </c>
      <c r="D551">
        <v>5</v>
      </c>
      <c r="E551">
        <v>1449.76</v>
      </c>
      <c r="F551" s="1">
        <v>38393</v>
      </c>
      <c r="G551" t="s">
        <v>25</v>
      </c>
      <c r="H551">
        <v>1</v>
      </c>
      <c r="I551">
        <v>2</v>
      </c>
      <c r="J551">
        <v>2005</v>
      </c>
      <c r="K551" t="s">
        <v>181</v>
      </c>
      <c r="L551">
        <v>124</v>
      </c>
      <c r="M551" t="s">
        <v>565</v>
      </c>
      <c r="N551" t="s">
        <v>174</v>
      </c>
      <c r="O551" t="s">
        <v>175</v>
      </c>
      <c r="P551" t="s">
        <v>176</v>
      </c>
      <c r="R551" t="s">
        <v>177</v>
      </c>
      <c r="T551">
        <v>28034</v>
      </c>
      <c r="U551" t="s">
        <v>178</v>
      </c>
      <c r="V551" t="s">
        <v>42</v>
      </c>
      <c r="W551" t="s">
        <v>179</v>
      </c>
      <c r="X551" t="s">
        <v>180</v>
      </c>
      <c r="Y551" t="s">
        <v>36</v>
      </c>
    </row>
    <row r="552" spans="1:25" x14ac:dyDescent="0.25">
      <c r="A552">
        <v>10407</v>
      </c>
      <c r="B552">
        <v>59</v>
      </c>
      <c r="C552">
        <v>100</v>
      </c>
      <c r="D552">
        <v>11</v>
      </c>
      <c r="E552">
        <v>7048.14</v>
      </c>
      <c r="F552" s="1">
        <v>38464</v>
      </c>
      <c r="G552" t="s">
        <v>401</v>
      </c>
      <c r="H552">
        <v>2</v>
      </c>
      <c r="I552">
        <v>4</v>
      </c>
      <c r="J552">
        <v>2005</v>
      </c>
      <c r="K552" t="s">
        <v>181</v>
      </c>
      <c r="L552">
        <v>124</v>
      </c>
      <c r="M552" t="s">
        <v>565</v>
      </c>
      <c r="N552" t="s">
        <v>397</v>
      </c>
      <c r="O552">
        <v>4085553659</v>
      </c>
      <c r="P552" t="s">
        <v>398</v>
      </c>
      <c r="R552" t="s">
        <v>399</v>
      </c>
      <c r="S552" t="s">
        <v>55</v>
      </c>
      <c r="T552">
        <v>94217</v>
      </c>
      <c r="U552" t="s">
        <v>32</v>
      </c>
      <c r="V552" t="s">
        <v>33</v>
      </c>
      <c r="W552" t="s">
        <v>102</v>
      </c>
      <c r="X552" t="s">
        <v>400</v>
      </c>
      <c r="Y552" t="s">
        <v>151</v>
      </c>
    </row>
    <row r="553" spans="1:25" x14ac:dyDescent="0.25">
      <c r="A553">
        <v>10419</v>
      </c>
      <c r="B553">
        <v>37</v>
      </c>
      <c r="C553">
        <v>100</v>
      </c>
      <c r="D553">
        <v>1</v>
      </c>
      <c r="E553">
        <v>5202.9399999999996</v>
      </c>
      <c r="F553" s="1">
        <v>38489</v>
      </c>
      <c r="G553" t="s">
        <v>25</v>
      </c>
      <c r="H553">
        <v>2</v>
      </c>
      <c r="I553">
        <v>5</v>
      </c>
      <c r="J553">
        <v>2005</v>
      </c>
      <c r="K553" t="s">
        <v>181</v>
      </c>
      <c r="L553">
        <v>124</v>
      </c>
      <c r="M553" t="s">
        <v>565</v>
      </c>
      <c r="N553" t="s">
        <v>144</v>
      </c>
      <c r="O553" t="s">
        <v>145</v>
      </c>
      <c r="P553" t="s">
        <v>146</v>
      </c>
      <c r="R553" t="s">
        <v>147</v>
      </c>
      <c r="T553">
        <v>5020</v>
      </c>
      <c r="U553" t="s">
        <v>148</v>
      </c>
      <c r="V553" t="s">
        <v>42</v>
      </c>
      <c r="W553" t="s">
        <v>149</v>
      </c>
      <c r="X553" t="s">
        <v>150</v>
      </c>
      <c r="Y553" t="s">
        <v>51</v>
      </c>
    </row>
    <row r="554" spans="1:25" x14ac:dyDescent="0.25">
      <c r="A554">
        <v>10106</v>
      </c>
      <c r="B554">
        <v>36</v>
      </c>
      <c r="C554">
        <v>100</v>
      </c>
      <c r="D554">
        <v>12</v>
      </c>
      <c r="E554">
        <v>5279.4</v>
      </c>
      <c r="F554" s="1">
        <v>37669</v>
      </c>
      <c r="G554" t="s">
        <v>25</v>
      </c>
      <c r="H554">
        <v>1</v>
      </c>
      <c r="I554">
        <v>2</v>
      </c>
      <c r="J554">
        <v>2003</v>
      </c>
      <c r="K554" t="s">
        <v>566</v>
      </c>
      <c r="L554">
        <v>157</v>
      </c>
      <c r="M554" t="s">
        <v>567</v>
      </c>
      <c r="N554" t="s">
        <v>552</v>
      </c>
      <c r="O554" t="s">
        <v>553</v>
      </c>
      <c r="P554" t="s">
        <v>554</v>
      </c>
      <c r="R554" t="s">
        <v>555</v>
      </c>
      <c r="T554">
        <v>24100</v>
      </c>
      <c r="U554" t="s">
        <v>258</v>
      </c>
      <c r="V554" t="s">
        <v>42</v>
      </c>
      <c r="W554" t="s">
        <v>556</v>
      </c>
      <c r="X554" t="s">
        <v>557</v>
      </c>
      <c r="Y554" t="s">
        <v>51</v>
      </c>
    </row>
    <row r="555" spans="1:25" x14ac:dyDescent="0.25">
      <c r="A555">
        <v>10119</v>
      </c>
      <c r="B555">
        <v>43</v>
      </c>
      <c r="C555">
        <v>100</v>
      </c>
      <c r="D555">
        <v>3</v>
      </c>
      <c r="E555">
        <v>6916.12</v>
      </c>
      <c r="F555" s="1">
        <v>37739</v>
      </c>
      <c r="G555" t="s">
        <v>25</v>
      </c>
      <c r="H555">
        <v>2</v>
      </c>
      <c r="I555">
        <v>4</v>
      </c>
      <c r="J555">
        <v>2003</v>
      </c>
      <c r="K555" t="s">
        <v>566</v>
      </c>
      <c r="L555">
        <v>157</v>
      </c>
      <c r="M555" t="s">
        <v>567</v>
      </c>
      <c r="N555" t="s">
        <v>144</v>
      </c>
      <c r="O555" t="s">
        <v>145</v>
      </c>
      <c r="P555" t="s">
        <v>146</v>
      </c>
      <c r="R555" t="s">
        <v>147</v>
      </c>
      <c r="T555">
        <v>5020</v>
      </c>
      <c r="U555" t="s">
        <v>148</v>
      </c>
      <c r="V555" t="s">
        <v>42</v>
      </c>
      <c r="W555" t="s">
        <v>149</v>
      </c>
      <c r="X555" t="s">
        <v>150</v>
      </c>
      <c r="Y555" t="s">
        <v>51</v>
      </c>
    </row>
    <row r="556" spans="1:25" x14ac:dyDescent="0.25">
      <c r="A556">
        <v>10131</v>
      </c>
      <c r="B556">
        <v>21</v>
      </c>
      <c r="C556">
        <v>100</v>
      </c>
      <c r="D556">
        <v>4</v>
      </c>
      <c r="E556">
        <v>2781.66</v>
      </c>
      <c r="F556" s="1">
        <v>37788</v>
      </c>
      <c r="G556" t="s">
        <v>25</v>
      </c>
      <c r="H556">
        <v>2</v>
      </c>
      <c r="I556">
        <v>6</v>
      </c>
      <c r="J556">
        <v>2003</v>
      </c>
      <c r="K556" t="s">
        <v>566</v>
      </c>
      <c r="L556">
        <v>157</v>
      </c>
      <c r="M556" t="s">
        <v>567</v>
      </c>
      <c r="N556" t="s">
        <v>568</v>
      </c>
      <c r="O556">
        <v>2035554407</v>
      </c>
      <c r="P556" t="s">
        <v>569</v>
      </c>
      <c r="R556" t="s">
        <v>516</v>
      </c>
      <c r="S556" t="s">
        <v>112</v>
      </c>
      <c r="T556">
        <v>97561</v>
      </c>
      <c r="U556" t="s">
        <v>32</v>
      </c>
      <c r="V556" t="s">
        <v>33</v>
      </c>
      <c r="W556" t="s">
        <v>570</v>
      </c>
      <c r="X556" t="s">
        <v>571</v>
      </c>
      <c r="Y556" t="s">
        <v>36</v>
      </c>
    </row>
    <row r="557" spans="1:25" x14ac:dyDescent="0.25">
      <c r="A557">
        <v>10143</v>
      </c>
      <c r="B557">
        <v>32</v>
      </c>
      <c r="C557">
        <v>100</v>
      </c>
      <c r="D557">
        <v>7</v>
      </c>
      <c r="E557">
        <v>5248</v>
      </c>
      <c r="F557" s="1">
        <v>37843</v>
      </c>
      <c r="G557" t="s">
        <v>25</v>
      </c>
      <c r="H557">
        <v>3</v>
      </c>
      <c r="I557">
        <v>8</v>
      </c>
      <c r="J557">
        <v>2003</v>
      </c>
      <c r="K557" t="s">
        <v>566</v>
      </c>
      <c r="L557">
        <v>157</v>
      </c>
      <c r="M557" t="s">
        <v>567</v>
      </c>
      <c r="N557" t="s">
        <v>335</v>
      </c>
      <c r="O557">
        <v>5085559555</v>
      </c>
      <c r="P557" t="s">
        <v>336</v>
      </c>
      <c r="R557" t="s">
        <v>162</v>
      </c>
      <c r="S557" t="s">
        <v>123</v>
      </c>
      <c r="T557">
        <v>50553</v>
      </c>
      <c r="U557" t="s">
        <v>32</v>
      </c>
      <c r="V557" t="s">
        <v>33</v>
      </c>
      <c r="W557" t="s">
        <v>337</v>
      </c>
      <c r="X557" t="s">
        <v>338</v>
      </c>
      <c r="Y557" t="s">
        <v>51</v>
      </c>
    </row>
    <row r="558" spans="1:25" x14ac:dyDescent="0.25">
      <c r="A558">
        <v>10155</v>
      </c>
      <c r="B558">
        <v>38</v>
      </c>
      <c r="C558">
        <v>100</v>
      </c>
      <c r="D558">
        <v>5</v>
      </c>
      <c r="E558">
        <v>6531.44</v>
      </c>
      <c r="F558" s="1">
        <v>37900</v>
      </c>
      <c r="G558" t="s">
        <v>25</v>
      </c>
      <c r="H558">
        <v>4</v>
      </c>
      <c r="I558">
        <v>10</v>
      </c>
      <c r="J558">
        <v>2003</v>
      </c>
      <c r="K558" t="s">
        <v>566</v>
      </c>
      <c r="L558">
        <v>157</v>
      </c>
      <c r="M558" t="s">
        <v>567</v>
      </c>
      <c r="N558" t="s">
        <v>126</v>
      </c>
      <c r="O558" t="s">
        <v>127</v>
      </c>
      <c r="P558" t="s">
        <v>128</v>
      </c>
      <c r="R558" t="s">
        <v>129</v>
      </c>
      <c r="T558">
        <v>21240</v>
      </c>
      <c r="U558" t="s">
        <v>130</v>
      </c>
      <c r="V558" t="s">
        <v>42</v>
      </c>
      <c r="W558" t="s">
        <v>131</v>
      </c>
      <c r="X558" t="s">
        <v>132</v>
      </c>
      <c r="Y558" t="s">
        <v>51</v>
      </c>
    </row>
    <row r="559" spans="1:25" x14ac:dyDescent="0.25">
      <c r="A559">
        <v>10167</v>
      </c>
      <c r="B559">
        <v>43</v>
      </c>
      <c r="C559">
        <v>100</v>
      </c>
      <c r="D559">
        <v>1</v>
      </c>
      <c r="E559">
        <v>5763.72</v>
      </c>
      <c r="F559" s="1">
        <v>37917</v>
      </c>
      <c r="G559" t="s">
        <v>339</v>
      </c>
      <c r="H559">
        <v>4</v>
      </c>
      <c r="I559">
        <v>10</v>
      </c>
      <c r="J559">
        <v>2003</v>
      </c>
      <c r="K559" t="s">
        <v>566</v>
      </c>
      <c r="L559">
        <v>157</v>
      </c>
      <c r="M559" t="s">
        <v>567</v>
      </c>
      <c r="N559" t="s">
        <v>261</v>
      </c>
      <c r="O559" t="s">
        <v>262</v>
      </c>
      <c r="P559" t="s">
        <v>263</v>
      </c>
      <c r="R559" t="s">
        <v>264</v>
      </c>
      <c r="T559" t="s">
        <v>265</v>
      </c>
      <c r="U559" t="s">
        <v>188</v>
      </c>
      <c r="V559" t="s">
        <v>42</v>
      </c>
      <c r="W559" t="s">
        <v>266</v>
      </c>
      <c r="X559" t="s">
        <v>206</v>
      </c>
      <c r="Y559" t="s">
        <v>51</v>
      </c>
    </row>
    <row r="560" spans="1:25" x14ac:dyDescent="0.25">
      <c r="A560">
        <v>10178</v>
      </c>
      <c r="B560">
        <v>42</v>
      </c>
      <c r="C560">
        <v>100</v>
      </c>
      <c r="D560">
        <v>4</v>
      </c>
      <c r="E560">
        <v>6490.68</v>
      </c>
      <c r="F560" s="1">
        <v>37933</v>
      </c>
      <c r="G560" t="s">
        <v>25</v>
      </c>
      <c r="H560">
        <v>4</v>
      </c>
      <c r="I560">
        <v>11</v>
      </c>
      <c r="J560">
        <v>2003</v>
      </c>
      <c r="K560" t="s">
        <v>566</v>
      </c>
      <c r="L560">
        <v>157</v>
      </c>
      <c r="M560" t="s">
        <v>567</v>
      </c>
      <c r="N560" t="s">
        <v>340</v>
      </c>
      <c r="O560" t="s">
        <v>341</v>
      </c>
      <c r="P560" t="s">
        <v>342</v>
      </c>
      <c r="R560" t="s">
        <v>343</v>
      </c>
      <c r="T560">
        <v>31000</v>
      </c>
      <c r="U560" t="s">
        <v>41</v>
      </c>
      <c r="V560" t="s">
        <v>42</v>
      </c>
      <c r="W560" t="s">
        <v>344</v>
      </c>
      <c r="X560" t="s">
        <v>345</v>
      </c>
      <c r="Y560" t="s">
        <v>51</v>
      </c>
    </row>
    <row r="561" spans="1:25" x14ac:dyDescent="0.25">
      <c r="A561">
        <v>10186</v>
      </c>
      <c r="B561">
        <v>32</v>
      </c>
      <c r="C561">
        <v>100</v>
      </c>
      <c r="D561">
        <v>1</v>
      </c>
      <c r="E561">
        <v>6004.8</v>
      </c>
      <c r="F561" s="1">
        <v>37939</v>
      </c>
      <c r="G561" t="s">
        <v>25</v>
      </c>
      <c r="H561">
        <v>4</v>
      </c>
      <c r="I561">
        <v>11</v>
      </c>
      <c r="J561">
        <v>2003</v>
      </c>
      <c r="K561" t="s">
        <v>566</v>
      </c>
      <c r="L561">
        <v>157</v>
      </c>
      <c r="M561" t="s">
        <v>567</v>
      </c>
      <c r="N561" t="s">
        <v>346</v>
      </c>
      <c r="O561" t="s">
        <v>347</v>
      </c>
      <c r="P561" t="s">
        <v>348</v>
      </c>
      <c r="R561" t="s">
        <v>332</v>
      </c>
      <c r="T561" t="s">
        <v>349</v>
      </c>
      <c r="U561" t="s">
        <v>170</v>
      </c>
      <c r="V561" t="s">
        <v>42</v>
      </c>
      <c r="W561" t="s">
        <v>350</v>
      </c>
      <c r="X561" t="s">
        <v>351</v>
      </c>
      <c r="Y561" t="s">
        <v>51</v>
      </c>
    </row>
    <row r="562" spans="1:25" x14ac:dyDescent="0.25">
      <c r="A562">
        <v>10198</v>
      </c>
      <c r="B562">
        <v>42</v>
      </c>
      <c r="C562">
        <v>100</v>
      </c>
      <c r="D562">
        <v>4</v>
      </c>
      <c r="E562">
        <v>7483.98</v>
      </c>
      <c r="F562" s="1">
        <v>37952</v>
      </c>
      <c r="G562" t="s">
        <v>25</v>
      </c>
      <c r="H562">
        <v>4</v>
      </c>
      <c r="I562">
        <v>11</v>
      </c>
      <c r="J562">
        <v>2003</v>
      </c>
      <c r="K562" t="s">
        <v>566</v>
      </c>
      <c r="L562">
        <v>157</v>
      </c>
      <c r="M562" t="s">
        <v>567</v>
      </c>
      <c r="N562" t="s">
        <v>425</v>
      </c>
      <c r="O562" t="s">
        <v>426</v>
      </c>
      <c r="P562" t="s">
        <v>427</v>
      </c>
      <c r="R562" t="s">
        <v>428</v>
      </c>
      <c r="T562" t="s">
        <v>429</v>
      </c>
      <c r="U562" t="s">
        <v>430</v>
      </c>
      <c r="V562" t="s">
        <v>200</v>
      </c>
      <c r="W562" t="s">
        <v>431</v>
      </c>
      <c r="X562" t="s">
        <v>432</v>
      </c>
      <c r="Y562" t="s">
        <v>151</v>
      </c>
    </row>
    <row r="563" spans="1:25" x14ac:dyDescent="0.25">
      <c r="A563">
        <v>10210</v>
      </c>
      <c r="B563">
        <v>31</v>
      </c>
      <c r="C563">
        <v>100</v>
      </c>
      <c r="D563">
        <v>17</v>
      </c>
      <c r="E563">
        <v>5719.5</v>
      </c>
      <c r="F563" s="1">
        <v>37998</v>
      </c>
      <c r="G563" t="s">
        <v>25</v>
      </c>
      <c r="H563">
        <v>1</v>
      </c>
      <c r="I563">
        <v>1</v>
      </c>
      <c r="J563">
        <v>2004</v>
      </c>
      <c r="K563" t="s">
        <v>566</v>
      </c>
      <c r="L563">
        <v>157</v>
      </c>
      <c r="M563" t="s">
        <v>567</v>
      </c>
      <c r="N563" t="s">
        <v>302</v>
      </c>
      <c r="O563" t="s">
        <v>303</v>
      </c>
      <c r="P563" t="s">
        <v>304</v>
      </c>
      <c r="R563" t="s">
        <v>305</v>
      </c>
      <c r="S563" t="s">
        <v>305</v>
      </c>
      <c r="T563" t="s">
        <v>306</v>
      </c>
      <c r="U563" t="s">
        <v>200</v>
      </c>
      <c r="V563" t="s">
        <v>200</v>
      </c>
      <c r="W563" t="s">
        <v>307</v>
      </c>
      <c r="X563" t="s">
        <v>308</v>
      </c>
      <c r="Y563" t="s">
        <v>51</v>
      </c>
    </row>
    <row r="564" spans="1:25" x14ac:dyDescent="0.25">
      <c r="A564">
        <v>10222</v>
      </c>
      <c r="B564">
        <v>49</v>
      </c>
      <c r="C564">
        <v>100</v>
      </c>
      <c r="D564">
        <v>4</v>
      </c>
      <c r="E564">
        <v>6954.08</v>
      </c>
      <c r="F564" s="1">
        <v>38036</v>
      </c>
      <c r="G564" t="s">
        <v>25</v>
      </c>
      <c r="H564">
        <v>1</v>
      </c>
      <c r="I564">
        <v>2</v>
      </c>
      <c r="J564">
        <v>2004</v>
      </c>
      <c r="K564" t="s">
        <v>566</v>
      </c>
      <c r="L564">
        <v>157</v>
      </c>
      <c r="M564" t="s">
        <v>567</v>
      </c>
      <c r="N564" t="s">
        <v>362</v>
      </c>
      <c r="O564">
        <v>7605558146</v>
      </c>
      <c r="P564" t="s">
        <v>363</v>
      </c>
      <c r="R564" t="s">
        <v>364</v>
      </c>
      <c r="S564" t="s">
        <v>55</v>
      </c>
      <c r="T564">
        <v>91217</v>
      </c>
      <c r="U564" t="s">
        <v>32</v>
      </c>
      <c r="V564" t="s">
        <v>33</v>
      </c>
      <c r="W564" t="s">
        <v>237</v>
      </c>
      <c r="X564" t="s">
        <v>276</v>
      </c>
      <c r="Y564" t="s">
        <v>51</v>
      </c>
    </row>
    <row r="565" spans="1:25" x14ac:dyDescent="0.25">
      <c r="A565">
        <v>10250</v>
      </c>
      <c r="B565">
        <v>45</v>
      </c>
      <c r="C565">
        <v>100</v>
      </c>
      <c r="D565">
        <v>14</v>
      </c>
      <c r="E565">
        <v>8160.3</v>
      </c>
      <c r="F565" s="1">
        <v>38118</v>
      </c>
      <c r="G565" t="s">
        <v>25</v>
      </c>
      <c r="H565">
        <v>2</v>
      </c>
      <c r="I565">
        <v>5</v>
      </c>
      <c r="J565">
        <v>2004</v>
      </c>
      <c r="K565" t="s">
        <v>566</v>
      </c>
      <c r="L565">
        <v>157</v>
      </c>
      <c r="M565" t="s">
        <v>567</v>
      </c>
      <c r="N565" t="s">
        <v>397</v>
      </c>
      <c r="O565">
        <v>4085553659</v>
      </c>
      <c r="P565" t="s">
        <v>398</v>
      </c>
      <c r="R565" t="s">
        <v>399</v>
      </c>
      <c r="S565" t="s">
        <v>55</v>
      </c>
      <c r="T565">
        <v>94217</v>
      </c>
      <c r="U565" t="s">
        <v>32</v>
      </c>
      <c r="V565" t="s">
        <v>33</v>
      </c>
      <c r="W565" t="s">
        <v>102</v>
      </c>
      <c r="X565" t="s">
        <v>400</v>
      </c>
      <c r="Y565" t="s">
        <v>151</v>
      </c>
    </row>
    <row r="566" spans="1:25" x14ac:dyDescent="0.25">
      <c r="A566">
        <v>10262</v>
      </c>
      <c r="B566">
        <v>49</v>
      </c>
      <c r="C566">
        <v>100</v>
      </c>
      <c r="D566">
        <v>9</v>
      </c>
      <c r="E566">
        <v>6567.96</v>
      </c>
      <c r="F566" s="1">
        <v>38162</v>
      </c>
      <c r="G566" t="s">
        <v>339</v>
      </c>
      <c r="H566">
        <v>2</v>
      </c>
      <c r="I566">
        <v>6</v>
      </c>
      <c r="J566">
        <v>2004</v>
      </c>
      <c r="K566" t="s">
        <v>566</v>
      </c>
      <c r="L566">
        <v>157</v>
      </c>
      <c r="M566" t="s">
        <v>567</v>
      </c>
      <c r="N566" t="s">
        <v>174</v>
      </c>
      <c r="O566" t="s">
        <v>175</v>
      </c>
      <c r="P566" t="s">
        <v>176</v>
      </c>
      <c r="R566" t="s">
        <v>177</v>
      </c>
      <c r="T566">
        <v>28034</v>
      </c>
      <c r="U566" t="s">
        <v>178</v>
      </c>
      <c r="V566" t="s">
        <v>42</v>
      </c>
      <c r="W566" t="s">
        <v>179</v>
      </c>
      <c r="X566" t="s">
        <v>180</v>
      </c>
      <c r="Y566" t="s">
        <v>51</v>
      </c>
    </row>
    <row r="567" spans="1:25" x14ac:dyDescent="0.25">
      <c r="A567">
        <v>10274</v>
      </c>
      <c r="B567">
        <v>41</v>
      </c>
      <c r="C567">
        <v>100</v>
      </c>
      <c r="D567">
        <v>1</v>
      </c>
      <c r="E567">
        <v>6724</v>
      </c>
      <c r="F567" s="1">
        <v>38189</v>
      </c>
      <c r="G567" t="s">
        <v>25</v>
      </c>
      <c r="H567">
        <v>3</v>
      </c>
      <c r="I567">
        <v>7</v>
      </c>
      <c r="J567">
        <v>2004</v>
      </c>
      <c r="K567" t="s">
        <v>566</v>
      </c>
      <c r="L567">
        <v>157</v>
      </c>
      <c r="M567" t="s">
        <v>567</v>
      </c>
      <c r="N567" t="s">
        <v>281</v>
      </c>
      <c r="O567">
        <v>6175558555</v>
      </c>
      <c r="P567" t="s">
        <v>282</v>
      </c>
      <c r="R567" t="s">
        <v>283</v>
      </c>
      <c r="S567" t="s">
        <v>123</v>
      </c>
      <c r="T567">
        <v>58339</v>
      </c>
      <c r="U567" t="s">
        <v>32</v>
      </c>
      <c r="V567" t="s">
        <v>33</v>
      </c>
      <c r="W567" t="s">
        <v>275</v>
      </c>
      <c r="X567" t="s">
        <v>284</v>
      </c>
      <c r="Y567" t="s">
        <v>51</v>
      </c>
    </row>
    <row r="568" spans="1:25" x14ac:dyDescent="0.25">
      <c r="A568">
        <v>10284</v>
      </c>
      <c r="B568">
        <v>45</v>
      </c>
      <c r="C568">
        <v>100</v>
      </c>
      <c r="D568">
        <v>11</v>
      </c>
      <c r="E568">
        <v>5747.85</v>
      </c>
      <c r="F568" s="1">
        <v>38220</v>
      </c>
      <c r="G568" t="s">
        <v>25</v>
      </c>
      <c r="H568">
        <v>3</v>
      </c>
      <c r="I568">
        <v>8</v>
      </c>
      <c r="J568">
        <v>2004</v>
      </c>
      <c r="K568" t="s">
        <v>566</v>
      </c>
      <c r="L568">
        <v>157</v>
      </c>
      <c r="M568" t="s">
        <v>567</v>
      </c>
      <c r="N568" t="s">
        <v>543</v>
      </c>
      <c r="O568" t="s">
        <v>544</v>
      </c>
      <c r="P568" t="s">
        <v>545</v>
      </c>
      <c r="R568" t="s">
        <v>546</v>
      </c>
      <c r="T568" t="s">
        <v>547</v>
      </c>
      <c r="U568" t="s">
        <v>78</v>
      </c>
      <c r="V568" t="s">
        <v>42</v>
      </c>
      <c r="W568" t="s">
        <v>548</v>
      </c>
      <c r="X568" t="s">
        <v>549</v>
      </c>
      <c r="Y568" t="s">
        <v>51</v>
      </c>
    </row>
    <row r="569" spans="1:25" x14ac:dyDescent="0.25">
      <c r="A569">
        <v>10296</v>
      </c>
      <c r="B569">
        <v>36</v>
      </c>
      <c r="C569">
        <v>100</v>
      </c>
      <c r="D569">
        <v>7</v>
      </c>
      <c r="E569">
        <v>5676.84</v>
      </c>
      <c r="F569" s="1">
        <v>38245</v>
      </c>
      <c r="G569" t="s">
        <v>25</v>
      </c>
      <c r="H569">
        <v>3</v>
      </c>
      <c r="I569">
        <v>9</v>
      </c>
      <c r="J569">
        <v>2004</v>
      </c>
      <c r="K569" t="s">
        <v>566</v>
      </c>
      <c r="L569">
        <v>157</v>
      </c>
      <c r="M569" t="s">
        <v>567</v>
      </c>
      <c r="N569" t="s">
        <v>572</v>
      </c>
      <c r="O569" t="s">
        <v>573</v>
      </c>
      <c r="P569" t="s">
        <v>574</v>
      </c>
      <c r="R569" t="s">
        <v>575</v>
      </c>
      <c r="T569">
        <v>80686</v>
      </c>
      <c r="U569" t="s">
        <v>443</v>
      </c>
      <c r="V569" t="s">
        <v>42</v>
      </c>
      <c r="W569" t="s">
        <v>576</v>
      </c>
      <c r="X569" t="s">
        <v>103</v>
      </c>
      <c r="Y569" t="s">
        <v>51</v>
      </c>
    </row>
    <row r="570" spans="1:25" x14ac:dyDescent="0.25">
      <c r="A570">
        <v>10307</v>
      </c>
      <c r="B570">
        <v>39</v>
      </c>
      <c r="C570">
        <v>100</v>
      </c>
      <c r="D570">
        <v>1</v>
      </c>
      <c r="E570">
        <v>7379.97</v>
      </c>
      <c r="F570" s="1">
        <v>38274</v>
      </c>
      <c r="G570" t="s">
        <v>25</v>
      </c>
      <c r="H570">
        <v>4</v>
      </c>
      <c r="I570">
        <v>10</v>
      </c>
      <c r="J570">
        <v>2004</v>
      </c>
      <c r="K570" t="s">
        <v>566</v>
      </c>
      <c r="L570">
        <v>157</v>
      </c>
      <c r="M570" t="s">
        <v>567</v>
      </c>
      <c r="N570" t="s">
        <v>214</v>
      </c>
      <c r="O570">
        <v>2155554695</v>
      </c>
      <c r="P570" t="s">
        <v>215</v>
      </c>
      <c r="R570" t="s">
        <v>216</v>
      </c>
      <c r="S570" t="s">
        <v>142</v>
      </c>
      <c r="T570">
        <v>71270</v>
      </c>
      <c r="U570" t="s">
        <v>32</v>
      </c>
      <c r="V570" t="s">
        <v>33</v>
      </c>
      <c r="W570" t="s">
        <v>217</v>
      </c>
      <c r="X570" t="s">
        <v>218</v>
      </c>
      <c r="Y570" t="s">
        <v>151</v>
      </c>
    </row>
    <row r="571" spans="1:25" x14ac:dyDescent="0.25">
      <c r="A571">
        <v>10316</v>
      </c>
      <c r="B571">
        <v>27</v>
      </c>
      <c r="C571">
        <v>100</v>
      </c>
      <c r="D571">
        <v>9</v>
      </c>
      <c r="E571">
        <v>3704.13</v>
      </c>
      <c r="F571" s="1">
        <v>38292</v>
      </c>
      <c r="G571" t="s">
        <v>25</v>
      </c>
      <c r="H571">
        <v>4</v>
      </c>
      <c r="I571">
        <v>11</v>
      </c>
      <c r="J571">
        <v>2004</v>
      </c>
      <c r="K571" t="s">
        <v>566</v>
      </c>
      <c r="L571">
        <v>157</v>
      </c>
      <c r="M571" t="s">
        <v>567</v>
      </c>
      <c r="N571" t="s">
        <v>383</v>
      </c>
      <c r="O571" t="s">
        <v>384</v>
      </c>
      <c r="P571" t="s">
        <v>385</v>
      </c>
      <c r="R571" t="s">
        <v>386</v>
      </c>
      <c r="S571" t="s">
        <v>387</v>
      </c>
      <c r="T571" t="s">
        <v>388</v>
      </c>
      <c r="U571" t="s">
        <v>170</v>
      </c>
      <c r="V571" t="s">
        <v>42</v>
      </c>
      <c r="W571" t="s">
        <v>389</v>
      </c>
      <c r="X571" t="s">
        <v>390</v>
      </c>
      <c r="Y571" t="s">
        <v>51</v>
      </c>
    </row>
    <row r="572" spans="1:25" x14ac:dyDescent="0.25">
      <c r="A572">
        <v>10327</v>
      </c>
      <c r="B572">
        <v>25</v>
      </c>
      <c r="C572">
        <v>100</v>
      </c>
      <c r="D572">
        <v>6</v>
      </c>
      <c r="E572">
        <v>2804.75</v>
      </c>
      <c r="F572" s="1">
        <v>38301</v>
      </c>
      <c r="G572" t="s">
        <v>408</v>
      </c>
      <c r="H572">
        <v>4</v>
      </c>
      <c r="I572">
        <v>11</v>
      </c>
      <c r="J572">
        <v>2004</v>
      </c>
      <c r="K572" t="s">
        <v>566</v>
      </c>
      <c r="L572">
        <v>157</v>
      </c>
      <c r="M572" t="s">
        <v>567</v>
      </c>
      <c r="N572" t="s">
        <v>322</v>
      </c>
      <c r="O572" t="s">
        <v>323</v>
      </c>
      <c r="P572" t="s">
        <v>324</v>
      </c>
      <c r="R572" t="s">
        <v>325</v>
      </c>
      <c r="T572">
        <v>1734</v>
      </c>
      <c r="U572" t="s">
        <v>326</v>
      </c>
      <c r="V572" t="s">
        <v>42</v>
      </c>
      <c r="W572" t="s">
        <v>327</v>
      </c>
      <c r="X572" t="s">
        <v>328</v>
      </c>
      <c r="Y572" t="s">
        <v>36</v>
      </c>
    </row>
    <row r="573" spans="1:25" x14ac:dyDescent="0.25">
      <c r="A573">
        <v>10338</v>
      </c>
      <c r="B573">
        <v>41</v>
      </c>
      <c r="C573">
        <v>100</v>
      </c>
      <c r="D573">
        <v>1</v>
      </c>
      <c r="E573">
        <v>5624.79</v>
      </c>
      <c r="F573" s="1">
        <v>38313</v>
      </c>
      <c r="G573" t="s">
        <v>25</v>
      </c>
      <c r="H573">
        <v>4</v>
      </c>
      <c r="I573">
        <v>11</v>
      </c>
      <c r="J573">
        <v>2004</v>
      </c>
      <c r="K573" t="s">
        <v>566</v>
      </c>
      <c r="L573">
        <v>157</v>
      </c>
      <c r="M573" t="s">
        <v>567</v>
      </c>
      <c r="N573" t="s">
        <v>577</v>
      </c>
      <c r="O573" t="s">
        <v>578</v>
      </c>
      <c r="P573" t="s">
        <v>579</v>
      </c>
      <c r="R573" t="s">
        <v>580</v>
      </c>
      <c r="T573" t="s">
        <v>581</v>
      </c>
      <c r="U573" t="s">
        <v>370</v>
      </c>
      <c r="V573" t="s">
        <v>42</v>
      </c>
      <c r="W573" t="s">
        <v>582</v>
      </c>
      <c r="X573" t="s">
        <v>583</v>
      </c>
      <c r="Y573" t="s">
        <v>51</v>
      </c>
    </row>
    <row r="574" spans="1:25" x14ac:dyDescent="0.25">
      <c r="A574">
        <v>10351</v>
      </c>
      <c r="B574">
        <v>39</v>
      </c>
      <c r="C574">
        <v>99.52</v>
      </c>
      <c r="D574">
        <v>1</v>
      </c>
      <c r="E574">
        <v>3881.28</v>
      </c>
      <c r="F574" s="1">
        <v>38324</v>
      </c>
      <c r="G574" t="s">
        <v>25</v>
      </c>
      <c r="H574">
        <v>4</v>
      </c>
      <c r="I574">
        <v>12</v>
      </c>
      <c r="J574">
        <v>2004</v>
      </c>
      <c r="K574" t="s">
        <v>566</v>
      </c>
      <c r="L574">
        <v>157</v>
      </c>
      <c r="M574" t="s">
        <v>567</v>
      </c>
      <c r="N574" t="s">
        <v>329</v>
      </c>
      <c r="O574" t="s">
        <v>330</v>
      </c>
      <c r="P574" t="s">
        <v>331</v>
      </c>
      <c r="R574" t="s">
        <v>332</v>
      </c>
      <c r="T574" t="s">
        <v>333</v>
      </c>
      <c r="U574" t="s">
        <v>170</v>
      </c>
      <c r="V574" t="s">
        <v>42</v>
      </c>
      <c r="W574" t="s">
        <v>61</v>
      </c>
      <c r="X574" t="s">
        <v>334</v>
      </c>
      <c r="Y574" t="s">
        <v>51</v>
      </c>
    </row>
    <row r="575" spans="1:25" x14ac:dyDescent="0.25">
      <c r="A575">
        <v>10373</v>
      </c>
      <c r="B575">
        <v>28</v>
      </c>
      <c r="C575">
        <v>57.55</v>
      </c>
      <c r="D575">
        <v>4</v>
      </c>
      <c r="E575">
        <v>1611.4</v>
      </c>
      <c r="F575" s="1">
        <v>38383</v>
      </c>
      <c r="G575" t="s">
        <v>25</v>
      </c>
      <c r="H575">
        <v>1</v>
      </c>
      <c r="I575">
        <v>1</v>
      </c>
      <c r="J575">
        <v>2005</v>
      </c>
      <c r="K575" t="s">
        <v>566</v>
      </c>
      <c r="L575">
        <v>157</v>
      </c>
      <c r="M575" t="s">
        <v>567</v>
      </c>
      <c r="N575" t="s">
        <v>391</v>
      </c>
      <c r="O575" t="s">
        <v>392</v>
      </c>
      <c r="P575" t="s">
        <v>393</v>
      </c>
      <c r="R575" t="s">
        <v>394</v>
      </c>
      <c r="T575">
        <v>90110</v>
      </c>
      <c r="U575" t="s">
        <v>130</v>
      </c>
      <c r="V575" t="s">
        <v>42</v>
      </c>
      <c r="W575" t="s">
        <v>395</v>
      </c>
      <c r="X575" t="s">
        <v>396</v>
      </c>
      <c r="Y575" t="s">
        <v>36</v>
      </c>
    </row>
    <row r="576" spans="1:25" x14ac:dyDescent="0.25">
      <c r="A576">
        <v>10386</v>
      </c>
      <c r="B576">
        <v>25</v>
      </c>
      <c r="C576">
        <v>54.57</v>
      </c>
      <c r="D576">
        <v>7</v>
      </c>
      <c r="E576">
        <v>1364.25</v>
      </c>
      <c r="F576" s="1">
        <v>38412</v>
      </c>
      <c r="G576" t="s">
        <v>408</v>
      </c>
      <c r="H576">
        <v>1</v>
      </c>
      <c r="I576">
        <v>3</v>
      </c>
      <c r="J576">
        <v>2005</v>
      </c>
      <c r="K576" t="s">
        <v>566</v>
      </c>
      <c r="L576">
        <v>157</v>
      </c>
      <c r="M576" t="s">
        <v>567</v>
      </c>
      <c r="N576" t="s">
        <v>174</v>
      </c>
      <c r="O576" t="s">
        <v>175</v>
      </c>
      <c r="P576" t="s">
        <v>176</v>
      </c>
      <c r="R576" t="s">
        <v>177</v>
      </c>
      <c r="T576">
        <v>28034</v>
      </c>
      <c r="U576" t="s">
        <v>178</v>
      </c>
      <c r="V576" t="s">
        <v>42</v>
      </c>
      <c r="W576" t="s">
        <v>179</v>
      </c>
      <c r="X576" t="s">
        <v>180</v>
      </c>
      <c r="Y576" t="s">
        <v>36</v>
      </c>
    </row>
    <row r="577" spans="1:25" x14ac:dyDescent="0.25">
      <c r="A577">
        <v>10398</v>
      </c>
      <c r="B577">
        <v>33</v>
      </c>
      <c r="C577">
        <v>100</v>
      </c>
      <c r="D577">
        <v>11</v>
      </c>
      <c r="E577">
        <v>4215.09</v>
      </c>
      <c r="F577" s="1">
        <v>38441</v>
      </c>
      <c r="G577" t="s">
        <v>25</v>
      </c>
      <c r="H577">
        <v>1</v>
      </c>
      <c r="I577">
        <v>3</v>
      </c>
      <c r="J577">
        <v>2005</v>
      </c>
      <c r="K577" t="s">
        <v>566</v>
      </c>
      <c r="L577">
        <v>157</v>
      </c>
      <c r="M577" t="s">
        <v>567</v>
      </c>
      <c r="N577" t="s">
        <v>37</v>
      </c>
      <c r="O577" t="s">
        <v>38</v>
      </c>
      <c r="P577" t="s">
        <v>39</v>
      </c>
      <c r="R577" t="s">
        <v>40</v>
      </c>
      <c r="T577">
        <v>51100</v>
      </c>
      <c r="U577" t="s">
        <v>41</v>
      </c>
      <c r="V577" t="s">
        <v>42</v>
      </c>
      <c r="W577" t="s">
        <v>43</v>
      </c>
      <c r="X577" t="s">
        <v>44</v>
      </c>
      <c r="Y577" t="s">
        <v>51</v>
      </c>
    </row>
    <row r="578" spans="1:25" x14ac:dyDescent="0.25">
      <c r="A578">
        <v>10400</v>
      </c>
      <c r="B578">
        <v>34</v>
      </c>
      <c r="C578">
        <v>100</v>
      </c>
      <c r="D578">
        <v>1</v>
      </c>
      <c r="E578">
        <v>6433.82</v>
      </c>
      <c r="F578" s="1">
        <v>38443</v>
      </c>
      <c r="G578" t="s">
        <v>25</v>
      </c>
      <c r="H578">
        <v>2</v>
      </c>
      <c r="I578">
        <v>4</v>
      </c>
      <c r="J578">
        <v>2005</v>
      </c>
      <c r="K578" t="s">
        <v>566</v>
      </c>
      <c r="L578">
        <v>157</v>
      </c>
      <c r="M578" t="s">
        <v>567</v>
      </c>
      <c r="N578" t="s">
        <v>397</v>
      </c>
      <c r="O578">
        <v>4085553659</v>
      </c>
      <c r="P578" t="s">
        <v>398</v>
      </c>
      <c r="R578" t="s">
        <v>399</v>
      </c>
      <c r="S578" t="s">
        <v>55</v>
      </c>
      <c r="T578">
        <v>94217</v>
      </c>
      <c r="U578" t="s">
        <v>32</v>
      </c>
      <c r="V578" t="s">
        <v>33</v>
      </c>
      <c r="W578" t="s">
        <v>102</v>
      </c>
      <c r="X578" t="s">
        <v>400</v>
      </c>
      <c r="Y578" t="s">
        <v>51</v>
      </c>
    </row>
    <row r="579" spans="1:25" x14ac:dyDescent="0.25">
      <c r="A579">
        <v>10416</v>
      </c>
      <c r="B579">
        <v>24</v>
      </c>
      <c r="C579">
        <v>100</v>
      </c>
      <c r="D579">
        <v>14</v>
      </c>
      <c r="E579">
        <v>4352.16</v>
      </c>
      <c r="F579" s="1">
        <v>38482</v>
      </c>
      <c r="G579" t="s">
        <v>25</v>
      </c>
      <c r="H579">
        <v>2</v>
      </c>
      <c r="I579">
        <v>5</v>
      </c>
      <c r="J579">
        <v>2005</v>
      </c>
      <c r="K579" t="s">
        <v>566</v>
      </c>
      <c r="L579">
        <v>157</v>
      </c>
      <c r="M579" t="s">
        <v>567</v>
      </c>
      <c r="N579" t="s">
        <v>452</v>
      </c>
      <c r="O579" t="s">
        <v>453</v>
      </c>
      <c r="P579" t="s">
        <v>454</v>
      </c>
      <c r="R579" t="s">
        <v>455</v>
      </c>
      <c r="T579">
        <v>42100</v>
      </c>
      <c r="U579" t="s">
        <v>258</v>
      </c>
      <c r="V579" t="s">
        <v>42</v>
      </c>
      <c r="W579" t="s">
        <v>456</v>
      </c>
      <c r="X579" t="s">
        <v>457</v>
      </c>
      <c r="Y579" t="s">
        <v>51</v>
      </c>
    </row>
    <row r="580" spans="1:25" x14ac:dyDescent="0.25">
      <c r="A580">
        <v>10100</v>
      </c>
      <c r="B580">
        <v>30</v>
      </c>
      <c r="C580">
        <v>100</v>
      </c>
      <c r="D580">
        <v>3</v>
      </c>
      <c r="E580">
        <v>5151</v>
      </c>
      <c r="F580" s="1">
        <v>37627</v>
      </c>
      <c r="G580" t="s">
        <v>25</v>
      </c>
      <c r="H580">
        <v>1</v>
      </c>
      <c r="I580">
        <v>1</v>
      </c>
      <c r="J580">
        <v>2003</v>
      </c>
      <c r="K580" t="s">
        <v>550</v>
      </c>
      <c r="L580">
        <v>170</v>
      </c>
      <c r="M580" t="s">
        <v>584</v>
      </c>
      <c r="N580" t="s">
        <v>277</v>
      </c>
      <c r="O580">
        <v>6035558647</v>
      </c>
      <c r="P580" t="s">
        <v>278</v>
      </c>
      <c r="R580" t="s">
        <v>279</v>
      </c>
      <c r="S580" t="s">
        <v>280</v>
      </c>
      <c r="T580">
        <v>62005</v>
      </c>
      <c r="U580" t="s">
        <v>32</v>
      </c>
      <c r="V580" t="s">
        <v>33</v>
      </c>
      <c r="W580" t="s">
        <v>56</v>
      </c>
      <c r="X580" t="s">
        <v>276</v>
      </c>
      <c r="Y580" t="s">
        <v>51</v>
      </c>
    </row>
    <row r="581" spans="1:25" x14ac:dyDescent="0.25">
      <c r="A581">
        <v>10110</v>
      </c>
      <c r="B581">
        <v>42</v>
      </c>
      <c r="C581">
        <v>100</v>
      </c>
      <c r="D581">
        <v>7</v>
      </c>
      <c r="E581">
        <v>6069</v>
      </c>
      <c r="F581" s="1">
        <v>37698</v>
      </c>
      <c r="G581" t="s">
        <v>25</v>
      </c>
      <c r="H581">
        <v>1</v>
      </c>
      <c r="I581">
        <v>3</v>
      </c>
      <c r="J581">
        <v>2003</v>
      </c>
      <c r="K581" t="s">
        <v>550</v>
      </c>
      <c r="L581">
        <v>170</v>
      </c>
      <c r="M581" t="s">
        <v>584</v>
      </c>
      <c r="N581" t="s">
        <v>492</v>
      </c>
      <c r="O581" t="s">
        <v>493</v>
      </c>
      <c r="P581" t="s">
        <v>494</v>
      </c>
      <c r="R581" t="s">
        <v>495</v>
      </c>
      <c r="T581" t="s">
        <v>496</v>
      </c>
      <c r="U581" t="s">
        <v>170</v>
      </c>
      <c r="V581" t="s">
        <v>42</v>
      </c>
      <c r="W581" t="s">
        <v>497</v>
      </c>
      <c r="X581" t="s">
        <v>94</v>
      </c>
      <c r="Y581" t="s">
        <v>51</v>
      </c>
    </row>
    <row r="582" spans="1:25" x14ac:dyDescent="0.25">
      <c r="A582">
        <v>10124</v>
      </c>
      <c r="B582">
        <v>21</v>
      </c>
      <c r="C582">
        <v>100</v>
      </c>
      <c r="D582">
        <v>6</v>
      </c>
      <c r="E582">
        <v>2856</v>
      </c>
      <c r="F582" s="1">
        <v>37762</v>
      </c>
      <c r="G582" t="s">
        <v>25</v>
      </c>
      <c r="H582">
        <v>2</v>
      </c>
      <c r="I582">
        <v>5</v>
      </c>
      <c r="J582">
        <v>2003</v>
      </c>
      <c r="K582" t="s">
        <v>550</v>
      </c>
      <c r="L582">
        <v>170</v>
      </c>
      <c r="M582" t="s">
        <v>584</v>
      </c>
      <c r="N582" t="s">
        <v>539</v>
      </c>
      <c r="O582">
        <v>7025551838</v>
      </c>
      <c r="P582" t="s">
        <v>540</v>
      </c>
      <c r="R582" t="s">
        <v>541</v>
      </c>
      <c r="S582" t="s">
        <v>542</v>
      </c>
      <c r="T582">
        <v>83030</v>
      </c>
      <c r="U582" t="s">
        <v>32</v>
      </c>
      <c r="V582" t="s">
        <v>33</v>
      </c>
      <c r="W582" t="s">
        <v>113</v>
      </c>
      <c r="X582" t="s">
        <v>400</v>
      </c>
      <c r="Y582" t="s">
        <v>36</v>
      </c>
    </row>
    <row r="583" spans="1:25" x14ac:dyDescent="0.25">
      <c r="A583">
        <v>10149</v>
      </c>
      <c r="B583">
        <v>34</v>
      </c>
      <c r="C583">
        <v>100</v>
      </c>
      <c r="D583">
        <v>11</v>
      </c>
      <c r="E583">
        <v>5375.4</v>
      </c>
      <c r="F583" s="1">
        <v>37876</v>
      </c>
      <c r="G583" t="s">
        <v>25</v>
      </c>
      <c r="H583">
        <v>3</v>
      </c>
      <c r="I583">
        <v>9</v>
      </c>
      <c r="J583">
        <v>2003</v>
      </c>
      <c r="K583" t="s">
        <v>550</v>
      </c>
      <c r="L583">
        <v>170</v>
      </c>
      <c r="M583" t="s">
        <v>584</v>
      </c>
      <c r="N583" t="s">
        <v>526</v>
      </c>
      <c r="O583">
        <v>4155554312</v>
      </c>
      <c r="P583" t="s">
        <v>527</v>
      </c>
      <c r="R583" t="s">
        <v>528</v>
      </c>
      <c r="S583" t="s">
        <v>55</v>
      </c>
      <c r="T583">
        <v>94217</v>
      </c>
      <c r="U583" t="s">
        <v>32</v>
      </c>
      <c r="V583" t="s">
        <v>33</v>
      </c>
      <c r="W583" t="s">
        <v>529</v>
      </c>
      <c r="X583" t="s">
        <v>400</v>
      </c>
      <c r="Y583" t="s">
        <v>51</v>
      </c>
    </row>
    <row r="584" spans="1:25" x14ac:dyDescent="0.25">
      <c r="A584">
        <v>10162</v>
      </c>
      <c r="B584">
        <v>29</v>
      </c>
      <c r="C584">
        <v>100</v>
      </c>
      <c r="D584">
        <v>9</v>
      </c>
      <c r="E584">
        <v>5176.5</v>
      </c>
      <c r="F584" s="1">
        <v>37912</v>
      </c>
      <c r="G584" t="s">
        <v>25</v>
      </c>
      <c r="H584">
        <v>4</v>
      </c>
      <c r="I584">
        <v>10</v>
      </c>
      <c r="J584">
        <v>2003</v>
      </c>
      <c r="K584" t="s">
        <v>550</v>
      </c>
      <c r="L584">
        <v>170</v>
      </c>
      <c r="M584" t="s">
        <v>584</v>
      </c>
      <c r="N584" t="s">
        <v>58</v>
      </c>
      <c r="O584">
        <v>6505551386</v>
      </c>
      <c r="P584" t="s">
        <v>59</v>
      </c>
      <c r="R584" t="s">
        <v>60</v>
      </c>
      <c r="S584" t="s">
        <v>55</v>
      </c>
      <c r="U584" t="s">
        <v>32</v>
      </c>
      <c r="V584" t="s">
        <v>33</v>
      </c>
      <c r="W584" t="s">
        <v>61</v>
      </c>
      <c r="X584" t="s">
        <v>57</v>
      </c>
      <c r="Y584" t="s">
        <v>51</v>
      </c>
    </row>
    <row r="585" spans="1:25" x14ac:dyDescent="0.25">
      <c r="A585">
        <v>10173</v>
      </c>
      <c r="B585">
        <v>24</v>
      </c>
      <c r="C585">
        <v>100</v>
      </c>
      <c r="D585">
        <v>13</v>
      </c>
      <c r="E585">
        <v>3508.8</v>
      </c>
      <c r="F585" s="1">
        <v>37930</v>
      </c>
      <c r="G585" t="s">
        <v>25</v>
      </c>
      <c r="H585">
        <v>4</v>
      </c>
      <c r="I585">
        <v>11</v>
      </c>
      <c r="J585">
        <v>2003</v>
      </c>
      <c r="K585" t="s">
        <v>550</v>
      </c>
      <c r="L585">
        <v>170</v>
      </c>
      <c r="M585" t="s">
        <v>584</v>
      </c>
      <c r="N585" t="s">
        <v>552</v>
      </c>
      <c r="O585" t="s">
        <v>553</v>
      </c>
      <c r="P585" t="s">
        <v>554</v>
      </c>
      <c r="R585" t="s">
        <v>555</v>
      </c>
      <c r="T585">
        <v>24100</v>
      </c>
      <c r="U585" t="s">
        <v>258</v>
      </c>
      <c r="V585" t="s">
        <v>42</v>
      </c>
      <c r="W585" t="s">
        <v>556</v>
      </c>
      <c r="X585" t="s">
        <v>557</v>
      </c>
      <c r="Y585" t="s">
        <v>51</v>
      </c>
    </row>
    <row r="586" spans="1:25" x14ac:dyDescent="0.25">
      <c r="A586">
        <v>10182</v>
      </c>
      <c r="B586">
        <v>44</v>
      </c>
      <c r="C586">
        <v>100</v>
      </c>
      <c r="D586">
        <v>10</v>
      </c>
      <c r="E586">
        <v>7554.8</v>
      </c>
      <c r="F586" s="1">
        <v>37937</v>
      </c>
      <c r="G586" t="s">
        <v>25</v>
      </c>
      <c r="H586">
        <v>4</v>
      </c>
      <c r="I586">
        <v>11</v>
      </c>
      <c r="J586">
        <v>2003</v>
      </c>
      <c r="K586" t="s">
        <v>550</v>
      </c>
      <c r="L586">
        <v>170</v>
      </c>
      <c r="M586" t="s">
        <v>584</v>
      </c>
      <c r="N586" t="s">
        <v>272</v>
      </c>
      <c r="O586">
        <v>4155551450</v>
      </c>
      <c r="P586" t="s">
        <v>273</v>
      </c>
      <c r="R586" t="s">
        <v>274</v>
      </c>
      <c r="S586" t="s">
        <v>55</v>
      </c>
      <c r="T586">
        <v>97562</v>
      </c>
      <c r="U586" t="s">
        <v>32</v>
      </c>
      <c r="V586" t="s">
        <v>33</v>
      </c>
      <c r="W586" t="s">
        <v>275</v>
      </c>
      <c r="X586" t="s">
        <v>276</v>
      </c>
      <c r="Y586" t="s">
        <v>151</v>
      </c>
    </row>
    <row r="587" spans="1:25" x14ac:dyDescent="0.25">
      <c r="A587">
        <v>10193</v>
      </c>
      <c r="B587">
        <v>21</v>
      </c>
      <c r="C587">
        <v>100</v>
      </c>
      <c r="D587">
        <v>14</v>
      </c>
      <c r="E587">
        <v>3141.6</v>
      </c>
      <c r="F587" s="1">
        <v>37946</v>
      </c>
      <c r="G587" t="s">
        <v>25</v>
      </c>
      <c r="H587">
        <v>4</v>
      </c>
      <c r="I587">
        <v>11</v>
      </c>
      <c r="J587">
        <v>2003</v>
      </c>
      <c r="K587" t="s">
        <v>550</v>
      </c>
      <c r="L587">
        <v>170</v>
      </c>
      <c r="M587" t="s">
        <v>584</v>
      </c>
      <c r="N587" t="s">
        <v>558</v>
      </c>
      <c r="O587" t="s">
        <v>559</v>
      </c>
      <c r="P587" t="s">
        <v>560</v>
      </c>
      <c r="R587" t="s">
        <v>561</v>
      </c>
      <c r="S587" t="s">
        <v>94</v>
      </c>
      <c r="T587">
        <v>3150</v>
      </c>
      <c r="U587" t="s">
        <v>95</v>
      </c>
      <c r="V587" t="s">
        <v>96</v>
      </c>
      <c r="W587" t="s">
        <v>562</v>
      </c>
      <c r="X587" t="s">
        <v>563</v>
      </c>
      <c r="Y587" t="s">
        <v>51</v>
      </c>
    </row>
    <row r="588" spans="1:25" x14ac:dyDescent="0.25">
      <c r="A588">
        <v>10204</v>
      </c>
      <c r="B588">
        <v>33</v>
      </c>
      <c r="C588">
        <v>100</v>
      </c>
      <c r="D588">
        <v>4</v>
      </c>
      <c r="E588">
        <v>5890.5</v>
      </c>
      <c r="F588" s="1">
        <v>37957</v>
      </c>
      <c r="G588" t="s">
        <v>25</v>
      </c>
      <c r="H588">
        <v>4</v>
      </c>
      <c r="I588">
        <v>12</v>
      </c>
      <c r="J588">
        <v>2003</v>
      </c>
      <c r="K588" t="s">
        <v>550</v>
      </c>
      <c r="L588">
        <v>170</v>
      </c>
      <c r="M588" t="s">
        <v>584</v>
      </c>
      <c r="N588" t="s">
        <v>475</v>
      </c>
      <c r="O588">
        <v>2125557413</v>
      </c>
      <c r="P588" t="s">
        <v>476</v>
      </c>
      <c r="Q588" t="s">
        <v>477</v>
      </c>
      <c r="R588" t="s">
        <v>30</v>
      </c>
      <c r="S588" t="s">
        <v>31</v>
      </c>
      <c r="T588">
        <v>10022</v>
      </c>
      <c r="U588" t="s">
        <v>32</v>
      </c>
      <c r="V588" t="s">
        <v>33</v>
      </c>
      <c r="W588" t="s">
        <v>56</v>
      </c>
      <c r="X588" t="s">
        <v>478</v>
      </c>
      <c r="Y588" t="s">
        <v>51</v>
      </c>
    </row>
    <row r="589" spans="1:25" x14ac:dyDescent="0.25">
      <c r="A589">
        <v>10214</v>
      </c>
      <c r="B589">
        <v>30</v>
      </c>
      <c r="C589">
        <v>100</v>
      </c>
      <c r="D589">
        <v>7</v>
      </c>
      <c r="E589">
        <v>5967</v>
      </c>
      <c r="F589" s="1">
        <v>38012</v>
      </c>
      <c r="G589" t="s">
        <v>25</v>
      </c>
      <c r="H589">
        <v>1</v>
      </c>
      <c r="I589">
        <v>1</v>
      </c>
      <c r="J589">
        <v>2004</v>
      </c>
      <c r="K589" t="s">
        <v>550</v>
      </c>
      <c r="L589">
        <v>170</v>
      </c>
      <c r="M589" t="s">
        <v>584</v>
      </c>
      <c r="N589" t="s">
        <v>191</v>
      </c>
      <c r="O589" t="s">
        <v>192</v>
      </c>
      <c r="P589" t="s">
        <v>193</v>
      </c>
      <c r="R589" t="s">
        <v>177</v>
      </c>
      <c r="T589">
        <v>28023</v>
      </c>
      <c r="U589" t="s">
        <v>178</v>
      </c>
      <c r="V589" t="s">
        <v>42</v>
      </c>
      <c r="W589" t="s">
        <v>194</v>
      </c>
      <c r="X589" t="s">
        <v>195</v>
      </c>
      <c r="Y589" t="s">
        <v>51</v>
      </c>
    </row>
    <row r="590" spans="1:25" x14ac:dyDescent="0.25">
      <c r="A590">
        <v>10227</v>
      </c>
      <c r="B590">
        <v>26</v>
      </c>
      <c r="C590">
        <v>100</v>
      </c>
      <c r="D590">
        <v>10</v>
      </c>
      <c r="E590">
        <v>3712.8</v>
      </c>
      <c r="F590" s="1">
        <v>38048</v>
      </c>
      <c r="G590" t="s">
        <v>25</v>
      </c>
      <c r="H590">
        <v>1</v>
      </c>
      <c r="I590">
        <v>3</v>
      </c>
      <c r="J590">
        <v>2004</v>
      </c>
      <c r="K590" t="s">
        <v>550</v>
      </c>
      <c r="L590">
        <v>170</v>
      </c>
      <c r="M590" t="s">
        <v>584</v>
      </c>
      <c r="N590" t="s">
        <v>219</v>
      </c>
      <c r="O590" t="s">
        <v>220</v>
      </c>
      <c r="P590" t="s">
        <v>221</v>
      </c>
      <c r="R590" t="s">
        <v>222</v>
      </c>
      <c r="T590">
        <v>69004</v>
      </c>
      <c r="U590" t="s">
        <v>41</v>
      </c>
      <c r="V590" t="s">
        <v>42</v>
      </c>
      <c r="W590" t="s">
        <v>223</v>
      </c>
      <c r="X590" t="s">
        <v>224</v>
      </c>
      <c r="Y590" t="s">
        <v>51</v>
      </c>
    </row>
    <row r="591" spans="1:25" x14ac:dyDescent="0.25">
      <c r="A591">
        <v>10241</v>
      </c>
      <c r="B591">
        <v>41</v>
      </c>
      <c r="C591">
        <v>100</v>
      </c>
      <c r="D591">
        <v>2</v>
      </c>
      <c r="E591">
        <v>7597.3</v>
      </c>
      <c r="F591" s="1">
        <v>38090</v>
      </c>
      <c r="G591" t="s">
        <v>25</v>
      </c>
      <c r="H591">
        <v>2</v>
      </c>
      <c r="I591">
        <v>4</v>
      </c>
      <c r="J591">
        <v>2004</v>
      </c>
      <c r="K591" t="s">
        <v>550</v>
      </c>
      <c r="L591">
        <v>170</v>
      </c>
      <c r="M591" t="s">
        <v>584</v>
      </c>
      <c r="N591" t="s">
        <v>531</v>
      </c>
      <c r="O591" t="s">
        <v>532</v>
      </c>
      <c r="P591" t="s">
        <v>533</v>
      </c>
      <c r="R591" t="s">
        <v>534</v>
      </c>
      <c r="T591">
        <v>67000</v>
      </c>
      <c r="U591" t="s">
        <v>41</v>
      </c>
      <c r="V591" t="s">
        <v>42</v>
      </c>
      <c r="W591" t="s">
        <v>535</v>
      </c>
      <c r="X591" t="s">
        <v>536</v>
      </c>
      <c r="Y591" t="s">
        <v>151</v>
      </c>
    </row>
    <row r="592" spans="1:25" x14ac:dyDescent="0.25">
      <c r="A592">
        <v>10280</v>
      </c>
      <c r="B592">
        <v>26</v>
      </c>
      <c r="C592">
        <v>100</v>
      </c>
      <c r="D592">
        <v>16</v>
      </c>
      <c r="E592">
        <v>3668.6</v>
      </c>
      <c r="F592" s="1">
        <v>38216</v>
      </c>
      <c r="G592" t="s">
        <v>25</v>
      </c>
      <c r="H592">
        <v>3</v>
      </c>
      <c r="I592">
        <v>8</v>
      </c>
      <c r="J592">
        <v>2004</v>
      </c>
      <c r="K592" t="s">
        <v>550</v>
      </c>
      <c r="L592">
        <v>170</v>
      </c>
      <c r="M592" t="s">
        <v>584</v>
      </c>
      <c r="N592" t="s">
        <v>254</v>
      </c>
      <c r="O592" t="s">
        <v>255</v>
      </c>
      <c r="P592" t="s">
        <v>256</v>
      </c>
      <c r="R592" t="s">
        <v>257</v>
      </c>
      <c r="T592">
        <v>10100</v>
      </c>
      <c r="U592" t="s">
        <v>258</v>
      </c>
      <c r="V592" t="s">
        <v>42</v>
      </c>
      <c r="W592" t="s">
        <v>259</v>
      </c>
      <c r="X592" t="s">
        <v>260</v>
      </c>
      <c r="Y592" t="s">
        <v>51</v>
      </c>
    </row>
    <row r="593" spans="1:25" x14ac:dyDescent="0.25">
      <c r="A593">
        <v>10288</v>
      </c>
      <c r="B593">
        <v>32</v>
      </c>
      <c r="C593">
        <v>100</v>
      </c>
      <c r="D593">
        <v>5</v>
      </c>
      <c r="E593">
        <v>5875.2</v>
      </c>
      <c r="F593" s="1">
        <v>38231</v>
      </c>
      <c r="G593" t="s">
        <v>25</v>
      </c>
      <c r="H593">
        <v>3</v>
      </c>
      <c r="I593">
        <v>9</v>
      </c>
      <c r="J593">
        <v>2004</v>
      </c>
      <c r="K593" t="s">
        <v>550</v>
      </c>
      <c r="L593">
        <v>170</v>
      </c>
      <c r="M593" t="s">
        <v>584</v>
      </c>
      <c r="N593" t="s">
        <v>418</v>
      </c>
      <c r="O593" t="s">
        <v>419</v>
      </c>
      <c r="P593" t="s">
        <v>420</v>
      </c>
      <c r="Q593" t="s">
        <v>421</v>
      </c>
      <c r="R593" t="s">
        <v>199</v>
      </c>
      <c r="T593">
        <v>69045</v>
      </c>
      <c r="U593" t="s">
        <v>199</v>
      </c>
      <c r="V593" t="s">
        <v>96</v>
      </c>
      <c r="W593" t="s">
        <v>422</v>
      </c>
      <c r="X593" t="s">
        <v>423</v>
      </c>
      <c r="Y593" t="s">
        <v>51</v>
      </c>
    </row>
    <row r="594" spans="1:25" x14ac:dyDescent="0.25">
      <c r="A594">
        <v>10302</v>
      </c>
      <c r="B594">
        <v>43</v>
      </c>
      <c r="C594">
        <v>100</v>
      </c>
      <c r="D594">
        <v>1</v>
      </c>
      <c r="E594">
        <v>7310</v>
      </c>
      <c r="F594" s="1">
        <v>37900</v>
      </c>
      <c r="G594" t="s">
        <v>25</v>
      </c>
      <c r="H594">
        <v>4</v>
      </c>
      <c r="I594">
        <v>10</v>
      </c>
      <c r="J594">
        <v>2003</v>
      </c>
      <c r="K594" t="s">
        <v>550</v>
      </c>
      <c r="L594">
        <v>170</v>
      </c>
      <c r="M594" t="s">
        <v>584</v>
      </c>
      <c r="N594" t="s">
        <v>165</v>
      </c>
      <c r="O594" t="s">
        <v>166</v>
      </c>
      <c r="P594" t="s">
        <v>167</v>
      </c>
      <c r="R594" t="s">
        <v>168</v>
      </c>
      <c r="T594" t="s">
        <v>169</v>
      </c>
      <c r="U594" t="s">
        <v>170</v>
      </c>
      <c r="V594" t="s">
        <v>42</v>
      </c>
      <c r="W594" t="s">
        <v>171</v>
      </c>
      <c r="X594" t="s">
        <v>172</v>
      </c>
      <c r="Y594" t="s">
        <v>151</v>
      </c>
    </row>
    <row r="595" spans="1:25" x14ac:dyDescent="0.25">
      <c r="A595">
        <v>10312</v>
      </c>
      <c r="B595">
        <v>48</v>
      </c>
      <c r="C595">
        <v>100</v>
      </c>
      <c r="D595">
        <v>17</v>
      </c>
      <c r="E595">
        <v>8078.4</v>
      </c>
      <c r="F595" s="1">
        <v>38281</v>
      </c>
      <c r="G595" t="s">
        <v>25</v>
      </c>
      <c r="H595">
        <v>4</v>
      </c>
      <c r="I595">
        <v>10</v>
      </c>
      <c r="J595">
        <v>2004</v>
      </c>
      <c r="K595" t="s">
        <v>550</v>
      </c>
      <c r="L595">
        <v>170</v>
      </c>
      <c r="M595" t="s">
        <v>584</v>
      </c>
      <c r="N595" t="s">
        <v>272</v>
      </c>
      <c r="O595">
        <v>4155551450</v>
      </c>
      <c r="P595" t="s">
        <v>273</v>
      </c>
      <c r="R595" t="s">
        <v>274</v>
      </c>
      <c r="S595" t="s">
        <v>55</v>
      </c>
      <c r="T595">
        <v>97562</v>
      </c>
      <c r="U595" t="s">
        <v>32</v>
      </c>
      <c r="V595" t="s">
        <v>33</v>
      </c>
      <c r="W595" t="s">
        <v>275</v>
      </c>
      <c r="X595" t="s">
        <v>276</v>
      </c>
      <c r="Y595" t="s">
        <v>151</v>
      </c>
    </row>
    <row r="596" spans="1:25" x14ac:dyDescent="0.25">
      <c r="A596">
        <v>10331</v>
      </c>
      <c r="B596">
        <v>44</v>
      </c>
      <c r="C596">
        <v>74.040000000000006</v>
      </c>
      <c r="D596">
        <v>7</v>
      </c>
      <c r="E596">
        <v>3257.76</v>
      </c>
      <c r="F596" s="1">
        <v>38308</v>
      </c>
      <c r="G596" t="s">
        <v>25</v>
      </c>
      <c r="H596">
        <v>4</v>
      </c>
      <c r="I596">
        <v>11</v>
      </c>
      <c r="J596">
        <v>2004</v>
      </c>
      <c r="K596" t="s">
        <v>550</v>
      </c>
      <c r="L596">
        <v>170</v>
      </c>
      <c r="M596" t="s">
        <v>584</v>
      </c>
      <c r="N596" t="s">
        <v>309</v>
      </c>
      <c r="O596">
        <v>2155559857</v>
      </c>
      <c r="P596" t="s">
        <v>310</v>
      </c>
      <c r="R596" t="s">
        <v>216</v>
      </c>
      <c r="S596" t="s">
        <v>142</v>
      </c>
      <c r="T596">
        <v>71270</v>
      </c>
      <c r="U596" t="s">
        <v>32</v>
      </c>
      <c r="V596" t="s">
        <v>33</v>
      </c>
      <c r="W596" t="s">
        <v>124</v>
      </c>
      <c r="X596" t="s">
        <v>311</v>
      </c>
      <c r="Y596" t="s">
        <v>51</v>
      </c>
    </row>
    <row r="597" spans="1:25" x14ac:dyDescent="0.25">
      <c r="A597">
        <v>10344</v>
      </c>
      <c r="B597">
        <v>45</v>
      </c>
      <c r="C597">
        <v>100</v>
      </c>
      <c r="D597">
        <v>1</v>
      </c>
      <c r="E597">
        <v>7650</v>
      </c>
      <c r="F597" s="1">
        <v>38316</v>
      </c>
      <c r="G597" t="s">
        <v>25</v>
      </c>
      <c r="H597">
        <v>4</v>
      </c>
      <c r="I597">
        <v>11</v>
      </c>
      <c r="J597">
        <v>2004</v>
      </c>
      <c r="K597" t="s">
        <v>550</v>
      </c>
      <c r="L597">
        <v>170</v>
      </c>
      <c r="M597" t="s">
        <v>584</v>
      </c>
      <c r="N597" t="s">
        <v>433</v>
      </c>
      <c r="O597" t="s">
        <v>434</v>
      </c>
      <c r="P597" t="s">
        <v>435</v>
      </c>
      <c r="R597" t="s">
        <v>436</v>
      </c>
      <c r="T597">
        <v>13008</v>
      </c>
      <c r="U597" t="s">
        <v>41</v>
      </c>
      <c r="V597" t="s">
        <v>42</v>
      </c>
      <c r="W597" t="s">
        <v>437</v>
      </c>
      <c r="X597" t="s">
        <v>438</v>
      </c>
      <c r="Y597" t="s">
        <v>151</v>
      </c>
    </row>
    <row r="598" spans="1:25" x14ac:dyDescent="0.25">
      <c r="A598">
        <v>10367</v>
      </c>
      <c r="B598">
        <v>37</v>
      </c>
      <c r="C598">
        <v>100</v>
      </c>
      <c r="D598">
        <v>3</v>
      </c>
      <c r="E598">
        <v>4703.8100000000004</v>
      </c>
      <c r="F598" s="1">
        <v>38364</v>
      </c>
      <c r="G598" t="s">
        <v>408</v>
      </c>
      <c r="H598">
        <v>1</v>
      </c>
      <c r="I598">
        <v>1</v>
      </c>
      <c r="J598">
        <v>2005</v>
      </c>
      <c r="K598" t="s">
        <v>550</v>
      </c>
      <c r="L598">
        <v>170</v>
      </c>
      <c r="M598" t="s">
        <v>584</v>
      </c>
      <c r="N598" t="s">
        <v>52</v>
      </c>
      <c r="O598">
        <v>6265557265</v>
      </c>
      <c r="P598" t="s">
        <v>53</v>
      </c>
      <c r="R598" t="s">
        <v>54</v>
      </c>
      <c r="S598" t="s">
        <v>55</v>
      </c>
      <c r="T598">
        <v>90003</v>
      </c>
      <c r="U598" t="s">
        <v>32</v>
      </c>
      <c r="V598" t="s">
        <v>33</v>
      </c>
      <c r="W598" t="s">
        <v>56</v>
      </c>
      <c r="X598" t="s">
        <v>57</v>
      </c>
      <c r="Y598" t="s">
        <v>51</v>
      </c>
    </row>
    <row r="599" spans="1:25" x14ac:dyDescent="0.25">
      <c r="A599">
        <v>10379</v>
      </c>
      <c r="B599">
        <v>39</v>
      </c>
      <c r="C599">
        <v>100</v>
      </c>
      <c r="D599">
        <v>2</v>
      </c>
      <c r="E599">
        <v>5399.55</v>
      </c>
      <c r="F599" s="1">
        <v>38393</v>
      </c>
      <c r="G599" t="s">
        <v>25</v>
      </c>
      <c r="H599">
        <v>1</v>
      </c>
      <c r="I599">
        <v>2</v>
      </c>
      <c r="J599">
        <v>2005</v>
      </c>
      <c r="K599" t="s">
        <v>550</v>
      </c>
      <c r="L599">
        <v>170</v>
      </c>
      <c r="M599" t="s">
        <v>584</v>
      </c>
      <c r="N599" t="s">
        <v>174</v>
      </c>
      <c r="O599" t="s">
        <v>175</v>
      </c>
      <c r="P599" t="s">
        <v>176</v>
      </c>
      <c r="R599" t="s">
        <v>177</v>
      </c>
      <c r="T599">
        <v>28034</v>
      </c>
      <c r="U599" t="s">
        <v>178</v>
      </c>
      <c r="V599" t="s">
        <v>42</v>
      </c>
      <c r="W599" t="s">
        <v>179</v>
      </c>
      <c r="X599" t="s">
        <v>180</v>
      </c>
      <c r="Y599" t="s">
        <v>51</v>
      </c>
    </row>
    <row r="600" spans="1:25" x14ac:dyDescent="0.25">
      <c r="A600">
        <v>10407</v>
      </c>
      <c r="B600">
        <v>76</v>
      </c>
      <c r="C600">
        <v>100</v>
      </c>
      <c r="D600">
        <v>2</v>
      </c>
      <c r="E600">
        <v>14082.8</v>
      </c>
      <c r="F600" s="1">
        <v>38464</v>
      </c>
      <c r="G600" t="s">
        <v>401</v>
      </c>
      <c r="H600">
        <v>2</v>
      </c>
      <c r="I600">
        <v>4</v>
      </c>
      <c r="J600">
        <v>2005</v>
      </c>
      <c r="K600" t="s">
        <v>550</v>
      </c>
      <c r="L600">
        <v>170</v>
      </c>
      <c r="M600" t="s">
        <v>584</v>
      </c>
      <c r="N600" t="s">
        <v>397</v>
      </c>
      <c r="O600">
        <v>4085553659</v>
      </c>
      <c r="P600" t="s">
        <v>398</v>
      </c>
      <c r="R600" t="s">
        <v>399</v>
      </c>
      <c r="S600" t="s">
        <v>55</v>
      </c>
      <c r="T600">
        <v>94217</v>
      </c>
      <c r="U600" t="s">
        <v>32</v>
      </c>
      <c r="V600" t="s">
        <v>33</v>
      </c>
      <c r="W600" t="s">
        <v>102</v>
      </c>
      <c r="X600" t="s">
        <v>400</v>
      </c>
      <c r="Y600" t="s">
        <v>151</v>
      </c>
    </row>
    <row r="601" spans="1:25" x14ac:dyDescent="0.25">
      <c r="A601">
        <v>10420</v>
      </c>
      <c r="B601">
        <v>37</v>
      </c>
      <c r="C601">
        <v>100</v>
      </c>
      <c r="D601">
        <v>5</v>
      </c>
      <c r="E601">
        <v>5283.6</v>
      </c>
      <c r="F601" s="1">
        <v>38501</v>
      </c>
      <c r="G601" t="s">
        <v>300</v>
      </c>
      <c r="H601">
        <v>2</v>
      </c>
      <c r="I601">
        <v>5</v>
      </c>
      <c r="J601">
        <v>2005</v>
      </c>
      <c r="K601" t="s">
        <v>550</v>
      </c>
      <c r="L601">
        <v>170</v>
      </c>
      <c r="M601" t="s">
        <v>584</v>
      </c>
      <c r="N601" t="s">
        <v>152</v>
      </c>
      <c r="O601" t="s">
        <v>153</v>
      </c>
      <c r="P601" t="s">
        <v>154</v>
      </c>
      <c r="Q601" t="s">
        <v>155</v>
      </c>
      <c r="R601" t="s">
        <v>156</v>
      </c>
      <c r="S601" t="s">
        <v>157</v>
      </c>
      <c r="T601">
        <v>2067</v>
      </c>
      <c r="U601" t="s">
        <v>95</v>
      </c>
      <c r="V601" t="s">
        <v>96</v>
      </c>
      <c r="W601" t="s">
        <v>158</v>
      </c>
      <c r="X601" t="s">
        <v>159</v>
      </c>
      <c r="Y601" t="s">
        <v>51</v>
      </c>
    </row>
    <row r="602" spans="1:25" x14ac:dyDescent="0.25">
      <c r="A602">
        <v>10108</v>
      </c>
      <c r="B602">
        <v>38</v>
      </c>
      <c r="C602">
        <v>82.39</v>
      </c>
      <c r="D602">
        <v>2</v>
      </c>
      <c r="E602">
        <v>3130.82</v>
      </c>
      <c r="F602" s="1">
        <v>37683</v>
      </c>
      <c r="G602" t="s">
        <v>25</v>
      </c>
      <c r="H602">
        <v>1</v>
      </c>
      <c r="I602">
        <v>3</v>
      </c>
      <c r="J602">
        <v>2003</v>
      </c>
      <c r="K602" t="s">
        <v>181</v>
      </c>
      <c r="L602">
        <v>77</v>
      </c>
      <c r="M602" t="s">
        <v>585</v>
      </c>
      <c r="N602" t="s">
        <v>425</v>
      </c>
      <c r="O602" t="s">
        <v>426</v>
      </c>
      <c r="P602" t="s">
        <v>427</v>
      </c>
      <c r="R602" t="s">
        <v>428</v>
      </c>
      <c r="T602" t="s">
        <v>429</v>
      </c>
      <c r="U602" t="s">
        <v>430</v>
      </c>
      <c r="V602" t="s">
        <v>200</v>
      </c>
      <c r="W602" t="s">
        <v>431</v>
      </c>
      <c r="X602" t="s">
        <v>432</v>
      </c>
      <c r="Y602" t="s">
        <v>51</v>
      </c>
    </row>
    <row r="603" spans="1:25" x14ac:dyDescent="0.25">
      <c r="A603">
        <v>10122</v>
      </c>
      <c r="B603">
        <v>43</v>
      </c>
      <c r="C603">
        <v>72.38</v>
      </c>
      <c r="D603">
        <v>6</v>
      </c>
      <c r="E603">
        <v>3112.34</v>
      </c>
      <c r="F603" s="1">
        <v>37749</v>
      </c>
      <c r="G603" t="s">
        <v>25</v>
      </c>
      <c r="H603">
        <v>2</v>
      </c>
      <c r="I603">
        <v>5</v>
      </c>
      <c r="J603">
        <v>2003</v>
      </c>
      <c r="K603" t="s">
        <v>181</v>
      </c>
      <c r="L603">
        <v>77</v>
      </c>
      <c r="M603" t="s">
        <v>585</v>
      </c>
      <c r="N603" t="s">
        <v>433</v>
      </c>
      <c r="O603" t="s">
        <v>434</v>
      </c>
      <c r="P603" t="s">
        <v>435</v>
      </c>
      <c r="R603" t="s">
        <v>436</v>
      </c>
      <c r="T603">
        <v>13008</v>
      </c>
      <c r="U603" t="s">
        <v>41</v>
      </c>
      <c r="V603" t="s">
        <v>42</v>
      </c>
      <c r="W603" t="s">
        <v>437</v>
      </c>
      <c r="X603" t="s">
        <v>438</v>
      </c>
      <c r="Y603" t="s">
        <v>51</v>
      </c>
    </row>
    <row r="604" spans="1:25" x14ac:dyDescent="0.25">
      <c r="A604">
        <v>10135</v>
      </c>
      <c r="B604">
        <v>48</v>
      </c>
      <c r="C604">
        <v>79.31</v>
      </c>
      <c r="D604">
        <v>3</v>
      </c>
      <c r="E604">
        <v>3806.88</v>
      </c>
      <c r="F604" s="1">
        <v>37804</v>
      </c>
      <c r="G604" t="s">
        <v>25</v>
      </c>
      <c r="H604">
        <v>3</v>
      </c>
      <c r="I604">
        <v>7</v>
      </c>
      <c r="J604">
        <v>2003</v>
      </c>
      <c r="K604" t="s">
        <v>181</v>
      </c>
      <c r="L604">
        <v>77</v>
      </c>
      <c r="M604" t="s">
        <v>585</v>
      </c>
      <c r="N604" t="s">
        <v>272</v>
      </c>
      <c r="O604">
        <v>4155551450</v>
      </c>
      <c r="P604" t="s">
        <v>273</v>
      </c>
      <c r="R604" t="s">
        <v>274</v>
      </c>
      <c r="S604" t="s">
        <v>55</v>
      </c>
      <c r="T604">
        <v>97562</v>
      </c>
      <c r="U604" t="s">
        <v>32</v>
      </c>
      <c r="V604" t="s">
        <v>33</v>
      </c>
      <c r="W604" t="s">
        <v>275</v>
      </c>
      <c r="X604" t="s">
        <v>276</v>
      </c>
      <c r="Y604" t="s">
        <v>51</v>
      </c>
    </row>
    <row r="605" spans="1:25" x14ac:dyDescent="0.25">
      <c r="A605">
        <v>10147</v>
      </c>
      <c r="B605">
        <v>26</v>
      </c>
      <c r="C605">
        <v>82.39</v>
      </c>
      <c r="D605">
        <v>3</v>
      </c>
      <c r="E605">
        <v>2142.14</v>
      </c>
      <c r="F605" s="1">
        <v>37869</v>
      </c>
      <c r="G605" t="s">
        <v>25</v>
      </c>
      <c r="H605">
        <v>3</v>
      </c>
      <c r="I605">
        <v>9</v>
      </c>
      <c r="J605">
        <v>2003</v>
      </c>
      <c r="K605" t="s">
        <v>181</v>
      </c>
      <c r="L605">
        <v>77</v>
      </c>
      <c r="M605" t="s">
        <v>585</v>
      </c>
      <c r="N605" t="s">
        <v>281</v>
      </c>
      <c r="O605">
        <v>6175558555</v>
      </c>
      <c r="P605" t="s">
        <v>282</v>
      </c>
      <c r="R605" t="s">
        <v>283</v>
      </c>
      <c r="S605" t="s">
        <v>123</v>
      </c>
      <c r="T605">
        <v>58339</v>
      </c>
      <c r="U605" t="s">
        <v>32</v>
      </c>
      <c r="V605" t="s">
        <v>33</v>
      </c>
      <c r="W605" t="s">
        <v>275</v>
      </c>
      <c r="X605" t="s">
        <v>284</v>
      </c>
      <c r="Y605" t="s">
        <v>36</v>
      </c>
    </row>
    <row r="606" spans="1:25" x14ac:dyDescent="0.25">
      <c r="A606">
        <v>10160</v>
      </c>
      <c r="B606">
        <v>38</v>
      </c>
      <c r="C606">
        <v>88.55</v>
      </c>
      <c r="D606">
        <v>4</v>
      </c>
      <c r="E606">
        <v>3364.9</v>
      </c>
      <c r="F606" s="1">
        <v>37905</v>
      </c>
      <c r="G606" t="s">
        <v>25</v>
      </c>
      <c r="H606">
        <v>4</v>
      </c>
      <c r="I606">
        <v>10</v>
      </c>
      <c r="J606">
        <v>2003</v>
      </c>
      <c r="K606" t="s">
        <v>181</v>
      </c>
      <c r="L606">
        <v>77</v>
      </c>
      <c r="M606" t="s">
        <v>585</v>
      </c>
      <c r="N606" t="s">
        <v>358</v>
      </c>
      <c r="O606">
        <v>2155554369</v>
      </c>
      <c r="P606" t="s">
        <v>359</v>
      </c>
      <c r="R606" t="s">
        <v>360</v>
      </c>
      <c r="S606" t="s">
        <v>55</v>
      </c>
      <c r="U606" t="s">
        <v>32</v>
      </c>
      <c r="V606" t="s">
        <v>33</v>
      </c>
      <c r="W606" t="s">
        <v>361</v>
      </c>
      <c r="X606" t="s">
        <v>103</v>
      </c>
      <c r="Y606" t="s">
        <v>51</v>
      </c>
    </row>
    <row r="607" spans="1:25" x14ac:dyDescent="0.25">
      <c r="A607">
        <v>10170</v>
      </c>
      <c r="B607">
        <v>20</v>
      </c>
      <c r="C607">
        <v>63.14</v>
      </c>
      <c r="D607">
        <v>2</v>
      </c>
      <c r="E607">
        <v>1262.8</v>
      </c>
      <c r="F607" s="1">
        <v>37929</v>
      </c>
      <c r="G607" t="s">
        <v>25</v>
      </c>
      <c r="H607">
        <v>4</v>
      </c>
      <c r="I607">
        <v>11</v>
      </c>
      <c r="J607">
        <v>2003</v>
      </c>
      <c r="K607" t="s">
        <v>181</v>
      </c>
      <c r="L607">
        <v>77</v>
      </c>
      <c r="M607" t="s">
        <v>585</v>
      </c>
      <c r="N607" t="s">
        <v>409</v>
      </c>
      <c r="O607" t="s">
        <v>410</v>
      </c>
      <c r="P607" t="s">
        <v>411</v>
      </c>
      <c r="R607" t="s">
        <v>412</v>
      </c>
      <c r="T607">
        <v>8010</v>
      </c>
      <c r="U607" t="s">
        <v>148</v>
      </c>
      <c r="V607" t="s">
        <v>42</v>
      </c>
      <c r="W607" t="s">
        <v>413</v>
      </c>
      <c r="X607" t="s">
        <v>414</v>
      </c>
      <c r="Y607" t="s">
        <v>36</v>
      </c>
    </row>
    <row r="608" spans="1:25" x14ac:dyDescent="0.25">
      <c r="A608">
        <v>10181</v>
      </c>
      <c r="B608">
        <v>22</v>
      </c>
      <c r="C608">
        <v>73.92</v>
      </c>
      <c r="D608">
        <v>10</v>
      </c>
      <c r="E608">
        <v>1626.24</v>
      </c>
      <c r="F608" s="1">
        <v>37937</v>
      </c>
      <c r="G608" t="s">
        <v>25</v>
      </c>
      <c r="H608">
        <v>4</v>
      </c>
      <c r="I608">
        <v>11</v>
      </c>
      <c r="J608">
        <v>2003</v>
      </c>
      <c r="K608" t="s">
        <v>181</v>
      </c>
      <c r="L608">
        <v>77</v>
      </c>
      <c r="M608" t="s">
        <v>585</v>
      </c>
      <c r="N608" t="s">
        <v>73</v>
      </c>
      <c r="O608" t="s">
        <v>74</v>
      </c>
      <c r="P608" t="s">
        <v>75</v>
      </c>
      <c r="R608" t="s">
        <v>76</v>
      </c>
      <c r="T608" t="s">
        <v>77</v>
      </c>
      <c r="U608" t="s">
        <v>78</v>
      </c>
      <c r="V608" t="s">
        <v>42</v>
      </c>
      <c r="W608" t="s">
        <v>79</v>
      </c>
      <c r="X608" t="s">
        <v>80</v>
      </c>
      <c r="Y608" t="s">
        <v>36</v>
      </c>
    </row>
    <row r="609" spans="1:25" x14ac:dyDescent="0.25">
      <c r="A609">
        <v>10192</v>
      </c>
      <c r="B609">
        <v>45</v>
      </c>
      <c r="C609">
        <v>90.86</v>
      </c>
      <c r="D609">
        <v>15</v>
      </c>
      <c r="E609">
        <v>4088.7</v>
      </c>
      <c r="F609" s="1">
        <v>37945</v>
      </c>
      <c r="G609" t="s">
        <v>25</v>
      </c>
      <c r="H609">
        <v>4</v>
      </c>
      <c r="I609">
        <v>11</v>
      </c>
      <c r="J609">
        <v>2003</v>
      </c>
      <c r="K609" t="s">
        <v>181</v>
      </c>
      <c r="L609">
        <v>77</v>
      </c>
      <c r="M609" t="s">
        <v>585</v>
      </c>
      <c r="N609" t="s">
        <v>277</v>
      </c>
      <c r="O609">
        <v>6035558647</v>
      </c>
      <c r="P609" t="s">
        <v>278</v>
      </c>
      <c r="R609" t="s">
        <v>279</v>
      </c>
      <c r="S609" t="s">
        <v>280</v>
      </c>
      <c r="T609">
        <v>62005</v>
      </c>
      <c r="U609" t="s">
        <v>32</v>
      </c>
      <c r="V609" t="s">
        <v>33</v>
      </c>
      <c r="W609" t="s">
        <v>56</v>
      </c>
      <c r="X609" t="s">
        <v>276</v>
      </c>
      <c r="Y609" t="s">
        <v>51</v>
      </c>
    </row>
    <row r="610" spans="1:25" x14ac:dyDescent="0.25">
      <c r="A610">
        <v>10203</v>
      </c>
      <c r="B610">
        <v>45</v>
      </c>
      <c r="C610">
        <v>85.47</v>
      </c>
      <c r="D610">
        <v>4</v>
      </c>
      <c r="E610">
        <v>3846.15</v>
      </c>
      <c r="F610" s="1">
        <v>37957</v>
      </c>
      <c r="G610" t="s">
        <v>25</v>
      </c>
      <c r="H610">
        <v>4</v>
      </c>
      <c r="I610">
        <v>12</v>
      </c>
      <c r="J610">
        <v>2003</v>
      </c>
      <c r="K610" t="s">
        <v>181</v>
      </c>
      <c r="L610">
        <v>77</v>
      </c>
      <c r="M610" t="s">
        <v>585</v>
      </c>
      <c r="N610" t="s">
        <v>174</v>
      </c>
      <c r="O610" t="s">
        <v>175</v>
      </c>
      <c r="P610" t="s">
        <v>176</v>
      </c>
      <c r="R610" t="s">
        <v>177</v>
      </c>
      <c r="T610">
        <v>28034</v>
      </c>
      <c r="U610" t="s">
        <v>178</v>
      </c>
      <c r="V610" t="s">
        <v>42</v>
      </c>
      <c r="W610" t="s">
        <v>179</v>
      </c>
      <c r="X610" t="s">
        <v>180</v>
      </c>
      <c r="Y610" t="s">
        <v>51</v>
      </c>
    </row>
    <row r="611" spans="1:25" x14ac:dyDescent="0.25">
      <c r="A611">
        <v>10212</v>
      </c>
      <c r="B611">
        <v>20</v>
      </c>
      <c r="C611">
        <v>66.989999999999995</v>
      </c>
      <c r="D611">
        <v>14</v>
      </c>
      <c r="E611">
        <v>1339.8</v>
      </c>
      <c r="F611" s="1">
        <v>38002</v>
      </c>
      <c r="G611" t="s">
        <v>25</v>
      </c>
      <c r="H611">
        <v>1</v>
      </c>
      <c r="I611">
        <v>1</v>
      </c>
      <c r="J611">
        <v>2004</v>
      </c>
      <c r="K611" t="s">
        <v>181</v>
      </c>
      <c r="L611">
        <v>77</v>
      </c>
      <c r="M611" t="s">
        <v>585</v>
      </c>
      <c r="N611" t="s">
        <v>174</v>
      </c>
      <c r="O611" t="s">
        <v>175</v>
      </c>
      <c r="P611" t="s">
        <v>176</v>
      </c>
      <c r="R611" t="s">
        <v>177</v>
      </c>
      <c r="T611">
        <v>28034</v>
      </c>
      <c r="U611" t="s">
        <v>178</v>
      </c>
      <c r="V611" t="s">
        <v>42</v>
      </c>
      <c r="W611" t="s">
        <v>179</v>
      </c>
      <c r="X611" t="s">
        <v>180</v>
      </c>
      <c r="Y611" t="s">
        <v>36</v>
      </c>
    </row>
    <row r="612" spans="1:25" x14ac:dyDescent="0.25">
      <c r="A612">
        <v>10225</v>
      </c>
      <c r="B612">
        <v>47</v>
      </c>
      <c r="C612">
        <v>64.680000000000007</v>
      </c>
      <c r="D612">
        <v>5</v>
      </c>
      <c r="E612">
        <v>3039.96</v>
      </c>
      <c r="F612" s="1">
        <v>38039</v>
      </c>
      <c r="G612" t="s">
        <v>25</v>
      </c>
      <c r="H612">
        <v>1</v>
      </c>
      <c r="I612">
        <v>2</v>
      </c>
      <c r="J612">
        <v>2004</v>
      </c>
      <c r="K612" t="s">
        <v>181</v>
      </c>
      <c r="L612">
        <v>77</v>
      </c>
      <c r="M612" t="s">
        <v>585</v>
      </c>
      <c r="N612" t="s">
        <v>446</v>
      </c>
      <c r="O612" t="s">
        <v>447</v>
      </c>
      <c r="P612" t="s">
        <v>448</v>
      </c>
      <c r="R612" t="s">
        <v>449</v>
      </c>
      <c r="T612">
        <v>1203</v>
      </c>
      <c r="U612" t="s">
        <v>450</v>
      </c>
      <c r="V612" t="s">
        <v>42</v>
      </c>
      <c r="W612" t="s">
        <v>451</v>
      </c>
      <c r="X612" t="s">
        <v>103</v>
      </c>
      <c r="Y612" t="s">
        <v>51</v>
      </c>
    </row>
    <row r="613" spans="1:25" x14ac:dyDescent="0.25">
      <c r="A613">
        <v>10239</v>
      </c>
      <c r="B613">
        <v>46</v>
      </c>
      <c r="C613">
        <v>73.92</v>
      </c>
      <c r="D613">
        <v>4</v>
      </c>
      <c r="E613">
        <v>3400.32</v>
      </c>
      <c r="F613" s="1">
        <v>38089</v>
      </c>
      <c r="G613" t="s">
        <v>25</v>
      </c>
      <c r="H613">
        <v>2</v>
      </c>
      <c r="I613">
        <v>4</v>
      </c>
      <c r="J613">
        <v>2004</v>
      </c>
      <c r="K613" t="s">
        <v>181</v>
      </c>
      <c r="L613">
        <v>77</v>
      </c>
      <c r="M613" t="s">
        <v>585</v>
      </c>
      <c r="N613" t="s">
        <v>391</v>
      </c>
      <c r="O613" t="s">
        <v>392</v>
      </c>
      <c r="P613" t="s">
        <v>393</v>
      </c>
      <c r="R613" t="s">
        <v>394</v>
      </c>
      <c r="T613">
        <v>90110</v>
      </c>
      <c r="U613" t="s">
        <v>130</v>
      </c>
      <c r="V613" t="s">
        <v>42</v>
      </c>
      <c r="W613" t="s">
        <v>395</v>
      </c>
      <c r="X613" t="s">
        <v>396</v>
      </c>
      <c r="Y613" t="s">
        <v>51</v>
      </c>
    </row>
    <row r="614" spans="1:25" x14ac:dyDescent="0.25">
      <c r="A614">
        <v>10253</v>
      </c>
      <c r="B614">
        <v>23</v>
      </c>
      <c r="C614">
        <v>83.93</v>
      </c>
      <c r="D614">
        <v>9</v>
      </c>
      <c r="E614">
        <v>1930.39</v>
      </c>
      <c r="F614" s="1">
        <v>38139</v>
      </c>
      <c r="G614" t="s">
        <v>339</v>
      </c>
      <c r="H614">
        <v>2</v>
      </c>
      <c r="I614">
        <v>6</v>
      </c>
      <c r="J614">
        <v>2004</v>
      </c>
      <c r="K614" t="s">
        <v>181</v>
      </c>
      <c r="L614">
        <v>77</v>
      </c>
      <c r="M614" t="s">
        <v>585</v>
      </c>
      <c r="N614" t="s">
        <v>165</v>
      </c>
      <c r="O614" t="s">
        <v>166</v>
      </c>
      <c r="P614" t="s">
        <v>167</v>
      </c>
      <c r="R614" t="s">
        <v>168</v>
      </c>
      <c r="T614" t="s">
        <v>169</v>
      </c>
      <c r="U614" t="s">
        <v>170</v>
      </c>
      <c r="V614" t="s">
        <v>42</v>
      </c>
      <c r="W614" t="s">
        <v>171</v>
      </c>
      <c r="X614" t="s">
        <v>172</v>
      </c>
      <c r="Y614" t="s">
        <v>36</v>
      </c>
    </row>
    <row r="615" spans="1:25" x14ac:dyDescent="0.25">
      <c r="A615">
        <v>10266</v>
      </c>
      <c r="B615">
        <v>33</v>
      </c>
      <c r="C615">
        <v>74.69</v>
      </c>
      <c r="D615">
        <v>10</v>
      </c>
      <c r="E615">
        <v>2464.77</v>
      </c>
      <c r="F615" s="1">
        <v>38174</v>
      </c>
      <c r="G615" t="s">
        <v>25</v>
      </c>
      <c r="H615">
        <v>3</v>
      </c>
      <c r="I615">
        <v>7</v>
      </c>
      <c r="J615">
        <v>2004</v>
      </c>
      <c r="K615" t="s">
        <v>181</v>
      </c>
      <c r="L615">
        <v>77</v>
      </c>
      <c r="M615" t="s">
        <v>585</v>
      </c>
      <c r="N615" t="s">
        <v>452</v>
      </c>
      <c r="O615" t="s">
        <v>453</v>
      </c>
      <c r="P615" t="s">
        <v>454</v>
      </c>
      <c r="R615" t="s">
        <v>455</v>
      </c>
      <c r="T615">
        <v>42100</v>
      </c>
      <c r="U615" t="s">
        <v>258</v>
      </c>
      <c r="V615" t="s">
        <v>42</v>
      </c>
      <c r="W615" t="s">
        <v>456</v>
      </c>
      <c r="X615" t="s">
        <v>457</v>
      </c>
      <c r="Y615" t="s">
        <v>36</v>
      </c>
    </row>
    <row r="616" spans="1:25" x14ac:dyDescent="0.25">
      <c r="A616">
        <v>10278</v>
      </c>
      <c r="B616">
        <v>29</v>
      </c>
      <c r="C616">
        <v>90.86</v>
      </c>
      <c r="D616">
        <v>10</v>
      </c>
      <c r="E616">
        <v>2634.94</v>
      </c>
      <c r="F616" s="1">
        <v>38205</v>
      </c>
      <c r="G616" t="s">
        <v>25</v>
      </c>
      <c r="H616">
        <v>3</v>
      </c>
      <c r="I616">
        <v>8</v>
      </c>
      <c r="J616">
        <v>2004</v>
      </c>
      <c r="K616" t="s">
        <v>181</v>
      </c>
      <c r="L616">
        <v>77</v>
      </c>
      <c r="M616" t="s">
        <v>585</v>
      </c>
      <c r="N616" t="s">
        <v>539</v>
      </c>
      <c r="O616">
        <v>7025551838</v>
      </c>
      <c r="P616" t="s">
        <v>540</v>
      </c>
      <c r="R616" t="s">
        <v>541</v>
      </c>
      <c r="S616" t="s">
        <v>542</v>
      </c>
      <c r="T616">
        <v>83030</v>
      </c>
      <c r="U616" t="s">
        <v>32</v>
      </c>
      <c r="V616" t="s">
        <v>33</v>
      </c>
      <c r="W616" t="s">
        <v>113</v>
      </c>
      <c r="X616" t="s">
        <v>400</v>
      </c>
      <c r="Y616" t="s">
        <v>36</v>
      </c>
    </row>
    <row r="617" spans="1:25" x14ac:dyDescent="0.25">
      <c r="A617">
        <v>10287</v>
      </c>
      <c r="B617">
        <v>44</v>
      </c>
      <c r="C617">
        <v>82.39</v>
      </c>
      <c r="D617">
        <v>8</v>
      </c>
      <c r="E617">
        <v>3625.16</v>
      </c>
      <c r="F617" s="1">
        <v>38229</v>
      </c>
      <c r="G617" t="s">
        <v>25</v>
      </c>
      <c r="H617">
        <v>3</v>
      </c>
      <c r="I617">
        <v>8</v>
      </c>
      <c r="J617">
        <v>2004</v>
      </c>
      <c r="K617" t="s">
        <v>181</v>
      </c>
      <c r="L617">
        <v>77</v>
      </c>
      <c r="M617" t="s">
        <v>585</v>
      </c>
      <c r="N617" t="s">
        <v>446</v>
      </c>
      <c r="O617" t="s">
        <v>447</v>
      </c>
      <c r="P617" t="s">
        <v>448</v>
      </c>
      <c r="R617" t="s">
        <v>449</v>
      </c>
      <c r="T617">
        <v>1203</v>
      </c>
      <c r="U617" t="s">
        <v>450</v>
      </c>
      <c r="V617" t="s">
        <v>42</v>
      </c>
      <c r="W617" t="s">
        <v>451</v>
      </c>
      <c r="X617" t="s">
        <v>103</v>
      </c>
      <c r="Y617" t="s">
        <v>51</v>
      </c>
    </row>
    <row r="618" spans="1:25" x14ac:dyDescent="0.25">
      <c r="A618">
        <v>10300</v>
      </c>
      <c r="B618">
        <v>41</v>
      </c>
      <c r="C618">
        <v>92.4</v>
      </c>
      <c r="D618">
        <v>1</v>
      </c>
      <c r="E618">
        <v>3788.4</v>
      </c>
      <c r="F618" s="1">
        <v>37898</v>
      </c>
      <c r="G618" t="s">
        <v>25</v>
      </c>
      <c r="H618">
        <v>4</v>
      </c>
      <c r="I618">
        <v>10</v>
      </c>
      <c r="J618">
        <v>2003</v>
      </c>
      <c r="K618" t="s">
        <v>181</v>
      </c>
      <c r="L618">
        <v>77</v>
      </c>
      <c r="M618" t="s">
        <v>585</v>
      </c>
      <c r="N618" t="s">
        <v>462</v>
      </c>
      <c r="O618" t="s">
        <v>463</v>
      </c>
      <c r="P618" t="s">
        <v>464</v>
      </c>
      <c r="R618" t="s">
        <v>465</v>
      </c>
      <c r="T618">
        <v>60528</v>
      </c>
      <c r="U618" t="s">
        <v>443</v>
      </c>
      <c r="V618" t="s">
        <v>42</v>
      </c>
      <c r="W618" t="s">
        <v>466</v>
      </c>
      <c r="X618" t="s">
        <v>414</v>
      </c>
      <c r="Y618" t="s">
        <v>51</v>
      </c>
    </row>
    <row r="619" spans="1:25" x14ac:dyDescent="0.25">
      <c r="A619">
        <v>10310</v>
      </c>
      <c r="B619">
        <v>20</v>
      </c>
      <c r="C619">
        <v>91.63</v>
      </c>
      <c r="D619">
        <v>6</v>
      </c>
      <c r="E619">
        <v>1832.6</v>
      </c>
      <c r="F619" s="1">
        <v>38276</v>
      </c>
      <c r="G619" t="s">
        <v>25</v>
      </c>
      <c r="H619">
        <v>4</v>
      </c>
      <c r="I619">
        <v>10</v>
      </c>
      <c r="J619">
        <v>2004</v>
      </c>
      <c r="K619" t="s">
        <v>181</v>
      </c>
      <c r="L619">
        <v>77</v>
      </c>
      <c r="M619" t="s">
        <v>585</v>
      </c>
      <c r="N619" t="s">
        <v>439</v>
      </c>
      <c r="O619" t="s">
        <v>440</v>
      </c>
      <c r="P619" t="s">
        <v>441</v>
      </c>
      <c r="R619" t="s">
        <v>442</v>
      </c>
      <c r="T619">
        <v>50739</v>
      </c>
      <c r="U619" t="s">
        <v>443</v>
      </c>
      <c r="V619" t="s">
        <v>42</v>
      </c>
      <c r="W619" t="s">
        <v>444</v>
      </c>
      <c r="X619" t="s">
        <v>445</v>
      </c>
      <c r="Y619" t="s">
        <v>36</v>
      </c>
    </row>
    <row r="620" spans="1:25" x14ac:dyDescent="0.25">
      <c r="A620">
        <v>10321</v>
      </c>
      <c r="B620">
        <v>37</v>
      </c>
      <c r="C620">
        <v>78.540000000000006</v>
      </c>
      <c r="D620">
        <v>14</v>
      </c>
      <c r="E620">
        <v>2905.98</v>
      </c>
      <c r="F620" s="1">
        <v>38295</v>
      </c>
      <c r="G620" t="s">
        <v>25</v>
      </c>
      <c r="H620">
        <v>4</v>
      </c>
      <c r="I620">
        <v>11</v>
      </c>
      <c r="J620">
        <v>2004</v>
      </c>
      <c r="K620" t="s">
        <v>181</v>
      </c>
      <c r="L620">
        <v>77</v>
      </c>
      <c r="M620" t="s">
        <v>585</v>
      </c>
      <c r="N620" t="s">
        <v>160</v>
      </c>
      <c r="O620">
        <v>5085552555</v>
      </c>
      <c r="P620" t="s">
        <v>161</v>
      </c>
      <c r="R620" t="s">
        <v>162</v>
      </c>
      <c r="S620" t="s">
        <v>123</v>
      </c>
      <c r="T620">
        <v>50553</v>
      </c>
      <c r="U620" t="s">
        <v>32</v>
      </c>
      <c r="V620" t="s">
        <v>33</v>
      </c>
      <c r="W620" t="s">
        <v>163</v>
      </c>
      <c r="X620" t="s">
        <v>164</v>
      </c>
      <c r="Y620" t="s">
        <v>36</v>
      </c>
    </row>
    <row r="621" spans="1:25" x14ac:dyDescent="0.25">
      <c r="A621">
        <v>10329</v>
      </c>
      <c r="B621">
        <v>29</v>
      </c>
      <c r="C621">
        <v>100</v>
      </c>
      <c r="D621">
        <v>9</v>
      </c>
      <c r="E621">
        <v>2954.81</v>
      </c>
      <c r="F621" s="1">
        <v>38306</v>
      </c>
      <c r="G621" t="s">
        <v>25</v>
      </c>
      <c r="H621">
        <v>4</v>
      </c>
      <c r="I621">
        <v>11</v>
      </c>
      <c r="J621">
        <v>2004</v>
      </c>
      <c r="K621" t="s">
        <v>181</v>
      </c>
      <c r="L621">
        <v>77</v>
      </c>
      <c r="M621" t="s">
        <v>585</v>
      </c>
      <c r="N621" t="s">
        <v>28</v>
      </c>
      <c r="O621">
        <v>2125557818</v>
      </c>
      <c r="P621" t="s">
        <v>29</v>
      </c>
      <c r="R621" t="s">
        <v>30</v>
      </c>
      <c r="S621" t="s">
        <v>31</v>
      </c>
      <c r="T621">
        <v>10022</v>
      </c>
      <c r="U621" t="s">
        <v>32</v>
      </c>
      <c r="V621" t="s">
        <v>33</v>
      </c>
      <c r="W621" t="s">
        <v>34</v>
      </c>
      <c r="X621" t="s">
        <v>35</v>
      </c>
      <c r="Y621" t="s">
        <v>36</v>
      </c>
    </row>
    <row r="622" spans="1:25" x14ac:dyDescent="0.25">
      <c r="A622">
        <v>10342</v>
      </c>
      <c r="B622">
        <v>55</v>
      </c>
      <c r="C622">
        <v>65.45</v>
      </c>
      <c r="D622">
        <v>1</v>
      </c>
      <c r="E622">
        <v>3599.75</v>
      </c>
      <c r="F622" s="1">
        <v>38315</v>
      </c>
      <c r="G622" t="s">
        <v>25</v>
      </c>
      <c r="H622">
        <v>4</v>
      </c>
      <c r="I622">
        <v>11</v>
      </c>
      <c r="J622">
        <v>2004</v>
      </c>
      <c r="K622" t="s">
        <v>181</v>
      </c>
      <c r="L622">
        <v>77</v>
      </c>
      <c r="M622" t="s">
        <v>585</v>
      </c>
      <c r="N622" t="s">
        <v>89</v>
      </c>
      <c r="O622" t="s">
        <v>90</v>
      </c>
      <c r="P622" t="s">
        <v>91</v>
      </c>
      <c r="Q622" t="s">
        <v>92</v>
      </c>
      <c r="R622" t="s">
        <v>93</v>
      </c>
      <c r="S622" t="s">
        <v>94</v>
      </c>
      <c r="T622">
        <v>3004</v>
      </c>
      <c r="U622" t="s">
        <v>95</v>
      </c>
      <c r="V622" t="s">
        <v>96</v>
      </c>
      <c r="W622" t="s">
        <v>97</v>
      </c>
      <c r="X622" t="s">
        <v>98</v>
      </c>
      <c r="Y622" t="s">
        <v>51</v>
      </c>
    </row>
    <row r="623" spans="1:25" x14ac:dyDescent="0.25">
      <c r="A623">
        <v>10363</v>
      </c>
      <c r="B623">
        <v>22</v>
      </c>
      <c r="C623">
        <v>100</v>
      </c>
      <c r="D623">
        <v>7</v>
      </c>
      <c r="E623">
        <v>3686.54</v>
      </c>
      <c r="F623" s="1">
        <v>38358</v>
      </c>
      <c r="G623" t="s">
        <v>25</v>
      </c>
      <c r="H623">
        <v>1</v>
      </c>
      <c r="I623">
        <v>1</v>
      </c>
      <c r="J623">
        <v>2005</v>
      </c>
      <c r="K623" t="s">
        <v>181</v>
      </c>
      <c r="L623">
        <v>77</v>
      </c>
      <c r="M623" t="s">
        <v>585</v>
      </c>
      <c r="N623" t="s">
        <v>467</v>
      </c>
      <c r="O623" t="s">
        <v>468</v>
      </c>
      <c r="P623" t="s">
        <v>469</v>
      </c>
      <c r="R623" t="s">
        <v>470</v>
      </c>
      <c r="T623" t="s">
        <v>471</v>
      </c>
      <c r="U623" t="s">
        <v>130</v>
      </c>
      <c r="V623" t="s">
        <v>42</v>
      </c>
      <c r="W623" t="s">
        <v>472</v>
      </c>
      <c r="X623" t="s">
        <v>473</v>
      </c>
      <c r="Y623" t="s">
        <v>51</v>
      </c>
    </row>
    <row r="624" spans="1:25" x14ac:dyDescent="0.25">
      <c r="A624">
        <v>10377</v>
      </c>
      <c r="B624">
        <v>31</v>
      </c>
      <c r="C624">
        <v>67.760000000000005</v>
      </c>
      <c r="D624">
        <v>4</v>
      </c>
      <c r="E624">
        <v>2100.56</v>
      </c>
      <c r="F624" s="1">
        <v>38392</v>
      </c>
      <c r="G624" t="s">
        <v>25</v>
      </c>
      <c r="H624">
        <v>1</v>
      </c>
      <c r="I624">
        <v>2</v>
      </c>
      <c r="J624">
        <v>2005</v>
      </c>
      <c r="K624" t="s">
        <v>181</v>
      </c>
      <c r="L624">
        <v>77</v>
      </c>
      <c r="M624" t="s">
        <v>585</v>
      </c>
      <c r="N624" t="s">
        <v>126</v>
      </c>
      <c r="O624" t="s">
        <v>127</v>
      </c>
      <c r="P624" t="s">
        <v>128</v>
      </c>
      <c r="R624" t="s">
        <v>129</v>
      </c>
      <c r="T624">
        <v>21240</v>
      </c>
      <c r="U624" t="s">
        <v>130</v>
      </c>
      <c r="V624" t="s">
        <v>42</v>
      </c>
      <c r="W624" t="s">
        <v>131</v>
      </c>
      <c r="X624" t="s">
        <v>132</v>
      </c>
      <c r="Y624" t="s">
        <v>36</v>
      </c>
    </row>
    <row r="625" spans="1:25" x14ac:dyDescent="0.25">
      <c r="A625">
        <v>10389</v>
      </c>
      <c r="B625">
        <v>49</v>
      </c>
      <c r="C625">
        <v>79.22</v>
      </c>
      <c r="D625">
        <v>3</v>
      </c>
      <c r="E625">
        <v>3881.78</v>
      </c>
      <c r="F625" s="1">
        <v>38414</v>
      </c>
      <c r="G625" t="s">
        <v>25</v>
      </c>
      <c r="H625">
        <v>1</v>
      </c>
      <c r="I625">
        <v>3</v>
      </c>
      <c r="J625">
        <v>2005</v>
      </c>
      <c r="K625" t="s">
        <v>181</v>
      </c>
      <c r="L625">
        <v>77</v>
      </c>
      <c r="M625" t="s">
        <v>585</v>
      </c>
      <c r="N625" t="s">
        <v>261</v>
      </c>
      <c r="O625" t="s">
        <v>262</v>
      </c>
      <c r="P625" t="s">
        <v>263</v>
      </c>
      <c r="R625" t="s">
        <v>264</v>
      </c>
      <c r="T625" t="s">
        <v>265</v>
      </c>
      <c r="U625" t="s">
        <v>188</v>
      </c>
      <c r="V625" t="s">
        <v>42</v>
      </c>
      <c r="W625" t="s">
        <v>266</v>
      </c>
      <c r="X625" t="s">
        <v>206</v>
      </c>
      <c r="Y625" t="s">
        <v>51</v>
      </c>
    </row>
    <row r="626" spans="1:25" x14ac:dyDescent="0.25">
      <c r="A626">
        <v>10405</v>
      </c>
      <c r="B626">
        <v>61</v>
      </c>
      <c r="C626">
        <v>73.92</v>
      </c>
      <c r="D626">
        <v>4</v>
      </c>
      <c r="E626">
        <v>4509.12</v>
      </c>
      <c r="F626" s="1">
        <v>38456</v>
      </c>
      <c r="G626" t="s">
        <v>25</v>
      </c>
      <c r="H626">
        <v>2</v>
      </c>
      <c r="I626">
        <v>4</v>
      </c>
      <c r="J626">
        <v>2005</v>
      </c>
      <c r="K626" t="s">
        <v>181</v>
      </c>
      <c r="L626">
        <v>77</v>
      </c>
      <c r="M626" t="s">
        <v>585</v>
      </c>
      <c r="N626" t="s">
        <v>531</v>
      </c>
      <c r="O626" t="s">
        <v>532</v>
      </c>
      <c r="P626" t="s">
        <v>533</v>
      </c>
      <c r="R626" t="s">
        <v>534</v>
      </c>
      <c r="T626">
        <v>67000</v>
      </c>
      <c r="U626" t="s">
        <v>41</v>
      </c>
      <c r="V626" t="s">
        <v>42</v>
      </c>
      <c r="W626" t="s">
        <v>535</v>
      </c>
      <c r="X626" t="s">
        <v>536</v>
      </c>
      <c r="Y626" t="s">
        <v>51</v>
      </c>
    </row>
    <row r="627" spans="1:25" x14ac:dyDescent="0.25">
      <c r="A627">
        <v>10419</v>
      </c>
      <c r="B627">
        <v>39</v>
      </c>
      <c r="C627">
        <v>83.93</v>
      </c>
      <c r="D627">
        <v>9</v>
      </c>
      <c r="E627">
        <v>3273.27</v>
      </c>
      <c r="F627" s="1">
        <v>38489</v>
      </c>
      <c r="G627" t="s">
        <v>25</v>
      </c>
      <c r="H627">
        <v>2</v>
      </c>
      <c r="I627">
        <v>5</v>
      </c>
      <c r="J627">
        <v>2005</v>
      </c>
      <c r="K627" t="s">
        <v>181</v>
      </c>
      <c r="L627">
        <v>77</v>
      </c>
      <c r="M627" t="s">
        <v>585</v>
      </c>
      <c r="N627" t="s">
        <v>144</v>
      </c>
      <c r="O627" t="s">
        <v>145</v>
      </c>
      <c r="P627" t="s">
        <v>146</v>
      </c>
      <c r="R627" t="s">
        <v>147</v>
      </c>
      <c r="T627">
        <v>5020</v>
      </c>
      <c r="U627" t="s">
        <v>148</v>
      </c>
      <c r="V627" t="s">
        <v>42</v>
      </c>
      <c r="W627" t="s">
        <v>149</v>
      </c>
      <c r="X627" t="s">
        <v>150</v>
      </c>
      <c r="Y627" t="s">
        <v>51</v>
      </c>
    </row>
    <row r="628" spans="1:25" x14ac:dyDescent="0.25">
      <c r="A628">
        <v>10109</v>
      </c>
      <c r="B628">
        <v>38</v>
      </c>
      <c r="C628">
        <v>100</v>
      </c>
      <c r="D628">
        <v>3</v>
      </c>
      <c r="E628">
        <v>4432.7</v>
      </c>
      <c r="F628" s="1">
        <v>37690</v>
      </c>
      <c r="G628" t="s">
        <v>25</v>
      </c>
      <c r="H628">
        <v>1</v>
      </c>
      <c r="I628">
        <v>3</v>
      </c>
      <c r="J628">
        <v>2003</v>
      </c>
      <c r="K628" t="s">
        <v>181</v>
      </c>
      <c r="L628">
        <v>142</v>
      </c>
      <c r="M628" t="s">
        <v>586</v>
      </c>
      <c r="N628" t="s">
        <v>309</v>
      </c>
      <c r="O628">
        <v>2155559857</v>
      </c>
      <c r="P628" t="s">
        <v>310</v>
      </c>
      <c r="R628" t="s">
        <v>216</v>
      </c>
      <c r="S628" t="s">
        <v>142</v>
      </c>
      <c r="T628">
        <v>71270</v>
      </c>
      <c r="U628" t="s">
        <v>32</v>
      </c>
      <c r="V628" t="s">
        <v>33</v>
      </c>
      <c r="W628" t="s">
        <v>124</v>
      </c>
      <c r="X628" t="s">
        <v>311</v>
      </c>
      <c r="Y628" t="s">
        <v>51</v>
      </c>
    </row>
    <row r="629" spans="1:25" x14ac:dyDescent="0.25">
      <c r="A629">
        <v>10122</v>
      </c>
      <c r="B629">
        <v>31</v>
      </c>
      <c r="C629">
        <v>100</v>
      </c>
      <c r="D629">
        <v>1</v>
      </c>
      <c r="E629">
        <v>4100.99</v>
      </c>
      <c r="F629" s="1">
        <v>37749</v>
      </c>
      <c r="G629" t="s">
        <v>25</v>
      </c>
      <c r="H629">
        <v>2</v>
      </c>
      <c r="I629">
        <v>5</v>
      </c>
      <c r="J629">
        <v>2003</v>
      </c>
      <c r="K629" t="s">
        <v>181</v>
      </c>
      <c r="L629">
        <v>142</v>
      </c>
      <c r="M629" t="s">
        <v>586</v>
      </c>
      <c r="N629" t="s">
        <v>433</v>
      </c>
      <c r="O629" t="s">
        <v>434</v>
      </c>
      <c r="P629" t="s">
        <v>435</v>
      </c>
      <c r="R629" t="s">
        <v>436</v>
      </c>
      <c r="T629">
        <v>13008</v>
      </c>
      <c r="U629" t="s">
        <v>41</v>
      </c>
      <c r="V629" t="s">
        <v>42</v>
      </c>
      <c r="W629" t="s">
        <v>437</v>
      </c>
      <c r="X629" t="s">
        <v>438</v>
      </c>
      <c r="Y629" t="s">
        <v>51</v>
      </c>
    </row>
    <row r="630" spans="1:25" x14ac:dyDescent="0.25">
      <c r="A630">
        <v>10136</v>
      </c>
      <c r="B630">
        <v>36</v>
      </c>
      <c r="C630">
        <v>100</v>
      </c>
      <c r="D630">
        <v>1</v>
      </c>
      <c r="E630">
        <v>5274.72</v>
      </c>
      <c r="F630" s="1">
        <v>37806</v>
      </c>
      <c r="G630" t="s">
        <v>25</v>
      </c>
      <c r="H630">
        <v>3</v>
      </c>
      <c r="I630">
        <v>7</v>
      </c>
      <c r="J630">
        <v>2003</v>
      </c>
      <c r="K630" t="s">
        <v>181</v>
      </c>
      <c r="L630">
        <v>142</v>
      </c>
      <c r="M630" t="s">
        <v>586</v>
      </c>
      <c r="N630" t="s">
        <v>340</v>
      </c>
      <c r="O630" t="s">
        <v>341</v>
      </c>
      <c r="P630" t="s">
        <v>342</v>
      </c>
      <c r="R630" t="s">
        <v>343</v>
      </c>
      <c r="T630">
        <v>31000</v>
      </c>
      <c r="U630" t="s">
        <v>41</v>
      </c>
      <c r="V630" t="s">
        <v>42</v>
      </c>
      <c r="W630" t="s">
        <v>344</v>
      </c>
      <c r="X630" t="s">
        <v>345</v>
      </c>
      <c r="Y630" t="s">
        <v>51</v>
      </c>
    </row>
    <row r="631" spans="1:25" x14ac:dyDescent="0.25">
      <c r="A631">
        <v>10148</v>
      </c>
      <c r="B631">
        <v>25</v>
      </c>
      <c r="C631">
        <v>100</v>
      </c>
      <c r="D631">
        <v>12</v>
      </c>
      <c r="E631">
        <v>4232</v>
      </c>
      <c r="F631" s="1">
        <v>37875</v>
      </c>
      <c r="G631" t="s">
        <v>25</v>
      </c>
      <c r="H631">
        <v>3</v>
      </c>
      <c r="I631">
        <v>9</v>
      </c>
      <c r="J631">
        <v>2003</v>
      </c>
      <c r="K631" t="s">
        <v>181</v>
      </c>
      <c r="L631">
        <v>142</v>
      </c>
      <c r="M631" t="s">
        <v>586</v>
      </c>
      <c r="N631" t="s">
        <v>285</v>
      </c>
      <c r="O631" t="s">
        <v>286</v>
      </c>
      <c r="P631" t="s">
        <v>287</v>
      </c>
      <c r="Q631" t="s">
        <v>288</v>
      </c>
      <c r="R631" t="s">
        <v>289</v>
      </c>
      <c r="S631" t="s">
        <v>157</v>
      </c>
      <c r="T631">
        <v>2060</v>
      </c>
      <c r="U631" t="s">
        <v>95</v>
      </c>
      <c r="V631" t="s">
        <v>96</v>
      </c>
      <c r="W631" t="s">
        <v>290</v>
      </c>
      <c r="X631" t="s">
        <v>291</v>
      </c>
      <c r="Y631" t="s">
        <v>51</v>
      </c>
    </row>
    <row r="632" spans="1:25" x14ac:dyDescent="0.25">
      <c r="A632">
        <v>10161</v>
      </c>
      <c r="B632">
        <v>48</v>
      </c>
      <c r="C632">
        <v>100</v>
      </c>
      <c r="D632">
        <v>11</v>
      </c>
      <c r="E632">
        <v>6145.44</v>
      </c>
      <c r="F632" s="1">
        <v>37911</v>
      </c>
      <c r="G632" t="s">
        <v>25</v>
      </c>
      <c r="H632">
        <v>4</v>
      </c>
      <c r="I632">
        <v>10</v>
      </c>
      <c r="J632">
        <v>2003</v>
      </c>
      <c r="K632" t="s">
        <v>181</v>
      </c>
      <c r="L632">
        <v>142</v>
      </c>
      <c r="M632" t="s">
        <v>586</v>
      </c>
      <c r="N632" t="s">
        <v>498</v>
      </c>
      <c r="O632" t="s">
        <v>499</v>
      </c>
      <c r="P632" t="s">
        <v>500</v>
      </c>
      <c r="R632" t="s">
        <v>501</v>
      </c>
      <c r="T632">
        <v>8200</v>
      </c>
      <c r="U632" t="s">
        <v>326</v>
      </c>
      <c r="V632" t="s">
        <v>42</v>
      </c>
      <c r="W632" t="s">
        <v>502</v>
      </c>
      <c r="X632" t="s">
        <v>503</v>
      </c>
      <c r="Y632" t="s">
        <v>51</v>
      </c>
    </row>
    <row r="633" spans="1:25" x14ac:dyDescent="0.25">
      <c r="A633">
        <v>10171</v>
      </c>
      <c r="B633">
        <v>35</v>
      </c>
      <c r="C633">
        <v>100</v>
      </c>
      <c r="D633">
        <v>1</v>
      </c>
      <c r="E633">
        <v>4680.2</v>
      </c>
      <c r="F633" s="1">
        <v>37930</v>
      </c>
      <c r="G633" t="s">
        <v>25</v>
      </c>
      <c r="H633">
        <v>4</v>
      </c>
      <c r="I633">
        <v>11</v>
      </c>
      <c r="J633">
        <v>2003</v>
      </c>
      <c r="K633" t="s">
        <v>181</v>
      </c>
      <c r="L633">
        <v>142</v>
      </c>
      <c r="M633" t="s">
        <v>586</v>
      </c>
      <c r="N633" t="s">
        <v>292</v>
      </c>
      <c r="O633" t="s">
        <v>293</v>
      </c>
      <c r="P633" t="s">
        <v>294</v>
      </c>
      <c r="R633" t="s">
        <v>295</v>
      </c>
      <c r="S633" t="s">
        <v>296</v>
      </c>
      <c r="T633" t="s">
        <v>297</v>
      </c>
      <c r="U633" t="s">
        <v>231</v>
      </c>
      <c r="V633" t="s">
        <v>33</v>
      </c>
      <c r="W633" t="s">
        <v>298</v>
      </c>
      <c r="X633" t="s">
        <v>299</v>
      </c>
      <c r="Y633" t="s">
        <v>51</v>
      </c>
    </row>
    <row r="634" spans="1:25" x14ac:dyDescent="0.25">
      <c r="A634">
        <v>10181</v>
      </c>
      <c r="B634">
        <v>21</v>
      </c>
      <c r="C634">
        <v>100</v>
      </c>
      <c r="D634">
        <v>5</v>
      </c>
      <c r="E634">
        <v>3286.08</v>
      </c>
      <c r="F634" s="1">
        <v>37937</v>
      </c>
      <c r="G634" t="s">
        <v>25</v>
      </c>
      <c r="H634">
        <v>4</v>
      </c>
      <c r="I634">
        <v>11</v>
      </c>
      <c r="J634">
        <v>2003</v>
      </c>
      <c r="K634" t="s">
        <v>181</v>
      </c>
      <c r="L634">
        <v>142</v>
      </c>
      <c r="M634" t="s">
        <v>586</v>
      </c>
      <c r="N634" t="s">
        <v>73</v>
      </c>
      <c r="O634" t="s">
        <v>74</v>
      </c>
      <c r="P634" t="s">
        <v>75</v>
      </c>
      <c r="R634" t="s">
        <v>76</v>
      </c>
      <c r="T634" t="s">
        <v>77</v>
      </c>
      <c r="U634" t="s">
        <v>78</v>
      </c>
      <c r="V634" t="s">
        <v>42</v>
      </c>
      <c r="W634" t="s">
        <v>79</v>
      </c>
      <c r="X634" t="s">
        <v>80</v>
      </c>
      <c r="Y634" t="s">
        <v>51</v>
      </c>
    </row>
    <row r="635" spans="1:25" x14ac:dyDescent="0.25">
      <c r="A635">
        <v>10192</v>
      </c>
      <c r="B635">
        <v>47</v>
      </c>
      <c r="C635">
        <v>100</v>
      </c>
      <c r="D635">
        <v>10</v>
      </c>
      <c r="E635">
        <v>7421.3</v>
      </c>
      <c r="F635" s="1">
        <v>37945</v>
      </c>
      <c r="G635" t="s">
        <v>25</v>
      </c>
      <c r="H635">
        <v>4</v>
      </c>
      <c r="I635">
        <v>11</v>
      </c>
      <c r="J635">
        <v>2003</v>
      </c>
      <c r="K635" t="s">
        <v>181</v>
      </c>
      <c r="L635">
        <v>142</v>
      </c>
      <c r="M635" t="s">
        <v>586</v>
      </c>
      <c r="N635" t="s">
        <v>277</v>
      </c>
      <c r="O635">
        <v>6035558647</v>
      </c>
      <c r="P635" t="s">
        <v>278</v>
      </c>
      <c r="R635" t="s">
        <v>279</v>
      </c>
      <c r="S635" t="s">
        <v>280</v>
      </c>
      <c r="T635">
        <v>62005</v>
      </c>
      <c r="U635" t="s">
        <v>32</v>
      </c>
      <c r="V635" t="s">
        <v>33</v>
      </c>
      <c r="W635" t="s">
        <v>56</v>
      </c>
      <c r="X635" t="s">
        <v>276</v>
      </c>
      <c r="Y635" t="s">
        <v>151</v>
      </c>
    </row>
    <row r="636" spans="1:25" x14ac:dyDescent="0.25">
      <c r="A636">
        <v>10204</v>
      </c>
      <c r="B636">
        <v>38</v>
      </c>
      <c r="C636">
        <v>100</v>
      </c>
      <c r="D636">
        <v>16</v>
      </c>
      <c r="E636">
        <v>6432.64</v>
      </c>
      <c r="F636" s="1">
        <v>37957</v>
      </c>
      <c r="G636" t="s">
        <v>25</v>
      </c>
      <c r="H636">
        <v>4</v>
      </c>
      <c r="I636">
        <v>12</v>
      </c>
      <c r="J636">
        <v>2003</v>
      </c>
      <c r="K636" t="s">
        <v>181</v>
      </c>
      <c r="L636">
        <v>142</v>
      </c>
      <c r="M636" t="s">
        <v>586</v>
      </c>
      <c r="N636" t="s">
        <v>475</v>
      </c>
      <c r="O636">
        <v>2125557413</v>
      </c>
      <c r="P636" t="s">
        <v>476</v>
      </c>
      <c r="Q636" t="s">
        <v>477</v>
      </c>
      <c r="R636" t="s">
        <v>30</v>
      </c>
      <c r="S636" t="s">
        <v>31</v>
      </c>
      <c r="T636">
        <v>10022</v>
      </c>
      <c r="U636" t="s">
        <v>32</v>
      </c>
      <c r="V636" t="s">
        <v>33</v>
      </c>
      <c r="W636" t="s">
        <v>56</v>
      </c>
      <c r="X636" t="s">
        <v>478</v>
      </c>
      <c r="Y636" t="s">
        <v>51</v>
      </c>
    </row>
    <row r="637" spans="1:25" x14ac:dyDescent="0.25">
      <c r="A637">
        <v>10212</v>
      </c>
      <c r="B637">
        <v>41</v>
      </c>
      <c r="C637">
        <v>100</v>
      </c>
      <c r="D637">
        <v>9</v>
      </c>
      <c r="E637">
        <v>4840.87</v>
      </c>
      <c r="F637" s="1">
        <v>38002</v>
      </c>
      <c r="G637" t="s">
        <v>25</v>
      </c>
      <c r="H637">
        <v>1</v>
      </c>
      <c r="I637">
        <v>1</v>
      </c>
      <c r="J637">
        <v>2004</v>
      </c>
      <c r="K637" t="s">
        <v>181</v>
      </c>
      <c r="L637">
        <v>142</v>
      </c>
      <c r="M637" t="s">
        <v>586</v>
      </c>
      <c r="N637" t="s">
        <v>174</v>
      </c>
      <c r="O637" t="s">
        <v>175</v>
      </c>
      <c r="P637" t="s">
        <v>176</v>
      </c>
      <c r="R637" t="s">
        <v>177</v>
      </c>
      <c r="T637">
        <v>28034</v>
      </c>
      <c r="U637" t="s">
        <v>178</v>
      </c>
      <c r="V637" t="s">
        <v>42</v>
      </c>
      <c r="W637" t="s">
        <v>179</v>
      </c>
      <c r="X637" t="s">
        <v>180</v>
      </c>
      <c r="Y637" t="s">
        <v>51</v>
      </c>
    </row>
    <row r="638" spans="1:25" x14ac:dyDescent="0.25">
      <c r="A638">
        <v>10226</v>
      </c>
      <c r="B638">
        <v>24</v>
      </c>
      <c r="C638">
        <v>100</v>
      </c>
      <c r="D638">
        <v>7</v>
      </c>
      <c r="E638">
        <v>3892.08</v>
      </c>
      <c r="F638" s="1">
        <v>38043</v>
      </c>
      <c r="G638" t="s">
        <v>25</v>
      </c>
      <c r="H638">
        <v>1</v>
      </c>
      <c r="I638">
        <v>2</v>
      </c>
      <c r="J638">
        <v>2004</v>
      </c>
      <c r="K638" t="s">
        <v>181</v>
      </c>
      <c r="L638">
        <v>142</v>
      </c>
      <c r="M638" t="s">
        <v>586</v>
      </c>
      <c r="N638" t="s">
        <v>362</v>
      </c>
      <c r="O638">
        <v>7605558146</v>
      </c>
      <c r="P638" t="s">
        <v>363</v>
      </c>
      <c r="R638" t="s">
        <v>364</v>
      </c>
      <c r="S638" t="s">
        <v>55</v>
      </c>
      <c r="T638">
        <v>91217</v>
      </c>
      <c r="U638" t="s">
        <v>32</v>
      </c>
      <c r="V638" t="s">
        <v>33</v>
      </c>
      <c r="W638" t="s">
        <v>237</v>
      </c>
      <c r="X638" t="s">
        <v>276</v>
      </c>
      <c r="Y638" t="s">
        <v>51</v>
      </c>
    </row>
    <row r="639" spans="1:25" x14ac:dyDescent="0.25">
      <c r="A639">
        <v>10240</v>
      </c>
      <c r="B639">
        <v>37</v>
      </c>
      <c r="C639">
        <v>100</v>
      </c>
      <c r="D639">
        <v>2</v>
      </c>
      <c r="E639">
        <v>5526.32</v>
      </c>
      <c r="F639" s="1">
        <v>38090</v>
      </c>
      <c r="G639" t="s">
        <v>25</v>
      </c>
      <c r="H639">
        <v>2</v>
      </c>
      <c r="I639">
        <v>4</v>
      </c>
      <c r="J639">
        <v>2004</v>
      </c>
      <c r="K639" t="s">
        <v>181</v>
      </c>
      <c r="L639">
        <v>142</v>
      </c>
      <c r="M639" t="s">
        <v>586</v>
      </c>
      <c r="N639" t="s">
        <v>302</v>
      </c>
      <c r="O639" t="s">
        <v>303</v>
      </c>
      <c r="P639" t="s">
        <v>304</v>
      </c>
      <c r="R639" t="s">
        <v>305</v>
      </c>
      <c r="S639" t="s">
        <v>305</v>
      </c>
      <c r="T639" t="s">
        <v>306</v>
      </c>
      <c r="U639" t="s">
        <v>200</v>
      </c>
      <c r="V639" t="s">
        <v>200</v>
      </c>
      <c r="W639" t="s">
        <v>307</v>
      </c>
      <c r="X639" t="s">
        <v>308</v>
      </c>
      <c r="Y639" t="s">
        <v>51</v>
      </c>
    </row>
    <row r="640" spans="1:25" x14ac:dyDescent="0.25">
      <c r="A640">
        <v>10253</v>
      </c>
      <c r="B640">
        <v>33</v>
      </c>
      <c r="C640">
        <v>100</v>
      </c>
      <c r="D640">
        <v>4</v>
      </c>
      <c r="E640">
        <v>4459.62</v>
      </c>
      <c r="F640" s="1">
        <v>38139</v>
      </c>
      <c r="G640" t="s">
        <v>339</v>
      </c>
      <c r="H640">
        <v>2</v>
      </c>
      <c r="I640">
        <v>6</v>
      </c>
      <c r="J640">
        <v>2004</v>
      </c>
      <c r="K640" t="s">
        <v>181</v>
      </c>
      <c r="L640">
        <v>142</v>
      </c>
      <c r="M640" t="s">
        <v>586</v>
      </c>
      <c r="N640" t="s">
        <v>165</v>
      </c>
      <c r="O640" t="s">
        <v>166</v>
      </c>
      <c r="P640" t="s">
        <v>167</v>
      </c>
      <c r="R640" t="s">
        <v>168</v>
      </c>
      <c r="T640" t="s">
        <v>169</v>
      </c>
      <c r="U640" t="s">
        <v>170</v>
      </c>
      <c r="V640" t="s">
        <v>42</v>
      </c>
      <c r="W640" t="s">
        <v>171</v>
      </c>
      <c r="X640" t="s">
        <v>172</v>
      </c>
      <c r="Y640" t="s">
        <v>51</v>
      </c>
    </row>
    <row r="641" spans="1:25" x14ac:dyDescent="0.25">
      <c r="A641">
        <v>10266</v>
      </c>
      <c r="B641">
        <v>49</v>
      </c>
      <c r="C641">
        <v>100</v>
      </c>
      <c r="D641">
        <v>5</v>
      </c>
      <c r="E641">
        <v>6203.4</v>
      </c>
      <c r="F641" s="1">
        <v>38174</v>
      </c>
      <c r="G641" t="s">
        <v>25</v>
      </c>
      <c r="H641">
        <v>3</v>
      </c>
      <c r="I641">
        <v>7</v>
      </c>
      <c r="J641">
        <v>2004</v>
      </c>
      <c r="K641" t="s">
        <v>181</v>
      </c>
      <c r="L641">
        <v>142</v>
      </c>
      <c r="M641" t="s">
        <v>586</v>
      </c>
      <c r="N641" t="s">
        <v>452</v>
      </c>
      <c r="O641" t="s">
        <v>453</v>
      </c>
      <c r="P641" t="s">
        <v>454</v>
      </c>
      <c r="R641" t="s">
        <v>455</v>
      </c>
      <c r="T641">
        <v>42100</v>
      </c>
      <c r="U641" t="s">
        <v>258</v>
      </c>
      <c r="V641" t="s">
        <v>42</v>
      </c>
      <c r="W641" t="s">
        <v>456</v>
      </c>
      <c r="X641" t="s">
        <v>457</v>
      </c>
      <c r="Y641" t="s">
        <v>51</v>
      </c>
    </row>
    <row r="642" spans="1:25" x14ac:dyDescent="0.25">
      <c r="A642">
        <v>10278</v>
      </c>
      <c r="B642">
        <v>29</v>
      </c>
      <c r="C642">
        <v>100</v>
      </c>
      <c r="D642">
        <v>5</v>
      </c>
      <c r="E642">
        <v>3754.05</v>
      </c>
      <c r="F642" s="1">
        <v>38205</v>
      </c>
      <c r="G642" t="s">
        <v>25</v>
      </c>
      <c r="H642">
        <v>3</v>
      </c>
      <c r="I642">
        <v>8</v>
      </c>
      <c r="J642">
        <v>2004</v>
      </c>
      <c r="K642" t="s">
        <v>181</v>
      </c>
      <c r="L642">
        <v>142</v>
      </c>
      <c r="M642" t="s">
        <v>586</v>
      </c>
      <c r="N642" t="s">
        <v>539</v>
      </c>
      <c r="O642">
        <v>7025551838</v>
      </c>
      <c r="P642" t="s">
        <v>540</v>
      </c>
      <c r="R642" t="s">
        <v>541</v>
      </c>
      <c r="S642" t="s">
        <v>542</v>
      </c>
      <c r="T642">
        <v>83030</v>
      </c>
      <c r="U642" t="s">
        <v>32</v>
      </c>
      <c r="V642" t="s">
        <v>33</v>
      </c>
      <c r="W642" t="s">
        <v>113</v>
      </c>
      <c r="X642" t="s">
        <v>400</v>
      </c>
      <c r="Y642" t="s">
        <v>51</v>
      </c>
    </row>
    <row r="643" spans="1:25" x14ac:dyDescent="0.25">
      <c r="A643">
        <v>10287</v>
      </c>
      <c r="B643">
        <v>24</v>
      </c>
      <c r="C643">
        <v>100</v>
      </c>
      <c r="D643">
        <v>3</v>
      </c>
      <c r="E643">
        <v>3516.48</v>
      </c>
      <c r="F643" s="1">
        <v>38229</v>
      </c>
      <c r="G643" t="s">
        <v>25</v>
      </c>
      <c r="H643">
        <v>3</v>
      </c>
      <c r="I643">
        <v>8</v>
      </c>
      <c r="J643">
        <v>2004</v>
      </c>
      <c r="K643" t="s">
        <v>181</v>
      </c>
      <c r="L643">
        <v>142</v>
      </c>
      <c r="M643" t="s">
        <v>586</v>
      </c>
      <c r="N643" t="s">
        <v>446</v>
      </c>
      <c r="O643" t="s">
        <v>447</v>
      </c>
      <c r="P643" t="s">
        <v>448</v>
      </c>
      <c r="R643" t="s">
        <v>449</v>
      </c>
      <c r="T643">
        <v>1203</v>
      </c>
      <c r="U643" t="s">
        <v>450</v>
      </c>
      <c r="V643" t="s">
        <v>42</v>
      </c>
      <c r="W643" t="s">
        <v>451</v>
      </c>
      <c r="X643" t="s">
        <v>103</v>
      </c>
      <c r="Y643" t="s">
        <v>51</v>
      </c>
    </row>
    <row r="644" spans="1:25" x14ac:dyDescent="0.25">
      <c r="A644">
        <v>10301</v>
      </c>
      <c r="B644">
        <v>47</v>
      </c>
      <c r="C644">
        <v>100</v>
      </c>
      <c r="D644">
        <v>7</v>
      </c>
      <c r="E644">
        <v>7488.04</v>
      </c>
      <c r="F644" s="1">
        <v>37899</v>
      </c>
      <c r="G644" t="s">
        <v>25</v>
      </c>
      <c r="H644">
        <v>4</v>
      </c>
      <c r="I644">
        <v>10</v>
      </c>
      <c r="J644">
        <v>2003</v>
      </c>
      <c r="K644" t="s">
        <v>181</v>
      </c>
      <c r="L644">
        <v>142</v>
      </c>
      <c r="M644" t="s">
        <v>586</v>
      </c>
      <c r="N644" t="s">
        <v>543</v>
      </c>
      <c r="O644" t="s">
        <v>544</v>
      </c>
      <c r="P644" t="s">
        <v>545</v>
      </c>
      <c r="R644" t="s">
        <v>546</v>
      </c>
      <c r="T644" t="s">
        <v>547</v>
      </c>
      <c r="U644" t="s">
        <v>78</v>
      </c>
      <c r="V644" t="s">
        <v>42</v>
      </c>
      <c r="W644" t="s">
        <v>548</v>
      </c>
      <c r="X644" t="s">
        <v>549</v>
      </c>
      <c r="Y644" t="s">
        <v>151</v>
      </c>
    </row>
    <row r="645" spans="1:25" x14ac:dyDescent="0.25">
      <c r="A645">
        <v>10310</v>
      </c>
      <c r="B645">
        <v>24</v>
      </c>
      <c r="C645">
        <v>100</v>
      </c>
      <c r="D645">
        <v>1</v>
      </c>
      <c r="E645">
        <v>3448.08</v>
      </c>
      <c r="F645" s="1">
        <v>38276</v>
      </c>
      <c r="G645" t="s">
        <v>25</v>
      </c>
      <c r="H645">
        <v>4</v>
      </c>
      <c r="I645">
        <v>10</v>
      </c>
      <c r="J645">
        <v>2004</v>
      </c>
      <c r="K645" t="s">
        <v>181</v>
      </c>
      <c r="L645">
        <v>142</v>
      </c>
      <c r="M645" t="s">
        <v>586</v>
      </c>
      <c r="N645" t="s">
        <v>439</v>
      </c>
      <c r="O645" t="s">
        <v>440</v>
      </c>
      <c r="P645" t="s">
        <v>441</v>
      </c>
      <c r="R645" t="s">
        <v>442</v>
      </c>
      <c r="T645">
        <v>50739</v>
      </c>
      <c r="U645" t="s">
        <v>443</v>
      </c>
      <c r="V645" t="s">
        <v>42</v>
      </c>
      <c r="W645" t="s">
        <v>444</v>
      </c>
      <c r="X645" t="s">
        <v>445</v>
      </c>
      <c r="Y645" t="s">
        <v>51</v>
      </c>
    </row>
    <row r="646" spans="1:25" x14ac:dyDescent="0.25">
      <c r="A646">
        <v>10321</v>
      </c>
      <c r="B646">
        <v>25</v>
      </c>
      <c r="C646">
        <v>100</v>
      </c>
      <c r="D646">
        <v>9</v>
      </c>
      <c r="E646">
        <v>3734</v>
      </c>
      <c r="F646" s="1">
        <v>38295</v>
      </c>
      <c r="G646" t="s">
        <v>25</v>
      </c>
      <c r="H646">
        <v>4</v>
      </c>
      <c r="I646">
        <v>11</v>
      </c>
      <c r="J646">
        <v>2004</v>
      </c>
      <c r="K646" t="s">
        <v>181</v>
      </c>
      <c r="L646">
        <v>142</v>
      </c>
      <c r="M646" t="s">
        <v>586</v>
      </c>
      <c r="N646" t="s">
        <v>160</v>
      </c>
      <c r="O646">
        <v>5085552555</v>
      </c>
      <c r="P646" t="s">
        <v>161</v>
      </c>
      <c r="R646" t="s">
        <v>162</v>
      </c>
      <c r="S646" t="s">
        <v>123</v>
      </c>
      <c r="T646">
        <v>50553</v>
      </c>
      <c r="U646" t="s">
        <v>32</v>
      </c>
      <c r="V646" t="s">
        <v>33</v>
      </c>
      <c r="W646" t="s">
        <v>163</v>
      </c>
      <c r="X646" t="s">
        <v>164</v>
      </c>
      <c r="Y646" t="s">
        <v>51</v>
      </c>
    </row>
    <row r="647" spans="1:25" x14ac:dyDescent="0.25">
      <c r="A647">
        <v>10331</v>
      </c>
      <c r="B647">
        <v>30</v>
      </c>
      <c r="C647">
        <v>32.47</v>
      </c>
      <c r="D647">
        <v>8</v>
      </c>
      <c r="E647">
        <v>974.1</v>
      </c>
      <c r="F647" s="1">
        <v>38308</v>
      </c>
      <c r="G647" t="s">
        <v>25</v>
      </c>
      <c r="H647">
        <v>4</v>
      </c>
      <c r="I647">
        <v>11</v>
      </c>
      <c r="J647">
        <v>2004</v>
      </c>
      <c r="K647" t="s">
        <v>181</v>
      </c>
      <c r="L647">
        <v>142</v>
      </c>
      <c r="M647" t="s">
        <v>586</v>
      </c>
      <c r="N647" t="s">
        <v>309</v>
      </c>
      <c r="O647">
        <v>2155559857</v>
      </c>
      <c r="P647" t="s">
        <v>310</v>
      </c>
      <c r="R647" t="s">
        <v>216</v>
      </c>
      <c r="S647" t="s">
        <v>142</v>
      </c>
      <c r="T647">
        <v>71270</v>
      </c>
      <c r="U647" t="s">
        <v>32</v>
      </c>
      <c r="V647" t="s">
        <v>33</v>
      </c>
      <c r="W647" t="s">
        <v>124</v>
      </c>
      <c r="X647" t="s">
        <v>311</v>
      </c>
      <c r="Y647" t="s">
        <v>36</v>
      </c>
    </row>
    <row r="648" spans="1:25" x14ac:dyDescent="0.25">
      <c r="A648">
        <v>10342</v>
      </c>
      <c r="B648">
        <v>22</v>
      </c>
      <c r="C648">
        <v>100</v>
      </c>
      <c r="D648">
        <v>3</v>
      </c>
      <c r="E648">
        <v>3160.74</v>
      </c>
      <c r="F648" s="1">
        <v>38315</v>
      </c>
      <c r="G648" t="s">
        <v>25</v>
      </c>
      <c r="H648">
        <v>4</v>
      </c>
      <c r="I648">
        <v>11</v>
      </c>
      <c r="J648">
        <v>2004</v>
      </c>
      <c r="K648" t="s">
        <v>181</v>
      </c>
      <c r="L648">
        <v>142</v>
      </c>
      <c r="M648" t="s">
        <v>586</v>
      </c>
      <c r="N648" t="s">
        <v>89</v>
      </c>
      <c r="O648" t="s">
        <v>90</v>
      </c>
      <c r="P648" t="s">
        <v>91</v>
      </c>
      <c r="Q648" t="s">
        <v>92</v>
      </c>
      <c r="R648" t="s">
        <v>93</v>
      </c>
      <c r="S648" t="s">
        <v>94</v>
      </c>
      <c r="T648">
        <v>3004</v>
      </c>
      <c r="U648" t="s">
        <v>95</v>
      </c>
      <c r="V648" t="s">
        <v>96</v>
      </c>
      <c r="W648" t="s">
        <v>97</v>
      </c>
      <c r="X648" t="s">
        <v>98</v>
      </c>
      <c r="Y648" t="s">
        <v>51</v>
      </c>
    </row>
    <row r="649" spans="1:25" x14ac:dyDescent="0.25">
      <c r="A649">
        <v>10356</v>
      </c>
      <c r="B649">
        <v>27</v>
      </c>
      <c r="C649">
        <v>64.69</v>
      </c>
      <c r="D649">
        <v>2</v>
      </c>
      <c r="E649">
        <v>1746.63</v>
      </c>
      <c r="F649" s="1">
        <v>38330</v>
      </c>
      <c r="G649" t="s">
        <v>25</v>
      </c>
      <c r="H649">
        <v>4</v>
      </c>
      <c r="I649">
        <v>12</v>
      </c>
      <c r="J649">
        <v>2004</v>
      </c>
      <c r="K649" t="s">
        <v>181</v>
      </c>
      <c r="L649">
        <v>142</v>
      </c>
      <c r="M649" t="s">
        <v>586</v>
      </c>
      <c r="N649" t="s">
        <v>45</v>
      </c>
      <c r="O649" t="s">
        <v>46</v>
      </c>
      <c r="P649" t="s">
        <v>47</v>
      </c>
      <c r="R649" t="s">
        <v>48</v>
      </c>
      <c r="T649">
        <v>75508</v>
      </c>
      <c r="U649" t="s">
        <v>41</v>
      </c>
      <c r="V649" t="s">
        <v>42</v>
      </c>
      <c r="W649" t="s">
        <v>49</v>
      </c>
      <c r="X649" t="s">
        <v>50</v>
      </c>
      <c r="Y649" t="s">
        <v>36</v>
      </c>
    </row>
    <row r="650" spans="1:25" x14ac:dyDescent="0.25">
      <c r="A650">
        <v>10366</v>
      </c>
      <c r="B650">
        <v>34</v>
      </c>
      <c r="C650">
        <v>100</v>
      </c>
      <c r="D650">
        <v>3</v>
      </c>
      <c r="E650">
        <v>4207.84</v>
      </c>
      <c r="F650" s="1">
        <v>38362</v>
      </c>
      <c r="G650" t="s">
        <v>25</v>
      </c>
      <c r="H650">
        <v>1</v>
      </c>
      <c r="I650">
        <v>1</v>
      </c>
      <c r="J650">
        <v>2005</v>
      </c>
      <c r="K650" t="s">
        <v>181</v>
      </c>
      <c r="L650">
        <v>142</v>
      </c>
      <c r="M650" t="s">
        <v>586</v>
      </c>
      <c r="N650" t="s">
        <v>577</v>
      </c>
      <c r="O650" t="s">
        <v>578</v>
      </c>
      <c r="P650" t="s">
        <v>579</v>
      </c>
      <c r="R650" t="s">
        <v>580</v>
      </c>
      <c r="T650" t="s">
        <v>581</v>
      </c>
      <c r="U650" t="s">
        <v>370</v>
      </c>
      <c r="V650" t="s">
        <v>42</v>
      </c>
      <c r="W650" t="s">
        <v>582</v>
      </c>
      <c r="X650" t="s">
        <v>583</v>
      </c>
      <c r="Y650" t="s">
        <v>51</v>
      </c>
    </row>
    <row r="651" spans="1:25" x14ac:dyDescent="0.25">
      <c r="A651">
        <v>10377</v>
      </c>
      <c r="B651">
        <v>36</v>
      </c>
      <c r="C651">
        <v>100</v>
      </c>
      <c r="D651">
        <v>6</v>
      </c>
      <c r="E651">
        <v>4352.76</v>
      </c>
      <c r="F651" s="1">
        <v>38392</v>
      </c>
      <c r="G651" t="s">
        <v>25</v>
      </c>
      <c r="H651">
        <v>1</v>
      </c>
      <c r="I651">
        <v>2</v>
      </c>
      <c r="J651">
        <v>2005</v>
      </c>
      <c r="K651" t="s">
        <v>181</v>
      </c>
      <c r="L651">
        <v>142</v>
      </c>
      <c r="M651" t="s">
        <v>586</v>
      </c>
      <c r="N651" t="s">
        <v>126</v>
      </c>
      <c r="O651" t="s">
        <v>127</v>
      </c>
      <c r="P651" t="s">
        <v>128</v>
      </c>
      <c r="R651" t="s">
        <v>129</v>
      </c>
      <c r="T651">
        <v>21240</v>
      </c>
      <c r="U651" t="s">
        <v>130</v>
      </c>
      <c r="V651" t="s">
        <v>42</v>
      </c>
      <c r="W651" t="s">
        <v>131</v>
      </c>
      <c r="X651" t="s">
        <v>132</v>
      </c>
      <c r="Y651" t="s">
        <v>51</v>
      </c>
    </row>
    <row r="652" spans="1:25" x14ac:dyDescent="0.25">
      <c r="A652">
        <v>10390</v>
      </c>
      <c r="B652">
        <v>34</v>
      </c>
      <c r="C652">
        <v>43.05</v>
      </c>
      <c r="D652">
        <v>15</v>
      </c>
      <c r="E652">
        <v>1463.7</v>
      </c>
      <c r="F652" s="1">
        <v>38415</v>
      </c>
      <c r="G652" t="s">
        <v>25</v>
      </c>
      <c r="H652">
        <v>1</v>
      </c>
      <c r="I652">
        <v>3</v>
      </c>
      <c r="J652">
        <v>2005</v>
      </c>
      <c r="K652" t="s">
        <v>181</v>
      </c>
      <c r="L652">
        <v>142</v>
      </c>
      <c r="M652" t="s">
        <v>586</v>
      </c>
      <c r="N652" t="s">
        <v>272</v>
      </c>
      <c r="O652">
        <v>4155551450</v>
      </c>
      <c r="P652" t="s">
        <v>273</v>
      </c>
      <c r="R652" t="s">
        <v>274</v>
      </c>
      <c r="S652" t="s">
        <v>55</v>
      </c>
      <c r="T652">
        <v>97562</v>
      </c>
      <c r="U652" t="s">
        <v>32</v>
      </c>
      <c r="V652" t="s">
        <v>33</v>
      </c>
      <c r="W652" t="s">
        <v>275</v>
      </c>
      <c r="X652" t="s">
        <v>276</v>
      </c>
      <c r="Y652" t="s">
        <v>36</v>
      </c>
    </row>
    <row r="653" spans="1:25" x14ac:dyDescent="0.25">
      <c r="A653">
        <v>10406</v>
      </c>
      <c r="B653">
        <v>48</v>
      </c>
      <c r="C653">
        <v>100</v>
      </c>
      <c r="D653">
        <v>2</v>
      </c>
      <c r="E653">
        <v>7169.28</v>
      </c>
      <c r="F653" s="1">
        <v>38457</v>
      </c>
      <c r="G653" t="s">
        <v>173</v>
      </c>
      <c r="H653">
        <v>2</v>
      </c>
      <c r="I653">
        <v>4</v>
      </c>
      <c r="J653">
        <v>2005</v>
      </c>
      <c r="K653" t="s">
        <v>181</v>
      </c>
      <c r="L653">
        <v>142</v>
      </c>
      <c r="M653" t="s">
        <v>586</v>
      </c>
      <c r="N653" t="s">
        <v>322</v>
      </c>
      <c r="O653" t="s">
        <v>323</v>
      </c>
      <c r="P653" t="s">
        <v>324</v>
      </c>
      <c r="R653" t="s">
        <v>325</v>
      </c>
      <c r="T653">
        <v>1734</v>
      </c>
      <c r="U653" t="s">
        <v>326</v>
      </c>
      <c r="V653" t="s">
        <v>42</v>
      </c>
      <c r="W653" t="s">
        <v>327</v>
      </c>
      <c r="X653" t="s">
        <v>328</v>
      </c>
      <c r="Y653" t="s">
        <v>151</v>
      </c>
    </row>
    <row r="654" spans="1:25" x14ac:dyDescent="0.25">
      <c r="A654">
        <v>10419</v>
      </c>
      <c r="B654">
        <v>34</v>
      </c>
      <c r="C654">
        <v>100</v>
      </c>
      <c r="D654">
        <v>4</v>
      </c>
      <c r="E654">
        <v>4594.76</v>
      </c>
      <c r="F654" s="1">
        <v>38489</v>
      </c>
      <c r="G654" t="s">
        <v>25</v>
      </c>
      <c r="H654">
        <v>2</v>
      </c>
      <c r="I654">
        <v>5</v>
      </c>
      <c r="J654">
        <v>2005</v>
      </c>
      <c r="K654" t="s">
        <v>181</v>
      </c>
      <c r="L654">
        <v>142</v>
      </c>
      <c r="M654" t="s">
        <v>586</v>
      </c>
      <c r="N654" t="s">
        <v>144</v>
      </c>
      <c r="O654" t="s">
        <v>145</v>
      </c>
      <c r="P654" t="s">
        <v>146</v>
      </c>
      <c r="R654" t="s">
        <v>147</v>
      </c>
      <c r="T654">
        <v>5020</v>
      </c>
      <c r="U654" t="s">
        <v>148</v>
      </c>
      <c r="V654" t="s">
        <v>42</v>
      </c>
      <c r="W654" t="s">
        <v>149</v>
      </c>
      <c r="X654" t="s">
        <v>150</v>
      </c>
      <c r="Y654" t="s">
        <v>51</v>
      </c>
    </row>
    <row r="655" spans="1:25" x14ac:dyDescent="0.25">
      <c r="A655">
        <v>10104</v>
      </c>
      <c r="B655">
        <v>24</v>
      </c>
      <c r="C655">
        <v>100</v>
      </c>
      <c r="D655">
        <v>8</v>
      </c>
      <c r="E655">
        <v>3457.92</v>
      </c>
      <c r="F655" s="1">
        <v>37652</v>
      </c>
      <c r="G655" t="s">
        <v>25</v>
      </c>
      <c r="H655">
        <v>1</v>
      </c>
      <c r="I655">
        <v>1</v>
      </c>
      <c r="J655">
        <v>2003</v>
      </c>
      <c r="K655" t="s">
        <v>181</v>
      </c>
      <c r="L655">
        <v>163</v>
      </c>
      <c r="M655" t="s">
        <v>587</v>
      </c>
      <c r="N655" t="s">
        <v>174</v>
      </c>
      <c r="O655" t="s">
        <v>175</v>
      </c>
      <c r="P655" t="s">
        <v>176</v>
      </c>
      <c r="R655" t="s">
        <v>177</v>
      </c>
      <c r="T655">
        <v>28034</v>
      </c>
      <c r="U655" t="s">
        <v>178</v>
      </c>
      <c r="V655" t="s">
        <v>42</v>
      </c>
      <c r="W655" t="s">
        <v>179</v>
      </c>
      <c r="X655" t="s">
        <v>180</v>
      </c>
      <c r="Y655" t="s">
        <v>51</v>
      </c>
    </row>
    <row r="656" spans="1:25" x14ac:dyDescent="0.25">
      <c r="A656">
        <v>10115</v>
      </c>
      <c r="B656">
        <v>46</v>
      </c>
      <c r="C656">
        <v>100</v>
      </c>
      <c r="D656">
        <v>4</v>
      </c>
      <c r="E656">
        <v>7381.16</v>
      </c>
      <c r="F656" s="1">
        <v>37715</v>
      </c>
      <c r="G656" t="s">
        <v>25</v>
      </c>
      <c r="H656">
        <v>2</v>
      </c>
      <c r="I656">
        <v>4</v>
      </c>
      <c r="J656">
        <v>2003</v>
      </c>
      <c r="K656" t="s">
        <v>181</v>
      </c>
      <c r="L656">
        <v>163</v>
      </c>
      <c r="M656" t="s">
        <v>587</v>
      </c>
      <c r="N656" t="s">
        <v>203</v>
      </c>
      <c r="O656">
        <v>2125558493</v>
      </c>
      <c r="P656" t="s">
        <v>204</v>
      </c>
      <c r="Q656" t="s">
        <v>205</v>
      </c>
      <c r="R656" t="s">
        <v>30</v>
      </c>
      <c r="S656" t="s">
        <v>31</v>
      </c>
      <c r="T656">
        <v>10022</v>
      </c>
      <c r="U656" t="s">
        <v>32</v>
      </c>
      <c r="V656" t="s">
        <v>33</v>
      </c>
      <c r="W656" t="s">
        <v>124</v>
      </c>
      <c r="X656" t="s">
        <v>206</v>
      </c>
      <c r="Y656" t="s">
        <v>151</v>
      </c>
    </row>
    <row r="657" spans="1:25" x14ac:dyDescent="0.25">
      <c r="A657">
        <v>10127</v>
      </c>
      <c r="B657">
        <v>45</v>
      </c>
      <c r="C657">
        <v>100</v>
      </c>
      <c r="D657">
        <v>10</v>
      </c>
      <c r="E657">
        <v>7146.9</v>
      </c>
      <c r="F657" s="1">
        <v>37775</v>
      </c>
      <c r="G657" t="s">
        <v>25</v>
      </c>
      <c r="H657">
        <v>2</v>
      </c>
      <c r="I657">
        <v>6</v>
      </c>
      <c r="J657">
        <v>2003</v>
      </c>
      <c r="K657" t="s">
        <v>181</v>
      </c>
      <c r="L657">
        <v>163</v>
      </c>
      <c r="M657" t="s">
        <v>587</v>
      </c>
      <c r="N657" t="s">
        <v>475</v>
      </c>
      <c r="O657">
        <v>2125557413</v>
      </c>
      <c r="P657" t="s">
        <v>476</v>
      </c>
      <c r="Q657" t="s">
        <v>477</v>
      </c>
      <c r="R657" t="s">
        <v>30</v>
      </c>
      <c r="S657" t="s">
        <v>31</v>
      </c>
      <c r="T657">
        <v>10022</v>
      </c>
      <c r="U657" t="s">
        <v>32</v>
      </c>
      <c r="V657" t="s">
        <v>33</v>
      </c>
      <c r="W657" t="s">
        <v>56</v>
      </c>
      <c r="X657" t="s">
        <v>478</v>
      </c>
      <c r="Y657" t="s">
        <v>151</v>
      </c>
    </row>
    <row r="658" spans="1:25" x14ac:dyDescent="0.25">
      <c r="A658">
        <v>10141</v>
      </c>
      <c r="B658">
        <v>39</v>
      </c>
      <c r="C658">
        <v>100</v>
      </c>
      <c r="D658">
        <v>4</v>
      </c>
      <c r="E658">
        <v>5938.53</v>
      </c>
      <c r="F658" s="1">
        <v>37834</v>
      </c>
      <c r="G658" t="s">
        <v>25</v>
      </c>
      <c r="H658">
        <v>3</v>
      </c>
      <c r="I658">
        <v>8</v>
      </c>
      <c r="J658">
        <v>2003</v>
      </c>
      <c r="K658" t="s">
        <v>181</v>
      </c>
      <c r="L658">
        <v>163</v>
      </c>
      <c r="M658" t="s">
        <v>587</v>
      </c>
      <c r="N658" t="s">
        <v>467</v>
      </c>
      <c r="O658" t="s">
        <v>468</v>
      </c>
      <c r="P658" t="s">
        <v>469</v>
      </c>
      <c r="R658" t="s">
        <v>470</v>
      </c>
      <c r="T658" t="s">
        <v>471</v>
      </c>
      <c r="U658" t="s">
        <v>130</v>
      </c>
      <c r="V658" t="s">
        <v>42</v>
      </c>
      <c r="W658" t="s">
        <v>472</v>
      </c>
      <c r="X658" t="s">
        <v>473</v>
      </c>
      <c r="Y658" t="s">
        <v>51</v>
      </c>
    </row>
    <row r="659" spans="1:25" x14ac:dyDescent="0.25">
      <c r="A659">
        <v>10151</v>
      </c>
      <c r="B659">
        <v>43</v>
      </c>
      <c r="C659">
        <v>100</v>
      </c>
      <c r="D659">
        <v>2</v>
      </c>
      <c r="E659">
        <v>7110.91</v>
      </c>
      <c r="F659" s="1">
        <v>37885</v>
      </c>
      <c r="G659" t="s">
        <v>25</v>
      </c>
      <c r="H659">
        <v>3</v>
      </c>
      <c r="I659">
        <v>9</v>
      </c>
      <c r="J659">
        <v>2003</v>
      </c>
      <c r="K659" t="s">
        <v>181</v>
      </c>
      <c r="L659">
        <v>163</v>
      </c>
      <c r="M659" t="s">
        <v>587</v>
      </c>
      <c r="N659" t="s">
        <v>391</v>
      </c>
      <c r="O659" t="s">
        <v>392</v>
      </c>
      <c r="P659" t="s">
        <v>393</v>
      </c>
      <c r="R659" t="s">
        <v>394</v>
      </c>
      <c r="T659">
        <v>90110</v>
      </c>
      <c r="U659" t="s">
        <v>130</v>
      </c>
      <c r="V659" t="s">
        <v>42</v>
      </c>
      <c r="W659" t="s">
        <v>395</v>
      </c>
      <c r="X659" t="s">
        <v>396</v>
      </c>
      <c r="Y659" t="s">
        <v>151</v>
      </c>
    </row>
    <row r="660" spans="1:25" x14ac:dyDescent="0.25">
      <c r="A660">
        <v>10165</v>
      </c>
      <c r="B660">
        <v>29</v>
      </c>
      <c r="C660">
        <v>100</v>
      </c>
      <c r="D660">
        <v>11</v>
      </c>
      <c r="E660">
        <v>5032.95</v>
      </c>
      <c r="F660" s="1">
        <v>37916</v>
      </c>
      <c r="G660" t="s">
        <v>25</v>
      </c>
      <c r="H660">
        <v>4</v>
      </c>
      <c r="I660">
        <v>10</v>
      </c>
      <c r="J660">
        <v>2003</v>
      </c>
      <c r="K660" t="s">
        <v>181</v>
      </c>
      <c r="L660">
        <v>163</v>
      </c>
      <c r="M660" t="s">
        <v>587</v>
      </c>
      <c r="N660" t="s">
        <v>196</v>
      </c>
      <c r="O660" t="s">
        <v>197</v>
      </c>
      <c r="P660" t="s">
        <v>198</v>
      </c>
      <c r="R660" t="s">
        <v>199</v>
      </c>
      <c r="T660">
        <v>79903</v>
      </c>
      <c r="U660" t="s">
        <v>199</v>
      </c>
      <c r="V660" t="s">
        <v>200</v>
      </c>
      <c r="W660" t="s">
        <v>201</v>
      </c>
      <c r="X660" t="s">
        <v>202</v>
      </c>
      <c r="Y660" t="s">
        <v>51</v>
      </c>
    </row>
    <row r="661" spans="1:25" x14ac:dyDescent="0.25">
      <c r="A661">
        <v>10176</v>
      </c>
      <c r="B661">
        <v>20</v>
      </c>
      <c r="C661">
        <v>100</v>
      </c>
      <c r="D661">
        <v>10</v>
      </c>
      <c r="E661">
        <v>3667.6</v>
      </c>
      <c r="F661" s="1">
        <v>37931</v>
      </c>
      <c r="G661" t="s">
        <v>25</v>
      </c>
      <c r="H661">
        <v>4</v>
      </c>
      <c r="I661">
        <v>11</v>
      </c>
      <c r="J661">
        <v>2003</v>
      </c>
      <c r="K661" t="s">
        <v>181</v>
      </c>
      <c r="L661">
        <v>163</v>
      </c>
      <c r="M661" t="s">
        <v>587</v>
      </c>
      <c r="N661" t="s">
        <v>452</v>
      </c>
      <c r="O661" t="s">
        <v>453</v>
      </c>
      <c r="P661" t="s">
        <v>454</v>
      </c>
      <c r="R661" t="s">
        <v>455</v>
      </c>
      <c r="T661">
        <v>42100</v>
      </c>
      <c r="U661" t="s">
        <v>258</v>
      </c>
      <c r="V661" t="s">
        <v>42</v>
      </c>
      <c r="W661" t="s">
        <v>456</v>
      </c>
      <c r="X661" t="s">
        <v>457</v>
      </c>
      <c r="Y661" t="s">
        <v>51</v>
      </c>
    </row>
    <row r="662" spans="1:25" x14ac:dyDescent="0.25">
      <c r="A662">
        <v>10184</v>
      </c>
      <c r="B662">
        <v>46</v>
      </c>
      <c r="C662">
        <v>100</v>
      </c>
      <c r="D662">
        <v>5</v>
      </c>
      <c r="E662">
        <v>7381.16</v>
      </c>
      <c r="F662" s="1">
        <v>37939</v>
      </c>
      <c r="G662" t="s">
        <v>25</v>
      </c>
      <c r="H662">
        <v>4</v>
      </c>
      <c r="I662">
        <v>11</v>
      </c>
      <c r="J662">
        <v>2003</v>
      </c>
      <c r="K662" t="s">
        <v>181</v>
      </c>
      <c r="L662">
        <v>163</v>
      </c>
      <c r="M662" t="s">
        <v>587</v>
      </c>
      <c r="N662" t="s">
        <v>520</v>
      </c>
      <c r="O662" t="s">
        <v>521</v>
      </c>
      <c r="P662" t="s">
        <v>522</v>
      </c>
      <c r="R662" t="s">
        <v>523</v>
      </c>
      <c r="T662">
        <v>41101</v>
      </c>
      <c r="U662" t="s">
        <v>178</v>
      </c>
      <c r="V662" t="s">
        <v>42</v>
      </c>
      <c r="W662" t="s">
        <v>524</v>
      </c>
      <c r="X662" t="s">
        <v>525</v>
      </c>
      <c r="Y662" t="s">
        <v>151</v>
      </c>
    </row>
    <row r="663" spans="1:25" x14ac:dyDescent="0.25">
      <c r="A663">
        <v>10195</v>
      </c>
      <c r="B663">
        <v>27</v>
      </c>
      <c r="C663">
        <v>100</v>
      </c>
      <c r="D663">
        <v>5</v>
      </c>
      <c r="E663">
        <v>5128.1099999999997</v>
      </c>
      <c r="F663" s="1">
        <v>37950</v>
      </c>
      <c r="G663" t="s">
        <v>25</v>
      </c>
      <c r="H663">
        <v>4</v>
      </c>
      <c r="I663">
        <v>11</v>
      </c>
      <c r="J663">
        <v>2003</v>
      </c>
      <c r="K663" t="s">
        <v>181</v>
      </c>
      <c r="L663">
        <v>163</v>
      </c>
      <c r="M663" t="s">
        <v>587</v>
      </c>
      <c r="N663" t="s">
        <v>317</v>
      </c>
      <c r="O663">
        <v>9145554562</v>
      </c>
      <c r="P663" t="s">
        <v>318</v>
      </c>
      <c r="R663" t="s">
        <v>319</v>
      </c>
      <c r="S663" t="s">
        <v>31</v>
      </c>
      <c r="T663">
        <v>24067</v>
      </c>
      <c r="U663" t="s">
        <v>32</v>
      </c>
      <c r="V663" t="s">
        <v>33</v>
      </c>
      <c r="W663" t="s">
        <v>102</v>
      </c>
      <c r="X663" t="s">
        <v>238</v>
      </c>
      <c r="Y663" t="s">
        <v>51</v>
      </c>
    </row>
    <row r="664" spans="1:25" x14ac:dyDescent="0.25">
      <c r="A664">
        <v>10207</v>
      </c>
      <c r="B664">
        <v>44</v>
      </c>
      <c r="C664">
        <v>100</v>
      </c>
      <c r="D664">
        <v>6</v>
      </c>
      <c r="E664">
        <v>7060.24</v>
      </c>
      <c r="F664" s="1">
        <v>37964</v>
      </c>
      <c r="G664" t="s">
        <v>25</v>
      </c>
      <c r="H664">
        <v>4</v>
      </c>
      <c r="I664">
        <v>12</v>
      </c>
      <c r="J664">
        <v>2003</v>
      </c>
      <c r="K664" t="s">
        <v>181</v>
      </c>
      <c r="L664">
        <v>163</v>
      </c>
      <c r="M664" t="s">
        <v>587</v>
      </c>
      <c r="N664" t="s">
        <v>415</v>
      </c>
      <c r="O664">
        <v>6175552555</v>
      </c>
      <c r="P664" t="s">
        <v>416</v>
      </c>
      <c r="R664" t="s">
        <v>381</v>
      </c>
      <c r="S664" t="s">
        <v>123</v>
      </c>
      <c r="T664">
        <v>51003</v>
      </c>
      <c r="U664" t="s">
        <v>32</v>
      </c>
      <c r="V664" t="s">
        <v>33</v>
      </c>
      <c r="W664" t="s">
        <v>417</v>
      </c>
      <c r="X664" t="s">
        <v>276</v>
      </c>
      <c r="Y664" t="s">
        <v>151</v>
      </c>
    </row>
    <row r="665" spans="1:25" x14ac:dyDescent="0.25">
      <c r="A665">
        <v>10219</v>
      </c>
      <c r="B665">
        <v>43</v>
      </c>
      <c r="C665">
        <v>100</v>
      </c>
      <c r="D665">
        <v>1</v>
      </c>
      <c r="E665">
        <v>8448.64</v>
      </c>
      <c r="F665" s="1">
        <v>38027</v>
      </c>
      <c r="G665" t="s">
        <v>25</v>
      </c>
      <c r="H665">
        <v>1</v>
      </c>
      <c r="I665">
        <v>2</v>
      </c>
      <c r="J665">
        <v>2004</v>
      </c>
      <c r="K665" t="s">
        <v>181</v>
      </c>
      <c r="L665">
        <v>163</v>
      </c>
      <c r="M665" t="s">
        <v>587</v>
      </c>
      <c r="N665" t="s">
        <v>526</v>
      </c>
      <c r="O665">
        <v>4155554312</v>
      </c>
      <c r="P665" t="s">
        <v>527</v>
      </c>
      <c r="R665" t="s">
        <v>528</v>
      </c>
      <c r="S665" t="s">
        <v>55</v>
      </c>
      <c r="T665">
        <v>94217</v>
      </c>
      <c r="U665" t="s">
        <v>32</v>
      </c>
      <c r="V665" t="s">
        <v>33</v>
      </c>
      <c r="W665" t="s">
        <v>529</v>
      </c>
      <c r="X665" t="s">
        <v>400</v>
      </c>
      <c r="Y665" t="s">
        <v>151</v>
      </c>
    </row>
    <row r="666" spans="1:25" x14ac:dyDescent="0.25">
      <c r="A666">
        <v>10230</v>
      </c>
      <c r="B666">
        <v>49</v>
      </c>
      <c r="C666">
        <v>100</v>
      </c>
      <c r="D666">
        <v>8</v>
      </c>
      <c r="E666">
        <v>7300.51</v>
      </c>
      <c r="F666" s="1">
        <v>38061</v>
      </c>
      <c r="G666" t="s">
        <v>25</v>
      </c>
      <c r="H666">
        <v>1</v>
      </c>
      <c r="I666">
        <v>3</v>
      </c>
      <c r="J666">
        <v>2004</v>
      </c>
      <c r="K666" t="s">
        <v>181</v>
      </c>
      <c r="L666">
        <v>163</v>
      </c>
      <c r="M666" t="s">
        <v>587</v>
      </c>
      <c r="N666" t="s">
        <v>462</v>
      </c>
      <c r="O666" t="s">
        <v>463</v>
      </c>
      <c r="P666" t="s">
        <v>464</v>
      </c>
      <c r="R666" t="s">
        <v>465</v>
      </c>
      <c r="T666">
        <v>60528</v>
      </c>
      <c r="U666" t="s">
        <v>443</v>
      </c>
      <c r="V666" t="s">
        <v>42</v>
      </c>
      <c r="W666" t="s">
        <v>466</v>
      </c>
      <c r="X666" t="s">
        <v>414</v>
      </c>
      <c r="Y666" t="s">
        <v>151</v>
      </c>
    </row>
    <row r="667" spans="1:25" x14ac:dyDescent="0.25">
      <c r="A667">
        <v>10246</v>
      </c>
      <c r="B667">
        <v>40</v>
      </c>
      <c r="C667">
        <v>100</v>
      </c>
      <c r="D667">
        <v>4</v>
      </c>
      <c r="E667">
        <v>6549.2</v>
      </c>
      <c r="F667" s="1">
        <v>38112</v>
      </c>
      <c r="G667" t="s">
        <v>25</v>
      </c>
      <c r="H667">
        <v>2</v>
      </c>
      <c r="I667">
        <v>5</v>
      </c>
      <c r="J667">
        <v>2004</v>
      </c>
      <c r="K667" t="s">
        <v>181</v>
      </c>
      <c r="L667">
        <v>163</v>
      </c>
      <c r="M667" t="s">
        <v>587</v>
      </c>
      <c r="N667" t="s">
        <v>174</v>
      </c>
      <c r="O667" t="s">
        <v>175</v>
      </c>
      <c r="P667" t="s">
        <v>176</v>
      </c>
      <c r="R667" t="s">
        <v>177</v>
      </c>
      <c r="T667">
        <v>28034</v>
      </c>
      <c r="U667" t="s">
        <v>178</v>
      </c>
      <c r="V667" t="s">
        <v>42</v>
      </c>
      <c r="W667" t="s">
        <v>179</v>
      </c>
      <c r="X667" t="s">
        <v>180</v>
      </c>
      <c r="Y667" t="s">
        <v>51</v>
      </c>
    </row>
    <row r="668" spans="1:25" x14ac:dyDescent="0.25">
      <c r="A668">
        <v>10259</v>
      </c>
      <c r="B668">
        <v>30</v>
      </c>
      <c r="C668">
        <v>100</v>
      </c>
      <c r="D668">
        <v>3</v>
      </c>
      <c r="E668">
        <v>5697.9</v>
      </c>
      <c r="F668" s="1">
        <v>38153</v>
      </c>
      <c r="G668" t="s">
        <v>25</v>
      </c>
      <c r="H668">
        <v>2</v>
      </c>
      <c r="I668">
        <v>6</v>
      </c>
      <c r="J668">
        <v>2004</v>
      </c>
      <c r="K668" t="s">
        <v>181</v>
      </c>
      <c r="L668">
        <v>163</v>
      </c>
      <c r="M668" t="s">
        <v>587</v>
      </c>
      <c r="N668" t="s">
        <v>418</v>
      </c>
      <c r="O668" t="s">
        <v>419</v>
      </c>
      <c r="P668" t="s">
        <v>420</v>
      </c>
      <c r="Q668" t="s">
        <v>421</v>
      </c>
      <c r="R668" t="s">
        <v>199</v>
      </c>
      <c r="T668">
        <v>69045</v>
      </c>
      <c r="U668" t="s">
        <v>199</v>
      </c>
      <c r="V668" t="s">
        <v>96</v>
      </c>
      <c r="W668" t="s">
        <v>422</v>
      </c>
      <c r="X668" t="s">
        <v>423</v>
      </c>
      <c r="Y668" t="s">
        <v>51</v>
      </c>
    </row>
    <row r="669" spans="1:25" x14ac:dyDescent="0.25">
      <c r="A669">
        <v>10271</v>
      </c>
      <c r="B669">
        <v>50</v>
      </c>
      <c r="C669">
        <v>100</v>
      </c>
      <c r="D669">
        <v>4</v>
      </c>
      <c r="E669">
        <v>9169</v>
      </c>
      <c r="F669" s="1">
        <v>38188</v>
      </c>
      <c r="G669" t="s">
        <v>25</v>
      </c>
      <c r="H669">
        <v>3</v>
      </c>
      <c r="I669">
        <v>7</v>
      </c>
      <c r="J669">
        <v>2004</v>
      </c>
      <c r="K669" t="s">
        <v>181</v>
      </c>
      <c r="L669">
        <v>163</v>
      </c>
      <c r="M669" t="s">
        <v>587</v>
      </c>
      <c r="N669" t="s">
        <v>272</v>
      </c>
      <c r="O669">
        <v>4155551450</v>
      </c>
      <c r="P669" t="s">
        <v>273</v>
      </c>
      <c r="R669" t="s">
        <v>274</v>
      </c>
      <c r="S669" t="s">
        <v>55</v>
      </c>
      <c r="T669">
        <v>97562</v>
      </c>
      <c r="U669" t="s">
        <v>32</v>
      </c>
      <c r="V669" t="s">
        <v>33</v>
      </c>
      <c r="W669" t="s">
        <v>275</v>
      </c>
      <c r="X669" t="s">
        <v>276</v>
      </c>
      <c r="Y669" t="s">
        <v>151</v>
      </c>
    </row>
    <row r="670" spans="1:25" x14ac:dyDescent="0.25">
      <c r="A670">
        <v>10282</v>
      </c>
      <c r="B670">
        <v>23</v>
      </c>
      <c r="C670">
        <v>100</v>
      </c>
      <c r="D670">
        <v>13</v>
      </c>
      <c r="E670">
        <v>3238.63</v>
      </c>
      <c r="F670" s="1">
        <v>38219</v>
      </c>
      <c r="G670" t="s">
        <v>25</v>
      </c>
      <c r="H670">
        <v>3</v>
      </c>
      <c r="I670">
        <v>8</v>
      </c>
      <c r="J670">
        <v>2004</v>
      </c>
      <c r="K670" t="s">
        <v>181</v>
      </c>
      <c r="L670">
        <v>163</v>
      </c>
      <c r="M670" t="s">
        <v>587</v>
      </c>
      <c r="N670" t="s">
        <v>272</v>
      </c>
      <c r="O670">
        <v>4155551450</v>
      </c>
      <c r="P670" t="s">
        <v>273</v>
      </c>
      <c r="R670" t="s">
        <v>274</v>
      </c>
      <c r="S670" t="s">
        <v>55</v>
      </c>
      <c r="T670">
        <v>97562</v>
      </c>
      <c r="U670" t="s">
        <v>32</v>
      </c>
      <c r="V670" t="s">
        <v>33</v>
      </c>
      <c r="W670" t="s">
        <v>275</v>
      </c>
      <c r="X670" t="s">
        <v>276</v>
      </c>
      <c r="Y670" t="s">
        <v>51</v>
      </c>
    </row>
    <row r="671" spans="1:25" x14ac:dyDescent="0.25">
      <c r="A671">
        <v>10292</v>
      </c>
      <c r="B671">
        <v>26</v>
      </c>
      <c r="C671">
        <v>100</v>
      </c>
      <c r="D671">
        <v>7</v>
      </c>
      <c r="E671">
        <v>4554.9399999999996</v>
      </c>
      <c r="F671" s="1">
        <v>38238</v>
      </c>
      <c r="G671" t="s">
        <v>25</v>
      </c>
      <c r="H671">
        <v>3</v>
      </c>
      <c r="I671">
        <v>9</v>
      </c>
      <c r="J671">
        <v>2004</v>
      </c>
      <c r="K671" t="s">
        <v>181</v>
      </c>
      <c r="L671">
        <v>163</v>
      </c>
      <c r="M671" t="s">
        <v>587</v>
      </c>
      <c r="N671" t="s">
        <v>28</v>
      </c>
      <c r="O671">
        <v>2125557818</v>
      </c>
      <c r="P671" t="s">
        <v>29</v>
      </c>
      <c r="R671" t="s">
        <v>30</v>
      </c>
      <c r="S671" t="s">
        <v>31</v>
      </c>
      <c r="T671">
        <v>10022</v>
      </c>
      <c r="U671" t="s">
        <v>32</v>
      </c>
      <c r="V671" t="s">
        <v>33</v>
      </c>
      <c r="W671" t="s">
        <v>34</v>
      </c>
      <c r="X671" t="s">
        <v>35</v>
      </c>
      <c r="Y671" t="s">
        <v>51</v>
      </c>
    </row>
    <row r="672" spans="1:25" x14ac:dyDescent="0.25">
      <c r="A672">
        <v>10305</v>
      </c>
      <c r="B672">
        <v>27</v>
      </c>
      <c r="C672">
        <v>100</v>
      </c>
      <c r="D672">
        <v>4</v>
      </c>
      <c r="E672">
        <v>3934.44</v>
      </c>
      <c r="F672" s="1">
        <v>38273</v>
      </c>
      <c r="G672" t="s">
        <v>25</v>
      </c>
      <c r="H672">
        <v>4</v>
      </c>
      <c r="I672">
        <v>10</v>
      </c>
      <c r="J672">
        <v>2004</v>
      </c>
      <c r="K672" t="s">
        <v>181</v>
      </c>
      <c r="L672">
        <v>163</v>
      </c>
      <c r="M672" t="s">
        <v>587</v>
      </c>
      <c r="N672" t="s">
        <v>120</v>
      </c>
      <c r="O672">
        <v>6175558555</v>
      </c>
      <c r="P672" t="s">
        <v>121</v>
      </c>
      <c r="R672" t="s">
        <v>122</v>
      </c>
      <c r="S672" t="s">
        <v>123</v>
      </c>
      <c r="T672">
        <v>51247</v>
      </c>
      <c r="U672" t="s">
        <v>32</v>
      </c>
      <c r="V672" t="s">
        <v>33</v>
      </c>
      <c r="W672" t="s">
        <v>124</v>
      </c>
      <c r="X672" t="s">
        <v>125</v>
      </c>
      <c r="Y672" t="s">
        <v>51</v>
      </c>
    </row>
    <row r="673" spans="1:25" x14ac:dyDescent="0.25">
      <c r="A673">
        <v>10314</v>
      </c>
      <c r="B673">
        <v>42</v>
      </c>
      <c r="C673">
        <v>100</v>
      </c>
      <c r="D673">
        <v>13</v>
      </c>
      <c r="E673">
        <v>5776.26</v>
      </c>
      <c r="F673" s="1">
        <v>38282</v>
      </c>
      <c r="G673" t="s">
        <v>25</v>
      </c>
      <c r="H673">
        <v>4</v>
      </c>
      <c r="I673">
        <v>10</v>
      </c>
      <c r="J673">
        <v>2004</v>
      </c>
      <c r="K673" t="s">
        <v>181</v>
      </c>
      <c r="L673">
        <v>163</v>
      </c>
      <c r="M673" t="s">
        <v>587</v>
      </c>
      <c r="N673" t="s">
        <v>498</v>
      </c>
      <c r="O673" t="s">
        <v>499</v>
      </c>
      <c r="P673" t="s">
        <v>500</v>
      </c>
      <c r="R673" t="s">
        <v>501</v>
      </c>
      <c r="T673">
        <v>8200</v>
      </c>
      <c r="U673" t="s">
        <v>326</v>
      </c>
      <c r="V673" t="s">
        <v>42</v>
      </c>
      <c r="W673" t="s">
        <v>502</v>
      </c>
      <c r="X673" t="s">
        <v>503</v>
      </c>
      <c r="Y673" t="s">
        <v>51</v>
      </c>
    </row>
    <row r="674" spans="1:25" x14ac:dyDescent="0.25">
      <c r="A674">
        <v>10324</v>
      </c>
      <c r="B674">
        <v>47</v>
      </c>
      <c r="C674">
        <v>100</v>
      </c>
      <c r="D674">
        <v>8</v>
      </c>
      <c r="E674">
        <v>7207.45</v>
      </c>
      <c r="F674" s="1">
        <v>38296</v>
      </c>
      <c r="G674" t="s">
        <v>25</v>
      </c>
      <c r="H674">
        <v>4</v>
      </c>
      <c r="I674">
        <v>11</v>
      </c>
      <c r="J674">
        <v>2004</v>
      </c>
      <c r="K674" t="s">
        <v>181</v>
      </c>
      <c r="L674">
        <v>163</v>
      </c>
      <c r="M674" t="s">
        <v>587</v>
      </c>
      <c r="N674" t="s">
        <v>99</v>
      </c>
      <c r="O674">
        <v>2125551500</v>
      </c>
      <c r="P674" t="s">
        <v>100</v>
      </c>
      <c r="Q674" t="s">
        <v>101</v>
      </c>
      <c r="R674" t="s">
        <v>30</v>
      </c>
      <c r="S674" t="s">
        <v>31</v>
      </c>
      <c r="T674">
        <v>10022</v>
      </c>
      <c r="U674" t="s">
        <v>32</v>
      </c>
      <c r="V674" t="s">
        <v>33</v>
      </c>
      <c r="W674" t="s">
        <v>102</v>
      </c>
      <c r="X674" t="s">
        <v>103</v>
      </c>
      <c r="Y674" t="s">
        <v>151</v>
      </c>
    </row>
    <row r="675" spans="1:25" x14ac:dyDescent="0.25">
      <c r="A675">
        <v>10336</v>
      </c>
      <c r="B675">
        <v>49</v>
      </c>
      <c r="C675">
        <v>100</v>
      </c>
      <c r="D675">
        <v>6</v>
      </c>
      <c r="E675">
        <v>7460.74</v>
      </c>
      <c r="F675" s="1">
        <v>38311</v>
      </c>
      <c r="G675" t="s">
        <v>25</v>
      </c>
      <c r="H675">
        <v>4</v>
      </c>
      <c r="I675">
        <v>11</v>
      </c>
      <c r="J675">
        <v>2004</v>
      </c>
      <c r="K675" t="s">
        <v>181</v>
      </c>
      <c r="L675">
        <v>163</v>
      </c>
      <c r="M675" t="s">
        <v>587</v>
      </c>
      <c r="N675" t="s">
        <v>403</v>
      </c>
      <c r="O675" t="s">
        <v>404</v>
      </c>
      <c r="P675" t="s">
        <v>405</v>
      </c>
      <c r="R675" t="s">
        <v>48</v>
      </c>
      <c r="T675">
        <v>75012</v>
      </c>
      <c r="U675" t="s">
        <v>41</v>
      </c>
      <c r="V675" t="s">
        <v>42</v>
      </c>
      <c r="W675" t="s">
        <v>406</v>
      </c>
      <c r="X675" t="s">
        <v>407</v>
      </c>
      <c r="Y675" t="s">
        <v>151</v>
      </c>
    </row>
    <row r="676" spans="1:25" x14ac:dyDescent="0.25">
      <c r="A676">
        <v>10349</v>
      </c>
      <c r="B676">
        <v>38</v>
      </c>
      <c r="C676">
        <v>100</v>
      </c>
      <c r="D676">
        <v>8</v>
      </c>
      <c r="E676">
        <v>6719.54</v>
      </c>
      <c r="F676" s="1">
        <v>38322</v>
      </c>
      <c r="G676" t="s">
        <v>25</v>
      </c>
      <c r="H676">
        <v>4</v>
      </c>
      <c r="I676">
        <v>12</v>
      </c>
      <c r="J676">
        <v>2004</v>
      </c>
      <c r="K676" t="s">
        <v>181</v>
      </c>
      <c r="L676">
        <v>163</v>
      </c>
      <c r="M676" t="s">
        <v>587</v>
      </c>
      <c r="N676" t="s">
        <v>475</v>
      </c>
      <c r="O676">
        <v>2125557413</v>
      </c>
      <c r="P676" t="s">
        <v>476</v>
      </c>
      <c r="Q676" t="s">
        <v>477</v>
      </c>
      <c r="R676" t="s">
        <v>30</v>
      </c>
      <c r="S676" t="s">
        <v>31</v>
      </c>
      <c r="T676">
        <v>10022</v>
      </c>
      <c r="U676" t="s">
        <v>32</v>
      </c>
      <c r="V676" t="s">
        <v>33</v>
      </c>
      <c r="W676" t="s">
        <v>56</v>
      </c>
      <c r="X676" t="s">
        <v>478</v>
      </c>
      <c r="Y676" t="s">
        <v>51</v>
      </c>
    </row>
    <row r="677" spans="1:25" x14ac:dyDescent="0.25">
      <c r="A677">
        <v>10358</v>
      </c>
      <c r="B677">
        <v>20</v>
      </c>
      <c r="C677">
        <v>100</v>
      </c>
      <c r="D677">
        <v>10</v>
      </c>
      <c r="E677">
        <v>2428</v>
      </c>
      <c r="F677" s="1">
        <v>38331</v>
      </c>
      <c r="G677" t="s">
        <v>25</v>
      </c>
      <c r="H677">
        <v>4</v>
      </c>
      <c r="I677">
        <v>12</v>
      </c>
      <c r="J677">
        <v>2004</v>
      </c>
      <c r="K677" t="s">
        <v>181</v>
      </c>
      <c r="L677">
        <v>163</v>
      </c>
      <c r="M677" t="s">
        <v>587</v>
      </c>
      <c r="N677" t="s">
        <v>174</v>
      </c>
      <c r="O677" t="s">
        <v>175</v>
      </c>
      <c r="P677" t="s">
        <v>176</v>
      </c>
      <c r="R677" t="s">
        <v>177</v>
      </c>
      <c r="T677">
        <v>28034</v>
      </c>
      <c r="U677" t="s">
        <v>178</v>
      </c>
      <c r="V677" t="s">
        <v>42</v>
      </c>
      <c r="W677" t="s">
        <v>179</v>
      </c>
      <c r="X677" t="s">
        <v>180</v>
      </c>
      <c r="Y677" t="s">
        <v>36</v>
      </c>
    </row>
    <row r="678" spans="1:25" x14ac:dyDescent="0.25">
      <c r="A678">
        <v>10371</v>
      </c>
      <c r="B678">
        <v>25</v>
      </c>
      <c r="C678">
        <v>100</v>
      </c>
      <c r="D678">
        <v>7</v>
      </c>
      <c r="E678">
        <v>2602.25</v>
      </c>
      <c r="F678" s="1">
        <v>38375</v>
      </c>
      <c r="G678" t="s">
        <v>25</v>
      </c>
      <c r="H678">
        <v>1</v>
      </c>
      <c r="I678">
        <v>1</v>
      </c>
      <c r="J678">
        <v>2005</v>
      </c>
      <c r="K678" t="s">
        <v>181</v>
      </c>
      <c r="L678">
        <v>163</v>
      </c>
      <c r="M678" t="s">
        <v>587</v>
      </c>
      <c r="N678" t="s">
        <v>272</v>
      </c>
      <c r="O678">
        <v>4155551450</v>
      </c>
      <c r="P678" t="s">
        <v>273</v>
      </c>
      <c r="R678" t="s">
        <v>274</v>
      </c>
      <c r="S678" t="s">
        <v>55</v>
      </c>
      <c r="T678">
        <v>97562</v>
      </c>
      <c r="U678" t="s">
        <v>32</v>
      </c>
      <c r="V678" t="s">
        <v>33</v>
      </c>
      <c r="W678" t="s">
        <v>275</v>
      </c>
      <c r="X678" t="s">
        <v>276</v>
      </c>
      <c r="Y678" t="s">
        <v>36</v>
      </c>
    </row>
    <row r="679" spans="1:25" x14ac:dyDescent="0.25">
      <c r="A679">
        <v>10382</v>
      </c>
      <c r="B679">
        <v>25</v>
      </c>
      <c r="C679">
        <v>88</v>
      </c>
      <c r="D679">
        <v>5</v>
      </c>
      <c r="E679">
        <v>2200</v>
      </c>
      <c r="F679" s="1">
        <v>38400</v>
      </c>
      <c r="G679" t="s">
        <v>25</v>
      </c>
      <c r="H679">
        <v>1</v>
      </c>
      <c r="I679">
        <v>2</v>
      </c>
      <c r="J679">
        <v>2005</v>
      </c>
      <c r="K679" t="s">
        <v>181</v>
      </c>
      <c r="L679">
        <v>163</v>
      </c>
      <c r="M679" t="s">
        <v>587</v>
      </c>
      <c r="N679" t="s">
        <v>272</v>
      </c>
      <c r="O679">
        <v>4155551450</v>
      </c>
      <c r="P679" t="s">
        <v>273</v>
      </c>
      <c r="R679" t="s">
        <v>274</v>
      </c>
      <c r="S679" t="s">
        <v>55</v>
      </c>
      <c r="T679">
        <v>97562</v>
      </c>
      <c r="U679" t="s">
        <v>32</v>
      </c>
      <c r="V679" t="s">
        <v>33</v>
      </c>
      <c r="W679" t="s">
        <v>275</v>
      </c>
      <c r="X679" t="s">
        <v>276</v>
      </c>
      <c r="Y679" t="s">
        <v>36</v>
      </c>
    </row>
    <row r="680" spans="1:25" x14ac:dyDescent="0.25">
      <c r="A680">
        <v>10412</v>
      </c>
      <c r="B680">
        <v>41</v>
      </c>
      <c r="C680">
        <v>100</v>
      </c>
      <c r="D680">
        <v>4</v>
      </c>
      <c r="E680">
        <v>6712.93</v>
      </c>
      <c r="F680" s="1">
        <v>38475</v>
      </c>
      <c r="G680" t="s">
        <v>25</v>
      </c>
      <c r="H680">
        <v>2</v>
      </c>
      <c r="I680">
        <v>5</v>
      </c>
      <c r="J680">
        <v>2005</v>
      </c>
      <c r="K680" t="s">
        <v>181</v>
      </c>
      <c r="L680">
        <v>163</v>
      </c>
      <c r="M680" t="s">
        <v>587</v>
      </c>
      <c r="N680" t="s">
        <v>174</v>
      </c>
      <c r="O680" t="s">
        <v>175</v>
      </c>
      <c r="P680" t="s">
        <v>176</v>
      </c>
      <c r="R680" t="s">
        <v>177</v>
      </c>
      <c r="T680">
        <v>28034</v>
      </c>
      <c r="U680" t="s">
        <v>178</v>
      </c>
      <c r="V680" t="s">
        <v>42</v>
      </c>
      <c r="W680" t="s">
        <v>179</v>
      </c>
      <c r="X680" t="s">
        <v>180</v>
      </c>
      <c r="Y680" t="s">
        <v>51</v>
      </c>
    </row>
    <row r="681" spans="1:25" x14ac:dyDescent="0.25">
      <c r="A681">
        <v>10425</v>
      </c>
      <c r="B681">
        <v>28</v>
      </c>
      <c r="C681">
        <v>100</v>
      </c>
      <c r="D681">
        <v>3</v>
      </c>
      <c r="E681">
        <v>5318.04</v>
      </c>
      <c r="F681" s="1">
        <v>38503</v>
      </c>
      <c r="G681" t="s">
        <v>300</v>
      </c>
      <c r="H681">
        <v>2</v>
      </c>
      <c r="I681">
        <v>5</v>
      </c>
      <c r="J681">
        <v>2005</v>
      </c>
      <c r="K681" t="s">
        <v>181</v>
      </c>
      <c r="L681">
        <v>163</v>
      </c>
      <c r="M681" t="s">
        <v>587</v>
      </c>
      <c r="N681" t="s">
        <v>114</v>
      </c>
      <c r="O681" t="s">
        <v>115</v>
      </c>
      <c r="P681" t="s">
        <v>116</v>
      </c>
      <c r="R681" t="s">
        <v>117</v>
      </c>
      <c r="T681">
        <v>44000</v>
      </c>
      <c r="U681" t="s">
        <v>41</v>
      </c>
      <c r="V681" t="s">
        <v>42</v>
      </c>
      <c r="W681" t="s">
        <v>118</v>
      </c>
      <c r="X681" t="s">
        <v>119</v>
      </c>
      <c r="Y681" t="s">
        <v>51</v>
      </c>
    </row>
    <row r="682" spans="1:25" x14ac:dyDescent="0.25">
      <c r="A682">
        <v>10100</v>
      </c>
      <c r="B682">
        <v>50</v>
      </c>
      <c r="C682">
        <v>67.8</v>
      </c>
      <c r="D682">
        <v>2</v>
      </c>
      <c r="E682">
        <v>3390</v>
      </c>
      <c r="F682" s="1">
        <v>37627</v>
      </c>
      <c r="G682" t="s">
        <v>25</v>
      </c>
      <c r="H682">
        <v>1</v>
      </c>
      <c r="I682">
        <v>1</v>
      </c>
      <c r="J682">
        <v>2003</v>
      </c>
      <c r="K682" t="s">
        <v>550</v>
      </c>
      <c r="L682">
        <v>60</v>
      </c>
      <c r="M682" t="s">
        <v>588</v>
      </c>
      <c r="N682" t="s">
        <v>277</v>
      </c>
      <c r="O682">
        <v>6035558647</v>
      </c>
      <c r="P682" t="s">
        <v>278</v>
      </c>
      <c r="R682" t="s">
        <v>279</v>
      </c>
      <c r="S682" t="s">
        <v>280</v>
      </c>
      <c r="T682">
        <v>62005</v>
      </c>
      <c r="U682" t="s">
        <v>32</v>
      </c>
      <c r="V682" t="s">
        <v>33</v>
      </c>
      <c r="W682" t="s">
        <v>56</v>
      </c>
      <c r="X682" t="s">
        <v>276</v>
      </c>
      <c r="Y682" t="s">
        <v>51</v>
      </c>
    </row>
    <row r="683" spans="1:25" x14ac:dyDescent="0.25">
      <c r="A683">
        <v>10110</v>
      </c>
      <c r="B683">
        <v>32</v>
      </c>
      <c r="C683">
        <v>50.25</v>
      </c>
      <c r="D683">
        <v>6</v>
      </c>
      <c r="E683">
        <v>1608</v>
      </c>
      <c r="F683" s="1">
        <v>37698</v>
      </c>
      <c r="G683" t="s">
        <v>25</v>
      </c>
      <c r="H683">
        <v>1</v>
      </c>
      <c r="I683">
        <v>3</v>
      </c>
      <c r="J683">
        <v>2003</v>
      </c>
      <c r="K683" t="s">
        <v>550</v>
      </c>
      <c r="L683">
        <v>60</v>
      </c>
      <c r="M683" t="s">
        <v>588</v>
      </c>
      <c r="N683" t="s">
        <v>492</v>
      </c>
      <c r="O683" t="s">
        <v>493</v>
      </c>
      <c r="P683" t="s">
        <v>494</v>
      </c>
      <c r="R683" t="s">
        <v>495</v>
      </c>
      <c r="T683" t="s">
        <v>496</v>
      </c>
      <c r="U683" t="s">
        <v>170</v>
      </c>
      <c r="V683" t="s">
        <v>42</v>
      </c>
      <c r="W683" t="s">
        <v>497</v>
      </c>
      <c r="X683" t="s">
        <v>94</v>
      </c>
      <c r="Y683" t="s">
        <v>36</v>
      </c>
    </row>
    <row r="684" spans="1:25" x14ac:dyDescent="0.25">
      <c r="A684">
        <v>10124</v>
      </c>
      <c r="B684">
        <v>42</v>
      </c>
      <c r="C684">
        <v>53.88</v>
      </c>
      <c r="D684">
        <v>5</v>
      </c>
      <c r="E684">
        <v>2262.96</v>
      </c>
      <c r="F684" s="1">
        <v>37762</v>
      </c>
      <c r="G684" t="s">
        <v>25</v>
      </c>
      <c r="H684">
        <v>2</v>
      </c>
      <c r="I684">
        <v>5</v>
      </c>
      <c r="J684">
        <v>2003</v>
      </c>
      <c r="K684" t="s">
        <v>550</v>
      </c>
      <c r="L684">
        <v>60</v>
      </c>
      <c r="M684" t="s">
        <v>588</v>
      </c>
      <c r="N684" t="s">
        <v>539</v>
      </c>
      <c r="O684">
        <v>7025551838</v>
      </c>
      <c r="P684" t="s">
        <v>540</v>
      </c>
      <c r="R684" t="s">
        <v>541</v>
      </c>
      <c r="S684" t="s">
        <v>542</v>
      </c>
      <c r="T684">
        <v>83030</v>
      </c>
      <c r="U684" t="s">
        <v>32</v>
      </c>
      <c r="V684" t="s">
        <v>33</v>
      </c>
      <c r="W684" t="s">
        <v>113</v>
      </c>
      <c r="X684" t="s">
        <v>400</v>
      </c>
      <c r="Y684" t="s">
        <v>36</v>
      </c>
    </row>
    <row r="685" spans="1:25" x14ac:dyDescent="0.25">
      <c r="A685">
        <v>10149</v>
      </c>
      <c r="B685">
        <v>24</v>
      </c>
      <c r="C685">
        <v>62.36</v>
      </c>
      <c r="D685">
        <v>10</v>
      </c>
      <c r="E685">
        <v>1496.64</v>
      </c>
      <c r="F685" s="1">
        <v>37876</v>
      </c>
      <c r="G685" t="s">
        <v>25</v>
      </c>
      <c r="H685">
        <v>3</v>
      </c>
      <c r="I685">
        <v>9</v>
      </c>
      <c r="J685">
        <v>2003</v>
      </c>
      <c r="K685" t="s">
        <v>550</v>
      </c>
      <c r="L685">
        <v>60</v>
      </c>
      <c r="M685" t="s">
        <v>588</v>
      </c>
      <c r="N685" t="s">
        <v>526</v>
      </c>
      <c r="O685">
        <v>4155554312</v>
      </c>
      <c r="P685" t="s">
        <v>527</v>
      </c>
      <c r="R685" t="s">
        <v>528</v>
      </c>
      <c r="S685" t="s">
        <v>55</v>
      </c>
      <c r="T685">
        <v>94217</v>
      </c>
      <c r="U685" t="s">
        <v>32</v>
      </c>
      <c r="V685" t="s">
        <v>33</v>
      </c>
      <c r="W685" t="s">
        <v>529</v>
      </c>
      <c r="X685" t="s">
        <v>400</v>
      </c>
      <c r="Y685" t="s">
        <v>36</v>
      </c>
    </row>
    <row r="686" spans="1:25" x14ac:dyDescent="0.25">
      <c r="A686">
        <v>10162</v>
      </c>
      <c r="B686">
        <v>27</v>
      </c>
      <c r="C686">
        <v>69.62</v>
      </c>
      <c r="D686">
        <v>8</v>
      </c>
      <c r="E686">
        <v>1879.74</v>
      </c>
      <c r="F686" s="1">
        <v>37912</v>
      </c>
      <c r="G686" t="s">
        <v>25</v>
      </c>
      <c r="H686">
        <v>4</v>
      </c>
      <c r="I686">
        <v>10</v>
      </c>
      <c r="J686">
        <v>2003</v>
      </c>
      <c r="K686" t="s">
        <v>550</v>
      </c>
      <c r="L686">
        <v>60</v>
      </c>
      <c r="M686" t="s">
        <v>588</v>
      </c>
      <c r="N686" t="s">
        <v>58</v>
      </c>
      <c r="O686">
        <v>6505551386</v>
      </c>
      <c r="P686" t="s">
        <v>59</v>
      </c>
      <c r="R686" t="s">
        <v>60</v>
      </c>
      <c r="S686" t="s">
        <v>55</v>
      </c>
      <c r="U686" t="s">
        <v>32</v>
      </c>
      <c r="V686" t="s">
        <v>33</v>
      </c>
      <c r="W686" t="s">
        <v>61</v>
      </c>
      <c r="X686" t="s">
        <v>57</v>
      </c>
      <c r="Y686" t="s">
        <v>36</v>
      </c>
    </row>
    <row r="687" spans="1:25" x14ac:dyDescent="0.25">
      <c r="A687">
        <v>10173</v>
      </c>
      <c r="B687">
        <v>26</v>
      </c>
      <c r="C687">
        <v>57.51</v>
      </c>
      <c r="D687">
        <v>12</v>
      </c>
      <c r="E687">
        <v>1495.26</v>
      </c>
      <c r="F687" s="1">
        <v>37930</v>
      </c>
      <c r="G687" t="s">
        <v>25</v>
      </c>
      <c r="H687">
        <v>4</v>
      </c>
      <c r="I687">
        <v>11</v>
      </c>
      <c r="J687">
        <v>2003</v>
      </c>
      <c r="K687" t="s">
        <v>550</v>
      </c>
      <c r="L687">
        <v>60</v>
      </c>
      <c r="M687" t="s">
        <v>588</v>
      </c>
      <c r="N687" t="s">
        <v>552</v>
      </c>
      <c r="O687" t="s">
        <v>553</v>
      </c>
      <c r="P687" t="s">
        <v>554</v>
      </c>
      <c r="R687" t="s">
        <v>555</v>
      </c>
      <c r="T687">
        <v>24100</v>
      </c>
      <c r="U687" t="s">
        <v>258</v>
      </c>
      <c r="V687" t="s">
        <v>42</v>
      </c>
      <c r="W687" t="s">
        <v>556</v>
      </c>
      <c r="X687" t="s">
        <v>557</v>
      </c>
      <c r="Y687" t="s">
        <v>36</v>
      </c>
    </row>
    <row r="688" spans="1:25" x14ac:dyDescent="0.25">
      <c r="A688">
        <v>10182</v>
      </c>
      <c r="B688">
        <v>38</v>
      </c>
      <c r="C688">
        <v>61.15</v>
      </c>
      <c r="D688">
        <v>9</v>
      </c>
      <c r="E688">
        <v>2323.6999999999998</v>
      </c>
      <c r="F688" s="1">
        <v>37937</v>
      </c>
      <c r="G688" t="s">
        <v>25</v>
      </c>
      <c r="H688">
        <v>4</v>
      </c>
      <c r="I688">
        <v>11</v>
      </c>
      <c r="J688">
        <v>2003</v>
      </c>
      <c r="K688" t="s">
        <v>550</v>
      </c>
      <c r="L688">
        <v>60</v>
      </c>
      <c r="M688" t="s">
        <v>588</v>
      </c>
      <c r="N688" t="s">
        <v>272</v>
      </c>
      <c r="O688">
        <v>4155551450</v>
      </c>
      <c r="P688" t="s">
        <v>273</v>
      </c>
      <c r="R688" t="s">
        <v>274</v>
      </c>
      <c r="S688" t="s">
        <v>55</v>
      </c>
      <c r="T688">
        <v>97562</v>
      </c>
      <c r="U688" t="s">
        <v>32</v>
      </c>
      <c r="V688" t="s">
        <v>33</v>
      </c>
      <c r="W688" t="s">
        <v>275</v>
      </c>
      <c r="X688" t="s">
        <v>276</v>
      </c>
      <c r="Y688" t="s">
        <v>36</v>
      </c>
    </row>
    <row r="689" spans="1:25" x14ac:dyDescent="0.25">
      <c r="A689">
        <v>10193</v>
      </c>
      <c r="B689">
        <v>42</v>
      </c>
      <c r="C689">
        <v>59.33</v>
      </c>
      <c r="D689">
        <v>13</v>
      </c>
      <c r="E689">
        <v>2491.86</v>
      </c>
      <c r="F689" s="1">
        <v>37946</v>
      </c>
      <c r="G689" t="s">
        <v>25</v>
      </c>
      <c r="H689">
        <v>4</v>
      </c>
      <c r="I689">
        <v>11</v>
      </c>
      <c r="J689">
        <v>2003</v>
      </c>
      <c r="K689" t="s">
        <v>550</v>
      </c>
      <c r="L689">
        <v>60</v>
      </c>
      <c r="M689" t="s">
        <v>588</v>
      </c>
      <c r="N689" t="s">
        <v>558</v>
      </c>
      <c r="O689" t="s">
        <v>559</v>
      </c>
      <c r="P689" t="s">
        <v>560</v>
      </c>
      <c r="R689" t="s">
        <v>561</v>
      </c>
      <c r="S689" t="s">
        <v>94</v>
      </c>
      <c r="T689">
        <v>3150</v>
      </c>
      <c r="U689" t="s">
        <v>95</v>
      </c>
      <c r="V689" t="s">
        <v>96</v>
      </c>
      <c r="W689" t="s">
        <v>562</v>
      </c>
      <c r="X689" t="s">
        <v>563</v>
      </c>
      <c r="Y689" t="s">
        <v>36</v>
      </c>
    </row>
    <row r="690" spans="1:25" x14ac:dyDescent="0.25">
      <c r="A690">
        <v>10204</v>
      </c>
      <c r="B690">
        <v>23</v>
      </c>
      <c r="C690">
        <v>71.44</v>
      </c>
      <c r="D690">
        <v>3</v>
      </c>
      <c r="E690">
        <v>1643.12</v>
      </c>
      <c r="F690" s="1">
        <v>37957</v>
      </c>
      <c r="G690" t="s">
        <v>25</v>
      </c>
      <c r="H690">
        <v>4</v>
      </c>
      <c r="I690">
        <v>12</v>
      </c>
      <c r="J690">
        <v>2003</v>
      </c>
      <c r="K690" t="s">
        <v>550</v>
      </c>
      <c r="L690">
        <v>60</v>
      </c>
      <c r="M690" t="s">
        <v>588</v>
      </c>
      <c r="N690" t="s">
        <v>475</v>
      </c>
      <c r="O690">
        <v>2125557413</v>
      </c>
      <c r="P690" t="s">
        <v>476</v>
      </c>
      <c r="Q690" t="s">
        <v>477</v>
      </c>
      <c r="R690" t="s">
        <v>30</v>
      </c>
      <c r="S690" t="s">
        <v>31</v>
      </c>
      <c r="T690">
        <v>10022</v>
      </c>
      <c r="U690" t="s">
        <v>32</v>
      </c>
      <c r="V690" t="s">
        <v>33</v>
      </c>
      <c r="W690" t="s">
        <v>56</v>
      </c>
      <c r="X690" t="s">
        <v>478</v>
      </c>
      <c r="Y690" t="s">
        <v>36</v>
      </c>
    </row>
    <row r="691" spans="1:25" x14ac:dyDescent="0.25">
      <c r="A691">
        <v>10214</v>
      </c>
      <c r="B691">
        <v>21</v>
      </c>
      <c r="C691">
        <v>62.96</v>
      </c>
      <c r="D691">
        <v>6</v>
      </c>
      <c r="E691">
        <v>1322.16</v>
      </c>
      <c r="F691" s="1">
        <v>38012</v>
      </c>
      <c r="G691" t="s">
        <v>25</v>
      </c>
      <c r="H691">
        <v>1</v>
      </c>
      <c r="I691">
        <v>1</v>
      </c>
      <c r="J691">
        <v>2004</v>
      </c>
      <c r="K691" t="s">
        <v>550</v>
      </c>
      <c r="L691">
        <v>60</v>
      </c>
      <c r="M691" t="s">
        <v>588</v>
      </c>
      <c r="N691" t="s">
        <v>191</v>
      </c>
      <c r="O691" t="s">
        <v>192</v>
      </c>
      <c r="P691" t="s">
        <v>193</v>
      </c>
      <c r="R691" t="s">
        <v>177</v>
      </c>
      <c r="T691">
        <v>28023</v>
      </c>
      <c r="U691" t="s">
        <v>178</v>
      </c>
      <c r="V691" t="s">
        <v>42</v>
      </c>
      <c r="W691" t="s">
        <v>194</v>
      </c>
      <c r="X691" t="s">
        <v>195</v>
      </c>
      <c r="Y691" t="s">
        <v>36</v>
      </c>
    </row>
    <row r="692" spans="1:25" x14ac:dyDescent="0.25">
      <c r="A692">
        <v>10227</v>
      </c>
      <c r="B692">
        <v>28</v>
      </c>
      <c r="C692">
        <v>50.85</v>
      </c>
      <c r="D692">
        <v>9</v>
      </c>
      <c r="E692">
        <v>1423.8</v>
      </c>
      <c r="F692" s="1">
        <v>38048</v>
      </c>
      <c r="G692" t="s">
        <v>25</v>
      </c>
      <c r="H692">
        <v>1</v>
      </c>
      <c r="I692">
        <v>3</v>
      </c>
      <c r="J692">
        <v>2004</v>
      </c>
      <c r="K692" t="s">
        <v>550</v>
      </c>
      <c r="L692">
        <v>60</v>
      </c>
      <c r="M692" t="s">
        <v>588</v>
      </c>
      <c r="N692" t="s">
        <v>219</v>
      </c>
      <c r="O692" t="s">
        <v>220</v>
      </c>
      <c r="P692" t="s">
        <v>221</v>
      </c>
      <c r="R692" t="s">
        <v>222</v>
      </c>
      <c r="T692">
        <v>69004</v>
      </c>
      <c r="U692" t="s">
        <v>41</v>
      </c>
      <c r="V692" t="s">
        <v>42</v>
      </c>
      <c r="W692" t="s">
        <v>223</v>
      </c>
      <c r="X692" t="s">
        <v>224</v>
      </c>
      <c r="Y692" t="s">
        <v>36</v>
      </c>
    </row>
    <row r="693" spans="1:25" x14ac:dyDescent="0.25">
      <c r="A693">
        <v>10241</v>
      </c>
      <c r="B693">
        <v>33</v>
      </c>
      <c r="C693">
        <v>72.650000000000006</v>
      </c>
      <c r="D693">
        <v>1</v>
      </c>
      <c r="E693">
        <v>2397.4499999999998</v>
      </c>
      <c r="F693" s="1">
        <v>38090</v>
      </c>
      <c r="G693" t="s">
        <v>25</v>
      </c>
      <c r="H693">
        <v>2</v>
      </c>
      <c r="I693">
        <v>4</v>
      </c>
      <c r="J693">
        <v>2004</v>
      </c>
      <c r="K693" t="s">
        <v>550</v>
      </c>
      <c r="L693">
        <v>60</v>
      </c>
      <c r="M693" t="s">
        <v>588</v>
      </c>
      <c r="N693" t="s">
        <v>531</v>
      </c>
      <c r="O693" t="s">
        <v>532</v>
      </c>
      <c r="P693" t="s">
        <v>533</v>
      </c>
      <c r="R693" t="s">
        <v>534</v>
      </c>
      <c r="T693">
        <v>67000</v>
      </c>
      <c r="U693" t="s">
        <v>41</v>
      </c>
      <c r="V693" t="s">
        <v>42</v>
      </c>
      <c r="W693" t="s">
        <v>535</v>
      </c>
      <c r="X693" t="s">
        <v>536</v>
      </c>
      <c r="Y693" t="s">
        <v>36</v>
      </c>
    </row>
    <row r="694" spans="1:25" x14ac:dyDescent="0.25">
      <c r="A694">
        <v>10280</v>
      </c>
      <c r="B694">
        <v>25</v>
      </c>
      <c r="C694">
        <v>62.96</v>
      </c>
      <c r="D694">
        <v>15</v>
      </c>
      <c r="E694">
        <v>1574</v>
      </c>
      <c r="F694" s="1">
        <v>38216</v>
      </c>
      <c r="G694" t="s">
        <v>25</v>
      </c>
      <c r="H694">
        <v>3</v>
      </c>
      <c r="I694">
        <v>8</v>
      </c>
      <c r="J694">
        <v>2004</v>
      </c>
      <c r="K694" t="s">
        <v>550</v>
      </c>
      <c r="L694">
        <v>60</v>
      </c>
      <c r="M694" t="s">
        <v>588</v>
      </c>
      <c r="N694" t="s">
        <v>254</v>
      </c>
      <c r="O694" t="s">
        <v>255</v>
      </c>
      <c r="P694" t="s">
        <v>256</v>
      </c>
      <c r="R694" t="s">
        <v>257</v>
      </c>
      <c r="T694">
        <v>10100</v>
      </c>
      <c r="U694" t="s">
        <v>258</v>
      </c>
      <c r="V694" t="s">
        <v>42</v>
      </c>
      <c r="W694" t="s">
        <v>259</v>
      </c>
      <c r="X694" t="s">
        <v>260</v>
      </c>
      <c r="Y694" t="s">
        <v>36</v>
      </c>
    </row>
    <row r="695" spans="1:25" x14ac:dyDescent="0.25">
      <c r="A695">
        <v>10288</v>
      </c>
      <c r="B695">
        <v>28</v>
      </c>
      <c r="C695">
        <v>61.75</v>
      </c>
      <c r="D695">
        <v>4</v>
      </c>
      <c r="E695">
        <v>1729</v>
      </c>
      <c r="F695" s="1">
        <v>38231</v>
      </c>
      <c r="G695" t="s">
        <v>25</v>
      </c>
      <c r="H695">
        <v>3</v>
      </c>
      <c r="I695">
        <v>9</v>
      </c>
      <c r="J695">
        <v>2004</v>
      </c>
      <c r="K695" t="s">
        <v>550</v>
      </c>
      <c r="L695">
        <v>60</v>
      </c>
      <c r="M695" t="s">
        <v>588</v>
      </c>
      <c r="N695" t="s">
        <v>418</v>
      </c>
      <c r="O695" t="s">
        <v>419</v>
      </c>
      <c r="P695" t="s">
        <v>420</v>
      </c>
      <c r="Q695" t="s">
        <v>421</v>
      </c>
      <c r="R695" t="s">
        <v>199</v>
      </c>
      <c r="T695">
        <v>69045</v>
      </c>
      <c r="U695" t="s">
        <v>199</v>
      </c>
      <c r="V695" t="s">
        <v>96</v>
      </c>
      <c r="W695" t="s">
        <v>422</v>
      </c>
      <c r="X695" t="s">
        <v>423</v>
      </c>
      <c r="Y695" t="s">
        <v>36</v>
      </c>
    </row>
    <row r="696" spans="1:25" x14ac:dyDescent="0.25">
      <c r="A696">
        <v>10303</v>
      </c>
      <c r="B696">
        <v>46</v>
      </c>
      <c r="C696">
        <v>49.04</v>
      </c>
      <c r="D696">
        <v>2</v>
      </c>
      <c r="E696">
        <v>2255.84</v>
      </c>
      <c r="F696" s="1">
        <v>38266</v>
      </c>
      <c r="G696" t="s">
        <v>25</v>
      </c>
      <c r="H696">
        <v>4</v>
      </c>
      <c r="I696">
        <v>10</v>
      </c>
      <c r="J696">
        <v>2004</v>
      </c>
      <c r="K696" t="s">
        <v>550</v>
      </c>
      <c r="L696">
        <v>60</v>
      </c>
      <c r="M696" t="s">
        <v>588</v>
      </c>
      <c r="N696" t="s">
        <v>520</v>
      </c>
      <c r="O696" t="s">
        <v>521</v>
      </c>
      <c r="P696" t="s">
        <v>522</v>
      </c>
      <c r="R696" t="s">
        <v>523</v>
      </c>
      <c r="T696">
        <v>41101</v>
      </c>
      <c r="U696" t="s">
        <v>178</v>
      </c>
      <c r="V696" t="s">
        <v>42</v>
      </c>
      <c r="W696" t="s">
        <v>524</v>
      </c>
      <c r="X696" t="s">
        <v>525</v>
      </c>
      <c r="Y696" t="s">
        <v>36</v>
      </c>
    </row>
    <row r="697" spans="1:25" x14ac:dyDescent="0.25">
      <c r="A697">
        <v>10312</v>
      </c>
      <c r="B697">
        <v>30</v>
      </c>
      <c r="C697">
        <v>61.15</v>
      </c>
      <c r="D697">
        <v>16</v>
      </c>
      <c r="E697">
        <v>1834.5</v>
      </c>
      <c r="F697" s="1">
        <v>38281</v>
      </c>
      <c r="G697" t="s">
        <v>25</v>
      </c>
      <c r="H697">
        <v>4</v>
      </c>
      <c r="I697">
        <v>10</v>
      </c>
      <c r="J697">
        <v>2004</v>
      </c>
      <c r="K697" t="s">
        <v>550</v>
      </c>
      <c r="L697">
        <v>60</v>
      </c>
      <c r="M697" t="s">
        <v>588</v>
      </c>
      <c r="N697" t="s">
        <v>272</v>
      </c>
      <c r="O697">
        <v>4155551450</v>
      </c>
      <c r="P697" t="s">
        <v>273</v>
      </c>
      <c r="R697" t="s">
        <v>274</v>
      </c>
      <c r="S697" t="s">
        <v>55</v>
      </c>
      <c r="T697">
        <v>97562</v>
      </c>
      <c r="U697" t="s">
        <v>32</v>
      </c>
      <c r="V697" t="s">
        <v>33</v>
      </c>
      <c r="W697" t="s">
        <v>275</v>
      </c>
      <c r="X697" t="s">
        <v>276</v>
      </c>
      <c r="Y697" t="s">
        <v>36</v>
      </c>
    </row>
    <row r="698" spans="1:25" x14ac:dyDescent="0.25">
      <c r="A698">
        <v>10332</v>
      </c>
      <c r="B698">
        <v>38</v>
      </c>
      <c r="C698">
        <v>84.25</v>
      </c>
      <c r="D698">
        <v>9</v>
      </c>
      <c r="E698">
        <v>3201.5</v>
      </c>
      <c r="F698" s="1">
        <v>38308</v>
      </c>
      <c r="G698" t="s">
        <v>25</v>
      </c>
      <c r="H698">
        <v>4</v>
      </c>
      <c r="I698">
        <v>11</v>
      </c>
      <c r="J698">
        <v>2004</v>
      </c>
      <c r="K698" t="s">
        <v>550</v>
      </c>
      <c r="L698">
        <v>60</v>
      </c>
      <c r="M698" t="s">
        <v>588</v>
      </c>
      <c r="N698" t="s">
        <v>492</v>
      </c>
      <c r="O698" t="s">
        <v>493</v>
      </c>
      <c r="P698" t="s">
        <v>494</v>
      </c>
      <c r="R698" t="s">
        <v>495</v>
      </c>
      <c r="T698" t="s">
        <v>496</v>
      </c>
      <c r="U698" t="s">
        <v>170</v>
      </c>
      <c r="V698" t="s">
        <v>42</v>
      </c>
      <c r="W698" t="s">
        <v>497</v>
      </c>
      <c r="X698" t="s">
        <v>94</v>
      </c>
      <c r="Y698" t="s">
        <v>51</v>
      </c>
    </row>
    <row r="699" spans="1:25" x14ac:dyDescent="0.25">
      <c r="A699">
        <v>10344</v>
      </c>
      <c r="B699">
        <v>40</v>
      </c>
      <c r="C699">
        <v>56.91</v>
      </c>
      <c r="D699">
        <v>2</v>
      </c>
      <c r="E699">
        <v>2276.4</v>
      </c>
      <c r="F699" s="1">
        <v>38316</v>
      </c>
      <c r="G699" t="s">
        <v>25</v>
      </c>
      <c r="H699">
        <v>4</v>
      </c>
      <c r="I699">
        <v>11</v>
      </c>
      <c r="J699">
        <v>2004</v>
      </c>
      <c r="K699" t="s">
        <v>550</v>
      </c>
      <c r="L699">
        <v>60</v>
      </c>
      <c r="M699" t="s">
        <v>588</v>
      </c>
      <c r="N699" t="s">
        <v>433</v>
      </c>
      <c r="O699" t="s">
        <v>434</v>
      </c>
      <c r="P699" t="s">
        <v>435</v>
      </c>
      <c r="R699" t="s">
        <v>436</v>
      </c>
      <c r="T699">
        <v>13008</v>
      </c>
      <c r="U699" t="s">
        <v>41</v>
      </c>
      <c r="V699" t="s">
        <v>42</v>
      </c>
      <c r="W699" t="s">
        <v>437</v>
      </c>
      <c r="X699" t="s">
        <v>438</v>
      </c>
      <c r="Y699" t="s">
        <v>36</v>
      </c>
    </row>
    <row r="700" spans="1:25" x14ac:dyDescent="0.25">
      <c r="A700">
        <v>10367</v>
      </c>
      <c r="B700">
        <v>45</v>
      </c>
      <c r="C700">
        <v>100</v>
      </c>
      <c r="D700">
        <v>4</v>
      </c>
      <c r="E700">
        <v>8884.7999999999993</v>
      </c>
      <c r="F700" s="1">
        <v>38364</v>
      </c>
      <c r="G700" t="s">
        <v>408</v>
      </c>
      <c r="H700">
        <v>1</v>
      </c>
      <c r="I700">
        <v>1</v>
      </c>
      <c r="J700">
        <v>2005</v>
      </c>
      <c r="K700" t="s">
        <v>550</v>
      </c>
      <c r="L700">
        <v>60</v>
      </c>
      <c r="M700" t="s">
        <v>588</v>
      </c>
      <c r="N700" t="s">
        <v>52</v>
      </c>
      <c r="O700">
        <v>6265557265</v>
      </c>
      <c r="P700" t="s">
        <v>53</v>
      </c>
      <c r="R700" t="s">
        <v>54</v>
      </c>
      <c r="S700" t="s">
        <v>55</v>
      </c>
      <c r="T700">
        <v>90003</v>
      </c>
      <c r="U700" t="s">
        <v>32</v>
      </c>
      <c r="V700" t="s">
        <v>33</v>
      </c>
      <c r="W700" t="s">
        <v>56</v>
      </c>
      <c r="X700" t="s">
        <v>57</v>
      </c>
      <c r="Y700" t="s">
        <v>151</v>
      </c>
    </row>
    <row r="701" spans="1:25" x14ac:dyDescent="0.25">
      <c r="A701">
        <v>10379</v>
      </c>
      <c r="B701">
        <v>27</v>
      </c>
      <c r="C701">
        <v>49.3</v>
      </c>
      <c r="D701">
        <v>1</v>
      </c>
      <c r="E701">
        <v>1331.1</v>
      </c>
      <c r="F701" s="1">
        <v>38393</v>
      </c>
      <c r="G701" t="s">
        <v>25</v>
      </c>
      <c r="H701">
        <v>1</v>
      </c>
      <c r="I701">
        <v>2</v>
      </c>
      <c r="J701">
        <v>2005</v>
      </c>
      <c r="K701" t="s">
        <v>550</v>
      </c>
      <c r="L701">
        <v>60</v>
      </c>
      <c r="M701" t="s">
        <v>588</v>
      </c>
      <c r="N701" t="s">
        <v>174</v>
      </c>
      <c r="O701" t="s">
        <v>175</v>
      </c>
      <c r="P701" t="s">
        <v>176</v>
      </c>
      <c r="R701" t="s">
        <v>177</v>
      </c>
      <c r="T701">
        <v>28034</v>
      </c>
      <c r="U701" t="s">
        <v>178</v>
      </c>
      <c r="V701" t="s">
        <v>42</v>
      </c>
      <c r="W701" t="s">
        <v>179</v>
      </c>
      <c r="X701" t="s">
        <v>180</v>
      </c>
      <c r="Y701" t="s">
        <v>36</v>
      </c>
    </row>
    <row r="702" spans="1:25" x14ac:dyDescent="0.25">
      <c r="A702">
        <v>10407</v>
      </c>
      <c r="B702">
        <v>42</v>
      </c>
      <c r="C702">
        <v>72.650000000000006</v>
      </c>
      <c r="D702">
        <v>1</v>
      </c>
      <c r="E702">
        <v>3051.3</v>
      </c>
      <c r="F702" s="1">
        <v>38464</v>
      </c>
      <c r="G702" t="s">
        <v>401</v>
      </c>
      <c r="H702">
        <v>2</v>
      </c>
      <c r="I702">
        <v>4</v>
      </c>
      <c r="J702">
        <v>2005</v>
      </c>
      <c r="K702" t="s">
        <v>550</v>
      </c>
      <c r="L702">
        <v>60</v>
      </c>
      <c r="M702" t="s">
        <v>588</v>
      </c>
      <c r="N702" t="s">
        <v>397</v>
      </c>
      <c r="O702">
        <v>4085553659</v>
      </c>
      <c r="P702" t="s">
        <v>398</v>
      </c>
      <c r="R702" t="s">
        <v>399</v>
      </c>
      <c r="S702" t="s">
        <v>55</v>
      </c>
      <c r="T702">
        <v>94217</v>
      </c>
      <c r="U702" t="s">
        <v>32</v>
      </c>
      <c r="V702" t="s">
        <v>33</v>
      </c>
      <c r="W702" t="s">
        <v>102</v>
      </c>
      <c r="X702" t="s">
        <v>400</v>
      </c>
      <c r="Y702" t="s">
        <v>51</v>
      </c>
    </row>
    <row r="703" spans="1:25" x14ac:dyDescent="0.25">
      <c r="A703">
        <v>10420</v>
      </c>
      <c r="B703">
        <v>36</v>
      </c>
      <c r="C703">
        <v>63.57</v>
      </c>
      <c r="D703">
        <v>4</v>
      </c>
      <c r="E703">
        <v>2288.52</v>
      </c>
      <c r="F703" s="1">
        <v>38501</v>
      </c>
      <c r="G703" t="s">
        <v>300</v>
      </c>
      <c r="H703">
        <v>2</v>
      </c>
      <c r="I703">
        <v>5</v>
      </c>
      <c r="J703">
        <v>2005</v>
      </c>
      <c r="K703" t="s">
        <v>550</v>
      </c>
      <c r="L703">
        <v>60</v>
      </c>
      <c r="M703" t="s">
        <v>588</v>
      </c>
      <c r="N703" t="s">
        <v>152</v>
      </c>
      <c r="O703" t="s">
        <v>153</v>
      </c>
      <c r="P703" t="s">
        <v>154</v>
      </c>
      <c r="Q703" t="s">
        <v>155</v>
      </c>
      <c r="R703" t="s">
        <v>156</v>
      </c>
      <c r="S703" t="s">
        <v>157</v>
      </c>
      <c r="T703">
        <v>2067</v>
      </c>
      <c r="U703" t="s">
        <v>95</v>
      </c>
      <c r="V703" t="s">
        <v>96</v>
      </c>
      <c r="W703" t="s">
        <v>158</v>
      </c>
      <c r="X703" t="s">
        <v>159</v>
      </c>
      <c r="Y703" t="s">
        <v>36</v>
      </c>
    </row>
    <row r="704" spans="1:25" x14ac:dyDescent="0.25">
      <c r="A704">
        <v>10104</v>
      </c>
      <c r="B704">
        <v>29</v>
      </c>
      <c r="C704">
        <v>100</v>
      </c>
      <c r="D704">
        <v>12</v>
      </c>
      <c r="E704">
        <v>3772.61</v>
      </c>
      <c r="F704" s="1">
        <v>37652</v>
      </c>
      <c r="G704" t="s">
        <v>25</v>
      </c>
      <c r="H704">
        <v>1</v>
      </c>
      <c r="I704">
        <v>1</v>
      </c>
      <c r="J704">
        <v>2003</v>
      </c>
      <c r="K704" t="s">
        <v>504</v>
      </c>
      <c r="L704">
        <v>122</v>
      </c>
      <c r="M704" t="s">
        <v>589</v>
      </c>
      <c r="N704" t="s">
        <v>174</v>
      </c>
      <c r="O704" t="s">
        <v>175</v>
      </c>
      <c r="P704" t="s">
        <v>176</v>
      </c>
      <c r="R704" t="s">
        <v>177</v>
      </c>
      <c r="T704">
        <v>28034</v>
      </c>
      <c r="U704" t="s">
        <v>178</v>
      </c>
      <c r="V704" t="s">
        <v>42</v>
      </c>
      <c r="W704" t="s">
        <v>179</v>
      </c>
      <c r="X704" t="s">
        <v>180</v>
      </c>
      <c r="Y704" t="s">
        <v>51</v>
      </c>
    </row>
    <row r="705" spans="1:25" x14ac:dyDescent="0.25">
      <c r="A705">
        <v>10114</v>
      </c>
      <c r="B705">
        <v>39</v>
      </c>
      <c r="C705">
        <v>100</v>
      </c>
      <c r="D705">
        <v>3</v>
      </c>
      <c r="E705">
        <v>4164.42</v>
      </c>
      <c r="F705" s="1">
        <v>37712</v>
      </c>
      <c r="G705" t="s">
        <v>25</v>
      </c>
      <c r="H705">
        <v>2</v>
      </c>
      <c r="I705">
        <v>4</v>
      </c>
      <c r="J705">
        <v>2003</v>
      </c>
      <c r="K705" t="s">
        <v>504</v>
      </c>
      <c r="L705">
        <v>122</v>
      </c>
      <c r="M705" t="s">
        <v>589</v>
      </c>
      <c r="N705" t="s">
        <v>403</v>
      </c>
      <c r="O705" t="s">
        <v>404</v>
      </c>
      <c r="P705" t="s">
        <v>405</v>
      </c>
      <c r="R705" t="s">
        <v>48</v>
      </c>
      <c r="T705">
        <v>75012</v>
      </c>
      <c r="U705" t="s">
        <v>41</v>
      </c>
      <c r="V705" t="s">
        <v>42</v>
      </c>
      <c r="W705" t="s">
        <v>406</v>
      </c>
      <c r="X705" t="s">
        <v>407</v>
      </c>
      <c r="Y705" t="s">
        <v>51</v>
      </c>
    </row>
    <row r="706" spans="1:25" x14ac:dyDescent="0.25">
      <c r="A706">
        <v>10127</v>
      </c>
      <c r="B706">
        <v>45</v>
      </c>
      <c r="C706">
        <v>100</v>
      </c>
      <c r="D706">
        <v>14</v>
      </c>
      <c r="E706">
        <v>6295.95</v>
      </c>
      <c r="F706" s="1">
        <v>37775</v>
      </c>
      <c r="G706" t="s">
        <v>25</v>
      </c>
      <c r="H706">
        <v>2</v>
      </c>
      <c r="I706">
        <v>6</v>
      </c>
      <c r="J706">
        <v>2003</v>
      </c>
      <c r="K706" t="s">
        <v>504</v>
      </c>
      <c r="L706">
        <v>122</v>
      </c>
      <c r="M706" t="s">
        <v>589</v>
      </c>
      <c r="N706" t="s">
        <v>475</v>
      </c>
      <c r="O706">
        <v>2125557413</v>
      </c>
      <c r="P706" t="s">
        <v>476</v>
      </c>
      <c r="Q706" t="s">
        <v>477</v>
      </c>
      <c r="R706" t="s">
        <v>30</v>
      </c>
      <c r="S706" t="s">
        <v>31</v>
      </c>
      <c r="T706">
        <v>10022</v>
      </c>
      <c r="U706" t="s">
        <v>32</v>
      </c>
      <c r="V706" t="s">
        <v>33</v>
      </c>
      <c r="W706" t="s">
        <v>56</v>
      </c>
      <c r="X706" t="s">
        <v>478</v>
      </c>
      <c r="Y706" t="s">
        <v>51</v>
      </c>
    </row>
    <row r="707" spans="1:25" x14ac:dyDescent="0.25">
      <c r="A707">
        <v>10141</v>
      </c>
      <c r="B707">
        <v>47</v>
      </c>
      <c r="C707">
        <v>100</v>
      </c>
      <c r="D707">
        <v>8</v>
      </c>
      <c r="E707">
        <v>6287.66</v>
      </c>
      <c r="F707" s="1">
        <v>37834</v>
      </c>
      <c r="G707" t="s">
        <v>25</v>
      </c>
      <c r="H707">
        <v>3</v>
      </c>
      <c r="I707">
        <v>8</v>
      </c>
      <c r="J707">
        <v>2003</v>
      </c>
      <c r="K707" t="s">
        <v>504</v>
      </c>
      <c r="L707">
        <v>122</v>
      </c>
      <c r="M707" t="s">
        <v>589</v>
      </c>
      <c r="N707" t="s">
        <v>467</v>
      </c>
      <c r="O707" t="s">
        <v>468</v>
      </c>
      <c r="P707" t="s">
        <v>469</v>
      </c>
      <c r="R707" t="s">
        <v>470</v>
      </c>
      <c r="T707" t="s">
        <v>471</v>
      </c>
      <c r="U707" t="s">
        <v>130</v>
      </c>
      <c r="V707" t="s">
        <v>42</v>
      </c>
      <c r="W707" t="s">
        <v>472</v>
      </c>
      <c r="X707" t="s">
        <v>473</v>
      </c>
      <c r="Y707" t="s">
        <v>51</v>
      </c>
    </row>
    <row r="708" spans="1:25" x14ac:dyDescent="0.25">
      <c r="A708">
        <v>10151</v>
      </c>
      <c r="B708">
        <v>49</v>
      </c>
      <c r="C708">
        <v>100</v>
      </c>
      <c r="D708">
        <v>6</v>
      </c>
      <c r="E708">
        <v>5412.54</v>
      </c>
      <c r="F708" s="1">
        <v>37885</v>
      </c>
      <c r="G708" t="s">
        <v>25</v>
      </c>
      <c r="H708">
        <v>3</v>
      </c>
      <c r="I708">
        <v>9</v>
      </c>
      <c r="J708">
        <v>2003</v>
      </c>
      <c r="K708" t="s">
        <v>504</v>
      </c>
      <c r="L708">
        <v>122</v>
      </c>
      <c r="M708" t="s">
        <v>589</v>
      </c>
      <c r="N708" t="s">
        <v>391</v>
      </c>
      <c r="O708" t="s">
        <v>392</v>
      </c>
      <c r="P708" t="s">
        <v>393</v>
      </c>
      <c r="R708" t="s">
        <v>394</v>
      </c>
      <c r="T708">
        <v>90110</v>
      </c>
      <c r="U708" t="s">
        <v>130</v>
      </c>
      <c r="V708" t="s">
        <v>42</v>
      </c>
      <c r="W708" t="s">
        <v>395</v>
      </c>
      <c r="X708" t="s">
        <v>396</v>
      </c>
      <c r="Y708" t="s">
        <v>51</v>
      </c>
    </row>
    <row r="709" spans="1:25" x14ac:dyDescent="0.25">
      <c r="A709">
        <v>10165</v>
      </c>
      <c r="B709">
        <v>46</v>
      </c>
      <c r="C709">
        <v>100</v>
      </c>
      <c r="D709">
        <v>15</v>
      </c>
      <c r="E709">
        <v>5984.14</v>
      </c>
      <c r="F709" s="1">
        <v>37916</v>
      </c>
      <c r="G709" t="s">
        <v>25</v>
      </c>
      <c r="H709">
        <v>4</v>
      </c>
      <c r="I709">
        <v>10</v>
      </c>
      <c r="J709">
        <v>2003</v>
      </c>
      <c r="K709" t="s">
        <v>504</v>
      </c>
      <c r="L709">
        <v>122</v>
      </c>
      <c r="M709" t="s">
        <v>589</v>
      </c>
      <c r="N709" t="s">
        <v>196</v>
      </c>
      <c r="O709" t="s">
        <v>197</v>
      </c>
      <c r="P709" t="s">
        <v>198</v>
      </c>
      <c r="R709" t="s">
        <v>199</v>
      </c>
      <c r="T709">
        <v>79903</v>
      </c>
      <c r="U709" t="s">
        <v>199</v>
      </c>
      <c r="V709" t="s">
        <v>200</v>
      </c>
      <c r="W709" t="s">
        <v>201</v>
      </c>
      <c r="X709" t="s">
        <v>202</v>
      </c>
      <c r="Y709" t="s">
        <v>51</v>
      </c>
    </row>
    <row r="710" spans="1:25" x14ac:dyDescent="0.25">
      <c r="A710">
        <v>10175</v>
      </c>
      <c r="B710">
        <v>48</v>
      </c>
      <c r="C710">
        <v>100</v>
      </c>
      <c r="D710">
        <v>4</v>
      </c>
      <c r="E710">
        <v>5891.04</v>
      </c>
      <c r="F710" s="1">
        <v>37931</v>
      </c>
      <c r="G710" t="s">
        <v>25</v>
      </c>
      <c r="H710">
        <v>4</v>
      </c>
      <c r="I710">
        <v>11</v>
      </c>
      <c r="J710">
        <v>2003</v>
      </c>
      <c r="K710" t="s">
        <v>504</v>
      </c>
      <c r="L710">
        <v>122</v>
      </c>
      <c r="M710" t="s">
        <v>589</v>
      </c>
      <c r="N710" t="s">
        <v>329</v>
      </c>
      <c r="O710" t="s">
        <v>330</v>
      </c>
      <c r="P710" t="s">
        <v>331</v>
      </c>
      <c r="R710" t="s">
        <v>332</v>
      </c>
      <c r="T710" t="s">
        <v>333</v>
      </c>
      <c r="U710" t="s">
        <v>170</v>
      </c>
      <c r="V710" t="s">
        <v>42</v>
      </c>
      <c r="W710" t="s">
        <v>61</v>
      </c>
      <c r="X710" t="s">
        <v>334</v>
      </c>
      <c r="Y710" t="s">
        <v>51</v>
      </c>
    </row>
    <row r="711" spans="1:25" x14ac:dyDescent="0.25">
      <c r="A711">
        <v>10184</v>
      </c>
      <c r="B711">
        <v>46</v>
      </c>
      <c r="C711">
        <v>100</v>
      </c>
      <c r="D711">
        <v>9</v>
      </c>
      <c r="E711">
        <v>5984.14</v>
      </c>
      <c r="F711" s="1">
        <v>37939</v>
      </c>
      <c r="G711" t="s">
        <v>25</v>
      </c>
      <c r="H711">
        <v>4</v>
      </c>
      <c r="I711">
        <v>11</v>
      </c>
      <c r="J711">
        <v>2003</v>
      </c>
      <c r="K711" t="s">
        <v>504</v>
      </c>
      <c r="L711">
        <v>122</v>
      </c>
      <c r="M711" t="s">
        <v>589</v>
      </c>
      <c r="N711" t="s">
        <v>520</v>
      </c>
      <c r="O711" t="s">
        <v>521</v>
      </c>
      <c r="P711" t="s">
        <v>522</v>
      </c>
      <c r="R711" t="s">
        <v>523</v>
      </c>
      <c r="T711">
        <v>41101</v>
      </c>
      <c r="U711" t="s">
        <v>178</v>
      </c>
      <c r="V711" t="s">
        <v>42</v>
      </c>
      <c r="W711" t="s">
        <v>524</v>
      </c>
      <c r="X711" t="s">
        <v>525</v>
      </c>
      <c r="Y711" t="s">
        <v>51</v>
      </c>
    </row>
    <row r="712" spans="1:25" x14ac:dyDescent="0.25">
      <c r="A712">
        <v>10195</v>
      </c>
      <c r="B712">
        <v>35</v>
      </c>
      <c r="C712">
        <v>100</v>
      </c>
      <c r="D712">
        <v>9</v>
      </c>
      <c r="E712">
        <v>3608.15</v>
      </c>
      <c r="F712" s="1">
        <v>37950</v>
      </c>
      <c r="G712" t="s">
        <v>25</v>
      </c>
      <c r="H712">
        <v>4</v>
      </c>
      <c r="I712">
        <v>11</v>
      </c>
      <c r="J712">
        <v>2003</v>
      </c>
      <c r="K712" t="s">
        <v>504</v>
      </c>
      <c r="L712">
        <v>122</v>
      </c>
      <c r="M712" t="s">
        <v>589</v>
      </c>
      <c r="N712" t="s">
        <v>317</v>
      </c>
      <c r="O712">
        <v>9145554562</v>
      </c>
      <c r="P712" t="s">
        <v>318</v>
      </c>
      <c r="R712" t="s">
        <v>319</v>
      </c>
      <c r="S712" t="s">
        <v>31</v>
      </c>
      <c r="T712">
        <v>24067</v>
      </c>
      <c r="U712" t="s">
        <v>32</v>
      </c>
      <c r="V712" t="s">
        <v>33</v>
      </c>
      <c r="W712" t="s">
        <v>102</v>
      </c>
      <c r="X712" t="s">
        <v>238</v>
      </c>
      <c r="Y712" t="s">
        <v>51</v>
      </c>
    </row>
    <row r="713" spans="1:25" x14ac:dyDescent="0.25">
      <c r="A713">
        <v>10207</v>
      </c>
      <c r="B713">
        <v>43</v>
      </c>
      <c r="C713">
        <v>100</v>
      </c>
      <c r="D713">
        <v>10</v>
      </c>
      <c r="E713">
        <v>5752.54</v>
      </c>
      <c r="F713" s="1">
        <v>37964</v>
      </c>
      <c r="G713" t="s">
        <v>25</v>
      </c>
      <c r="H713">
        <v>4</v>
      </c>
      <c r="I713">
        <v>12</v>
      </c>
      <c r="J713">
        <v>2003</v>
      </c>
      <c r="K713" t="s">
        <v>504</v>
      </c>
      <c r="L713">
        <v>122</v>
      </c>
      <c r="M713" t="s">
        <v>589</v>
      </c>
      <c r="N713" t="s">
        <v>415</v>
      </c>
      <c r="O713">
        <v>6175552555</v>
      </c>
      <c r="P713" t="s">
        <v>416</v>
      </c>
      <c r="R713" t="s">
        <v>381</v>
      </c>
      <c r="S713" t="s">
        <v>123</v>
      </c>
      <c r="T713">
        <v>51003</v>
      </c>
      <c r="U713" t="s">
        <v>32</v>
      </c>
      <c r="V713" t="s">
        <v>33</v>
      </c>
      <c r="W713" t="s">
        <v>417</v>
      </c>
      <c r="X713" t="s">
        <v>276</v>
      </c>
      <c r="Y713" t="s">
        <v>51</v>
      </c>
    </row>
    <row r="714" spans="1:25" x14ac:dyDescent="0.25">
      <c r="A714">
        <v>10229</v>
      </c>
      <c r="B714">
        <v>26</v>
      </c>
      <c r="C714">
        <v>100</v>
      </c>
      <c r="D714">
        <v>4</v>
      </c>
      <c r="E714">
        <v>3765.32</v>
      </c>
      <c r="F714" s="1">
        <v>38057</v>
      </c>
      <c r="G714" t="s">
        <v>25</v>
      </c>
      <c r="H714">
        <v>1</v>
      </c>
      <c r="I714">
        <v>3</v>
      </c>
      <c r="J714">
        <v>2004</v>
      </c>
      <c r="K714" t="s">
        <v>504</v>
      </c>
      <c r="L714">
        <v>122</v>
      </c>
      <c r="M714" t="s">
        <v>589</v>
      </c>
      <c r="N714" t="s">
        <v>272</v>
      </c>
      <c r="O714">
        <v>4155551450</v>
      </c>
      <c r="P714" t="s">
        <v>273</v>
      </c>
      <c r="R714" t="s">
        <v>274</v>
      </c>
      <c r="S714" t="s">
        <v>55</v>
      </c>
      <c r="T714">
        <v>97562</v>
      </c>
      <c r="U714" t="s">
        <v>32</v>
      </c>
      <c r="V714" t="s">
        <v>33</v>
      </c>
      <c r="W714" t="s">
        <v>275</v>
      </c>
      <c r="X714" t="s">
        <v>276</v>
      </c>
      <c r="Y714" t="s">
        <v>51</v>
      </c>
    </row>
    <row r="715" spans="1:25" x14ac:dyDescent="0.25">
      <c r="A715">
        <v>10246</v>
      </c>
      <c r="B715">
        <v>22</v>
      </c>
      <c r="C715">
        <v>98.18</v>
      </c>
      <c r="D715">
        <v>8</v>
      </c>
      <c r="E715">
        <v>2159.96</v>
      </c>
      <c r="F715" s="1">
        <v>38112</v>
      </c>
      <c r="G715" t="s">
        <v>25</v>
      </c>
      <c r="H715">
        <v>2</v>
      </c>
      <c r="I715">
        <v>5</v>
      </c>
      <c r="J715">
        <v>2004</v>
      </c>
      <c r="K715" t="s">
        <v>504</v>
      </c>
      <c r="L715">
        <v>122</v>
      </c>
      <c r="M715" t="s">
        <v>589</v>
      </c>
      <c r="N715" t="s">
        <v>174</v>
      </c>
      <c r="O715" t="s">
        <v>175</v>
      </c>
      <c r="P715" t="s">
        <v>176</v>
      </c>
      <c r="R715" t="s">
        <v>177</v>
      </c>
      <c r="T715">
        <v>28034</v>
      </c>
      <c r="U715" t="s">
        <v>178</v>
      </c>
      <c r="V715" t="s">
        <v>42</v>
      </c>
      <c r="W715" t="s">
        <v>179</v>
      </c>
      <c r="X715" t="s">
        <v>180</v>
      </c>
      <c r="Y715" t="s">
        <v>36</v>
      </c>
    </row>
    <row r="716" spans="1:25" x14ac:dyDescent="0.25">
      <c r="A716">
        <v>10259</v>
      </c>
      <c r="B716">
        <v>34</v>
      </c>
      <c r="C716">
        <v>99.41</v>
      </c>
      <c r="D716">
        <v>7</v>
      </c>
      <c r="E716">
        <v>3379.94</v>
      </c>
      <c r="F716" s="1">
        <v>38153</v>
      </c>
      <c r="G716" t="s">
        <v>25</v>
      </c>
      <c r="H716">
        <v>2</v>
      </c>
      <c r="I716">
        <v>6</v>
      </c>
      <c r="J716">
        <v>2004</v>
      </c>
      <c r="K716" t="s">
        <v>504</v>
      </c>
      <c r="L716">
        <v>122</v>
      </c>
      <c r="M716" t="s">
        <v>589</v>
      </c>
      <c r="N716" t="s">
        <v>418</v>
      </c>
      <c r="O716" t="s">
        <v>419</v>
      </c>
      <c r="P716" t="s">
        <v>420</v>
      </c>
      <c r="Q716" t="s">
        <v>421</v>
      </c>
      <c r="R716" t="s">
        <v>199</v>
      </c>
      <c r="T716">
        <v>69045</v>
      </c>
      <c r="U716" t="s">
        <v>199</v>
      </c>
      <c r="V716" t="s">
        <v>96</v>
      </c>
      <c r="W716" t="s">
        <v>422</v>
      </c>
      <c r="X716" t="s">
        <v>423</v>
      </c>
      <c r="Y716" t="s">
        <v>51</v>
      </c>
    </row>
    <row r="717" spans="1:25" x14ac:dyDescent="0.25">
      <c r="A717">
        <v>10271</v>
      </c>
      <c r="B717">
        <v>50</v>
      </c>
      <c r="C717">
        <v>100</v>
      </c>
      <c r="D717">
        <v>8</v>
      </c>
      <c r="E717">
        <v>5093.5</v>
      </c>
      <c r="F717" s="1">
        <v>38188</v>
      </c>
      <c r="G717" t="s">
        <v>25</v>
      </c>
      <c r="H717">
        <v>3</v>
      </c>
      <c r="I717">
        <v>7</v>
      </c>
      <c r="J717">
        <v>2004</v>
      </c>
      <c r="K717" t="s">
        <v>504</v>
      </c>
      <c r="L717">
        <v>122</v>
      </c>
      <c r="M717" t="s">
        <v>589</v>
      </c>
      <c r="N717" t="s">
        <v>272</v>
      </c>
      <c r="O717">
        <v>4155551450</v>
      </c>
      <c r="P717" t="s">
        <v>273</v>
      </c>
      <c r="R717" t="s">
        <v>274</v>
      </c>
      <c r="S717" t="s">
        <v>55</v>
      </c>
      <c r="T717">
        <v>97562</v>
      </c>
      <c r="U717" t="s">
        <v>32</v>
      </c>
      <c r="V717" t="s">
        <v>33</v>
      </c>
      <c r="W717" t="s">
        <v>275</v>
      </c>
      <c r="X717" t="s">
        <v>276</v>
      </c>
      <c r="Y717" t="s">
        <v>51</v>
      </c>
    </row>
    <row r="718" spans="1:25" x14ac:dyDescent="0.25">
      <c r="A718">
        <v>10281</v>
      </c>
      <c r="B718">
        <v>48</v>
      </c>
      <c r="C718">
        <v>100</v>
      </c>
      <c r="D718">
        <v>4</v>
      </c>
      <c r="E718">
        <v>5773.44</v>
      </c>
      <c r="F718" s="1">
        <v>38218</v>
      </c>
      <c r="G718" t="s">
        <v>25</v>
      </c>
      <c r="H718">
        <v>3</v>
      </c>
      <c r="I718">
        <v>8</v>
      </c>
      <c r="J718">
        <v>2004</v>
      </c>
      <c r="K718" t="s">
        <v>504</v>
      </c>
      <c r="L718">
        <v>122</v>
      </c>
      <c r="M718" t="s">
        <v>589</v>
      </c>
      <c r="N718" t="s">
        <v>139</v>
      </c>
      <c r="O718">
        <v>2155551555</v>
      </c>
      <c r="P718" t="s">
        <v>140</v>
      </c>
      <c r="R718" t="s">
        <v>141</v>
      </c>
      <c r="S718" t="s">
        <v>142</v>
      </c>
      <c r="T718">
        <v>70267</v>
      </c>
      <c r="U718" t="s">
        <v>32</v>
      </c>
      <c r="V718" t="s">
        <v>33</v>
      </c>
      <c r="W718" t="s">
        <v>34</v>
      </c>
      <c r="X718" t="s">
        <v>143</v>
      </c>
      <c r="Y718" t="s">
        <v>51</v>
      </c>
    </row>
    <row r="719" spans="1:25" x14ac:dyDescent="0.25">
      <c r="A719">
        <v>10292</v>
      </c>
      <c r="B719">
        <v>41</v>
      </c>
      <c r="C719">
        <v>100</v>
      </c>
      <c r="D719">
        <v>11</v>
      </c>
      <c r="E719">
        <v>4528.8599999999997</v>
      </c>
      <c r="F719" s="1">
        <v>38238</v>
      </c>
      <c r="G719" t="s">
        <v>25</v>
      </c>
      <c r="H719">
        <v>3</v>
      </c>
      <c r="I719">
        <v>9</v>
      </c>
      <c r="J719">
        <v>2004</v>
      </c>
      <c r="K719" t="s">
        <v>504</v>
      </c>
      <c r="L719">
        <v>122</v>
      </c>
      <c r="M719" t="s">
        <v>589</v>
      </c>
      <c r="N719" t="s">
        <v>28</v>
      </c>
      <c r="O719">
        <v>2125557818</v>
      </c>
      <c r="P719" t="s">
        <v>29</v>
      </c>
      <c r="R719" t="s">
        <v>30</v>
      </c>
      <c r="S719" t="s">
        <v>31</v>
      </c>
      <c r="T719">
        <v>10022</v>
      </c>
      <c r="U719" t="s">
        <v>32</v>
      </c>
      <c r="V719" t="s">
        <v>33</v>
      </c>
      <c r="W719" t="s">
        <v>34</v>
      </c>
      <c r="X719" t="s">
        <v>35</v>
      </c>
      <c r="Y719" t="s">
        <v>51</v>
      </c>
    </row>
    <row r="720" spans="1:25" x14ac:dyDescent="0.25">
      <c r="A720">
        <v>10305</v>
      </c>
      <c r="B720">
        <v>36</v>
      </c>
      <c r="C720">
        <v>100</v>
      </c>
      <c r="D720">
        <v>8</v>
      </c>
      <c r="E720">
        <v>4816.08</v>
      </c>
      <c r="F720" s="1">
        <v>38273</v>
      </c>
      <c r="G720" t="s">
        <v>25</v>
      </c>
      <c r="H720">
        <v>4</v>
      </c>
      <c r="I720">
        <v>10</v>
      </c>
      <c r="J720">
        <v>2004</v>
      </c>
      <c r="K720" t="s">
        <v>504</v>
      </c>
      <c r="L720">
        <v>122</v>
      </c>
      <c r="M720" t="s">
        <v>589</v>
      </c>
      <c r="N720" t="s">
        <v>120</v>
      </c>
      <c r="O720">
        <v>6175558555</v>
      </c>
      <c r="P720" t="s">
        <v>121</v>
      </c>
      <c r="R720" t="s">
        <v>122</v>
      </c>
      <c r="S720" t="s">
        <v>123</v>
      </c>
      <c r="T720">
        <v>51247</v>
      </c>
      <c r="U720" t="s">
        <v>32</v>
      </c>
      <c r="V720" t="s">
        <v>33</v>
      </c>
      <c r="W720" t="s">
        <v>124</v>
      </c>
      <c r="X720" t="s">
        <v>125</v>
      </c>
      <c r="Y720" t="s">
        <v>51</v>
      </c>
    </row>
    <row r="721" spans="1:25" x14ac:dyDescent="0.25">
      <c r="A721">
        <v>10313</v>
      </c>
      <c r="B721">
        <v>29</v>
      </c>
      <c r="C721">
        <v>100</v>
      </c>
      <c r="D721">
        <v>2</v>
      </c>
      <c r="E721">
        <v>3416.78</v>
      </c>
      <c r="F721" s="1">
        <v>38282</v>
      </c>
      <c r="G721" t="s">
        <v>25</v>
      </c>
      <c r="H721">
        <v>4</v>
      </c>
      <c r="I721">
        <v>10</v>
      </c>
      <c r="J721">
        <v>2004</v>
      </c>
      <c r="K721" t="s">
        <v>504</v>
      </c>
      <c r="L721">
        <v>122</v>
      </c>
      <c r="M721" t="s">
        <v>589</v>
      </c>
      <c r="N721" t="s">
        <v>225</v>
      </c>
      <c r="O721" t="s">
        <v>226</v>
      </c>
      <c r="P721" t="s">
        <v>227</v>
      </c>
      <c r="R721" t="s">
        <v>228</v>
      </c>
      <c r="S721" t="s">
        <v>229</v>
      </c>
      <c r="T721" t="s">
        <v>230</v>
      </c>
      <c r="U721" t="s">
        <v>231</v>
      </c>
      <c r="V721" t="s">
        <v>33</v>
      </c>
      <c r="W721" t="s">
        <v>232</v>
      </c>
      <c r="X721" t="s">
        <v>233</v>
      </c>
      <c r="Y721" t="s">
        <v>51</v>
      </c>
    </row>
    <row r="722" spans="1:25" x14ac:dyDescent="0.25">
      <c r="A722">
        <v>10324</v>
      </c>
      <c r="B722">
        <v>33</v>
      </c>
      <c r="C722">
        <v>37.479999999999997</v>
      </c>
      <c r="D722">
        <v>10</v>
      </c>
      <c r="E722">
        <v>1236.8399999999999</v>
      </c>
      <c r="F722" s="1">
        <v>38296</v>
      </c>
      <c r="G722" t="s">
        <v>25</v>
      </c>
      <c r="H722">
        <v>4</v>
      </c>
      <c r="I722">
        <v>11</v>
      </c>
      <c r="J722">
        <v>2004</v>
      </c>
      <c r="K722" t="s">
        <v>504</v>
      </c>
      <c r="L722">
        <v>122</v>
      </c>
      <c r="M722" t="s">
        <v>589</v>
      </c>
      <c r="N722" t="s">
        <v>99</v>
      </c>
      <c r="O722">
        <v>2125551500</v>
      </c>
      <c r="P722" t="s">
        <v>100</v>
      </c>
      <c r="Q722" t="s">
        <v>101</v>
      </c>
      <c r="R722" t="s">
        <v>30</v>
      </c>
      <c r="S722" t="s">
        <v>31</v>
      </c>
      <c r="T722">
        <v>10022</v>
      </c>
      <c r="U722" t="s">
        <v>32</v>
      </c>
      <c r="V722" t="s">
        <v>33</v>
      </c>
      <c r="W722" t="s">
        <v>102</v>
      </c>
      <c r="X722" t="s">
        <v>103</v>
      </c>
      <c r="Y722" t="s">
        <v>36</v>
      </c>
    </row>
    <row r="723" spans="1:25" x14ac:dyDescent="0.25">
      <c r="A723">
        <v>10334</v>
      </c>
      <c r="B723">
        <v>46</v>
      </c>
      <c r="C723">
        <v>100</v>
      </c>
      <c r="D723">
        <v>6</v>
      </c>
      <c r="E723">
        <v>5814.86</v>
      </c>
      <c r="F723" s="1">
        <v>38310</v>
      </c>
      <c r="G723" t="s">
        <v>401</v>
      </c>
      <c r="H723">
        <v>4</v>
      </c>
      <c r="I723">
        <v>11</v>
      </c>
      <c r="J723">
        <v>2004</v>
      </c>
      <c r="K723" t="s">
        <v>504</v>
      </c>
      <c r="L723">
        <v>122</v>
      </c>
      <c r="M723" t="s">
        <v>589</v>
      </c>
      <c r="N723" t="s">
        <v>183</v>
      </c>
      <c r="O723" t="s">
        <v>184</v>
      </c>
      <c r="P723" t="s">
        <v>185</v>
      </c>
      <c r="R723" t="s">
        <v>186</v>
      </c>
      <c r="T723" t="s">
        <v>187</v>
      </c>
      <c r="U723" t="s">
        <v>188</v>
      </c>
      <c r="V723" t="s">
        <v>42</v>
      </c>
      <c r="W723" t="s">
        <v>189</v>
      </c>
      <c r="X723" t="s">
        <v>190</v>
      </c>
      <c r="Y723" t="s">
        <v>51</v>
      </c>
    </row>
    <row r="724" spans="1:25" x14ac:dyDescent="0.25">
      <c r="A724">
        <v>10349</v>
      </c>
      <c r="B724">
        <v>38</v>
      </c>
      <c r="C724">
        <v>100</v>
      </c>
      <c r="D724">
        <v>7</v>
      </c>
      <c r="E724">
        <v>5223.4799999999996</v>
      </c>
      <c r="F724" s="1">
        <v>38322</v>
      </c>
      <c r="G724" t="s">
        <v>25</v>
      </c>
      <c r="H724">
        <v>4</v>
      </c>
      <c r="I724">
        <v>12</v>
      </c>
      <c r="J724">
        <v>2004</v>
      </c>
      <c r="K724" t="s">
        <v>504</v>
      </c>
      <c r="L724">
        <v>122</v>
      </c>
      <c r="M724" t="s">
        <v>589</v>
      </c>
      <c r="N724" t="s">
        <v>475</v>
      </c>
      <c r="O724">
        <v>2125557413</v>
      </c>
      <c r="P724" t="s">
        <v>476</v>
      </c>
      <c r="Q724" t="s">
        <v>477</v>
      </c>
      <c r="R724" t="s">
        <v>30</v>
      </c>
      <c r="S724" t="s">
        <v>31</v>
      </c>
      <c r="T724">
        <v>10022</v>
      </c>
      <c r="U724" t="s">
        <v>32</v>
      </c>
      <c r="V724" t="s">
        <v>33</v>
      </c>
      <c r="W724" t="s">
        <v>56</v>
      </c>
      <c r="X724" t="s">
        <v>478</v>
      </c>
      <c r="Y724" t="s">
        <v>51</v>
      </c>
    </row>
    <row r="725" spans="1:25" x14ac:dyDescent="0.25">
      <c r="A725">
        <v>10358</v>
      </c>
      <c r="B725">
        <v>20</v>
      </c>
      <c r="C725">
        <v>36.42</v>
      </c>
      <c r="D725">
        <v>11</v>
      </c>
      <c r="E725">
        <v>728.4</v>
      </c>
      <c r="F725" s="1">
        <v>38331</v>
      </c>
      <c r="G725" t="s">
        <v>25</v>
      </c>
      <c r="H725">
        <v>4</v>
      </c>
      <c r="I725">
        <v>12</v>
      </c>
      <c r="J725">
        <v>2004</v>
      </c>
      <c r="K725" t="s">
        <v>504</v>
      </c>
      <c r="L725">
        <v>122</v>
      </c>
      <c r="M725" t="s">
        <v>589</v>
      </c>
      <c r="N725" t="s">
        <v>174</v>
      </c>
      <c r="O725" t="s">
        <v>175</v>
      </c>
      <c r="P725" t="s">
        <v>176</v>
      </c>
      <c r="R725" t="s">
        <v>177</v>
      </c>
      <c r="T725">
        <v>28034</v>
      </c>
      <c r="U725" t="s">
        <v>178</v>
      </c>
      <c r="V725" t="s">
        <v>42</v>
      </c>
      <c r="W725" t="s">
        <v>179</v>
      </c>
      <c r="X725" t="s">
        <v>180</v>
      </c>
      <c r="Y725" t="s">
        <v>36</v>
      </c>
    </row>
    <row r="726" spans="1:25" x14ac:dyDescent="0.25">
      <c r="A726">
        <v>10370</v>
      </c>
      <c r="B726">
        <v>22</v>
      </c>
      <c r="C726">
        <v>100</v>
      </c>
      <c r="D726">
        <v>5</v>
      </c>
      <c r="E726">
        <v>3949</v>
      </c>
      <c r="F726" s="1">
        <v>38372</v>
      </c>
      <c r="G726" t="s">
        <v>25</v>
      </c>
      <c r="H726">
        <v>1</v>
      </c>
      <c r="I726">
        <v>1</v>
      </c>
      <c r="J726">
        <v>2005</v>
      </c>
      <c r="K726" t="s">
        <v>504</v>
      </c>
      <c r="L726">
        <v>122</v>
      </c>
      <c r="M726" t="s">
        <v>589</v>
      </c>
      <c r="N726" t="s">
        <v>285</v>
      </c>
      <c r="O726" t="s">
        <v>286</v>
      </c>
      <c r="P726" t="s">
        <v>287</v>
      </c>
      <c r="Q726" t="s">
        <v>288</v>
      </c>
      <c r="R726" t="s">
        <v>289</v>
      </c>
      <c r="S726" t="s">
        <v>157</v>
      </c>
      <c r="T726">
        <v>2060</v>
      </c>
      <c r="U726" t="s">
        <v>95</v>
      </c>
      <c r="V726" t="s">
        <v>96</v>
      </c>
      <c r="W726" t="s">
        <v>290</v>
      </c>
      <c r="X726" t="s">
        <v>291</v>
      </c>
      <c r="Y726" t="s">
        <v>51</v>
      </c>
    </row>
    <row r="727" spans="1:25" x14ac:dyDescent="0.25">
      <c r="A727">
        <v>10383</v>
      </c>
      <c r="B727">
        <v>27</v>
      </c>
      <c r="C727">
        <v>100</v>
      </c>
      <c r="D727">
        <v>11</v>
      </c>
      <c r="E727">
        <v>3843.99</v>
      </c>
      <c r="F727" s="1">
        <v>38405</v>
      </c>
      <c r="G727" t="s">
        <v>25</v>
      </c>
      <c r="H727">
        <v>1</v>
      </c>
      <c r="I727">
        <v>2</v>
      </c>
      <c r="J727">
        <v>2005</v>
      </c>
      <c r="K727" t="s">
        <v>504</v>
      </c>
      <c r="L727">
        <v>122</v>
      </c>
      <c r="M727" t="s">
        <v>589</v>
      </c>
      <c r="N727" t="s">
        <v>174</v>
      </c>
      <c r="O727" t="s">
        <v>175</v>
      </c>
      <c r="P727" t="s">
        <v>176</v>
      </c>
      <c r="R727" t="s">
        <v>177</v>
      </c>
      <c r="T727">
        <v>28034</v>
      </c>
      <c r="U727" t="s">
        <v>178</v>
      </c>
      <c r="V727" t="s">
        <v>42</v>
      </c>
      <c r="W727" t="s">
        <v>179</v>
      </c>
      <c r="X727" t="s">
        <v>180</v>
      </c>
      <c r="Y727" t="s">
        <v>51</v>
      </c>
    </row>
    <row r="728" spans="1:25" x14ac:dyDescent="0.25">
      <c r="A728">
        <v>10412</v>
      </c>
      <c r="B728">
        <v>56</v>
      </c>
      <c r="C728">
        <v>98.18</v>
      </c>
      <c r="D728">
        <v>8</v>
      </c>
      <c r="E728">
        <v>5498.08</v>
      </c>
      <c r="F728" s="1">
        <v>38475</v>
      </c>
      <c r="G728" t="s">
        <v>25</v>
      </c>
      <c r="H728">
        <v>2</v>
      </c>
      <c r="I728">
        <v>5</v>
      </c>
      <c r="J728">
        <v>2005</v>
      </c>
      <c r="K728" t="s">
        <v>504</v>
      </c>
      <c r="L728">
        <v>122</v>
      </c>
      <c r="M728" t="s">
        <v>589</v>
      </c>
      <c r="N728" t="s">
        <v>174</v>
      </c>
      <c r="O728" t="s">
        <v>175</v>
      </c>
      <c r="P728" t="s">
        <v>176</v>
      </c>
      <c r="R728" t="s">
        <v>177</v>
      </c>
      <c r="T728">
        <v>28034</v>
      </c>
      <c r="U728" t="s">
        <v>178</v>
      </c>
      <c r="V728" t="s">
        <v>42</v>
      </c>
      <c r="W728" t="s">
        <v>179</v>
      </c>
      <c r="X728" t="s">
        <v>180</v>
      </c>
      <c r="Y728" t="s">
        <v>51</v>
      </c>
    </row>
    <row r="729" spans="1:25" x14ac:dyDescent="0.25">
      <c r="A729">
        <v>10425</v>
      </c>
      <c r="B729">
        <v>38</v>
      </c>
      <c r="C729">
        <v>99.41</v>
      </c>
      <c r="D729">
        <v>7</v>
      </c>
      <c r="E729">
        <v>3777.58</v>
      </c>
      <c r="F729" s="1">
        <v>38503</v>
      </c>
      <c r="G729" t="s">
        <v>300</v>
      </c>
      <c r="H729">
        <v>2</v>
      </c>
      <c r="I729">
        <v>5</v>
      </c>
      <c r="J729">
        <v>2005</v>
      </c>
      <c r="K729" t="s">
        <v>504</v>
      </c>
      <c r="L729">
        <v>122</v>
      </c>
      <c r="M729" t="s">
        <v>589</v>
      </c>
      <c r="N729" t="s">
        <v>114</v>
      </c>
      <c r="O729" t="s">
        <v>115</v>
      </c>
      <c r="P729" t="s">
        <v>116</v>
      </c>
      <c r="R729" t="s">
        <v>117</v>
      </c>
      <c r="T729">
        <v>44000</v>
      </c>
      <c r="U729" t="s">
        <v>41</v>
      </c>
      <c r="V729" t="s">
        <v>42</v>
      </c>
      <c r="W729" t="s">
        <v>118</v>
      </c>
      <c r="X729" t="s">
        <v>119</v>
      </c>
      <c r="Y729" t="s">
        <v>51</v>
      </c>
    </row>
    <row r="730" spans="1:25" x14ac:dyDescent="0.25">
      <c r="A730">
        <v>10101</v>
      </c>
      <c r="B730">
        <v>25</v>
      </c>
      <c r="C730">
        <v>100</v>
      </c>
      <c r="D730">
        <v>4</v>
      </c>
      <c r="E730">
        <v>3782</v>
      </c>
      <c r="F730" s="1">
        <v>37630</v>
      </c>
      <c r="G730" t="s">
        <v>25</v>
      </c>
      <c r="H730">
        <v>1</v>
      </c>
      <c r="I730">
        <v>1</v>
      </c>
      <c r="J730">
        <v>2003</v>
      </c>
      <c r="K730" t="s">
        <v>550</v>
      </c>
      <c r="L730">
        <v>127</v>
      </c>
      <c r="M730" t="s">
        <v>590</v>
      </c>
      <c r="N730" t="s">
        <v>462</v>
      </c>
      <c r="O730" t="s">
        <v>463</v>
      </c>
      <c r="P730" t="s">
        <v>464</v>
      </c>
      <c r="R730" t="s">
        <v>465</v>
      </c>
      <c r="T730">
        <v>60528</v>
      </c>
      <c r="U730" t="s">
        <v>443</v>
      </c>
      <c r="V730" t="s">
        <v>42</v>
      </c>
      <c r="W730" t="s">
        <v>466</v>
      </c>
      <c r="X730" t="s">
        <v>414</v>
      </c>
      <c r="Y730" t="s">
        <v>51</v>
      </c>
    </row>
    <row r="731" spans="1:25" x14ac:dyDescent="0.25">
      <c r="A731">
        <v>10110</v>
      </c>
      <c r="B731">
        <v>33</v>
      </c>
      <c r="C731">
        <v>100</v>
      </c>
      <c r="D731">
        <v>4</v>
      </c>
      <c r="E731">
        <v>3859.68</v>
      </c>
      <c r="F731" s="1">
        <v>37698</v>
      </c>
      <c r="G731" t="s">
        <v>25</v>
      </c>
      <c r="H731">
        <v>1</v>
      </c>
      <c r="I731">
        <v>3</v>
      </c>
      <c r="J731">
        <v>2003</v>
      </c>
      <c r="K731" t="s">
        <v>550</v>
      </c>
      <c r="L731">
        <v>127</v>
      </c>
      <c r="M731" t="s">
        <v>590</v>
      </c>
      <c r="N731" t="s">
        <v>492</v>
      </c>
      <c r="O731" t="s">
        <v>493</v>
      </c>
      <c r="P731" t="s">
        <v>494</v>
      </c>
      <c r="R731" t="s">
        <v>495</v>
      </c>
      <c r="T731" t="s">
        <v>496</v>
      </c>
      <c r="U731" t="s">
        <v>170</v>
      </c>
      <c r="V731" t="s">
        <v>42</v>
      </c>
      <c r="W731" t="s">
        <v>497</v>
      </c>
      <c r="X731" t="s">
        <v>94</v>
      </c>
      <c r="Y731" t="s">
        <v>51</v>
      </c>
    </row>
    <row r="732" spans="1:25" x14ac:dyDescent="0.25">
      <c r="A732">
        <v>10124</v>
      </c>
      <c r="B732">
        <v>42</v>
      </c>
      <c r="C732">
        <v>100</v>
      </c>
      <c r="D732">
        <v>3</v>
      </c>
      <c r="E732">
        <v>4431.84</v>
      </c>
      <c r="F732" s="1">
        <v>37762</v>
      </c>
      <c r="G732" t="s">
        <v>25</v>
      </c>
      <c r="H732">
        <v>2</v>
      </c>
      <c r="I732">
        <v>5</v>
      </c>
      <c r="J732">
        <v>2003</v>
      </c>
      <c r="K732" t="s">
        <v>550</v>
      </c>
      <c r="L732">
        <v>127</v>
      </c>
      <c r="M732" t="s">
        <v>590</v>
      </c>
      <c r="N732" t="s">
        <v>539</v>
      </c>
      <c r="O732">
        <v>7025551838</v>
      </c>
      <c r="P732" t="s">
        <v>540</v>
      </c>
      <c r="R732" t="s">
        <v>541</v>
      </c>
      <c r="S732" t="s">
        <v>542</v>
      </c>
      <c r="T732">
        <v>83030</v>
      </c>
      <c r="U732" t="s">
        <v>32</v>
      </c>
      <c r="V732" t="s">
        <v>33</v>
      </c>
      <c r="W732" t="s">
        <v>113</v>
      </c>
      <c r="X732" t="s">
        <v>400</v>
      </c>
      <c r="Y732" t="s">
        <v>51</v>
      </c>
    </row>
    <row r="733" spans="1:25" x14ac:dyDescent="0.25">
      <c r="A733">
        <v>10149</v>
      </c>
      <c r="B733">
        <v>33</v>
      </c>
      <c r="C733">
        <v>100</v>
      </c>
      <c r="D733">
        <v>8</v>
      </c>
      <c r="E733">
        <v>4950.33</v>
      </c>
      <c r="F733" s="1">
        <v>37876</v>
      </c>
      <c r="G733" t="s">
        <v>25</v>
      </c>
      <c r="H733">
        <v>3</v>
      </c>
      <c r="I733">
        <v>9</v>
      </c>
      <c r="J733">
        <v>2003</v>
      </c>
      <c r="K733" t="s">
        <v>550</v>
      </c>
      <c r="L733">
        <v>127</v>
      </c>
      <c r="M733" t="s">
        <v>590</v>
      </c>
      <c r="N733" t="s">
        <v>526</v>
      </c>
      <c r="O733">
        <v>4155554312</v>
      </c>
      <c r="P733" t="s">
        <v>527</v>
      </c>
      <c r="R733" t="s">
        <v>528</v>
      </c>
      <c r="S733" t="s">
        <v>55</v>
      </c>
      <c r="T733">
        <v>94217</v>
      </c>
      <c r="U733" t="s">
        <v>32</v>
      </c>
      <c r="V733" t="s">
        <v>33</v>
      </c>
      <c r="W733" t="s">
        <v>529</v>
      </c>
      <c r="X733" t="s">
        <v>400</v>
      </c>
      <c r="Y733" t="s">
        <v>51</v>
      </c>
    </row>
    <row r="734" spans="1:25" x14ac:dyDescent="0.25">
      <c r="A734">
        <v>10162</v>
      </c>
      <c r="B734">
        <v>38</v>
      </c>
      <c r="C734">
        <v>100</v>
      </c>
      <c r="D734">
        <v>6</v>
      </c>
      <c r="E734">
        <v>4299.7</v>
      </c>
      <c r="F734" s="1">
        <v>37912</v>
      </c>
      <c r="G734" t="s">
        <v>25</v>
      </c>
      <c r="H734">
        <v>4</v>
      </c>
      <c r="I734">
        <v>10</v>
      </c>
      <c r="J734">
        <v>2003</v>
      </c>
      <c r="K734" t="s">
        <v>550</v>
      </c>
      <c r="L734">
        <v>127</v>
      </c>
      <c r="M734" t="s">
        <v>590</v>
      </c>
      <c r="N734" t="s">
        <v>58</v>
      </c>
      <c r="O734">
        <v>6505551386</v>
      </c>
      <c r="P734" t="s">
        <v>59</v>
      </c>
      <c r="R734" t="s">
        <v>60</v>
      </c>
      <c r="S734" t="s">
        <v>55</v>
      </c>
      <c r="U734" t="s">
        <v>32</v>
      </c>
      <c r="V734" t="s">
        <v>33</v>
      </c>
      <c r="W734" t="s">
        <v>61</v>
      </c>
      <c r="X734" t="s">
        <v>57</v>
      </c>
      <c r="Y734" t="s">
        <v>51</v>
      </c>
    </row>
    <row r="735" spans="1:25" x14ac:dyDescent="0.25">
      <c r="A735">
        <v>10173</v>
      </c>
      <c r="B735">
        <v>31</v>
      </c>
      <c r="C735">
        <v>100</v>
      </c>
      <c r="D735">
        <v>10</v>
      </c>
      <c r="E735">
        <v>4492.83</v>
      </c>
      <c r="F735" s="1">
        <v>37930</v>
      </c>
      <c r="G735" t="s">
        <v>25</v>
      </c>
      <c r="H735">
        <v>4</v>
      </c>
      <c r="I735">
        <v>11</v>
      </c>
      <c r="J735">
        <v>2003</v>
      </c>
      <c r="K735" t="s">
        <v>550</v>
      </c>
      <c r="L735">
        <v>127</v>
      </c>
      <c r="M735" t="s">
        <v>590</v>
      </c>
      <c r="N735" t="s">
        <v>552</v>
      </c>
      <c r="O735" t="s">
        <v>553</v>
      </c>
      <c r="P735" t="s">
        <v>554</v>
      </c>
      <c r="R735" t="s">
        <v>555</v>
      </c>
      <c r="T735">
        <v>24100</v>
      </c>
      <c r="U735" t="s">
        <v>258</v>
      </c>
      <c r="V735" t="s">
        <v>42</v>
      </c>
      <c r="W735" t="s">
        <v>556</v>
      </c>
      <c r="X735" t="s">
        <v>557</v>
      </c>
      <c r="Y735" t="s">
        <v>51</v>
      </c>
    </row>
    <row r="736" spans="1:25" x14ac:dyDescent="0.25">
      <c r="A736">
        <v>10182</v>
      </c>
      <c r="B736">
        <v>20</v>
      </c>
      <c r="C736">
        <v>100</v>
      </c>
      <c r="D736">
        <v>7</v>
      </c>
      <c r="E736">
        <v>2212</v>
      </c>
      <c r="F736" s="1">
        <v>37937</v>
      </c>
      <c r="G736" t="s">
        <v>25</v>
      </c>
      <c r="H736">
        <v>4</v>
      </c>
      <c r="I736">
        <v>11</v>
      </c>
      <c r="J736">
        <v>2003</v>
      </c>
      <c r="K736" t="s">
        <v>550</v>
      </c>
      <c r="L736">
        <v>127</v>
      </c>
      <c r="M736" t="s">
        <v>590</v>
      </c>
      <c r="N736" t="s">
        <v>272</v>
      </c>
      <c r="O736">
        <v>4155551450</v>
      </c>
      <c r="P736" t="s">
        <v>273</v>
      </c>
      <c r="R736" t="s">
        <v>274</v>
      </c>
      <c r="S736" t="s">
        <v>55</v>
      </c>
      <c r="T736">
        <v>97562</v>
      </c>
      <c r="U736" t="s">
        <v>32</v>
      </c>
      <c r="V736" t="s">
        <v>33</v>
      </c>
      <c r="W736" t="s">
        <v>275</v>
      </c>
      <c r="X736" t="s">
        <v>276</v>
      </c>
      <c r="Y736" t="s">
        <v>36</v>
      </c>
    </row>
    <row r="737" spans="1:25" x14ac:dyDescent="0.25">
      <c r="A737">
        <v>10193</v>
      </c>
      <c r="B737">
        <v>44</v>
      </c>
      <c r="C737">
        <v>100</v>
      </c>
      <c r="D737">
        <v>11</v>
      </c>
      <c r="E737">
        <v>4642.88</v>
      </c>
      <c r="F737" s="1">
        <v>37946</v>
      </c>
      <c r="G737" t="s">
        <v>25</v>
      </c>
      <c r="H737">
        <v>4</v>
      </c>
      <c r="I737">
        <v>11</v>
      </c>
      <c r="J737">
        <v>2003</v>
      </c>
      <c r="K737" t="s">
        <v>550</v>
      </c>
      <c r="L737">
        <v>127</v>
      </c>
      <c r="M737" t="s">
        <v>590</v>
      </c>
      <c r="N737" t="s">
        <v>558</v>
      </c>
      <c r="O737" t="s">
        <v>559</v>
      </c>
      <c r="P737" t="s">
        <v>560</v>
      </c>
      <c r="R737" t="s">
        <v>561</v>
      </c>
      <c r="S737" t="s">
        <v>94</v>
      </c>
      <c r="T737">
        <v>3150</v>
      </c>
      <c r="U737" t="s">
        <v>95</v>
      </c>
      <c r="V737" t="s">
        <v>96</v>
      </c>
      <c r="W737" t="s">
        <v>562</v>
      </c>
      <c r="X737" t="s">
        <v>563</v>
      </c>
      <c r="Y737" t="s">
        <v>51</v>
      </c>
    </row>
    <row r="738" spans="1:25" x14ac:dyDescent="0.25">
      <c r="A738">
        <v>10204</v>
      </c>
      <c r="B738">
        <v>26</v>
      </c>
      <c r="C738">
        <v>100</v>
      </c>
      <c r="D738">
        <v>1</v>
      </c>
      <c r="E738">
        <v>3206.32</v>
      </c>
      <c r="F738" s="1">
        <v>37957</v>
      </c>
      <c r="G738" t="s">
        <v>25</v>
      </c>
      <c r="H738">
        <v>4</v>
      </c>
      <c r="I738">
        <v>12</v>
      </c>
      <c r="J738">
        <v>2003</v>
      </c>
      <c r="K738" t="s">
        <v>550</v>
      </c>
      <c r="L738">
        <v>127</v>
      </c>
      <c r="M738" t="s">
        <v>590</v>
      </c>
      <c r="N738" t="s">
        <v>475</v>
      </c>
      <c r="O738">
        <v>2125557413</v>
      </c>
      <c r="P738" t="s">
        <v>476</v>
      </c>
      <c r="Q738" t="s">
        <v>477</v>
      </c>
      <c r="R738" t="s">
        <v>30</v>
      </c>
      <c r="S738" t="s">
        <v>31</v>
      </c>
      <c r="T738">
        <v>10022</v>
      </c>
      <c r="U738" t="s">
        <v>32</v>
      </c>
      <c r="V738" t="s">
        <v>33</v>
      </c>
      <c r="W738" t="s">
        <v>56</v>
      </c>
      <c r="X738" t="s">
        <v>478</v>
      </c>
      <c r="Y738" t="s">
        <v>51</v>
      </c>
    </row>
    <row r="739" spans="1:25" x14ac:dyDescent="0.25">
      <c r="A739">
        <v>10214</v>
      </c>
      <c r="B739">
        <v>27</v>
      </c>
      <c r="C739">
        <v>100</v>
      </c>
      <c r="D739">
        <v>4</v>
      </c>
      <c r="E739">
        <v>3604.23</v>
      </c>
      <c r="F739" s="1">
        <v>38012</v>
      </c>
      <c r="G739" t="s">
        <v>25</v>
      </c>
      <c r="H739">
        <v>1</v>
      </c>
      <c r="I739">
        <v>1</v>
      </c>
      <c r="J739">
        <v>2004</v>
      </c>
      <c r="K739" t="s">
        <v>550</v>
      </c>
      <c r="L739">
        <v>127</v>
      </c>
      <c r="M739" t="s">
        <v>590</v>
      </c>
      <c r="N739" t="s">
        <v>191</v>
      </c>
      <c r="O739" t="s">
        <v>192</v>
      </c>
      <c r="P739" t="s">
        <v>193</v>
      </c>
      <c r="R739" t="s">
        <v>177</v>
      </c>
      <c r="T739">
        <v>28023</v>
      </c>
      <c r="U739" t="s">
        <v>178</v>
      </c>
      <c r="V739" t="s">
        <v>42</v>
      </c>
      <c r="W739" t="s">
        <v>194</v>
      </c>
      <c r="X739" t="s">
        <v>195</v>
      </c>
      <c r="Y739" t="s">
        <v>51</v>
      </c>
    </row>
    <row r="740" spans="1:25" x14ac:dyDescent="0.25">
      <c r="A740">
        <v>10227</v>
      </c>
      <c r="B740">
        <v>46</v>
      </c>
      <c r="C740">
        <v>100</v>
      </c>
      <c r="D740">
        <v>7</v>
      </c>
      <c r="E740">
        <v>7017.76</v>
      </c>
      <c r="F740" s="1">
        <v>38048</v>
      </c>
      <c r="G740" t="s">
        <v>25</v>
      </c>
      <c r="H740">
        <v>1</v>
      </c>
      <c r="I740">
        <v>3</v>
      </c>
      <c r="J740">
        <v>2004</v>
      </c>
      <c r="K740" t="s">
        <v>550</v>
      </c>
      <c r="L740">
        <v>127</v>
      </c>
      <c r="M740" t="s">
        <v>590</v>
      </c>
      <c r="N740" t="s">
        <v>219</v>
      </c>
      <c r="O740" t="s">
        <v>220</v>
      </c>
      <c r="P740" t="s">
        <v>221</v>
      </c>
      <c r="R740" t="s">
        <v>222</v>
      </c>
      <c r="T740">
        <v>69004</v>
      </c>
      <c r="U740" t="s">
        <v>41</v>
      </c>
      <c r="V740" t="s">
        <v>42</v>
      </c>
      <c r="W740" t="s">
        <v>223</v>
      </c>
      <c r="X740" t="s">
        <v>224</v>
      </c>
      <c r="Y740" t="s">
        <v>151</v>
      </c>
    </row>
    <row r="741" spans="1:25" x14ac:dyDescent="0.25">
      <c r="A741">
        <v>10243</v>
      </c>
      <c r="B741">
        <v>47</v>
      </c>
      <c r="C741">
        <v>100</v>
      </c>
      <c r="D741">
        <v>2</v>
      </c>
      <c r="E741">
        <v>6154.18</v>
      </c>
      <c r="F741" s="1">
        <v>38103</v>
      </c>
      <c r="G741" t="s">
        <v>25</v>
      </c>
      <c r="H741">
        <v>2</v>
      </c>
      <c r="I741">
        <v>4</v>
      </c>
      <c r="J741">
        <v>2004</v>
      </c>
      <c r="K741" t="s">
        <v>550</v>
      </c>
      <c r="L741">
        <v>127</v>
      </c>
      <c r="M741" t="s">
        <v>590</v>
      </c>
      <c r="N741" t="s">
        <v>415</v>
      </c>
      <c r="O741">
        <v>6175552555</v>
      </c>
      <c r="P741" t="s">
        <v>416</v>
      </c>
      <c r="R741" t="s">
        <v>381</v>
      </c>
      <c r="S741" t="s">
        <v>123</v>
      </c>
      <c r="T741">
        <v>51003</v>
      </c>
      <c r="U741" t="s">
        <v>32</v>
      </c>
      <c r="V741" t="s">
        <v>33</v>
      </c>
      <c r="W741" t="s">
        <v>417</v>
      </c>
      <c r="X741" t="s">
        <v>276</v>
      </c>
      <c r="Y741" t="s">
        <v>51</v>
      </c>
    </row>
    <row r="742" spans="1:25" x14ac:dyDescent="0.25">
      <c r="A742">
        <v>10280</v>
      </c>
      <c r="B742">
        <v>37</v>
      </c>
      <c r="C742">
        <v>100</v>
      </c>
      <c r="D742">
        <v>13</v>
      </c>
      <c r="E742">
        <v>4750.8</v>
      </c>
      <c r="F742" s="1">
        <v>38216</v>
      </c>
      <c r="G742" t="s">
        <v>25</v>
      </c>
      <c r="H742">
        <v>3</v>
      </c>
      <c r="I742">
        <v>8</v>
      </c>
      <c r="J742">
        <v>2004</v>
      </c>
      <c r="K742" t="s">
        <v>550</v>
      </c>
      <c r="L742">
        <v>127</v>
      </c>
      <c r="M742" t="s">
        <v>590</v>
      </c>
      <c r="N742" t="s">
        <v>254</v>
      </c>
      <c r="O742" t="s">
        <v>255</v>
      </c>
      <c r="P742" t="s">
        <v>256</v>
      </c>
      <c r="R742" t="s">
        <v>257</v>
      </c>
      <c r="T742">
        <v>10100</v>
      </c>
      <c r="U742" t="s">
        <v>258</v>
      </c>
      <c r="V742" t="s">
        <v>42</v>
      </c>
      <c r="W742" t="s">
        <v>259</v>
      </c>
      <c r="X742" t="s">
        <v>260</v>
      </c>
      <c r="Y742" t="s">
        <v>51</v>
      </c>
    </row>
    <row r="743" spans="1:25" x14ac:dyDescent="0.25">
      <c r="A743">
        <v>10288</v>
      </c>
      <c r="B743">
        <v>31</v>
      </c>
      <c r="C743">
        <v>100</v>
      </c>
      <c r="D743">
        <v>2</v>
      </c>
      <c r="E743">
        <v>3822.92</v>
      </c>
      <c r="F743" s="1">
        <v>38231</v>
      </c>
      <c r="G743" t="s">
        <v>25</v>
      </c>
      <c r="H743">
        <v>3</v>
      </c>
      <c r="I743">
        <v>9</v>
      </c>
      <c r="J743">
        <v>2004</v>
      </c>
      <c r="K743" t="s">
        <v>550</v>
      </c>
      <c r="L743">
        <v>127</v>
      </c>
      <c r="M743" t="s">
        <v>590</v>
      </c>
      <c r="N743" t="s">
        <v>418</v>
      </c>
      <c r="O743" t="s">
        <v>419</v>
      </c>
      <c r="P743" t="s">
        <v>420</v>
      </c>
      <c r="Q743" t="s">
        <v>421</v>
      </c>
      <c r="R743" t="s">
        <v>199</v>
      </c>
      <c r="T743">
        <v>69045</v>
      </c>
      <c r="U743" t="s">
        <v>199</v>
      </c>
      <c r="V743" t="s">
        <v>96</v>
      </c>
      <c r="W743" t="s">
        <v>422</v>
      </c>
      <c r="X743" t="s">
        <v>423</v>
      </c>
      <c r="Y743" t="s">
        <v>51</v>
      </c>
    </row>
    <row r="744" spans="1:25" x14ac:dyDescent="0.25">
      <c r="A744">
        <v>10304</v>
      </c>
      <c r="B744">
        <v>24</v>
      </c>
      <c r="C744">
        <v>100</v>
      </c>
      <c r="D744">
        <v>17</v>
      </c>
      <c r="E744">
        <v>2440.8000000000002</v>
      </c>
      <c r="F744" s="1">
        <v>38271</v>
      </c>
      <c r="G744" t="s">
        <v>25</v>
      </c>
      <c r="H744">
        <v>4</v>
      </c>
      <c r="I744">
        <v>10</v>
      </c>
      <c r="J744">
        <v>2004</v>
      </c>
      <c r="K744" t="s">
        <v>550</v>
      </c>
      <c r="L744">
        <v>127</v>
      </c>
      <c r="M744" t="s">
        <v>590</v>
      </c>
      <c r="N744" t="s">
        <v>267</v>
      </c>
      <c r="O744" t="s">
        <v>268</v>
      </c>
      <c r="P744" t="s">
        <v>269</v>
      </c>
      <c r="R744" t="s">
        <v>270</v>
      </c>
      <c r="T744">
        <v>78000</v>
      </c>
      <c r="U744" t="s">
        <v>41</v>
      </c>
      <c r="V744" t="s">
        <v>42</v>
      </c>
      <c r="W744" t="s">
        <v>271</v>
      </c>
      <c r="X744" t="s">
        <v>50</v>
      </c>
      <c r="Y744" t="s">
        <v>36</v>
      </c>
    </row>
    <row r="745" spans="1:25" x14ac:dyDescent="0.25">
      <c r="A745">
        <v>10312</v>
      </c>
      <c r="B745">
        <v>31</v>
      </c>
      <c r="C745">
        <v>100</v>
      </c>
      <c r="D745">
        <v>14</v>
      </c>
      <c r="E745">
        <v>4729.3599999999997</v>
      </c>
      <c r="F745" s="1">
        <v>38281</v>
      </c>
      <c r="G745" t="s">
        <v>25</v>
      </c>
      <c r="H745">
        <v>4</v>
      </c>
      <c r="I745">
        <v>10</v>
      </c>
      <c r="J745">
        <v>2004</v>
      </c>
      <c r="K745" t="s">
        <v>550</v>
      </c>
      <c r="L745">
        <v>127</v>
      </c>
      <c r="M745" t="s">
        <v>590</v>
      </c>
      <c r="N745" t="s">
        <v>272</v>
      </c>
      <c r="O745">
        <v>4155551450</v>
      </c>
      <c r="P745" t="s">
        <v>273</v>
      </c>
      <c r="R745" t="s">
        <v>274</v>
      </c>
      <c r="S745" t="s">
        <v>55</v>
      </c>
      <c r="T745">
        <v>97562</v>
      </c>
      <c r="U745" t="s">
        <v>32</v>
      </c>
      <c r="V745" t="s">
        <v>33</v>
      </c>
      <c r="W745" t="s">
        <v>275</v>
      </c>
      <c r="X745" t="s">
        <v>276</v>
      </c>
      <c r="Y745" t="s">
        <v>51</v>
      </c>
    </row>
    <row r="746" spans="1:25" x14ac:dyDescent="0.25">
      <c r="A746">
        <v>10322</v>
      </c>
      <c r="B746">
        <v>50</v>
      </c>
      <c r="C746">
        <v>100</v>
      </c>
      <c r="D746">
        <v>6</v>
      </c>
      <c r="E746">
        <v>12536.5</v>
      </c>
      <c r="F746" s="1">
        <v>38295</v>
      </c>
      <c r="G746" t="s">
        <v>25</v>
      </c>
      <c r="H746">
        <v>4</v>
      </c>
      <c r="I746">
        <v>11</v>
      </c>
      <c r="J746">
        <v>2004</v>
      </c>
      <c r="K746" t="s">
        <v>550</v>
      </c>
      <c r="L746">
        <v>127</v>
      </c>
      <c r="M746" t="s">
        <v>590</v>
      </c>
      <c r="N746" t="s">
        <v>277</v>
      </c>
      <c r="O746">
        <v>6035558647</v>
      </c>
      <c r="P746" t="s">
        <v>278</v>
      </c>
      <c r="R746" t="s">
        <v>279</v>
      </c>
      <c r="S746" t="s">
        <v>280</v>
      </c>
      <c r="T746">
        <v>62005</v>
      </c>
      <c r="U746" t="s">
        <v>32</v>
      </c>
      <c r="V746" t="s">
        <v>33</v>
      </c>
      <c r="W746" t="s">
        <v>56</v>
      </c>
      <c r="X746" t="s">
        <v>276</v>
      </c>
      <c r="Y746" t="s">
        <v>151</v>
      </c>
    </row>
    <row r="747" spans="1:25" x14ac:dyDescent="0.25">
      <c r="A747">
        <v>10332</v>
      </c>
      <c r="B747">
        <v>35</v>
      </c>
      <c r="C747">
        <v>64.69</v>
      </c>
      <c r="D747">
        <v>8</v>
      </c>
      <c r="E747">
        <v>2264.15</v>
      </c>
      <c r="F747" s="1">
        <v>38308</v>
      </c>
      <c r="G747" t="s">
        <v>25</v>
      </c>
      <c r="H747">
        <v>4</v>
      </c>
      <c r="I747">
        <v>11</v>
      </c>
      <c r="J747">
        <v>2004</v>
      </c>
      <c r="K747" t="s">
        <v>550</v>
      </c>
      <c r="L747">
        <v>127</v>
      </c>
      <c r="M747" t="s">
        <v>590</v>
      </c>
      <c r="N747" t="s">
        <v>492</v>
      </c>
      <c r="O747" t="s">
        <v>493</v>
      </c>
      <c r="P747" t="s">
        <v>494</v>
      </c>
      <c r="R747" t="s">
        <v>495</v>
      </c>
      <c r="T747" t="s">
        <v>496</v>
      </c>
      <c r="U747" t="s">
        <v>170</v>
      </c>
      <c r="V747" t="s">
        <v>42</v>
      </c>
      <c r="W747" t="s">
        <v>497</v>
      </c>
      <c r="X747" t="s">
        <v>94</v>
      </c>
      <c r="Y747" t="s">
        <v>36</v>
      </c>
    </row>
    <row r="748" spans="1:25" x14ac:dyDescent="0.25">
      <c r="A748">
        <v>10344</v>
      </c>
      <c r="B748">
        <v>30</v>
      </c>
      <c r="C748">
        <v>100</v>
      </c>
      <c r="D748">
        <v>3</v>
      </c>
      <c r="E748">
        <v>3928.2</v>
      </c>
      <c r="F748" s="1">
        <v>38316</v>
      </c>
      <c r="G748" t="s">
        <v>25</v>
      </c>
      <c r="H748">
        <v>4</v>
      </c>
      <c r="I748">
        <v>11</v>
      </c>
      <c r="J748">
        <v>2004</v>
      </c>
      <c r="K748" t="s">
        <v>550</v>
      </c>
      <c r="L748">
        <v>127</v>
      </c>
      <c r="M748" t="s">
        <v>590</v>
      </c>
      <c r="N748" t="s">
        <v>433</v>
      </c>
      <c r="O748" t="s">
        <v>434</v>
      </c>
      <c r="P748" t="s">
        <v>435</v>
      </c>
      <c r="R748" t="s">
        <v>436</v>
      </c>
      <c r="T748">
        <v>13008</v>
      </c>
      <c r="U748" t="s">
        <v>41</v>
      </c>
      <c r="V748" t="s">
        <v>42</v>
      </c>
      <c r="W748" t="s">
        <v>437</v>
      </c>
      <c r="X748" t="s">
        <v>438</v>
      </c>
      <c r="Y748" t="s">
        <v>51</v>
      </c>
    </row>
    <row r="749" spans="1:25" x14ac:dyDescent="0.25">
      <c r="A749">
        <v>10356</v>
      </c>
      <c r="B749">
        <v>29</v>
      </c>
      <c r="C749">
        <v>100</v>
      </c>
      <c r="D749">
        <v>3</v>
      </c>
      <c r="E749">
        <v>3630.22</v>
      </c>
      <c r="F749" s="1">
        <v>38330</v>
      </c>
      <c r="G749" t="s">
        <v>25</v>
      </c>
      <c r="H749">
        <v>4</v>
      </c>
      <c r="I749">
        <v>12</v>
      </c>
      <c r="J749">
        <v>2004</v>
      </c>
      <c r="K749" t="s">
        <v>550</v>
      </c>
      <c r="L749">
        <v>127</v>
      </c>
      <c r="M749" t="s">
        <v>590</v>
      </c>
      <c r="N749" t="s">
        <v>45</v>
      </c>
      <c r="O749" t="s">
        <v>46</v>
      </c>
      <c r="P749" t="s">
        <v>47</v>
      </c>
      <c r="R749" t="s">
        <v>48</v>
      </c>
      <c r="T749">
        <v>75508</v>
      </c>
      <c r="U749" t="s">
        <v>41</v>
      </c>
      <c r="V749" t="s">
        <v>42</v>
      </c>
      <c r="W749" t="s">
        <v>49</v>
      </c>
      <c r="X749" t="s">
        <v>50</v>
      </c>
      <c r="Y749" t="s">
        <v>51</v>
      </c>
    </row>
    <row r="750" spans="1:25" x14ac:dyDescent="0.25">
      <c r="A750">
        <v>10367</v>
      </c>
      <c r="B750">
        <v>27</v>
      </c>
      <c r="C750">
        <v>100</v>
      </c>
      <c r="D750">
        <v>5</v>
      </c>
      <c r="E750">
        <v>4196.07</v>
      </c>
      <c r="F750" s="1">
        <v>38364</v>
      </c>
      <c r="G750" t="s">
        <v>408</v>
      </c>
      <c r="H750">
        <v>1</v>
      </c>
      <c r="I750">
        <v>1</v>
      </c>
      <c r="J750">
        <v>2005</v>
      </c>
      <c r="K750" t="s">
        <v>550</v>
      </c>
      <c r="L750">
        <v>127</v>
      </c>
      <c r="M750" t="s">
        <v>590</v>
      </c>
      <c r="N750" t="s">
        <v>52</v>
      </c>
      <c r="O750">
        <v>6265557265</v>
      </c>
      <c r="P750" t="s">
        <v>53</v>
      </c>
      <c r="R750" t="s">
        <v>54</v>
      </c>
      <c r="S750" t="s">
        <v>55</v>
      </c>
      <c r="T750">
        <v>90003</v>
      </c>
      <c r="U750" t="s">
        <v>32</v>
      </c>
      <c r="V750" t="s">
        <v>33</v>
      </c>
      <c r="W750" t="s">
        <v>56</v>
      </c>
      <c r="X750" t="s">
        <v>57</v>
      </c>
      <c r="Y750" t="s">
        <v>51</v>
      </c>
    </row>
    <row r="751" spans="1:25" x14ac:dyDescent="0.25">
      <c r="A751">
        <v>10380</v>
      </c>
      <c r="B751">
        <v>40</v>
      </c>
      <c r="C751">
        <v>100</v>
      </c>
      <c r="D751">
        <v>10</v>
      </c>
      <c r="E751">
        <v>4931.6000000000004</v>
      </c>
      <c r="F751" s="1">
        <v>38399</v>
      </c>
      <c r="G751" t="s">
        <v>25</v>
      </c>
      <c r="H751">
        <v>1</v>
      </c>
      <c r="I751">
        <v>2</v>
      </c>
      <c r="J751">
        <v>2005</v>
      </c>
      <c r="K751" t="s">
        <v>550</v>
      </c>
      <c r="L751">
        <v>127</v>
      </c>
      <c r="M751" t="s">
        <v>590</v>
      </c>
      <c r="N751" t="s">
        <v>174</v>
      </c>
      <c r="O751" t="s">
        <v>175</v>
      </c>
      <c r="P751" t="s">
        <v>176</v>
      </c>
      <c r="R751" t="s">
        <v>177</v>
      </c>
      <c r="T751">
        <v>28034</v>
      </c>
      <c r="U751" t="s">
        <v>178</v>
      </c>
      <c r="V751" t="s">
        <v>42</v>
      </c>
      <c r="W751" t="s">
        <v>179</v>
      </c>
      <c r="X751" t="s">
        <v>180</v>
      </c>
      <c r="Y751" t="s">
        <v>51</v>
      </c>
    </row>
    <row r="752" spans="1:25" x14ac:dyDescent="0.25">
      <c r="A752">
        <v>10390</v>
      </c>
      <c r="B752">
        <v>31</v>
      </c>
      <c r="C752">
        <v>98.99</v>
      </c>
      <c r="D752">
        <v>16</v>
      </c>
      <c r="E752">
        <v>3068.69</v>
      </c>
      <c r="F752" s="1">
        <v>38415</v>
      </c>
      <c r="G752" t="s">
        <v>25</v>
      </c>
      <c r="H752">
        <v>1</v>
      </c>
      <c r="I752">
        <v>3</v>
      </c>
      <c r="J752">
        <v>2005</v>
      </c>
      <c r="K752" t="s">
        <v>550</v>
      </c>
      <c r="L752">
        <v>127</v>
      </c>
      <c r="M752" t="s">
        <v>590</v>
      </c>
      <c r="N752" t="s">
        <v>272</v>
      </c>
      <c r="O752">
        <v>4155551450</v>
      </c>
      <c r="P752" t="s">
        <v>273</v>
      </c>
      <c r="R752" t="s">
        <v>274</v>
      </c>
      <c r="S752" t="s">
        <v>55</v>
      </c>
      <c r="T752">
        <v>97562</v>
      </c>
      <c r="U752" t="s">
        <v>32</v>
      </c>
      <c r="V752" t="s">
        <v>33</v>
      </c>
      <c r="W752" t="s">
        <v>275</v>
      </c>
      <c r="X752" t="s">
        <v>276</v>
      </c>
      <c r="Y752" t="s">
        <v>51</v>
      </c>
    </row>
    <row r="753" spans="1:25" x14ac:dyDescent="0.25">
      <c r="A753">
        <v>10409</v>
      </c>
      <c r="B753">
        <v>6</v>
      </c>
      <c r="C753">
        <v>100</v>
      </c>
      <c r="D753">
        <v>2</v>
      </c>
      <c r="E753">
        <v>785.64</v>
      </c>
      <c r="F753" s="1">
        <v>38465</v>
      </c>
      <c r="G753" t="s">
        <v>25</v>
      </c>
      <c r="H753">
        <v>2</v>
      </c>
      <c r="I753">
        <v>4</v>
      </c>
      <c r="J753">
        <v>2005</v>
      </c>
      <c r="K753" t="s">
        <v>550</v>
      </c>
      <c r="L753">
        <v>127</v>
      </c>
      <c r="M753" t="s">
        <v>590</v>
      </c>
      <c r="N753" t="s">
        <v>418</v>
      </c>
      <c r="O753" t="s">
        <v>419</v>
      </c>
      <c r="P753" t="s">
        <v>420</v>
      </c>
      <c r="Q753" t="s">
        <v>421</v>
      </c>
      <c r="R753" t="s">
        <v>199</v>
      </c>
      <c r="T753">
        <v>69045</v>
      </c>
      <c r="U753" t="s">
        <v>199</v>
      </c>
      <c r="V753" t="s">
        <v>96</v>
      </c>
      <c r="W753" t="s">
        <v>422</v>
      </c>
      <c r="X753" t="s">
        <v>423</v>
      </c>
      <c r="Y753" t="s">
        <v>36</v>
      </c>
    </row>
    <row r="754" spans="1:25" x14ac:dyDescent="0.25">
      <c r="A754">
        <v>10420</v>
      </c>
      <c r="B754">
        <v>45</v>
      </c>
      <c r="C754">
        <v>100</v>
      </c>
      <c r="D754">
        <v>2</v>
      </c>
      <c r="E754">
        <v>4977</v>
      </c>
      <c r="F754" s="1">
        <v>38501</v>
      </c>
      <c r="G754" t="s">
        <v>300</v>
      </c>
      <c r="H754">
        <v>2</v>
      </c>
      <c r="I754">
        <v>5</v>
      </c>
      <c r="J754">
        <v>2005</v>
      </c>
      <c r="K754" t="s">
        <v>550</v>
      </c>
      <c r="L754">
        <v>127</v>
      </c>
      <c r="M754" t="s">
        <v>590</v>
      </c>
      <c r="N754" t="s">
        <v>152</v>
      </c>
      <c r="O754" t="s">
        <v>153</v>
      </c>
      <c r="P754" t="s">
        <v>154</v>
      </c>
      <c r="Q754" t="s">
        <v>155</v>
      </c>
      <c r="R754" t="s">
        <v>156</v>
      </c>
      <c r="S754" t="s">
        <v>157</v>
      </c>
      <c r="T754">
        <v>2067</v>
      </c>
      <c r="U754" t="s">
        <v>95</v>
      </c>
      <c r="V754" t="s">
        <v>96</v>
      </c>
      <c r="W754" t="s">
        <v>158</v>
      </c>
      <c r="X754" t="s">
        <v>159</v>
      </c>
      <c r="Y754" t="s">
        <v>51</v>
      </c>
    </row>
    <row r="755" spans="1:25" x14ac:dyDescent="0.25">
      <c r="A755">
        <v>10103</v>
      </c>
      <c r="B755">
        <v>22</v>
      </c>
      <c r="C755">
        <v>54.09</v>
      </c>
      <c r="D755">
        <v>2</v>
      </c>
      <c r="E755">
        <v>1189.98</v>
      </c>
      <c r="F755" s="1">
        <v>37650</v>
      </c>
      <c r="G755" t="s">
        <v>25</v>
      </c>
      <c r="H755">
        <v>1</v>
      </c>
      <c r="I755">
        <v>1</v>
      </c>
      <c r="J755">
        <v>2003</v>
      </c>
      <c r="K755" t="s">
        <v>504</v>
      </c>
      <c r="L755">
        <v>60</v>
      </c>
      <c r="M755" t="s">
        <v>591</v>
      </c>
      <c r="N755" t="s">
        <v>133</v>
      </c>
      <c r="O755" t="s">
        <v>134</v>
      </c>
      <c r="P755" t="s">
        <v>135</v>
      </c>
      <c r="R755" t="s">
        <v>136</v>
      </c>
      <c r="T755">
        <v>4110</v>
      </c>
      <c r="U755" t="s">
        <v>78</v>
      </c>
      <c r="V755" t="s">
        <v>42</v>
      </c>
      <c r="W755" t="s">
        <v>137</v>
      </c>
      <c r="X755" t="s">
        <v>138</v>
      </c>
      <c r="Y755" t="s">
        <v>36</v>
      </c>
    </row>
    <row r="756" spans="1:25" x14ac:dyDescent="0.25">
      <c r="A756">
        <v>10114</v>
      </c>
      <c r="B756">
        <v>45</v>
      </c>
      <c r="C756">
        <v>68.67</v>
      </c>
      <c r="D756">
        <v>6</v>
      </c>
      <c r="E756">
        <v>3090.15</v>
      </c>
      <c r="F756" s="1">
        <v>37712</v>
      </c>
      <c r="G756" t="s">
        <v>25</v>
      </c>
      <c r="H756">
        <v>2</v>
      </c>
      <c r="I756">
        <v>4</v>
      </c>
      <c r="J756">
        <v>2003</v>
      </c>
      <c r="K756" t="s">
        <v>504</v>
      </c>
      <c r="L756">
        <v>60</v>
      </c>
      <c r="M756" t="s">
        <v>591</v>
      </c>
      <c r="N756" t="s">
        <v>403</v>
      </c>
      <c r="O756" t="s">
        <v>404</v>
      </c>
      <c r="P756" t="s">
        <v>405</v>
      </c>
      <c r="R756" t="s">
        <v>48</v>
      </c>
      <c r="T756">
        <v>75012</v>
      </c>
      <c r="U756" t="s">
        <v>41</v>
      </c>
      <c r="V756" t="s">
        <v>42</v>
      </c>
      <c r="W756" t="s">
        <v>406</v>
      </c>
      <c r="X756" t="s">
        <v>407</v>
      </c>
      <c r="Y756" t="s">
        <v>51</v>
      </c>
    </row>
    <row r="757" spans="1:25" x14ac:dyDescent="0.25">
      <c r="A757">
        <v>10126</v>
      </c>
      <c r="B757">
        <v>43</v>
      </c>
      <c r="C757">
        <v>65.02</v>
      </c>
      <c r="D757">
        <v>2</v>
      </c>
      <c r="E757">
        <v>2795.86</v>
      </c>
      <c r="F757" s="1">
        <v>37769</v>
      </c>
      <c r="G757" t="s">
        <v>25</v>
      </c>
      <c r="H757">
        <v>2</v>
      </c>
      <c r="I757">
        <v>5</v>
      </c>
      <c r="J757">
        <v>2003</v>
      </c>
      <c r="K757" t="s">
        <v>504</v>
      </c>
      <c r="L757">
        <v>60</v>
      </c>
      <c r="M757" t="s">
        <v>591</v>
      </c>
      <c r="N757" t="s">
        <v>191</v>
      </c>
      <c r="O757" t="s">
        <v>192</v>
      </c>
      <c r="P757" t="s">
        <v>193</v>
      </c>
      <c r="R757" t="s">
        <v>177</v>
      </c>
      <c r="T757">
        <v>28023</v>
      </c>
      <c r="U757" t="s">
        <v>178</v>
      </c>
      <c r="V757" t="s">
        <v>42</v>
      </c>
      <c r="W757" t="s">
        <v>194</v>
      </c>
      <c r="X757" t="s">
        <v>195</v>
      </c>
      <c r="Y757" t="s">
        <v>36</v>
      </c>
    </row>
    <row r="758" spans="1:25" x14ac:dyDescent="0.25">
      <c r="A758">
        <v>10140</v>
      </c>
      <c r="B758">
        <v>46</v>
      </c>
      <c r="C758">
        <v>61.99</v>
      </c>
      <c r="D758">
        <v>2</v>
      </c>
      <c r="E758">
        <v>2851.54</v>
      </c>
      <c r="F758" s="1">
        <v>37826</v>
      </c>
      <c r="G758" t="s">
        <v>25</v>
      </c>
      <c r="H758">
        <v>3</v>
      </c>
      <c r="I758">
        <v>7</v>
      </c>
      <c r="J758">
        <v>2003</v>
      </c>
      <c r="K758" t="s">
        <v>504</v>
      </c>
      <c r="L758">
        <v>60</v>
      </c>
      <c r="M758" t="s">
        <v>591</v>
      </c>
      <c r="N758" t="s">
        <v>62</v>
      </c>
      <c r="O758">
        <v>6505556809</v>
      </c>
      <c r="P758" t="s">
        <v>63</v>
      </c>
      <c r="R758" t="s">
        <v>64</v>
      </c>
      <c r="S758" t="s">
        <v>55</v>
      </c>
      <c r="T758">
        <v>94217</v>
      </c>
      <c r="U758" t="s">
        <v>32</v>
      </c>
      <c r="V758" t="s">
        <v>33</v>
      </c>
      <c r="W758" t="s">
        <v>65</v>
      </c>
      <c r="X758" t="s">
        <v>66</v>
      </c>
      <c r="Y758" t="s">
        <v>36</v>
      </c>
    </row>
    <row r="759" spans="1:25" x14ac:dyDescent="0.25">
      <c r="A759">
        <v>10151</v>
      </c>
      <c r="B759">
        <v>39</v>
      </c>
      <c r="C759">
        <v>69.28</v>
      </c>
      <c r="D759">
        <v>9</v>
      </c>
      <c r="E759">
        <v>2701.92</v>
      </c>
      <c r="F759" s="1">
        <v>37885</v>
      </c>
      <c r="G759" t="s">
        <v>25</v>
      </c>
      <c r="H759">
        <v>3</v>
      </c>
      <c r="I759">
        <v>9</v>
      </c>
      <c r="J759">
        <v>2003</v>
      </c>
      <c r="K759" t="s">
        <v>504</v>
      </c>
      <c r="L759">
        <v>60</v>
      </c>
      <c r="M759" t="s">
        <v>591</v>
      </c>
      <c r="N759" t="s">
        <v>391</v>
      </c>
      <c r="O759" t="s">
        <v>392</v>
      </c>
      <c r="P759" t="s">
        <v>393</v>
      </c>
      <c r="R759" t="s">
        <v>394</v>
      </c>
      <c r="T759">
        <v>90110</v>
      </c>
      <c r="U759" t="s">
        <v>130</v>
      </c>
      <c r="V759" t="s">
        <v>42</v>
      </c>
      <c r="W759" t="s">
        <v>395</v>
      </c>
      <c r="X759" t="s">
        <v>396</v>
      </c>
      <c r="Y759" t="s">
        <v>36</v>
      </c>
    </row>
    <row r="760" spans="1:25" x14ac:dyDescent="0.25">
      <c r="A760">
        <v>10165</v>
      </c>
      <c r="B760">
        <v>31</v>
      </c>
      <c r="C760">
        <v>71.099999999999994</v>
      </c>
      <c r="D760">
        <v>18</v>
      </c>
      <c r="E760">
        <v>2204.1</v>
      </c>
      <c r="F760" s="1">
        <v>37916</v>
      </c>
      <c r="G760" t="s">
        <v>25</v>
      </c>
      <c r="H760">
        <v>4</v>
      </c>
      <c r="I760">
        <v>10</v>
      </c>
      <c r="J760">
        <v>2003</v>
      </c>
      <c r="K760" t="s">
        <v>504</v>
      </c>
      <c r="L760">
        <v>60</v>
      </c>
      <c r="M760" t="s">
        <v>591</v>
      </c>
      <c r="N760" t="s">
        <v>196</v>
      </c>
      <c r="O760" t="s">
        <v>197</v>
      </c>
      <c r="P760" t="s">
        <v>198</v>
      </c>
      <c r="R760" t="s">
        <v>199</v>
      </c>
      <c r="T760">
        <v>79903</v>
      </c>
      <c r="U760" t="s">
        <v>199</v>
      </c>
      <c r="V760" t="s">
        <v>200</v>
      </c>
      <c r="W760" t="s">
        <v>201</v>
      </c>
      <c r="X760" t="s">
        <v>202</v>
      </c>
      <c r="Y760" t="s">
        <v>36</v>
      </c>
    </row>
    <row r="761" spans="1:25" x14ac:dyDescent="0.25">
      <c r="A761">
        <v>10175</v>
      </c>
      <c r="B761">
        <v>41</v>
      </c>
      <c r="C761">
        <v>69.28</v>
      </c>
      <c r="D761">
        <v>7</v>
      </c>
      <c r="E761">
        <v>2840.48</v>
      </c>
      <c r="F761" s="1">
        <v>37931</v>
      </c>
      <c r="G761" t="s">
        <v>25</v>
      </c>
      <c r="H761">
        <v>4</v>
      </c>
      <c r="I761">
        <v>11</v>
      </c>
      <c r="J761">
        <v>2003</v>
      </c>
      <c r="K761" t="s">
        <v>504</v>
      </c>
      <c r="L761">
        <v>60</v>
      </c>
      <c r="M761" t="s">
        <v>591</v>
      </c>
      <c r="N761" t="s">
        <v>329</v>
      </c>
      <c r="O761" t="s">
        <v>330</v>
      </c>
      <c r="P761" t="s">
        <v>331</v>
      </c>
      <c r="R761" t="s">
        <v>332</v>
      </c>
      <c r="T761" t="s">
        <v>333</v>
      </c>
      <c r="U761" t="s">
        <v>170</v>
      </c>
      <c r="V761" t="s">
        <v>42</v>
      </c>
      <c r="W761" t="s">
        <v>61</v>
      </c>
      <c r="X761" t="s">
        <v>334</v>
      </c>
      <c r="Y761" t="s">
        <v>36</v>
      </c>
    </row>
    <row r="762" spans="1:25" x14ac:dyDescent="0.25">
      <c r="A762">
        <v>10184</v>
      </c>
      <c r="B762">
        <v>44</v>
      </c>
      <c r="C762">
        <v>60.16</v>
      </c>
      <c r="D762">
        <v>12</v>
      </c>
      <c r="E762">
        <v>2647.04</v>
      </c>
      <c r="F762" s="1">
        <v>37939</v>
      </c>
      <c r="G762" t="s">
        <v>25</v>
      </c>
      <c r="H762">
        <v>4</v>
      </c>
      <c r="I762">
        <v>11</v>
      </c>
      <c r="J762">
        <v>2003</v>
      </c>
      <c r="K762" t="s">
        <v>504</v>
      </c>
      <c r="L762">
        <v>60</v>
      </c>
      <c r="M762" t="s">
        <v>591</v>
      </c>
      <c r="N762" t="s">
        <v>520</v>
      </c>
      <c r="O762" t="s">
        <v>521</v>
      </c>
      <c r="P762" t="s">
        <v>522</v>
      </c>
      <c r="R762" t="s">
        <v>523</v>
      </c>
      <c r="T762">
        <v>41101</v>
      </c>
      <c r="U762" t="s">
        <v>178</v>
      </c>
      <c r="V762" t="s">
        <v>42</v>
      </c>
      <c r="W762" t="s">
        <v>524</v>
      </c>
      <c r="X762" t="s">
        <v>525</v>
      </c>
      <c r="Y762" t="s">
        <v>36</v>
      </c>
    </row>
    <row r="763" spans="1:25" x14ac:dyDescent="0.25">
      <c r="A763">
        <v>10194</v>
      </c>
      <c r="B763">
        <v>45</v>
      </c>
      <c r="C763">
        <v>70.489999999999995</v>
      </c>
      <c r="D763">
        <v>2</v>
      </c>
      <c r="E763">
        <v>3172.05</v>
      </c>
      <c r="F763" s="1">
        <v>37950</v>
      </c>
      <c r="G763" t="s">
        <v>25</v>
      </c>
      <c r="H763">
        <v>4</v>
      </c>
      <c r="I763">
        <v>11</v>
      </c>
      <c r="J763">
        <v>2003</v>
      </c>
      <c r="K763" t="s">
        <v>504</v>
      </c>
      <c r="L763">
        <v>60</v>
      </c>
      <c r="M763" t="s">
        <v>591</v>
      </c>
      <c r="N763" t="s">
        <v>219</v>
      </c>
      <c r="O763" t="s">
        <v>220</v>
      </c>
      <c r="P763" t="s">
        <v>221</v>
      </c>
      <c r="R763" t="s">
        <v>222</v>
      </c>
      <c r="T763">
        <v>69004</v>
      </c>
      <c r="U763" t="s">
        <v>41</v>
      </c>
      <c r="V763" t="s">
        <v>42</v>
      </c>
      <c r="W763" t="s">
        <v>223</v>
      </c>
      <c r="X763" t="s">
        <v>224</v>
      </c>
      <c r="Y763" t="s">
        <v>51</v>
      </c>
    </row>
    <row r="764" spans="1:25" x14ac:dyDescent="0.25">
      <c r="A764">
        <v>10207</v>
      </c>
      <c r="B764">
        <v>37</v>
      </c>
      <c r="C764">
        <v>69.89</v>
      </c>
      <c r="D764">
        <v>13</v>
      </c>
      <c r="E764">
        <v>2585.9299999999998</v>
      </c>
      <c r="F764" s="1">
        <v>37964</v>
      </c>
      <c r="G764" t="s">
        <v>25</v>
      </c>
      <c r="H764">
        <v>4</v>
      </c>
      <c r="I764">
        <v>12</v>
      </c>
      <c r="J764">
        <v>2003</v>
      </c>
      <c r="K764" t="s">
        <v>504</v>
      </c>
      <c r="L764">
        <v>60</v>
      </c>
      <c r="M764" t="s">
        <v>591</v>
      </c>
      <c r="N764" t="s">
        <v>415</v>
      </c>
      <c r="O764">
        <v>6175552555</v>
      </c>
      <c r="P764" t="s">
        <v>416</v>
      </c>
      <c r="R764" t="s">
        <v>381</v>
      </c>
      <c r="S764" t="s">
        <v>123</v>
      </c>
      <c r="T764">
        <v>51003</v>
      </c>
      <c r="U764" t="s">
        <v>32</v>
      </c>
      <c r="V764" t="s">
        <v>33</v>
      </c>
      <c r="W764" t="s">
        <v>417</v>
      </c>
      <c r="X764" t="s">
        <v>276</v>
      </c>
      <c r="Y764" t="s">
        <v>36</v>
      </c>
    </row>
    <row r="765" spans="1:25" x14ac:dyDescent="0.25">
      <c r="A765">
        <v>10217</v>
      </c>
      <c r="B765">
        <v>35</v>
      </c>
      <c r="C765">
        <v>61.38</v>
      </c>
      <c r="D765">
        <v>2</v>
      </c>
      <c r="E765">
        <v>2148.3000000000002</v>
      </c>
      <c r="F765" s="1">
        <v>38021</v>
      </c>
      <c r="G765" t="s">
        <v>25</v>
      </c>
      <c r="H765">
        <v>1</v>
      </c>
      <c r="I765">
        <v>2</v>
      </c>
      <c r="J765">
        <v>2004</v>
      </c>
      <c r="K765" t="s">
        <v>504</v>
      </c>
      <c r="L765">
        <v>60</v>
      </c>
      <c r="M765" t="s">
        <v>591</v>
      </c>
      <c r="N765" t="s">
        <v>418</v>
      </c>
      <c r="O765" t="s">
        <v>419</v>
      </c>
      <c r="P765" t="s">
        <v>420</v>
      </c>
      <c r="Q765" t="s">
        <v>421</v>
      </c>
      <c r="R765" t="s">
        <v>199</v>
      </c>
      <c r="T765">
        <v>69045</v>
      </c>
      <c r="U765" t="s">
        <v>199</v>
      </c>
      <c r="V765" t="s">
        <v>96</v>
      </c>
      <c r="W765" t="s">
        <v>422</v>
      </c>
      <c r="X765" t="s">
        <v>423</v>
      </c>
      <c r="Y765" t="s">
        <v>36</v>
      </c>
    </row>
    <row r="766" spans="1:25" x14ac:dyDescent="0.25">
      <c r="A766">
        <v>10229</v>
      </c>
      <c r="B766">
        <v>28</v>
      </c>
      <c r="C766">
        <v>59.55</v>
      </c>
      <c r="D766">
        <v>7</v>
      </c>
      <c r="E766">
        <v>1667.4</v>
      </c>
      <c r="F766" s="1">
        <v>38057</v>
      </c>
      <c r="G766" t="s">
        <v>25</v>
      </c>
      <c r="H766">
        <v>1</v>
      </c>
      <c r="I766">
        <v>3</v>
      </c>
      <c r="J766">
        <v>2004</v>
      </c>
      <c r="K766" t="s">
        <v>504</v>
      </c>
      <c r="L766">
        <v>60</v>
      </c>
      <c r="M766" t="s">
        <v>591</v>
      </c>
      <c r="N766" t="s">
        <v>272</v>
      </c>
      <c r="O766">
        <v>4155551450</v>
      </c>
      <c r="P766" t="s">
        <v>273</v>
      </c>
      <c r="R766" t="s">
        <v>274</v>
      </c>
      <c r="S766" t="s">
        <v>55</v>
      </c>
      <c r="T766">
        <v>97562</v>
      </c>
      <c r="U766" t="s">
        <v>32</v>
      </c>
      <c r="V766" t="s">
        <v>33</v>
      </c>
      <c r="W766" t="s">
        <v>275</v>
      </c>
      <c r="X766" t="s">
        <v>276</v>
      </c>
      <c r="Y766" t="s">
        <v>36</v>
      </c>
    </row>
    <row r="767" spans="1:25" x14ac:dyDescent="0.25">
      <c r="A767">
        <v>10246</v>
      </c>
      <c r="B767">
        <v>30</v>
      </c>
      <c r="C767">
        <v>61.99</v>
      </c>
      <c r="D767">
        <v>11</v>
      </c>
      <c r="E767">
        <v>1859.7</v>
      </c>
      <c r="F767" s="1">
        <v>38112</v>
      </c>
      <c r="G767" t="s">
        <v>25</v>
      </c>
      <c r="H767">
        <v>2</v>
      </c>
      <c r="I767">
        <v>5</v>
      </c>
      <c r="J767">
        <v>2004</v>
      </c>
      <c r="K767" t="s">
        <v>504</v>
      </c>
      <c r="L767">
        <v>60</v>
      </c>
      <c r="M767" t="s">
        <v>591</v>
      </c>
      <c r="N767" t="s">
        <v>174</v>
      </c>
      <c r="O767" t="s">
        <v>175</v>
      </c>
      <c r="P767" t="s">
        <v>176</v>
      </c>
      <c r="R767" t="s">
        <v>177</v>
      </c>
      <c r="T767">
        <v>28034</v>
      </c>
      <c r="U767" t="s">
        <v>178</v>
      </c>
      <c r="V767" t="s">
        <v>42</v>
      </c>
      <c r="W767" t="s">
        <v>179</v>
      </c>
      <c r="X767" t="s">
        <v>180</v>
      </c>
      <c r="Y767" t="s">
        <v>36</v>
      </c>
    </row>
    <row r="768" spans="1:25" x14ac:dyDescent="0.25">
      <c r="A768">
        <v>10259</v>
      </c>
      <c r="B768">
        <v>30</v>
      </c>
      <c r="C768">
        <v>49.22</v>
      </c>
      <c r="D768">
        <v>10</v>
      </c>
      <c r="E768">
        <v>1476.6</v>
      </c>
      <c r="F768" s="1">
        <v>38153</v>
      </c>
      <c r="G768" t="s">
        <v>25</v>
      </c>
      <c r="H768">
        <v>2</v>
      </c>
      <c r="I768">
        <v>6</v>
      </c>
      <c r="J768">
        <v>2004</v>
      </c>
      <c r="K768" t="s">
        <v>504</v>
      </c>
      <c r="L768">
        <v>60</v>
      </c>
      <c r="M768" t="s">
        <v>591</v>
      </c>
      <c r="N768" t="s">
        <v>418</v>
      </c>
      <c r="O768" t="s">
        <v>419</v>
      </c>
      <c r="P768" t="s">
        <v>420</v>
      </c>
      <c r="Q768" t="s">
        <v>421</v>
      </c>
      <c r="R768" t="s">
        <v>199</v>
      </c>
      <c r="T768">
        <v>69045</v>
      </c>
      <c r="U768" t="s">
        <v>199</v>
      </c>
      <c r="V768" t="s">
        <v>96</v>
      </c>
      <c r="W768" t="s">
        <v>422</v>
      </c>
      <c r="X768" t="s">
        <v>423</v>
      </c>
      <c r="Y768" t="s">
        <v>36</v>
      </c>
    </row>
    <row r="769" spans="1:25" x14ac:dyDescent="0.25">
      <c r="A769">
        <v>10271</v>
      </c>
      <c r="B769">
        <v>25</v>
      </c>
      <c r="C769">
        <v>69.28</v>
      </c>
      <c r="D769">
        <v>11</v>
      </c>
      <c r="E769">
        <v>1732</v>
      </c>
      <c r="F769" s="1">
        <v>38188</v>
      </c>
      <c r="G769" t="s">
        <v>25</v>
      </c>
      <c r="H769">
        <v>3</v>
      </c>
      <c r="I769">
        <v>7</v>
      </c>
      <c r="J769">
        <v>2004</v>
      </c>
      <c r="K769" t="s">
        <v>504</v>
      </c>
      <c r="L769">
        <v>60</v>
      </c>
      <c r="M769" t="s">
        <v>591</v>
      </c>
      <c r="N769" t="s">
        <v>272</v>
      </c>
      <c r="O769">
        <v>4155551450</v>
      </c>
      <c r="P769" t="s">
        <v>273</v>
      </c>
      <c r="R769" t="s">
        <v>274</v>
      </c>
      <c r="S769" t="s">
        <v>55</v>
      </c>
      <c r="T769">
        <v>97562</v>
      </c>
      <c r="U769" t="s">
        <v>32</v>
      </c>
      <c r="V769" t="s">
        <v>33</v>
      </c>
      <c r="W769" t="s">
        <v>275</v>
      </c>
      <c r="X769" t="s">
        <v>276</v>
      </c>
      <c r="Y769" t="s">
        <v>36</v>
      </c>
    </row>
    <row r="770" spans="1:25" x14ac:dyDescent="0.25">
      <c r="A770">
        <v>10281</v>
      </c>
      <c r="B770">
        <v>29</v>
      </c>
      <c r="C770">
        <v>57.73</v>
      </c>
      <c r="D770">
        <v>7</v>
      </c>
      <c r="E770">
        <v>1674.17</v>
      </c>
      <c r="F770" s="1">
        <v>38218</v>
      </c>
      <c r="G770" t="s">
        <v>25</v>
      </c>
      <c r="H770">
        <v>3</v>
      </c>
      <c r="I770">
        <v>8</v>
      </c>
      <c r="J770">
        <v>2004</v>
      </c>
      <c r="K770" t="s">
        <v>504</v>
      </c>
      <c r="L770">
        <v>60</v>
      </c>
      <c r="M770" t="s">
        <v>591</v>
      </c>
      <c r="N770" t="s">
        <v>139</v>
      </c>
      <c r="O770">
        <v>2155551555</v>
      </c>
      <c r="P770" t="s">
        <v>140</v>
      </c>
      <c r="R770" t="s">
        <v>141</v>
      </c>
      <c r="S770" t="s">
        <v>142</v>
      </c>
      <c r="T770">
        <v>70267</v>
      </c>
      <c r="U770" t="s">
        <v>32</v>
      </c>
      <c r="V770" t="s">
        <v>33</v>
      </c>
      <c r="W770" t="s">
        <v>34</v>
      </c>
      <c r="X770" t="s">
        <v>143</v>
      </c>
      <c r="Y770" t="s">
        <v>36</v>
      </c>
    </row>
    <row r="771" spans="1:25" x14ac:dyDescent="0.25">
      <c r="A771">
        <v>10291</v>
      </c>
      <c r="B771">
        <v>26</v>
      </c>
      <c r="C771">
        <v>57.73</v>
      </c>
      <c r="D771">
        <v>2</v>
      </c>
      <c r="E771">
        <v>1500.98</v>
      </c>
      <c r="F771" s="1">
        <v>38238</v>
      </c>
      <c r="G771" t="s">
        <v>25</v>
      </c>
      <c r="H771">
        <v>3</v>
      </c>
      <c r="I771">
        <v>9</v>
      </c>
      <c r="J771">
        <v>2004</v>
      </c>
      <c r="K771" t="s">
        <v>504</v>
      </c>
      <c r="L771">
        <v>60</v>
      </c>
      <c r="M771" t="s">
        <v>591</v>
      </c>
      <c r="N771" t="s">
        <v>261</v>
      </c>
      <c r="O771" t="s">
        <v>262</v>
      </c>
      <c r="P771" t="s">
        <v>263</v>
      </c>
      <c r="R771" t="s">
        <v>264</v>
      </c>
      <c r="T771" t="s">
        <v>265</v>
      </c>
      <c r="U771" t="s">
        <v>188</v>
      </c>
      <c r="V771" t="s">
        <v>42</v>
      </c>
      <c r="W771" t="s">
        <v>266</v>
      </c>
      <c r="X771" t="s">
        <v>206</v>
      </c>
      <c r="Y771" t="s">
        <v>36</v>
      </c>
    </row>
    <row r="772" spans="1:25" x14ac:dyDescent="0.25">
      <c r="A772">
        <v>10305</v>
      </c>
      <c r="B772">
        <v>41</v>
      </c>
      <c r="C772">
        <v>53.48</v>
      </c>
      <c r="D772">
        <v>11</v>
      </c>
      <c r="E772">
        <v>2192.6799999999998</v>
      </c>
      <c r="F772" s="1">
        <v>38273</v>
      </c>
      <c r="G772" t="s">
        <v>25</v>
      </c>
      <c r="H772">
        <v>4</v>
      </c>
      <c r="I772">
        <v>10</v>
      </c>
      <c r="J772">
        <v>2004</v>
      </c>
      <c r="K772" t="s">
        <v>504</v>
      </c>
      <c r="L772">
        <v>60</v>
      </c>
      <c r="M772" t="s">
        <v>591</v>
      </c>
      <c r="N772" t="s">
        <v>120</v>
      </c>
      <c r="O772">
        <v>6175558555</v>
      </c>
      <c r="P772" t="s">
        <v>121</v>
      </c>
      <c r="R772" t="s">
        <v>122</v>
      </c>
      <c r="S772" t="s">
        <v>123</v>
      </c>
      <c r="T772">
        <v>51247</v>
      </c>
      <c r="U772" t="s">
        <v>32</v>
      </c>
      <c r="V772" t="s">
        <v>33</v>
      </c>
      <c r="W772" t="s">
        <v>124</v>
      </c>
      <c r="X772" t="s">
        <v>125</v>
      </c>
      <c r="Y772" t="s">
        <v>36</v>
      </c>
    </row>
    <row r="773" spans="1:25" x14ac:dyDescent="0.25">
      <c r="A773">
        <v>10313</v>
      </c>
      <c r="B773">
        <v>34</v>
      </c>
      <c r="C773">
        <v>52.87</v>
      </c>
      <c r="D773">
        <v>5</v>
      </c>
      <c r="E773">
        <v>1797.58</v>
      </c>
      <c r="F773" s="1">
        <v>38282</v>
      </c>
      <c r="G773" t="s">
        <v>25</v>
      </c>
      <c r="H773">
        <v>4</v>
      </c>
      <c r="I773">
        <v>10</v>
      </c>
      <c r="J773">
        <v>2004</v>
      </c>
      <c r="K773" t="s">
        <v>504</v>
      </c>
      <c r="L773">
        <v>60</v>
      </c>
      <c r="M773" t="s">
        <v>591</v>
      </c>
      <c r="N773" t="s">
        <v>225</v>
      </c>
      <c r="O773" t="s">
        <v>226</v>
      </c>
      <c r="P773" t="s">
        <v>227</v>
      </c>
      <c r="R773" t="s">
        <v>228</v>
      </c>
      <c r="S773" t="s">
        <v>229</v>
      </c>
      <c r="T773" t="s">
        <v>230</v>
      </c>
      <c r="U773" t="s">
        <v>231</v>
      </c>
      <c r="V773" t="s">
        <v>33</v>
      </c>
      <c r="W773" t="s">
        <v>232</v>
      </c>
      <c r="X773" t="s">
        <v>233</v>
      </c>
      <c r="Y773" t="s">
        <v>36</v>
      </c>
    </row>
    <row r="774" spans="1:25" x14ac:dyDescent="0.25">
      <c r="A774">
        <v>10322</v>
      </c>
      <c r="B774">
        <v>35</v>
      </c>
      <c r="C774">
        <v>61.21</v>
      </c>
      <c r="D774">
        <v>11</v>
      </c>
      <c r="E774">
        <v>2142.35</v>
      </c>
      <c r="F774" s="1">
        <v>38295</v>
      </c>
      <c r="G774" t="s">
        <v>25</v>
      </c>
      <c r="H774">
        <v>4</v>
      </c>
      <c r="I774">
        <v>11</v>
      </c>
      <c r="J774">
        <v>2004</v>
      </c>
      <c r="K774" t="s">
        <v>504</v>
      </c>
      <c r="L774">
        <v>60</v>
      </c>
      <c r="M774" t="s">
        <v>591</v>
      </c>
      <c r="N774" t="s">
        <v>277</v>
      </c>
      <c r="O774">
        <v>6035558647</v>
      </c>
      <c r="P774" t="s">
        <v>278</v>
      </c>
      <c r="R774" t="s">
        <v>279</v>
      </c>
      <c r="S774" t="s">
        <v>280</v>
      </c>
      <c r="T774">
        <v>62005</v>
      </c>
      <c r="U774" t="s">
        <v>32</v>
      </c>
      <c r="V774" t="s">
        <v>33</v>
      </c>
      <c r="W774" t="s">
        <v>56</v>
      </c>
      <c r="X774" t="s">
        <v>276</v>
      </c>
      <c r="Y774" t="s">
        <v>36</v>
      </c>
    </row>
    <row r="775" spans="1:25" x14ac:dyDescent="0.25">
      <c r="A775">
        <v>10334</v>
      </c>
      <c r="B775">
        <v>34</v>
      </c>
      <c r="C775">
        <v>61.38</v>
      </c>
      <c r="D775">
        <v>1</v>
      </c>
      <c r="E775">
        <v>2086.92</v>
      </c>
      <c r="F775" s="1">
        <v>38310</v>
      </c>
      <c r="G775" t="s">
        <v>401</v>
      </c>
      <c r="H775">
        <v>4</v>
      </c>
      <c r="I775">
        <v>11</v>
      </c>
      <c r="J775">
        <v>2004</v>
      </c>
      <c r="K775" t="s">
        <v>504</v>
      </c>
      <c r="L775">
        <v>60</v>
      </c>
      <c r="M775" t="s">
        <v>591</v>
      </c>
      <c r="N775" t="s">
        <v>183</v>
      </c>
      <c r="O775" t="s">
        <v>184</v>
      </c>
      <c r="P775" t="s">
        <v>185</v>
      </c>
      <c r="R775" t="s">
        <v>186</v>
      </c>
      <c r="T775" t="s">
        <v>187</v>
      </c>
      <c r="U775" t="s">
        <v>188</v>
      </c>
      <c r="V775" t="s">
        <v>42</v>
      </c>
      <c r="W775" t="s">
        <v>189</v>
      </c>
      <c r="X775" t="s">
        <v>190</v>
      </c>
      <c r="Y775" t="s">
        <v>36</v>
      </c>
    </row>
    <row r="776" spans="1:25" x14ac:dyDescent="0.25">
      <c r="A776">
        <v>10347</v>
      </c>
      <c r="B776">
        <v>50</v>
      </c>
      <c r="C776">
        <v>100</v>
      </c>
      <c r="D776">
        <v>8</v>
      </c>
      <c r="E776">
        <v>6834.5</v>
      </c>
      <c r="F776" s="1">
        <v>38320</v>
      </c>
      <c r="G776" t="s">
        <v>25</v>
      </c>
      <c r="H776">
        <v>4</v>
      </c>
      <c r="I776">
        <v>11</v>
      </c>
      <c r="J776">
        <v>2004</v>
      </c>
      <c r="K776" t="s">
        <v>504</v>
      </c>
      <c r="L776">
        <v>60</v>
      </c>
      <c r="M776" t="s">
        <v>591</v>
      </c>
      <c r="N776" t="s">
        <v>89</v>
      </c>
      <c r="O776" t="s">
        <v>90</v>
      </c>
      <c r="P776" t="s">
        <v>91</v>
      </c>
      <c r="Q776" t="s">
        <v>92</v>
      </c>
      <c r="R776" t="s">
        <v>93</v>
      </c>
      <c r="S776" t="s">
        <v>94</v>
      </c>
      <c r="T776">
        <v>3004</v>
      </c>
      <c r="U776" t="s">
        <v>95</v>
      </c>
      <c r="V776" t="s">
        <v>96</v>
      </c>
      <c r="W776" t="s">
        <v>97</v>
      </c>
      <c r="X776" t="s">
        <v>98</v>
      </c>
      <c r="Y776" t="s">
        <v>51</v>
      </c>
    </row>
    <row r="777" spans="1:25" x14ac:dyDescent="0.25">
      <c r="A777">
        <v>10357</v>
      </c>
      <c r="B777">
        <v>41</v>
      </c>
      <c r="C777">
        <v>61.99</v>
      </c>
      <c r="D777">
        <v>7</v>
      </c>
      <c r="E777">
        <v>2541.59</v>
      </c>
      <c r="F777" s="1">
        <v>38331</v>
      </c>
      <c r="G777" t="s">
        <v>25</v>
      </c>
      <c r="H777">
        <v>4</v>
      </c>
      <c r="I777">
        <v>12</v>
      </c>
      <c r="J777">
        <v>2004</v>
      </c>
      <c r="K777" t="s">
        <v>504</v>
      </c>
      <c r="L777">
        <v>60</v>
      </c>
      <c r="M777" t="s">
        <v>591</v>
      </c>
      <c r="N777" t="s">
        <v>272</v>
      </c>
      <c r="O777">
        <v>4155551450</v>
      </c>
      <c r="P777" t="s">
        <v>273</v>
      </c>
      <c r="R777" t="s">
        <v>274</v>
      </c>
      <c r="S777" t="s">
        <v>55</v>
      </c>
      <c r="T777">
        <v>97562</v>
      </c>
      <c r="U777" t="s">
        <v>32</v>
      </c>
      <c r="V777" t="s">
        <v>33</v>
      </c>
      <c r="W777" t="s">
        <v>275</v>
      </c>
      <c r="X777" t="s">
        <v>276</v>
      </c>
      <c r="Y777" t="s">
        <v>36</v>
      </c>
    </row>
    <row r="778" spans="1:25" x14ac:dyDescent="0.25">
      <c r="A778">
        <v>10370</v>
      </c>
      <c r="B778">
        <v>22</v>
      </c>
      <c r="C778">
        <v>96.86</v>
      </c>
      <c r="D778">
        <v>7</v>
      </c>
      <c r="E778">
        <v>2130.92</v>
      </c>
      <c r="F778" s="1">
        <v>38372</v>
      </c>
      <c r="G778" t="s">
        <v>25</v>
      </c>
      <c r="H778">
        <v>1</v>
      </c>
      <c r="I778">
        <v>1</v>
      </c>
      <c r="J778">
        <v>2005</v>
      </c>
      <c r="K778" t="s">
        <v>504</v>
      </c>
      <c r="L778">
        <v>60</v>
      </c>
      <c r="M778" t="s">
        <v>591</v>
      </c>
      <c r="N778" t="s">
        <v>285</v>
      </c>
      <c r="O778" t="s">
        <v>286</v>
      </c>
      <c r="P778" t="s">
        <v>287</v>
      </c>
      <c r="Q778" t="s">
        <v>288</v>
      </c>
      <c r="R778" t="s">
        <v>289</v>
      </c>
      <c r="S778" t="s">
        <v>157</v>
      </c>
      <c r="T778">
        <v>2060</v>
      </c>
      <c r="U778" t="s">
        <v>95</v>
      </c>
      <c r="V778" t="s">
        <v>96</v>
      </c>
      <c r="W778" t="s">
        <v>290</v>
      </c>
      <c r="X778" t="s">
        <v>291</v>
      </c>
      <c r="Y778" t="s">
        <v>36</v>
      </c>
    </row>
    <row r="779" spans="1:25" x14ac:dyDescent="0.25">
      <c r="A779">
        <v>10381</v>
      </c>
      <c r="B779">
        <v>35</v>
      </c>
      <c r="C779">
        <v>48.62</v>
      </c>
      <c r="D779">
        <v>7</v>
      </c>
      <c r="E779">
        <v>1701.7</v>
      </c>
      <c r="F779" s="1">
        <v>38400</v>
      </c>
      <c r="G779" t="s">
        <v>25</v>
      </c>
      <c r="H779">
        <v>1</v>
      </c>
      <c r="I779">
        <v>2</v>
      </c>
      <c r="J779">
        <v>2005</v>
      </c>
      <c r="K779" t="s">
        <v>504</v>
      </c>
      <c r="L779">
        <v>60</v>
      </c>
      <c r="M779" t="s">
        <v>591</v>
      </c>
      <c r="N779" t="s">
        <v>58</v>
      </c>
      <c r="O779">
        <v>6505551386</v>
      </c>
      <c r="P779" t="s">
        <v>59</v>
      </c>
      <c r="R779" t="s">
        <v>60</v>
      </c>
      <c r="S779" t="s">
        <v>55</v>
      </c>
      <c r="U779" t="s">
        <v>32</v>
      </c>
      <c r="V779" t="s">
        <v>33</v>
      </c>
      <c r="W779" t="s">
        <v>61</v>
      </c>
      <c r="X779" t="s">
        <v>57</v>
      </c>
      <c r="Y779" t="s">
        <v>36</v>
      </c>
    </row>
    <row r="780" spans="1:25" x14ac:dyDescent="0.25">
      <c r="A780">
        <v>10391</v>
      </c>
      <c r="B780">
        <v>44</v>
      </c>
      <c r="C780">
        <v>38.5</v>
      </c>
      <c r="D780">
        <v>5</v>
      </c>
      <c r="E780">
        <v>1694</v>
      </c>
      <c r="F780" s="1">
        <v>38420</v>
      </c>
      <c r="G780" t="s">
        <v>25</v>
      </c>
      <c r="H780">
        <v>1</v>
      </c>
      <c r="I780">
        <v>3</v>
      </c>
      <c r="J780">
        <v>2005</v>
      </c>
      <c r="K780" t="s">
        <v>504</v>
      </c>
      <c r="L780">
        <v>60</v>
      </c>
      <c r="M780" t="s">
        <v>591</v>
      </c>
      <c r="N780" t="s">
        <v>285</v>
      </c>
      <c r="O780" t="s">
        <v>286</v>
      </c>
      <c r="P780" t="s">
        <v>287</v>
      </c>
      <c r="Q780" t="s">
        <v>288</v>
      </c>
      <c r="R780" t="s">
        <v>289</v>
      </c>
      <c r="S780" t="s">
        <v>157</v>
      </c>
      <c r="T780">
        <v>2060</v>
      </c>
      <c r="U780" t="s">
        <v>95</v>
      </c>
      <c r="V780" t="s">
        <v>96</v>
      </c>
      <c r="W780" t="s">
        <v>290</v>
      </c>
      <c r="X780" t="s">
        <v>291</v>
      </c>
      <c r="Y780" t="s">
        <v>36</v>
      </c>
    </row>
    <row r="781" spans="1:25" x14ac:dyDescent="0.25">
      <c r="A781">
        <v>10412</v>
      </c>
      <c r="B781">
        <v>47</v>
      </c>
      <c r="C781">
        <v>61.99</v>
      </c>
      <c r="D781">
        <v>11</v>
      </c>
      <c r="E781">
        <v>2913.53</v>
      </c>
      <c r="F781" s="1">
        <v>38475</v>
      </c>
      <c r="G781" t="s">
        <v>25</v>
      </c>
      <c r="H781">
        <v>2</v>
      </c>
      <c r="I781">
        <v>5</v>
      </c>
      <c r="J781">
        <v>2005</v>
      </c>
      <c r="K781" t="s">
        <v>504</v>
      </c>
      <c r="L781">
        <v>60</v>
      </c>
      <c r="M781" t="s">
        <v>591</v>
      </c>
      <c r="N781" t="s">
        <v>174</v>
      </c>
      <c r="O781" t="s">
        <v>175</v>
      </c>
      <c r="P781" t="s">
        <v>176</v>
      </c>
      <c r="R781" t="s">
        <v>177</v>
      </c>
      <c r="T781">
        <v>28034</v>
      </c>
      <c r="U781" t="s">
        <v>178</v>
      </c>
      <c r="V781" t="s">
        <v>42</v>
      </c>
      <c r="W781" t="s">
        <v>179</v>
      </c>
      <c r="X781" t="s">
        <v>180</v>
      </c>
      <c r="Y781" t="s">
        <v>36</v>
      </c>
    </row>
    <row r="782" spans="1:25" x14ac:dyDescent="0.25">
      <c r="A782">
        <v>10425</v>
      </c>
      <c r="B782">
        <v>19</v>
      </c>
      <c r="C782">
        <v>49.22</v>
      </c>
      <c r="D782">
        <v>10</v>
      </c>
      <c r="E782">
        <v>935.18</v>
      </c>
      <c r="F782" s="1">
        <v>38503</v>
      </c>
      <c r="G782" t="s">
        <v>300</v>
      </c>
      <c r="H782">
        <v>2</v>
      </c>
      <c r="I782">
        <v>5</v>
      </c>
      <c r="J782">
        <v>2005</v>
      </c>
      <c r="K782" t="s">
        <v>504</v>
      </c>
      <c r="L782">
        <v>60</v>
      </c>
      <c r="M782" t="s">
        <v>591</v>
      </c>
      <c r="N782" t="s">
        <v>114</v>
      </c>
      <c r="O782" t="s">
        <v>115</v>
      </c>
      <c r="P782" t="s">
        <v>116</v>
      </c>
      <c r="R782" t="s">
        <v>117</v>
      </c>
      <c r="T782">
        <v>44000</v>
      </c>
      <c r="U782" t="s">
        <v>41</v>
      </c>
      <c r="V782" t="s">
        <v>42</v>
      </c>
      <c r="W782" t="s">
        <v>118</v>
      </c>
      <c r="X782" t="s">
        <v>119</v>
      </c>
      <c r="Y782" t="s">
        <v>36</v>
      </c>
    </row>
    <row r="783" spans="1:25" x14ac:dyDescent="0.25">
      <c r="A783">
        <v>10106</v>
      </c>
      <c r="B783">
        <v>34</v>
      </c>
      <c r="C783">
        <v>90.39</v>
      </c>
      <c r="D783">
        <v>2</v>
      </c>
      <c r="E783">
        <v>3073.26</v>
      </c>
      <c r="F783" s="1">
        <v>37669</v>
      </c>
      <c r="G783" t="s">
        <v>25</v>
      </c>
      <c r="H783">
        <v>1</v>
      </c>
      <c r="I783">
        <v>2</v>
      </c>
      <c r="J783">
        <v>2003</v>
      </c>
      <c r="K783" t="s">
        <v>566</v>
      </c>
      <c r="L783">
        <v>84</v>
      </c>
      <c r="M783" t="s">
        <v>592</v>
      </c>
      <c r="N783" t="s">
        <v>552</v>
      </c>
      <c r="O783" t="s">
        <v>553</v>
      </c>
      <c r="P783" t="s">
        <v>554</v>
      </c>
      <c r="R783" t="s">
        <v>555</v>
      </c>
      <c r="T783">
        <v>24100</v>
      </c>
      <c r="U783" t="s">
        <v>258</v>
      </c>
      <c r="V783" t="s">
        <v>42</v>
      </c>
      <c r="W783" t="s">
        <v>556</v>
      </c>
      <c r="X783" t="s">
        <v>557</v>
      </c>
      <c r="Y783" t="s">
        <v>51</v>
      </c>
    </row>
    <row r="784" spans="1:25" x14ac:dyDescent="0.25">
      <c r="A784">
        <v>10120</v>
      </c>
      <c r="B784">
        <v>29</v>
      </c>
      <c r="C784">
        <v>71.81</v>
      </c>
      <c r="D784">
        <v>8</v>
      </c>
      <c r="E784">
        <v>2082.4899999999998</v>
      </c>
      <c r="F784" s="1">
        <v>37740</v>
      </c>
      <c r="G784" t="s">
        <v>25</v>
      </c>
      <c r="H784">
        <v>2</v>
      </c>
      <c r="I784">
        <v>4</v>
      </c>
      <c r="J784">
        <v>2003</v>
      </c>
      <c r="K784" t="s">
        <v>566</v>
      </c>
      <c r="L784">
        <v>84</v>
      </c>
      <c r="M784" t="s">
        <v>592</v>
      </c>
      <c r="N784" t="s">
        <v>89</v>
      </c>
      <c r="O784" t="s">
        <v>90</v>
      </c>
      <c r="P784" t="s">
        <v>91</v>
      </c>
      <c r="Q784" t="s">
        <v>92</v>
      </c>
      <c r="R784" t="s">
        <v>93</v>
      </c>
      <c r="S784" t="s">
        <v>94</v>
      </c>
      <c r="T784">
        <v>3004</v>
      </c>
      <c r="U784" t="s">
        <v>95</v>
      </c>
      <c r="V784" t="s">
        <v>96</v>
      </c>
      <c r="W784" t="s">
        <v>97</v>
      </c>
      <c r="X784" t="s">
        <v>98</v>
      </c>
      <c r="Y784" t="s">
        <v>36</v>
      </c>
    </row>
    <row r="785" spans="1:25" x14ac:dyDescent="0.25">
      <c r="A785">
        <v>10133</v>
      </c>
      <c r="B785">
        <v>49</v>
      </c>
      <c r="C785">
        <v>69.27</v>
      </c>
      <c r="D785">
        <v>3</v>
      </c>
      <c r="E785">
        <v>3394.23</v>
      </c>
      <c r="F785" s="1">
        <v>37799</v>
      </c>
      <c r="G785" t="s">
        <v>25</v>
      </c>
      <c r="H785">
        <v>2</v>
      </c>
      <c r="I785">
        <v>6</v>
      </c>
      <c r="J785">
        <v>2003</v>
      </c>
      <c r="K785" t="s">
        <v>566</v>
      </c>
      <c r="L785">
        <v>84</v>
      </c>
      <c r="M785" t="s">
        <v>592</v>
      </c>
      <c r="N785" t="s">
        <v>174</v>
      </c>
      <c r="O785" t="s">
        <v>175</v>
      </c>
      <c r="P785" t="s">
        <v>176</v>
      </c>
      <c r="R785" t="s">
        <v>177</v>
      </c>
      <c r="T785">
        <v>28034</v>
      </c>
      <c r="U785" t="s">
        <v>178</v>
      </c>
      <c r="V785" t="s">
        <v>42</v>
      </c>
      <c r="W785" t="s">
        <v>179</v>
      </c>
      <c r="X785" t="s">
        <v>180</v>
      </c>
      <c r="Y785" t="s">
        <v>51</v>
      </c>
    </row>
    <row r="786" spans="1:25" x14ac:dyDescent="0.25">
      <c r="A786">
        <v>10145</v>
      </c>
      <c r="B786">
        <v>30</v>
      </c>
      <c r="C786">
        <v>85.32</v>
      </c>
      <c r="D786">
        <v>14</v>
      </c>
      <c r="E786">
        <v>2559.6</v>
      </c>
      <c r="F786" s="1">
        <v>37858</v>
      </c>
      <c r="G786" t="s">
        <v>25</v>
      </c>
      <c r="H786">
        <v>3</v>
      </c>
      <c r="I786">
        <v>8</v>
      </c>
      <c r="J786">
        <v>2003</v>
      </c>
      <c r="K786" t="s">
        <v>566</v>
      </c>
      <c r="L786">
        <v>84</v>
      </c>
      <c r="M786" t="s">
        <v>592</v>
      </c>
      <c r="N786" t="s">
        <v>52</v>
      </c>
      <c r="O786">
        <v>6265557265</v>
      </c>
      <c r="P786" t="s">
        <v>53</v>
      </c>
      <c r="R786" t="s">
        <v>54</v>
      </c>
      <c r="S786" t="s">
        <v>55</v>
      </c>
      <c r="T786">
        <v>90003</v>
      </c>
      <c r="U786" t="s">
        <v>32</v>
      </c>
      <c r="V786" t="s">
        <v>33</v>
      </c>
      <c r="W786" t="s">
        <v>56</v>
      </c>
      <c r="X786" t="s">
        <v>57</v>
      </c>
      <c r="Y786" t="s">
        <v>36</v>
      </c>
    </row>
    <row r="787" spans="1:25" x14ac:dyDescent="0.25">
      <c r="A787">
        <v>10168</v>
      </c>
      <c r="B787">
        <v>21</v>
      </c>
      <c r="C787">
        <v>70.959999999999994</v>
      </c>
      <c r="D787">
        <v>9</v>
      </c>
      <c r="E787">
        <v>1490.16</v>
      </c>
      <c r="F787" s="1">
        <v>37922</v>
      </c>
      <c r="G787" t="s">
        <v>25</v>
      </c>
      <c r="H787">
        <v>4</v>
      </c>
      <c r="I787">
        <v>10</v>
      </c>
      <c r="J787">
        <v>2003</v>
      </c>
      <c r="K787" t="s">
        <v>566</v>
      </c>
      <c r="L787">
        <v>84</v>
      </c>
      <c r="M787" t="s">
        <v>592</v>
      </c>
      <c r="N787" t="s">
        <v>62</v>
      </c>
      <c r="O787">
        <v>6505556809</v>
      </c>
      <c r="P787" t="s">
        <v>63</v>
      </c>
      <c r="R787" t="s">
        <v>64</v>
      </c>
      <c r="S787" t="s">
        <v>55</v>
      </c>
      <c r="T787">
        <v>94217</v>
      </c>
      <c r="U787" t="s">
        <v>32</v>
      </c>
      <c r="V787" t="s">
        <v>33</v>
      </c>
      <c r="W787" t="s">
        <v>65</v>
      </c>
      <c r="X787" t="s">
        <v>66</v>
      </c>
      <c r="Y787" t="s">
        <v>36</v>
      </c>
    </row>
    <row r="788" spans="1:25" x14ac:dyDescent="0.25">
      <c r="A788">
        <v>10210</v>
      </c>
      <c r="B788">
        <v>50</v>
      </c>
      <c r="C788">
        <v>76.88</v>
      </c>
      <c r="D788">
        <v>7</v>
      </c>
      <c r="E788">
        <v>3844</v>
      </c>
      <c r="F788" s="1">
        <v>37998</v>
      </c>
      <c r="G788" t="s">
        <v>25</v>
      </c>
      <c r="H788">
        <v>1</v>
      </c>
      <c r="I788">
        <v>1</v>
      </c>
      <c r="J788">
        <v>2004</v>
      </c>
      <c r="K788" t="s">
        <v>566</v>
      </c>
      <c r="L788">
        <v>84</v>
      </c>
      <c r="M788" t="s">
        <v>592</v>
      </c>
      <c r="N788" t="s">
        <v>302</v>
      </c>
      <c r="O788" t="s">
        <v>303</v>
      </c>
      <c r="P788" t="s">
        <v>304</v>
      </c>
      <c r="R788" t="s">
        <v>305</v>
      </c>
      <c r="S788" t="s">
        <v>305</v>
      </c>
      <c r="T788" t="s">
        <v>306</v>
      </c>
      <c r="U788" t="s">
        <v>200</v>
      </c>
      <c r="V788" t="s">
        <v>200</v>
      </c>
      <c r="W788" t="s">
        <v>307</v>
      </c>
      <c r="X788" t="s">
        <v>308</v>
      </c>
      <c r="Y788" t="s">
        <v>51</v>
      </c>
    </row>
    <row r="789" spans="1:25" x14ac:dyDescent="0.25">
      <c r="A789">
        <v>10223</v>
      </c>
      <c r="B789">
        <v>47</v>
      </c>
      <c r="C789">
        <v>100</v>
      </c>
      <c r="D789">
        <v>9</v>
      </c>
      <c r="E789">
        <v>4724.91</v>
      </c>
      <c r="F789" s="1">
        <v>38037</v>
      </c>
      <c r="G789" t="s">
        <v>25</v>
      </c>
      <c r="H789">
        <v>1</v>
      </c>
      <c r="I789">
        <v>2</v>
      </c>
      <c r="J789">
        <v>2004</v>
      </c>
      <c r="K789" t="s">
        <v>566</v>
      </c>
      <c r="L789">
        <v>84</v>
      </c>
      <c r="M789" t="s">
        <v>592</v>
      </c>
      <c r="N789" t="s">
        <v>89</v>
      </c>
      <c r="O789" t="s">
        <v>90</v>
      </c>
      <c r="P789" t="s">
        <v>91</v>
      </c>
      <c r="Q789" t="s">
        <v>92</v>
      </c>
      <c r="R789" t="s">
        <v>93</v>
      </c>
      <c r="S789" t="s">
        <v>94</v>
      </c>
      <c r="T789">
        <v>3004</v>
      </c>
      <c r="U789" t="s">
        <v>95</v>
      </c>
      <c r="V789" t="s">
        <v>96</v>
      </c>
      <c r="W789" t="s">
        <v>97</v>
      </c>
      <c r="X789" t="s">
        <v>98</v>
      </c>
      <c r="Y789" t="s">
        <v>51</v>
      </c>
    </row>
    <row r="790" spans="1:25" x14ac:dyDescent="0.25">
      <c r="A790">
        <v>10235</v>
      </c>
      <c r="B790">
        <v>24</v>
      </c>
      <c r="C790">
        <v>76.03</v>
      </c>
      <c r="D790">
        <v>3</v>
      </c>
      <c r="E790">
        <v>1824.72</v>
      </c>
      <c r="F790" s="1">
        <v>38079</v>
      </c>
      <c r="G790" t="s">
        <v>25</v>
      </c>
      <c r="H790">
        <v>2</v>
      </c>
      <c r="I790">
        <v>4</v>
      </c>
      <c r="J790">
        <v>2004</v>
      </c>
      <c r="K790" t="s">
        <v>566</v>
      </c>
      <c r="L790">
        <v>84</v>
      </c>
      <c r="M790" t="s">
        <v>592</v>
      </c>
      <c r="N790" t="s">
        <v>373</v>
      </c>
      <c r="O790" t="s">
        <v>374</v>
      </c>
      <c r="P790" t="s">
        <v>375</v>
      </c>
      <c r="R790" t="s">
        <v>376</v>
      </c>
      <c r="S790" t="s">
        <v>229</v>
      </c>
      <c r="T790" t="s">
        <v>377</v>
      </c>
      <c r="U790" t="s">
        <v>231</v>
      </c>
      <c r="V790" t="s">
        <v>33</v>
      </c>
      <c r="W790" t="s">
        <v>378</v>
      </c>
      <c r="X790" t="s">
        <v>172</v>
      </c>
      <c r="Y790" t="s">
        <v>36</v>
      </c>
    </row>
    <row r="791" spans="1:25" x14ac:dyDescent="0.25">
      <c r="A791">
        <v>10250</v>
      </c>
      <c r="B791">
        <v>27</v>
      </c>
      <c r="C791">
        <v>98.84</v>
      </c>
      <c r="D791">
        <v>4</v>
      </c>
      <c r="E791">
        <v>2668.68</v>
      </c>
      <c r="F791" s="1">
        <v>38118</v>
      </c>
      <c r="G791" t="s">
        <v>25</v>
      </c>
      <c r="H791">
        <v>2</v>
      </c>
      <c r="I791">
        <v>5</v>
      </c>
      <c r="J791">
        <v>2004</v>
      </c>
      <c r="K791" t="s">
        <v>566</v>
      </c>
      <c r="L791">
        <v>84</v>
      </c>
      <c r="M791" t="s">
        <v>592</v>
      </c>
      <c r="N791" t="s">
        <v>397</v>
      </c>
      <c r="O791">
        <v>4085553659</v>
      </c>
      <c r="P791" t="s">
        <v>398</v>
      </c>
      <c r="R791" t="s">
        <v>399</v>
      </c>
      <c r="S791" t="s">
        <v>55</v>
      </c>
      <c r="T791">
        <v>94217</v>
      </c>
      <c r="U791" t="s">
        <v>32</v>
      </c>
      <c r="V791" t="s">
        <v>33</v>
      </c>
      <c r="W791" t="s">
        <v>102</v>
      </c>
      <c r="X791" t="s">
        <v>400</v>
      </c>
      <c r="Y791" t="s">
        <v>36</v>
      </c>
    </row>
    <row r="792" spans="1:25" x14ac:dyDescent="0.25">
      <c r="A792">
        <v>10263</v>
      </c>
      <c r="B792">
        <v>33</v>
      </c>
      <c r="C792">
        <v>86.17</v>
      </c>
      <c r="D792">
        <v>10</v>
      </c>
      <c r="E792">
        <v>2843.61</v>
      </c>
      <c r="F792" s="1">
        <v>38166</v>
      </c>
      <c r="G792" t="s">
        <v>25</v>
      </c>
      <c r="H792">
        <v>2</v>
      </c>
      <c r="I792">
        <v>6</v>
      </c>
      <c r="J792">
        <v>2004</v>
      </c>
      <c r="K792" t="s">
        <v>566</v>
      </c>
      <c r="L792">
        <v>84</v>
      </c>
      <c r="M792" t="s">
        <v>592</v>
      </c>
      <c r="N792" t="s">
        <v>109</v>
      </c>
      <c r="O792">
        <v>2035552570</v>
      </c>
      <c r="P792" t="s">
        <v>110</v>
      </c>
      <c r="R792" t="s">
        <v>111</v>
      </c>
      <c r="S792" t="s">
        <v>112</v>
      </c>
      <c r="T792">
        <v>97562</v>
      </c>
      <c r="U792" t="s">
        <v>32</v>
      </c>
      <c r="V792" t="s">
        <v>33</v>
      </c>
      <c r="W792" t="s">
        <v>113</v>
      </c>
      <c r="X792" t="s">
        <v>57</v>
      </c>
      <c r="Y792" t="s">
        <v>36</v>
      </c>
    </row>
    <row r="793" spans="1:25" x14ac:dyDescent="0.25">
      <c r="A793">
        <v>10275</v>
      </c>
      <c r="B793">
        <v>35</v>
      </c>
      <c r="C793">
        <v>90.39</v>
      </c>
      <c r="D793">
        <v>9</v>
      </c>
      <c r="E793">
        <v>3163.65</v>
      </c>
      <c r="F793" s="1">
        <v>38191</v>
      </c>
      <c r="G793" t="s">
        <v>25</v>
      </c>
      <c r="H793">
        <v>3</v>
      </c>
      <c r="I793">
        <v>7</v>
      </c>
      <c r="J793">
        <v>2004</v>
      </c>
      <c r="K793" t="s">
        <v>566</v>
      </c>
      <c r="L793">
        <v>84</v>
      </c>
      <c r="M793" t="s">
        <v>592</v>
      </c>
      <c r="N793" t="s">
        <v>114</v>
      </c>
      <c r="O793" t="s">
        <v>115</v>
      </c>
      <c r="P793" t="s">
        <v>116</v>
      </c>
      <c r="R793" t="s">
        <v>117</v>
      </c>
      <c r="T793">
        <v>44000</v>
      </c>
      <c r="U793" t="s">
        <v>41</v>
      </c>
      <c r="V793" t="s">
        <v>42</v>
      </c>
      <c r="W793" t="s">
        <v>118</v>
      </c>
      <c r="X793" t="s">
        <v>119</v>
      </c>
      <c r="Y793" t="s">
        <v>51</v>
      </c>
    </row>
    <row r="794" spans="1:25" x14ac:dyDescent="0.25">
      <c r="A794">
        <v>10284</v>
      </c>
      <c r="B794">
        <v>31</v>
      </c>
      <c r="C794">
        <v>71.81</v>
      </c>
      <c r="D794">
        <v>1</v>
      </c>
      <c r="E794">
        <v>2226.11</v>
      </c>
      <c r="F794" s="1">
        <v>38220</v>
      </c>
      <c r="G794" t="s">
        <v>25</v>
      </c>
      <c r="H794">
        <v>3</v>
      </c>
      <c r="I794">
        <v>8</v>
      </c>
      <c r="J794">
        <v>2004</v>
      </c>
      <c r="K794" t="s">
        <v>566</v>
      </c>
      <c r="L794">
        <v>84</v>
      </c>
      <c r="M794" t="s">
        <v>592</v>
      </c>
      <c r="N794" t="s">
        <v>543</v>
      </c>
      <c r="O794" t="s">
        <v>544</v>
      </c>
      <c r="P794" t="s">
        <v>545</v>
      </c>
      <c r="R794" t="s">
        <v>546</v>
      </c>
      <c r="T794" t="s">
        <v>547</v>
      </c>
      <c r="U794" t="s">
        <v>78</v>
      </c>
      <c r="V794" t="s">
        <v>42</v>
      </c>
      <c r="W794" t="s">
        <v>548</v>
      </c>
      <c r="X794" t="s">
        <v>549</v>
      </c>
      <c r="Y794" t="s">
        <v>36</v>
      </c>
    </row>
    <row r="795" spans="1:25" x14ac:dyDescent="0.25">
      <c r="A795">
        <v>10297</v>
      </c>
      <c r="B795">
        <v>25</v>
      </c>
      <c r="C795">
        <v>82.79</v>
      </c>
      <c r="D795">
        <v>4</v>
      </c>
      <c r="E795">
        <v>2069.75</v>
      </c>
      <c r="F795" s="1">
        <v>38246</v>
      </c>
      <c r="G795" t="s">
        <v>25</v>
      </c>
      <c r="H795">
        <v>3</v>
      </c>
      <c r="I795">
        <v>9</v>
      </c>
      <c r="J795">
        <v>2004</v>
      </c>
      <c r="K795" t="s">
        <v>566</v>
      </c>
      <c r="L795">
        <v>84</v>
      </c>
      <c r="M795" t="s">
        <v>592</v>
      </c>
      <c r="N795" t="s">
        <v>479</v>
      </c>
      <c r="O795" t="s">
        <v>480</v>
      </c>
      <c r="P795" t="s">
        <v>481</v>
      </c>
      <c r="Q795" t="s">
        <v>482</v>
      </c>
      <c r="R795" t="s">
        <v>483</v>
      </c>
      <c r="T795">
        <v>2</v>
      </c>
      <c r="U795" t="s">
        <v>484</v>
      </c>
      <c r="V795" t="s">
        <v>42</v>
      </c>
      <c r="W795" t="s">
        <v>485</v>
      </c>
      <c r="X795" t="s">
        <v>486</v>
      </c>
      <c r="Y795" t="s">
        <v>36</v>
      </c>
    </row>
    <row r="796" spans="1:25" x14ac:dyDescent="0.25">
      <c r="A796">
        <v>10308</v>
      </c>
      <c r="B796">
        <v>27</v>
      </c>
      <c r="C796">
        <v>82.79</v>
      </c>
      <c r="D796">
        <v>7</v>
      </c>
      <c r="E796">
        <v>2235.33</v>
      </c>
      <c r="F796" s="1">
        <v>38275</v>
      </c>
      <c r="G796" t="s">
        <v>25</v>
      </c>
      <c r="H796">
        <v>4</v>
      </c>
      <c r="I796">
        <v>10</v>
      </c>
      <c r="J796">
        <v>2004</v>
      </c>
      <c r="K796" t="s">
        <v>566</v>
      </c>
      <c r="L796">
        <v>84</v>
      </c>
      <c r="M796" t="s">
        <v>592</v>
      </c>
      <c r="N796" t="s">
        <v>317</v>
      </c>
      <c r="O796">
        <v>9145554562</v>
      </c>
      <c r="P796" t="s">
        <v>318</v>
      </c>
      <c r="R796" t="s">
        <v>319</v>
      </c>
      <c r="S796" t="s">
        <v>31</v>
      </c>
      <c r="T796">
        <v>24067</v>
      </c>
      <c r="U796" t="s">
        <v>32</v>
      </c>
      <c r="V796" t="s">
        <v>33</v>
      </c>
      <c r="W796" t="s">
        <v>102</v>
      </c>
      <c r="X796" t="s">
        <v>238</v>
      </c>
      <c r="Y796" t="s">
        <v>36</v>
      </c>
    </row>
    <row r="797" spans="1:25" x14ac:dyDescent="0.25">
      <c r="A797">
        <v>10318</v>
      </c>
      <c r="B797">
        <v>31</v>
      </c>
      <c r="C797">
        <v>100</v>
      </c>
      <c r="D797">
        <v>9</v>
      </c>
      <c r="E797">
        <v>3116.43</v>
      </c>
      <c r="F797" s="1">
        <v>38293</v>
      </c>
      <c r="G797" t="s">
        <v>25</v>
      </c>
      <c r="H797">
        <v>4</v>
      </c>
      <c r="I797">
        <v>11</v>
      </c>
      <c r="J797">
        <v>2004</v>
      </c>
      <c r="K797" t="s">
        <v>566</v>
      </c>
      <c r="L797">
        <v>84</v>
      </c>
      <c r="M797" t="s">
        <v>592</v>
      </c>
      <c r="N797" t="s">
        <v>139</v>
      </c>
      <c r="O797">
        <v>2155551555</v>
      </c>
      <c r="P797" t="s">
        <v>140</v>
      </c>
      <c r="R797" t="s">
        <v>141</v>
      </c>
      <c r="S797" t="s">
        <v>142</v>
      </c>
      <c r="T797">
        <v>70267</v>
      </c>
      <c r="U797" t="s">
        <v>32</v>
      </c>
      <c r="V797" t="s">
        <v>33</v>
      </c>
      <c r="W797" t="s">
        <v>34</v>
      </c>
      <c r="X797" t="s">
        <v>143</v>
      </c>
      <c r="Y797" t="s">
        <v>51</v>
      </c>
    </row>
    <row r="798" spans="1:25" x14ac:dyDescent="0.25">
      <c r="A798">
        <v>10327</v>
      </c>
      <c r="B798">
        <v>45</v>
      </c>
      <c r="C798">
        <v>100</v>
      </c>
      <c r="D798">
        <v>8</v>
      </c>
      <c r="E798">
        <v>4781.7</v>
      </c>
      <c r="F798" s="1">
        <v>38301</v>
      </c>
      <c r="G798" t="s">
        <v>408</v>
      </c>
      <c r="H798">
        <v>4</v>
      </c>
      <c r="I798">
        <v>11</v>
      </c>
      <c r="J798">
        <v>2004</v>
      </c>
      <c r="K798" t="s">
        <v>566</v>
      </c>
      <c r="L798">
        <v>84</v>
      </c>
      <c r="M798" t="s">
        <v>592</v>
      </c>
      <c r="N798" t="s">
        <v>322</v>
      </c>
      <c r="O798" t="s">
        <v>323</v>
      </c>
      <c r="P798" t="s">
        <v>324</v>
      </c>
      <c r="R798" t="s">
        <v>325</v>
      </c>
      <c r="T798">
        <v>1734</v>
      </c>
      <c r="U798" t="s">
        <v>326</v>
      </c>
      <c r="V798" t="s">
        <v>42</v>
      </c>
      <c r="W798" t="s">
        <v>327</v>
      </c>
      <c r="X798" t="s">
        <v>328</v>
      </c>
      <c r="Y798" t="s">
        <v>51</v>
      </c>
    </row>
    <row r="799" spans="1:25" x14ac:dyDescent="0.25">
      <c r="A799">
        <v>10339</v>
      </c>
      <c r="B799">
        <v>27</v>
      </c>
      <c r="C799">
        <v>100</v>
      </c>
      <c r="D799">
        <v>2</v>
      </c>
      <c r="E799">
        <v>2810.7</v>
      </c>
      <c r="F799" s="1">
        <v>38314</v>
      </c>
      <c r="G799" t="s">
        <v>25</v>
      </c>
      <c r="H799">
        <v>4</v>
      </c>
      <c r="I799">
        <v>11</v>
      </c>
      <c r="J799">
        <v>2004</v>
      </c>
      <c r="K799" t="s">
        <v>566</v>
      </c>
      <c r="L799">
        <v>84</v>
      </c>
      <c r="M799" t="s">
        <v>592</v>
      </c>
      <c r="N799" t="s">
        <v>246</v>
      </c>
      <c r="O799" t="s">
        <v>247</v>
      </c>
      <c r="P799" t="s">
        <v>248</v>
      </c>
      <c r="R799" t="s">
        <v>249</v>
      </c>
      <c r="S799" t="s">
        <v>250</v>
      </c>
      <c r="T799" t="s">
        <v>251</v>
      </c>
      <c r="U799" t="s">
        <v>200</v>
      </c>
      <c r="V799" t="s">
        <v>200</v>
      </c>
      <c r="W799" t="s">
        <v>252</v>
      </c>
      <c r="X799" t="s">
        <v>253</v>
      </c>
      <c r="Y799" t="s">
        <v>36</v>
      </c>
    </row>
    <row r="800" spans="1:25" x14ac:dyDescent="0.25">
      <c r="A800">
        <v>10353</v>
      </c>
      <c r="B800">
        <v>27</v>
      </c>
      <c r="C800">
        <v>100</v>
      </c>
      <c r="D800">
        <v>1</v>
      </c>
      <c r="E800">
        <v>3515.67</v>
      </c>
      <c r="F800" s="1">
        <v>38325</v>
      </c>
      <c r="G800" t="s">
        <v>25</v>
      </c>
      <c r="H800">
        <v>4</v>
      </c>
      <c r="I800">
        <v>12</v>
      </c>
      <c r="J800">
        <v>2004</v>
      </c>
      <c r="K800" t="s">
        <v>566</v>
      </c>
      <c r="L800">
        <v>84</v>
      </c>
      <c r="M800" t="s">
        <v>592</v>
      </c>
      <c r="N800" t="s">
        <v>568</v>
      </c>
      <c r="O800">
        <v>2035554407</v>
      </c>
      <c r="P800" t="s">
        <v>569</v>
      </c>
      <c r="R800" t="s">
        <v>516</v>
      </c>
      <c r="S800" t="s">
        <v>112</v>
      </c>
      <c r="T800">
        <v>97561</v>
      </c>
      <c r="U800" t="s">
        <v>32</v>
      </c>
      <c r="V800" t="s">
        <v>33</v>
      </c>
      <c r="W800" t="s">
        <v>570</v>
      </c>
      <c r="X800" t="s">
        <v>571</v>
      </c>
      <c r="Y800" t="s">
        <v>51</v>
      </c>
    </row>
    <row r="801" spans="1:25" x14ac:dyDescent="0.25">
      <c r="A801">
        <v>10374</v>
      </c>
      <c r="B801">
        <v>42</v>
      </c>
      <c r="C801">
        <v>69.27</v>
      </c>
      <c r="D801">
        <v>2</v>
      </c>
      <c r="E801">
        <v>2909.34</v>
      </c>
      <c r="F801" s="1">
        <v>38385</v>
      </c>
      <c r="G801" t="s">
        <v>25</v>
      </c>
      <c r="H801">
        <v>1</v>
      </c>
      <c r="I801">
        <v>2</v>
      </c>
      <c r="J801">
        <v>2005</v>
      </c>
      <c r="K801" t="s">
        <v>566</v>
      </c>
      <c r="L801">
        <v>84</v>
      </c>
      <c r="M801" t="s">
        <v>592</v>
      </c>
      <c r="N801" t="s">
        <v>207</v>
      </c>
      <c r="O801" t="s">
        <v>208</v>
      </c>
      <c r="P801" t="s">
        <v>209</v>
      </c>
      <c r="R801" t="s">
        <v>210</v>
      </c>
      <c r="S801" t="s">
        <v>211</v>
      </c>
      <c r="T801">
        <v>4101</v>
      </c>
      <c r="U801" t="s">
        <v>95</v>
      </c>
      <c r="V801" t="s">
        <v>96</v>
      </c>
      <c r="W801" t="s">
        <v>212</v>
      </c>
      <c r="X801" t="s">
        <v>213</v>
      </c>
      <c r="Y801" t="s">
        <v>36</v>
      </c>
    </row>
    <row r="802" spans="1:25" x14ac:dyDescent="0.25">
      <c r="A802">
        <v>10386</v>
      </c>
      <c r="B802">
        <v>21</v>
      </c>
      <c r="C802">
        <v>74.77</v>
      </c>
      <c r="D802">
        <v>18</v>
      </c>
      <c r="E802">
        <v>1570.17</v>
      </c>
      <c r="F802" s="1">
        <v>38412</v>
      </c>
      <c r="G802" t="s">
        <v>408</v>
      </c>
      <c r="H802">
        <v>1</v>
      </c>
      <c r="I802">
        <v>3</v>
      </c>
      <c r="J802">
        <v>2005</v>
      </c>
      <c r="K802" t="s">
        <v>566</v>
      </c>
      <c r="L802">
        <v>84</v>
      </c>
      <c r="M802" t="s">
        <v>592</v>
      </c>
      <c r="N802" t="s">
        <v>174</v>
      </c>
      <c r="O802" t="s">
        <v>175</v>
      </c>
      <c r="P802" t="s">
        <v>176</v>
      </c>
      <c r="R802" t="s">
        <v>177</v>
      </c>
      <c r="T802">
        <v>28034</v>
      </c>
      <c r="U802" t="s">
        <v>178</v>
      </c>
      <c r="V802" t="s">
        <v>42</v>
      </c>
      <c r="W802" t="s">
        <v>179</v>
      </c>
      <c r="X802" t="s">
        <v>180</v>
      </c>
      <c r="Y802" t="s">
        <v>36</v>
      </c>
    </row>
    <row r="803" spans="1:25" x14ac:dyDescent="0.25">
      <c r="A803">
        <v>10398</v>
      </c>
      <c r="B803">
        <v>34</v>
      </c>
      <c r="C803">
        <v>76.88</v>
      </c>
      <c r="D803">
        <v>15</v>
      </c>
      <c r="E803">
        <v>2613.92</v>
      </c>
      <c r="F803" s="1">
        <v>38441</v>
      </c>
      <c r="G803" t="s">
        <v>25</v>
      </c>
      <c r="H803">
        <v>1</v>
      </c>
      <c r="I803">
        <v>3</v>
      </c>
      <c r="J803">
        <v>2005</v>
      </c>
      <c r="K803" t="s">
        <v>566</v>
      </c>
      <c r="L803">
        <v>84</v>
      </c>
      <c r="M803" t="s">
        <v>592</v>
      </c>
      <c r="N803" t="s">
        <v>37</v>
      </c>
      <c r="O803" t="s">
        <v>38</v>
      </c>
      <c r="P803" t="s">
        <v>39</v>
      </c>
      <c r="R803" t="s">
        <v>40</v>
      </c>
      <c r="T803">
        <v>51100</v>
      </c>
      <c r="U803" t="s">
        <v>41</v>
      </c>
      <c r="V803" t="s">
        <v>42</v>
      </c>
      <c r="W803" t="s">
        <v>43</v>
      </c>
      <c r="X803" t="s">
        <v>44</v>
      </c>
      <c r="Y803" t="s">
        <v>36</v>
      </c>
    </row>
    <row r="804" spans="1:25" x14ac:dyDescent="0.25">
      <c r="A804">
        <v>10401</v>
      </c>
      <c r="B804">
        <v>42</v>
      </c>
      <c r="C804">
        <v>76.03</v>
      </c>
      <c r="D804">
        <v>3</v>
      </c>
      <c r="E804">
        <v>3193.26</v>
      </c>
      <c r="F804" s="1">
        <v>38445</v>
      </c>
      <c r="G804" t="s">
        <v>401</v>
      </c>
      <c r="H804">
        <v>2</v>
      </c>
      <c r="I804">
        <v>4</v>
      </c>
      <c r="J804">
        <v>2005</v>
      </c>
      <c r="K804" t="s">
        <v>566</v>
      </c>
      <c r="L804">
        <v>84</v>
      </c>
      <c r="M804" t="s">
        <v>592</v>
      </c>
      <c r="N804" t="s">
        <v>104</v>
      </c>
      <c r="O804">
        <v>2015559350</v>
      </c>
      <c r="P804" t="s">
        <v>105</v>
      </c>
      <c r="R804" t="s">
        <v>106</v>
      </c>
      <c r="S804" t="s">
        <v>107</v>
      </c>
      <c r="T804">
        <v>94019</v>
      </c>
      <c r="U804" t="s">
        <v>32</v>
      </c>
      <c r="V804" t="s">
        <v>33</v>
      </c>
      <c r="W804" t="s">
        <v>61</v>
      </c>
      <c r="X804" t="s">
        <v>108</v>
      </c>
      <c r="Y804" t="s">
        <v>51</v>
      </c>
    </row>
    <row r="805" spans="1:25" x14ac:dyDescent="0.25">
      <c r="A805">
        <v>10416</v>
      </c>
      <c r="B805">
        <v>15</v>
      </c>
      <c r="C805">
        <v>98.84</v>
      </c>
      <c r="D805">
        <v>4</v>
      </c>
      <c r="E805">
        <v>1482.6</v>
      </c>
      <c r="F805" s="1">
        <v>38482</v>
      </c>
      <c r="G805" t="s">
        <v>25</v>
      </c>
      <c r="H805">
        <v>2</v>
      </c>
      <c r="I805">
        <v>5</v>
      </c>
      <c r="J805">
        <v>2005</v>
      </c>
      <c r="K805" t="s">
        <v>566</v>
      </c>
      <c r="L805">
        <v>84</v>
      </c>
      <c r="M805" t="s">
        <v>592</v>
      </c>
      <c r="N805" t="s">
        <v>452</v>
      </c>
      <c r="O805" t="s">
        <v>453</v>
      </c>
      <c r="P805" t="s">
        <v>454</v>
      </c>
      <c r="R805" t="s">
        <v>455</v>
      </c>
      <c r="T805">
        <v>42100</v>
      </c>
      <c r="U805" t="s">
        <v>258</v>
      </c>
      <c r="V805" t="s">
        <v>42</v>
      </c>
      <c r="W805" t="s">
        <v>456</v>
      </c>
      <c r="X805" t="s">
        <v>457</v>
      </c>
      <c r="Y805" t="s">
        <v>36</v>
      </c>
    </row>
    <row r="806" spans="1:25" x14ac:dyDescent="0.25">
      <c r="A806">
        <v>10107</v>
      </c>
      <c r="B806">
        <v>29</v>
      </c>
      <c r="C806">
        <v>70.87</v>
      </c>
      <c r="D806">
        <v>6</v>
      </c>
      <c r="E806">
        <v>2055.23</v>
      </c>
      <c r="F806" s="1">
        <v>37676</v>
      </c>
      <c r="G806" t="s">
        <v>25</v>
      </c>
      <c r="H806">
        <v>1</v>
      </c>
      <c r="I806">
        <v>2</v>
      </c>
      <c r="J806">
        <v>2003</v>
      </c>
      <c r="K806" t="s">
        <v>26</v>
      </c>
      <c r="L806">
        <v>60</v>
      </c>
      <c r="M806" t="s">
        <v>593</v>
      </c>
      <c r="N806" t="s">
        <v>28</v>
      </c>
      <c r="O806">
        <v>2125557818</v>
      </c>
      <c r="P806" t="s">
        <v>29</v>
      </c>
      <c r="R806" t="s">
        <v>30</v>
      </c>
      <c r="S806" t="s">
        <v>31</v>
      </c>
      <c r="T806">
        <v>10022</v>
      </c>
      <c r="U806" t="s">
        <v>32</v>
      </c>
      <c r="V806" t="s">
        <v>33</v>
      </c>
      <c r="W806" t="s">
        <v>34</v>
      </c>
      <c r="X806" t="s">
        <v>35</v>
      </c>
      <c r="Y806" t="s">
        <v>36</v>
      </c>
    </row>
    <row r="807" spans="1:25" x14ac:dyDescent="0.25">
      <c r="A807">
        <v>10120</v>
      </c>
      <c r="B807">
        <v>46</v>
      </c>
      <c r="C807">
        <v>58.15</v>
      </c>
      <c r="D807">
        <v>4</v>
      </c>
      <c r="E807">
        <v>2674.9</v>
      </c>
      <c r="F807" s="1">
        <v>37740</v>
      </c>
      <c r="G807" t="s">
        <v>25</v>
      </c>
      <c r="H807">
        <v>2</v>
      </c>
      <c r="I807">
        <v>4</v>
      </c>
      <c r="J807">
        <v>2003</v>
      </c>
      <c r="K807" t="s">
        <v>26</v>
      </c>
      <c r="L807">
        <v>60</v>
      </c>
      <c r="M807" t="s">
        <v>593</v>
      </c>
      <c r="N807" t="s">
        <v>89</v>
      </c>
      <c r="O807" t="s">
        <v>90</v>
      </c>
      <c r="P807" t="s">
        <v>91</v>
      </c>
      <c r="Q807" t="s">
        <v>92</v>
      </c>
      <c r="R807" t="s">
        <v>93</v>
      </c>
      <c r="S807" t="s">
        <v>94</v>
      </c>
      <c r="T807">
        <v>3004</v>
      </c>
      <c r="U807" t="s">
        <v>95</v>
      </c>
      <c r="V807" t="s">
        <v>96</v>
      </c>
      <c r="W807" t="s">
        <v>97</v>
      </c>
      <c r="X807" t="s">
        <v>98</v>
      </c>
      <c r="Y807" t="s">
        <v>36</v>
      </c>
    </row>
    <row r="808" spans="1:25" x14ac:dyDescent="0.25">
      <c r="A808">
        <v>10134</v>
      </c>
      <c r="B808">
        <v>30</v>
      </c>
      <c r="C808">
        <v>61.78</v>
      </c>
      <c r="D808">
        <v>6</v>
      </c>
      <c r="E808">
        <v>1853.4</v>
      </c>
      <c r="F808" s="1">
        <v>37803</v>
      </c>
      <c r="G808" t="s">
        <v>25</v>
      </c>
      <c r="H808">
        <v>3</v>
      </c>
      <c r="I808">
        <v>7</v>
      </c>
      <c r="J808">
        <v>2003</v>
      </c>
      <c r="K808" t="s">
        <v>26</v>
      </c>
      <c r="L808">
        <v>60</v>
      </c>
      <c r="M808" t="s">
        <v>593</v>
      </c>
      <c r="N808" t="s">
        <v>45</v>
      </c>
      <c r="O808" t="s">
        <v>46</v>
      </c>
      <c r="P808" t="s">
        <v>47</v>
      </c>
      <c r="R808" t="s">
        <v>48</v>
      </c>
      <c r="T808">
        <v>75508</v>
      </c>
      <c r="U808" t="s">
        <v>41</v>
      </c>
      <c r="V808" t="s">
        <v>42</v>
      </c>
      <c r="W808" t="s">
        <v>49</v>
      </c>
      <c r="X808" t="s">
        <v>50</v>
      </c>
      <c r="Y808" t="s">
        <v>36</v>
      </c>
    </row>
    <row r="809" spans="1:25" x14ac:dyDescent="0.25">
      <c r="A809">
        <v>10145</v>
      </c>
      <c r="B809">
        <v>30</v>
      </c>
      <c r="C809">
        <v>49.67</v>
      </c>
      <c r="D809">
        <v>10</v>
      </c>
      <c r="E809">
        <v>1490.1</v>
      </c>
      <c r="F809" s="1">
        <v>37858</v>
      </c>
      <c r="G809" t="s">
        <v>25</v>
      </c>
      <c r="H809">
        <v>3</v>
      </c>
      <c r="I809">
        <v>8</v>
      </c>
      <c r="J809">
        <v>2003</v>
      </c>
      <c r="K809" t="s">
        <v>26</v>
      </c>
      <c r="L809">
        <v>60</v>
      </c>
      <c r="M809" t="s">
        <v>593</v>
      </c>
      <c r="N809" t="s">
        <v>52</v>
      </c>
      <c r="O809">
        <v>6265557265</v>
      </c>
      <c r="P809" t="s">
        <v>53</v>
      </c>
      <c r="R809" t="s">
        <v>54</v>
      </c>
      <c r="S809" t="s">
        <v>55</v>
      </c>
      <c r="T809">
        <v>90003</v>
      </c>
      <c r="U809" t="s">
        <v>32</v>
      </c>
      <c r="V809" t="s">
        <v>33</v>
      </c>
      <c r="W809" t="s">
        <v>56</v>
      </c>
      <c r="X809" t="s">
        <v>57</v>
      </c>
      <c r="Y809" t="s">
        <v>36</v>
      </c>
    </row>
    <row r="810" spans="1:25" x14ac:dyDescent="0.25">
      <c r="A810">
        <v>10159</v>
      </c>
      <c r="B810">
        <v>42</v>
      </c>
      <c r="C810">
        <v>51.48</v>
      </c>
      <c r="D810">
        <v>18</v>
      </c>
      <c r="E810">
        <v>2162.16</v>
      </c>
      <c r="F810" s="1">
        <v>37904</v>
      </c>
      <c r="G810" t="s">
        <v>25</v>
      </c>
      <c r="H810">
        <v>4</v>
      </c>
      <c r="I810">
        <v>10</v>
      </c>
      <c r="J810">
        <v>2003</v>
      </c>
      <c r="K810" t="s">
        <v>26</v>
      </c>
      <c r="L810">
        <v>60</v>
      </c>
      <c r="M810" t="s">
        <v>593</v>
      </c>
      <c r="N810" t="s">
        <v>58</v>
      </c>
      <c r="O810">
        <v>6505551386</v>
      </c>
      <c r="P810" t="s">
        <v>59</v>
      </c>
      <c r="R810" t="s">
        <v>60</v>
      </c>
      <c r="S810" t="s">
        <v>55</v>
      </c>
      <c r="U810" t="s">
        <v>32</v>
      </c>
      <c r="V810" t="s">
        <v>33</v>
      </c>
      <c r="W810" t="s">
        <v>61</v>
      </c>
      <c r="X810" t="s">
        <v>57</v>
      </c>
      <c r="Y810" t="s">
        <v>36</v>
      </c>
    </row>
    <row r="811" spans="1:25" x14ac:dyDescent="0.25">
      <c r="A811">
        <v>10168</v>
      </c>
      <c r="B811">
        <v>46</v>
      </c>
      <c r="C811">
        <v>61.18</v>
      </c>
      <c r="D811">
        <v>5</v>
      </c>
      <c r="E811">
        <v>2814.28</v>
      </c>
      <c r="F811" s="1">
        <v>37922</v>
      </c>
      <c r="G811" t="s">
        <v>25</v>
      </c>
      <c r="H811">
        <v>4</v>
      </c>
      <c r="I811">
        <v>10</v>
      </c>
      <c r="J811">
        <v>2003</v>
      </c>
      <c r="K811" t="s">
        <v>26</v>
      </c>
      <c r="L811">
        <v>60</v>
      </c>
      <c r="M811" t="s">
        <v>593</v>
      </c>
      <c r="N811" t="s">
        <v>62</v>
      </c>
      <c r="O811">
        <v>6505556809</v>
      </c>
      <c r="P811" t="s">
        <v>63</v>
      </c>
      <c r="R811" t="s">
        <v>64</v>
      </c>
      <c r="S811" t="s">
        <v>55</v>
      </c>
      <c r="T811">
        <v>94217</v>
      </c>
      <c r="U811" t="s">
        <v>32</v>
      </c>
      <c r="V811" t="s">
        <v>33</v>
      </c>
      <c r="W811" t="s">
        <v>65</v>
      </c>
      <c r="X811" t="s">
        <v>66</v>
      </c>
      <c r="Y811" t="s">
        <v>36</v>
      </c>
    </row>
    <row r="812" spans="1:25" x14ac:dyDescent="0.25">
      <c r="A812">
        <v>10180</v>
      </c>
      <c r="B812">
        <v>25</v>
      </c>
      <c r="C812">
        <v>64.2</v>
      </c>
      <c r="D812">
        <v>13</v>
      </c>
      <c r="E812">
        <v>1605</v>
      </c>
      <c r="F812" s="1">
        <v>37936</v>
      </c>
      <c r="G812" t="s">
        <v>25</v>
      </c>
      <c r="H812">
        <v>4</v>
      </c>
      <c r="I812">
        <v>11</v>
      </c>
      <c r="J812">
        <v>2003</v>
      </c>
      <c r="K812" t="s">
        <v>26</v>
      </c>
      <c r="L812">
        <v>60</v>
      </c>
      <c r="M812" t="s">
        <v>593</v>
      </c>
      <c r="N812" t="s">
        <v>67</v>
      </c>
      <c r="O812" t="s">
        <v>68</v>
      </c>
      <c r="P812" t="s">
        <v>69</v>
      </c>
      <c r="R812" t="s">
        <v>70</v>
      </c>
      <c r="T812">
        <v>59000</v>
      </c>
      <c r="U812" t="s">
        <v>41</v>
      </c>
      <c r="V812" t="s">
        <v>42</v>
      </c>
      <c r="W812" t="s">
        <v>71</v>
      </c>
      <c r="X812" t="s">
        <v>72</v>
      </c>
      <c r="Y812" t="s">
        <v>36</v>
      </c>
    </row>
    <row r="813" spans="1:25" x14ac:dyDescent="0.25">
      <c r="A813">
        <v>10188</v>
      </c>
      <c r="B813">
        <v>32</v>
      </c>
      <c r="C813">
        <v>65.42</v>
      </c>
      <c r="D813">
        <v>5</v>
      </c>
      <c r="E813">
        <v>2093.44</v>
      </c>
      <c r="F813" s="1">
        <v>37943</v>
      </c>
      <c r="G813" t="s">
        <v>25</v>
      </c>
      <c r="H813">
        <v>4</v>
      </c>
      <c r="I813">
        <v>11</v>
      </c>
      <c r="J813">
        <v>2003</v>
      </c>
      <c r="K813" t="s">
        <v>26</v>
      </c>
      <c r="L813">
        <v>60</v>
      </c>
      <c r="M813" t="s">
        <v>593</v>
      </c>
      <c r="N813" t="s">
        <v>73</v>
      </c>
      <c r="O813" t="s">
        <v>74</v>
      </c>
      <c r="P813" t="s">
        <v>75</v>
      </c>
      <c r="R813" t="s">
        <v>76</v>
      </c>
      <c r="T813" t="s">
        <v>77</v>
      </c>
      <c r="U813" t="s">
        <v>78</v>
      </c>
      <c r="V813" t="s">
        <v>42</v>
      </c>
      <c r="W813" t="s">
        <v>79</v>
      </c>
      <c r="X813" t="s">
        <v>80</v>
      </c>
      <c r="Y813" t="s">
        <v>36</v>
      </c>
    </row>
    <row r="814" spans="1:25" x14ac:dyDescent="0.25">
      <c r="A814">
        <v>10201</v>
      </c>
      <c r="B814">
        <v>30</v>
      </c>
      <c r="C814">
        <v>64.81</v>
      </c>
      <c r="D814">
        <v>6</v>
      </c>
      <c r="E814">
        <v>1944.3</v>
      </c>
      <c r="F814" s="1">
        <v>37956</v>
      </c>
      <c r="G814" t="s">
        <v>25</v>
      </c>
      <c r="H814">
        <v>4</v>
      </c>
      <c r="I814">
        <v>12</v>
      </c>
      <c r="J814">
        <v>2003</v>
      </c>
      <c r="K814" t="s">
        <v>26</v>
      </c>
      <c r="L814">
        <v>60</v>
      </c>
      <c r="M814" t="s">
        <v>593</v>
      </c>
      <c r="N814" t="s">
        <v>81</v>
      </c>
      <c r="O814">
        <v>6505555787</v>
      </c>
      <c r="P814" t="s">
        <v>82</v>
      </c>
      <c r="R814" t="s">
        <v>60</v>
      </c>
      <c r="S814" t="s">
        <v>55</v>
      </c>
      <c r="U814" t="s">
        <v>32</v>
      </c>
      <c r="V814" t="s">
        <v>33</v>
      </c>
      <c r="W814" t="s">
        <v>83</v>
      </c>
      <c r="X814" t="s">
        <v>57</v>
      </c>
      <c r="Y814" t="s">
        <v>36</v>
      </c>
    </row>
    <row r="815" spans="1:25" x14ac:dyDescent="0.25">
      <c r="A815">
        <v>10210</v>
      </c>
      <c r="B815">
        <v>40</v>
      </c>
      <c r="C815">
        <v>49.67</v>
      </c>
      <c r="D815">
        <v>3</v>
      </c>
      <c r="E815">
        <v>1986.8</v>
      </c>
      <c r="F815" s="1">
        <v>37998</v>
      </c>
      <c r="G815" t="s">
        <v>25</v>
      </c>
      <c r="H815">
        <v>1</v>
      </c>
      <c r="I815">
        <v>1</v>
      </c>
      <c r="J815">
        <v>2004</v>
      </c>
      <c r="K815" t="s">
        <v>26</v>
      </c>
      <c r="L815">
        <v>60</v>
      </c>
      <c r="M815" t="s">
        <v>593</v>
      </c>
      <c r="N815" t="s">
        <v>302</v>
      </c>
      <c r="O815" t="s">
        <v>303</v>
      </c>
      <c r="P815" t="s">
        <v>304</v>
      </c>
      <c r="R815" t="s">
        <v>305</v>
      </c>
      <c r="S815" t="s">
        <v>305</v>
      </c>
      <c r="T815" t="s">
        <v>306</v>
      </c>
      <c r="U815" t="s">
        <v>200</v>
      </c>
      <c r="V815" t="s">
        <v>200</v>
      </c>
      <c r="W815" t="s">
        <v>307</v>
      </c>
      <c r="X815" t="s">
        <v>308</v>
      </c>
      <c r="Y815" t="s">
        <v>36</v>
      </c>
    </row>
    <row r="816" spans="1:25" x14ac:dyDescent="0.25">
      <c r="A816">
        <v>10223</v>
      </c>
      <c r="B816">
        <v>28</v>
      </c>
      <c r="C816">
        <v>60.57</v>
      </c>
      <c r="D816">
        <v>5</v>
      </c>
      <c r="E816">
        <v>1695.96</v>
      </c>
      <c r="F816" s="1">
        <v>38037</v>
      </c>
      <c r="G816" t="s">
        <v>25</v>
      </c>
      <c r="H816">
        <v>1</v>
      </c>
      <c r="I816">
        <v>2</v>
      </c>
      <c r="J816">
        <v>2004</v>
      </c>
      <c r="K816" t="s">
        <v>26</v>
      </c>
      <c r="L816">
        <v>60</v>
      </c>
      <c r="M816" t="s">
        <v>593</v>
      </c>
      <c r="N816" t="s">
        <v>89</v>
      </c>
      <c r="O816" t="s">
        <v>90</v>
      </c>
      <c r="P816" t="s">
        <v>91</v>
      </c>
      <c r="Q816" t="s">
        <v>92</v>
      </c>
      <c r="R816" t="s">
        <v>93</v>
      </c>
      <c r="S816" t="s">
        <v>94</v>
      </c>
      <c r="T816">
        <v>3004</v>
      </c>
      <c r="U816" t="s">
        <v>95</v>
      </c>
      <c r="V816" t="s">
        <v>96</v>
      </c>
      <c r="W816" t="s">
        <v>97</v>
      </c>
      <c r="X816" t="s">
        <v>98</v>
      </c>
      <c r="Y816" t="s">
        <v>36</v>
      </c>
    </row>
    <row r="817" spans="1:25" x14ac:dyDescent="0.25">
      <c r="A817">
        <v>10236</v>
      </c>
      <c r="B817">
        <v>23</v>
      </c>
      <c r="C817">
        <v>55.72</v>
      </c>
      <c r="D817">
        <v>2</v>
      </c>
      <c r="E817">
        <v>1281.56</v>
      </c>
      <c r="F817" s="1">
        <v>38080</v>
      </c>
      <c r="G817" t="s">
        <v>25</v>
      </c>
      <c r="H817">
        <v>2</v>
      </c>
      <c r="I817">
        <v>4</v>
      </c>
      <c r="J817">
        <v>2004</v>
      </c>
      <c r="K817" t="s">
        <v>26</v>
      </c>
      <c r="L817">
        <v>60</v>
      </c>
      <c r="M817" t="s">
        <v>593</v>
      </c>
      <c r="N817" t="s">
        <v>309</v>
      </c>
      <c r="O817">
        <v>2155559857</v>
      </c>
      <c r="P817" t="s">
        <v>310</v>
      </c>
      <c r="R817" t="s">
        <v>216</v>
      </c>
      <c r="S817" t="s">
        <v>142</v>
      </c>
      <c r="T817">
        <v>71270</v>
      </c>
      <c r="U817" t="s">
        <v>32</v>
      </c>
      <c r="V817" t="s">
        <v>33</v>
      </c>
      <c r="W817" t="s">
        <v>124</v>
      </c>
      <c r="X817" t="s">
        <v>311</v>
      </c>
      <c r="Y817" t="s">
        <v>36</v>
      </c>
    </row>
    <row r="818" spans="1:25" x14ac:dyDescent="0.25">
      <c r="A818">
        <v>10251</v>
      </c>
      <c r="B818">
        <v>29</v>
      </c>
      <c r="C818">
        <v>61.18</v>
      </c>
      <c r="D818">
        <v>6</v>
      </c>
      <c r="E818">
        <v>1774.22</v>
      </c>
      <c r="F818" s="1">
        <v>38125</v>
      </c>
      <c r="G818" t="s">
        <v>25</v>
      </c>
      <c r="H818">
        <v>2</v>
      </c>
      <c r="I818">
        <v>5</v>
      </c>
      <c r="J818">
        <v>2004</v>
      </c>
      <c r="K818" t="s">
        <v>26</v>
      </c>
      <c r="L818">
        <v>60</v>
      </c>
      <c r="M818" t="s">
        <v>593</v>
      </c>
      <c r="N818" t="s">
        <v>104</v>
      </c>
      <c r="O818">
        <v>2015559350</v>
      </c>
      <c r="P818" t="s">
        <v>105</v>
      </c>
      <c r="R818" t="s">
        <v>106</v>
      </c>
      <c r="S818" t="s">
        <v>107</v>
      </c>
      <c r="T818">
        <v>94019</v>
      </c>
      <c r="U818" t="s">
        <v>32</v>
      </c>
      <c r="V818" t="s">
        <v>33</v>
      </c>
      <c r="W818" t="s">
        <v>61</v>
      </c>
      <c r="X818" t="s">
        <v>108</v>
      </c>
      <c r="Y818" t="s">
        <v>36</v>
      </c>
    </row>
    <row r="819" spans="1:25" x14ac:dyDescent="0.25">
      <c r="A819">
        <v>10263</v>
      </c>
      <c r="B819">
        <v>34</v>
      </c>
      <c r="C819">
        <v>58.75</v>
      </c>
      <c r="D819">
        <v>6</v>
      </c>
      <c r="E819">
        <v>1997.5</v>
      </c>
      <c r="F819" s="1">
        <v>38166</v>
      </c>
      <c r="G819" t="s">
        <v>25</v>
      </c>
      <c r="H819">
        <v>2</v>
      </c>
      <c r="I819">
        <v>6</v>
      </c>
      <c r="J819">
        <v>2004</v>
      </c>
      <c r="K819" t="s">
        <v>26</v>
      </c>
      <c r="L819">
        <v>60</v>
      </c>
      <c r="M819" t="s">
        <v>593</v>
      </c>
      <c r="N819" t="s">
        <v>109</v>
      </c>
      <c r="O819">
        <v>2035552570</v>
      </c>
      <c r="P819" t="s">
        <v>110</v>
      </c>
      <c r="R819" t="s">
        <v>111</v>
      </c>
      <c r="S819" t="s">
        <v>112</v>
      </c>
      <c r="T819">
        <v>97562</v>
      </c>
      <c r="U819" t="s">
        <v>32</v>
      </c>
      <c r="V819" t="s">
        <v>33</v>
      </c>
      <c r="W819" t="s">
        <v>113</v>
      </c>
      <c r="X819" t="s">
        <v>57</v>
      </c>
      <c r="Y819" t="s">
        <v>36</v>
      </c>
    </row>
    <row r="820" spans="1:25" x14ac:dyDescent="0.25">
      <c r="A820">
        <v>10275</v>
      </c>
      <c r="B820">
        <v>37</v>
      </c>
      <c r="C820">
        <v>63.6</v>
      </c>
      <c r="D820">
        <v>5</v>
      </c>
      <c r="E820">
        <v>2353.1999999999998</v>
      </c>
      <c r="F820" s="1">
        <v>38191</v>
      </c>
      <c r="G820" t="s">
        <v>25</v>
      </c>
      <c r="H820">
        <v>3</v>
      </c>
      <c r="I820">
        <v>7</v>
      </c>
      <c r="J820">
        <v>2004</v>
      </c>
      <c r="K820" t="s">
        <v>26</v>
      </c>
      <c r="L820">
        <v>60</v>
      </c>
      <c r="M820" t="s">
        <v>593</v>
      </c>
      <c r="N820" t="s">
        <v>114</v>
      </c>
      <c r="O820" t="s">
        <v>115</v>
      </c>
      <c r="P820" t="s">
        <v>116</v>
      </c>
      <c r="R820" t="s">
        <v>117</v>
      </c>
      <c r="T820">
        <v>44000</v>
      </c>
      <c r="U820" t="s">
        <v>41</v>
      </c>
      <c r="V820" t="s">
        <v>42</v>
      </c>
      <c r="W820" t="s">
        <v>118</v>
      </c>
      <c r="X820" t="s">
        <v>119</v>
      </c>
      <c r="Y820" t="s">
        <v>36</v>
      </c>
    </row>
    <row r="821" spans="1:25" x14ac:dyDescent="0.25">
      <c r="A821">
        <v>10285</v>
      </c>
      <c r="B821">
        <v>20</v>
      </c>
      <c r="C821">
        <v>49.06</v>
      </c>
      <c r="D821">
        <v>10</v>
      </c>
      <c r="E821">
        <v>981.2</v>
      </c>
      <c r="F821" s="1">
        <v>38226</v>
      </c>
      <c r="G821" t="s">
        <v>25</v>
      </c>
      <c r="H821">
        <v>3</v>
      </c>
      <c r="I821">
        <v>8</v>
      </c>
      <c r="J821">
        <v>2004</v>
      </c>
      <c r="K821" t="s">
        <v>26</v>
      </c>
      <c r="L821">
        <v>60</v>
      </c>
      <c r="M821" t="s">
        <v>593</v>
      </c>
      <c r="N821" t="s">
        <v>120</v>
      </c>
      <c r="O821">
        <v>6175558555</v>
      </c>
      <c r="P821" t="s">
        <v>121</v>
      </c>
      <c r="R821" t="s">
        <v>122</v>
      </c>
      <c r="S821" t="s">
        <v>123</v>
      </c>
      <c r="T821">
        <v>51247</v>
      </c>
      <c r="U821" t="s">
        <v>32</v>
      </c>
      <c r="V821" t="s">
        <v>33</v>
      </c>
      <c r="W821" t="s">
        <v>124</v>
      </c>
      <c r="X821" t="s">
        <v>125</v>
      </c>
      <c r="Y821" t="s">
        <v>36</v>
      </c>
    </row>
    <row r="822" spans="1:25" x14ac:dyDescent="0.25">
      <c r="A822">
        <v>10298</v>
      </c>
      <c r="B822">
        <v>32</v>
      </c>
      <c r="C822">
        <v>48.46</v>
      </c>
      <c r="D822">
        <v>2</v>
      </c>
      <c r="E822">
        <v>1550.72</v>
      </c>
      <c r="F822" s="1">
        <v>38257</v>
      </c>
      <c r="G822" t="s">
        <v>25</v>
      </c>
      <c r="H822">
        <v>3</v>
      </c>
      <c r="I822">
        <v>9</v>
      </c>
      <c r="J822">
        <v>2004</v>
      </c>
      <c r="K822" t="s">
        <v>26</v>
      </c>
      <c r="L822">
        <v>60</v>
      </c>
      <c r="M822" t="s">
        <v>593</v>
      </c>
      <c r="N822" t="s">
        <v>312</v>
      </c>
      <c r="O822" t="s">
        <v>313</v>
      </c>
      <c r="P822" t="s">
        <v>314</v>
      </c>
      <c r="R822" t="s">
        <v>117</v>
      </c>
      <c r="T822">
        <v>44000</v>
      </c>
      <c r="U822" t="s">
        <v>41</v>
      </c>
      <c r="V822" t="s">
        <v>42</v>
      </c>
      <c r="W822" t="s">
        <v>315</v>
      </c>
      <c r="X822" t="s">
        <v>316</v>
      </c>
      <c r="Y822" t="s">
        <v>36</v>
      </c>
    </row>
    <row r="823" spans="1:25" x14ac:dyDescent="0.25">
      <c r="A823">
        <v>10308</v>
      </c>
      <c r="B823">
        <v>34</v>
      </c>
      <c r="C823">
        <v>52.09</v>
      </c>
      <c r="D823">
        <v>3</v>
      </c>
      <c r="E823">
        <v>1771.06</v>
      </c>
      <c r="F823" s="1">
        <v>38275</v>
      </c>
      <c r="G823" t="s">
        <v>25</v>
      </c>
      <c r="H823">
        <v>4</v>
      </c>
      <c r="I823">
        <v>10</v>
      </c>
      <c r="J823">
        <v>2004</v>
      </c>
      <c r="K823" t="s">
        <v>26</v>
      </c>
      <c r="L823">
        <v>60</v>
      </c>
      <c r="M823" t="s">
        <v>593</v>
      </c>
      <c r="N823" t="s">
        <v>317</v>
      </c>
      <c r="O823">
        <v>9145554562</v>
      </c>
      <c r="P823" t="s">
        <v>318</v>
      </c>
      <c r="R823" t="s">
        <v>319</v>
      </c>
      <c r="S823" t="s">
        <v>31</v>
      </c>
      <c r="T823">
        <v>24067</v>
      </c>
      <c r="U823" t="s">
        <v>32</v>
      </c>
      <c r="V823" t="s">
        <v>33</v>
      </c>
      <c r="W823" t="s">
        <v>102</v>
      </c>
      <c r="X823" t="s">
        <v>238</v>
      </c>
      <c r="Y823" t="s">
        <v>36</v>
      </c>
    </row>
    <row r="824" spans="1:25" x14ac:dyDescent="0.25">
      <c r="A824">
        <v>10318</v>
      </c>
      <c r="B824">
        <v>42</v>
      </c>
      <c r="C824">
        <v>52.7</v>
      </c>
      <c r="D824">
        <v>5</v>
      </c>
      <c r="E824">
        <v>2213.4</v>
      </c>
      <c r="F824" s="1">
        <v>38293</v>
      </c>
      <c r="G824" t="s">
        <v>25</v>
      </c>
      <c r="H824">
        <v>4</v>
      </c>
      <c r="I824">
        <v>11</v>
      </c>
      <c r="J824">
        <v>2004</v>
      </c>
      <c r="K824" t="s">
        <v>26</v>
      </c>
      <c r="L824">
        <v>60</v>
      </c>
      <c r="M824" t="s">
        <v>593</v>
      </c>
      <c r="N824" t="s">
        <v>139</v>
      </c>
      <c r="O824">
        <v>2155551555</v>
      </c>
      <c r="P824" t="s">
        <v>140</v>
      </c>
      <c r="R824" t="s">
        <v>141</v>
      </c>
      <c r="S824" t="s">
        <v>142</v>
      </c>
      <c r="T824">
        <v>70267</v>
      </c>
      <c r="U824" t="s">
        <v>32</v>
      </c>
      <c r="V824" t="s">
        <v>33</v>
      </c>
      <c r="W824" t="s">
        <v>34</v>
      </c>
      <c r="X824" t="s">
        <v>143</v>
      </c>
      <c r="Y824" t="s">
        <v>36</v>
      </c>
    </row>
    <row r="825" spans="1:25" x14ac:dyDescent="0.25">
      <c r="A825">
        <v>10329</v>
      </c>
      <c r="B825">
        <v>38</v>
      </c>
      <c r="C825">
        <v>100</v>
      </c>
      <c r="D825">
        <v>12</v>
      </c>
      <c r="E825">
        <v>5266.04</v>
      </c>
      <c r="F825" s="1">
        <v>38306</v>
      </c>
      <c r="G825" t="s">
        <v>25</v>
      </c>
      <c r="H825">
        <v>4</v>
      </c>
      <c r="I825">
        <v>11</v>
      </c>
      <c r="J825">
        <v>2004</v>
      </c>
      <c r="K825" t="s">
        <v>26</v>
      </c>
      <c r="L825">
        <v>60</v>
      </c>
      <c r="M825" t="s">
        <v>593</v>
      </c>
      <c r="N825" t="s">
        <v>28</v>
      </c>
      <c r="O825">
        <v>2125557818</v>
      </c>
      <c r="P825" t="s">
        <v>29</v>
      </c>
      <c r="R825" t="s">
        <v>30</v>
      </c>
      <c r="S825" t="s">
        <v>31</v>
      </c>
      <c r="T825">
        <v>10022</v>
      </c>
      <c r="U825" t="s">
        <v>32</v>
      </c>
      <c r="V825" t="s">
        <v>33</v>
      </c>
      <c r="W825" t="s">
        <v>34</v>
      </c>
      <c r="X825" t="s">
        <v>35</v>
      </c>
      <c r="Y825" t="s">
        <v>51</v>
      </c>
    </row>
    <row r="826" spans="1:25" x14ac:dyDescent="0.25">
      <c r="A826">
        <v>10339</v>
      </c>
      <c r="B826">
        <v>30</v>
      </c>
      <c r="C826">
        <v>62.16</v>
      </c>
      <c r="D826">
        <v>1</v>
      </c>
      <c r="E826">
        <v>1864.8</v>
      </c>
      <c r="F826" s="1">
        <v>38314</v>
      </c>
      <c r="G826" t="s">
        <v>25</v>
      </c>
      <c r="H826">
        <v>4</v>
      </c>
      <c r="I826">
        <v>11</v>
      </c>
      <c r="J826">
        <v>2004</v>
      </c>
      <c r="K826" t="s">
        <v>26</v>
      </c>
      <c r="L826">
        <v>60</v>
      </c>
      <c r="M826" t="s">
        <v>593</v>
      </c>
      <c r="N826" t="s">
        <v>246</v>
      </c>
      <c r="O826" t="s">
        <v>247</v>
      </c>
      <c r="P826" t="s">
        <v>248</v>
      </c>
      <c r="R826" t="s">
        <v>249</v>
      </c>
      <c r="S826" t="s">
        <v>250</v>
      </c>
      <c r="T826" t="s">
        <v>251</v>
      </c>
      <c r="U826" t="s">
        <v>200</v>
      </c>
      <c r="V826" t="s">
        <v>200</v>
      </c>
      <c r="W826" t="s">
        <v>252</v>
      </c>
      <c r="X826" t="s">
        <v>253</v>
      </c>
      <c r="Y826" t="s">
        <v>36</v>
      </c>
    </row>
    <row r="827" spans="1:25" x14ac:dyDescent="0.25">
      <c r="A827">
        <v>10362</v>
      </c>
      <c r="B827">
        <v>23</v>
      </c>
      <c r="C827">
        <v>49.67</v>
      </c>
      <c r="D827">
        <v>3</v>
      </c>
      <c r="E827">
        <v>1142.4100000000001</v>
      </c>
      <c r="F827" s="1">
        <v>38357</v>
      </c>
      <c r="G827" t="s">
        <v>25</v>
      </c>
      <c r="H827">
        <v>1</v>
      </c>
      <c r="I827">
        <v>1</v>
      </c>
      <c r="J827">
        <v>2005</v>
      </c>
      <c r="K827" t="s">
        <v>26</v>
      </c>
      <c r="L827">
        <v>60</v>
      </c>
      <c r="M827" t="s">
        <v>593</v>
      </c>
      <c r="N827" t="s">
        <v>62</v>
      </c>
      <c r="O827">
        <v>6505556809</v>
      </c>
      <c r="P827" t="s">
        <v>63</v>
      </c>
      <c r="R827" t="s">
        <v>64</v>
      </c>
      <c r="S827" t="s">
        <v>55</v>
      </c>
      <c r="T827">
        <v>94217</v>
      </c>
      <c r="U827" t="s">
        <v>32</v>
      </c>
      <c r="V827" t="s">
        <v>33</v>
      </c>
      <c r="W827" t="s">
        <v>65</v>
      </c>
      <c r="X827" t="s">
        <v>66</v>
      </c>
      <c r="Y827" t="s">
        <v>36</v>
      </c>
    </row>
    <row r="828" spans="1:25" x14ac:dyDescent="0.25">
      <c r="A828">
        <v>10374</v>
      </c>
      <c r="B828">
        <v>22</v>
      </c>
      <c r="C828">
        <v>53.3</v>
      </c>
      <c r="D828">
        <v>4</v>
      </c>
      <c r="E828">
        <v>1172.5999999999999</v>
      </c>
      <c r="F828" s="1">
        <v>38385</v>
      </c>
      <c r="G828" t="s">
        <v>25</v>
      </c>
      <c r="H828">
        <v>1</v>
      </c>
      <c r="I828">
        <v>2</v>
      </c>
      <c r="J828">
        <v>2005</v>
      </c>
      <c r="K828" t="s">
        <v>26</v>
      </c>
      <c r="L828">
        <v>60</v>
      </c>
      <c r="M828" t="s">
        <v>593</v>
      </c>
      <c r="N828" t="s">
        <v>207</v>
      </c>
      <c r="O828" t="s">
        <v>208</v>
      </c>
      <c r="P828" t="s">
        <v>209</v>
      </c>
      <c r="R828" t="s">
        <v>210</v>
      </c>
      <c r="S828" t="s">
        <v>211</v>
      </c>
      <c r="T828">
        <v>4101</v>
      </c>
      <c r="U828" t="s">
        <v>95</v>
      </c>
      <c r="V828" t="s">
        <v>96</v>
      </c>
      <c r="W828" t="s">
        <v>212</v>
      </c>
      <c r="X828" t="s">
        <v>213</v>
      </c>
      <c r="Y828" t="s">
        <v>36</v>
      </c>
    </row>
    <row r="829" spans="1:25" x14ac:dyDescent="0.25">
      <c r="A829">
        <v>10389</v>
      </c>
      <c r="B829">
        <v>39</v>
      </c>
      <c r="C829">
        <v>100</v>
      </c>
      <c r="D829">
        <v>5</v>
      </c>
      <c r="E829">
        <v>6981</v>
      </c>
      <c r="F829" s="1">
        <v>38414</v>
      </c>
      <c r="G829" t="s">
        <v>25</v>
      </c>
      <c r="H829">
        <v>1</v>
      </c>
      <c r="I829">
        <v>3</v>
      </c>
      <c r="J829">
        <v>2005</v>
      </c>
      <c r="K829" t="s">
        <v>26</v>
      </c>
      <c r="L829">
        <v>60</v>
      </c>
      <c r="M829" t="s">
        <v>593</v>
      </c>
      <c r="N829" t="s">
        <v>261</v>
      </c>
      <c r="O829" t="s">
        <v>262</v>
      </c>
      <c r="P829" t="s">
        <v>263</v>
      </c>
      <c r="R829" t="s">
        <v>264</v>
      </c>
      <c r="T829" t="s">
        <v>265</v>
      </c>
      <c r="U829" t="s">
        <v>188</v>
      </c>
      <c r="V829" t="s">
        <v>42</v>
      </c>
      <c r="W829" t="s">
        <v>266</v>
      </c>
      <c r="X829" t="s">
        <v>206</v>
      </c>
      <c r="Y829" t="s">
        <v>51</v>
      </c>
    </row>
    <row r="830" spans="1:25" x14ac:dyDescent="0.25">
      <c r="A830">
        <v>10402</v>
      </c>
      <c r="B830">
        <v>55</v>
      </c>
      <c r="C830">
        <v>55.72</v>
      </c>
      <c r="D830">
        <v>2</v>
      </c>
      <c r="E830">
        <v>3064.6</v>
      </c>
      <c r="F830" s="1">
        <v>38449</v>
      </c>
      <c r="G830" t="s">
        <v>25</v>
      </c>
      <c r="H830">
        <v>2</v>
      </c>
      <c r="I830">
        <v>4</v>
      </c>
      <c r="J830">
        <v>2005</v>
      </c>
      <c r="K830" t="s">
        <v>26</v>
      </c>
      <c r="L830">
        <v>60</v>
      </c>
      <c r="M830" t="s">
        <v>593</v>
      </c>
      <c r="N830" t="s">
        <v>84</v>
      </c>
      <c r="O830" t="s">
        <v>85</v>
      </c>
      <c r="P830" t="s">
        <v>86</v>
      </c>
      <c r="R830" t="s">
        <v>48</v>
      </c>
      <c r="T830">
        <v>75016</v>
      </c>
      <c r="U830" t="s">
        <v>41</v>
      </c>
      <c r="V830" t="s">
        <v>42</v>
      </c>
      <c r="W830" t="s">
        <v>87</v>
      </c>
      <c r="X830" t="s">
        <v>88</v>
      </c>
      <c r="Y830" t="s">
        <v>51</v>
      </c>
    </row>
    <row r="831" spans="1:25" x14ac:dyDescent="0.25">
      <c r="A831">
        <v>10417</v>
      </c>
      <c r="B831">
        <v>36</v>
      </c>
      <c r="C831">
        <v>61.18</v>
      </c>
      <c r="D831">
        <v>6</v>
      </c>
      <c r="E831">
        <v>2202.48</v>
      </c>
      <c r="F831" s="1">
        <v>38485</v>
      </c>
      <c r="G831" t="s">
        <v>173</v>
      </c>
      <c r="H831">
        <v>2</v>
      </c>
      <c r="I831">
        <v>5</v>
      </c>
      <c r="J831">
        <v>2005</v>
      </c>
      <c r="K831" t="s">
        <v>26</v>
      </c>
      <c r="L831">
        <v>60</v>
      </c>
      <c r="M831" t="s">
        <v>593</v>
      </c>
      <c r="N831" t="s">
        <v>174</v>
      </c>
      <c r="O831" t="s">
        <v>175</v>
      </c>
      <c r="P831" t="s">
        <v>176</v>
      </c>
      <c r="R831" t="s">
        <v>177</v>
      </c>
      <c r="T831">
        <v>28034</v>
      </c>
      <c r="U831" t="s">
        <v>178</v>
      </c>
      <c r="V831" t="s">
        <v>42</v>
      </c>
      <c r="W831" t="s">
        <v>179</v>
      </c>
      <c r="X831" t="s">
        <v>180</v>
      </c>
      <c r="Y831" t="s">
        <v>36</v>
      </c>
    </row>
    <row r="832" spans="1:25" x14ac:dyDescent="0.25">
      <c r="A832">
        <v>10101</v>
      </c>
      <c r="B832">
        <v>26</v>
      </c>
      <c r="C832">
        <v>100</v>
      </c>
      <c r="D832">
        <v>1</v>
      </c>
      <c r="E832">
        <v>3773.38</v>
      </c>
      <c r="F832" s="1">
        <v>37630</v>
      </c>
      <c r="G832" t="s">
        <v>25</v>
      </c>
      <c r="H832">
        <v>1</v>
      </c>
      <c r="I832">
        <v>1</v>
      </c>
      <c r="J832">
        <v>2003</v>
      </c>
      <c r="K832" t="s">
        <v>550</v>
      </c>
      <c r="L832">
        <v>168</v>
      </c>
      <c r="M832" t="s">
        <v>594</v>
      </c>
      <c r="N832" t="s">
        <v>462</v>
      </c>
      <c r="O832" t="s">
        <v>463</v>
      </c>
      <c r="P832" t="s">
        <v>464</v>
      </c>
      <c r="R832" t="s">
        <v>465</v>
      </c>
      <c r="T832">
        <v>60528</v>
      </c>
      <c r="U832" t="s">
        <v>443</v>
      </c>
      <c r="V832" t="s">
        <v>42</v>
      </c>
      <c r="W832" t="s">
        <v>466</v>
      </c>
      <c r="X832" t="s">
        <v>414</v>
      </c>
      <c r="Y832" t="s">
        <v>51</v>
      </c>
    </row>
    <row r="833" spans="1:25" x14ac:dyDescent="0.25">
      <c r="A833">
        <v>10110</v>
      </c>
      <c r="B833">
        <v>31</v>
      </c>
      <c r="C833">
        <v>100</v>
      </c>
      <c r="D833">
        <v>1</v>
      </c>
      <c r="E833">
        <v>5074.3900000000003</v>
      </c>
      <c r="F833" s="1">
        <v>37698</v>
      </c>
      <c r="G833" t="s">
        <v>25</v>
      </c>
      <c r="H833">
        <v>1</v>
      </c>
      <c r="I833">
        <v>3</v>
      </c>
      <c r="J833">
        <v>2003</v>
      </c>
      <c r="K833" t="s">
        <v>550</v>
      </c>
      <c r="L833">
        <v>168</v>
      </c>
      <c r="M833" t="s">
        <v>594</v>
      </c>
      <c r="N833" t="s">
        <v>492</v>
      </c>
      <c r="O833" t="s">
        <v>493</v>
      </c>
      <c r="P833" t="s">
        <v>494</v>
      </c>
      <c r="R833" t="s">
        <v>495</v>
      </c>
      <c r="T833" t="s">
        <v>496</v>
      </c>
      <c r="U833" t="s">
        <v>170</v>
      </c>
      <c r="V833" t="s">
        <v>42</v>
      </c>
      <c r="W833" t="s">
        <v>497</v>
      </c>
      <c r="X833" t="s">
        <v>94</v>
      </c>
      <c r="Y833" t="s">
        <v>51</v>
      </c>
    </row>
    <row r="834" spans="1:25" x14ac:dyDescent="0.25">
      <c r="A834">
        <v>10125</v>
      </c>
      <c r="B834">
        <v>34</v>
      </c>
      <c r="C834">
        <v>100</v>
      </c>
      <c r="D834">
        <v>2</v>
      </c>
      <c r="E834">
        <v>6483.46</v>
      </c>
      <c r="F834" s="1">
        <v>37762</v>
      </c>
      <c r="G834" t="s">
        <v>25</v>
      </c>
      <c r="H834">
        <v>2</v>
      </c>
      <c r="I834">
        <v>5</v>
      </c>
      <c r="J834">
        <v>2003</v>
      </c>
      <c r="K834" t="s">
        <v>550</v>
      </c>
      <c r="L834">
        <v>168</v>
      </c>
      <c r="M834" t="s">
        <v>594</v>
      </c>
      <c r="N834" t="s">
        <v>89</v>
      </c>
      <c r="O834" t="s">
        <v>90</v>
      </c>
      <c r="P834" t="s">
        <v>91</v>
      </c>
      <c r="Q834" t="s">
        <v>92</v>
      </c>
      <c r="R834" t="s">
        <v>93</v>
      </c>
      <c r="S834" t="s">
        <v>94</v>
      </c>
      <c r="T834">
        <v>3004</v>
      </c>
      <c r="U834" t="s">
        <v>95</v>
      </c>
      <c r="V834" t="s">
        <v>96</v>
      </c>
      <c r="W834" t="s">
        <v>97</v>
      </c>
      <c r="X834" t="s">
        <v>98</v>
      </c>
      <c r="Y834" t="s">
        <v>51</v>
      </c>
    </row>
    <row r="835" spans="1:25" x14ac:dyDescent="0.25">
      <c r="A835">
        <v>10139</v>
      </c>
      <c r="B835">
        <v>41</v>
      </c>
      <c r="C835">
        <v>100</v>
      </c>
      <c r="D835">
        <v>8</v>
      </c>
      <c r="E835">
        <v>7956.46</v>
      </c>
      <c r="F835" s="1">
        <v>37818</v>
      </c>
      <c r="G835" t="s">
        <v>25</v>
      </c>
      <c r="H835">
        <v>3</v>
      </c>
      <c r="I835">
        <v>7</v>
      </c>
      <c r="J835">
        <v>2003</v>
      </c>
      <c r="K835" t="s">
        <v>550</v>
      </c>
      <c r="L835">
        <v>168</v>
      </c>
      <c r="M835" t="s">
        <v>594</v>
      </c>
      <c r="N835" t="s">
        <v>152</v>
      </c>
      <c r="O835" t="s">
        <v>153</v>
      </c>
      <c r="P835" t="s">
        <v>154</v>
      </c>
      <c r="Q835" t="s">
        <v>155</v>
      </c>
      <c r="R835" t="s">
        <v>156</v>
      </c>
      <c r="S835" t="s">
        <v>157</v>
      </c>
      <c r="T835">
        <v>2067</v>
      </c>
      <c r="U835" t="s">
        <v>95</v>
      </c>
      <c r="V835" t="s">
        <v>96</v>
      </c>
      <c r="W835" t="s">
        <v>158</v>
      </c>
      <c r="X835" t="s">
        <v>159</v>
      </c>
      <c r="Y835" t="s">
        <v>151</v>
      </c>
    </row>
    <row r="836" spans="1:25" x14ac:dyDescent="0.25">
      <c r="A836">
        <v>10149</v>
      </c>
      <c r="B836">
        <v>23</v>
      </c>
      <c r="C836">
        <v>100</v>
      </c>
      <c r="D836">
        <v>5</v>
      </c>
      <c r="E836">
        <v>4230.62</v>
      </c>
      <c r="F836" s="1">
        <v>37876</v>
      </c>
      <c r="G836" t="s">
        <v>25</v>
      </c>
      <c r="H836">
        <v>3</v>
      </c>
      <c r="I836">
        <v>9</v>
      </c>
      <c r="J836">
        <v>2003</v>
      </c>
      <c r="K836" t="s">
        <v>550</v>
      </c>
      <c r="L836">
        <v>168</v>
      </c>
      <c r="M836" t="s">
        <v>594</v>
      </c>
      <c r="N836" t="s">
        <v>526</v>
      </c>
      <c r="O836">
        <v>4155554312</v>
      </c>
      <c r="P836" t="s">
        <v>527</v>
      </c>
      <c r="R836" t="s">
        <v>528</v>
      </c>
      <c r="S836" t="s">
        <v>55</v>
      </c>
      <c r="T836">
        <v>94217</v>
      </c>
      <c r="U836" t="s">
        <v>32</v>
      </c>
      <c r="V836" t="s">
        <v>33</v>
      </c>
      <c r="W836" t="s">
        <v>529</v>
      </c>
      <c r="X836" t="s">
        <v>400</v>
      </c>
      <c r="Y836" t="s">
        <v>51</v>
      </c>
    </row>
    <row r="837" spans="1:25" x14ac:dyDescent="0.25">
      <c r="A837">
        <v>10162</v>
      </c>
      <c r="B837">
        <v>48</v>
      </c>
      <c r="C837">
        <v>100</v>
      </c>
      <c r="D837">
        <v>3</v>
      </c>
      <c r="E837">
        <v>7209.12</v>
      </c>
      <c r="F837" s="1">
        <v>37912</v>
      </c>
      <c r="G837" t="s">
        <v>25</v>
      </c>
      <c r="H837">
        <v>4</v>
      </c>
      <c r="I837">
        <v>10</v>
      </c>
      <c r="J837">
        <v>2003</v>
      </c>
      <c r="K837" t="s">
        <v>550</v>
      </c>
      <c r="L837">
        <v>168</v>
      </c>
      <c r="M837" t="s">
        <v>594</v>
      </c>
      <c r="N837" t="s">
        <v>58</v>
      </c>
      <c r="O837">
        <v>6505551386</v>
      </c>
      <c r="P837" t="s">
        <v>59</v>
      </c>
      <c r="R837" t="s">
        <v>60</v>
      </c>
      <c r="S837" t="s">
        <v>55</v>
      </c>
      <c r="U837" t="s">
        <v>32</v>
      </c>
      <c r="V837" t="s">
        <v>33</v>
      </c>
      <c r="W837" t="s">
        <v>61</v>
      </c>
      <c r="X837" t="s">
        <v>57</v>
      </c>
      <c r="Y837" t="s">
        <v>151</v>
      </c>
    </row>
    <row r="838" spans="1:25" x14ac:dyDescent="0.25">
      <c r="A838">
        <v>10173</v>
      </c>
      <c r="B838">
        <v>22</v>
      </c>
      <c r="C838">
        <v>100</v>
      </c>
      <c r="D838">
        <v>7</v>
      </c>
      <c r="E838">
        <v>3452.68</v>
      </c>
      <c r="F838" s="1">
        <v>37930</v>
      </c>
      <c r="G838" t="s">
        <v>25</v>
      </c>
      <c r="H838">
        <v>4</v>
      </c>
      <c r="I838">
        <v>11</v>
      </c>
      <c r="J838">
        <v>2003</v>
      </c>
      <c r="K838" t="s">
        <v>550</v>
      </c>
      <c r="L838">
        <v>168</v>
      </c>
      <c r="M838" t="s">
        <v>594</v>
      </c>
      <c r="N838" t="s">
        <v>552</v>
      </c>
      <c r="O838" t="s">
        <v>553</v>
      </c>
      <c r="P838" t="s">
        <v>554</v>
      </c>
      <c r="R838" t="s">
        <v>555</v>
      </c>
      <c r="T838">
        <v>24100</v>
      </c>
      <c r="U838" t="s">
        <v>258</v>
      </c>
      <c r="V838" t="s">
        <v>42</v>
      </c>
      <c r="W838" t="s">
        <v>556</v>
      </c>
      <c r="X838" t="s">
        <v>557</v>
      </c>
      <c r="Y838" t="s">
        <v>51</v>
      </c>
    </row>
    <row r="839" spans="1:25" x14ac:dyDescent="0.25">
      <c r="A839">
        <v>10182</v>
      </c>
      <c r="B839">
        <v>21</v>
      </c>
      <c r="C839">
        <v>100</v>
      </c>
      <c r="D839">
        <v>4</v>
      </c>
      <c r="E839">
        <v>3047.73</v>
      </c>
      <c r="F839" s="1">
        <v>37937</v>
      </c>
      <c r="G839" t="s">
        <v>25</v>
      </c>
      <c r="H839">
        <v>4</v>
      </c>
      <c r="I839">
        <v>11</v>
      </c>
      <c r="J839">
        <v>2003</v>
      </c>
      <c r="K839" t="s">
        <v>550</v>
      </c>
      <c r="L839">
        <v>168</v>
      </c>
      <c r="M839" t="s">
        <v>594</v>
      </c>
      <c r="N839" t="s">
        <v>272</v>
      </c>
      <c r="O839">
        <v>4155551450</v>
      </c>
      <c r="P839" t="s">
        <v>273</v>
      </c>
      <c r="R839" t="s">
        <v>274</v>
      </c>
      <c r="S839" t="s">
        <v>55</v>
      </c>
      <c r="T839">
        <v>97562</v>
      </c>
      <c r="U839" t="s">
        <v>32</v>
      </c>
      <c r="V839" t="s">
        <v>33</v>
      </c>
      <c r="W839" t="s">
        <v>275</v>
      </c>
      <c r="X839" t="s">
        <v>276</v>
      </c>
      <c r="Y839" t="s">
        <v>51</v>
      </c>
    </row>
    <row r="840" spans="1:25" x14ac:dyDescent="0.25">
      <c r="A840">
        <v>10193</v>
      </c>
      <c r="B840">
        <v>22</v>
      </c>
      <c r="C840">
        <v>100</v>
      </c>
      <c r="D840">
        <v>8</v>
      </c>
      <c r="E840">
        <v>3675.32</v>
      </c>
      <c r="F840" s="1">
        <v>37946</v>
      </c>
      <c r="G840" t="s">
        <v>25</v>
      </c>
      <c r="H840">
        <v>4</v>
      </c>
      <c r="I840">
        <v>11</v>
      </c>
      <c r="J840">
        <v>2003</v>
      </c>
      <c r="K840" t="s">
        <v>550</v>
      </c>
      <c r="L840">
        <v>168</v>
      </c>
      <c r="M840" t="s">
        <v>594</v>
      </c>
      <c r="N840" t="s">
        <v>558</v>
      </c>
      <c r="O840" t="s">
        <v>559</v>
      </c>
      <c r="P840" t="s">
        <v>560</v>
      </c>
      <c r="R840" t="s">
        <v>561</v>
      </c>
      <c r="S840" t="s">
        <v>94</v>
      </c>
      <c r="T840">
        <v>3150</v>
      </c>
      <c r="U840" t="s">
        <v>95</v>
      </c>
      <c r="V840" t="s">
        <v>96</v>
      </c>
      <c r="W840" t="s">
        <v>562</v>
      </c>
      <c r="X840" t="s">
        <v>563</v>
      </c>
      <c r="Y840" t="s">
        <v>51</v>
      </c>
    </row>
    <row r="841" spans="1:25" x14ac:dyDescent="0.25">
      <c r="A841">
        <v>10205</v>
      </c>
      <c r="B841">
        <v>40</v>
      </c>
      <c r="C841">
        <v>100</v>
      </c>
      <c r="D841">
        <v>3</v>
      </c>
      <c r="E841">
        <v>7492.4</v>
      </c>
      <c r="F841" s="1">
        <v>37958</v>
      </c>
      <c r="G841" t="s">
        <v>25</v>
      </c>
      <c r="H841">
        <v>4</v>
      </c>
      <c r="I841">
        <v>12</v>
      </c>
      <c r="J841">
        <v>2003</v>
      </c>
      <c r="K841" t="s">
        <v>550</v>
      </c>
      <c r="L841">
        <v>168</v>
      </c>
      <c r="M841" t="s">
        <v>594</v>
      </c>
      <c r="N841" t="s">
        <v>174</v>
      </c>
      <c r="O841" t="s">
        <v>175</v>
      </c>
      <c r="P841" t="s">
        <v>176</v>
      </c>
      <c r="R841" t="s">
        <v>177</v>
      </c>
      <c r="T841">
        <v>28034</v>
      </c>
      <c r="U841" t="s">
        <v>178</v>
      </c>
      <c r="V841" t="s">
        <v>42</v>
      </c>
      <c r="W841" t="s">
        <v>179</v>
      </c>
      <c r="X841" t="s">
        <v>180</v>
      </c>
      <c r="Y841" t="s">
        <v>151</v>
      </c>
    </row>
    <row r="842" spans="1:25" x14ac:dyDescent="0.25">
      <c r="A842">
        <v>10214</v>
      </c>
      <c r="B842">
        <v>50</v>
      </c>
      <c r="C842">
        <v>100</v>
      </c>
      <c r="D842">
        <v>1</v>
      </c>
      <c r="E842">
        <v>9534.5</v>
      </c>
      <c r="F842" s="1">
        <v>38012</v>
      </c>
      <c r="G842" t="s">
        <v>25</v>
      </c>
      <c r="H842">
        <v>1</v>
      </c>
      <c r="I842">
        <v>1</v>
      </c>
      <c r="J842">
        <v>2004</v>
      </c>
      <c r="K842" t="s">
        <v>550</v>
      </c>
      <c r="L842">
        <v>168</v>
      </c>
      <c r="M842" t="s">
        <v>594</v>
      </c>
      <c r="N842" t="s">
        <v>191</v>
      </c>
      <c r="O842" t="s">
        <v>192</v>
      </c>
      <c r="P842" t="s">
        <v>193</v>
      </c>
      <c r="R842" t="s">
        <v>177</v>
      </c>
      <c r="T842">
        <v>28023</v>
      </c>
      <c r="U842" t="s">
        <v>178</v>
      </c>
      <c r="V842" t="s">
        <v>42</v>
      </c>
      <c r="W842" t="s">
        <v>194</v>
      </c>
      <c r="X842" t="s">
        <v>195</v>
      </c>
      <c r="Y842" t="s">
        <v>151</v>
      </c>
    </row>
    <row r="843" spans="1:25" x14ac:dyDescent="0.25">
      <c r="A843">
        <v>10227</v>
      </c>
      <c r="B843">
        <v>29</v>
      </c>
      <c r="C843">
        <v>100</v>
      </c>
      <c r="D843">
        <v>4</v>
      </c>
      <c r="E843">
        <v>5579.02</v>
      </c>
      <c r="F843" s="1">
        <v>38048</v>
      </c>
      <c r="G843" t="s">
        <v>25</v>
      </c>
      <c r="H843">
        <v>1</v>
      </c>
      <c r="I843">
        <v>3</v>
      </c>
      <c r="J843">
        <v>2004</v>
      </c>
      <c r="K843" t="s">
        <v>550</v>
      </c>
      <c r="L843">
        <v>168</v>
      </c>
      <c r="M843" t="s">
        <v>594</v>
      </c>
      <c r="N843" t="s">
        <v>219</v>
      </c>
      <c r="O843" t="s">
        <v>220</v>
      </c>
      <c r="P843" t="s">
        <v>221</v>
      </c>
      <c r="R843" t="s">
        <v>222</v>
      </c>
      <c r="T843">
        <v>69004</v>
      </c>
      <c r="U843" t="s">
        <v>41</v>
      </c>
      <c r="V843" t="s">
        <v>42</v>
      </c>
      <c r="W843" t="s">
        <v>223</v>
      </c>
      <c r="X843" t="s">
        <v>224</v>
      </c>
      <c r="Y843" t="s">
        <v>51</v>
      </c>
    </row>
    <row r="844" spans="1:25" x14ac:dyDescent="0.25">
      <c r="A844">
        <v>10244</v>
      </c>
      <c r="B844">
        <v>43</v>
      </c>
      <c r="C844">
        <v>100</v>
      </c>
      <c r="D844">
        <v>8</v>
      </c>
      <c r="E844">
        <v>5950.34</v>
      </c>
      <c r="F844" s="1">
        <v>38106</v>
      </c>
      <c r="G844" t="s">
        <v>25</v>
      </c>
      <c r="H844">
        <v>2</v>
      </c>
      <c r="I844">
        <v>4</v>
      </c>
      <c r="J844">
        <v>2004</v>
      </c>
      <c r="K844" t="s">
        <v>550</v>
      </c>
      <c r="L844">
        <v>168</v>
      </c>
      <c r="M844" t="s">
        <v>594</v>
      </c>
      <c r="N844" t="s">
        <v>174</v>
      </c>
      <c r="O844" t="s">
        <v>175</v>
      </c>
      <c r="P844" t="s">
        <v>176</v>
      </c>
      <c r="R844" t="s">
        <v>177</v>
      </c>
      <c r="T844">
        <v>28034</v>
      </c>
      <c r="U844" t="s">
        <v>178</v>
      </c>
      <c r="V844" t="s">
        <v>42</v>
      </c>
      <c r="W844" t="s">
        <v>179</v>
      </c>
      <c r="X844" t="s">
        <v>180</v>
      </c>
      <c r="Y844" t="s">
        <v>51</v>
      </c>
    </row>
    <row r="845" spans="1:25" x14ac:dyDescent="0.25">
      <c r="A845">
        <v>10255</v>
      </c>
      <c r="B845">
        <v>24</v>
      </c>
      <c r="C845">
        <v>100</v>
      </c>
      <c r="D845">
        <v>1</v>
      </c>
      <c r="E845">
        <v>3726</v>
      </c>
      <c r="F845" s="1">
        <v>38142</v>
      </c>
      <c r="G845" t="s">
        <v>25</v>
      </c>
      <c r="H845">
        <v>2</v>
      </c>
      <c r="I845">
        <v>6</v>
      </c>
      <c r="J845">
        <v>2004</v>
      </c>
      <c r="K845" t="s">
        <v>550</v>
      </c>
      <c r="L845">
        <v>168</v>
      </c>
      <c r="M845" t="s">
        <v>594</v>
      </c>
      <c r="N845" t="s">
        <v>531</v>
      </c>
      <c r="O845" t="s">
        <v>532</v>
      </c>
      <c r="P845" t="s">
        <v>533</v>
      </c>
      <c r="R845" t="s">
        <v>534</v>
      </c>
      <c r="T845">
        <v>67000</v>
      </c>
      <c r="U845" t="s">
        <v>41</v>
      </c>
      <c r="V845" t="s">
        <v>42</v>
      </c>
      <c r="W845" t="s">
        <v>535</v>
      </c>
      <c r="X845" t="s">
        <v>536</v>
      </c>
      <c r="Y845" t="s">
        <v>51</v>
      </c>
    </row>
    <row r="846" spans="1:25" x14ac:dyDescent="0.25">
      <c r="A846">
        <v>10280</v>
      </c>
      <c r="B846">
        <v>22</v>
      </c>
      <c r="C846">
        <v>100</v>
      </c>
      <c r="D846">
        <v>10</v>
      </c>
      <c r="E846">
        <v>4455</v>
      </c>
      <c r="F846" s="1">
        <v>38216</v>
      </c>
      <c r="G846" t="s">
        <v>25</v>
      </c>
      <c r="H846">
        <v>3</v>
      </c>
      <c r="I846">
        <v>8</v>
      </c>
      <c r="J846">
        <v>2004</v>
      </c>
      <c r="K846" t="s">
        <v>550</v>
      </c>
      <c r="L846">
        <v>168</v>
      </c>
      <c r="M846" t="s">
        <v>594</v>
      </c>
      <c r="N846" t="s">
        <v>254</v>
      </c>
      <c r="O846" t="s">
        <v>255</v>
      </c>
      <c r="P846" t="s">
        <v>256</v>
      </c>
      <c r="R846" t="s">
        <v>257</v>
      </c>
      <c r="T846">
        <v>10100</v>
      </c>
      <c r="U846" t="s">
        <v>258</v>
      </c>
      <c r="V846" t="s">
        <v>42</v>
      </c>
      <c r="W846" t="s">
        <v>259</v>
      </c>
      <c r="X846" t="s">
        <v>260</v>
      </c>
      <c r="Y846" t="s">
        <v>51</v>
      </c>
    </row>
    <row r="847" spans="1:25" x14ac:dyDescent="0.25">
      <c r="A847">
        <v>10289</v>
      </c>
      <c r="B847">
        <v>43</v>
      </c>
      <c r="C847">
        <v>100</v>
      </c>
      <c r="D847">
        <v>3</v>
      </c>
      <c r="E847">
        <v>8272.34</v>
      </c>
      <c r="F847" s="1">
        <v>38233</v>
      </c>
      <c r="G847" t="s">
        <v>25</v>
      </c>
      <c r="H847">
        <v>3</v>
      </c>
      <c r="I847">
        <v>9</v>
      </c>
      <c r="J847">
        <v>2004</v>
      </c>
      <c r="K847" t="s">
        <v>550</v>
      </c>
      <c r="L847">
        <v>168</v>
      </c>
      <c r="M847" t="s">
        <v>594</v>
      </c>
      <c r="N847" t="s">
        <v>73</v>
      </c>
      <c r="O847" t="s">
        <v>74</v>
      </c>
      <c r="P847" t="s">
        <v>75</v>
      </c>
      <c r="R847" t="s">
        <v>76</v>
      </c>
      <c r="T847" t="s">
        <v>77</v>
      </c>
      <c r="U847" t="s">
        <v>78</v>
      </c>
      <c r="V847" t="s">
        <v>42</v>
      </c>
      <c r="W847" t="s">
        <v>79</v>
      </c>
      <c r="X847" t="s">
        <v>80</v>
      </c>
      <c r="Y847" t="s">
        <v>151</v>
      </c>
    </row>
    <row r="848" spans="1:25" x14ac:dyDescent="0.25">
      <c r="A848">
        <v>10304</v>
      </c>
      <c r="B848">
        <v>20</v>
      </c>
      <c r="C848">
        <v>100</v>
      </c>
      <c r="D848">
        <v>14</v>
      </c>
      <c r="E848">
        <v>3577.6</v>
      </c>
      <c r="F848" s="1">
        <v>38271</v>
      </c>
      <c r="G848" t="s">
        <v>25</v>
      </c>
      <c r="H848">
        <v>4</v>
      </c>
      <c r="I848">
        <v>10</v>
      </c>
      <c r="J848">
        <v>2004</v>
      </c>
      <c r="K848" t="s">
        <v>550</v>
      </c>
      <c r="L848">
        <v>168</v>
      </c>
      <c r="M848" t="s">
        <v>594</v>
      </c>
      <c r="N848" t="s">
        <v>267</v>
      </c>
      <c r="O848" t="s">
        <v>268</v>
      </c>
      <c r="P848" t="s">
        <v>269</v>
      </c>
      <c r="R848" t="s">
        <v>270</v>
      </c>
      <c r="T848">
        <v>78000</v>
      </c>
      <c r="U848" t="s">
        <v>41</v>
      </c>
      <c r="V848" t="s">
        <v>42</v>
      </c>
      <c r="W848" t="s">
        <v>271</v>
      </c>
      <c r="X848" t="s">
        <v>50</v>
      </c>
      <c r="Y848" t="s">
        <v>51</v>
      </c>
    </row>
    <row r="849" spans="1:25" x14ac:dyDescent="0.25">
      <c r="A849">
        <v>10312</v>
      </c>
      <c r="B849">
        <v>25</v>
      </c>
      <c r="C849">
        <v>100</v>
      </c>
      <c r="D849">
        <v>11</v>
      </c>
      <c r="E849">
        <v>3881.25</v>
      </c>
      <c r="F849" s="1">
        <v>38281</v>
      </c>
      <c r="G849" t="s">
        <v>25</v>
      </c>
      <c r="H849">
        <v>4</v>
      </c>
      <c r="I849">
        <v>10</v>
      </c>
      <c r="J849">
        <v>2004</v>
      </c>
      <c r="K849" t="s">
        <v>550</v>
      </c>
      <c r="L849">
        <v>168</v>
      </c>
      <c r="M849" t="s">
        <v>594</v>
      </c>
      <c r="N849" t="s">
        <v>272</v>
      </c>
      <c r="O849">
        <v>4155551450</v>
      </c>
      <c r="P849" t="s">
        <v>273</v>
      </c>
      <c r="R849" t="s">
        <v>274</v>
      </c>
      <c r="S849" t="s">
        <v>55</v>
      </c>
      <c r="T849">
        <v>97562</v>
      </c>
      <c r="U849" t="s">
        <v>32</v>
      </c>
      <c r="V849" t="s">
        <v>33</v>
      </c>
      <c r="W849" t="s">
        <v>275</v>
      </c>
      <c r="X849" t="s">
        <v>276</v>
      </c>
      <c r="Y849" t="s">
        <v>51</v>
      </c>
    </row>
    <row r="850" spans="1:25" x14ac:dyDescent="0.25">
      <c r="A850">
        <v>10322</v>
      </c>
      <c r="B850">
        <v>36</v>
      </c>
      <c r="C850">
        <v>100</v>
      </c>
      <c r="D850">
        <v>2</v>
      </c>
      <c r="E850">
        <v>5797.44</v>
      </c>
      <c r="F850" s="1">
        <v>38295</v>
      </c>
      <c r="G850" t="s">
        <v>25</v>
      </c>
      <c r="H850">
        <v>4</v>
      </c>
      <c r="I850">
        <v>11</v>
      </c>
      <c r="J850">
        <v>2004</v>
      </c>
      <c r="K850" t="s">
        <v>550</v>
      </c>
      <c r="L850">
        <v>168</v>
      </c>
      <c r="M850" t="s">
        <v>594</v>
      </c>
      <c r="N850" t="s">
        <v>277</v>
      </c>
      <c r="O850">
        <v>6035558647</v>
      </c>
      <c r="P850" t="s">
        <v>278</v>
      </c>
      <c r="R850" t="s">
        <v>279</v>
      </c>
      <c r="S850" t="s">
        <v>280</v>
      </c>
      <c r="T850">
        <v>62005</v>
      </c>
      <c r="U850" t="s">
        <v>32</v>
      </c>
      <c r="V850" t="s">
        <v>33</v>
      </c>
      <c r="W850" t="s">
        <v>56</v>
      </c>
      <c r="X850" t="s">
        <v>276</v>
      </c>
      <c r="Y850" t="s">
        <v>51</v>
      </c>
    </row>
    <row r="851" spans="1:25" x14ac:dyDescent="0.25">
      <c r="A851">
        <v>10332</v>
      </c>
      <c r="B851">
        <v>24</v>
      </c>
      <c r="C851">
        <v>52.67</v>
      </c>
      <c r="D851">
        <v>1</v>
      </c>
      <c r="E851">
        <v>1264.08</v>
      </c>
      <c r="F851" s="1">
        <v>38308</v>
      </c>
      <c r="G851" t="s">
        <v>25</v>
      </c>
      <c r="H851">
        <v>4</v>
      </c>
      <c r="I851">
        <v>11</v>
      </c>
      <c r="J851">
        <v>2004</v>
      </c>
      <c r="K851" t="s">
        <v>550</v>
      </c>
      <c r="L851">
        <v>168</v>
      </c>
      <c r="M851" t="s">
        <v>594</v>
      </c>
      <c r="N851" t="s">
        <v>492</v>
      </c>
      <c r="O851" t="s">
        <v>493</v>
      </c>
      <c r="P851" t="s">
        <v>494</v>
      </c>
      <c r="R851" t="s">
        <v>495</v>
      </c>
      <c r="T851" t="s">
        <v>496</v>
      </c>
      <c r="U851" t="s">
        <v>170</v>
      </c>
      <c r="V851" t="s">
        <v>42</v>
      </c>
      <c r="W851" t="s">
        <v>497</v>
      </c>
      <c r="X851" t="s">
        <v>94</v>
      </c>
      <c r="Y851" t="s">
        <v>36</v>
      </c>
    </row>
    <row r="852" spans="1:25" x14ac:dyDescent="0.25">
      <c r="A852">
        <v>10347</v>
      </c>
      <c r="B852">
        <v>21</v>
      </c>
      <c r="C852">
        <v>100</v>
      </c>
      <c r="D852">
        <v>6</v>
      </c>
      <c r="E852">
        <v>4815.3</v>
      </c>
      <c r="F852" s="1">
        <v>38320</v>
      </c>
      <c r="G852" t="s">
        <v>25</v>
      </c>
      <c r="H852">
        <v>4</v>
      </c>
      <c r="I852">
        <v>11</v>
      </c>
      <c r="J852">
        <v>2004</v>
      </c>
      <c r="K852" t="s">
        <v>550</v>
      </c>
      <c r="L852">
        <v>168</v>
      </c>
      <c r="M852" t="s">
        <v>594</v>
      </c>
      <c r="N852" t="s">
        <v>89</v>
      </c>
      <c r="O852" t="s">
        <v>90</v>
      </c>
      <c r="P852" t="s">
        <v>91</v>
      </c>
      <c r="Q852" t="s">
        <v>92</v>
      </c>
      <c r="R852" t="s">
        <v>93</v>
      </c>
      <c r="S852" t="s">
        <v>94</v>
      </c>
      <c r="T852">
        <v>3004</v>
      </c>
      <c r="U852" t="s">
        <v>95</v>
      </c>
      <c r="V852" t="s">
        <v>96</v>
      </c>
      <c r="W852" t="s">
        <v>97</v>
      </c>
      <c r="X852" t="s">
        <v>98</v>
      </c>
      <c r="Y852" t="s">
        <v>51</v>
      </c>
    </row>
    <row r="853" spans="1:25" x14ac:dyDescent="0.25">
      <c r="A853">
        <v>10356</v>
      </c>
      <c r="B853">
        <v>30</v>
      </c>
      <c r="C853">
        <v>100</v>
      </c>
      <c r="D853">
        <v>1</v>
      </c>
      <c r="E853">
        <v>4462.2</v>
      </c>
      <c r="F853" s="1">
        <v>38330</v>
      </c>
      <c r="G853" t="s">
        <v>25</v>
      </c>
      <c r="H853">
        <v>4</v>
      </c>
      <c r="I853">
        <v>12</v>
      </c>
      <c r="J853">
        <v>2004</v>
      </c>
      <c r="K853" t="s">
        <v>550</v>
      </c>
      <c r="L853">
        <v>168</v>
      </c>
      <c r="M853" t="s">
        <v>594</v>
      </c>
      <c r="N853" t="s">
        <v>45</v>
      </c>
      <c r="O853" t="s">
        <v>46</v>
      </c>
      <c r="P853" t="s">
        <v>47</v>
      </c>
      <c r="R853" t="s">
        <v>48</v>
      </c>
      <c r="T853">
        <v>75508</v>
      </c>
      <c r="U853" t="s">
        <v>41</v>
      </c>
      <c r="V853" t="s">
        <v>42</v>
      </c>
      <c r="W853" t="s">
        <v>49</v>
      </c>
      <c r="X853" t="s">
        <v>50</v>
      </c>
      <c r="Y853" t="s">
        <v>51</v>
      </c>
    </row>
    <row r="854" spans="1:25" x14ac:dyDescent="0.25">
      <c r="A854">
        <v>10367</v>
      </c>
      <c r="B854">
        <v>32</v>
      </c>
      <c r="C854">
        <v>94.79</v>
      </c>
      <c r="D854">
        <v>7</v>
      </c>
      <c r="E854">
        <v>3033.28</v>
      </c>
      <c r="F854" s="1">
        <v>38364</v>
      </c>
      <c r="G854" t="s">
        <v>408</v>
      </c>
      <c r="H854">
        <v>1</v>
      </c>
      <c r="I854">
        <v>1</v>
      </c>
      <c r="J854">
        <v>2005</v>
      </c>
      <c r="K854" t="s">
        <v>550</v>
      </c>
      <c r="L854">
        <v>168</v>
      </c>
      <c r="M854" t="s">
        <v>594</v>
      </c>
      <c r="N854" t="s">
        <v>52</v>
      </c>
      <c r="O854">
        <v>6265557265</v>
      </c>
      <c r="P854" t="s">
        <v>53</v>
      </c>
      <c r="R854" t="s">
        <v>54</v>
      </c>
      <c r="S854" t="s">
        <v>55</v>
      </c>
      <c r="T854">
        <v>90003</v>
      </c>
      <c r="U854" t="s">
        <v>32</v>
      </c>
      <c r="V854" t="s">
        <v>33</v>
      </c>
      <c r="W854" t="s">
        <v>56</v>
      </c>
      <c r="X854" t="s">
        <v>57</v>
      </c>
      <c r="Y854" t="s">
        <v>51</v>
      </c>
    </row>
    <row r="855" spans="1:25" x14ac:dyDescent="0.25">
      <c r="A855">
        <v>10380</v>
      </c>
      <c r="B855">
        <v>21</v>
      </c>
      <c r="C855">
        <v>47.18</v>
      </c>
      <c r="D855">
        <v>8</v>
      </c>
      <c r="E855">
        <v>990.78</v>
      </c>
      <c r="F855" s="1">
        <v>38399</v>
      </c>
      <c r="G855" t="s">
        <v>25</v>
      </c>
      <c r="H855">
        <v>1</v>
      </c>
      <c r="I855">
        <v>2</v>
      </c>
      <c r="J855">
        <v>2005</v>
      </c>
      <c r="K855" t="s">
        <v>550</v>
      </c>
      <c r="L855">
        <v>168</v>
      </c>
      <c r="M855" t="s">
        <v>594</v>
      </c>
      <c r="N855" t="s">
        <v>174</v>
      </c>
      <c r="O855" t="s">
        <v>175</v>
      </c>
      <c r="P855" t="s">
        <v>176</v>
      </c>
      <c r="R855" t="s">
        <v>177</v>
      </c>
      <c r="T855">
        <v>28034</v>
      </c>
      <c r="U855" t="s">
        <v>178</v>
      </c>
      <c r="V855" t="s">
        <v>42</v>
      </c>
      <c r="W855" t="s">
        <v>179</v>
      </c>
      <c r="X855" t="s">
        <v>180</v>
      </c>
      <c r="Y855" t="s">
        <v>36</v>
      </c>
    </row>
    <row r="856" spans="1:25" x14ac:dyDescent="0.25">
      <c r="A856">
        <v>10390</v>
      </c>
      <c r="B856">
        <v>26</v>
      </c>
      <c r="C856">
        <v>78.11</v>
      </c>
      <c r="D856">
        <v>7</v>
      </c>
      <c r="E856">
        <v>2030.86</v>
      </c>
      <c r="F856" s="1">
        <v>38415</v>
      </c>
      <c r="G856" t="s">
        <v>25</v>
      </c>
      <c r="H856">
        <v>1</v>
      </c>
      <c r="I856">
        <v>3</v>
      </c>
      <c r="J856">
        <v>2005</v>
      </c>
      <c r="K856" t="s">
        <v>550</v>
      </c>
      <c r="L856">
        <v>168</v>
      </c>
      <c r="M856" t="s">
        <v>594</v>
      </c>
      <c r="N856" t="s">
        <v>272</v>
      </c>
      <c r="O856">
        <v>4155551450</v>
      </c>
      <c r="P856" t="s">
        <v>273</v>
      </c>
      <c r="R856" t="s">
        <v>274</v>
      </c>
      <c r="S856" t="s">
        <v>55</v>
      </c>
      <c r="T856">
        <v>97562</v>
      </c>
      <c r="U856" t="s">
        <v>32</v>
      </c>
      <c r="V856" t="s">
        <v>33</v>
      </c>
      <c r="W856" t="s">
        <v>275</v>
      </c>
      <c r="X856" t="s">
        <v>276</v>
      </c>
      <c r="Y856" t="s">
        <v>36</v>
      </c>
    </row>
    <row r="857" spans="1:25" x14ac:dyDescent="0.25">
      <c r="A857">
        <v>10421</v>
      </c>
      <c r="B857">
        <v>35</v>
      </c>
      <c r="C857">
        <v>100</v>
      </c>
      <c r="D857">
        <v>1</v>
      </c>
      <c r="E857">
        <v>5433.75</v>
      </c>
      <c r="F857" s="1">
        <v>38501</v>
      </c>
      <c r="G857" t="s">
        <v>300</v>
      </c>
      <c r="H857">
        <v>2</v>
      </c>
      <c r="I857">
        <v>5</v>
      </c>
      <c r="J857">
        <v>2005</v>
      </c>
      <c r="K857" t="s">
        <v>550</v>
      </c>
      <c r="L857">
        <v>168</v>
      </c>
      <c r="M857" t="s">
        <v>594</v>
      </c>
      <c r="N857" t="s">
        <v>272</v>
      </c>
      <c r="O857">
        <v>4155551450</v>
      </c>
      <c r="P857" t="s">
        <v>273</v>
      </c>
      <c r="R857" t="s">
        <v>274</v>
      </c>
      <c r="S857" t="s">
        <v>55</v>
      </c>
      <c r="T857">
        <v>97562</v>
      </c>
      <c r="U857" t="s">
        <v>32</v>
      </c>
      <c r="V857" t="s">
        <v>33</v>
      </c>
      <c r="W857" t="s">
        <v>275</v>
      </c>
      <c r="X857" t="s">
        <v>276</v>
      </c>
      <c r="Y857" t="s">
        <v>51</v>
      </c>
    </row>
    <row r="858" spans="1:25" x14ac:dyDescent="0.25">
      <c r="A858">
        <v>10109</v>
      </c>
      <c r="B858">
        <v>26</v>
      </c>
      <c r="C858">
        <v>100</v>
      </c>
      <c r="D858">
        <v>1</v>
      </c>
      <c r="E858">
        <v>3157.44</v>
      </c>
      <c r="F858" s="1">
        <v>37690</v>
      </c>
      <c r="G858" t="s">
        <v>25</v>
      </c>
      <c r="H858">
        <v>1</v>
      </c>
      <c r="I858">
        <v>3</v>
      </c>
      <c r="J858">
        <v>2003</v>
      </c>
      <c r="K858" t="s">
        <v>181</v>
      </c>
      <c r="L858">
        <v>132</v>
      </c>
      <c r="M858" t="s">
        <v>595</v>
      </c>
      <c r="N858" t="s">
        <v>309</v>
      </c>
      <c r="O858">
        <v>2155559857</v>
      </c>
      <c r="P858" t="s">
        <v>310</v>
      </c>
      <c r="R858" t="s">
        <v>216</v>
      </c>
      <c r="S858" t="s">
        <v>142</v>
      </c>
      <c r="T858">
        <v>71270</v>
      </c>
      <c r="U858" t="s">
        <v>32</v>
      </c>
      <c r="V858" t="s">
        <v>33</v>
      </c>
      <c r="W858" t="s">
        <v>124</v>
      </c>
      <c r="X858" t="s">
        <v>311</v>
      </c>
      <c r="Y858" t="s">
        <v>51</v>
      </c>
    </row>
    <row r="859" spans="1:25" x14ac:dyDescent="0.25">
      <c r="A859">
        <v>10123</v>
      </c>
      <c r="B859">
        <v>46</v>
      </c>
      <c r="C859">
        <v>100</v>
      </c>
      <c r="D859">
        <v>3</v>
      </c>
      <c r="E859">
        <v>5161.2</v>
      </c>
      <c r="F859" s="1">
        <v>37761</v>
      </c>
      <c r="G859" t="s">
        <v>25</v>
      </c>
      <c r="H859">
        <v>2</v>
      </c>
      <c r="I859">
        <v>5</v>
      </c>
      <c r="J859">
        <v>2003</v>
      </c>
      <c r="K859" t="s">
        <v>181</v>
      </c>
      <c r="L859">
        <v>132</v>
      </c>
      <c r="M859" t="s">
        <v>595</v>
      </c>
      <c r="N859" t="s">
        <v>312</v>
      </c>
      <c r="O859" t="s">
        <v>313</v>
      </c>
      <c r="P859" t="s">
        <v>314</v>
      </c>
      <c r="R859" t="s">
        <v>117</v>
      </c>
      <c r="T859">
        <v>44000</v>
      </c>
      <c r="U859" t="s">
        <v>41</v>
      </c>
      <c r="V859" t="s">
        <v>42</v>
      </c>
      <c r="W859" t="s">
        <v>315</v>
      </c>
      <c r="X859" t="s">
        <v>316</v>
      </c>
      <c r="Y859" t="s">
        <v>51</v>
      </c>
    </row>
    <row r="860" spans="1:25" x14ac:dyDescent="0.25">
      <c r="A860">
        <v>10137</v>
      </c>
      <c r="B860">
        <v>37</v>
      </c>
      <c r="C860">
        <v>100</v>
      </c>
      <c r="D860">
        <v>3</v>
      </c>
      <c r="E860">
        <v>4346.76</v>
      </c>
      <c r="F860" s="1">
        <v>37812</v>
      </c>
      <c r="G860" t="s">
        <v>25</v>
      </c>
      <c r="H860">
        <v>3</v>
      </c>
      <c r="I860">
        <v>7</v>
      </c>
      <c r="J860">
        <v>2003</v>
      </c>
      <c r="K860" t="s">
        <v>181</v>
      </c>
      <c r="L860">
        <v>132</v>
      </c>
      <c r="M860" t="s">
        <v>595</v>
      </c>
      <c r="N860" t="s">
        <v>37</v>
      </c>
      <c r="O860" t="s">
        <v>38</v>
      </c>
      <c r="P860" t="s">
        <v>39</v>
      </c>
      <c r="R860" t="s">
        <v>40</v>
      </c>
      <c r="T860">
        <v>51100</v>
      </c>
      <c r="U860" t="s">
        <v>41</v>
      </c>
      <c r="V860" t="s">
        <v>42</v>
      </c>
      <c r="W860" t="s">
        <v>43</v>
      </c>
      <c r="X860" t="s">
        <v>44</v>
      </c>
      <c r="Y860" t="s">
        <v>51</v>
      </c>
    </row>
    <row r="861" spans="1:25" x14ac:dyDescent="0.25">
      <c r="A861">
        <v>10148</v>
      </c>
      <c r="B861">
        <v>27</v>
      </c>
      <c r="C861">
        <v>100</v>
      </c>
      <c r="D861">
        <v>10</v>
      </c>
      <c r="E861">
        <v>3528.36</v>
      </c>
      <c r="F861" s="1">
        <v>37875</v>
      </c>
      <c r="G861" t="s">
        <v>25</v>
      </c>
      <c r="H861">
        <v>3</v>
      </c>
      <c r="I861">
        <v>9</v>
      </c>
      <c r="J861">
        <v>2003</v>
      </c>
      <c r="K861" t="s">
        <v>181</v>
      </c>
      <c r="L861">
        <v>132</v>
      </c>
      <c r="M861" t="s">
        <v>595</v>
      </c>
      <c r="N861" t="s">
        <v>285</v>
      </c>
      <c r="O861" t="s">
        <v>286</v>
      </c>
      <c r="P861" t="s">
        <v>287</v>
      </c>
      <c r="Q861" t="s">
        <v>288</v>
      </c>
      <c r="R861" t="s">
        <v>289</v>
      </c>
      <c r="S861" t="s">
        <v>157</v>
      </c>
      <c r="T861">
        <v>2060</v>
      </c>
      <c r="U861" t="s">
        <v>95</v>
      </c>
      <c r="V861" t="s">
        <v>96</v>
      </c>
      <c r="W861" t="s">
        <v>290</v>
      </c>
      <c r="X861" t="s">
        <v>291</v>
      </c>
      <c r="Y861" t="s">
        <v>51</v>
      </c>
    </row>
    <row r="862" spans="1:25" x14ac:dyDescent="0.25">
      <c r="A862">
        <v>10161</v>
      </c>
      <c r="B862">
        <v>23</v>
      </c>
      <c r="C862">
        <v>100</v>
      </c>
      <c r="D862">
        <v>9</v>
      </c>
      <c r="E862">
        <v>3187.8</v>
      </c>
      <c r="F862" s="1">
        <v>37911</v>
      </c>
      <c r="G862" t="s">
        <v>25</v>
      </c>
      <c r="H862">
        <v>4</v>
      </c>
      <c r="I862">
        <v>10</v>
      </c>
      <c r="J862">
        <v>2003</v>
      </c>
      <c r="K862" t="s">
        <v>181</v>
      </c>
      <c r="L862">
        <v>132</v>
      </c>
      <c r="M862" t="s">
        <v>595</v>
      </c>
      <c r="N862" t="s">
        <v>498</v>
      </c>
      <c r="O862" t="s">
        <v>499</v>
      </c>
      <c r="P862" t="s">
        <v>500</v>
      </c>
      <c r="R862" t="s">
        <v>501</v>
      </c>
      <c r="T862">
        <v>8200</v>
      </c>
      <c r="U862" t="s">
        <v>326</v>
      </c>
      <c r="V862" t="s">
        <v>42</v>
      </c>
      <c r="W862" t="s">
        <v>502</v>
      </c>
      <c r="X862" t="s">
        <v>503</v>
      </c>
      <c r="Y862" t="s">
        <v>51</v>
      </c>
    </row>
    <row r="863" spans="1:25" x14ac:dyDescent="0.25">
      <c r="A863">
        <v>10172</v>
      </c>
      <c r="B863">
        <v>39</v>
      </c>
      <c r="C863">
        <v>100</v>
      </c>
      <c r="D863">
        <v>7</v>
      </c>
      <c r="E863">
        <v>6023.16</v>
      </c>
      <c r="F863" s="1">
        <v>37930</v>
      </c>
      <c r="G863" t="s">
        <v>25</v>
      </c>
      <c r="H863">
        <v>4</v>
      </c>
      <c r="I863">
        <v>11</v>
      </c>
      <c r="J863">
        <v>2003</v>
      </c>
      <c r="K863" t="s">
        <v>181</v>
      </c>
      <c r="L863">
        <v>132</v>
      </c>
      <c r="M863" t="s">
        <v>595</v>
      </c>
      <c r="N863" t="s">
        <v>109</v>
      </c>
      <c r="O863">
        <v>2035552570</v>
      </c>
      <c r="P863" t="s">
        <v>110</v>
      </c>
      <c r="R863" t="s">
        <v>111</v>
      </c>
      <c r="S863" t="s">
        <v>112</v>
      </c>
      <c r="T863">
        <v>97562</v>
      </c>
      <c r="U863" t="s">
        <v>32</v>
      </c>
      <c r="V863" t="s">
        <v>33</v>
      </c>
      <c r="W863" t="s">
        <v>113</v>
      </c>
      <c r="X863" t="s">
        <v>57</v>
      </c>
      <c r="Y863" t="s">
        <v>51</v>
      </c>
    </row>
    <row r="864" spans="1:25" x14ac:dyDescent="0.25">
      <c r="A864">
        <v>10181</v>
      </c>
      <c r="B864">
        <v>27</v>
      </c>
      <c r="C864">
        <v>100</v>
      </c>
      <c r="D864">
        <v>3</v>
      </c>
      <c r="E864">
        <v>3884.76</v>
      </c>
      <c r="F864" s="1">
        <v>37937</v>
      </c>
      <c r="G864" t="s">
        <v>25</v>
      </c>
      <c r="H864">
        <v>4</v>
      </c>
      <c r="I864">
        <v>11</v>
      </c>
      <c r="J864">
        <v>2003</v>
      </c>
      <c r="K864" t="s">
        <v>181</v>
      </c>
      <c r="L864">
        <v>132</v>
      </c>
      <c r="M864" t="s">
        <v>595</v>
      </c>
      <c r="N864" t="s">
        <v>73</v>
      </c>
      <c r="O864" t="s">
        <v>74</v>
      </c>
      <c r="P864" t="s">
        <v>75</v>
      </c>
      <c r="R864" t="s">
        <v>76</v>
      </c>
      <c r="T864" t="s">
        <v>77</v>
      </c>
      <c r="U864" t="s">
        <v>78</v>
      </c>
      <c r="V864" t="s">
        <v>42</v>
      </c>
      <c r="W864" t="s">
        <v>79</v>
      </c>
      <c r="X864" t="s">
        <v>80</v>
      </c>
      <c r="Y864" t="s">
        <v>51</v>
      </c>
    </row>
    <row r="865" spans="1:25" x14ac:dyDescent="0.25">
      <c r="A865">
        <v>10192</v>
      </c>
      <c r="B865">
        <v>38</v>
      </c>
      <c r="C865">
        <v>100</v>
      </c>
      <c r="D865">
        <v>8</v>
      </c>
      <c r="E865">
        <v>4965.84</v>
      </c>
      <c r="F865" s="1">
        <v>37945</v>
      </c>
      <c r="G865" t="s">
        <v>25</v>
      </c>
      <c r="H865">
        <v>4</v>
      </c>
      <c r="I865">
        <v>11</v>
      </c>
      <c r="J865">
        <v>2003</v>
      </c>
      <c r="K865" t="s">
        <v>181</v>
      </c>
      <c r="L865">
        <v>132</v>
      </c>
      <c r="M865" t="s">
        <v>595</v>
      </c>
      <c r="N865" t="s">
        <v>277</v>
      </c>
      <c r="O865">
        <v>6035558647</v>
      </c>
      <c r="P865" t="s">
        <v>278</v>
      </c>
      <c r="R865" t="s">
        <v>279</v>
      </c>
      <c r="S865" t="s">
        <v>280</v>
      </c>
      <c r="T865">
        <v>62005</v>
      </c>
      <c r="U865" t="s">
        <v>32</v>
      </c>
      <c r="V865" t="s">
        <v>33</v>
      </c>
      <c r="W865" t="s">
        <v>56</v>
      </c>
      <c r="X865" t="s">
        <v>276</v>
      </c>
      <c r="Y865" t="s">
        <v>51</v>
      </c>
    </row>
    <row r="866" spans="1:25" x14ac:dyDescent="0.25">
      <c r="A866">
        <v>10204</v>
      </c>
      <c r="B866">
        <v>27</v>
      </c>
      <c r="C866">
        <v>100</v>
      </c>
      <c r="D866">
        <v>14</v>
      </c>
      <c r="E866">
        <v>4169.88</v>
      </c>
      <c r="F866" s="1">
        <v>37957</v>
      </c>
      <c r="G866" t="s">
        <v>25</v>
      </c>
      <c r="H866">
        <v>4</v>
      </c>
      <c r="I866">
        <v>12</v>
      </c>
      <c r="J866">
        <v>2003</v>
      </c>
      <c r="K866" t="s">
        <v>181</v>
      </c>
      <c r="L866">
        <v>132</v>
      </c>
      <c r="M866" t="s">
        <v>595</v>
      </c>
      <c r="N866" t="s">
        <v>475</v>
      </c>
      <c r="O866">
        <v>2125557413</v>
      </c>
      <c r="P866" t="s">
        <v>476</v>
      </c>
      <c r="Q866" t="s">
        <v>477</v>
      </c>
      <c r="R866" t="s">
        <v>30</v>
      </c>
      <c r="S866" t="s">
        <v>31</v>
      </c>
      <c r="T866">
        <v>10022</v>
      </c>
      <c r="U866" t="s">
        <v>32</v>
      </c>
      <c r="V866" t="s">
        <v>33</v>
      </c>
      <c r="W866" t="s">
        <v>56</v>
      </c>
      <c r="X866" t="s">
        <v>478</v>
      </c>
      <c r="Y866" t="s">
        <v>51</v>
      </c>
    </row>
    <row r="867" spans="1:25" x14ac:dyDescent="0.25">
      <c r="A867">
        <v>10212</v>
      </c>
      <c r="B867">
        <v>40</v>
      </c>
      <c r="C867">
        <v>100</v>
      </c>
      <c r="D867">
        <v>7</v>
      </c>
      <c r="E867">
        <v>4910.3999999999996</v>
      </c>
      <c r="F867" s="1">
        <v>38002</v>
      </c>
      <c r="G867" t="s">
        <v>25</v>
      </c>
      <c r="H867">
        <v>1</v>
      </c>
      <c r="I867">
        <v>1</v>
      </c>
      <c r="J867">
        <v>2004</v>
      </c>
      <c r="K867" t="s">
        <v>181</v>
      </c>
      <c r="L867">
        <v>132</v>
      </c>
      <c r="M867" t="s">
        <v>595</v>
      </c>
      <c r="N867" t="s">
        <v>174</v>
      </c>
      <c r="O867" t="s">
        <v>175</v>
      </c>
      <c r="P867" t="s">
        <v>176</v>
      </c>
      <c r="R867" t="s">
        <v>177</v>
      </c>
      <c r="T867">
        <v>28034</v>
      </c>
      <c r="U867" t="s">
        <v>178</v>
      </c>
      <c r="V867" t="s">
        <v>42</v>
      </c>
      <c r="W867" t="s">
        <v>179</v>
      </c>
      <c r="X867" t="s">
        <v>180</v>
      </c>
      <c r="Y867" t="s">
        <v>51</v>
      </c>
    </row>
    <row r="868" spans="1:25" x14ac:dyDescent="0.25">
      <c r="A868">
        <v>10226</v>
      </c>
      <c r="B868">
        <v>24</v>
      </c>
      <c r="C868">
        <v>100</v>
      </c>
      <c r="D868">
        <v>5</v>
      </c>
      <c r="E868">
        <v>3231.36</v>
      </c>
      <c r="F868" s="1">
        <v>38043</v>
      </c>
      <c r="G868" t="s">
        <v>25</v>
      </c>
      <c r="H868">
        <v>1</v>
      </c>
      <c r="I868">
        <v>2</v>
      </c>
      <c r="J868">
        <v>2004</v>
      </c>
      <c r="K868" t="s">
        <v>181</v>
      </c>
      <c r="L868">
        <v>132</v>
      </c>
      <c r="M868" t="s">
        <v>595</v>
      </c>
      <c r="N868" t="s">
        <v>362</v>
      </c>
      <c r="O868">
        <v>7605558146</v>
      </c>
      <c r="P868" t="s">
        <v>363</v>
      </c>
      <c r="R868" t="s">
        <v>364</v>
      </c>
      <c r="S868" t="s">
        <v>55</v>
      </c>
      <c r="T868">
        <v>91217</v>
      </c>
      <c r="U868" t="s">
        <v>32</v>
      </c>
      <c r="V868" t="s">
        <v>33</v>
      </c>
      <c r="W868" t="s">
        <v>237</v>
      </c>
      <c r="X868" t="s">
        <v>276</v>
      </c>
      <c r="Y868" t="s">
        <v>51</v>
      </c>
    </row>
    <row r="869" spans="1:25" x14ac:dyDescent="0.25">
      <c r="A869">
        <v>10241</v>
      </c>
      <c r="B869">
        <v>44</v>
      </c>
      <c r="C869">
        <v>100</v>
      </c>
      <c r="D869">
        <v>12</v>
      </c>
      <c r="E869">
        <v>6853.44</v>
      </c>
      <c r="F869" s="1">
        <v>38090</v>
      </c>
      <c r="G869" t="s">
        <v>25</v>
      </c>
      <c r="H869">
        <v>2</v>
      </c>
      <c r="I869">
        <v>4</v>
      </c>
      <c r="J869">
        <v>2004</v>
      </c>
      <c r="K869" t="s">
        <v>181</v>
      </c>
      <c r="L869">
        <v>132</v>
      </c>
      <c r="M869" t="s">
        <v>595</v>
      </c>
      <c r="N869" t="s">
        <v>531</v>
      </c>
      <c r="O869" t="s">
        <v>532</v>
      </c>
      <c r="P869" t="s">
        <v>533</v>
      </c>
      <c r="R869" t="s">
        <v>534</v>
      </c>
      <c r="T869">
        <v>67000</v>
      </c>
      <c r="U869" t="s">
        <v>41</v>
      </c>
      <c r="V869" t="s">
        <v>42</v>
      </c>
      <c r="W869" t="s">
        <v>535</v>
      </c>
      <c r="X869" t="s">
        <v>536</v>
      </c>
      <c r="Y869" t="s">
        <v>51</v>
      </c>
    </row>
    <row r="870" spans="1:25" x14ac:dyDescent="0.25">
      <c r="A870">
        <v>10253</v>
      </c>
      <c r="B870">
        <v>37</v>
      </c>
      <c r="C870">
        <v>100</v>
      </c>
      <c r="D870">
        <v>2</v>
      </c>
      <c r="E870">
        <v>5177.04</v>
      </c>
      <c r="F870" s="1">
        <v>38139</v>
      </c>
      <c r="G870" t="s">
        <v>339</v>
      </c>
      <c r="H870">
        <v>2</v>
      </c>
      <c r="I870">
        <v>6</v>
      </c>
      <c r="J870">
        <v>2004</v>
      </c>
      <c r="K870" t="s">
        <v>181</v>
      </c>
      <c r="L870">
        <v>132</v>
      </c>
      <c r="M870" t="s">
        <v>595</v>
      </c>
      <c r="N870" t="s">
        <v>165</v>
      </c>
      <c r="O870" t="s">
        <v>166</v>
      </c>
      <c r="P870" t="s">
        <v>167</v>
      </c>
      <c r="R870" t="s">
        <v>168</v>
      </c>
      <c r="T870" t="s">
        <v>169</v>
      </c>
      <c r="U870" t="s">
        <v>170</v>
      </c>
      <c r="V870" t="s">
        <v>42</v>
      </c>
      <c r="W870" t="s">
        <v>171</v>
      </c>
      <c r="X870" t="s">
        <v>172</v>
      </c>
      <c r="Y870" t="s">
        <v>51</v>
      </c>
    </row>
    <row r="871" spans="1:25" x14ac:dyDescent="0.25">
      <c r="A871">
        <v>10266</v>
      </c>
      <c r="B871">
        <v>20</v>
      </c>
      <c r="C871">
        <v>100</v>
      </c>
      <c r="D871">
        <v>3</v>
      </c>
      <c r="E871">
        <v>2824.8</v>
      </c>
      <c r="F871" s="1">
        <v>38174</v>
      </c>
      <c r="G871" t="s">
        <v>25</v>
      </c>
      <c r="H871">
        <v>3</v>
      </c>
      <c r="I871">
        <v>7</v>
      </c>
      <c r="J871">
        <v>2004</v>
      </c>
      <c r="K871" t="s">
        <v>181</v>
      </c>
      <c r="L871">
        <v>132</v>
      </c>
      <c r="M871" t="s">
        <v>595</v>
      </c>
      <c r="N871" t="s">
        <v>452</v>
      </c>
      <c r="O871" t="s">
        <v>453</v>
      </c>
      <c r="P871" t="s">
        <v>454</v>
      </c>
      <c r="R871" t="s">
        <v>455</v>
      </c>
      <c r="T871">
        <v>42100</v>
      </c>
      <c r="U871" t="s">
        <v>258</v>
      </c>
      <c r="V871" t="s">
        <v>42</v>
      </c>
      <c r="W871" t="s">
        <v>456</v>
      </c>
      <c r="X871" t="s">
        <v>457</v>
      </c>
      <c r="Y871" t="s">
        <v>36</v>
      </c>
    </row>
    <row r="872" spans="1:25" x14ac:dyDescent="0.25">
      <c r="A872">
        <v>10278</v>
      </c>
      <c r="B872">
        <v>39</v>
      </c>
      <c r="C872">
        <v>100</v>
      </c>
      <c r="D872">
        <v>3</v>
      </c>
      <c r="E872">
        <v>4324.32</v>
      </c>
      <c r="F872" s="1">
        <v>38205</v>
      </c>
      <c r="G872" t="s">
        <v>25</v>
      </c>
      <c r="H872">
        <v>3</v>
      </c>
      <c r="I872">
        <v>8</v>
      </c>
      <c r="J872">
        <v>2004</v>
      </c>
      <c r="K872" t="s">
        <v>181</v>
      </c>
      <c r="L872">
        <v>132</v>
      </c>
      <c r="M872" t="s">
        <v>595</v>
      </c>
      <c r="N872" t="s">
        <v>539</v>
      </c>
      <c r="O872">
        <v>7025551838</v>
      </c>
      <c r="P872" t="s">
        <v>540</v>
      </c>
      <c r="R872" t="s">
        <v>541</v>
      </c>
      <c r="S872" t="s">
        <v>542</v>
      </c>
      <c r="T872">
        <v>83030</v>
      </c>
      <c r="U872" t="s">
        <v>32</v>
      </c>
      <c r="V872" t="s">
        <v>33</v>
      </c>
      <c r="W872" t="s">
        <v>113</v>
      </c>
      <c r="X872" t="s">
        <v>400</v>
      </c>
      <c r="Y872" t="s">
        <v>51</v>
      </c>
    </row>
    <row r="873" spans="1:25" x14ac:dyDescent="0.25">
      <c r="A873">
        <v>10287</v>
      </c>
      <c r="B873">
        <v>44</v>
      </c>
      <c r="C873">
        <v>100</v>
      </c>
      <c r="D873">
        <v>1</v>
      </c>
      <c r="E873">
        <v>5052.96</v>
      </c>
      <c r="F873" s="1">
        <v>38229</v>
      </c>
      <c r="G873" t="s">
        <v>25</v>
      </c>
      <c r="H873">
        <v>3</v>
      </c>
      <c r="I873">
        <v>8</v>
      </c>
      <c r="J873">
        <v>2004</v>
      </c>
      <c r="K873" t="s">
        <v>181</v>
      </c>
      <c r="L873">
        <v>132</v>
      </c>
      <c r="M873" t="s">
        <v>595</v>
      </c>
      <c r="N873" t="s">
        <v>446</v>
      </c>
      <c r="O873" t="s">
        <v>447</v>
      </c>
      <c r="P873" t="s">
        <v>448</v>
      </c>
      <c r="R873" t="s">
        <v>449</v>
      </c>
      <c r="T873">
        <v>1203</v>
      </c>
      <c r="U873" t="s">
        <v>450</v>
      </c>
      <c r="V873" t="s">
        <v>42</v>
      </c>
      <c r="W873" t="s">
        <v>451</v>
      </c>
      <c r="X873" t="s">
        <v>103</v>
      </c>
      <c r="Y873" t="s">
        <v>51</v>
      </c>
    </row>
    <row r="874" spans="1:25" x14ac:dyDescent="0.25">
      <c r="A874">
        <v>10301</v>
      </c>
      <c r="B874">
        <v>22</v>
      </c>
      <c r="C874">
        <v>100</v>
      </c>
      <c r="D874">
        <v>5</v>
      </c>
      <c r="E874">
        <v>3223.44</v>
      </c>
      <c r="F874" s="1">
        <v>37899</v>
      </c>
      <c r="G874" t="s">
        <v>25</v>
      </c>
      <c r="H874">
        <v>4</v>
      </c>
      <c r="I874">
        <v>10</v>
      </c>
      <c r="J874">
        <v>2003</v>
      </c>
      <c r="K874" t="s">
        <v>181</v>
      </c>
      <c r="L874">
        <v>132</v>
      </c>
      <c r="M874" t="s">
        <v>595</v>
      </c>
      <c r="N874" t="s">
        <v>543</v>
      </c>
      <c r="O874" t="s">
        <v>544</v>
      </c>
      <c r="P874" t="s">
        <v>545</v>
      </c>
      <c r="R874" t="s">
        <v>546</v>
      </c>
      <c r="T874" t="s">
        <v>547</v>
      </c>
      <c r="U874" t="s">
        <v>78</v>
      </c>
      <c r="V874" t="s">
        <v>42</v>
      </c>
      <c r="W874" t="s">
        <v>548</v>
      </c>
      <c r="X874" t="s">
        <v>549</v>
      </c>
      <c r="Y874" t="s">
        <v>51</v>
      </c>
    </row>
    <row r="875" spans="1:25" x14ac:dyDescent="0.25">
      <c r="A875">
        <v>10311</v>
      </c>
      <c r="B875">
        <v>43</v>
      </c>
      <c r="C875">
        <v>100</v>
      </c>
      <c r="D875">
        <v>10</v>
      </c>
      <c r="E875">
        <v>5278.68</v>
      </c>
      <c r="F875" s="1">
        <v>38276</v>
      </c>
      <c r="G875" t="s">
        <v>25</v>
      </c>
      <c r="H875">
        <v>4</v>
      </c>
      <c r="I875">
        <v>10</v>
      </c>
      <c r="J875">
        <v>2004</v>
      </c>
      <c r="K875" t="s">
        <v>181</v>
      </c>
      <c r="L875">
        <v>132</v>
      </c>
      <c r="M875" t="s">
        <v>595</v>
      </c>
      <c r="N875" t="s">
        <v>174</v>
      </c>
      <c r="O875" t="s">
        <v>175</v>
      </c>
      <c r="P875" t="s">
        <v>176</v>
      </c>
      <c r="R875" t="s">
        <v>177</v>
      </c>
      <c r="T875">
        <v>28034</v>
      </c>
      <c r="U875" t="s">
        <v>178</v>
      </c>
      <c r="V875" t="s">
        <v>42</v>
      </c>
      <c r="W875" t="s">
        <v>179</v>
      </c>
      <c r="X875" t="s">
        <v>180</v>
      </c>
      <c r="Y875" t="s">
        <v>51</v>
      </c>
    </row>
    <row r="876" spans="1:25" x14ac:dyDescent="0.25">
      <c r="A876">
        <v>10321</v>
      </c>
      <c r="B876">
        <v>27</v>
      </c>
      <c r="C876">
        <v>100</v>
      </c>
      <c r="D876">
        <v>7</v>
      </c>
      <c r="E876">
        <v>2851.2</v>
      </c>
      <c r="F876" s="1">
        <v>38295</v>
      </c>
      <c r="G876" t="s">
        <v>25</v>
      </c>
      <c r="H876">
        <v>4</v>
      </c>
      <c r="I876">
        <v>11</v>
      </c>
      <c r="J876">
        <v>2004</v>
      </c>
      <c r="K876" t="s">
        <v>181</v>
      </c>
      <c r="L876">
        <v>132</v>
      </c>
      <c r="M876" t="s">
        <v>595</v>
      </c>
      <c r="N876" t="s">
        <v>160</v>
      </c>
      <c r="O876">
        <v>5085552555</v>
      </c>
      <c r="P876" t="s">
        <v>161</v>
      </c>
      <c r="R876" t="s">
        <v>162</v>
      </c>
      <c r="S876" t="s">
        <v>123</v>
      </c>
      <c r="T876">
        <v>50553</v>
      </c>
      <c r="U876" t="s">
        <v>32</v>
      </c>
      <c r="V876" t="s">
        <v>33</v>
      </c>
      <c r="W876" t="s">
        <v>163</v>
      </c>
      <c r="X876" t="s">
        <v>164</v>
      </c>
      <c r="Y876" t="s">
        <v>36</v>
      </c>
    </row>
    <row r="877" spans="1:25" x14ac:dyDescent="0.25">
      <c r="A877">
        <v>10331</v>
      </c>
      <c r="B877">
        <v>26</v>
      </c>
      <c r="C877">
        <v>64.900000000000006</v>
      </c>
      <c r="D877">
        <v>10</v>
      </c>
      <c r="E877">
        <v>1687.4</v>
      </c>
      <c r="F877" s="1">
        <v>38308</v>
      </c>
      <c r="G877" t="s">
        <v>25</v>
      </c>
      <c r="H877">
        <v>4</v>
      </c>
      <c r="I877">
        <v>11</v>
      </c>
      <c r="J877">
        <v>2004</v>
      </c>
      <c r="K877" t="s">
        <v>181</v>
      </c>
      <c r="L877">
        <v>132</v>
      </c>
      <c r="M877" t="s">
        <v>595</v>
      </c>
      <c r="N877" t="s">
        <v>309</v>
      </c>
      <c r="O877">
        <v>2155559857</v>
      </c>
      <c r="P877" t="s">
        <v>310</v>
      </c>
      <c r="R877" t="s">
        <v>216</v>
      </c>
      <c r="S877" t="s">
        <v>142</v>
      </c>
      <c r="T877">
        <v>71270</v>
      </c>
      <c r="U877" t="s">
        <v>32</v>
      </c>
      <c r="V877" t="s">
        <v>33</v>
      </c>
      <c r="W877" t="s">
        <v>124</v>
      </c>
      <c r="X877" t="s">
        <v>311</v>
      </c>
      <c r="Y877" t="s">
        <v>36</v>
      </c>
    </row>
    <row r="878" spans="1:25" x14ac:dyDescent="0.25">
      <c r="A878">
        <v>10343</v>
      </c>
      <c r="B878">
        <v>25</v>
      </c>
      <c r="C878">
        <v>52.32</v>
      </c>
      <c r="D878">
        <v>3</v>
      </c>
      <c r="E878">
        <v>1308</v>
      </c>
      <c r="F878" s="1">
        <v>38315</v>
      </c>
      <c r="G878" t="s">
        <v>25</v>
      </c>
      <c r="H878">
        <v>4</v>
      </c>
      <c r="I878">
        <v>11</v>
      </c>
      <c r="J878">
        <v>2004</v>
      </c>
      <c r="K878" t="s">
        <v>181</v>
      </c>
      <c r="L878">
        <v>132</v>
      </c>
      <c r="M878" t="s">
        <v>595</v>
      </c>
      <c r="N878" t="s">
        <v>37</v>
      </c>
      <c r="O878" t="s">
        <v>38</v>
      </c>
      <c r="P878" t="s">
        <v>39</v>
      </c>
      <c r="R878" t="s">
        <v>40</v>
      </c>
      <c r="T878">
        <v>51100</v>
      </c>
      <c r="U878" t="s">
        <v>41</v>
      </c>
      <c r="V878" t="s">
        <v>42</v>
      </c>
      <c r="W878" t="s">
        <v>43</v>
      </c>
      <c r="X878" t="s">
        <v>44</v>
      </c>
      <c r="Y878" t="s">
        <v>36</v>
      </c>
    </row>
    <row r="879" spans="1:25" x14ac:dyDescent="0.25">
      <c r="A879">
        <v>10366</v>
      </c>
      <c r="B879">
        <v>49</v>
      </c>
      <c r="C879">
        <v>100</v>
      </c>
      <c r="D879">
        <v>2</v>
      </c>
      <c r="E879">
        <v>6144.6</v>
      </c>
      <c r="F879" s="1">
        <v>38362</v>
      </c>
      <c r="G879" t="s">
        <v>25</v>
      </c>
      <c r="H879">
        <v>1</v>
      </c>
      <c r="I879">
        <v>1</v>
      </c>
      <c r="J879">
        <v>2005</v>
      </c>
      <c r="K879" t="s">
        <v>181</v>
      </c>
      <c r="L879">
        <v>132</v>
      </c>
      <c r="M879" t="s">
        <v>595</v>
      </c>
      <c r="N879" t="s">
        <v>577</v>
      </c>
      <c r="O879" t="s">
        <v>578</v>
      </c>
      <c r="P879" t="s">
        <v>579</v>
      </c>
      <c r="R879" t="s">
        <v>580</v>
      </c>
      <c r="T879" t="s">
        <v>581</v>
      </c>
      <c r="U879" t="s">
        <v>370</v>
      </c>
      <c r="V879" t="s">
        <v>42</v>
      </c>
      <c r="W879" t="s">
        <v>582</v>
      </c>
      <c r="X879" t="s">
        <v>583</v>
      </c>
      <c r="Y879" t="s">
        <v>51</v>
      </c>
    </row>
    <row r="880" spans="1:25" x14ac:dyDescent="0.25">
      <c r="A880">
        <v>10379</v>
      </c>
      <c r="B880">
        <v>29</v>
      </c>
      <c r="C880">
        <v>100</v>
      </c>
      <c r="D880">
        <v>5</v>
      </c>
      <c r="E880">
        <v>5127.2</v>
      </c>
      <c r="F880" s="1">
        <v>38393</v>
      </c>
      <c r="G880" t="s">
        <v>25</v>
      </c>
      <c r="H880">
        <v>1</v>
      </c>
      <c r="I880">
        <v>2</v>
      </c>
      <c r="J880">
        <v>2005</v>
      </c>
      <c r="K880" t="s">
        <v>181</v>
      </c>
      <c r="L880">
        <v>132</v>
      </c>
      <c r="M880" t="s">
        <v>595</v>
      </c>
      <c r="N880" t="s">
        <v>174</v>
      </c>
      <c r="O880" t="s">
        <v>175</v>
      </c>
      <c r="P880" t="s">
        <v>176</v>
      </c>
      <c r="R880" t="s">
        <v>177</v>
      </c>
      <c r="T880">
        <v>28034</v>
      </c>
      <c r="U880" t="s">
        <v>178</v>
      </c>
      <c r="V880" t="s">
        <v>42</v>
      </c>
      <c r="W880" t="s">
        <v>179</v>
      </c>
      <c r="X880" t="s">
        <v>180</v>
      </c>
      <c r="Y880" t="s">
        <v>51</v>
      </c>
    </row>
    <row r="881" spans="1:25" x14ac:dyDescent="0.25">
      <c r="A881">
        <v>10407</v>
      </c>
      <c r="B881">
        <v>41</v>
      </c>
      <c r="C881">
        <v>100</v>
      </c>
      <c r="D881">
        <v>12</v>
      </c>
      <c r="E881">
        <v>6386.16</v>
      </c>
      <c r="F881" s="1">
        <v>38464</v>
      </c>
      <c r="G881" t="s">
        <v>401</v>
      </c>
      <c r="H881">
        <v>2</v>
      </c>
      <c r="I881">
        <v>4</v>
      </c>
      <c r="J881">
        <v>2005</v>
      </c>
      <c r="K881" t="s">
        <v>181</v>
      </c>
      <c r="L881">
        <v>132</v>
      </c>
      <c r="M881" t="s">
        <v>595</v>
      </c>
      <c r="N881" t="s">
        <v>397</v>
      </c>
      <c r="O881">
        <v>4085553659</v>
      </c>
      <c r="P881" t="s">
        <v>398</v>
      </c>
      <c r="R881" t="s">
        <v>399</v>
      </c>
      <c r="S881" t="s">
        <v>55</v>
      </c>
      <c r="T881">
        <v>94217</v>
      </c>
      <c r="U881" t="s">
        <v>32</v>
      </c>
      <c r="V881" t="s">
        <v>33</v>
      </c>
      <c r="W881" t="s">
        <v>102</v>
      </c>
      <c r="X881" t="s">
        <v>400</v>
      </c>
      <c r="Y881" t="s">
        <v>51</v>
      </c>
    </row>
    <row r="882" spans="1:25" x14ac:dyDescent="0.25">
      <c r="A882">
        <v>10419</v>
      </c>
      <c r="B882">
        <v>55</v>
      </c>
      <c r="C882">
        <v>100</v>
      </c>
      <c r="D882">
        <v>2</v>
      </c>
      <c r="E882">
        <v>7695.6</v>
      </c>
      <c r="F882" s="1">
        <v>38489</v>
      </c>
      <c r="G882" t="s">
        <v>25</v>
      </c>
      <c r="H882">
        <v>2</v>
      </c>
      <c r="I882">
        <v>5</v>
      </c>
      <c r="J882">
        <v>2005</v>
      </c>
      <c r="K882" t="s">
        <v>181</v>
      </c>
      <c r="L882">
        <v>132</v>
      </c>
      <c r="M882" t="s">
        <v>595</v>
      </c>
      <c r="N882" t="s">
        <v>144</v>
      </c>
      <c r="O882" t="s">
        <v>145</v>
      </c>
      <c r="P882" t="s">
        <v>146</v>
      </c>
      <c r="R882" t="s">
        <v>147</v>
      </c>
      <c r="T882">
        <v>5020</v>
      </c>
      <c r="U882" t="s">
        <v>148</v>
      </c>
      <c r="V882" t="s">
        <v>42</v>
      </c>
      <c r="W882" t="s">
        <v>149</v>
      </c>
      <c r="X882" t="s">
        <v>150</v>
      </c>
      <c r="Y882" t="s">
        <v>151</v>
      </c>
    </row>
    <row r="883" spans="1:25" x14ac:dyDescent="0.25">
      <c r="A883">
        <v>10103</v>
      </c>
      <c r="B883">
        <v>27</v>
      </c>
      <c r="C883">
        <v>83.07</v>
      </c>
      <c r="D883">
        <v>12</v>
      </c>
      <c r="E883">
        <v>2242.89</v>
      </c>
      <c r="F883" s="1">
        <v>37650</v>
      </c>
      <c r="G883" t="s">
        <v>25</v>
      </c>
      <c r="H883">
        <v>1</v>
      </c>
      <c r="I883">
        <v>1</v>
      </c>
      <c r="J883">
        <v>2003</v>
      </c>
      <c r="K883" t="s">
        <v>550</v>
      </c>
      <c r="L883">
        <v>101</v>
      </c>
      <c r="M883" t="s">
        <v>596</v>
      </c>
      <c r="N883" t="s">
        <v>133</v>
      </c>
      <c r="O883" t="s">
        <v>134</v>
      </c>
      <c r="P883" t="s">
        <v>135</v>
      </c>
      <c r="R883" t="s">
        <v>136</v>
      </c>
      <c r="T883">
        <v>4110</v>
      </c>
      <c r="U883" t="s">
        <v>78</v>
      </c>
      <c r="V883" t="s">
        <v>42</v>
      </c>
      <c r="W883" t="s">
        <v>137</v>
      </c>
      <c r="X883" t="s">
        <v>138</v>
      </c>
      <c r="Y883" t="s">
        <v>36</v>
      </c>
    </row>
    <row r="884" spans="1:25" x14ac:dyDescent="0.25">
      <c r="A884">
        <v>10112</v>
      </c>
      <c r="B884">
        <v>23</v>
      </c>
      <c r="C884">
        <v>100</v>
      </c>
      <c r="D884">
        <v>2</v>
      </c>
      <c r="E884">
        <v>2539.89</v>
      </c>
      <c r="F884" s="1">
        <v>37704</v>
      </c>
      <c r="G884" t="s">
        <v>25</v>
      </c>
      <c r="H884">
        <v>1</v>
      </c>
      <c r="I884">
        <v>3</v>
      </c>
      <c r="J884">
        <v>2003</v>
      </c>
      <c r="K884" t="s">
        <v>550</v>
      </c>
      <c r="L884">
        <v>101</v>
      </c>
      <c r="M884" t="s">
        <v>596</v>
      </c>
      <c r="N884" t="s">
        <v>183</v>
      </c>
      <c r="O884" t="s">
        <v>184</v>
      </c>
      <c r="P884" t="s">
        <v>185</v>
      </c>
      <c r="R884" t="s">
        <v>186</v>
      </c>
      <c r="T884" t="s">
        <v>187</v>
      </c>
      <c r="U884" t="s">
        <v>188</v>
      </c>
      <c r="V884" t="s">
        <v>42</v>
      </c>
      <c r="W884" t="s">
        <v>189</v>
      </c>
      <c r="X884" t="s">
        <v>190</v>
      </c>
      <c r="Y884" t="s">
        <v>36</v>
      </c>
    </row>
    <row r="885" spans="1:25" x14ac:dyDescent="0.25">
      <c r="A885">
        <v>10126</v>
      </c>
      <c r="B885">
        <v>31</v>
      </c>
      <c r="C885">
        <v>90.17</v>
      </c>
      <c r="D885">
        <v>12</v>
      </c>
      <c r="E885">
        <v>2795.27</v>
      </c>
      <c r="F885" s="1">
        <v>37769</v>
      </c>
      <c r="G885" t="s">
        <v>25</v>
      </c>
      <c r="H885">
        <v>2</v>
      </c>
      <c r="I885">
        <v>5</v>
      </c>
      <c r="J885">
        <v>2003</v>
      </c>
      <c r="K885" t="s">
        <v>550</v>
      </c>
      <c r="L885">
        <v>101</v>
      </c>
      <c r="M885" t="s">
        <v>596</v>
      </c>
      <c r="N885" t="s">
        <v>191</v>
      </c>
      <c r="O885" t="s">
        <v>192</v>
      </c>
      <c r="P885" t="s">
        <v>193</v>
      </c>
      <c r="R885" t="s">
        <v>177</v>
      </c>
      <c r="T885">
        <v>28023</v>
      </c>
      <c r="U885" t="s">
        <v>178</v>
      </c>
      <c r="V885" t="s">
        <v>42</v>
      </c>
      <c r="W885" t="s">
        <v>194</v>
      </c>
      <c r="X885" t="s">
        <v>195</v>
      </c>
      <c r="Y885" t="s">
        <v>36</v>
      </c>
    </row>
    <row r="886" spans="1:25" x14ac:dyDescent="0.25">
      <c r="A886">
        <v>10139</v>
      </c>
      <c r="B886">
        <v>46</v>
      </c>
      <c r="C886">
        <v>100</v>
      </c>
      <c r="D886">
        <v>1</v>
      </c>
      <c r="E886">
        <v>5545.76</v>
      </c>
      <c r="F886" s="1">
        <v>37818</v>
      </c>
      <c r="G886" t="s">
        <v>25</v>
      </c>
      <c r="H886">
        <v>3</v>
      </c>
      <c r="I886">
        <v>7</v>
      </c>
      <c r="J886">
        <v>2003</v>
      </c>
      <c r="K886" t="s">
        <v>550</v>
      </c>
      <c r="L886">
        <v>101</v>
      </c>
      <c r="M886" t="s">
        <v>596</v>
      </c>
      <c r="N886" t="s">
        <v>152</v>
      </c>
      <c r="O886" t="s">
        <v>153</v>
      </c>
      <c r="P886" t="s">
        <v>154</v>
      </c>
      <c r="Q886" t="s">
        <v>155</v>
      </c>
      <c r="R886" t="s">
        <v>156</v>
      </c>
      <c r="S886" t="s">
        <v>157</v>
      </c>
      <c r="T886">
        <v>2067</v>
      </c>
      <c r="U886" t="s">
        <v>95</v>
      </c>
      <c r="V886" t="s">
        <v>96</v>
      </c>
      <c r="W886" t="s">
        <v>158</v>
      </c>
      <c r="X886" t="s">
        <v>159</v>
      </c>
      <c r="Y886" t="s">
        <v>51</v>
      </c>
    </row>
    <row r="887" spans="1:25" x14ac:dyDescent="0.25">
      <c r="A887">
        <v>10150</v>
      </c>
      <c r="B887">
        <v>47</v>
      </c>
      <c r="C887">
        <v>91.18</v>
      </c>
      <c r="D887">
        <v>9</v>
      </c>
      <c r="E887">
        <v>4285.46</v>
      </c>
      <c r="F887" s="1">
        <v>37883</v>
      </c>
      <c r="G887" t="s">
        <v>25</v>
      </c>
      <c r="H887">
        <v>3</v>
      </c>
      <c r="I887">
        <v>9</v>
      </c>
      <c r="J887">
        <v>2003</v>
      </c>
      <c r="K887" t="s">
        <v>550</v>
      </c>
      <c r="L887">
        <v>101</v>
      </c>
      <c r="M887" t="s">
        <v>596</v>
      </c>
      <c r="N887" t="s">
        <v>196</v>
      </c>
      <c r="O887" t="s">
        <v>197</v>
      </c>
      <c r="P887" t="s">
        <v>198</v>
      </c>
      <c r="R887" t="s">
        <v>199</v>
      </c>
      <c r="T887">
        <v>79903</v>
      </c>
      <c r="U887" t="s">
        <v>199</v>
      </c>
      <c r="V887" t="s">
        <v>200</v>
      </c>
      <c r="W887" t="s">
        <v>201</v>
      </c>
      <c r="X887" t="s">
        <v>202</v>
      </c>
      <c r="Y887" t="s">
        <v>51</v>
      </c>
    </row>
    <row r="888" spans="1:25" x14ac:dyDescent="0.25">
      <c r="A888">
        <v>10163</v>
      </c>
      <c r="B888">
        <v>31</v>
      </c>
      <c r="C888">
        <v>100</v>
      </c>
      <c r="D888">
        <v>2</v>
      </c>
      <c r="E888">
        <v>3329.09</v>
      </c>
      <c r="F888" s="1">
        <v>37914</v>
      </c>
      <c r="G888" t="s">
        <v>25</v>
      </c>
      <c r="H888">
        <v>4</v>
      </c>
      <c r="I888">
        <v>10</v>
      </c>
      <c r="J888">
        <v>2003</v>
      </c>
      <c r="K888" t="s">
        <v>550</v>
      </c>
      <c r="L888">
        <v>101</v>
      </c>
      <c r="M888" t="s">
        <v>596</v>
      </c>
      <c r="N888" t="s">
        <v>203</v>
      </c>
      <c r="O888">
        <v>2125558493</v>
      </c>
      <c r="P888" t="s">
        <v>204</v>
      </c>
      <c r="Q888" t="s">
        <v>205</v>
      </c>
      <c r="R888" t="s">
        <v>30</v>
      </c>
      <c r="S888" t="s">
        <v>31</v>
      </c>
      <c r="T888">
        <v>10022</v>
      </c>
      <c r="U888" t="s">
        <v>32</v>
      </c>
      <c r="V888" t="s">
        <v>33</v>
      </c>
      <c r="W888" t="s">
        <v>124</v>
      </c>
      <c r="X888" t="s">
        <v>206</v>
      </c>
      <c r="Y888" t="s">
        <v>51</v>
      </c>
    </row>
    <row r="889" spans="1:25" x14ac:dyDescent="0.25">
      <c r="A889">
        <v>10174</v>
      </c>
      <c r="B889">
        <v>46</v>
      </c>
      <c r="C889">
        <v>100</v>
      </c>
      <c r="D889">
        <v>5</v>
      </c>
      <c r="E889">
        <v>5592.22</v>
      </c>
      <c r="F889" s="1">
        <v>37931</v>
      </c>
      <c r="G889" t="s">
        <v>25</v>
      </c>
      <c r="H889">
        <v>4</v>
      </c>
      <c r="I889">
        <v>11</v>
      </c>
      <c r="J889">
        <v>2003</v>
      </c>
      <c r="K889" t="s">
        <v>550</v>
      </c>
      <c r="L889">
        <v>101</v>
      </c>
      <c r="M889" t="s">
        <v>596</v>
      </c>
      <c r="N889" t="s">
        <v>207</v>
      </c>
      <c r="O889" t="s">
        <v>208</v>
      </c>
      <c r="P889" t="s">
        <v>209</v>
      </c>
      <c r="R889" t="s">
        <v>210</v>
      </c>
      <c r="S889" t="s">
        <v>211</v>
      </c>
      <c r="T889">
        <v>4101</v>
      </c>
      <c r="U889" t="s">
        <v>95</v>
      </c>
      <c r="V889" t="s">
        <v>96</v>
      </c>
      <c r="W889" t="s">
        <v>212</v>
      </c>
      <c r="X889" t="s">
        <v>213</v>
      </c>
      <c r="Y889" t="s">
        <v>51</v>
      </c>
    </row>
    <row r="890" spans="1:25" x14ac:dyDescent="0.25">
      <c r="A890">
        <v>10183</v>
      </c>
      <c r="B890">
        <v>37</v>
      </c>
      <c r="C890">
        <v>89.15</v>
      </c>
      <c r="D890">
        <v>9</v>
      </c>
      <c r="E890">
        <v>3298.55</v>
      </c>
      <c r="F890" s="1">
        <v>37938</v>
      </c>
      <c r="G890" t="s">
        <v>25</v>
      </c>
      <c r="H890">
        <v>4</v>
      </c>
      <c r="I890">
        <v>11</v>
      </c>
      <c r="J890">
        <v>2003</v>
      </c>
      <c r="K890" t="s">
        <v>550</v>
      </c>
      <c r="L890">
        <v>101</v>
      </c>
      <c r="M890" t="s">
        <v>596</v>
      </c>
      <c r="N890" t="s">
        <v>214</v>
      </c>
      <c r="O890">
        <v>2155554695</v>
      </c>
      <c r="P890" t="s">
        <v>215</v>
      </c>
      <c r="R890" t="s">
        <v>216</v>
      </c>
      <c r="S890" t="s">
        <v>142</v>
      </c>
      <c r="T890">
        <v>71270</v>
      </c>
      <c r="U890" t="s">
        <v>32</v>
      </c>
      <c r="V890" t="s">
        <v>33</v>
      </c>
      <c r="W890" t="s">
        <v>217</v>
      </c>
      <c r="X890" t="s">
        <v>218</v>
      </c>
      <c r="Y890" t="s">
        <v>51</v>
      </c>
    </row>
    <row r="891" spans="1:25" x14ac:dyDescent="0.25">
      <c r="A891">
        <v>10193</v>
      </c>
      <c r="B891">
        <v>28</v>
      </c>
      <c r="C891">
        <v>93.21</v>
      </c>
      <c r="D891">
        <v>1</v>
      </c>
      <c r="E891">
        <v>2609.88</v>
      </c>
      <c r="F891" s="1">
        <v>37946</v>
      </c>
      <c r="G891" t="s">
        <v>25</v>
      </c>
      <c r="H891">
        <v>4</v>
      </c>
      <c r="I891">
        <v>11</v>
      </c>
      <c r="J891">
        <v>2003</v>
      </c>
      <c r="K891" t="s">
        <v>550</v>
      </c>
      <c r="L891">
        <v>101</v>
      </c>
      <c r="M891" t="s">
        <v>596</v>
      </c>
      <c r="N891" t="s">
        <v>558</v>
      </c>
      <c r="O891" t="s">
        <v>559</v>
      </c>
      <c r="P891" t="s">
        <v>560</v>
      </c>
      <c r="R891" t="s">
        <v>561</v>
      </c>
      <c r="S891" t="s">
        <v>94</v>
      </c>
      <c r="T891">
        <v>3150</v>
      </c>
      <c r="U891" t="s">
        <v>95</v>
      </c>
      <c r="V891" t="s">
        <v>96</v>
      </c>
      <c r="W891" t="s">
        <v>562</v>
      </c>
      <c r="X891" t="s">
        <v>563</v>
      </c>
      <c r="Y891" t="s">
        <v>36</v>
      </c>
    </row>
    <row r="892" spans="1:25" x14ac:dyDescent="0.25">
      <c r="A892">
        <v>10206</v>
      </c>
      <c r="B892">
        <v>37</v>
      </c>
      <c r="C892">
        <v>90.17</v>
      </c>
      <c r="D892">
        <v>7</v>
      </c>
      <c r="E892">
        <v>3336.29</v>
      </c>
      <c r="F892" s="1">
        <v>37960</v>
      </c>
      <c r="G892" t="s">
        <v>25</v>
      </c>
      <c r="H892">
        <v>4</v>
      </c>
      <c r="I892">
        <v>12</v>
      </c>
      <c r="J892">
        <v>2003</v>
      </c>
      <c r="K892" t="s">
        <v>550</v>
      </c>
      <c r="L892">
        <v>101</v>
      </c>
      <c r="M892" t="s">
        <v>596</v>
      </c>
      <c r="N892" t="s">
        <v>225</v>
      </c>
      <c r="O892" t="s">
        <v>226</v>
      </c>
      <c r="P892" t="s">
        <v>227</v>
      </c>
      <c r="R892" t="s">
        <v>228</v>
      </c>
      <c r="S892" t="s">
        <v>229</v>
      </c>
      <c r="T892" t="s">
        <v>230</v>
      </c>
      <c r="U892" t="s">
        <v>231</v>
      </c>
      <c r="V892" t="s">
        <v>33</v>
      </c>
      <c r="W892" t="s">
        <v>232</v>
      </c>
      <c r="X892" t="s">
        <v>233</v>
      </c>
      <c r="Y892" t="s">
        <v>51</v>
      </c>
    </row>
    <row r="893" spans="1:25" x14ac:dyDescent="0.25">
      <c r="A893">
        <v>10215</v>
      </c>
      <c r="B893">
        <v>49</v>
      </c>
      <c r="C893">
        <v>100</v>
      </c>
      <c r="D893">
        <v>4</v>
      </c>
      <c r="E893">
        <v>5510.05</v>
      </c>
      <c r="F893" s="1">
        <v>38015</v>
      </c>
      <c r="G893" t="s">
        <v>25</v>
      </c>
      <c r="H893">
        <v>1</v>
      </c>
      <c r="I893">
        <v>1</v>
      </c>
      <c r="J893">
        <v>2004</v>
      </c>
      <c r="K893" t="s">
        <v>550</v>
      </c>
      <c r="L893">
        <v>101</v>
      </c>
      <c r="M893" t="s">
        <v>596</v>
      </c>
      <c r="N893" t="s">
        <v>234</v>
      </c>
      <c r="O893">
        <v>3105553722</v>
      </c>
      <c r="P893" t="s">
        <v>235</v>
      </c>
      <c r="R893" t="s">
        <v>236</v>
      </c>
      <c r="S893" t="s">
        <v>55</v>
      </c>
      <c r="T893">
        <v>94019</v>
      </c>
      <c r="U893" t="s">
        <v>32</v>
      </c>
      <c r="V893" t="s">
        <v>33</v>
      </c>
      <c r="W893" t="s">
        <v>237</v>
      </c>
      <c r="X893" t="s">
        <v>238</v>
      </c>
      <c r="Y893" t="s">
        <v>51</v>
      </c>
    </row>
    <row r="894" spans="1:25" x14ac:dyDescent="0.25">
      <c r="A894">
        <v>10228</v>
      </c>
      <c r="B894">
        <v>24</v>
      </c>
      <c r="C894">
        <v>100</v>
      </c>
      <c r="D894">
        <v>3</v>
      </c>
      <c r="E894">
        <v>2504.4</v>
      </c>
      <c r="F894" s="1">
        <v>38056</v>
      </c>
      <c r="G894" t="s">
        <v>25</v>
      </c>
      <c r="H894">
        <v>1</v>
      </c>
      <c r="I894">
        <v>3</v>
      </c>
      <c r="J894">
        <v>2004</v>
      </c>
      <c r="K894" t="s">
        <v>550</v>
      </c>
      <c r="L894">
        <v>101</v>
      </c>
      <c r="M894" t="s">
        <v>596</v>
      </c>
      <c r="N894" t="s">
        <v>239</v>
      </c>
      <c r="O894">
        <v>6175555555</v>
      </c>
      <c r="P894" t="s">
        <v>240</v>
      </c>
      <c r="R894" t="s">
        <v>122</v>
      </c>
      <c r="S894" t="s">
        <v>123</v>
      </c>
      <c r="T894">
        <v>51247</v>
      </c>
      <c r="U894" t="s">
        <v>32</v>
      </c>
      <c r="V894" t="s">
        <v>33</v>
      </c>
      <c r="W894" t="s">
        <v>241</v>
      </c>
      <c r="X894" t="s">
        <v>143</v>
      </c>
      <c r="Y894" t="s">
        <v>36</v>
      </c>
    </row>
    <row r="895" spans="1:25" x14ac:dyDescent="0.25">
      <c r="A895">
        <v>10244</v>
      </c>
      <c r="B895">
        <v>30</v>
      </c>
      <c r="C895">
        <v>100</v>
      </c>
      <c r="D895">
        <v>1</v>
      </c>
      <c r="E895">
        <v>3525.6</v>
      </c>
      <c r="F895" s="1">
        <v>38106</v>
      </c>
      <c r="G895" t="s">
        <v>25</v>
      </c>
      <c r="H895">
        <v>2</v>
      </c>
      <c r="I895">
        <v>4</v>
      </c>
      <c r="J895">
        <v>2004</v>
      </c>
      <c r="K895" t="s">
        <v>550</v>
      </c>
      <c r="L895">
        <v>101</v>
      </c>
      <c r="M895" t="s">
        <v>596</v>
      </c>
      <c r="N895" t="s">
        <v>174</v>
      </c>
      <c r="O895" t="s">
        <v>175</v>
      </c>
      <c r="P895" t="s">
        <v>176</v>
      </c>
      <c r="R895" t="s">
        <v>177</v>
      </c>
      <c r="T895">
        <v>28034</v>
      </c>
      <c r="U895" t="s">
        <v>178</v>
      </c>
      <c r="V895" t="s">
        <v>42</v>
      </c>
      <c r="W895" t="s">
        <v>179</v>
      </c>
      <c r="X895" t="s">
        <v>180</v>
      </c>
      <c r="Y895" t="s">
        <v>51</v>
      </c>
    </row>
    <row r="896" spans="1:25" x14ac:dyDescent="0.25">
      <c r="A896">
        <v>10257</v>
      </c>
      <c r="B896">
        <v>50</v>
      </c>
      <c r="C896">
        <v>88.14</v>
      </c>
      <c r="D896">
        <v>1</v>
      </c>
      <c r="E896">
        <v>4407</v>
      </c>
      <c r="F896" s="1">
        <v>38152</v>
      </c>
      <c r="G896" t="s">
        <v>25</v>
      </c>
      <c r="H896">
        <v>2</v>
      </c>
      <c r="I896">
        <v>6</v>
      </c>
      <c r="J896">
        <v>2004</v>
      </c>
      <c r="K896" t="s">
        <v>550</v>
      </c>
      <c r="L896">
        <v>101</v>
      </c>
      <c r="M896" t="s">
        <v>596</v>
      </c>
      <c r="N896" t="s">
        <v>397</v>
      </c>
      <c r="O896">
        <v>4085553659</v>
      </c>
      <c r="P896" t="s">
        <v>398</v>
      </c>
      <c r="R896" t="s">
        <v>399</v>
      </c>
      <c r="S896" t="s">
        <v>55</v>
      </c>
      <c r="T896">
        <v>94217</v>
      </c>
      <c r="U896" t="s">
        <v>32</v>
      </c>
      <c r="V896" t="s">
        <v>33</v>
      </c>
      <c r="W896" t="s">
        <v>102</v>
      </c>
      <c r="X896" t="s">
        <v>400</v>
      </c>
      <c r="Y896" t="s">
        <v>51</v>
      </c>
    </row>
    <row r="897" spans="1:25" x14ac:dyDescent="0.25">
      <c r="A897">
        <v>10270</v>
      </c>
      <c r="B897">
        <v>31</v>
      </c>
      <c r="C897">
        <v>96.24</v>
      </c>
      <c r="D897">
        <v>10</v>
      </c>
      <c r="E897">
        <v>2983.44</v>
      </c>
      <c r="F897" s="1">
        <v>38187</v>
      </c>
      <c r="G897" t="s">
        <v>25</v>
      </c>
      <c r="H897">
        <v>3</v>
      </c>
      <c r="I897">
        <v>7</v>
      </c>
      <c r="J897">
        <v>2004</v>
      </c>
      <c r="K897" t="s">
        <v>550</v>
      </c>
      <c r="L897">
        <v>101</v>
      </c>
      <c r="M897" t="s">
        <v>596</v>
      </c>
      <c r="N897" t="s">
        <v>152</v>
      </c>
      <c r="O897" t="s">
        <v>153</v>
      </c>
      <c r="P897" t="s">
        <v>154</v>
      </c>
      <c r="Q897" t="s">
        <v>155</v>
      </c>
      <c r="R897" t="s">
        <v>156</v>
      </c>
      <c r="S897" t="s">
        <v>157</v>
      </c>
      <c r="T897">
        <v>2067</v>
      </c>
      <c r="U897" t="s">
        <v>95</v>
      </c>
      <c r="V897" t="s">
        <v>96</v>
      </c>
      <c r="W897" t="s">
        <v>158</v>
      </c>
      <c r="X897" t="s">
        <v>159</v>
      </c>
      <c r="Y897" t="s">
        <v>36</v>
      </c>
    </row>
    <row r="898" spans="1:25" x14ac:dyDescent="0.25">
      <c r="A898">
        <v>10280</v>
      </c>
      <c r="B898">
        <v>46</v>
      </c>
      <c r="C898">
        <v>100</v>
      </c>
      <c r="D898">
        <v>3</v>
      </c>
      <c r="E898">
        <v>5126.24</v>
      </c>
      <c r="F898" s="1">
        <v>38216</v>
      </c>
      <c r="G898" t="s">
        <v>25</v>
      </c>
      <c r="H898">
        <v>3</v>
      </c>
      <c r="I898">
        <v>8</v>
      </c>
      <c r="J898">
        <v>2004</v>
      </c>
      <c r="K898" t="s">
        <v>550</v>
      </c>
      <c r="L898">
        <v>101</v>
      </c>
      <c r="M898" t="s">
        <v>596</v>
      </c>
      <c r="N898" t="s">
        <v>254</v>
      </c>
      <c r="O898" t="s">
        <v>255</v>
      </c>
      <c r="P898" t="s">
        <v>256</v>
      </c>
      <c r="R898" t="s">
        <v>257</v>
      </c>
      <c r="T898">
        <v>10100</v>
      </c>
      <c r="U898" t="s">
        <v>258</v>
      </c>
      <c r="V898" t="s">
        <v>42</v>
      </c>
      <c r="W898" t="s">
        <v>259</v>
      </c>
      <c r="X898" t="s">
        <v>260</v>
      </c>
      <c r="Y898" t="s">
        <v>51</v>
      </c>
    </row>
    <row r="899" spans="1:25" x14ac:dyDescent="0.25">
      <c r="A899">
        <v>10291</v>
      </c>
      <c r="B899">
        <v>47</v>
      </c>
      <c r="C899">
        <v>100</v>
      </c>
      <c r="D899">
        <v>12</v>
      </c>
      <c r="E899">
        <v>5713.79</v>
      </c>
      <c r="F899" s="1">
        <v>38238</v>
      </c>
      <c r="G899" t="s">
        <v>25</v>
      </c>
      <c r="H899">
        <v>3</v>
      </c>
      <c r="I899">
        <v>9</v>
      </c>
      <c r="J899">
        <v>2004</v>
      </c>
      <c r="K899" t="s">
        <v>550</v>
      </c>
      <c r="L899">
        <v>101</v>
      </c>
      <c r="M899" t="s">
        <v>596</v>
      </c>
      <c r="N899" t="s">
        <v>261</v>
      </c>
      <c r="O899" t="s">
        <v>262</v>
      </c>
      <c r="P899" t="s">
        <v>263</v>
      </c>
      <c r="R899" t="s">
        <v>264</v>
      </c>
      <c r="T899" t="s">
        <v>265</v>
      </c>
      <c r="U899" t="s">
        <v>188</v>
      </c>
      <c r="V899" t="s">
        <v>42</v>
      </c>
      <c r="W899" t="s">
        <v>266</v>
      </c>
      <c r="X899" t="s">
        <v>206</v>
      </c>
      <c r="Y899" t="s">
        <v>51</v>
      </c>
    </row>
    <row r="900" spans="1:25" x14ac:dyDescent="0.25">
      <c r="A900">
        <v>10304</v>
      </c>
      <c r="B900">
        <v>46</v>
      </c>
      <c r="C900">
        <v>100</v>
      </c>
      <c r="D900">
        <v>7</v>
      </c>
      <c r="E900">
        <v>4613.8</v>
      </c>
      <c r="F900" s="1">
        <v>38271</v>
      </c>
      <c r="G900" t="s">
        <v>25</v>
      </c>
      <c r="H900">
        <v>4</v>
      </c>
      <c r="I900">
        <v>10</v>
      </c>
      <c r="J900">
        <v>2004</v>
      </c>
      <c r="K900" t="s">
        <v>550</v>
      </c>
      <c r="L900">
        <v>101</v>
      </c>
      <c r="M900" t="s">
        <v>596</v>
      </c>
      <c r="N900" t="s">
        <v>267</v>
      </c>
      <c r="O900" t="s">
        <v>268</v>
      </c>
      <c r="P900" t="s">
        <v>269</v>
      </c>
      <c r="R900" t="s">
        <v>270</v>
      </c>
      <c r="T900">
        <v>78000</v>
      </c>
      <c r="U900" t="s">
        <v>41</v>
      </c>
      <c r="V900" t="s">
        <v>42</v>
      </c>
      <c r="W900" t="s">
        <v>271</v>
      </c>
      <c r="X900" t="s">
        <v>50</v>
      </c>
      <c r="Y900" t="s">
        <v>51</v>
      </c>
    </row>
    <row r="901" spans="1:25" x14ac:dyDescent="0.25">
      <c r="A901">
        <v>10312</v>
      </c>
      <c r="B901">
        <v>37</v>
      </c>
      <c r="C901">
        <v>100</v>
      </c>
      <c r="D901">
        <v>4</v>
      </c>
      <c r="E901">
        <v>3711.1</v>
      </c>
      <c r="F901" s="1">
        <v>38281</v>
      </c>
      <c r="G901" t="s">
        <v>25</v>
      </c>
      <c r="H901">
        <v>4</v>
      </c>
      <c r="I901">
        <v>10</v>
      </c>
      <c r="J901">
        <v>2004</v>
      </c>
      <c r="K901" t="s">
        <v>550</v>
      </c>
      <c r="L901">
        <v>101</v>
      </c>
      <c r="M901" t="s">
        <v>596</v>
      </c>
      <c r="N901" t="s">
        <v>272</v>
      </c>
      <c r="O901">
        <v>4155551450</v>
      </c>
      <c r="P901" t="s">
        <v>273</v>
      </c>
      <c r="R901" t="s">
        <v>274</v>
      </c>
      <c r="S901" t="s">
        <v>55</v>
      </c>
      <c r="T901">
        <v>97562</v>
      </c>
      <c r="U901" t="s">
        <v>32</v>
      </c>
      <c r="V901" t="s">
        <v>33</v>
      </c>
      <c r="W901" t="s">
        <v>275</v>
      </c>
      <c r="X901" t="s">
        <v>276</v>
      </c>
      <c r="Y901" t="s">
        <v>51</v>
      </c>
    </row>
    <row r="902" spans="1:25" x14ac:dyDescent="0.25">
      <c r="A902">
        <v>10322</v>
      </c>
      <c r="B902">
        <v>33</v>
      </c>
      <c r="C902">
        <v>100</v>
      </c>
      <c r="D902">
        <v>12</v>
      </c>
      <c r="E902">
        <v>3524.73</v>
      </c>
      <c r="F902" s="1">
        <v>38295</v>
      </c>
      <c r="G902" t="s">
        <v>25</v>
      </c>
      <c r="H902">
        <v>4</v>
      </c>
      <c r="I902">
        <v>11</v>
      </c>
      <c r="J902">
        <v>2004</v>
      </c>
      <c r="K902" t="s">
        <v>550</v>
      </c>
      <c r="L902">
        <v>101</v>
      </c>
      <c r="M902" t="s">
        <v>596</v>
      </c>
      <c r="N902" t="s">
        <v>277</v>
      </c>
      <c r="O902">
        <v>6035558647</v>
      </c>
      <c r="P902" t="s">
        <v>278</v>
      </c>
      <c r="R902" t="s">
        <v>279</v>
      </c>
      <c r="S902" t="s">
        <v>280</v>
      </c>
      <c r="T902">
        <v>62005</v>
      </c>
      <c r="U902" t="s">
        <v>32</v>
      </c>
      <c r="V902" t="s">
        <v>33</v>
      </c>
      <c r="W902" t="s">
        <v>56</v>
      </c>
      <c r="X902" t="s">
        <v>276</v>
      </c>
      <c r="Y902" t="s">
        <v>51</v>
      </c>
    </row>
    <row r="903" spans="1:25" x14ac:dyDescent="0.25">
      <c r="A903">
        <v>10333</v>
      </c>
      <c r="B903">
        <v>31</v>
      </c>
      <c r="C903">
        <v>90.17</v>
      </c>
      <c r="D903">
        <v>5</v>
      </c>
      <c r="E903">
        <v>2795.27</v>
      </c>
      <c r="F903" s="1">
        <v>38309</v>
      </c>
      <c r="G903" t="s">
        <v>25</v>
      </c>
      <c r="H903">
        <v>4</v>
      </c>
      <c r="I903">
        <v>11</v>
      </c>
      <c r="J903">
        <v>2004</v>
      </c>
      <c r="K903" t="s">
        <v>550</v>
      </c>
      <c r="L903">
        <v>101</v>
      </c>
      <c r="M903" t="s">
        <v>596</v>
      </c>
      <c r="N903" t="s">
        <v>81</v>
      </c>
      <c r="O903">
        <v>6505555787</v>
      </c>
      <c r="P903" t="s">
        <v>82</v>
      </c>
      <c r="R903" t="s">
        <v>60</v>
      </c>
      <c r="S903" t="s">
        <v>55</v>
      </c>
      <c r="U903" t="s">
        <v>32</v>
      </c>
      <c r="V903" t="s">
        <v>33</v>
      </c>
      <c r="W903" t="s">
        <v>83</v>
      </c>
      <c r="X903" t="s">
        <v>57</v>
      </c>
      <c r="Y903" t="s">
        <v>36</v>
      </c>
    </row>
    <row r="904" spans="1:25" x14ac:dyDescent="0.25">
      <c r="A904">
        <v>10347</v>
      </c>
      <c r="B904">
        <v>48</v>
      </c>
      <c r="C904">
        <v>100</v>
      </c>
      <c r="D904">
        <v>9</v>
      </c>
      <c r="E904">
        <v>4814.3999999999996</v>
      </c>
      <c r="F904" s="1">
        <v>38320</v>
      </c>
      <c r="G904" t="s">
        <v>25</v>
      </c>
      <c r="H904">
        <v>4</v>
      </c>
      <c r="I904">
        <v>11</v>
      </c>
      <c r="J904">
        <v>2004</v>
      </c>
      <c r="K904" t="s">
        <v>550</v>
      </c>
      <c r="L904">
        <v>101</v>
      </c>
      <c r="M904" t="s">
        <v>596</v>
      </c>
      <c r="N904" t="s">
        <v>89</v>
      </c>
      <c r="O904" t="s">
        <v>90</v>
      </c>
      <c r="P904" t="s">
        <v>91</v>
      </c>
      <c r="Q904" t="s">
        <v>92</v>
      </c>
      <c r="R904" t="s">
        <v>93</v>
      </c>
      <c r="S904" t="s">
        <v>94</v>
      </c>
      <c r="T904">
        <v>3004</v>
      </c>
      <c r="U904" t="s">
        <v>95</v>
      </c>
      <c r="V904" t="s">
        <v>96</v>
      </c>
      <c r="W904" t="s">
        <v>97</v>
      </c>
      <c r="X904" t="s">
        <v>98</v>
      </c>
      <c r="Y904" t="s">
        <v>51</v>
      </c>
    </row>
    <row r="905" spans="1:25" x14ac:dyDescent="0.25">
      <c r="A905">
        <v>10357</v>
      </c>
      <c r="B905">
        <v>41</v>
      </c>
      <c r="C905">
        <v>87.13</v>
      </c>
      <c r="D905">
        <v>6</v>
      </c>
      <c r="E905">
        <v>3572.33</v>
      </c>
      <c r="F905" s="1">
        <v>38331</v>
      </c>
      <c r="G905" t="s">
        <v>25</v>
      </c>
      <c r="H905">
        <v>4</v>
      </c>
      <c r="I905">
        <v>12</v>
      </c>
      <c r="J905">
        <v>2004</v>
      </c>
      <c r="K905" t="s">
        <v>550</v>
      </c>
      <c r="L905">
        <v>101</v>
      </c>
      <c r="M905" t="s">
        <v>596</v>
      </c>
      <c r="N905" t="s">
        <v>272</v>
      </c>
      <c r="O905">
        <v>4155551450</v>
      </c>
      <c r="P905" t="s">
        <v>273</v>
      </c>
      <c r="R905" t="s">
        <v>274</v>
      </c>
      <c r="S905" t="s">
        <v>55</v>
      </c>
      <c r="T905">
        <v>97562</v>
      </c>
      <c r="U905" t="s">
        <v>32</v>
      </c>
      <c r="V905" t="s">
        <v>33</v>
      </c>
      <c r="W905" t="s">
        <v>275</v>
      </c>
      <c r="X905" t="s">
        <v>276</v>
      </c>
      <c r="Y905" t="s">
        <v>51</v>
      </c>
    </row>
    <row r="906" spans="1:25" x14ac:dyDescent="0.25">
      <c r="A906">
        <v>10369</v>
      </c>
      <c r="B906">
        <v>42</v>
      </c>
      <c r="C906">
        <v>100</v>
      </c>
      <c r="D906">
        <v>1</v>
      </c>
      <c r="E906">
        <v>4581.3599999999997</v>
      </c>
      <c r="F906" s="1">
        <v>38372</v>
      </c>
      <c r="G906" t="s">
        <v>25</v>
      </c>
      <c r="H906">
        <v>1</v>
      </c>
      <c r="I906">
        <v>1</v>
      </c>
      <c r="J906">
        <v>2005</v>
      </c>
      <c r="K906" t="s">
        <v>550</v>
      </c>
      <c r="L906">
        <v>101</v>
      </c>
      <c r="M906" t="s">
        <v>596</v>
      </c>
      <c r="N906" t="s">
        <v>281</v>
      </c>
      <c r="O906">
        <v>6175558555</v>
      </c>
      <c r="P906" t="s">
        <v>282</v>
      </c>
      <c r="R906" t="s">
        <v>283</v>
      </c>
      <c r="S906" t="s">
        <v>123</v>
      </c>
      <c r="T906">
        <v>58339</v>
      </c>
      <c r="U906" t="s">
        <v>32</v>
      </c>
      <c r="V906" t="s">
        <v>33</v>
      </c>
      <c r="W906" t="s">
        <v>275</v>
      </c>
      <c r="X906" t="s">
        <v>284</v>
      </c>
      <c r="Y906" t="s">
        <v>51</v>
      </c>
    </row>
    <row r="907" spans="1:25" x14ac:dyDescent="0.25">
      <c r="A907">
        <v>10381</v>
      </c>
      <c r="B907">
        <v>41</v>
      </c>
      <c r="C907">
        <v>100</v>
      </c>
      <c r="D907">
        <v>8</v>
      </c>
      <c r="E907">
        <v>4319.76</v>
      </c>
      <c r="F907" s="1">
        <v>38400</v>
      </c>
      <c r="G907" t="s">
        <v>25</v>
      </c>
      <c r="H907">
        <v>1</v>
      </c>
      <c r="I907">
        <v>2</v>
      </c>
      <c r="J907">
        <v>2005</v>
      </c>
      <c r="K907" t="s">
        <v>550</v>
      </c>
      <c r="L907">
        <v>101</v>
      </c>
      <c r="M907" t="s">
        <v>596</v>
      </c>
      <c r="N907" t="s">
        <v>58</v>
      </c>
      <c r="O907">
        <v>6505551386</v>
      </c>
      <c r="P907" t="s">
        <v>59</v>
      </c>
      <c r="R907" t="s">
        <v>60</v>
      </c>
      <c r="S907" t="s">
        <v>55</v>
      </c>
      <c r="U907" t="s">
        <v>32</v>
      </c>
      <c r="V907" t="s">
        <v>33</v>
      </c>
      <c r="W907" t="s">
        <v>61</v>
      </c>
      <c r="X907" t="s">
        <v>57</v>
      </c>
      <c r="Y907" t="s">
        <v>51</v>
      </c>
    </row>
    <row r="908" spans="1:25" x14ac:dyDescent="0.25">
      <c r="A908">
        <v>10391</v>
      </c>
      <c r="B908">
        <v>32</v>
      </c>
      <c r="C908">
        <v>45.25</v>
      </c>
      <c r="D908">
        <v>6</v>
      </c>
      <c r="E908">
        <v>1448</v>
      </c>
      <c r="F908" s="1">
        <v>38420</v>
      </c>
      <c r="G908" t="s">
        <v>25</v>
      </c>
      <c r="H908">
        <v>1</v>
      </c>
      <c r="I908">
        <v>3</v>
      </c>
      <c r="J908">
        <v>2005</v>
      </c>
      <c r="K908" t="s">
        <v>550</v>
      </c>
      <c r="L908">
        <v>101</v>
      </c>
      <c r="M908" t="s">
        <v>596</v>
      </c>
      <c r="N908" t="s">
        <v>285</v>
      </c>
      <c r="O908" t="s">
        <v>286</v>
      </c>
      <c r="P908" t="s">
        <v>287</v>
      </c>
      <c r="Q908" t="s">
        <v>288</v>
      </c>
      <c r="R908" t="s">
        <v>289</v>
      </c>
      <c r="S908" t="s">
        <v>157</v>
      </c>
      <c r="T908">
        <v>2060</v>
      </c>
      <c r="U908" t="s">
        <v>95</v>
      </c>
      <c r="V908" t="s">
        <v>96</v>
      </c>
      <c r="W908" t="s">
        <v>290</v>
      </c>
      <c r="X908" t="s">
        <v>291</v>
      </c>
      <c r="Y908" t="s">
        <v>36</v>
      </c>
    </row>
    <row r="909" spans="1:25" x14ac:dyDescent="0.25">
      <c r="A909">
        <v>10423</v>
      </c>
      <c r="B909">
        <v>10</v>
      </c>
      <c r="C909">
        <v>88.14</v>
      </c>
      <c r="D909">
        <v>1</v>
      </c>
      <c r="E909">
        <v>881.4</v>
      </c>
      <c r="F909" s="1">
        <v>38502</v>
      </c>
      <c r="G909" t="s">
        <v>300</v>
      </c>
      <c r="H909">
        <v>2</v>
      </c>
      <c r="I909">
        <v>5</v>
      </c>
      <c r="J909">
        <v>2005</v>
      </c>
      <c r="K909" t="s">
        <v>550</v>
      </c>
      <c r="L909">
        <v>101</v>
      </c>
      <c r="M909" t="s">
        <v>596</v>
      </c>
      <c r="N909" t="s">
        <v>365</v>
      </c>
      <c r="O909" t="s">
        <v>366</v>
      </c>
      <c r="P909" t="s">
        <v>367</v>
      </c>
      <c r="R909" t="s">
        <v>368</v>
      </c>
      <c r="T909" t="s">
        <v>369</v>
      </c>
      <c r="U909" t="s">
        <v>370</v>
      </c>
      <c r="V909" t="s">
        <v>42</v>
      </c>
      <c r="W909" t="s">
        <v>371</v>
      </c>
      <c r="X909" t="s">
        <v>372</v>
      </c>
      <c r="Y909" t="s">
        <v>36</v>
      </c>
    </row>
    <row r="910" spans="1:25" x14ac:dyDescent="0.25">
      <c r="A910">
        <v>10103</v>
      </c>
      <c r="B910">
        <v>35</v>
      </c>
      <c r="C910">
        <v>57.46</v>
      </c>
      <c r="D910">
        <v>14</v>
      </c>
      <c r="E910">
        <v>2011.1</v>
      </c>
      <c r="F910" s="1">
        <v>37650</v>
      </c>
      <c r="G910" t="s">
        <v>25</v>
      </c>
      <c r="H910">
        <v>1</v>
      </c>
      <c r="I910">
        <v>1</v>
      </c>
      <c r="J910">
        <v>2003</v>
      </c>
      <c r="K910" t="s">
        <v>550</v>
      </c>
      <c r="L910">
        <v>62</v>
      </c>
      <c r="M910" t="s">
        <v>597</v>
      </c>
      <c r="N910" t="s">
        <v>133</v>
      </c>
      <c r="O910" t="s">
        <v>134</v>
      </c>
      <c r="P910" t="s">
        <v>135</v>
      </c>
      <c r="R910" t="s">
        <v>136</v>
      </c>
      <c r="T910">
        <v>4110</v>
      </c>
      <c r="U910" t="s">
        <v>78</v>
      </c>
      <c r="V910" t="s">
        <v>42</v>
      </c>
      <c r="W910" t="s">
        <v>137</v>
      </c>
      <c r="X910" t="s">
        <v>138</v>
      </c>
      <c r="Y910" t="s">
        <v>36</v>
      </c>
    </row>
    <row r="911" spans="1:25" x14ac:dyDescent="0.25">
      <c r="A911">
        <v>10111</v>
      </c>
      <c r="B911">
        <v>28</v>
      </c>
      <c r="C911">
        <v>64.33</v>
      </c>
      <c r="D911">
        <v>2</v>
      </c>
      <c r="E911">
        <v>1801.24</v>
      </c>
      <c r="F911" s="1">
        <v>37705</v>
      </c>
      <c r="G911" t="s">
        <v>25</v>
      </c>
      <c r="H911">
        <v>1</v>
      </c>
      <c r="I911">
        <v>3</v>
      </c>
      <c r="J911">
        <v>2003</v>
      </c>
      <c r="K911" t="s">
        <v>550</v>
      </c>
      <c r="L911">
        <v>62</v>
      </c>
      <c r="M911" t="s">
        <v>597</v>
      </c>
      <c r="N911" t="s">
        <v>81</v>
      </c>
      <c r="O911">
        <v>6505555787</v>
      </c>
      <c r="P911" t="s">
        <v>82</v>
      </c>
      <c r="R911" t="s">
        <v>60</v>
      </c>
      <c r="S911" t="s">
        <v>55</v>
      </c>
      <c r="U911" t="s">
        <v>32</v>
      </c>
      <c r="V911" t="s">
        <v>33</v>
      </c>
      <c r="W911" t="s">
        <v>83</v>
      </c>
      <c r="X911" t="s">
        <v>57</v>
      </c>
      <c r="Y911" t="s">
        <v>36</v>
      </c>
    </row>
    <row r="912" spans="1:25" x14ac:dyDescent="0.25">
      <c r="A912">
        <v>10126</v>
      </c>
      <c r="B912">
        <v>46</v>
      </c>
      <c r="C912">
        <v>73.7</v>
      </c>
      <c r="D912">
        <v>14</v>
      </c>
      <c r="E912">
        <v>3390.2</v>
      </c>
      <c r="F912" s="1">
        <v>37769</v>
      </c>
      <c r="G912" t="s">
        <v>25</v>
      </c>
      <c r="H912">
        <v>2</v>
      </c>
      <c r="I912">
        <v>5</v>
      </c>
      <c r="J912">
        <v>2003</v>
      </c>
      <c r="K912" t="s">
        <v>550</v>
      </c>
      <c r="L912">
        <v>62</v>
      </c>
      <c r="M912" t="s">
        <v>597</v>
      </c>
      <c r="N912" t="s">
        <v>191</v>
      </c>
      <c r="O912" t="s">
        <v>192</v>
      </c>
      <c r="P912" t="s">
        <v>193</v>
      </c>
      <c r="R912" t="s">
        <v>177</v>
      </c>
      <c r="T912">
        <v>28023</v>
      </c>
      <c r="U912" t="s">
        <v>178</v>
      </c>
      <c r="V912" t="s">
        <v>42</v>
      </c>
      <c r="W912" t="s">
        <v>194</v>
      </c>
      <c r="X912" t="s">
        <v>195</v>
      </c>
      <c r="Y912" t="s">
        <v>51</v>
      </c>
    </row>
    <row r="913" spans="1:25" x14ac:dyDescent="0.25">
      <c r="A913">
        <v>10139</v>
      </c>
      <c r="B913">
        <v>20</v>
      </c>
      <c r="C913">
        <v>71.2</v>
      </c>
      <c r="D913">
        <v>3</v>
      </c>
      <c r="E913">
        <v>1424</v>
      </c>
      <c r="F913" s="1">
        <v>37818</v>
      </c>
      <c r="G913" t="s">
        <v>25</v>
      </c>
      <c r="H913">
        <v>3</v>
      </c>
      <c r="I913">
        <v>7</v>
      </c>
      <c r="J913">
        <v>2003</v>
      </c>
      <c r="K913" t="s">
        <v>550</v>
      </c>
      <c r="L913">
        <v>62</v>
      </c>
      <c r="M913" t="s">
        <v>597</v>
      </c>
      <c r="N913" t="s">
        <v>152</v>
      </c>
      <c r="O913" t="s">
        <v>153</v>
      </c>
      <c r="P913" t="s">
        <v>154</v>
      </c>
      <c r="Q913" t="s">
        <v>155</v>
      </c>
      <c r="R913" t="s">
        <v>156</v>
      </c>
      <c r="S913" t="s">
        <v>157</v>
      </c>
      <c r="T913">
        <v>2067</v>
      </c>
      <c r="U913" t="s">
        <v>95</v>
      </c>
      <c r="V913" t="s">
        <v>96</v>
      </c>
      <c r="W913" t="s">
        <v>158</v>
      </c>
      <c r="X913" t="s">
        <v>159</v>
      </c>
      <c r="Y913" t="s">
        <v>36</v>
      </c>
    </row>
    <row r="914" spans="1:25" x14ac:dyDescent="0.25">
      <c r="A914">
        <v>10150</v>
      </c>
      <c r="B914">
        <v>30</v>
      </c>
      <c r="C914">
        <v>49.97</v>
      </c>
      <c r="D914">
        <v>11</v>
      </c>
      <c r="E914">
        <v>1499.1</v>
      </c>
      <c r="F914" s="1">
        <v>37883</v>
      </c>
      <c r="G914" t="s">
        <v>25</v>
      </c>
      <c r="H914">
        <v>3</v>
      </c>
      <c r="I914">
        <v>9</v>
      </c>
      <c r="J914">
        <v>2003</v>
      </c>
      <c r="K914" t="s">
        <v>550</v>
      </c>
      <c r="L914">
        <v>62</v>
      </c>
      <c r="M914" t="s">
        <v>597</v>
      </c>
      <c r="N914" t="s">
        <v>196</v>
      </c>
      <c r="O914" t="s">
        <v>197</v>
      </c>
      <c r="P914" t="s">
        <v>198</v>
      </c>
      <c r="R914" t="s">
        <v>199</v>
      </c>
      <c r="T914">
        <v>79903</v>
      </c>
      <c r="U914" t="s">
        <v>199</v>
      </c>
      <c r="V914" t="s">
        <v>200</v>
      </c>
      <c r="W914" t="s">
        <v>201</v>
      </c>
      <c r="X914" t="s">
        <v>202</v>
      </c>
      <c r="Y914" t="s">
        <v>36</v>
      </c>
    </row>
    <row r="915" spans="1:25" x14ac:dyDescent="0.25">
      <c r="A915">
        <v>10163</v>
      </c>
      <c r="B915">
        <v>48</v>
      </c>
      <c r="C915">
        <v>69.959999999999994</v>
      </c>
      <c r="D915">
        <v>4</v>
      </c>
      <c r="E915">
        <v>3358.08</v>
      </c>
      <c r="F915" s="1">
        <v>37914</v>
      </c>
      <c r="G915" t="s">
        <v>25</v>
      </c>
      <c r="H915">
        <v>4</v>
      </c>
      <c r="I915">
        <v>10</v>
      </c>
      <c r="J915">
        <v>2003</v>
      </c>
      <c r="K915" t="s">
        <v>550</v>
      </c>
      <c r="L915">
        <v>62</v>
      </c>
      <c r="M915" t="s">
        <v>597</v>
      </c>
      <c r="N915" t="s">
        <v>203</v>
      </c>
      <c r="O915">
        <v>2125558493</v>
      </c>
      <c r="P915" t="s">
        <v>204</v>
      </c>
      <c r="Q915" t="s">
        <v>205</v>
      </c>
      <c r="R915" t="s">
        <v>30</v>
      </c>
      <c r="S915" t="s">
        <v>31</v>
      </c>
      <c r="T915">
        <v>10022</v>
      </c>
      <c r="U915" t="s">
        <v>32</v>
      </c>
      <c r="V915" t="s">
        <v>33</v>
      </c>
      <c r="W915" t="s">
        <v>124</v>
      </c>
      <c r="X915" t="s">
        <v>206</v>
      </c>
      <c r="Y915" t="s">
        <v>51</v>
      </c>
    </row>
    <row r="916" spans="1:25" x14ac:dyDescent="0.25">
      <c r="A916">
        <v>10173</v>
      </c>
      <c r="B916">
        <v>28</v>
      </c>
      <c r="C916">
        <v>53.72</v>
      </c>
      <c r="D916">
        <v>2</v>
      </c>
      <c r="E916">
        <v>1504.16</v>
      </c>
      <c r="F916" s="1">
        <v>37930</v>
      </c>
      <c r="G916" t="s">
        <v>25</v>
      </c>
      <c r="H916">
        <v>4</v>
      </c>
      <c r="I916">
        <v>11</v>
      </c>
      <c r="J916">
        <v>2003</v>
      </c>
      <c r="K916" t="s">
        <v>550</v>
      </c>
      <c r="L916">
        <v>62</v>
      </c>
      <c r="M916" t="s">
        <v>597</v>
      </c>
      <c r="N916" t="s">
        <v>552</v>
      </c>
      <c r="O916" t="s">
        <v>553</v>
      </c>
      <c r="P916" t="s">
        <v>554</v>
      </c>
      <c r="R916" t="s">
        <v>555</v>
      </c>
      <c r="T916">
        <v>24100</v>
      </c>
      <c r="U916" t="s">
        <v>258</v>
      </c>
      <c r="V916" t="s">
        <v>42</v>
      </c>
      <c r="W916" t="s">
        <v>556</v>
      </c>
      <c r="X916" t="s">
        <v>557</v>
      </c>
      <c r="Y916" t="s">
        <v>36</v>
      </c>
    </row>
    <row r="917" spans="1:25" x14ac:dyDescent="0.25">
      <c r="A917">
        <v>10183</v>
      </c>
      <c r="B917">
        <v>39</v>
      </c>
      <c r="C917">
        <v>68.08</v>
      </c>
      <c r="D917">
        <v>11</v>
      </c>
      <c r="E917">
        <v>2655.12</v>
      </c>
      <c r="F917" s="1">
        <v>37938</v>
      </c>
      <c r="G917" t="s">
        <v>25</v>
      </c>
      <c r="H917">
        <v>4</v>
      </c>
      <c r="I917">
        <v>11</v>
      </c>
      <c r="J917">
        <v>2003</v>
      </c>
      <c r="K917" t="s">
        <v>550</v>
      </c>
      <c r="L917">
        <v>62</v>
      </c>
      <c r="M917" t="s">
        <v>597</v>
      </c>
      <c r="N917" t="s">
        <v>214</v>
      </c>
      <c r="O917">
        <v>2155554695</v>
      </c>
      <c r="P917" t="s">
        <v>215</v>
      </c>
      <c r="R917" t="s">
        <v>216</v>
      </c>
      <c r="S917" t="s">
        <v>142</v>
      </c>
      <c r="T917">
        <v>71270</v>
      </c>
      <c r="U917" t="s">
        <v>32</v>
      </c>
      <c r="V917" t="s">
        <v>33</v>
      </c>
      <c r="W917" t="s">
        <v>217</v>
      </c>
      <c r="X917" t="s">
        <v>218</v>
      </c>
      <c r="Y917" t="s">
        <v>36</v>
      </c>
    </row>
    <row r="918" spans="1:25" x14ac:dyDescent="0.25">
      <c r="A918">
        <v>10193</v>
      </c>
      <c r="B918">
        <v>24</v>
      </c>
      <c r="C918">
        <v>51.84</v>
      </c>
      <c r="D918">
        <v>3</v>
      </c>
      <c r="E918">
        <v>1244.1600000000001</v>
      </c>
      <c r="F918" s="1">
        <v>37946</v>
      </c>
      <c r="G918" t="s">
        <v>25</v>
      </c>
      <c r="H918">
        <v>4</v>
      </c>
      <c r="I918">
        <v>11</v>
      </c>
      <c r="J918">
        <v>2003</v>
      </c>
      <c r="K918" t="s">
        <v>550</v>
      </c>
      <c r="L918">
        <v>62</v>
      </c>
      <c r="M918" t="s">
        <v>597</v>
      </c>
      <c r="N918" t="s">
        <v>558</v>
      </c>
      <c r="O918" t="s">
        <v>559</v>
      </c>
      <c r="P918" t="s">
        <v>560</v>
      </c>
      <c r="R918" t="s">
        <v>561</v>
      </c>
      <c r="S918" t="s">
        <v>94</v>
      </c>
      <c r="T918">
        <v>3150</v>
      </c>
      <c r="U918" t="s">
        <v>95</v>
      </c>
      <c r="V918" t="s">
        <v>96</v>
      </c>
      <c r="W918" t="s">
        <v>562</v>
      </c>
      <c r="X918" t="s">
        <v>563</v>
      </c>
      <c r="Y918" t="s">
        <v>36</v>
      </c>
    </row>
    <row r="919" spans="1:25" x14ac:dyDescent="0.25">
      <c r="A919">
        <v>10206</v>
      </c>
      <c r="B919">
        <v>28</v>
      </c>
      <c r="C919">
        <v>67.459999999999994</v>
      </c>
      <c r="D919">
        <v>9</v>
      </c>
      <c r="E919">
        <v>1888.88</v>
      </c>
      <c r="F919" s="1">
        <v>37960</v>
      </c>
      <c r="G919" t="s">
        <v>25</v>
      </c>
      <c r="H919">
        <v>4</v>
      </c>
      <c r="I919">
        <v>12</v>
      </c>
      <c r="J919">
        <v>2003</v>
      </c>
      <c r="K919" t="s">
        <v>550</v>
      </c>
      <c r="L919">
        <v>62</v>
      </c>
      <c r="M919" t="s">
        <v>597</v>
      </c>
      <c r="N919" t="s">
        <v>225</v>
      </c>
      <c r="O919" t="s">
        <v>226</v>
      </c>
      <c r="P919" t="s">
        <v>227</v>
      </c>
      <c r="R919" t="s">
        <v>228</v>
      </c>
      <c r="S919" t="s">
        <v>229</v>
      </c>
      <c r="T919" t="s">
        <v>230</v>
      </c>
      <c r="U919" t="s">
        <v>231</v>
      </c>
      <c r="V919" t="s">
        <v>33</v>
      </c>
      <c r="W919" t="s">
        <v>232</v>
      </c>
      <c r="X919" t="s">
        <v>233</v>
      </c>
      <c r="Y919" t="s">
        <v>36</v>
      </c>
    </row>
    <row r="920" spans="1:25" x14ac:dyDescent="0.25">
      <c r="A920">
        <v>10215</v>
      </c>
      <c r="B920">
        <v>31</v>
      </c>
      <c r="C920">
        <v>58.71</v>
      </c>
      <c r="D920">
        <v>6</v>
      </c>
      <c r="E920">
        <v>1820.01</v>
      </c>
      <c r="F920" s="1">
        <v>38015</v>
      </c>
      <c r="G920" t="s">
        <v>25</v>
      </c>
      <c r="H920">
        <v>1</v>
      </c>
      <c r="I920">
        <v>1</v>
      </c>
      <c r="J920">
        <v>2004</v>
      </c>
      <c r="K920" t="s">
        <v>550</v>
      </c>
      <c r="L920">
        <v>62</v>
      </c>
      <c r="M920" t="s">
        <v>597</v>
      </c>
      <c r="N920" t="s">
        <v>234</v>
      </c>
      <c r="O920">
        <v>3105553722</v>
      </c>
      <c r="P920" t="s">
        <v>235</v>
      </c>
      <c r="R920" t="s">
        <v>236</v>
      </c>
      <c r="S920" t="s">
        <v>55</v>
      </c>
      <c r="T920">
        <v>94019</v>
      </c>
      <c r="U920" t="s">
        <v>32</v>
      </c>
      <c r="V920" t="s">
        <v>33</v>
      </c>
      <c r="W920" t="s">
        <v>237</v>
      </c>
      <c r="X920" t="s">
        <v>238</v>
      </c>
      <c r="Y920" t="s">
        <v>36</v>
      </c>
    </row>
    <row r="921" spans="1:25" x14ac:dyDescent="0.25">
      <c r="A921">
        <v>10228</v>
      </c>
      <c r="B921">
        <v>45</v>
      </c>
      <c r="C921">
        <v>63.71</v>
      </c>
      <c r="D921">
        <v>5</v>
      </c>
      <c r="E921">
        <v>2866.95</v>
      </c>
      <c r="F921" s="1">
        <v>38056</v>
      </c>
      <c r="G921" t="s">
        <v>25</v>
      </c>
      <c r="H921">
        <v>1</v>
      </c>
      <c r="I921">
        <v>3</v>
      </c>
      <c r="J921">
        <v>2004</v>
      </c>
      <c r="K921" t="s">
        <v>550</v>
      </c>
      <c r="L921">
        <v>62</v>
      </c>
      <c r="M921" t="s">
        <v>597</v>
      </c>
      <c r="N921" t="s">
        <v>239</v>
      </c>
      <c r="O921">
        <v>6175555555</v>
      </c>
      <c r="P921" t="s">
        <v>240</v>
      </c>
      <c r="R921" t="s">
        <v>122</v>
      </c>
      <c r="S921" t="s">
        <v>123</v>
      </c>
      <c r="T921">
        <v>51247</v>
      </c>
      <c r="U921" t="s">
        <v>32</v>
      </c>
      <c r="V921" t="s">
        <v>33</v>
      </c>
      <c r="W921" t="s">
        <v>241</v>
      </c>
      <c r="X921" t="s">
        <v>143</v>
      </c>
      <c r="Y921" t="s">
        <v>36</v>
      </c>
    </row>
    <row r="922" spans="1:25" x14ac:dyDescent="0.25">
      <c r="A922">
        <v>10244</v>
      </c>
      <c r="B922">
        <v>24</v>
      </c>
      <c r="C922">
        <v>58.09</v>
      </c>
      <c r="D922">
        <v>3</v>
      </c>
      <c r="E922">
        <v>1394.16</v>
      </c>
      <c r="F922" s="1">
        <v>38106</v>
      </c>
      <c r="G922" t="s">
        <v>25</v>
      </c>
      <c r="H922">
        <v>2</v>
      </c>
      <c r="I922">
        <v>4</v>
      </c>
      <c r="J922">
        <v>2004</v>
      </c>
      <c r="K922" t="s">
        <v>550</v>
      </c>
      <c r="L922">
        <v>62</v>
      </c>
      <c r="M922" t="s">
        <v>597</v>
      </c>
      <c r="N922" t="s">
        <v>174</v>
      </c>
      <c r="O922" t="s">
        <v>175</v>
      </c>
      <c r="P922" t="s">
        <v>176</v>
      </c>
      <c r="R922" t="s">
        <v>177</v>
      </c>
      <c r="T922">
        <v>28034</v>
      </c>
      <c r="U922" t="s">
        <v>178</v>
      </c>
      <c r="V922" t="s">
        <v>42</v>
      </c>
      <c r="W922" t="s">
        <v>179</v>
      </c>
      <c r="X922" t="s">
        <v>180</v>
      </c>
      <c r="Y922" t="s">
        <v>36</v>
      </c>
    </row>
    <row r="923" spans="1:25" x14ac:dyDescent="0.25">
      <c r="A923">
        <v>10257</v>
      </c>
      <c r="B923">
        <v>49</v>
      </c>
      <c r="C923">
        <v>53.72</v>
      </c>
      <c r="D923">
        <v>3</v>
      </c>
      <c r="E923">
        <v>2632.28</v>
      </c>
      <c r="F923" s="1">
        <v>38152</v>
      </c>
      <c r="G923" t="s">
        <v>25</v>
      </c>
      <c r="H923">
        <v>2</v>
      </c>
      <c r="I923">
        <v>6</v>
      </c>
      <c r="J923">
        <v>2004</v>
      </c>
      <c r="K923" t="s">
        <v>550</v>
      </c>
      <c r="L923">
        <v>62</v>
      </c>
      <c r="M923" t="s">
        <v>597</v>
      </c>
      <c r="N923" t="s">
        <v>397</v>
      </c>
      <c r="O923">
        <v>4085553659</v>
      </c>
      <c r="P923" t="s">
        <v>398</v>
      </c>
      <c r="R923" t="s">
        <v>399</v>
      </c>
      <c r="S923" t="s">
        <v>55</v>
      </c>
      <c r="T923">
        <v>94217</v>
      </c>
      <c r="U923" t="s">
        <v>32</v>
      </c>
      <c r="V923" t="s">
        <v>33</v>
      </c>
      <c r="W923" t="s">
        <v>102</v>
      </c>
      <c r="X923" t="s">
        <v>400</v>
      </c>
      <c r="Y923" t="s">
        <v>36</v>
      </c>
    </row>
    <row r="924" spans="1:25" x14ac:dyDescent="0.25">
      <c r="A924">
        <v>10269</v>
      </c>
      <c r="B924">
        <v>32</v>
      </c>
      <c r="C924">
        <v>63.08</v>
      </c>
      <c r="D924">
        <v>1</v>
      </c>
      <c r="E924">
        <v>2018.56</v>
      </c>
      <c r="F924" s="1">
        <v>38184</v>
      </c>
      <c r="G924" t="s">
        <v>25</v>
      </c>
      <c r="H924">
        <v>3</v>
      </c>
      <c r="I924">
        <v>7</v>
      </c>
      <c r="J924">
        <v>2004</v>
      </c>
      <c r="K924" t="s">
        <v>550</v>
      </c>
      <c r="L924">
        <v>62</v>
      </c>
      <c r="M924" t="s">
        <v>597</v>
      </c>
      <c r="N924" t="s">
        <v>144</v>
      </c>
      <c r="O924" t="s">
        <v>145</v>
      </c>
      <c r="P924" t="s">
        <v>146</v>
      </c>
      <c r="R924" t="s">
        <v>147</v>
      </c>
      <c r="T924">
        <v>5020</v>
      </c>
      <c r="U924" t="s">
        <v>148</v>
      </c>
      <c r="V924" t="s">
        <v>42</v>
      </c>
      <c r="W924" t="s">
        <v>149</v>
      </c>
      <c r="X924" t="s">
        <v>150</v>
      </c>
      <c r="Y924" t="s">
        <v>36</v>
      </c>
    </row>
    <row r="925" spans="1:25" x14ac:dyDescent="0.25">
      <c r="A925">
        <v>10280</v>
      </c>
      <c r="B925">
        <v>43</v>
      </c>
      <c r="C925">
        <v>68.709999999999994</v>
      </c>
      <c r="D925">
        <v>5</v>
      </c>
      <c r="E925">
        <v>2954.53</v>
      </c>
      <c r="F925" s="1">
        <v>38216</v>
      </c>
      <c r="G925" t="s">
        <v>25</v>
      </c>
      <c r="H925">
        <v>3</v>
      </c>
      <c r="I925">
        <v>8</v>
      </c>
      <c r="J925">
        <v>2004</v>
      </c>
      <c r="K925" t="s">
        <v>550</v>
      </c>
      <c r="L925">
        <v>62</v>
      </c>
      <c r="M925" t="s">
        <v>597</v>
      </c>
      <c r="N925" t="s">
        <v>254</v>
      </c>
      <c r="O925" t="s">
        <v>255</v>
      </c>
      <c r="P925" t="s">
        <v>256</v>
      </c>
      <c r="R925" t="s">
        <v>257</v>
      </c>
      <c r="T925">
        <v>10100</v>
      </c>
      <c r="U925" t="s">
        <v>258</v>
      </c>
      <c r="V925" t="s">
        <v>42</v>
      </c>
      <c r="W925" t="s">
        <v>259</v>
      </c>
      <c r="X925" t="s">
        <v>260</v>
      </c>
      <c r="Y925" t="s">
        <v>36</v>
      </c>
    </row>
    <row r="926" spans="1:25" x14ac:dyDescent="0.25">
      <c r="A926">
        <v>10291</v>
      </c>
      <c r="B926">
        <v>37</v>
      </c>
      <c r="C926">
        <v>50.59</v>
      </c>
      <c r="D926">
        <v>14</v>
      </c>
      <c r="E926">
        <v>1871.83</v>
      </c>
      <c r="F926" s="1">
        <v>38238</v>
      </c>
      <c r="G926" t="s">
        <v>25</v>
      </c>
      <c r="H926">
        <v>3</v>
      </c>
      <c r="I926">
        <v>9</v>
      </c>
      <c r="J926">
        <v>2004</v>
      </c>
      <c r="K926" t="s">
        <v>550</v>
      </c>
      <c r="L926">
        <v>62</v>
      </c>
      <c r="M926" t="s">
        <v>597</v>
      </c>
      <c r="N926" t="s">
        <v>261</v>
      </c>
      <c r="O926" t="s">
        <v>262</v>
      </c>
      <c r="P926" t="s">
        <v>263</v>
      </c>
      <c r="R926" t="s">
        <v>264</v>
      </c>
      <c r="T926" t="s">
        <v>265</v>
      </c>
      <c r="U926" t="s">
        <v>188</v>
      </c>
      <c r="V926" t="s">
        <v>42</v>
      </c>
      <c r="W926" t="s">
        <v>266</v>
      </c>
      <c r="X926" t="s">
        <v>206</v>
      </c>
      <c r="Y926" t="s">
        <v>36</v>
      </c>
    </row>
    <row r="927" spans="1:25" x14ac:dyDescent="0.25">
      <c r="A927">
        <v>10304</v>
      </c>
      <c r="B927">
        <v>24</v>
      </c>
      <c r="C927">
        <v>64.959999999999994</v>
      </c>
      <c r="D927">
        <v>9</v>
      </c>
      <c r="E927">
        <v>1559.04</v>
      </c>
      <c r="F927" s="1">
        <v>38271</v>
      </c>
      <c r="G927" t="s">
        <v>25</v>
      </c>
      <c r="H927">
        <v>4</v>
      </c>
      <c r="I927">
        <v>10</v>
      </c>
      <c r="J927">
        <v>2004</v>
      </c>
      <c r="K927" t="s">
        <v>550</v>
      </c>
      <c r="L927">
        <v>62</v>
      </c>
      <c r="M927" t="s">
        <v>597</v>
      </c>
      <c r="N927" t="s">
        <v>267</v>
      </c>
      <c r="O927" t="s">
        <v>268</v>
      </c>
      <c r="P927" t="s">
        <v>269</v>
      </c>
      <c r="R927" t="s">
        <v>270</v>
      </c>
      <c r="T927">
        <v>78000</v>
      </c>
      <c r="U927" t="s">
        <v>41</v>
      </c>
      <c r="V927" t="s">
        <v>42</v>
      </c>
      <c r="W927" t="s">
        <v>271</v>
      </c>
      <c r="X927" t="s">
        <v>50</v>
      </c>
      <c r="Y927" t="s">
        <v>36</v>
      </c>
    </row>
    <row r="928" spans="1:25" x14ac:dyDescent="0.25">
      <c r="A928">
        <v>10312</v>
      </c>
      <c r="B928">
        <v>35</v>
      </c>
      <c r="C928">
        <v>53.72</v>
      </c>
      <c r="D928">
        <v>6</v>
      </c>
      <c r="E928">
        <v>1880.2</v>
      </c>
      <c r="F928" s="1">
        <v>38281</v>
      </c>
      <c r="G928" t="s">
        <v>25</v>
      </c>
      <c r="H928">
        <v>4</v>
      </c>
      <c r="I928">
        <v>10</v>
      </c>
      <c r="J928">
        <v>2004</v>
      </c>
      <c r="K928" t="s">
        <v>550</v>
      </c>
      <c r="L928">
        <v>62</v>
      </c>
      <c r="M928" t="s">
        <v>597</v>
      </c>
      <c r="N928" t="s">
        <v>272</v>
      </c>
      <c r="O928">
        <v>4155551450</v>
      </c>
      <c r="P928" t="s">
        <v>273</v>
      </c>
      <c r="R928" t="s">
        <v>274</v>
      </c>
      <c r="S928" t="s">
        <v>55</v>
      </c>
      <c r="T928">
        <v>97562</v>
      </c>
      <c r="U928" t="s">
        <v>32</v>
      </c>
      <c r="V928" t="s">
        <v>33</v>
      </c>
      <c r="W928" t="s">
        <v>275</v>
      </c>
      <c r="X928" t="s">
        <v>276</v>
      </c>
      <c r="Y928" t="s">
        <v>36</v>
      </c>
    </row>
    <row r="929" spans="1:25" x14ac:dyDescent="0.25">
      <c r="A929">
        <v>10322</v>
      </c>
      <c r="B929">
        <v>41</v>
      </c>
      <c r="C929">
        <v>29.87</v>
      </c>
      <c r="D929">
        <v>13</v>
      </c>
      <c r="E929">
        <v>1224.67</v>
      </c>
      <c r="F929" s="1">
        <v>38295</v>
      </c>
      <c r="G929" t="s">
        <v>25</v>
      </c>
      <c r="H929">
        <v>4</v>
      </c>
      <c r="I929">
        <v>11</v>
      </c>
      <c r="J929">
        <v>2004</v>
      </c>
      <c r="K929" t="s">
        <v>550</v>
      </c>
      <c r="L929">
        <v>62</v>
      </c>
      <c r="M929" t="s">
        <v>597</v>
      </c>
      <c r="N929" t="s">
        <v>277</v>
      </c>
      <c r="O929">
        <v>6035558647</v>
      </c>
      <c r="P929" t="s">
        <v>278</v>
      </c>
      <c r="R929" t="s">
        <v>279</v>
      </c>
      <c r="S929" t="s">
        <v>280</v>
      </c>
      <c r="T929">
        <v>62005</v>
      </c>
      <c r="U929" t="s">
        <v>32</v>
      </c>
      <c r="V929" t="s">
        <v>33</v>
      </c>
      <c r="W929" t="s">
        <v>56</v>
      </c>
      <c r="X929" t="s">
        <v>276</v>
      </c>
      <c r="Y929" t="s">
        <v>36</v>
      </c>
    </row>
    <row r="930" spans="1:25" x14ac:dyDescent="0.25">
      <c r="A930">
        <v>10332</v>
      </c>
      <c r="B930">
        <v>26</v>
      </c>
      <c r="C930">
        <v>100</v>
      </c>
      <c r="D930">
        <v>17</v>
      </c>
      <c r="E930">
        <v>2979.08</v>
      </c>
      <c r="F930" s="1">
        <v>38308</v>
      </c>
      <c r="G930" t="s">
        <v>25</v>
      </c>
      <c r="H930">
        <v>4</v>
      </c>
      <c r="I930">
        <v>11</v>
      </c>
      <c r="J930">
        <v>2004</v>
      </c>
      <c r="K930" t="s">
        <v>550</v>
      </c>
      <c r="L930">
        <v>62</v>
      </c>
      <c r="M930" t="s">
        <v>597</v>
      </c>
      <c r="N930" t="s">
        <v>492</v>
      </c>
      <c r="O930" t="s">
        <v>493</v>
      </c>
      <c r="P930" t="s">
        <v>494</v>
      </c>
      <c r="R930" t="s">
        <v>495</v>
      </c>
      <c r="T930" t="s">
        <v>496</v>
      </c>
      <c r="U930" t="s">
        <v>170</v>
      </c>
      <c r="V930" t="s">
        <v>42</v>
      </c>
      <c r="W930" t="s">
        <v>497</v>
      </c>
      <c r="X930" t="s">
        <v>94</v>
      </c>
      <c r="Y930" t="s">
        <v>36</v>
      </c>
    </row>
    <row r="931" spans="1:25" x14ac:dyDescent="0.25">
      <c r="A931">
        <v>10347</v>
      </c>
      <c r="B931">
        <v>34</v>
      </c>
      <c r="C931">
        <v>64.959999999999994</v>
      </c>
      <c r="D931">
        <v>10</v>
      </c>
      <c r="E931">
        <v>2208.64</v>
      </c>
      <c r="F931" s="1">
        <v>38320</v>
      </c>
      <c r="G931" t="s">
        <v>25</v>
      </c>
      <c r="H931">
        <v>4</v>
      </c>
      <c r="I931">
        <v>11</v>
      </c>
      <c r="J931">
        <v>2004</v>
      </c>
      <c r="K931" t="s">
        <v>550</v>
      </c>
      <c r="L931">
        <v>62</v>
      </c>
      <c r="M931" t="s">
        <v>597</v>
      </c>
      <c r="N931" t="s">
        <v>89</v>
      </c>
      <c r="O931" t="s">
        <v>90</v>
      </c>
      <c r="P931" t="s">
        <v>91</v>
      </c>
      <c r="Q931" t="s">
        <v>92</v>
      </c>
      <c r="R931" t="s">
        <v>93</v>
      </c>
      <c r="S931" t="s">
        <v>94</v>
      </c>
      <c r="T931">
        <v>3004</v>
      </c>
      <c r="U931" t="s">
        <v>95</v>
      </c>
      <c r="V931" t="s">
        <v>96</v>
      </c>
      <c r="W931" t="s">
        <v>97</v>
      </c>
      <c r="X931" t="s">
        <v>98</v>
      </c>
      <c r="Y931" t="s">
        <v>36</v>
      </c>
    </row>
    <row r="932" spans="1:25" x14ac:dyDescent="0.25">
      <c r="A932">
        <v>10357</v>
      </c>
      <c r="B932">
        <v>49</v>
      </c>
      <c r="C932">
        <v>70.58</v>
      </c>
      <c r="D932">
        <v>5</v>
      </c>
      <c r="E932">
        <v>3458.42</v>
      </c>
      <c r="F932" s="1">
        <v>38331</v>
      </c>
      <c r="G932" t="s">
        <v>25</v>
      </c>
      <c r="H932">
        <v>4</v>
      </c>
      <c r="I932">
        <v>12</v>
      </c>
      <c r="J932">
        <v>2004</v>
      </c>
      <c r="K932" t="s">
        <v>550</v>
      </c>
      <c r="L932">
        <v>62</v>
      </c>
      <c r="M932" t="s">
        <v>597</v>
      </c>
      <c r="N932" t="s">
        <v>272</v>
      </c>
      <c r="O932">
        <v>4155551450</v>
      </c>
      <c r="P932" t="s">
        <v>273</v>
      </c>
      <c r="R932" t="s">
        <v>274</v>
      </c>
      <c r="S932" t="s">
        <v>55</v>
      </c>
      <c r="T932">
        <v>97562</v>
      </c>
      <c r="U932" t="s">
        <v>32</v>
      </c>
      <c r="V932" t="s">
        <v>33</v>
      </c>
      <c r="W932" t="s">
        <v>275</v>
      </c>
      <c r="X932" t="s">
        <v>276</v>
      </c>
      <c r="Y932" t="s">
        <v>51</v>
      </c>
    </row>
    <row r="933" spans="1:25" x14ac:dyDescent="0.25">
      <c r="A933">
        <v>10369</v>
      </c>
      <c r="B933">
        <v>28</v>
      </c>
      <c r="C933">
        <v>44.21</v>
      </c>
      <c r="D933">
        <v>6</v>
      </c>
      <c r="E933">
        <v>1237.8800000000001</v>
      </c>
      <c r="F933" s="1">
        <v>38372</v>
      </c>
      <c r="G933" t="s">
        <v>25</v>
      </c>
      <c r="H933">
        <v>1</v>
      </c>
      <c r="I933">
        <v>1</v>
      </c>
      <c r="J933">
        <v>2005</v>
      </c>
      <c r="K933" t="s">
        <v>550</v>
      </c>
      <c r="L933">
        <v>62</v>
      </c>
      <c r="M933" t="s">
        <v>597</v>
      </c>
      <c r="N933" t="s">
        <v>281</v>
      </c>
      <c r="O933">
        <v>6175558555</v>
      </c>
      <c r="P933" t="s">
        <v>282</v>
      </c>
      <c r="R933" t="s">
        <v>283</v>
      </c>
      <c r="S933" t="s">
        <v>123</v>
      </c>
      <c r="T933">
        <v>58339</v>
      </c>
      <c r="U933" t="s">
        <v>32</v>
      </c>
      <c r="V933" t="s">
        <v>33</v>
      </c>
      <c r="W933" t="s">
        <v>275</v>
      </c>
      <c r="X933" t="s">
        <v>284</v>
      </c>
      <c r="Y933" t="s">
        <v>36</v>
      </c>
    </row>
    <row r="934" spans="1:25" x14ac:dyDescent="0.25">
      <c r="A934">
        <v>10381</v>
      </c>
      <c r="B934">
        <v>40</v>
      </c>
      <c r="C934">
        <v>68.08</v>
      </c>
      <c r="D934">
        <v>4</v>
      </c>
      <c r="E934">
        <v>2723.2</v>
      </c>
      <c r="F934" s="1">
        <v>38400</v>
      </c>
      <c r="G934" t="s">
        <v>25</v>
      </c>
      <c r="H934">
        <v>1</v>
      </c>
      <c r="I934">
        <v>2</v>
      </c>
      <c r="J934">
        <v>2005</v>
      </c>
      <c r="K934" t="s">
        <v>550</v>
      </c>
      <c r="L934">
        <v>62</v>
      </c>
      <c r="M934" t="s">
        <v>597</v>
      </c>
      <c r="N934" t="s">
        <v>58</v>
      </c>
      <c r="O934">
        <v>6505551386</v>
      </c>
      <c r="P934" t="s">
        <v>59</v>
      </c>
      <c r="R934" t="s">
        <v>60</v>
      </c>
      <c r="S934" t="s">
        <v>55</v>
      </c>
      <c r="U934" t="s">
        <v>32</v>
      </c>
      <c r="V934" t="s">
        <v>33</v>
      </c>
      <c r="W934" t="s">
        <v>61</v>
      </c>
      <c r="X934" t="s">
        <v>57</v>
      </c>
      <c r="Y934" t="s">
        <v>36</v>
      </c>
    </row>
    <row r="935" spans="1:25" x14ac:dyDescent="0.25">
      <c r="A935">
        <v>10392</v>
      </c>
      <c r="B935">
        <v>37</v>
      </c>
      <c r="C935">
        <v>59.96</v>
      </c>
      <c r="D935">
        <v>3</v>
      </c>
      <c r="E935">
        <v>2218.52</v>
      </c>
      <c r="F935" s="1">
        <v>38421</v>
      </c>
      <c r="G935" t="s">
        <v>25</v>
      </c>
      <c r="H935">
        <v>1</v>
      </c>
      <c r="I935">
        <v>3</v>
      </c>
      <c r="J935">
        <v>2005</v>
      </c>
      <c r="K935" t="s">
        <v>550</v>
      </c>
      <c r="L935">
        <v>62</v>
      </c>
      <c r="M935" t="s">
        <v>597</v>
      </c>
      <c r="N935" t="s">
        <v>409</v>
      </c>
      <c r="O935" t="s">
        <v>410</v>
      </c>
      <c r="P935" t="s">
        <v>411</v>
      </c>
      <c r="R935" t="s">
        <v>412</v>
      </c>
      <c r="T935">
        <v>8010</v>
      </c>
      <c r="U935" t="s">
        <v>148</v>
      </c>
      <c r="V935" t="s">
        <v>42</v>
      </c>
      <c r="W935" t="s">
        <v>413</v>
      </c>
      <c r="X935" t="s">
        <v>414</v>
      </c>
      <c r="Y935" t="s">
        <v>36</v>
      </c>
    </row>
    <row r="936" spans="1:25" x14ac:dyDescent="0.25">
      <c r="A936">
        <v>10423</v>
      </c>
      <c r="B936">
        <v>31</v>
      </c>
      <c r="C936">
        <v>53.72</v>
      </c>
      <c r="D936">
        <v>3</v>
      </c>
      <c r="E936">
        <v>1665.32</v>
      </c>
      <c r="F936" s="1">
        <v>38502</v>
      </c>
      <c r="G936" t="s">
        <v>300</v>
      </c>
      <c r="H936">
        <v>2</v>
      </c>
      <c r="I936">
        <v>5</v>
      </c>
      <c r="J936">
        <v>2005</v>
      </c>
      <c r="K936" t="s">
        <v>550</v>
      </c>
      <c r="L936">
        <v>62</v>
      </c>
      <c r="M936" t="s">
        <v>597</v>
      </c>
      <c r="N936" t="s">
        <v>365</v>
      </c>
      <c r="O936" t="s">
        <v>366</v>
      </c>
      <c r="P936" t="s">
        <v>367</v>
      </c>
      <c r="R936" t="s">
        <v>368</v>
      </c>
      <c r="T936" t="s">
        <v>369</v>
      </c>
      <c r="U936" t="s">
        <v>370</v>
      </c>
      <c r="V936" t="s">
        <v>42</v>
      </c>
      <c r="W936" t="s">
        <v>371</v>
      </c>
      <c r="X936" t="s">
        <v>372</v>
      </c>
      <c r="Y936" t="s">
        <v>36</v>
      </c>
    </row>
    <row r="937" spans="1:25" x14ac:dyDescent="0.25">
      <c r="A937">
        <v>10106</v>
      </c>
      <c r="B937">
        <v>41</v>
      </c>
      <c r="C937">
        <v>83.44</v>
      </c>
      <c r="D937">
        <v>18</v>
      </c>
      <c r="E937">
        <v>3421.04</v>
      </c>
      <c r="F937" s="1">
        <v>37669</v>
      </c>
      <c r="G937" t="s">
        <v>25</v>
      </c>
      <c r="H937">
        <v>1</v>
      </c>
      <c r="I937">
        <v>2</v>
      </c>
      <c r="J937">
        <v>2003</v>
      </c>
      <c r="K937" t="s">
        <v>598</v>
      </c>
      <c r="L937">
        <v>86</v>
      </c>
      <c r="M937" t="s">
        <v>599</v>
      </c>
      <c r="N937" t="s">
        <v>552</v>
      </c>
      <c r="O937" t="s">
        <v>553</v>
      </c>
      <c r="P937" t="s">
        <v>554</v>
      </c>
      <c r="R937" t="s">
        <v>555</v>
      </c>
      <c r="T937">
        <v>24100</v>
      </c>
      <c r="U937" t="s">
        <v>258</v>
      </c>
      <c r="V937" t="s">
        <v>42</v>
      </c>
      <c r="W937" t="s">
        <v>556</v>
      </c>
      <c r="X937" t="s">
        <v>557</v>
      </c>
      <c r="Y937" t="s">
        <v>51</v>
      </c>
    </row>
    <row r="938" spans="1:25" x14ac:dyDescent="0.25">
      <c r="A938">
        <v>10119</v>
      </c>
      <c r="B938">
        <v>21</v>
      </c>
      <c r="C938">
        <v>89.46</v>
      </c>
      <c r="D938">
        <v>9</v>
      </c>
      <c r="E938">
        <v>1878.66</v>
      </c>
      <c r="F938" s="1">
        <v>37739</v>
      </c>
      <c r="G938" t="s">
        <v>25</v>
      </c>
      <c r="H938">
        <v>2</v>
      </c>
      <c r="I938">
        <v>4</v>
      </c>
      <c r="J938">
        <v>2003</v>
      </c>
      <c r="K938" t="s">
        <v>598</v>
      </c>
      <c r="L938">
        <v>86</v>
      </c>
      <c r="M938" t="s">
        <v>599</v>
      </c>
      <c r="N938" t="s">
        <v>144</v>
      </c>
      <c r="O938" t="s">
        <v>145</v>
      </c>
      <c r="P938" t="s">
        <v>146</v>
      </c>
      <c r="R938" t="s">
        <v>147</v>
      </c>
      <c r="T938">
        <v>5020</v>
      </c>
      <c r="U938" t="s">
        <v>148</v>
      </c>
      <c r="V938" t="s">
        <v>42</v>
      </c>
      <c r="W938" t="s">
        <v>149</v>
      </c>
      <c r="X938" t="s">
        <v>150</v>
      </c>
      <c r="Y938" t="s">
        <v>36</v>
      </c>
    </row>
    <row r="939" spans="1:25" x14ac:dyDescent="0.25">
      <c r="A939">
        <v>10130</v>
      </c>
      <c r="B939">
        <v>40</v>
      </c>
      <c r="C939">
        <v>96.34</v>
      </c>
      <c r="D939">
        <v>2</v>
      </c>
      <c r="E939">
        <v>3853.6</v>
      </c>
      <c r="F939" s="1">
        <v>37788</v>
      </c>
      <c r="G939" t="s">
        <v>25</v>
      </c>
      <c r="H939">
        <v>2</v>
      </c>
      <c r="I939">
        <v>6</v>
      </c>
      <c r="J939">
        <v>2003</v>
      </c>
      <c r="K939" t="s">
        <v>598</v>
      </c>
      <c r="L939">
        <v>86</v>
      </c>
      <c r="M939" t="s">
        <v>599</v>
      </c>
      <c r="N939" t="s">
        <v>600</v>
      </c>
      <c r="O939">
        <v>6175558428</v>
      </c>
      <c r="P939" t="s">
        <v>601</v>
      </c>
      <c r="R939" t="s">
        <v>283</v>
      </c>
      <c r="S939" t="s">
        <v>123</v>
      </c>
      <c r="T939">
        <v>58339</v>
      </c>
      <c r="U939" t="s">
        <v>32</v>
      </c>
      <c r="V939" t="s">
        <v>33</v>
      </c>
      <c r="W939" t="s">
        <v>529</v>
      </c>
      <c r="X939" t="s">
        <v>245</v>
      </c>
      <c r="Y939" t="s">
        <v>51</v>
      </c>
    </row>
    <row r="940" spans="1:25" x14ac:dyDescent="0.25">
      <c r="A940">
        <v>10143</v>
      </c>
      <c r="B940">
        <v>46</v>
      </c>
      <c r="C940">
        <v>74.84</v>
      </c>
      <c r="D940">
        <v>13</v>
      </c>
      <c r="E940">
        <v>3442.64</v>
      </c>
      <c r="F940" s="1">
        <v>37843</v>
      </c>
      <c r="G940" t="s">
        <v>25</v>
      </c>
      <c r="H940">
        <v>3</v>
      </c>
      <c r="I940">
        <v>8</v>
      </c>
      <c r="J940">
        <v>2003</v>
      </c>
      <c r="K940" t="s">
        <v>598</v>
      </c>
      <c r="L940">
        <v>86</v>
      </c>
      <c r="M940" t="s">
        <v>599</v>
      </c>
      <c r="N940" t="s">
        <v>335</v>
      </c>
      <c r="O940">
        <v>5085559555</v>
      </c>
      <c r="P940" t="s">
        <v>336</v>
      </c>
      <c r="R940" t="s">
        <v>162</v>
      </c>
      <c r="S940" t="s">
        <v>123</v>
      </c>
      <c r="T940">
        <v>50553</v>
      </c>
      <c r="U940" t="s">
        <v>32</v>
      </c>
      <c r="V940" t="s">
        <v>33</v>
      </c>
      <c r="W940" t="s">
        <v>337</v>
      </c>
      <c r="X940" t="s">
        <v>338</v>
      </c>
      <c r="Y940" t="s">
        <v>51</v>
      </c>
    </row>
    <row r="941" spans="1:25" x14ac:dyDescent="0.25">
      <c r="A941">
        <v>10155</v>
      </c>
      <c r="B941">
        <v>44</v>
      </c>
      <c r="C941">
        <v>79.14</v>
      </c>
      <c r="D941">
        <v>11</v>
      </c>
      <c r="E941">
        <v>3482.16</v>
      </c>
      <c r="F941" s="1">
        <v>37900</v>
      </c>
      <c r="G941" t="s">
        <v>25</v>
      </c>
      <c r="H941">
        <v>4</v>
      </c>
      <c r="I941">
        <v>10</v>
      </c>
      <c r="J941">
        <v>2003</v>
      </c>
      <c r="K941" t="s">
        <v>598</v>
      </c>
      <c r="L941">
        <v>86</v>
      </c>
      <c r="M941" t="s">
        <v>599</v>
      </c>
      <c r="N941" t="s">
        <v>126</v>
      </c>
      <c r="O941" t="s">
        <v>127</v>
      </c>
      <c r="P941" t="s">
        <v>128</v>
      </c>
      <c r="R941" t="s">
        <v>129</v>
      </c>
      <c r="T941">
        <v>21240</v>
      </c>
      <c r="U941" t="s">
        <v>130</v>
      </c>
      <c r="V941" t="s">
        <v>42</v>
      </c>
      <c r="W941" t="s">
        <v>131</v>
      </c>
      <c r="X941" t="s">
        <v>132</v>
      </c>
      <c r="Y941" t="s">
        <v>51</v>
      </c>
    </row>
    <row r="942" spans="1:25" x14ac:dyDescent="0.25">
      <c r="A942">
        <v>10167</v>
      </c>
      <c r="B942">
        <v>46</v>
      </c>
      <c r="C942">
        <v>73.12</v>
      </c>
      <c r="D942">
        <v>7</v>
      </c>
      <c r="E942">
        <v>3363.52</v>
      </c>
      <c r="F942" s="1">
        <v>37917</v>
      </c>
      <c r="G942" t="s">
        <v>339</v>
      </c>
      <c r="H942">
        <v>4</v>
      </c>
      <c r="I942">
        <v>10</v>
      </c>
      <c r="J942">
        <v>2003</v>
      </c>
      <c r="K942" t="s">
        <v>598</v>
      </c>
      <c r="L942">
        <v>86</v>
      </c>
      <c r="M942" t="s">
        <v>599</v>
      </c>
      <c r="N942" t="s">
        <v>261</v>
      </c>
      <c r="O942" t="s">
        <v>262</v>
      </c>
      <c r="P942" t="s">
        <v>263</v>
      </c>
      <c r="R942" t="s">
        <v>264</v>
      </c>
      <c r="T942" t="s">
        <v>265</v>
      </c>
      <c r="U942" t="s">
        <v>188</v>
      </c>
      <c r="V942" t="s">
        <v>42</v>
      </c>
      <c r="W942" t="s">
        <v>266</v>
      </c>
      <c r="X942" t="s">
        <v>206</v>
      </c>
      <c r="Y942" t="s">
        <v>51</v>
      </c>
    </row>
    <row r="943" spans="1:25" x14ac:dyDescent="0.25">
      <c r="A943">
        <v>10178</v>
      </c>
      <c r="B943">
        <v>41</v>
      </c>
      <c r="C943">
        <v>81.72</v>
      </c>
      <c r="D943">
        <v>10</v>
      </c>
      <c r="E943">
        <v>3350.52</v>
      </c>
      <c r="F943" s="1">
        <v>37933</v>
      </c>
      <c r="G943" t="s">
        <v>25</v>
      </c>
      <c r="H943">
        <v>4</v>
      </c>
      <c r="I943">
        <v>11</v>
      </c>
      <c r="J943">
        <v>2003</v>
      </c>
      <c r="K943" t="s">
        <v>598</v>
      </c>
      <c r="L943">
        <v>86</v>
      </c>
      <c r="M943" t="s">
        <v>599</v>
      </c>
      <c r="N943" t="s">
        <v>340</v>
      </c>
      <c r="O943" t="s">
        <v>341</v>
      </c>
      <c r="P943" t="s">
        <v>342</v>
      </c>
      <c r="R943" t="s">
        <v>343</v>
      </c>
      <c r="T943">
        <v>31000</v>
      </c>
      <c r="U943" t="s">
        <v>41</v>
      </c>
      <c r="V943" t="s">
        <v>42</v>
      </c>
      <c r="W943" t="s">
        <v>344</v>
      </c>
      <c r="X943" t="s">
        <v>345</v>
      </c>
      <c r="Y943" t="s">
        <v>51</v>
      </c>
    </row>
    <row r="944" spans="1:25" x14ac:dyDescent="0.25">
      <c r="A944">
        <v>10186</v>
      </c>
      <c r="B944">
        <v>32</v>
      </c>
      <c r="C944">
        <v>89.46</v>
      </c>
      <c r="D944">
        <v>7</v>
      </c>
      <c r="E944">
        <v>2862.72</v>
      </c>
      <c r="F944" s="1">
        <v>37939</v>
      </c>
      <c r="G944" t="s">
        <v>25</v>
      </c>
      <c r="H944">
        <v>4</v>
      </c>
      <c r="I944">
        <v>11</v>
      </c>
      <c r="J944">
        <v>2003</v>
      </c>
      <c r="K944" t="s">
        <v>598</v>
      </c>
      <c r="L944">
        <v>86</v>
      </c>
      <c r="M944" t="s">
        <v>599</v>
      </c>
      <c r="N944" t="s">
        <v>346</v>
      </c>
      <c r="O944" t="s">
        <v>347</v>
      </c>
      <c r="P944" t="s">
        <v>348</v>
      </c>
      <c r="R944" t="s">
        <v>332</v>
      </c>
      <c r="T944" t="s">
        <v>349</v>
      </c>
      <c r="U944" t="s">
        <v>170</v>
      </c>
      <c r="V944" t="s">
        <v>42</v>
      </c>
      <c r="W944" t="s">
        <v>350</v>
      </c>
      <c r="X944" t="s">
        <v>351</v>
      </c>
      <c r="Y944" t="s">
        <v>36</v>
      </c>
    </row>
    <row r="945" spans="1:25" x14ac:dyDescent="0.25">
      <c r="A945">
        <v>10197</v>
      </c>
      <c r="B945">
        <v>46</v>
      </c>
      <c r="C945">
        <v>87.74</v>
      </c>
      <c r="D945">
        <v>4</v>
      </c>
      <c r="E945">
        <v>4036.04</v>
      </c>
      <c r="F945" s="1">
        <v>37951</v>
      </c>
      <c r="G945" t="s">
        <v>25</v>
      </c>
      <c r="H945">
        <v>4</v>
      </c>
      <c r="I945">
        <v>11</v>
      </c>
      <c r="J945">
        <v>2003</v>
      </c>
      <c r="K945" t="s">
        <v>598</v>
      </c>
      <c r="L945">
        <v>86</v>
      </c>
      <c r="M945" t="s">
        <v>599</v>
      </c>
      <c r="N945" t="s">
        <v>352</v>
      </c>
      <c r="O945" t="s">
        <v>353</v>
      </c>
      <c r="P945" t="s">
        <v>354</v>
      </c>
      <c r="R945" t="s">
        <v>355</v>
      </c>
      <c r="T945">
        <v>8022</v>
      </c>
      <c r="U945" t="s">
        <v>178</v>
      </c>
      <c r="V945" t="s">
        <v>42</v>
      </c>
      <c r="W945" t="s">
        <v>356</v>
      </c>
      <c r="X945" t="s">
        <v>357</v>
      </c>
      <c r="Y945" t="s">
        <v>51</v>
      </c>
    </row>
    <row r="946" spans="1:25" x14ac:dyDescent="0.25">
      <c r="A946">
        <v>10209</v>
      </c>
      <c r="B946">
        <v>28</v>
      </c>
      <c r="C946">
        <v>100</v>
      </c>
      <c r="D946">
        <v>6</v>
      </c>
      <c r="E946">
        <v>2817.92</v>
      </c>
      <c r="F946" s="1">
        <v>37995</v>
      </c>
      <c r="G946" t="s">
        <v>25</v>
      </c>
      <c r="H946">
        <v>1</v>
      </c>
      <c r="I946">
        <v>1</v>
      </c>
      <c r="J946">
        <v>2004</v>
      </c>
      <c r="K946" t="s">
        <v>598</v>
      </c>
      <c r="L946">
        <v>86</v>
      </c>
      <c r="M946" t="s">
        <v>599</v>
      </c>
      <c r="N946" t="s">
        <v>358</v>
      </c>
      <c r="O946">
        <v>2155554369</v>
      </c>
      <c r="P946" t="s">
        <v>359</v>
      </c>
      <c r="R946" t="s">
        <v>360</v>
      </c>
      <c r="S946" t="s">
        <v>55</v>
      </c>
      <c r="U946" t="s">
        <v>32</v>
      </c>
      <c r="V946" t="s">
        <v>33</v>
      </c>
      <c r="W946" t="s">
        <v>361</v>
      </c>
      <c r="X946" t="s">
        <v>103</v>
      </c>
      <c r="Y946" t="s">
        <v>36</v>
      </c>
    </row>
    <row r="947" spans="1:25" x14ac:dyDescent="0.25">
      <c r="A947">
        <v>10222</v>
      </c>
      <c r="B947">
        <v>49</v>
      </c>
      <c r="C947">
        <v>94.62</v>
      </c>
      <c r="D947">
        <v>10</v>
      </c>
      <c r="E947">
        <v>4636.38</v>
      </c>
      <c r="F947" s="1">
        <v>38036</v>
      </c>
      <c r="G947" t="s">
        <v>25</v>
      </c>
      <c r="H947">
        <v>1</v>
      </c>
      <c r="I947">
        <v>2</v>
      </c>
      <c r="J947">
        <v>2004</v>
      </c>
      <c r="K947" t="s">
        <v>598</v>
      </c>
      <c r="L947">
        <v>86</v>
      </c>
      <c r="M947" t="s">
        <v>599</v>
      </c>
      <c r="N947" t="s">
        <v>362</v>
      </c>
      <c r="O947">
        <v>7605558146</v>
      </c>
      <c r="P947" t="s">
        <v>363</v>
      </c>
      <c r="R947" t="s">
        <v>364</v>
      </c>
      <c r="S947" t="s">
        <v>55</v>
      </c>
      <c r="T947">
        <v>91217</v>
      </c>
      <c r="U947" t="s">
        <v>32</v>
      </c>
      <c r="V947" t="s">
        <v>33</v>
      </c>
      <c r="W947" t="s">
        <v>237</v>
      </c>
      <c r="X947" t="s">
        <v>276</v>
      </c>
      <c r="Y947" t="s">
        <v>51</v>
      </c>
    </row>
    <row r="948" spans="1:25" x14ac:dyDescent="0.25">
      <c r="A948">
        <v>10248</v>
      </c>
      <c r="B948">
        <v>21</v>
      </c>
      <c r="C948">
        <v>73.98</v>
      </c>
      <c r="D948">
        <v>1</v>
      </c>
      <c r="E948">
        <v>1553.58</v>
      </c>
      <c r="F948" s="1">
        <v>38114</v>
      </c>
      <c r="G948" t="s">
        <v>339</v>
      </c>
      <c r="H948">
        <v>2</v>
      </c>
      <c r="I948">
        <v>5</v>
      </c>
      <c r="J948">
        <v>2004</v>
      </c>
      <c r="K948" t="s">
        <v>598</v>
      </c>
      <c r="L948">
        <v>86</v>
      </c>
      <c r="M948" t="s">
        <v>599</v>
      </c>
      <c r="N948" t="s">
        <v>28</v>
      </c>
      <c r="O948">
        <v>2125557818</v>
      </c>
      <c r="P948" t="s">
        <v>29</v>
      </c>
      <c r="R948" t="s">
        <v>30</v>
      </c>
      <c r="S948" t="s">
        <v>31</v>
      </c>
      <c r="T948">
        <v>10022</v>
      </c>
      <c r="U948" t="s">
        <v>32</v>
      </c>
      <c r="V948" t="s">
        <v>33</v>
      </c>
      <c r="W948" t="s">
        <v>34</v>
      </c>
      <c r="X948" t="s">
        <v>35</v>
      </c>
      <c r="Y948" t="s">
        <v>36</v>
      </c>
    </row>
    <row r="949" spans="1:25" x14ac:dyDescent="0.25">
      <c r="A949">
        <v>10262</v>
      </c>
      <c r="B949">
        <v>32</v>
      </c>
      <c r="C949">
        <v>84.3</v>
      </c>
      <c r="D949">
        <v>15</v>
      </c>
      <c r="E949">
        <v>2697.6</v>
      </c>
      <c r="F949" s="1">
        <v>38162</v>
      </c>
      <c r="G949" t="s">
        <v>339</v>
      </c>
      <c r="H949">
        <v>2</v>
      </c>
      <c r="I949">
        <v>6</v>
      </c>
      <c r="J949">
        <v>2004</v>
      </c>
      <c r="K949" t="s">
        <v>598</v>
      </c>
      <c r="L949">
        <v>86</v>
      </c>
      <c r="M949" t="s">
        <v>599</v>
      </c>
      <c r="N949" t="s">
        <v>174</v>
      </c>
      <c r="O949" t="s">
        <v>175</v>
      </c>
      <c r="P949" t="s">
        <v>176</v>
      </c>
      <c r="R949" t="s">
        <v>177</v>
      </c>
      <c r="T949">
        <v>28034</v>
      </c>
      <c r="U949" t="s">
        <v>178</v>
      </c>
      <c r="V949" t="s">
        <v>42</v>
      </c>
      <c r="W949" t="s">
        <v>179</v>
      </c>
      <c r="X949" t="s">
        <v>180</v>
      </c>
      <c r="Y949" t="s">
        <v>36</v>
      </c>
    </row>
    <row r="950" spans="1:25" x14ac:dyDescent="0.25">
      <c r="A950">
        <v>10273</v>
      </c>
      <c r="B950">
        <v>34</v>
      </c>
      <c r="C950">
        <v>98.06</v>
      </c>
      <c r="D950">
        <v>2</v>
      </c>
      <c r="E950">
        <v>3334.04</v>
      </c>
      <c r="F950" s="1">
        <v>38189</v>
      </c>
      <c r="G950" t="s">
        <v>25</v>
      </c>
      <c r="H950">
        <v>3</v>
      </c>
      <c r="I950">
        <v>7</v>
      </c>
      <c r="J950">
        <v>2004</v>
      </c>
      <c r="K950" t="s">
        <v>598</v>
      </c>
      <c r="L950">
        <v>86</v>
      </c>
      <c r="M950" t="s">
        <v>599</v>
      </c>
      <c r="N950" t="s">
        <v>365</v>
      </c>
      <c r="O950" t="s">
        <v>366</v>
      </c>
      <c r="P950" t="s">
        <v>367</v>
      </c>
      <c r="R950" t="s">
        <v>368</v>
      </c>
      <c r="T950" t="s">
        <v>369</v>
      </c>
      <c r="U950" t="s">
        <v>370</v>
      </c>
      <c r="V950" t="s">
        <v>42</v>
      </c>
      <c r="W950" t="s">
        <v>371</v>
      </c>
      <c r="X950" t="s">
        <v>372</v>
      </c>
      <c r="Y950" t="s">
        <v>51</v>
      </c>
    </row>
    <row r="951" spans="1:25" x14ac:dyDescent="0.25">
      <c r="A951">
        <v>10283</v>
      </c>
      <c r="B951">
        <v>21</v>
      </c>
      <c r="C951">
        <v>98.06</v>
      </c>
      <c r="D951">
        <v>4</v>
      </c>
      <c r="E951">
        <v>2059.2600000000002</v>
      </c>
      <c r="F951" s="1">
        <v>38219</v>
      </c>
      <c r="G951" t="s">
        <v>25</v>
      </c>
      <c r="H951">
        <v>3</v>
      </c>
      <c r="I951">
        <v>8</v>
      </c>
      <c r="J951">
        <v>2004</v>
      </c>
      <c r="K951" t="s">
        <v>598</v>
      </c>
      <c r="L951">
        <v>86</v>
      </c>
      <c r="M951" t="s">
        <v>599</v>
      </c>
      <c r="N951" t="s">
        <v>373</v>
      </c>
      <c r="O951" t="s">
        <v>374</v>
      </c>
      <c r="P951" t="s">
        <v>375</v>
      </c>
      <c r="R951" t="s">
        <v>376</v>
      </c>
      <c r="S951" t="s">
        <v>229</v>
      </c>
      <c r="T951" t="s">
        <v>377</v>
      </c>
      <c r="U951" t="s">
        <v>231</v>
      </c>
      <c r="V951" t="s">
        <v>33</v>
      </c>
      <c r="W951" t="s">
        <v>378</v>
      </c>
      <c r="X951" t="s">
        <v>172</v>
      </c>
      <c r="Y951" t="s">
        <v>36</v>
      </c>
    </row>
    <row r="952" spans="1:25" x14ac:dyDescent="0.25">
      <c r="A952">
        <v>10296</v>
      </c>
      <c r="B952">
        <v>21</v>
      </c>
      <c r="C952">
        <v>96.34</v>
      </c>
      <c r="D952">
        <v>13</v>
      </c>
      <c r="E952">
        <v>2023.14</v>
      </c>
      <c r="F952" s="1">
        <v>38245</v>
      </c>
      <c r="G952" t="s">
        <v>25</v>
      </c>
      <c r="H952">
        <v>3</v>
      </c>
      <c r="I952">
        <v>9</v>
      </c>
      <c r="J952">
        <v>2004</v>
      </c>
      <c r="K952" t="s">
        <v>598</v>
      </c>
      <c r="L952">
        <v>86</v>
      </c>
      <c r="M952" t="s">
        <v>599</v>
      </c>
      <c r="N952" t="s">
        <v>572</v>
      </c>
      <c r="O952" t="s">
        <v>573</v>
      </c>
      <c r="P952" t="s">
        <v>574</v>
      </c>
      <c r="R952" t="s">
        <v>575</v>
      </c>
      <c r="T952">
        <v>80686</v>
      </c>
      <c r="U952" t="s">
        <v>443</v>
      </c>
      <c r="V952" t="s">
        <v>42</v>
      </c>
      <c r="W952" t="s">
        <v>576</v>
      </c>
      <c r="X952" t="s">
        <v>103</v>
      </c>
      <c r="Y952" t="s">
        <v>36</v>
      </c>
    </row>
    <row r="953" spans="1:25" x14ac:dyDescent="0.25">
      <c r="A953">
        <v>10307</v>
      </c>
      <c r="B953">
        <v>31</v>
      </c>
      <c r="C953">
        <v>83.44</v>
      </c>
      <c r="D953">
        <v>7</v>
      </c>
      <c r="E953">
        <v>2586.64</v>
      </c>
      <c r="F953" s="1">
        <v>38274</v>
      </c>
      <c r="G953" t="s">
        <v>25</v>
      </c>
      <c r="H953">
        <v>4</v>
      </c>
      <c r="I953">
        <v>10</v>
      </c>
      <c r="J953">
        <v>2004</v>
      </c>
      <c r="K953" t="s">
        <v>598</v>
      </c>
      <c r="L953">
        <v>86</v>
      </c>
      <c r="M953" t="s">
        <v>599</v>
      </c>
      <c r="N953" t="s">
        <v>214</v>
      </c>
      <c r="O953">
        <v>2155554695</v>
      </c>
      <c r="P953" t="s">
        <v>215</v>
      </c>
      <c r="R953" t="s">
        <v>216</v>
      </c>
      <c r="S953" t="s">
        <v>142</v>
      </c>
      <c r="T953">
        <v>71270</v>
      </c>
      <c r="U953" t="s">
        <v>32</v>
      </c>
      <c r="V953" t="s">
        <v>33</v>
      </c>
      <c r="W953" t="s">
        <v>217</v>
      </c>
      <c r="X953" t="s">
        <v>218</v>
      </c>
      <c r="Y953" t="s">
        <v>36</v>
      </c>
    </row>
    <row r="954" spans="1:25" x14ac:dyDescent="0.25">
      <c r="A954">
        <v>10316</v>
      </c>
      <c r="B954">
        <v>21</v>
      </c>
      <c r="C954">
        <v>94.62</v>
      </c>
      <c r="D954">
        <v>15</v>
      </c>
      <c r="E954">
        <v>1987.02</v>
      </c>
      <c r="F954" s="1">
        <v>38292</v>
      </c>
      <c r="G954" t="s">
        <v>25</v>
      </c>
      <c r="H954">
        <v>4</v>
      </c>
      <c r="I954">
        <v>11</v>
      </c>
      <c r="J954">
        <v>2004</v>
      </c>
      <c r="K954" t="s">
        <v>598</v>
      </c>
      <c r="L954">
        <v>86</v>
      </c>
      <c r="M954" t="s">
        <v>599</v>
      </c>
      <c r="N954" t="s">
        <v>383</v>
      </c>
      <c r="O954" t="s">
        <v>384</v>
      </c>
      <c r="P954" t="s">
        <v>385</v>
      </c>
      <c r="R954" t="s">
        <v>386</v>
      </c>
      <c r="S954" t="s">
        <v>387</v>
      </c>
      <c r="T954" t="s">
        <v>388</v>
      </c>
      <c r="U954" t="s">
        <v>170</v>
      </c>
      <c r="V954" t="s">
        <v>42</v>
      </c>
      <c r="W954" t="s">
        <v>389</v>
      </c>
      <c r="X954" t="s">
        <v>390</v>
      </c>
      <c r="Y954" t="s">
        <v>36</v>
      </c>
    </row>
    <row r="955" spans="1:25" x14ac:dyDescent="0.25">
      <c r="A955">
        <v>10327</v>
      </c>
      <c r="B955">
        <v>25</v>
      </c>
      <c r="C955">
        <v>45.86</v>
      </c>
      <c r="D955">
        <v>5</v>
      </c>
      <c r="E955">
        <v>1146.5</v>
      </c>
      <c r="F955" s="1">
        <v>38301</v>
      </c>
      <c r="G955" t="s">
        <v>408</v>
      </c>
      <c r="H955">
        <v>4</v>
      </c>
      <c r="I955">
        <v>11</v>
      </c>
      <c r="J955">
        <v>2004</v>
      </c>
      <c r="K955" t="s">
        <v>598</v>
      </c>
      <c r="L955">
        <v>86</v>
      </c>
      <c r="M955" t="s">
        <v>599</v>
      </c>
      <c r="N955" t="s">
        <v>322</v>
      </c>
      <c r="O955" t="s">
        <v>323</v>
      </c>
      <c r="P955" t="s">
        <v>324</v>
      </c>
      <c r="R955" t="s">
        <v>325</v>
      </c>
      <c r="T955">
        <v>1734</v>
      </c>
      <c r="U955" t="s">
        <v>326</v>
      </c>
      <c r="V955" t="s">
        <v>42</v>
      </c>
      <c r="W955" t="s">
        <v>327</v>
      </c>
      <c r="X955" t="s">
        <v>328</v>
      </c>
      <c r="Y955" t="s">
        <v>36</v>
      </c>
    </row>
    <row r="956" spans="1:25" x14ac:dyDescent="0.25">
      <c r="A956">
        <v>10338</v>
      </c>
      <c r="B956">
        <v>28</v>
      </c>
      <c r="C956">
        <v>82.58</v>
      </c>
      <c r="D956">
        <v>3</v>
      </c>
      <c r="E956">
        <v>2312.2399999999998</v>
      </c>
      <c r="F956" s="1">
        <v>38313</v>
      </c>
      <c r="G956" t="s">
        <v>25</v>
      </c>
      <c r="H956">
        <v>4</v>
      </c>
      <c r="I956">
        <v>11</v>
      </c>
      <c r="J956">
        <v>2004</v>
      </c>
      <c r="K956" t="s">
        <v>598</v>
      </c>
      <c r="L956">
        <v>86</v>
      </c>
      <c r="M956" t="s">
        <v>599</v>
      </c>
      <c r="N956" t="s">
        <v>577</v>
      </c>
      <c r="O956" t="s">
        <v>578</v>
      </c>
      <c r="P956" t="s">
        <v>579</v>
      </c>
      <c r="R956" t="s">
        <v>580</v>
      </c>
      <c r="T956" t="s">
        <v>581</v>
      </c>
      <c r="U956" t="s">
        <v>370</v>
      </c>
      <c r="V956" t="s">
        <v>42</v>
      </c>
      <c r="W956" t="s">
        <v>582</v>
      </c>
      <c r="X956" t="s">
        <v>583</v>
      </c>
      <c r="Y956" t="s">
        <v>36</v>
      </c>
    </row>
    <row r="957" spans="1:25" x14ac:dyDescent="0.25">
      <c r="A957">
        <v>10350</v>
      </c>
      <c r="B957">
        <v>43</v>
      </c>
      <c r="C957">
        <v>64.97</v>
      </c>
      <c r="D957">
        <v>6</v>
      </c>
      <c r="E957">
        <v>2793.71</v>
      </c>
      <c r="F957" s="1">
        <v>38323</v>
      </c>
      <c r="G957" t="s">
        <v>25</v>
      </c>
      <c r="H957">
        <v>4</v>
      </c>
      <c r="I957">
        <v>12</v>
      </c>
      <c r="J957">
        <v>2004</v>
      </c>
      <c r="K957" t="s">
        <v>598</v>
      </c>
      <c r="L957">
        <v>86</v>
      </c>
      <c r="M957" t="s">
        <v>599</v>
      </c>
      <c r="N957" t="s">
        <v>174</v>
      </c>
      <c r="O957" t="s">
        <v>175</v>
      </c>
      <c r="P957" t="s">
        <v>176</v>
      </c>
      <c r="R957" t="s">
        <v>177</v>
      </c>
      <c r="T957">
        <v>28034</v>
      </c>
      <c r="U957" t="s">
        <v>178</v>
      </c>
      <c r="V957" t="s">
        <v>42</v>
      </c>
      <c r="W957" t="s">
        <v>179</v>
      </c>
      <c r="X957" t="s">
        <v>180</v>
      </c>
      <c r="Y957" t="s">
        <v>36</v>
      </c>
    </row>
    <row r="958" spans="1:25" x14ac:dyDescent="0.25">
      <c r="A958">
        <v>10373</v>
      </c>
      <c r="B958">
        <v>22</v>
      </c>
      <c r="C958">
        <v>86.74</v>
      </c>
      <c r="D958">
        <v>5</v>
      </c>
      <c r="E958">
        <v>1908.28</v>
      </c>
      <c r="F958" s="1">
        <v>38383</v>
      </c>
      <c r="G958" t="s">
        <v>25</v>
      </c>
      <c r="H958">
        <v>1</v>
      </c>
      <c r="I958">
        <v>1</v>
      </c>
      <c r="J958">
        <v>2005</v>
      </c>
      <c r="K958" t="s">
        <v>598</v>
      </c>
      <c r="L958">
        <v>86</v>
      </c>
      <c r="M958" t="s">
        <v>599</v>
      </c>
      <c r="N958" t="s">
        <v>391</v>
      </c>
      <c r="O958" t="s">
        <v>392</v>
      </c>
      <c r="P958" t="s">
        <v>393</v>
      </c>
      <c r="R958" t="s">
        <v>394</v>
      </c>
      <c r="T958">
        <v>90110</v>
      </c>
      <c r="U958" t="s">
        <v>130</v>
      </c>
      <c r="V958" t="s">
        <v>42</v>
      </c>
      <c r="W958" t="s">
        <v>395</v>
      </c>
      <c r="X958" t="s">
        <v>396</v>
      </c>
      <c r="Y958" t="s">
        <v>36</v>
      </c>
    </row>
    <row r="959" spans="1:25" x14ac:dyDescent="0.25">
      <c r="A959">
        <v>10386</v>
      </c>
      <c r="B959">
        <v>37</v>
      </c>
      <c r="C959">
        <v>93.01</v>
      </c>
      <c r="D959">
        <v>5</v>
      </c>
      <c r="E959">
        <v>3441.37</v>
      </c>
      <c r="F959" s="1">
        <v>38412</v>
      </c>
      <c r="G959" t="s">
        <v>408</v>
      </c>
      <c r="H959">
        <v>1</v>
      </c>
      <c r="I959">
        <v>3</v>
      </c>
      <c r="J959">
        <v>2005</v>
      </c>
      <c r="K959" t="s">
        <v>598</v>
      </c>
      <c r="L959">
        <v>86</v>
      </c>
      <c r="M959" t="s">
        <v>599</v>
      </c>
      <c r="N959" t="s">
        <v>174</v>
      </c>
      <c r="O959" t="s">
        <v>175</v>
      </c>
      <c r="P959" t="s">
        <v>176</v>
      </c>
      <c r="R959" t="s">
        <v>177</v>
      </c>
      <c r="T959">
        <v>28034</v>
      </c>
      <c r="U959" t="s">
        <v>178</v>
      </c>
      <c r="V959" t="s">
        <v>42</v>
      </c>
      <c r="W959" t="s">
        <v>179</v>
      </c>
      <c r="X959" t="s">
        <v>180</v>
      </c>
      <c r="Y959" t="s">
        <v>51</v>
      </c>
    </row>
    <row r="960" spans="1:25" x14ac:dyDescent="0.25">
      <c r="A960">
        <v>10398</v>
      </c>
      <c r="B960">
        <v>28</v>
      </c>
      <c r="C960">
        <v>72.260000000000005</v>
      </c>
      <c r="D960">
        <v>18</v>
      </c>
      <c r="E960">
        <v>2023.28</v>
      </c>
      <c r="F960" s="1">
        <v>38441</v>
      </c>
      <c r="G960" t="s">
        <v>25</v>
      </c>
      <c r="H960">
        <v>1</v>
      </c>
      <c r="I960">
        <v>3</v>
      </c>
      <c r="J960">
        <v>2005</v>
      </c>
      <c r="K960" t="s">
        <v>598</v>
      </c>
      <c r="L960">
        <v>86</v>
      </c>
      <c r="M960" t="s">
        <v>599</v>
      </c>
      <c r="N960" t="s">
        <v>37</v>
      </c>
      <c r="O960" t="s">
        <v>38</v>
      </c>
      <c r="P960" t="s">
        <v>39</v>
      </c>
      <c r="R960" t="s">
        <v>40</v>
      </c>
      <c r="T960">
        <v>51100</v>
      </c>
      <c r="U960" t="s">
        <v>41</v>
      </c>
      <c r="V960" t="s">
        <v>42</v>
      </c>
      <c r="W960" t="s">
        <v>43</v>
      </c>
      <c r="X960" t="s">
        <v>44</v>
      </c>
      <c r="Y960" t="s">
        <v>36</v>
      </c>
    </row>
    <row r="961" spans="1:25" x14ac:dyDescent="0.25">
      <c r="A961">
        <v>10400</v>
      </c>
      <c r="B961">
        <v>30</v>
      </c>
      <c r="C961">
        <v>74.84</v>
      </c>
      <c r="D961">
        <v>7</v>
      </c>
      <c r="E961">
        <v>2245.1999999999998</v>
      </c>
      <c r="F961" s="1">
        <v>38443</v>
      </c>
      <c r="G961" t="s">
        <v>25</v>
      </c>
      <c r="H961">
        <v>2</v>
      </c>
      <c r="I961">
        <v>4</v>
      </c>
      <c r="J961">
        <v>2005</v>
      </c>
      <c r="K961" t="s">
        <v>598</v>
      </c>
      <c r="L961">
        <v>86</v>
      </c>
      <c r="M961" t="s">
        <v>599</v>
      </c>
      <c r="N961" t="s">
        <v>397</v>
      </c>
      <c r="O961">
        <v>4085553659</v>
      </c>
      <c r="P961" t="s">
        <v>398</v>
      </c>
      <c r="R961" t="s">
        <v>399</v>
      </c>
      <c r="S961" t="s">
        <v>55</v>
      </c>
      <c r="T961">
        <v>94217</v>
      </c>
      <c r="U961" t="s">
        <v>32</v>
      </c>
      <c r="V961" t="s">
        <v>33</v>
      </c>
      <c r="W961" t="s">
        <v>102</v>
      </c>
      <c r="X961" t="s">
        <v>400</v>
      </c>
      <c r="Y961" t="s">
        <v>36</v>
      </c>
    </row>
    <row r="962" spans="1:25" x14ac:dyDescent="0.25">
      <c r="A962">
        <v>10414</v>
      </c>
      <c r="B962">
        <v>44</v>
      </c>
      <c r="C962">
        <v>73.98</v>
      </c>
      <c r="D962">
        <v>1</v>
      </c>
      <c r="E962">
        <v>3255.12</v>
      </c>
      <c r="F962" s="1">
        <v>38478</v>
      </c>
      <c r="G962" t="s">
        <v>401</v>
      </c>
      <c r="H962">
        <v>2</v>
      </c>
      <c r="I962">
        <v>5</v>
      </c>
      <c r="J962">
        <v>2005</v>
      </c>
      <c r="K962" t="s">
        <v>598</v>
      </c>
      <c r="L962">
        <v>86</v>
      </c>
      <c r="M962" t="s">
        <v>599</v>
      </c>
      <c r="N962" t="s">
        <v>379</v>
      </c>
      <c r="O962">
        <v>6175559555</v>
      </c>
      <c r="P962" t="s">
        <v>380</v>
      </c>
      <c r="R962" t="s">
        <v>381</v>
      </c>
      <c r="S962" t="s">
        <v>123</v>
      </c>
      <c r="T962">
        <v>51003</v>
      </c>
      <c r="U962" t="s">
        <v>32</v>
      </c>
      <c r="V962" t="s">
        <v>33</v>
      </c>
      <c r="W962" t="s">
        <v>382</v>
      </c>
      <c r="X962" t="s">
        <v>66</v>
      </c>
      <c r="Y962" t="s">
        <v>51</v>
      </c>
    </row>
    <row r="963" spans="1:25" x14ac:dyDescent="0.25">
      <c r="A963">
        <v>10103</v>
      </c>
      <c r="B963">
        <v>25</v>
      </c>
      <c r="C963">
        <v>100</v>
      </c>
      <c r="D963">
        <v>13</v>
      </c>
      <c r="E963">
        <v>2539.5</v>
      </c>
      <c r="F963" s="1">
        <v>37650</v>
      </c>
      <c r="G963" t="s">
        <v>25</v>
      </c>
      <c r="H963">
        <v>1</v>
      </c>
      <c r="I963">
        <v>1</v>
      </c>
      <c r="J963">
        <v>2003</v>
      </c>
      <c r="K963" t="s">
        <v>550</v>
      </c>
      <c r="L963">
        <v>104</v>
      </c>
      <c r="M963" t="s">
        <v>602</v>
      </c>
      <c r="N963" t="s">
        <v>133</v>
      </c>
      <c r="O963" t="s">
        <v>134</v>
      </c>
      <c r="P963" t="s">
        <v>135</v>
      </c>
      <c r="R963" t="s">
        <v>136</v>
      </c>
      <c r="T963">
        <v>4110</v>
      </c>
      <c r="U963" t="s">
        <v>78</v>
      </c>
      <c r="V963" t="s">
        <v>42</v>
      </c>
      <c r="W963" t="s">
        <v>137</v>
      </c>
      <c r="X963" t="s">
        <v>138</v>
      </c>
      <c r="Y963" t="s">
        <v>36</v>
      </c>
    </row>
    <row r="964" spans="1:25" x14ac:dyDescent="0.25">
      <c r="A964">
        <v>10111</v>
      </c>
      <c r="B964">
        <v>43</v>
      </c>
      <c r="C964">
        <v>100</v>
      </c>
      <c r="D964">
        <v>1</v>
      </c>
      <c r="E964">
        <v>4818.1499999999996</v>
      </c>
      <c r="F964" s="1">
        <v>37705</v>
      </c>
      <c r="G964" t="s">
        <v>25</v>
      </c>
      <c r="H964">
        <v>1</v>
      </c>
      <c r="I964">
        <v>3</v>
      </c>
      <c r="J964">
        <v>2003</v>
      </c>
      <c r="K964" t="s">
        <v>550</v>
      </c>
      <c r="L964">
        <v>104</v>
      </c>
      <c r="M964" t="s">
        <v>602</v>
      </c>
      <c r="N964" t="s">
        <v>81</v>
      </c>
      <c r="O964">
        <v>6505555787</v>
      </c>
      <c r="P964" t="s">
        <v>82</v>
      </c>
      <c r="R964" t="s">
        <v>60</v>
      </c>
      <c r="S964" t="s">
        <v>55</v>
      </c>
      <c r="U964" t="s">
        <v>32</v>
      </c>
      <c r="V964" t="s">
        <v>33</v>
      </c>
      <c r="W964" t="s">
        <v>83</v>
      </c>
      <c r="X964" t="s">
        <v>57</v>
      </c>
      <c r="Y964" t="s">
        <v>51</v>
      </c>
    </row>
    <row r="965" spans="1:25" x14ac:dyDescent="0.25">
      <c r="A965">
        <v>10126</v>
      </c>
      <c r="B965">
        <v>30</v>
      </c>
      <c r="C965">
        <v>97.39</v>
      </c>
      <c r="D965">
        <v>13</v>
      </c>
      <c r="E965">
        <v>2921.7</v>
      </c>
      <c r="F965" s="1">
        <v>37769</v>
      </c>
      <c r="G965" t="s">
        <v>25</v>
      </c>
      <c r="H965">
        <v>2</v>
      </c>
      <c r="I965">
        <v>5</v>
      </c>
      <c r="J965">
        <v>2003</v>
      </c>
      <c r="K965" t="s">
        <v>550</v>
      </c>
      <c r="L965">
        <v>104</v>
      </c>
      <c r="M965" t="s">
        <v>602</v>
      </c>
      <c r="N965" t="s">
        <v>191</v>
      </c>
      <c r="O965" t="s">
        <v>192</v>
      </c>
      <c r="P965" t="s">
        <v>193</v>
      </c>
      <c r="R965" t="s">
        <v>177</v>
      </c>
      <c r="T965">
        <v>28023</v>
      </c>
      <c r="U965" t="s">
        <v>178</v>
      </c>
      <c r="V965" t="s">
        <v>42</v>
      </c>
      <c r="W965" t="s">
        <v>194</v>
      </c>
      <c r="X965" t="s">
        <v>195</v>
      </c>
      <c r="Y965" t="s">
        <v>36</v>
      </c>
    </row>
    <row r="966" spans="1:25" x14ac:dyDescent="0.25">
      <c r="A966">
        <v>10139</v>
      </c>
      <c r="B966">
        <v>20</v>
      </c>
      <c r="C966">
        <v>90.06</v>
      </c>
      <c r="D966">
        <v>2</v>
      </c>
      <c r="E966">
        <v>1801.2</v>
      </c>
      <c r="F966" s="1">
        <v>37818</v>
      </c>
      <c r="G966" t="s">
        <v>25</v>
      </c>
      <c r="H966">
        <v>3</v>
      </c>
      <c r="I966">
        <v>7</v>
      </c>
      <c r="J966">
        <v>2003</v>
      </c>
      <c r="K966" t="s">
        <v>550</v>
      </c>
      <c r="L966">
        <v>104</v>
      </c>
      <c r="M966" t="s">
        <v>602</v>
      </c>
      <c r="N966" t="s">
        <v>152</v>
      </c>
      <c r="O966" t="s">
        <v>153</v>
      </c>
      <c r="P966" t="s">
        <v>154</v>
      </c>
      <c r="Q966" t="s">
        <v>155</v>
      </c>
      <c r="R966" t="s">
        <v>156</v>
      </c>
      <c r="S966" t="s">
        <v>157</v>
      </c>
      <c r="T966">
        <v>2067</v>
      </c>
      <c r="U966" t="s">
        <v>95</v>
      </c>
      <c r="V966" t="s">
        <v>96</v>
      </c>
      <c r="W966" t="s">
        <v>158</v>
      </c>
      <c r="X966" t="s">
        <v>159</v>
      </c>
      <c r="Y966" t="s">
        <v>36</v>
      </c>
    </row>
    <row r="967" spans="1:25" x14ac:dyDescent="0.25">
      <c r="A967">
        <v>10150</v>
      </c>
      <c r="B967">
        <v>26</v>
      </c>
      <c r="C967">
        <v>100</v>
      </c>
      <c r="D967">
        <v>10</v>
      </c>
      <c r="E967">
        <v>2804.36</v>
      </c>
      <c r="F967" s="1">
        <v>37883</v>
      </c>
      <c r="G967" t="s">
        <v>25</v>
      </c>
      <c r="H967">
        <v>3</v>
      </c>
      <c r="I967">
        <v>9</v>
      </c>
      <c r="J967">
        <v>2003</v>
      </c>
      <c r="K967" t="s">
        <v>550</v>
      </c>
      <c r="L967">
        <v>104</v>
      </c>
      <c r="M967" t="s">
        <v>602</v>
      </c>
      <c r="N967" t="s">
        <v>196</v>
      </c>
      <c r="O967" t="s">
        <v>197</v>
      </c>
      <c r="P967" t="s">
        <v>198</v>
      </c>
      <c r="R967" t="s">
        <v>199</v>
      </c>
      <c r="T967">
        <v>79903</v>
      </c>
      <c r="U967" t="s">
        <v>199</v>
      </c>
      <c r="V967" t="s">
        <v>200</v>
      </c>
      <c r="W967" t="s">
        <v>201</v>
      </c>
      <c r="X967" t="s">
        <v>202</v>
      </c>
      <c r="Y967" t="s">
        <v>36</v>
      </c>
    </row>
    <row r="968" spans="1:25" x14ac:dyDescent="0.25">
      <c r="A968">
        <v>10163</v>
      </c>
      <c r="B968">
        <v>40</v>
      </c>
      <c r="C968">
        <v>100</v>
      </c>
      <c r="D968">
        <v>3</v>
      </c>
      <c r="E968">
        <v>4900.8</v>
      </c>
      <c r="F968" s="1">
        <v>37914</v>
      </c>
      <c r="G968" t="s">
        <v>25</v>
      </c>
      <c r="H968">
        <v>4</v>
      </c>
      <c r="I968">
        <v>10</v>
      </c>
      <c r="J968">
        <v>2003</v>
      </c>
      <c r="K968" t="s">
        <v>550</v>
      </c>
      <c r="L968">
        <v>104</v>
      </c>
      <c r="M968" t="s">
        <v>602</v>
      </c>
      <c r="N968" t="s">
        <v>203</v>
      </c>
      <c r="O968">
        <v>2125558493</v>
      </c>
      <c r="P968" t="s">
        <v>204</v>
      </c>
      <c r="Q968" t="s">
        <v>205</v>
      </c>
      <c r="R968" t="s">
        <v>30</v>
      </c>
      <c r="S968" t="s">
        <v>31</v>
      </c>
      <c r="T968">
        <v>10022</v>
      </c>
      <c r="U968" t="s">
        <v>32</v>
      </c>
      <c r="V968" t="s">
        <v>33</v>
      </c>
      <c r="W968" t="s">
        <v>124</v>
      </c>
      <c r="X968" t="s">
        <v>206</v>
      </c>
      <c r="Y968" t="s">
        <v>51</v>
      </c>
    </row>
    <row r="969" spans="1:25" x14ac:dyDescent="0.25">
      <c r="A969">
        <v>10173</v>
      </c>
      <c r="B969">
        <v>31</v>
      </c>
      <c r="C969">
        <v>89.01</v>
      </c>
      <c r="D969">
        <v>1</v>
      </c>
      <c r="E969">
        <v>2759.31</v>
      </c>
      <c r="F969" s="1">
        <v>37930</v>
      </c>
      <c r="G969" t="s">
        <v>25</v>
      </c>
      <c r="H969">
        <v>4</v>
      </c>
      <c r="I969">
        <v>11</v>
      </c>
      <c r="J969">
        <v>2003</v>
      </c>
      <c r="K969" t="s">
        <v>550</v>
      </c>
      <c r="L969">
        <v>104</v>
      </c>
      <c r="M969" t="s">
        <v>602</v>
      </c>
      <c r="N969" t="s">
        <v>552</v>
      </c>
      <c r="O969" t="s">
        <v>553</v>
      </c>
      <c r="P969" t="s">
        <v>554</v>
      </c>
      <c r="R969" t="s">
        <v>555</v>
      </c>
      <c r="T969">
        <v>24100</v>
      </c>
      <c r="U969" t="s">
        <v>258</v>
      </c>
      <c r="V969" t="s">
        <v>42</v>
      </c>
      <c r="W969" t="s">
        <v>556</v>
      </c>
      <c r="X969" t="s">
        <v>557</v>
      </c>
      <c r="Y969" t="s">
        <v>36</v>
      </c>
    </row>
    <row r="970" spans="1:25" x14ac:dyDescent="0.25">
      <c r="A970">
        <v>10183</v>
      </c>
      <c r="B970">
        <v>22</v>
      </c>
      <c r="C970">
        <v>100</v>
      </c>
      <c r="D970">
        <v>10</v>
      </c>
      <c r="E970">
        <v>2488.1999999999998</v>
      </c>
      <c r="F970" s="1">
        <v>37938</v>
      </c>
      <c r="G970" t="s">
        <v>25</v>
      </c>
      <c r="H970">
        <v>4</v>
      </c>
      <c r="I970">
        <v>11</v>
      </c>
      <c r="J970">
        <v>2003</v>
      </c>
      <c r="K970" t="s">
        <v>550</v>
      </c>
      <c r="L970">
        <v>104</v>
      </c>
      <c r="M970" t="s">
        <v>602</v>
      </c>
      <c r="N970" t="s">
        <v>214</v>
      </c>
      <c r="O970">
        <v>2155554695</v>
      </c>
      <c r="P970" t="s">
        <v>215</v>
      </c>
      <c r="R970" t="s">
        <v>216</v>
      </c>
      <c r="S970" t="s">
        <v>142</v>
      </c>
      <c r="T970">
        <v>71270</v>
      </c>
      <c r="U970" t="s">
        <v>32</v>
      </c>
      <c r="V970" t="s">
        <v>33</v>
      </c>
      <c r="W970" t="s">
        <v>217</v>
      </c>
      <c r="X970" t="s">
        <v>218</v>
      </c>
      <c r="Y970" t="s">
        <v>36</v>
      </c>
    </row>
    <row r="971" spans="1:25" x14ac:dyDescent="0.25">
      <c r="A971">
        <v>10193</v>
      </c>
      <c r="B971">
        <v>23</v>
      </c>
      <c r="C971">
        <v>100</v>
      </c>
      <c r="D971">
        <v>2</v>
      </c>
      <c r="E971">
        <v>2769.89</v>
      </c>
      <c r="F971" s="1">
        <v>37946</v>
      </c>
      <c r="G971" t="s">
        <v>25</v>
      </c>
      <c r="H971">
        <v>4</v>
      </c>
      <c r="I971">
        <v>11</v>
      </c>
      <c r="J971">
        <v>2003</v>
      </c>
      <c r="K971" t="s">
        <v>550</v>
      </c>
      <c r="L971">
        <v>104</v>
      </c>
      <c r="M971" t="s">
        <v>602</v>
      </c>
      <c r="N971" t="s">
        <v>558</v>
      </c>
      <c r="O971" t="s">
        <v>559</v>
      </c>
      <c r="P971" t="s">
        <v>560</v>
      </c>
      <c r="R971" t="s">
        <v>561</v>
      </c>
      <c r="S971" t="s">
        <v>94</v>
      </c>
      <c r="T971">
        <v>3150</v>
      </c>
      <c r="U971" t="s">
        <v>95</v>
      </c>
      <c r="V971" t="s">
        <v>96</v>
      </c>
      <c r="W971" t="s">
        <v>562</v>
      </c>
      <c r="X971" t="s">
        <v>563</v>
      </c>
      <c r="Y971" t="s">
        <v>36</v>
      </c>
    </row>
    <row r="972" spans="1:25" x14ac:dyDescent="0.25">
      <c r="A972">
        <v>10206</v>
      </c>
      <c r="B972">
        <v>30</v>
      </c>
      <c r="C972">
        <v>100</v>
      </c>
      <c r="D972">
        <v>8</v>
      </c>
      <c r="E972">
        <v>3581.4</v>
      </c>
      <c r="F972" s="1">
        <v>37960</v>
      </c>
      <c r="G972" t="s">
        <v>25</v>
      </c>
      <c r="H972">
        <v>4</v>
      </c>
      <c r="I972">
        <v>12</v>
      </c>
      <c r="J972">
        <v>2003</v>
      </c>
      <c r="K972" t="s">
        <v>550</v>
      </c>
      <c r="L972">
        <v>104</v>
      </c>
      <c r="M972" t="s">
        <v>602</v>
      </c>
      <c r="N972" t="s">
        <v>225</v>
      </c>
      <c r="O972" t="s">
        <v>226</v>
      </c>
      <c r="P972" t="s">
        <v>227</v>
      </c>
      <c r="R972" t="s">
        <v>228</v>
      </c>
      <c r="S972" t="s">
        <v>229</v>
      </c>
      <c r="T972" t="s">
        <v>230</v>
      </c>
      <c r="U972" t="s">
        <v>231</v>
      </c>
      <c r="V972" t="s">
        <v>33</v>
      </c>
      <c r="W972" t="s">
        <v>232</v>
      </c>
      <c r="X972" t="s">
        <v>233</v>
      </c>
      <c r="Y972" t="s">
        <v>51</v>
      </c>
    </row>
    <row r="973" spans="1:25" x14ac:dyDescent="0.25">
      <c r="A973">
        <v>10215</v>
      </c>
      <c r="B973">
        <v>49</v>
      </c>
      <c r="C973">
        <v>100</v>
      </c>
      <c r="D973">
        <v>5</v>
      </c>
      <c r="E973">
        <v>5285.14</v>
      </c>
      <c r="F973" s="1">
        <v>38015</v>
      </c>
      <c r="G973" t="s">
        <v>25</v>
      </c>
      <c r="H973">
        <v>1</v>
      </c>
      <c r="I973">
        <v>1</v>
      </c>
      <c r="J973">
        <v>2004</v>
      </c>
      <c r="K973" t="s">
        <v>550</v>
      </c>
      <c r="L973">
        <v>104</v>
      </c>
      <c r="M973" t="s">
        <v>602</v>
      </c>
      <c r="N973" t="s">
        <v>234</v>
      </c>
      <c r="O973">
        <v>3105553722</v>
      </c>
      <c r="P973" t="s">
        <v>235</v>
      </c>
      <c r="R973" t="s">
        <v>236</v>
      </c>
      <c r="S973" t="s">
        <v>55</v>
      </c>
      <c r="T973">
        <v>94019</v>
      </c>
      <c r="U973" t="s">
        <v>32</v>
      </c>
      <c r="V973" t="s">
        <v>33</v>
      </c>
      <c r="W973" t="s">
        <v>237</v>
      </c>
      <c r="X973" t="s">
        <v>238</v>
      </c>
      <c r="Y973" t="s">
        <v>51</v>
      </c>
    </row>
    <row r="974" spans="1:25" x14ac:dyDescent="0.25">
      <c r="A974">
        <v>10228</v>
      </c>
      <c r="B974">
        <v>31</v>
      </c>
      <c r="C974">
        <v>100</v>
      </c>
      <c r="D974">
        <v>4</v>
      </c>
      <c r="E974">
        <v>3181.53</v>
      </c>
      <c r="F974" s="1">
        <v>38056</v>
      </c>
      <c r="G974" t="s">
        <v>25</v>
      </c>
      <c r="H974">
        <v>1</v>
      </c>
      <c r="I974">
        <v>3</v>
      </c>
      <c r="J974">
        <v>2004</v>
      </c>
      <c r="K974" t="s">
        <v>550</v>
      </c>
      <c r="L974">
        <v>104</v>
      </c>
      <c r="M974" t="s">
        <v>602</v>
      </c>
      <c r="N974" t="s">
        <v>239</v>
      </c>
      <c r="O974">
        <v>6175555555</v>
      </c>
      <c r="P974" t="s">
        <v>240</v>
      </c>
      <c r="R974" t="s">
        <v>122</v>
      </c>
      <c r="S974" t="s">
        <v>123</v>
      </c>
      <c r="T974">
        <v>51247</v>
      </c>
      <c r="U974" t="s">
        <v>32</v>
      </c>
      <c r="V974" t="s">
        <v>33</v>
      </c>
      <c r="W974" t="s">
        <v>241</v>
      </c>
      <c r="X974" t="s">
        <v>143</v>
      </c>
      <c r="Y974" t="s">
        <v>51</v>
      </c>
    </row>
    <row r="975" spans="1:25" x14ac:dyDescent="0.25">
      <c r="A975">
        <v>10244</v>
      </c>
      <c r="B975">
        <v>29</v>
      </c>
      <c r="C975">
        <v>100</v>
      </c>
      <c r="D975">
        <v>2</v>
      </c>
      <c r="E975">
        <v>3340.51</v>
      </c>
      <c r="F975" s="1">
        <v>38106</v>
      </c>
      <c r="G975" t="s">
        <v>25</v>
      </c>
      <c r="H975">
        <v>2</v>
      </c>
      <c r="I975">
        <v>4</v>
      </c>
      <c r="J975">
        <v>2004</v>
      </c>
      <c r="K975" t="s">
        <v>550</v>
      </c>
      <c r="L975">
        <v>104</v>
      </c>
      <c r="M975" t="s">
        <v>602</v>
      </c>
      <c r="N975" t="s">
        <v>174</v>
      </c>
      <c r="O975" t="s">
        <v>175</v>
      </c>
      <c r="P975" t="s">
        <v>176</v>
      </c>
      <c r="R975" t="s">
        <v>177</v>
      </c>
      <c r="T975">
        <v>28034</v>
      </c>
      <c r="U975" t="s">
        <v>178</v>
      </c>
      <c r="V975" t="s">
        <v>42</v>
      </c>
      <c r="W975" t="s">
        <v>179</v>
      </c>
      <c r="X975" t="s">
        <v>180</v>
      </c>
      <c r="Y975" t="s">
        <v>51</v>
      </c>
    </row>
    <row r="976" spans="1:25" x14ac:dyDescent="0.25">
      <c r="A976">
        <v>10257</v>
      </c>
      <c r="B976">
        <v>37</v>
      </c>
      <c r="C976">
        <v>84.82</v>
      </c>
      <c r="D976">
        <v>2</v>
      </c>
      <c r="E976">
        <v>3138.34</v>
      </c>
      <c r="F976" s="1">
        <v>38152</v>
      </c>
      <c r="G976" t="s">
        <v>25</v>
      </c>
      <c r="H976">
        <v>2</v>
      </c>
      <c r="I976">
        <v>6</v>
      </c>
      <c r="J976">
        <v>2004</v>
      </c>
      <c r="K976" t="s">
        <v>550</v>
      </c>
      <c r="L976">
        <v>104</v>
      </c>
      <c r="M976" t="s">
        <v>602</v>
      </c>
      <c r="N976" t="s">
        <v>397</v>
      </c>
      <c r="O976">
        <v>4085553659</v>
      </c>
      <c r="P976" t="s">
        <v>398</v>
      </c>
      <c r="R976" t="s">
        <v>399</v>
      </c>
      <c r="S976" t="s">
        <v>55</v>
      </c>
      <c r="T976">
        <v>94217</v>
      </c>
      <c r="U976" t="s">
        <v>32</v>
      </c>
      <c r="V976" t="s">
        <v>33</v>
      </c>
      <c r="W976" t="s">
        <v>102</v>
      </c>
      <c r="X976" t="s">
        <v>400</v>
      </c>
      <c r="Y976" t="s">
        <v>51</v>
      </c>
    </row>
    <row r="977" spans="1:25" x14ac:dyDescent="0.25">
      <c r="A977">
        <v>10270</v>
      </c>
      <c r="B977">
        <v>38</v>
      </c>
      <c r="C977">
        <v>100</v>
      </c>
      <c r="D977">
        <v>11</v>
      </c>
      <c r="E977">
        <v>4775.08</v>
      </c>
      <c r="F977" s="1">
        <v>38187</v>
      </c>
      <c r="G977" t="s">
        <v>25</v>
      </c>
      <c r="H977">
        <v>3</v>
      </c>
      <c r="I977">
        <v>7</v>
      </c>
      <c r="J977">
        <v>2004</v>
      </c>
      <c r="K977" t="s">
        <v>550</v>
      </c>
      <c r="L977">
        <v>104</v>
      </c>
      <c r="M977" t="s">
        <v>602</v>
      </c>
      <c r="N977" t="s">
        <v>152</v>
      </c>
      <c r="O977" t="s">
        <v>153</v>
      </c>
      <c r="P977" t="s">
        <v>154</v>
      </c>
      <c r="Q977" t="s">
        <v>155</v>
      </c>
      <c r="R977" t="s">
        <v>156</v>
      </c>
      <c r="S977" t="s">
        <v>157</v>
      </c>
      <c r="T977">
        <v>2067</v>
      </c>
      <c r="U977" t="s">
        <v>95</v>
      </c>
      <c r="V977" t="s">
        <v>96</v>
      </c>
      <c r="W977" t="s">
        <v>158</v>
      </c>
      <c r="X977" t="s">
        <v>159</v>
      </c>
      <c r="Y977" t="s">
        <v>51</v>
      </c>
    </row>
    <row r="978" spans="1:25" x14ac:dyDescent="0.25">
      <c r="A978">
        <v>10280</v>
      </c>
      <c r="B978">
        <v>29</v>
      </c>
      <c r="C978">
        <v>100</v>
      </c>
      <c r="D978">
        <v>4</v>
      </c>
      <c r="E978">
        <v>3006.43</v>
      </c>
      <c r="F978" s="1">
        <v>38216</v>
      </c>
      <c r="G978" t="s">
        <v>25</v>
      </c>
      <c r="H978">
        <v>3</v>
      </c>
      <c r="I978">
        <v>8</v>
      </c>
      <c r="J978">
        <v>2004</v>
      </c>
      <c r="K978" t="s">
        <v>550</v>
      </c>
      <c r="L978">
        <v>104</v>
      </c>
      <c r="M978" t="s">
        <v>602</v>
      </c>
      <c r="N978" t="s">
        <v>254</v>
      </c>
      <c r="O978" t="s">
        <v>255</v>
      </c>
      <c r="P978" t="s">
        <v>256</v>
      </c>
      <c r="R978" t="s">
        <v>257</v>
      </c>
      <c r="T978">
        <v>10100</v>
      </c>
      <c r="U978" t="s">
        <v>258</v>
      </c>
      <c r="V978" t="s">
        <v>42</v>
      </c>
      <c r="W978" t="s">
        <v>259</v>
      </c>
      <c r="X978" t="s">
        <v>260</v>
      </c>
      <c r="Y978" t="s">
        <v>51</v>
      </c>
    </row>
    <row r="979" spans="1:25" x14ac:dyDescent="0.25">
      <c r="A979">
        <v>10291</v>
      </c>
      <c r="B979">
        <v>23</v>
      </c>
      <c r="C979">
        <v>100</v>
      </c>
      <c r="D979">
        <v>13</v>
      </c>
      <c r="E979">
        <v>2866.26</v>
      </c>
      <c r="F979" s="1">
        <v>38238</v>
      </c>
      <c r="G979" t="s">
        <v>25</v>
      </c>
      <c r="H979">
        <v>3</v>
      </c>
      <c r="I979">
        <v>9</v>
      </c>
      <c r="J979">
        <v>2004</v>
      </c>
      <c r="K979" t="s">
        <v>550</v>
      </c>
      <c r="L979">
        <v>104</v>
      </c>
      <c r="M979" t="s">
        <v>602</v>
      </c>
      <c r="N979" t="s">
        <v>261</v>
      </c>
      <c r="O979" t="s">
        <v>262</v>
      </c>
      <c r="P979" t="s">
        <v>263</v>
      </c>
      <c r="R979" t="s">
        <v>264</v>
      </c>
      <c r="T979" t="s">
        <v>265</v>
      </c>
      <c r="U979" t="s">
        <v>188</v>
      </c>
      <c r="V979" t="s">
        <v>42</v>
      </c>
      <c r="W979" t="s">
        <v>266</v>
      </c>
      <c r="X979" t="s">
        <v>206</v>
      </c>
      <c r="Y979" t="s">
        <v>36</v>
      </c>
    </row>
    <row r="980" spans="1:25" x14ac:dyDescent="0.25">
      <c r="A980">
        <v>10304</v>
      </c>
      <c r="B980">
        <v>26</v>
      </c>
      <c r="C980">
        <v>85.87</v>
      </c>
      <c r="D980">
        <v>8</v>
      </c>
      <c r="E980">
        <v>2232.62</v>
      </c>
      <c r="F980" s="1">
        <v>38271</v>
      </c>
      <c r="G980" t="s">
        <v>25</v>
      </c>
      <c r="H980">
        <v>4</v>
      </c>
      <c r="I980">
        <v>10</v>
      </c>
      <c r="J980">
        <v>2004</v>
      </c>
      <c r="K980" t="s">
        <v>550</v>
      </c>
      <c r="L980">
        <v>104</v>
      </c>
      <c r="M980" t="s">
        <v>602</v>
      </c>
      <c r="N980" t="s">
        <v>267</v>
      </c>
      <c r="O980" t="s">
        <v>268</v>
      </c>
      <c r="P980" t="s">
        <v>269</v>
      </c>
      <c r="R980" t="s">
        <v>270</v>
      </c>
      <c r="T980">
        <v>78000</v>
      </c>
      <c r="U980" t="s">
        <v>41</v>
      </c>
      <c r="V980" t="s">
        <v>42</v>
      </c>
      <c r="W980" t="s">
        <v>271</v>
      </c>
      <c r="X980" t="s">
        <v>50</v>
      </c>
      <c r="Y980" t="s">
        <v>36</v>
      </c>
    </row>
    <row r="981" spans="1:25" x14ac:dyDescent="0.25">
      <c r="A981">
        <v>10312</v>
      </c>
      <c r="B981">
        <v>38</v>
      </c>
      <c r="C981">
        <v>100</v>
      </c>
      <c r="D981">
        <v>5</v>
      </c>
      <c r="E981">
        <v>4457.0200000000004</v>
      </c>
      <c r="F981" s="1">
        <v>38281</v>
      </c>
      <c r="G981" t="s">
        <v>25</v>
      </c>
      <c r="H981">
        <v>4</v>
      </c>
      <c r="I981">
        <v>10</v>
      </c>
      <c r="J981">
        <v>2004</v>
      </c>
      <c r="K981" t="s">
        <v>550</v>
      </c>
      <c r="L981">
        <v>104</v>
      </c>
      <c r="M981" t="s">
        <v>602</v>
      </c>
      <c r="N981" t="s">
        <v>272</v>
      </c>
      <c r="O981">
        <v>4155551450</v>
      </c>
      <c r="P981" t="s">
        <v>273</v>
      </c>
      <c r="R981" t="s">
        <v>274</v>
      </c>
      <c r="S981" t="s">
        <v>55</v>
      </c>
      <c r="T981">
        <v>97562</v>
      </c>
      <c r="U981" t="s">
        <v>32</v>
      </c>
      <c r="V981" t="s">
        <v>33</v>
      </c>
      <c r="W981" t="s">
        <v>275</v>
      </c>
      <c r="X981" t="s">
        <v>276</v>
      </c>
      <c r="Y981" t="s">
        <v>51</v>
      </c>
    </row>
    <row r="982" spans="1:25" x14ac:dyDescent="0.25">
      <c r="A982">
        <v>10322</v>
      </c>
      <c r="B982">
        <v>48</v>
      </c>
      <c r="C982">
        <v>47.04</v>
      </c>
      <c r="D982">
        <v>7</v>
      </c>
      <c r="E982">
        <v>2257.92</v>
      </c>
      <c r="F982" s="1">
        <v>38295</v>
      </c>
      <c r="G982" t="s">
        <v>25</v>
      </c>
      <c r="H982">
        <v>4</v>
      </c>
      <c r="I982">
        <v>11</v>
      </c>
      <c r="J982">
        <v>2004</v>
      </c>
      <c r="K982" t="s">
        <v>550</v>
      </c>
      <c r="L982">
        <v>104</v>
      </c>
      <c r="M982" t="s">
        <v>602</v>
      </c>
      <c r="N982" t="s">
        <v>277</v>
      </c>
      <c r="O982">
        <v>6035558647</v>
      </c>
      <c r="P982" t="s">
        <v>278</v>
      </c>
      <c r="R982" t="s">
        <v>279</v>
      </c>
      <c r="S982" t="s">
        <v>280</v>
      </c>
      <c r="T982">
        <v>62005</v>
      </c>
      <c r="U982" t="s">
        <v>32</v>
      </c>
      <c r="V982" t="s">
        <v>33</v>
      </c>
      <c r="W982" t="s">
        <v>56</v>
      </c>
      <c r="X982" t="s">
        <v>276</v>
      </c>
      <c r="Y982" t="s">
        <v>36</v>
      </c>
    </row>
    <row r="983" spans="1:25" x14ac:dyDescent="0.25">
      <c r="A983">
        <v>10332</v>
      </c>
      <c r="B983">
        <v>40</v>
      </c>
      <c r="C983">
        <v>39.799999999999997</v>
      </c>
      <c r="D983">
        <v>18</v>
      </c>
      <c r="E983">
        <v>1592</v>
      </c>
      <c r="F983" s="1">
        <v>38308</v>
      </c>
      <c r="G983" t="s">
        <v>25</v>
      </c>
      <c r="H983">
        <v>4</v>
      </c>
      <c r="I983">
        <v>11</v>
      </c>
      <c r="J983">
        <v>2004</v>
      </c>
      <c r="K983" t="s">
        <v>550</v>
      </c>
      <c r="L983">
        <v>104</v>
      </c>
      <c r="M983" t="s">
        <v>602</v>
      </c>
      <c r="N983" t="s">
        <v>492</v>
      </c>
      <c r="O983" t="s">
        <v>493</v>
      </c>
      <c r="P983" t="s">
        <v>494</v>
      </c>
      <c r="R983" t="s">
        <v>495</v>
      </c>
      <c r="T983" t="s">
        <v>496</v>
      </c>
      <c r="U983" t="s">
        <v>170</v>
      </c>
      <c r="V983" t="s">
        <v>42</v>
      </c>
      <c r="W983" t="s">
        <v>497</v>
      </c>
      <c r="X983" t="s">
        <v>94</v>
      </c>
      <c r="Y983" t="s">
        <v>36</v>
      </c>
    </row>
    <row r="984" spans="1:25" x14ac:dyDescent="0.25">
      <c r="A984">
        <v>10347</v>
      </c>
      <c r="B984">
        <v>45</v>
      </c>
      <c r="C984">
        <v>100</v>
      </c>
      <c r="D984">
        <v>11</v>
      </c>
      <c r="E984">
        <v>4948.2</v>
      </c>
      <c r="F984" s="1">
        <v>38320</v>
      </c>
      <c r="G984" t="s">
        <v>25</v>
      </c>
      <c r="H984">
        <v>4</v>
      </c>
      <c r="I984">
        <v>11</v>
      </c>
      <c r="J984">
        <v>2004</v>
      </c>
      <c r="K984" t="s">
        <v>550</v>
      </c>
      <c r="L984">
        <v>104</v>
      </c>
      <c r="M984" t="s">
        <v>602</v>
      </c>
      <c r="N984" t="s">
        <v>89</v>
      </c>
      <c r="O984" t="s">
        <v>90</v>
      </c>
      <c r="P984" t="s">
        <v>91</v>
      </c>
      <c r="Q984" t="s">
        <v>92</v>
      </c>
      <c r="R984" t="s">
        <v>93</v>
      </c>
      <c r="S984" t="s">
        <v>94</v>
      </c>
      <c r="T984">
        <v>3004</v>
      </c>
      <c r="U984" t="s">
        <v>95</v>
      </c>
      <c r="V984" t="s">
        <v>96</v>
      </c>
      <c r="W984" t="s">
        <v>97</v>
      </c>
      <c r="X984" t="s">
        <v>98</v>
      </c>
      <c r="Y984" t="s">
        <v>51</v>
      </c>
    </row>
    <row r="985" spans="1:25" x14ac:dyDescent="0.25">
      <c r="A985">
        <v>10357</v>
      </c>
      <c r="B985">
        <v>44</v>
      </c>
      <c r="C985">
        <v>100</v>
      </c>
      <c r="D985">
        <v>4</v>
      </c>
      <c r="E985">
        <v>5160.76</v>
      </c>
      <c r="F985" s="1">
        <v>38331</v>
      </c>
      <c r="G985" t="s">
        <v>25</v>
      </c>
      <c r="H985">
        <v>4</v>
      </c>
      <c r="I985">
        <v>12</v>
      </c>
      <c r="J985">
        <v>2004</v>
      </c>
      <c r="K985" t="s">
        <v>550</v>
      </c>
      <c r="L985">
        <v>104</v>
      </c>
      <c r="M985" t="s">
        <v>602</v>
      </c>
      <c r="N985" t="s">
        <v>272</v>
      </c>
      <c r="O985">
        <v>4155551450</v>
      </c>
      <c r="P985" t="s">
        <v>273</v>
      </c>
      <c r="R985" t="s">
        <v>274</v>
      </c>
      <c r="S985" t="s">
        <v>55</v>
      </c>
      <c r="T985">
        <v>97562</v>
      </c>
      <c r="U985" t="s">
        <v>32</v>
      </c>
      <c r="V985" t="s">
        <v>33</v>
      </c>
      <c r="W985" t="s">
        <v>275</v>
      </c>
      <c r="X985" t="s">
        <v>276</v>
      </c>
      <c r="Y985" t="s">
        <v>51</v>
      </c>
    </row>
    <row r="986" spans="1:25" x14ac:dyDescent="0.25">
      <c r="A986">
        <v>10369</v>
      </c>
      <c r="B986">
        <v>21</v>
      </c>
      <c r="C986">
        <v>94.22</v>
      </c>
      <c r="D986">
        <v>5</v>
      </c>
      <c r="E986">
        <v>1978.62</v>
      </c>
      <c r="F986" s="1">
        <v>38372</v>
      </c>
      <c r="G986" t="s">
        <v>25</v>
      </c>
      <c r="H986">
        <v>1</v>
      </c>
      <c r="I986">
        <v>1</v>
      </c>
      <c r="J986">
        <v>2005</v>
      </c>
      <c r="K986" t="s">
        <v>550</v>
      </c>
      <c r="L986">
        <v>104</v>
      </c>
      <c r="M986" t="s">
        <v>602</v>
      </c>
      <c r="N986" t="s">
        <v>281</v>
      </c>
      <c r="O986">
        <v>6175558555</v>
      </c>
      <c r="P986" t="s">
        <v>282</v>
      </c>
      <c r="R986" t="s">
        <v>283</v>
      </c>
      <c r="S986" t="s">
        <v>123</v>
      </c>
      <c r="T986">
        <v>58339</v>
      </c>
      <c r="U986" t="s">
        <v>32</v>
      </c>
      <c r="V986" t="s">
        <v>33</v>
      </c>
      <c r="W986" t="s">
        <v>275</v>
      </c>
      <c r="X986" t="s">
        <v>284</v>
      </c>
      <c r="Y986" t="s">
        <v>36</v>
      </c>
    </row>
    <row r="987" spans="1:25" x14ac:dyDescent="0.25">
      <c r="A987">
        <v>10381</v>
      </c>
      <c r="B987">
        <v>35</v>
      </c>
      <c r="C987">
        <v>100</v>
      </c>
      <c r="D987">
        <v>5</v>
      </c>
      <c r="E987">
        <v>4288.2</v>
      </c>
      <c r="F987" s="1">
        <v>38400</v>
      </c>
      <c r="G987" t="s">
        <v>25</v>
      </c>
      <c r="H987">
        <v>1</v>
      </c>
      <c r="I987">
        <v>2</v>
      </c>
      <c r="J987">
        <v>2005</v>
      </c>
      <c r="K987" t="s">
        <v>550</v>
      </c>
      <c r="L987">
        <v>104</v>
      </c>
      <c r="M987" t="s">
        <v>602</v>
      </c>
      <c r="N987" t="s">
        <v>58</v>
      </c>
      <c r="O987">
        <v>6505551386</v>
      </c>
      <c r="P987" t="s">
        <v>59</v>
      </c>
      <c r="R987" t="s">
        <v>60</v>
      </c>
      <c r="S987" t="s">
        <v>55</v>
      </c>
      <c r="U987" t="s">
        <v>32</v>
      </c>
      <c r="V987" t="s">
        <v>33</v>
      </c>
      <c r="W987" t="s">
        <v>61</v>
      </c>
      <c r="X987" t="s">
        <v>57</v>
      </c>
      <c r="Y987" t="s">
        <v>51</v>
      </c>
    </row>
    <row r="988" spans="1:25" x14ac:dyDescent="0.25">
      <c r="A988">
        <v>10392</v>
      </c>
      <c r="B988">
        <v>29</v>
      </c>
      <c r="C988">
        <v>86.92</v>
      </c>
      <c r="D988">
        <v>2</v>
      </c>
      <c r="E988">
        <v>2520.6799999999998</v>
      </c>
      <c r="F988" s="1">
        <v>38421</v>
      </c>
      <c r="G988" t="s">
        <v>25</v>
      </c>
      <c r="H988">
        <v>1</v>
      </c>
      <c r="I988">
        <v>3</v>
      </c>
      <c r="J988">
        <v>2005</v>
      </c>
      <c r="K988" t="s">
        <v>550</v>
      </c>
      <c r="L988">
        <v>104</v>
      </c>
      <c r="M988" t="s">
        <v>602</v>
      </c>
      <c r="N988" t="s">
        <v>409</v>
      </c>
      <c r="O988" t="s">
        <v>410</v>
      </c>
      <c r="P988" t="s">
        <v>411</v>
      </c>
      <c r="R988" t="s">
        <v>412</v>
      </c>
      <c r="T988">
        <v>8010</v>
      </c>
      <c r="U988" t="s">
        <v>148</v>
      </c>
      <c r="V988" t="s">
        <v>42</v>
      </c>
      <c r="W988" t="s">
        <v>413</v>
      </c>
      <c r="X988" t="s">
        <v>414</v>
      </c>
      <c r="Y988" t="s">
        <v>36</v>
      </c>
    </row>
    <row r="989" spans="1:25" x14ac:dyDescent="0.25">
      <c r="A989">
        <v>10423</v>
      </c>
      <c r="B989">
        <v>21</v>
      </c>
      <c r="C989">
        <v>84.82</v>
      </c>
      <c r="D989">
        <v>2</v>
      </c>
      <c r="E989">
        <v>1781.22</v>
      </c>
      <c r="F989" s="1">
        <v>38502</v>
      </c>
      <c r="G989" t="s">
        <v>300</v>
      </c>
      <c r="H989">
        <v>2</v>
      </c>
      <c r="I989">
        <v>5</v>
      </c>
      <c r="J989">
        <v>2005</v>
      </c>
      <c r="K989" t="s">
        <v>550</v>
      </c>
      <c r="L989">
        <v>104</v>
      </c>
      <c r="M989" t="s">
        <v>602</v>
      </c>
      <c r="N989" t="s">
        <v>365</v>
      </c>
      <c r="O989" t="s">
        <v>366</v>
      </c>
      <c r="P989" t="s">
        <v>367</v>
      </c>
      <c r="R989" t="s">
        <v>368</v>
      </c>
      <c r="T989" t="s">
        <v>369</v>
      </c>
      <c r="U989" t="s">
        <v>370</v>
      </c>
      <c r="V989" t="s">
        <v>42</v>
      </c>
      <c r="W989" t="s">
        <v>371</v>
      </c>
      <c r="X989" t="s">
        <v>372</v>
      </c>
      <c r="Y989" t="s">
        <v>36</v>
      </c>
    </row>
    <row r="990" spans="1:25" x14ac:dyDescent="0.25">
      <c r="A990">
        <v>10105</v>
      </c>
      <c r="B990">
        <v>22</v>
      </c>
      <c r="C990">
        <v>100</v>
      </c>
      <c r="D990">
        <v>11</v>
      </c>
      <c r="E990">
        <v>3065.04</v>
      </c>
      <c r="F990" s="1">
        <v>37663</v>
      </c>
      <c r="G990" t="s">
        <v>25</v>
      </c>
      <c r="H990">
        <v>1</v>
      </c>
      <c r="I990">
        <v>2</v>
      </c>
      <c r="J990">
        <v>2003</v>
      </c>
      <c r="K990" t="s">
        <v>550</v>
      </c>
      <c r="L990">
        <v>136</v>
      </c>
      <c r="M990" t="s">
        <v>603</v>
      </c>
      <c r="N990" t="s">
        <v>322</v>
      </c>
      <c r="O990" t="s">
        <v>323</v>
      </c>
      <c r="P990" t="s">
        <v>324</v>
      </c>
      <c r="R990" t="s">
        <v>325</v>
      </c>
      <c r="T990">
        <v>1734</v>
      </c>
      <c r="U990" t="s">
        <v>326</v>
      </c>
      <c r="V990" t="s">
        <v>42</v>
      </c>
      <c r="W990" t="s">
        <v>327</v>
      </c>
      <c r="X990" t="s">
        <v>328</v>
      </c>
      <c r="Y990" t="s">
        <v>51</v>
      </c>
    </row>
    <row r="991" spans="1:25" x14ac:dyDescent="0.25">
      <c r="A991">
        <v>10117</v>
      </c>
      <c r="B991">
        <v>26</v>
      </c>
      <c r="C991">
        <v>100</v>
      </c>
      <c r="D991">
        <v>5</v>
      </c>
      <c r="E991">
        <v>3551.34</v>
      </c>
      <c r="F991" s="1">
        <v>37727</v>
      </c>
      <c r="G991" t="s">
        <v>25</v>
      </c>
      <c r="H991">
        <v>2</v>
      </c>
      <c r="I991">
        <v>4</v>
      </c>
      <c r="J991">
        <v>2003</v>
      </c>
      <c r="K991" t="s">
        <v>550</v>
      </c>
      <c r="L991">
        <v>136</v>
      </c>
      <c r="M991" t="s">
        <v>603</v>
      </c>
      <c r="N991" t="s">
        <v>196</v>
      </c>
      <c r="O991" t="s">
        <v>197</v>
      </c>
      <c r="P991" t="s">
        <v>198</v>
      </c>
      <c r="R991" t="s">
        <v>199</v>
      </c>
      <c r="T991">
        <v>79903</v>
      </c>
      <c r="U991" t="s">
        <v>199</v>
      </c>
      <c r="V991" t="s">
        <v>200</v>
      </c>
      <c r="W991" t="s">
        <v>201</v>
      </c>
      <c r="X991" t="s">
        <v>202</v>
      </c>
      <c r="Y991" t="s">
        <v>51</v>
      </c>
    </row>
    <row r="992" spans="1:25" x14ac:dyDescent="0.25">
      <c r="A992">
        <v>10128</v>
      </c>
      <c r="B992">
        <v>41</v>
      </c>
      <c r="C992">
        <v>100</v>
      </c>
      <c r="D992">
        <v>2</v>
      </c>
      <c r="E992">
        <v>5544.02</v>
      </c>
      <c r="F992" s="1">
        <v>37778</v>
      </c>
      <c r="G992" t="s">
        <v>25</v>
      </c>
      <c r="H992">
        <v>2</v>
      </c>
      <c r="I992">
        <v>6</v>
      </c>
      <c r="J992">
        <v>2003</v>
      </c>
      <c r="K992" t="s">
        <v>550</v>
      </c>
      <c r="L992">
        <v>136</v>
      </c>
      <c r="M992" t="s">
        <v>603</v>
      </c>
      <c r="N992" t="s">
        <v>174</v>
      </c>
      <c r="O992" t="s">
        <v>175</v>
      </c>
      <c r="P992" t="s">
        <v>176</v>
      </c>
      <c r="R992" t="s">
        <v>177</v>
      </c>
      <c r="T992">
        <v>28034</v>
      </c>
      <c r="U992" t="s">
        <v>178</v>
      </c>
      <c r="V992" t="s">
        <v>42</v>
      </c>
      <c r="W992" t="s">
        <v>179</v>
      </c>
      <c r="X992" t="s">
        <v>180</v>
      </c>
      <c r="Y992" t="s">
        <v>51</v>
      </c>
    </row>
    <row r="993" spans="1:25" x14ac:dyDescent="0.25">
      <c r="A993">
        <v>10142</v>
      </c>
      <c r="B993">
        <v>47</v>
      </c>
      <c r="C993">
        <v>100</v>
      </c>
      <c r="D993">
        <v>8</v>
      </c>
      <c r="E993">
        <v>6034.33</v>
      </c>
      <c r="F993" s="1">
        <v>37841</v>
      </c>
      <c r="G993" t="s">
        <v>25</v>
      </c>
      <c r="H993">
        <v>3</v>
      </c>
      <c r="I993">
        <v>8</v>
      </c>
      <c r="J993">
        <v>2003</v>
      </c>
      <c r="K993" t="s">
        <v>550</v>
      </c>
      <c r="L993">
        <v>136</v>
      </c>
      <c r="M993" t="s">
        <v>603</v>
      </c>
      <c r="N993" t="s">
        <v>272</v>
      </c>
      <c r="O993">
        <v>4155551450</v>
      </c>
      <c r="P993" t="s">
        <v>273</v>
      </c>
      <c r="R993" t="s">
        <v>274</v>
      </c>
      <c r="S993" t="s">
        <v>55</v>
      </c>
      <c r="T993">
        <v>97562</v>
      </c>
      <c r="U993" t="s">
        <v>32</v>
      </c>
      <c r="V993" t="s">
        <v>33</v>
      </c>
      <c r="W993" t="s">
        <v>275</v>
      </c>
      <c r="X993" t="s">
        <v>276</v>
      </c>
      <c r="Y993" t="s">
        <v>51</v>
      </c>
    </row>
    <row r="994" spans="1:25" x14ac:dyDescent="0.25">
      <c r="A994">
        <v>10153</v>
      </c>
      <c r="B994">
        <v>31</v>
      </c>
      <c r="C994">
        <v>100</v>
      </c>
      <c r="D994">
        <v>7</v>
      </c>
      <c r="E994">
        <v>3641.57</v>
      </c>
      <c r="F994" s="1">
        <v>37892</v>
      </c>
      <c r="G994" t="s">
        <v>25</v>
      </c>
      <c r="H994">
        <v>3</v>
      </c>
      <c r="I994">
        <v>9</v>
      </c>
      <c r="J994">
        <v>2003</v>
      </c>
      <c r="K994" t="s">
        <v>550</v>
      </c>
      <c r="L994">
        <v>136</v>
      </c>
      <c r="M994" t="s">
        <v>603</v>
      </c>
      <c r="N994" t="s">
        <v>174</v>
      </c>
      <c r="O994" t="s">
        <v>175</v>
      </c>
      <c r="P994" t="s">
        <v>176</v>
      </c>
      <c r="R994" t="s">
        <v>177</v>
      </c>
      <c r="T994">
        <v>28034</v>
      </c>
      <c r="U994" t="s">
        <v>178</v>
      </c>
      <c r="V994" t="s">
        <v>42</v>
      </c>
      <c r="W994" t="s">
        <v>179</v>
      </c>
      <c r="X994" t="s">
        <v>180</v>
      </c>
      <c r="Y994" t="s">
        <v>51</v>
      </c>
    </row>
    <row r="995" spans="1:25" x14ac:dyDescent="0.25">
      <c r="A995">
        <v>10166</v>
      </c>
      <c r="B995">
        <v>43</v>
      </c>
      <c r="C995">
        <v>100</v>
      </c>
      <c r="D995">
        <v>2</v>
      </c>
      <c r="E995">
        <v>6930.74</v>
      </c>
      <c r="F995" s="1">
        <v>37915</v>
      </c>
      <c r="G995" t="s">
        <v>25</v>
      </c>
      <c r="H995">
        <v>4</v>
      </c>
      <c r="I995">
        <v>10</v>
      </c>
      <c r="J995">
        <v>2003</v>
      </c>
      <c r="K995" t="s">
        <v>550</v>
      </c>
      <c r="L995">
        <v>136</v>
      </c>
      <c r="M995" t="s">
        <v>603</v>
      </c>
      <c r="N995" t="s">
        <v>160</v>
      </c>
      <c r="O995">
        <v>5085552555</v>
      </c>
      <c r="P995" t="s">
        <v>161</v>
      </c>
      <c r="R995" t="s">
        <v>162</v>
      </c>
      <c r="S995" t="s">
        <v>123</v>
      </c>
      <c r="T995">
        <v>50553</v>
      </c>
      <c r="U995" t="s">
        <v>32</v>
      </c>
      <c r="V995" t="s">
        <v>33</v>
      </c>
      <c r="W995" t="s">
        <v>163</v>
      </c>
      <c r="X995" t="s">
        <v>164</v>
      </c>
      <c r="Y995" t="s">
        <v>51</v>
      </c>
    </row>
    <row r="996" spans="1:25" x14ac:dyDescent="0.25">
      <c r="A996">
        <v>10177</v>
      </c>
      <c r="B996">
        <v>23</v>
      </c>
      <c r="C996">
        <v>100</v>
      </c>
      <c r="D996">
        <v>9</v>
      </c>
      <c r="E996">
        <v>3675.63</v>
      </c>
      <c r="F996" s="1">
        <v>37932</v>
      </c>
      <c r="G996" t="s">
        <v>25</v>
      </c>
      <c r="H996">
        <v>4</v>
      </c>
      <c r="I996">
        <v>11</v>
      </c>
      <c r="J996">
        <v>2003</v>
      </c>
      <c r="K996" t="s">
        <v>550</v>
      </c>
      <c r="L996">
        <v>136</v>
      </c>
      <c r="M996" t="s">
        <v>603</v>
      </c>
      <c r="N996" t="s">
        <v>487</v>
      </c>
      <c r="O996" t="s">
        <v>488</v>
      </c>
      <c r="P996" t="s">
        <v>489</v>
      </c>
      <c r="R996" t="s">
        <v>177</v>
      </c>
      <c r="T996">
        <v>28023</v>
      </c>
      <c r="U996" t="s">
        <v>178</v>
      </c>
      <c r="V996" t="s">
        <v>42</v>
      </c>
      <c r="W996" t="s">
        <v>490</v>
      </c>
      <c r="X996" t="s">
        <v>491</v>
      </c>
      <c r="Y996" t="s">
        <v>51</v>
      </c>
    </row>
    <row r="997" spans="1:25" x14ac:dyDescent="0.25">
      <c r="A997">
        <v>10185</v>
      </c>
      <c r="B997">
        <v>28</v>
      </c>
      <c r="C997">
        <v>100</v>
      </c>
      <c r="D997">
        <v>9</v>
      </c>
      <c r="E997">
        <v>3442.04</v>
      </c>
      <c r="F997" s="1">
        <v>37939</v>
      </c>
      <c r="G997" t="s">
        <v>25</v>
      </c>
      <c r="H997">
        <v>4</v>
      </c>
      <c r="I997">
        <v>11</v>
      </c>
      <c r="J997">
        <v>2003</v>
      </c>
      <c r="K997" t="s">
        <v>550</v>
      </c>
      <c r="L997">
        <v>136</v>
      </c>
      <c r="M997" t="s">
        <v>603</v>
      </c>
      <c r="N997" t="s">
        <v>335</v>
      </c>
      <c r="O997">
        <v>5085559555</v>
      </c>
      <c r="P997" t="s">
        <v>336</v>
      </c>
      <c r="R997" t="s">
        <v>162</v>
      </c>
      <c r="S997" t="s">
        <v>123</v>
      </c>
      <c r="T997">
        <v>50553</v>
      </c>
      <c r="U997" t="s">
        <v>32</v>
      </c>
      <c r="V997" t="s">
        <v>33</v>
      </c>
      <c r="W997" t="s">
        <v>337</v>
      </c>
      <c r="X997" t="s">
        <v>338</v>
      </c>
      <c r="Y997" t="s">
        <v>51</v>
      </c>
    </row>
    <row r="998" spans="1:25" x14ac:dyDescent="0.25">
      <c r="A998">
        <v>10196</v>
      </c>
      <c r="B998">
        <v>49</v>
      </c>
      <c r="C998">
        <v>100</v>
      </c>
      <c r="D998">
        <v>1</v>
      </c>
      <c r="E998">
        <v>6893.81</v>
      </c>
      <c r="F998" s="1">
        <v>37951</v>
      </c>
      <c r="G998" t="s">
        <v>25</v>
      </c>
      <c r="H998">
        <v>4</v>
      </c>
      <c r="I998">
        <v>11</v>
      </c>
      <c r="J998">
        <v>2003</v>
      </c>
      <c r="K998" t="s">
        <v>550</v>
      </c>
      <c r="L998">
        <v>136</v>
      </c>
      <c r="M998" t="s">
        <v>603</v>
      </c>
      <c r="N998" t="s">
        <v>242</v>
      </c>
      <c r="O998">
        <v>2035559545</v>
      </c>
      <c r="P998" t="s">
        <v>243</v>
      </c>
      <c r="R998" t="s">
        <v>244</v>
      </c>
      <c r="S998" t="s">
        <v>112</v>
      </c>
      <c r="T998">
        <v>97823</v>
      </c>
      <c r="U998" t="s">
        <v>32</v>
      </c>
      <c r="V998" t="s">
        <v>33</v>
      </c>
      <c r="W998" t="s">
        <v>83</v>
      </c>
      <c r="X998" t="s">
        <v>245</v>
      </c>
      <c r="Y998" t="s">
        <v>51</v>
      </c>
    </row>
    <row r="999" spans="1:25" x14ac:dyDescent="0.25">
      <c r="A999">
        <v>10208</v>
      </c>
      <c r="B999">
        <v>24</v>
      </c>
      <c r="C999">
        <v>100</v>
      </c>
      <c r="D999">
        <v>9</v>
      </c>
      <c r="E999">
        <v>2622.48</v>
      </c>
      <c r="F999" s="1">
        <v>37988</v>
      </c>
      <c r="G999" t="s">
        <v>25</v>
      </c>
      <c r="H999">
        <v>1</v>
      </c>
      <c r="I999">
        <v>1</v>
      </c>
      <c r="J999">
        <v>2004</v>
      </c>
      <c r="K999" t="s">
        <v>550</v>
      </c>
      <c r="L999">
        <v>136</v>
      </c>
      <c r="M999" t="s">
        <v>603</v>
      </c>
      <c r="N999" t="s">
        <v>219</v>
      </c>
      <c r="O999" t="s">
        <v>220</v>
      </c>
      <c r="P999" t="s">
        <v>221</v>
      </c>
      <c r="R999" t="s">
        <v>222</v>
      </c>
      <c r="T999">
        <v>69004</v>
      </c>
      <c r="U999" t="s">
        <v>41</v>
      </c>
      <c r="V999" t="s">
        <v>42</v>
      </c>
      <c r="W999" t="s">
        <v>223</v>
      </c>
      <c r="X999" t="s">
        <v>224</v>
      </c>
      <c r="Y999" t="s">
        <v>36</v>
      </c>
    </row>
    <row r="1000" spans="1:25" x14ac:dyDescent="0.25">
      <c r="A1000">
        <v>10221</v>
      </c>
      <c r="B1000">
        <v>33</v>
      </c>
      <c r="C1000">
        <v>100</v>
      </c>
      <c r="D1000">
        <v>3</v>
      </c>
      <c r="E1000">
        <v>4417.38</v>
      </c>
      <c r="F1000" s="1">
        <v>38035</v>
      </c>
      <c r="G1000" t="s">
        <v>25</v>
      </c>
      <c r="H1000">
        <v>1</v>
      </c>
      <c r="I1000">
        <v>2</v>
      </c>
      <c r="J1000">
        <v>2004</v>
      </c>
      <c r="K1000" t="s">
        <v>550</v>
      </c>
      <c r="L1000">
        <v>136</v>
      </c>
      <c r="M1000" t="s">
        <v>603</v>
      </c>
      <c r="N1000" t="s">
        <v>365</v>
      </c>
      <c r="O1000" t="s">
        <v>366</v>
      </c>
      <c r="P1000" t="s">
        <v>367</v>
      </c>
      <c r="R1000" t="s">
        <v>368</v>
      </c>
      <c r="T1000" t="s">
        <v>369</v>
      </c>
      <c r="U1000" t="s">
        <v>370</v>
      </c>
      <c r="V1000" t="s">
        <v>42</v>
      </c>
      <c r="W1000" t="s">
        <v>371</v>
      </c>
      <c r="X1000" t="s">
        <v>372</v>
      </c>
      <c r="Y1000" t="s">
        <v>51</v>
      </c>
    </row>
    <row r="1001" spans="1:25" x14ac:dyDescent="0.25">
      <c r="A1001">
        <v>10232</v>
      </c>
      <c r="B1001">
        <v>22</v>
      </c>
      <c r="C1001">
        <v>100</v>
      </c>
      <c r="D1001">
        <v>6</v>
      </c>
      <c r="E1001">
        <v>3606.02</v>
      </c>
      <c r="F1001" s="1">
        <v>38066</v>
      </c>
      <c r="G1001" t="s">
        <v>25</v>
      </c>
      <c r="H1001">
        <v>1</v>
      </c>
      <c r="I1001">
        <v>3</v>
      </c>
      <c r="J1001">
        <v>2004</v>
      </c>
      <c r="K1001" t="s">
        <v>550</v>
      </c>
      <c r="L1001">
        <v>136</v>
      </c>
      <c r="M1001" t="s">
        <v>603</v>
      </c>
      <c r="N1001" t="s">
        <v>383</v>
      </c>
      <c r="O1001" t="s">
        <v>384</v>
      </c>
      <c r="P1001" t="s">
        <v>385</v>
      </c>
      <c r="R1001" t="s">
        <v>386</v>
      </c>
      <c r="S1001" t="s">
        <v>387</v>
      </c>
      <c r="T1001" t="s">
        <v>388</v>
      </c>
      <c r="U1001" t="s">
        <v>170</v>
      </c>
      <c r="V1001" t="s">
        <v>42</v>
      </c>
      <c r="W1001" t="s">
        <v>389</v>
      </c>
      <c r="X1001" t="s">
        <v>390</v>
      </c>
      <c r="Y1001" t="s">
        <v>51</v>
      </c>
    </row>
    <row r="1002" spans="1:25" x14ac:dyDescent="0.25">
      <c r="A1002">
        <v>10248</v>
      </c>
      <c r="B1002">
        <v>32</v>
      </c>
      <c r="C1002">
        <v>100</v>
      </c>
      <c r="D1002">
        <v>12</v>
      </c>
      <c r="E1002">
        <v>3802.56</v>
      </c>
      <c r="F1002" s="1">
        <v>38114</v>
      </c>
      <c r="G1002" t="s">
        <v>339</v>
      </c>
      <c r="H1002">
        <v>2</v>
      </c>
      <c r="I1002">
        <v>5</v>
      </c>
      <c r="J1002">
        <v>2004</v>
      </c>
      <c r="K1002" t="s">
        <v>550</v>
      </c>
      <c r="L1002">
        <v>136</v>
      </c>
      <c r="M1002" t="s">
        <v>603</v>
      </c>
      <c r="N1002" t="s">
        <v>28</v>
      </c>
      <c r="O1002">
        <v>2125557818</v>
      </c>
      <c r="P1002" t="s">
        <v>29</v>
      </c>
      <c r="R1002" t="s">
        <v>30</v>
      </c>
      <c r="S1002" t="s">
        <v>31</v>
      </c>
      <c r="T1002">
        <v>10022</v>
      </c>
      <c r="U1002" t="s">
        <v>32</v>
      </c>
      <c r="V1002" t="s">
        <v>33</v>
      </c>
      <c r="W1002" t="s">
        <v>34</v>
      </c>
      <c r="X1002" t="s">
        <v>35</v>
      </c>
      <c r="Y1002" t="s">
        <v>51</v>
      </c>
    </row>
    <row r="1003" spans="1:25" x14ac:dyDescent="0.25">
      <c r="A1003">
        <v>10273</v>
      </c>
      <c r="B1003">
        <v>40</v>
      </c>
      <c r="C1003">
        <v>100</v>
      </c>
      <c r="D1003">
        <v>13</v>
      </c>
      <c r="E1003">
        <v>5026.3999999999996</v>
      </c>
      <c r="F1003" s="1">
        <v>38189</v>
      </c>
      <c r="G1003" t="s">
        <v>25</v>
      </c>
      <c r="H1003">
        <v>3</v>
      </c>
      <c r="I1003">
        <v>7</v>
      </c>
      <c r="J1003">
        <v>2004</v>
      </c>
      <c r="K1003" t="s">
        <v>550</v>
      </c>
      <c r="L1003">
        <v>136</v>
      </c>
      <c r="M1003" t="s">
        <v>603</v>
      </c>
      <c r="N1003" t="s">
        <v>365</v>
      </c>
      <c r="O1003" t="s">
        <v>366</v>
      </c>
      <c r="P1003" t="s">
        <v>367</v>
      </c>
      <c r="R1003" t="s">
        <v>368</v>
      </c>
      <c r="T1003" t="s">
        <v>369</v>
      </c>
      <c r="U1003" t="s">
        <v>370</v>
      </c>
      <c r="V1003" t="s">
        <v>42</v>
      </c>
      <c r="W1003" t="s">
        <v>371</v>
      </c>
      <c r="X1003" t="s">
        <v>372</v>
      </c>
      <c r="Y1003" t="s">
        <v>51</v>
      </c>
    </row>
    <row r="1004" spans="1:25" x14ac:dyDescent="0.25">
      <c r="A1004">
        <v>10282</v>
      </c>
      <c r="B1004">
        <v>43</v>
      </c>
      <c r="C1004">
        <v>100</v>
      </c>
      <c r="D1004">
        <v>1</v>
      </c>
      <c r="E1004">
        <v>6695.53</v>
      </c>
      <c r="F1004" s="1">
        <v>38219</v>
      </c>
      <c r="G1004" t="s">
        <v>25</v>
      </c>
      <c r="H1004">
        <v>3</v>
      </c>
      <c r="I1004">
        <v>8</v>
      </c>
      <c r="J1004">
        <v>2004</v>
      </c>
      <c r="K1004" t="s">
        <v>550</v>
      </c>
      <c r="L1004">
        <v>136</v>
      </c>
      <c r="M1004" t="s">
        <v>603</v>
      </c>
      <c r="N1004" t="s">
        <v>272</v>
      </c>
      <c r="O1004">
        <v>4155551450</v>
      </c>
      <c r="P1004" t="s">
        <v>273</v>
      </c>
      <c r="R1004" t="s">
        <v>274</v>
      </c>
      <c r="S1004" t="s">
        <v>55</v>
      </c>
      <c r="T1004">
        <v>97562</v>
      </c>
      <c r="U1004" t="s">
        <v>32</v>
      </c>
      <c r="V1004" t="s">
        <v>33</v>
      </c>
      <c r="W1004" t="s">
        <v>275</v>
      </c>
      <c r="X1004" t="s">
        <v>276</v>
      </c>
      <c r="Y1004" t="s">
        <v>51</v>
      </c>
    </row>
    <row r="1005" spans="1:25" x14ac:dyDescent="0.25">
      <c r="A1005">
        <v>10293</v>
      </c>
      <c r="B1005">
        <v>24</v>
      </c>
      <c r="C1005">
        <v>100</v>
      </c>
      <c r="D1005">
        <v>4</v>
      </c>
      <c r="E1005">
        <v>2819.28</v>
      </c>
      <c r="F1005" s="1">
        <v>38239</v>
      </c>
      <c r="G1005" t="s">
        <v>25</v>
      </c>
      <c r="H1005">
        <v>3</v>
      </c>
      <c r="I1005">
        <v>9</v>
      </c>
      <c r="J1005">
        <v>2004</v>
      </c>
      <c r="K1005" t="s">
        <v>550</v>
      </c>
      <c r="L1005">
        <v>136</v>
      </c>
      <c r="M1005" t="s">
        <v>603</v>
      </c>
      <c r="N1005" t="s">
        <v>254</v>
      </c>
      <c r="O1005" t="s">
        <v>255</v>
      </c>
      <c r="P1005" t="s">
        <v>256</v>
      </c>
      <c r="R1005" t="s">
        <v>257</v>
      </c>
      <c r="T1005">
        <v>10100</v>
      </c>
      <c r="U1005" t="s">
        <v>258</v>
      </c>
      <c r="V1005" t="s">
        <v>42</v>
      </c>
      <c r="W1005" t="s">
        <v>259</v>
      </c>
      <c r="X1005" t="s">
        <v>260</v>
      </c>
      <c r="Y1005" t="s">
        <v>36</v>
      </c>
    </row>
    <row r="1006" spans="1:25" x14ac:dyDescent="0.25">
      <c r="A1006">
        <v>10306</v>
      </c>
      <c r="B1006">
        <v>32</v>
      </c>
      <c r="C1006">
        <v>100</v>
      </c>
      <c r="D1006">
        <v>9</v>
      </c>
      <c r="E1006">
        <v>3759.04</v>
      </c>
      <c r="F1006" s="1">
        <v>38274</v>
      </c>
      <c r="G1006" t="s">
        <v>25</v>
      </c>
      <c r="H1006">
        <v>4</v>
      </c>
      <c r="I1006">
        <v>10</v>
      </c>
      <c r="J1006">
        <v>2004</v>
      </c>
      <c r="K1006" t="s">
        <v>550</v>
      </c>
      <c r="L1006">
        <v>136</v>
      </c>
      <c r="M1006" t="s">
        <v>603</v>
      </c>
      <c r="N1006" t="s">
        <v>492</v>
      </c>
      <c r="O1006" t="s">
        <v>493</v>
      </c>
      <c r="P1006" t="s">
        <v>494</v>
      </c>
      <c r="R1006" t="s">
        <v>495</v>
      </c>
      <c r="T1006" t="s">
        <v>496</v>
      </c>
      <c r="U1006" t="s">
        <v>170</v>
      </c>
      <c r="V1006" t="s">
        <v>42</v>
      </c>
      <c r="W1006" t="s">
        <v>497</v>
      </c>
      <c r="X1006" t="s">
        <v>94</v>
      </c>
      <c r="Y1006" t="s">
        <v>51</v>
      </c>
    </row>
    <row r="1007" spans="1:25" x14ac:dyDescent="0.25">
      <c r="A1007">
        <v>10314</v>
      </c>
      <c r="B1007">
        <v>20</v>
      </c>
      <c r="C1007">
        <v>100</v>
      </c>
      <c r="D1007">
        <v>1</v>
      </c>
      <c r="E1007">
        <v>2731.8</v>
      </c>
      <c r="F1007" s="1">
        <v>38282</v>
      </c>
      <c r="G1007" t="s">
        <v>25</v>
      </c>
      <c r="H1007">
        <v>4</v>
      </c>
      <c r="I1007">
        <v>10</v>
      </c>
      <c r="J1007">
        <v>2004</v>
      </c>
      <c r="K1007" t="s">
        <v>550</v>
      </c>
      <c r="L1007">
        <v>136</v>
      </c>
      <c r="M1007" t="s">
        <v>603</v>
      </c>
      <c r="N1007" t="s">
        <v>498</v>
      </c>
      <c r="O1007" t="s">
        <v>499</v>
      </c>
      <c r="P1007" t="s">
        <v>500</v>
      </c>
      <c r="R1007" t="s">
        <v>501</v>
      </c>
      <c r="T1007">
        <v>8200</v>
      </c>
      <c r="U1007" t="s">
        <v>326</v>
      </c>
      <c r="V1007" t="s">
        <v>42</v>
      </c>
      <c r="W1007" t="s">
        <v>502</v>
      </c>
      <c r="X1007" t="s">
        <v>503</v>
      </c>
      <c r="Y1007" t="s">
        <v>36</v>
      </c>
    </row>
    <row r="1008" spans="1:25" x14ac:dyDescent="0.25">
      <c r="A1008">
        <v>10325</v>
      </c>
      <c r="B1008">
        <v>24</v>
      </c>
      <c r="C1008">
        <v>69.12</v>
      </c>
      <c r="D1008">
        <v>9</v>
      </c>
      <c r="E1008">
        <v>1658.88</v>
      </c>
      <c r="F1008" s="1">
        <v>38296</v>
      </c>
      <c r="G1008" t="s">
        <v>25</v>
      </c>
      <c r="H1008">
        <v>4</v>
      </c>
      <c r="I1008">
        <v>11</v>
      </c>
      <c r="J1008">
        <v>2004</v>
      </c>
      <c r="K1008" t="s">
        <v>550</v>
      </c>
      <c r="L1008">
        <v>136</v>
      </c>
      <c r="M1008" t="s">
        <v>603</v>
      </c>
      <c r="N1008" t="s">
        <v>133</v>
      </c>
      <c r="O1008" t="s">
        <v>134</v>
      </c>
      <c r="P1008" t="s">
        <v>135</v>
      </c>
      <c r="R1008" t="s">
        <v>136</v>
      </c>
      <c r="T1008">
        <v>4110</v>
      </c>
      <c r="U1008" t="s">
        <v>78</v>
      </c>
      <c r="V1008" t="s">
        <v>42</v>
      </c>
      <c r="W1008" t="s">
        <v>137</v>
      </c>
      <c r="X1008" t="s">
        <v>138</v>
      </c>
      <c r="Y1008" t="s">
        <v>36</v>
      </c>
    </row>
    <row r="1009" spans="1:25" x14ac:dyDescent="0.25">
      <c r="A1009">
        <v>10336</v>
      </c>
      <c r="B1009">
        <v>48</v>
      </c>
      <c r="C1009">
        <v>100</v>
      </c>
      <c r="D1009">
        <v>12</v>
      </c>
      <c r="E1009">
        <v>5778.24</v>
      </c>
      <c r="F1009" s="1">
        <v>38311</v>
      </c>
      <c r="G1009" t="s">
        <v>25</v>
      </c>
      <c r="H1009">
        <v>4</v>
      </c>
      <c r="I1009">
        <v>11</v>
      </c>
      <c r="J1009">
        <v>2004</v>
      </c>
      <c r="K1009" t="s">
        <v>550</v>
      </c>
      <c r="L1009">
        <v>136</v>
      </c>
      <c r="M1009" t="s">
        <v>603</v>
      </c>
      <c r="N1009" t="s">
        <v>403</v>
      </c>
      <c r="O1009" t="s">
        <v>404</v>
      </c>
      <c r="P1009" t="s">
        <v>405</v>
      </c>
      <c r="R1009" t="s">
        <v>48</v>
      </c>
      <c r="T1009">
        <v>75012</v>
      </c>
      <c r="U1009" t="s">
        <v>41</v>
      </c>
      <c r="V1009" t="s">
        <v>42</v>
      </c>
      <c r="W1009" t="s">
        <v>406</v>
      </c>
      <c r="X1009" t="s">
        <v>407</v>
      </c>
      <c r="Y1009" t="s">
        <v>51</v>
      </c>
    </row>
    <row r="1010" spans="1:25" x14ac:dyDescent="0.25">
      <c r="A1010">
        <v>10350</v>
      </c>
      <c r="B1010">
        <v>44</v>
      </c>
      <c r="C1010">
        <v>100</v>
      </c>
      <c r="D1010">
        <v>1</v>
      </c>
      <c r="E1010">
        <v>5191.12</v>
      </c>
      <c r="F1010" s="1">
        <v>38323</v>
      </c>
      <c r="G1010" t="s">
        <v>25</v>
      </c>
      <c r="H1010">
        <v>4</v>
      </c>
      <c r="I1010">
        <v>12</v>
      </c>
      <c r="J1010">
        <v>2004</v>
      </c>
      <c r="K1010" t="s">
        <v>550</v>
      </c>
      <c r="L1010">
        <v>136</v>
      </c>
      <c r="M1010" t="s">
        <v>603</v>
      </c>
      <c r="N1010" t="s">
        <v>174</v>
      </c>
      <c r="O1010" t="s">
        <v>175</v>
      </c>
      <c r="P1010" t="s">
        <v>176</v>
      </c>
      <c r="R1010" t="s">
        <v>177</v>
      </c>
      <c r="T1010">
        <v>28034</v>
      </c>
      <c r="U1010" t="s">
        <v>178</v>
      </c>
      <c r="V1010" t="s">
        <v>42</v>
      </c>
      <c r="W1010" t="s">
        <v>179</v>
      </c>
      <c r="X1010" t="s">
        <v>180</v>
      </c>
      <c r="Y1010" t="s">
        <v>51</v>
      </c>
    </row>
    <row r="1011" spans="1:25" x14ac:dyDescent="0.25">
      <c r="A1011">
        <v>10372</v>
      </c>
      <c r="B1011">
        <v>28</v>
      </c>
      <c r="C1011">
        <v>100</v>
      </c>
      <c r="D1011">
        <v>3</v>
      </c>
      <c r="E1011">
        <v>3862.88</v>
      </c>
      <c r="F1011" s="1">
        <v>38378</v>
      </c>
      <c r="G1011" t="s">
        <v>25</v>
      </c>
      <c r="H1011">
        <v>1</v>
      </c>
      <c r="I1011">
        <v>1</v>
      </c>
      <c r="J1011">
        <v>2005</v>
      </c>
      <c r="K1011" t="s">
        <v>550</v>
      </c>
      <c r="L1011">
        <v>136</v>
      </c>
      <c r="M1011" t="s">
        <v>603</v>
      </c>
      <c r="N1011" t="s">
        <v>246</v>
      </c>
      <c r="O1011" t="s">
        <v>247</v>
      </c>
      <c r="P1011" t="s">
        <v>248</v>
      </c>
      <c r="R1011" t="s">
        <v>249</v>
      </c>
      <c r="S1011" t="s">
        <v>250</v>
      </c>
      <c r="T1011" t="s">
        <v>251</v>
      </c>
      <c r="U1011" t="s">
        <v>200</v>
      </c>
      <c r="V1011" t="s">
        <v>200</v>
      </c>
      <c r="W1011" t="s">
        <v>252</v>
      </c>
      <c r="X1011" t="s">
        <v>253</v>
      </c>
      <c r="Y1011" t="s">
        <v>51</v>
      </c>
    </row>
    <row r="1012" spans="1:25" x14ac:dyDescent="0.25">
      <c r="A1012">
        <v>10383</v>
      </c>
      <c r="B1012">
        <v>24</v>
      </c>
      <c r="C1012">
        <v>61.52</v>
      </c>
      <c r="D1012">
        <v>9</v>
      </c>
      <c r="E1012">
        <v>1476.48</v>
      </c>
      <c r="F1012" s="1">
        <v>38405</v>
      </c>
      <c r="G1012" t="s">
        <v>25</v>
      </c>
      <c r="H1012">
        <v>1</v>
      </c>
      <c r="I1012">
        <v>2</v>
      </c>
      <c r="J1012">
        <v>2005</v>
      </c>
      <c r="K1012" t="s">
        <v>550</v>
      </c>
      <c r="L1012">
        <v>136</v>
      </c>
      <c r="M1012" t="s">
        <v>603</v>
      </c>
      <c r="N1012" t="s">
        <v>174</v>
      </c>
      <c r="O1012" t="s">
        <v>175</v>
      </c>
      <c r="P1012" t="s">
        <v>176</v>
      </c>
      <c r="R1012" t="s">
        <v>177</v>
      </c>
      <c r="T1012">
        <v>28034</v>
      </c>
      <c r="U1012" t="s">
        <v>178</v>
      </c>
      <c r="V1012" t="s">
        <v>42</v>
      </c>
      <c r="W1012" t="s">
        <v>179</v>
      </c>
      <c r="X1012" t="s">
        <v>180</v>
      </c>
      <c r="Y1012" t="s">
        <v>36</v>
      </c>
    </row>
    <row r="1013" spans="1:25" x14ac:dyDescent="0.25">
      <c r="A1013">
        <v>10396</v>
      </c>
      <c r="B1013">
        <v>33</v>
      </c>
      <c r="C1013">
        <v>100</v>
      </c>
      <c r="D1013">
        <v>2</v>
      </c>
      <c r="E1013">
        <v>5273.73</v>
      </c>
      <c r="F1013" s="1">
        <v>38434</v>
      </c>
      <c r="G1013" t="s">
        <v>25</v>
      </c>
      <c r="H1013">
        <v>1</v>
      </c>
      <c r="I1013">
        <v>3</v>
      </c>
      <c r="J1013">
        <v>2005</v>
      </c>
      <c r="K1013" t="s">
        <v>550</v>
      </c>
      <c r="L1013">
        <v>136</v>
      </c>
      <c r="M1013" t="s">
        <v>603</v>
      </c>
      <c r="N1013" t="s">
        <v>272</v>
      </c>
      <c r="O1013">
        <v>4155551450</v>
      </c>
      <c r="P1013" t="s">
        <v>273</v>
      </c>
      <c r="R1013" t="s">
        <v>274</v>
      </c>
      <c r="S1013" t="s">
        <v>55</v>
      </c>
      <c r="T1013">
        <v>97562</v>
      </c>
      <c r="U1013" t="s">
        <v>32</v>
      </c>
      <c r="V1013" t="s">
        <v>33</v>
      </c>
      <c r="W1013" t="s">
        <v>275</v>
      </c>
      <c r="X1013" t="s">
        <v>276</v>
      </c>
      <c r="Y1013" t="s">
        <v>51</v>
      </c>
    </row>
    <row r="1014" spans="1:25" x14ac:dyDescent="0.25">
      <c r="A1014">
        <v>10414</v>
      </c>
      <c r="B1014">
        <v>41</v>
      </c>
      <c r="C1014">
        <v>100</v>
      </c>
      <c r="D1014">
        <v>12</v>
      </c>
      <c r="E1014">
        <v>4872.03</v>
      </c>
      <c r="F1014" s="1">
        <v>38478</v>
      </c>
      <c r="G1014" t="s">
        <v>401</v>
      </c>
      <c r="H1014">
        <v>2</v>
      </c>
      <c r="I1014">
        <v>5</v>
      </c>
      <c r="J1014">
        <v>2005</v>
      </c>
      <c r="K1014" t="s">
        <v>550</v>
      </c>
      <c r="L1014">
        <v>136</v>
      </c>
      <c r="M1014" t="s">
        <v>603</v>
      </c>
      <c r="N1014" t="s">
        <v>379</v>
      </c>
      <c r="O1014">
        <v>6175559555</v>
      </c>
      <c r="P1014" t="s">
        <v>380</v>
      </c>
      <c r="R1014" t="s">
        <v>381</v>
      </c>
      <c r="S1014" t="s">
        <v>123</v>
      </c>
      <c r="T1014">
        <v>51003</v>
      </c>
      <c r="U1014" t="s">
        <v>32</v>
      </c>
      <c r="V1014" t="s">
        <v>33</v>
      </c>
      <c r="W1014" t="s">
        <v>382</v>
      </c>
      <c r="X1014" t="s">
        <v>66</v>
      </c>
      <c r="Y1014" t="s">
        <v>51</v>
      </c>
    </row>
    <row r="1015" spans="1:25" x14ac:dyDescent="0.25">
      <c r="A1015">
        <v>10104</v>
      </c>
      <c r="B1015">
        <v>23</v>
      </c>
      <c r="C1015">
        <v>100</v>
      </c>
      <c r="D1015">
        <v>13</v>
      </c>
      <c r="E1015">
        <v>4556.99</v>
      </c>
      <c r="F1015" s="1">
        <v>37652</v>
      </c>
      <c r="G1015" t="s">
        <v>25</v>
      </c>
      <c r="H1015">
        <v>1</v>
      </c>
      <c r="I1015">
        <v>1</v>
      </c>
      <c r="J1015">
        <v>2003</v>
      </c>
      <c r="K1015" t="s">
        <v>181</v>
      </c>
      <c r="L1015">
        <v>169</v>
      </c>
      <c r="M1015" t="s">
        <v>604</v>
      </c>
      <c r="N1015" t="s">
        <v>174</v>
      </c>
      <c r="O1015" t="s">
        <v>175</v>
      </c>
      <c r="P1015" t="s">
        <v>176</v>
      </c>
      <c r="R1015" t="s">
        <v>177</v>
      </c>
      <c r="T1015">
        <v>28034</v>
      </c>
      <c r="U1015" t="s">
        <v>178</v>
      </c>
      <c r="V1015" t="s">
        <v>42</v>
      </c>
      <c r="W1015" t="s">
        <v>179</v>
      </c>
      <c r="X1015" t="s">
        <v>180</v>
      </c>
      <c r="Y1015" t="s">
        <v>51</v>
      </c>
    </row>
    <row r="1016" spans="1:25" x14ac:dyDescent="0.25">
      <c r="A1016">
        <v>10109</v>
      </c>
      <c r="B1016">
        <v>46</v>
      </c>
      <c r="C1016">
        <v>100</v>
      </c>
      <c r="D1016">
        <v>5</v>
      </c>
      <c r="E1016">
        <v>8257</v>
      </c>
      <c r="F1016" s="1">
        <v>37690</v>
      </c>
      <c r="G1016" t="s">
        <v>25</v>
      </c>
      <c r="H1016">
        <v>1</v>
      </c>
      <c r="I1016">
        <v>3</v>
      </c>
      <c r="J1016">
        <v>2003</v>
      </c>
      <c r="K1016" t="s">
        <v>181</v>
      </c>
      <c r="L1016">
        <v>169</v>
      </c>
      <c r="M1016" t="s">
        <v>604</v>
      </c>
      <c r="N1016" t="s">
        <v>309</v>
      </c>
      <c r="O1016">
        <v>2155559857</v>
      </c>
      <c r="P1016" t="s">
        <v>310</v>
      </c>
      <c r="R1016" t="s">
        <v>216</v>
      </c>
      <c r="S1016" t="s">
        <v>142</v>
      </c>
      <c r="T1016">
        <v>71270</v>
      </c>
      <c r="U1016" t="s">
        <v>32</v>
      </c>
      <c r="V1016" t="s">
        <v>33</v>
      </c>
      <c r="W1016" t="s">
        <v>124</v>
      </c>
      <c r="X1016" t="s">
        <v>311</v>
      </c>
      <c r="Y1016" t="s">
        <v>151</v>
      </c>
    </row>
    <row r="1017" spans="1:25" x14ac:dyDescent="0.25">
      <c r="A1017">
        <v>10114</v>
      </c>
      <c r="B1017">
        <v>48</v>
      </c>
      <c r="C1017">
        <v>100</v>
      </c>
      <c r="D1017">
        <v>4</v>
      </c>
      <c r="E1017">
        <v>8209.44</v>
      </c>
      <c r="F1017" s="1">
        <v>37712</v>
      </c>
      <c r="G1017" t="s">
        <v>25</v>
      </c>
      <c r="H1017">
        <v>2</v>
      </c>
      <c r="I1017">
        <v>4</v>
      </c>
      <c r="J1017">
        <v>2003</v>
      </c>
      <c r="K1017" t="s">
        <v>181</v>
      </c>
      <c r="L1017">
        <v>169</v>
      </c>
      <c r="M1017" t="s">
        <v>604</v>
      </c>
      <c r="N1017" t="s">
        <v>403</v>
      </c>
      <c r="O1017" t="s">
        <v>404</v>
      </c>
      <c r="P1017" t="s">
        <v>405</v>
      </c>
      <c r="R1017" t="s">
        <v>48</v>
      </c>
      <c r="T1017">
        <v>75012</v>
      </c>
      <c r="U1017" t="s">
        <v>41</v>
      </c>
      <c r="V1017" t="s">
        <v>42</v>
      </c>
      <c r="W1017" t="s">
        <v>406</v>
      </c>
      <c r="X1017" t="s">
        <v>407</v>
      </c>
      <c r="Y1017" t="s">
        <v>151</v>
      </c>
    </row>
    <row r="1018" spans="1:25" x14ac:dyDescent="0.25">
      <c r="A1018">
        <v>10122</v>
      </c>
      <c r="B1018">
        <v>25</v>
      </c>
      <c r="C1018">
        <v>100</v>
      </c>
      <c r="D1018">
        <v>3</v>
      </c>
      <c r="E1018">
        <v>3598.5</v>
      </c>
      <c r="F1018" s="1">
        <v>37749</v>
      </c>
      <c r="G1018" t="s">
        <v>25</v>
      </c>
      <c r="H1018">
        <v>2</v>
      </c>
      <c r="I1018">
        <v>5</v>
      </c>
      <c r="J1018">
        <v>2003</v>
      </c>
      <c r="K1018" t="s">
        <v>181</v>
      </c>
      <c r="L1018">
        <v>169</v>
      </c>
      <c r="M1018" t="s">
        <v>604</v>
      </c>
      <c r="N1018" t="s">
        <v>433</v>
      </c>
      <c r="O1018" t="s">
        <v>434</v>
      </c>
      <c r="P1018" t="s">
        <v>435</v>
      </c>
      <c r="R1018" t="s">
        <v>436</v>
      </c>
      <c r="T1018">
        <v>13008</v>
      </c>
      <c r="U1018" t="s">
        <v>41</v>
      </c>
      <c r="V1018" t="s">
        <v>42</v>
      </c>
      <c r="W1018" t="s">
        <v>437</v>
      </c>
      <c r="X1018" t="s">
        <v>438</v>
      </c>
      <c r="Y1018" t="s">
        <v>51</v>
      </c>
    </row>
    <row r="1019" spans="1:25" x14ac:dyDescent="0.25">
      <c r="A1019">
        <v>10127</v>
      </c>
      <c r="B1019">
        <v>22</v>
      </c>
      <c r="C1019">
        <v>100</v>
      </c>
      <c r="D1019">
        <v>15</v>
      </c>
      <c r="E1019">
        <v>3837.24</v>
      </c>
      <c r="F1019" s="1">
        <v>37775</v>
      </c>
      <c r="G1019" t="s">
        <v>25</v>
      </c>
      <c r="H1019">
        <v>2</v>
      </c>
      <c r="I1019">
        <v>6</v>
      </c>
      <c r="J1019">
        <v>2003</v>
      </c>
      <c r="K1019" t="s">
        <v>181</v>
      </c>
      <c r="L1019">
        <v>169</v>
      </c>
      <c r="M1019" t="s">
        <v>604</v>
      </c>
      <c r="N1019" t="s">
        <v>475</v>
      </c>
      <c r="O1019">
        <v>2125557413</v>
      </c>
      <c r="P1019" t="s">
        <v>476</v>
      </c>
      <c r="Q1019" t="s">
        <v>477</v>
      </c>
      <c r="R1019" t="s">
        <v>30</v>
      </c>
      <c r="S1019" t="s">
        <v>31</v>
      </c>
      <c r="T1019">
        <v>10022</v>
      </c>
      <c r="U1019" t="s">
        <v>32</v>
      </c>
      <c r="V1019" t="s">
        <v>33</v>
      </c>
      <c r="W1019" t="s">
        <v>56</v>
      </c>
      <c r="X1019" t="s">
        <v>478</v>
      </c>
      <c r="Y1019" t="s">
        <v>51</v>
      </c>
    </row>
    <row r="1020" spans="1:25" x14ac:dyDescent="0.25">
      <c r="A1020">
        <v>10136</v>
      </c>
      <c r="B1020">
        <v>41</v>
      </c>
      <c r="C1020">
        <v>100</v>
      </c>
      <c r="D1020">
        <v>3</v>
      </c>
      <c r="E1020">
        <v>8331.61</v>
      </c>
      <c r="F1020" s="1">
        <v>37806</v>
      </c>
      <c r="G1020" t="s">
        <v>25</v>
      </c>
      <c r="H1020">
        <v>3</v>
      </c>
      <c r="I1020">
        <v>7</v>
      </c>
      <c r="J1020">
        <v>2003</v>
      </c>
      <c r="K1020" t="s">
        <v>181</v>
      </c>
      <c r="L1020">
        <v>169</v>
      </c>
      <c r="M1020" t="s">
        <v>604</v>
      </c>
      <c r="N1020" t="s">
        <v>340</v>
      </c>
      <c r="O1020" t="s">
        <v>341</v>
      </c>
      <c r="P1020" t="s">
        <v>342</v>
      </c>
      <c r="R1020" t="s">
        <v>343</v>
      </c>
      <c r="T1020">
        <v>31000</v>
      </c>
      <c r="U1020" t="s">
        <v>41</v>
      </c>
      <c r="V1020" t="s">
        <v>42</v>
      </c>
      <c r="W1020" t="s">
        <v>344</v>
      </c>
      <c r="X1020" t="s">
        <v>345</v>
      </c>
      <c r="Y1020" t="s">
        <v>151</v>
      </c>
    </row>
    <row r="1021" spans="1:25" x14ac:dyDescent="0.25">
      <c r="A1021">
        <v>10141</v>
      </c>
      <c r="B1021">
        <v>34</v>
      </c>
      <c r="C1021">
        <v>100</v>
      </c>
      <c r="D1021">
        <v>9</v>
      </c>
      <c r="E1021">
        <v>4836.5</v>
      </c>
      <c r="F1021" s="1">
        <v>37834</v>
      </c>
      <c r="G1021" t="s">
        <v>25</v>
      </c>
      <c r="H1021">
        <v>3</v>
      </c>
      <c r="I1021">
        <v>8</v>
      </c>
      <c r="J1021">
        <v>2003</v>
      </c>
      <c r="K1021" t="s">
        <v>181</v>
      </c>
      <c r="L1021">
        <v>169</v>
      </c>
      <c r="M1021" t="s">
        <v>604</v>
      </c>
      <c r="N1021" t="s">
        <v>467</v>
      </c>
      <c r="O1021" t="s">
        <v>468</v>
      </c>
      <c r="P1021" t="s">
        <v>469</v>
      </c>
      <c r="R1021" t="s">
        <v>470</v>
      </c>
      <c r="T1021" t="s">
        <v>471</v>
      </c>
      <c r="U1021" t="s">
        <v>130</v>
      </c>
      <c r="V1021" t="s">
        <v>42</v>
      </c>
      <c r="W1021" t="s">
        <v>472</v>
      </c>
      <c r="X1021" t="s">
        <v>473</v>
      </c>
      <c r="Y1021" t="s">
        <v>51</v>
      </c>
    </row>
    <row r="1022" spans="1:25" x14ac:dyDescent="0.25">
      <c r="A1022">
        <v>10148</v>
      </c>
      <c r="B1022">
        <v>32</v>
      </c>
      <c r="C1022">
        <v>100</v>
      </c>
      <c r="D1022">
        <v>14</v>
      </c>
      <c r="E1022">
        <v>5418.88</v>
      </c>
      <c r="F1022" s="1">
        <v>37875</v>
      </c>
      <c r="G1022" t="s">
        <v>25</v>
      </c>
      <c r="H1022">
        <v>3</v>
      </c>
      <c r="I1022">
        <v>9</v>
      </c>
      <c r="J1022">
        <v>2003</v>
      </c>
      <c r="K1022" t="s">
        <v>181</v>
      </c>
      <c r="L1022">
        <v>169</v>
      </c>
      <c r="M1022" t="s">
        <v>604</v>
      </c>
      <c r="N1022" t="s">
        <v>285</v>
      </c>
      <c r="O1022" t="s">
        <v>286</v>
      </c>
      <c r="P1022" t="s">
        <v>287</v>
      </c>
      <c r="Q1022" t="s">
        <v>288</v>
      </c>
      <c r="R1022" t="s">
        <v>289</v>
      </c>
      <c r="S1022" t="s">
        <v>157</v>
      </c>
      <c r="T1022">
        <v>2060</v>
      </c>
      <c r="U1022" t="s">
        <v>95</v>
      </c>
      <c r="V1022" t="s">
        <v>96</v>
      </c>
      <c r="W1022" t="s">
        <v>290</v>
      </c>
      <c r="X1022" t="s">
        <v>291</v>
      </c>
      <c r="Y1022" t="s">
        <v>51</v>
      </c>
    </row>
    <row r="1023" spans="1:25" x14ac:dyDescent="0.25">
      <c r="A1023">
        <v>10151</v>
      </c>
      <c r="B1023">
        <v>21</v>
      </c>
      <c r="C1023">
        <v>100</v>
      </c>
      <c r="D1023">
        <v>7</v>
      </c>
      <c r="E1023">
        <v>3734.01</v>
      </c>
      <c r="F1023" s="1">
        <v>37885</v>
      </c>
      <c r="G1023" t="s">
        <v>25</v>
      </c>
      <c r="H1023">
        <v>3</v>
      </c>
      <c r="I1023">
        <v>9</v>
      </c>
      <c r="J1023">
        <v>2003</v>
      </c>
      <c r="K1023" t="s">
        <v>181</v>
      </c>
      <c r="L1023">
        <v>169</v>
      </c>
      <c r="M1023" t="s">
        <v>604</v>
      </c>
      <c r="N1023" t="s">
        <v>391</v>
      </c>
      <c r="O1023" t="s">
        <v>392</v>
      </c>
      <c r="P1023" t="s">
        <v>393</v>
      </c>
      <c r="R1023" t="s">
        <v>394</v>
      </c>
      <c r="T1023">
        <v>90110</v>
      </c>
      <c r="U1023" t="s">
        <v>130</v>
      </c>
      <c r="V1023" t="s">
        <v>42</v>
      </c>
      <c r="W1023" t="s">
        <v>395</v>
      </c>
      <c r="X1023" t="s">
        <v>396</v>
      </c>
      <c r="Y1023" t="s">
        <v>51</v>
      </c>
    </row>
    <row r="1024" spans="1:25" x14ac:dyDescent="0.25">
      <c r="A1024">
        <v>10160</v>
      </c>
      <c r="B1024">
        <v>20</v>
      </c>
      <c r="C1024">
        <v>100</v>
      </c>
      <c r="D1024">
        <v>1</v>
      </c>
      <c r="E1024">
        <v>3996.4</v>
      </c>
      <c r="F1024" s="1">
        <v>37905</v>
      </c>
      <c r="G1024" t="s">
        <v>25</v>
      </c>
      <c r="H1024">
        <v>4</v>
      </c>
      <c r="I1024">
        <v>10</v>
      </c>
      <c r="J1024">
        <v>2003</v>
      </c>
      <c r="K1024" t="s">
        <v>181</v>
      </c>
      <c r="L1024">
        <v>169</v>
      </c>
      <c r="M1024" t="s">
        <v>604</v>
      </c>
      <c r="N1024" t="s">
        <v>358</v>
      </c>
      <c r="O1024">
        <v>2155554369</v>
      </c>
      <c r="P1024" t="s">
        <v>359</v>
      </c>
      <c r="R1024" t="s">
        <v>360</v>
      </c>
      <c r="S1024" t="s">
        <v>55</v>
      </c>
      <c r="U1024" t="s">
        <v>32</v>
      </c>
      <c r="V1024" t="s">
        <v>33</v>
      </c>
      <c r="W1024" t="s">
        <v>361</v>
      </c>
      <c r="X1024" t="s">
        <v>103</v>
      </c>
      <c r="Y1024" t="s">
        <v>51</v>
      </c>
    </row>
    <row r="1025" spans="1:25" x14ac:dyDescent="0.25">
      <c r="A1025">
        <v>10165</v>
      </c>
      <c r="B1025">
        <v>47</v>
      </c>
      <c r="C1025">
        <v>100</v>
      </c>
      <c r="D1025">
        <v>16</v>
      </c>
      <c r="E1025">
        <v>8754.69</v>
      </c>
      <c r="F1025" s="1">
        <v>37916</v>
      </c>
      <c r="G1025" t="s">
        <v>25</v>
      </c>
      <c r="H1025">
        <v>4</v>
      </c>
      <c r="I1025">
        <v>10</v>
      </c>
      <c r="J1025">
        <v>2003</v>
      </c>
      <c r="K1025" t="s">
        <v>181</v>
      </c>
      <c r="L1025">
        <v>169</v>
      </c>
      <c r="M1025" t="s">
        <v>604</v>
      </c>
      <c r="N1025" t="s">
        <v>196</v>
      </c>
      <c r="O1025" t="s">
        <v>197</v>
      </c>
      <c r="P1025" t="s">
        <v>198</v>
      </c>
      <c r="R1025" t="s">
        <v>199</v>
      </c>
      <c r="T1025">
        <v>79903</v>
      </c>
      <c r="U1025" t="s">
        <v>199</v>
      </c>
      <c r="V1025" t="s">
        <v>200</v>
      </c>
      <c r="W1025" t="s">
        <v>201</v>
      </c>
      <c r="X1025" t="s">
        <v>202</v>
      </c>
      <c r="Y1025" t="s">
        <v>151</v>
      </c>
    </row>
    <row r="1026" spans="1:25" x14ac:dyDescent="0.25">
      <c r="A1026">
        <v>10171</v>
      </c>
      <c r="B1026">
        <v>39</v>
      </c>
      <c r="C1026">
        <v>100</v>
      </c>
      <c r="D1026">
        <v>3</v>
      </c>
      <c r="E1026">
        <v>5481.45</v>
      </c>
      <c r="F1026" s="1">
        <v>37930</v>
      </c>
      <c r="G1026" t="s">
        <v>25</v>
      </c>
      <c r="H1026">
        <v>4</v>
      </c>
      <c r="I1026">
        <v>11</v>
      </c>
      <c r="J1026">
        <v>2003</v>
      </c>
      <c r="K1026" t="s">
        <v>181</v>
      </c>
      <c r="L1026">
        <v>169</v>
      </c>
      <c r="M1026" t="s">
        <v>604</v>
      </c>
      <c r="N1026" t="s">
        <v>292</v>
      </c>
      <c r="O1026" t="s">
        <v>293</v>
      </c>
      <c r="P1026" t="s">
        <v>294</v>
      </c>
      <c r="R1026" t="s">
        <v>295</v>
      </c>
      <c r="S1026" t="s">
        <v>296</v>
      </c>
      <c r="T1026" t="s">
        <v>297</v>
      </c>
      <c r="U1026" t="s">
        <v>231</v>
      </c>
      <c r="V1026" t="s">
        <v>33</v>
      </c>
      <c r="W1026" t="s">
        <v>298</v>
      </c>
      <c r="X1026" t="s">
        <v>299</v>
      </c>
      <c r="Y1026" t="s">
        <v>51</v>
      </c>
    </row>
    <row r="1027" spans="1:25" x14ac:dyDescent="0.25">
      <c r="A1027">
        <v>10175</v>
      </c>
      <c r="B1027">
        <v>29</v>
      </c>
      <c r="C1027">
        <v>100</v>
      </c>
      <c r="D1027">
        <v>5</v>
      </c>
      <c r="E1027">
        <v>4419.8900000000003</v>
      </c>
      <c r="F1027" s="1">
        <v>37931</v>
      </c>
      <c r="G1027" t="s">
        <v>25</v>
      </c>
      <c r="H1027">
        <v>4</v>
      </c>
      <c r="I1027">
        <v>11</v>
      </c>
      <c r="J1027">
        <v>2003</v>
      </c>
      <c r="K1027" t="s">
        <v>181</v>
      </c>
      <c r="L1027">
        <v>169</v>
      </c>
      <c r="M1027" t="s">
        <v>604</v>
      </c>
      <c r="N1027" t="s">
        <v>329</v>
      </c>
      <c r="O1027" t="s">
        <v>330</v>
      </c>
      <c r="P1027" t="s">
        <v>331</v>
      </c>
      <c r="R1027" t="s">
        <v>332</v>
      </c>
      <c r="T1027" t="s">
        <v>333</v>
      </c>
      <c r="U1027" t="s">
        <v>170</v>
      </c>
      <c r="V1027" t="s">
        <v>42</v>
      </c>
      <c r="W1027" t="s">
        <v>61</v>
      </c>
      <c r="X1027" t="s">
        <v>334</v>
      </c>
      <c r="Y1027" t="s">
        <v>51</v>
      </c>
    </row>
    <row r="1028" spans="1:25" x14ac:dyDescent="0.25">
      <c r="A1028">
        <v>10181</v>
      </c>
      <c r="B1028">
        <v>45</v>
      </c>
      <c r="C1028">
        <v>100</v>
      </c>
      <c r="D1028">
        <v>7</v>
      </c>
      <c r="E1028">
        <v>6324.75</v>
      </c>
      <c r="F1028" s="1">
        <v>37937</v>
      </c>
      <c r="G1028" t="s">
        <v>25</v>
      </c>
      <c r="H1028">
        <v>4</v>
      </c>
      <c r="I1028">
        <v>11</v>
      </c>
      <c r="J1028">
        <v>2003</v>
      </c>
      <c r="K1028" t="s">
        <v>181</v>
      </c>
      <c r="L1028">
        <v>169</v>
      </c>
      <c r="M1028" t="s">
        <v>604</v>
      </c>
      <c r="N1028" t="s">
        <v>73</v>
      </c>
      <c r="O1028" t="s">
        <v>74</v>
      </c>
      <c r="P1028" t="s">
        <v>75</v>
      </c>
      <c r="R1028" t="s">
        <v>76</v>
      </c>
      <c r="T1028" t="s">
        <v>77</v>
      </c>
      <c r="U1028" t="s">
        <v>78</v>
      </c>
      <c r="V1028" t="s">
        <v>42</v>
      </c>
      <c r="W1028" t="s">
        <v>79</v>
      </c>
      <c r="X1028" t="s">
        <v>80</v>
      </c>
      <c r="Y1028" t="s">
        <v>51</v>
      </c>
    </row>
    <row r="1029" spans="1:25" x14ac:dyDescent="0.25">
      <c r="A1029">
        <v>10184</v>
      </c>
      <c r="B1029">
        <v>28</v>
      </c>
      <c r="C1029">
        <v>100</v>
      </c>
      <c r="D1029">
        <v>10</v>
      </c>
      <c r="E1029">
        <v>4409.72</v>
      </c>
      <c r="F1029" s="1">
        <v>37939</v>
      </c>
      <c r="G1029" t="s">
        <v>25</v>
      </c>
      <c r="H1029">
        <v>4</v>
      </c>
      <c r="I1029">
        <v>11</v>
      </c>
      <c r="J1029">
        <v>2003</v>
      </c>
      <c r="K1029" t="s">
        <v>181</v>
      </c>
      <c r="L1029">
        <v>169</v>
      </c>
      <c r="M1029" t="s">
        <v>604</v>
      </c>
      <c r="N1029" t="s">
        <v>520</v>
      </c>
      <c r="O1029" t="s">
        <v>521</v>
      </c>
      <c r="P1029" t="s">
        <v>522</v>
      </c>
      <c r="R1029" t="s">
        <v>523</v>
      </c>
      <c r="T1029">
        <v>41101</v>
      </c>
      <c r="U1029" t="s">
        <v>178</v>
      </c>
      <c r="V1029" t="s">
        <v>42</v>
      </c>
      <c r="W1029" t="s">
        <v>524</v>
      </c>
      <c r="X1029" t="s">
        <v>525</v>
      </c>
      <c r="Y1029" t="s">
        <v>51</v>
      </c>
    </row>
    <row r="1030" spans="1:25" x14ac:dyDescent="0.25">
      <c r="A1030">
        <v>10192</v>
      </c>
      <c r="B1030">
        <v>26</v>
      </c>
      <c r="C1030">
        <v>100</v>
      </c>
      <c r="D1030">
        <v>12</v>
      </c>
      <c r="E1030">
        <v>3918.46</v>
      </c>
      <c r="F1030" s="1">
        <v>37945</v>
      </c>
      <c r="G1030" t="s">
        <v>25</v>
      </c>
      <c r="H1030">
        <v>4</v>
      </c>
      <c r="I1030">
        <v>11</v>
      </c>
      <c r="J1030">
        <v>2003</v>
      </c>
      <c r="K1030" t="s">
        <v>181</v>
      </c>
      <c r="L1030">
        <v>169</v>
      </c>
      <c r="M1030" t="s">
        <v>604</v>
      </c>
      <c r="N1030" t="s">
        <v>277</v>
      </c>
      <c r="O1030">
        <v>6035558647</v>
      </c>
      <c r="P1030" t="s">
        <v>278</v>
      </c>
      <c r="R1030" t="s">
        <v>279</v>
      </c>
      <c r="S1030" t="s">
        <v>280</v>
      </c>
      <c r="T1030">
        <v>62005</v>
      </c>
      <c r="U1030" t="s">
        <v>32</v>
      </c>
      <c r="V1030" t="s">
        <v>33</v>
      </c>
      <c r="W1030" t="s">
        <v>56</v>
      </c>
      <c r="X1030" t="s">
        <v>276</v>
      </c>
      <c r="Y1030" t="s">
        <v>51</v>
      </c>
    </row>
    <row r="1031" spans="1:25" x14ac:dyDescent="0.25">
      <c r="A1031">
        <v>10195</v>
      </c>
      <c r="B1031">
        <v>50</v>
      </c>
      <c r="C1031">
        <v>100</v>
      </c>
      <c r="D1031">
        <v>10</v>
      </c>
      <c r="E1031">
        <v>7620.5</v>
      </c>
      <c r="F1031" s="1">
        <v>37950</v>
      </c>
      <c r="G1031" t="s">
        <v>25</v>
      </c>
      <c r="H1031">
        <v>4</v>
      </c>
      <c r="I1031">
        <v>11</v>
      </c>
      <c r="J1031">
        <v>2003</v>
      </c>
      <c r="K1031" t="s">
        <v>181</v>
      </c>
      <c r="L1031">
        <v>169</v>
      </c>
      <c r="M1031" t="s">
        <v>604</v>
      </c>
      <c r="N1031" t="s">
        <v>317</v>
      </c>
      <c r="O1031">
        <v>9145554562</v>
      </c>
      <c r="P1031" t="s">
        <v>318</v>
      </c>
      <c r="R1031" t="s">
        <v>319</v>
      </c>
      <c r="S1031" t="s">
        <v>31</v>
      </c>
      <c r="T1031">
        <v>24067</v>
      </c>
      <c r="U1031" t="s">
        <v>32</v>
      </c>
      <c r="V1031" t="s">
        <v>33</v>
      </c>
      <c r="W1031" t="s">
        <v>102</v>
      </c>
      <c r="X1031" t="s">
        <v>238</v>
      </c>
      <c r="Y1031" t="s">
        <v>151</v>
      </c>
    </row>
    <row r="1032" spans="1:25" x14ac:dyDescent="0.25">
      <c r="A1032">
        <v>10203</v>
      </c>
      <c r="B1032">
        <v>48</v>
      </c>
      <c r="C1032">
        <v>100</v>
      </c>
      <c r="D1032">
        <v>1</v>
      </c>
      <c r="E1032">
        <v>8291.0400000000009</v>
      </c>
      <c r="F1032" s="1">
        <v>37957</v>
      </c>
      <c r="G1032" t="s">
        <v>25</v>
      </c>
      <c r="H1032">
        <v>4</v>
      </c>
      <c r="I1032">
        <v>12</v>
      </c>
      <c r="J1032">
        <v>2003</v>
      </c>
      <c r="K1032" t="s">
        <v>181</v>
      </c>
      <c r="L1032">
        <v>169</v>
      </c>
      <c r="M1032" t="s">
        <v>604</v>
      </c>
      <c r="N1032" t="s">
        <v>174</v>
      </c>
      <c r="O1032" t="s">
        <v>175</v>
      </c>
      <c r="P1032" t="s">
        <v>176</v>
      </c>
      <c r="R1032" t="s">
        <v>177</v>
      </c>
      <c r="T1032">
        <v>28034</v>
      </c>
      <c r="U1032" t="s">
        <v>178</v>
      </c>
      <c r="V1032" t="s">
        <v>42</v>
      </c>
      <c r="W1032" t="s">
        <v>179</v>
      </c>
      <c r="X1032" t="s">
        <v>180</v>
      </c>
      <c r="Y1032" t="s">
        <v>151</v>
      </c>
    </row>
    <row r="1033" spans="1:25" x14ac:dyDescent="0.25">
      <c r="A1033">
        <v>10207</v>
      </c>
      <c r="B1033">
        <v>25</v>
      </c>
      <c r="C1033">
        <v>100</v>
      </c>
      <c r="D1033">
        <v>11</v>
      </c>
      <c r="E1033">
        <v>3937.25</v>
      </c>
      <c r="F1033" s="1">
        <v>37964</v>
      </c>
      <c r="G1033" t="s">
        <v>25</v>
      </c>
      <c r="H1033">
        <v>4</v>
      </c>
      <c r="I1033">
        <v>12</v>
      </c>
      <c r="J1033">
        <v>2003</v>
      </c>
      <c r="K1033" t="s">
        <v>181</v>
      </c>
      <c r="L1033">
        <v>169</v>
      </c>
      <c r="M1033" t="s">
        <v>604</v>
      </c>
      <c r="N1033" t="s">
        <v>415</v>
      </c>
      <c r="O1033">
        <v>6175552555</v>
      </c>
      <c r="P1033" t="s">
        <v>416</v>
      </c>
      <c r="R1033" t="s">
        <v>381</v>
      </c>
      <c r="S1033" t="s">
        <v>123</v>
      </c>
      <c r="T1033">
        <v>51003</v>
      </c>
      <c r="U1033" t="s">
        <v>32</v>
      </c>
      <c r="V1033" t="s">
        <v>33</v>
      </c>
      <c r="W1033" t="s">
        <v>417</v>
      </c>
      <c r="X1033" t="s">
        <v>276</v>
      </c>
      <c r="Y1033" t="s">
        <v>51</v>
      </c>
    </row>
    <row r="1034" spans="1:25" x14ac:dyDescent="0.25">
      <c r="A1034">
        <v>10212</v>
      </c>
      <c r="B1034">
        <v>40</v>
      </c>
      <c r="C1034">
        <v>100</v>
      </c>
      <c r="D1034">
        <v>11</v>
      </c>
      <c r="E1034">
        <v>5554.4</v>
      </c>
      <c r="F1034" s="1">
        <v>38002</v>
      </c>
      <c r="G1034" t="s">
        <v>25</v>
      </c>
      <c r="H1034">
        <v>1</v>
      </c>
      <c r="I1034">
        <v>1</v>
      </c>
      <c r="J1034">
        <v>2004</v>
      </c>
      <c r="K1034" t="s">
        <v>181</v>
      </c>
      <c r="L1034">
        <v>169</v>
      </c>
      <c r="M1034" t="s">
        <v>604</v>
      </c>
      <c r="N1034" t="s">
        <v>174</v>
      </c>
      <c r="O1034" t="s">
        <v>175</v>
      </c>
      <c r="P1034" t="s">
        <v>176</v>
      </c>
      <c r="R1034" t="s">
        <v>177</v>
      </c>
      <c r="T1034">
        <v>28034</v>
      </c>
      <c r="U1034" t="s">
        <v>178</v>
      </c>
      <c r="V1034" t="s">
        <v>42</v>
      </c>
      <c r="W1034" t="s">
        <v>179</v>
      </c>
      <c r="X1034" t="s">
        <v>180</v>
      </c>
      <c r="Y1034" t="s">
        <v>51</v>
      </c>
    </row>
    <row r="1035" spans="1:25" x14ac:dyDescent="0.25">
      <c r="A1035">
        <v>10225</v>
      </c>
      <c r="B1035">
        <v>43</v>
      </c>
      <c r="C1035">
        <v>100</v>
      </c>
      <c r="D1035">
        <v>2</v>
      </c>
      <c r="E1035">
        <v>6407.86</v>
      </c>
      <c r="F1035" s="1">
        <v>38039</v>
      </c>
      <c r="G1035" t="s">
        <v>25</v>
      </c>
      <c r="H1035">
        <v>1</v>
      </c>
      <c r="I1035">
        <v>2</v>
      </c>
      <c r="J1035">
        <v>2004</v>
      </c>
      <c r="K1035" t="s">
        <v>181</v>
      </c>
      <c r="L1035">
        <v>169</v>
      </c>
      <c r="M1035" t="s">
        <v>604</v>
      </c>
      <c r="N1035" t="s">
        <v>446</v>
      </c>
      <c r="O1035" t="s">
        <v>447</v>
      </c>
      <c r="P1035" t="s">
        <v>448</v>
      </c>
      <c r="R1035" t="s">
        <v>449</v>
      </c>
      <c r="T1035">
        <v>1203</v>
      </c>
      <c r="U1035" t="s">
        <v>450</v>
      </c>
      <c r="V1035" t="s">
        <v>42</v>
      </c>
      <c r="W1035" t="s">
        <v>451</v>
      </c>
      <c r="X1035" t="s">
        <v>103</v>
      </c>
      <c r="Y1035" t="s">
        <v>51</v>
      </c>
    </row>
    <row r="1036" spans="1:25" x14ac:dyDescent="0.25">
      <c r="A1036">
        <v>10229</v>
      </c>
      <c r="B1036">
        <v>22</v>
      </c>
      <c r="C1036">
        <v>100</v>
      </c>
      <c r="D1036">
        <v>5</v>
      </c>
      <c r="E1036">
        <v>4172.5200000000004</v>
      </c>
      <c r="F1036" s="1">
        <v>38057</v>
      </c>
      <c r="G1036" t="s">
        <v>25</v>
      </c>
      <c r="H1036">
        <v>1</v>
      </c>
      <c r="I1036">
        <v>3</v>
      </c>
      <c r="J1036">
        <v>2004</v>
      </c>
      <c r="K1036" t="s">
        <v>181</v>
      </c>
      <c r="L1036">
        <v>169</v>
      </c>
      <c r="M1036" t="s">
        <v>604</v>
      </c>
      <c r="N1036" t="s">
        <v>272</v>
      </c>
      <c r="O1036">
        <v>4155551450</v>
      </c>
      <c r="P1036" t="s">
        <v>273</v>
      </c>
      <c r="R1036" t="s">
        <v>274</v>
      </c>
      <c r="S1036" t="s">
        <v>55</v>
      </c>
      <c r="T1036">
        <v>97562</v>
      </c>
      <c r="U1036" t="s">
        <v>32</v>
      </c>
      <c r="V1036" t="s">
        <v>33</v>
      </c>
      <c r="W1036" t="s">
        <v>275</v>
      </c>
      <c r="X1036" t="s">
        <v>276</v>
      </c>
      <c r="Y1036" t="s">
        <v>51</v>
      </c>
    </row>
    <row r="1037" spans="1:25" x14ac:dyDescent="0.25">
      <c r="A1037">
        <v>10239</v>
      </c>
      <c r="B1037">
        <v>47</v>
      </c>
      <c r="C1037">
        <v>100</v>
      </c>
      <c r="D1037">
        <v>1</v>
      </c>
      <c r="E1037">
        <v>7083.37</v>
      </c>
      <c r="F1037" s="1">
        <v>38089</v>
      </c>
      <c r="G1037" t="s">
        <v>25</v>
      </c>
      <c r="H1037">
        <v>2</v>
      </c>
      <c r="I1037">
        <v>4</v>
      </c>
      <c r="J1037">
        <v>2004</v>
      </c>
      <c r="K1037" t="s">
        <v>181</v>
      </c>
      <c r="L1037">
        <v>169</v>
      </c>
      <c r="M1037" t="s">
        <v>604</v>
      </c>
      <c r="N1037" t="s">
        <v>391</v>
      </c>
      <c r="O1037" t="s">
        <v>392</v>
      </c>
      <c r="P1037" t="s">
        <v>393</v>
      </c>
      <c r="R1037" t="s">
        <v>394</v>
      </c>
      <c r="T1037">
        <v>90110</v>
      </c>
      <c r="U1037" t="s">
        <v>130</v>
      </c>
      <c r="V1037" t="s">
        <v>42</v>
      </c>
      <c r="W1037" t="s">
        <v>395</v>
      </c>
      <c r="X1037" t="s">
        <v>396</v>
      </c>
      <c r="Y1037" t="s">
        <v>151</v>
      </c>
    </row>
    <row r="1038" spans="1:25" x14ac:dyDescent="0.25">
      <c r="A1038">
        <v>10246</v>
      </c>
      <c r="B1038">
        <v>36</v>
      </c>
      <c r="C1038">
        <v>100</v>
      </c>
      <c r="D1038">
        <v>9</v>
      </c>
      <c r="E1038">
        <v>7132.68</v>
      </c>
      <c r="F1038" s="1">
        <v>38112</v>
      </c>
      <c r="G1038" t="s">
        <v>25</v>
      </c>
      <c r="H1038">
        <v>2</v>
      </c>
      <c r="I1038">
        <v>5</v>
      </c>
      <c r="J1038">
        <v>2004</v>
      </c>
      <c r="K1038" t="s">
        <v>181</v>
      </c>
      <c r="L1038">
        <v>169</v>
      </c>
      <c r="M1038" t="s">
        <v>604</v>
      </c>
      <c r="N1038" t="s">
        <v>174</v>
      </c>
      <c r="O1038" t="s">
        <v>175</v>
      </c>
      <c r="P1038" t="s">
        <v>176</v>
      </c>
      <c r="R1038" t="s">
        <v>177</v>
      </c>
      <c r="T1038">
        <v>28034</v>
      </c>
      <c r="U1038" t="s">
        <v>178</v>
      </c>
      <c r="V1038" t="s">
        <v>42</v>
      </c>
      <c r="W1038" t="s">
        <v>179</v>
      </c>
      <c r="X1038" t="s">
        <v>180</v>
      </c>
      <c r="Y1038" t="s">
        <v>151</v>
      </c>
    </row>
    <row r="1039" spans="1:25" x14ac:dyDescent="0.25">
      <c r="A1039">
        <v>10253</v>
      </c>
      <c r="B1039">
        <v>40</v>
      </c>
      <c r="C1039">
        <v>100</v>
      </c>
      <c r="D1039">
        <v>6</v>
      </c>
      <c r="E1039">
        <v>6773.6</v>
      </c>
      <c r="F1039" s="1">
        <v>38139</v>
      </c>
      <c r="G1039" t="s">
        <v>339</v>
      </c>
      <c r="H1039">
        <v>2</v>
      </c>
      <c r="I1039">
        <v>6</v>
      </c>
      <c r="J1039">
        <v>2004</v>
      </c>
      <c r="K1039" t="s">
        <v>181</v>
      </c>
      <c r="L1039">
        <v>169</v>
      </c>
      <c r="M1039" t="s">
        <v>604</v>
      </c>
      <c r="N1039" t="s">
        <v>165</v>
      </c>
      <c r="O1039" t="s">
        <v>166</v>
      </c>
      <c r="P1039" t="s">
        <v>167</v>
      </c>
      <c r="R1039" t="s">
        <v>168</v>
      </c>
      <c r="T1039" t="s">
        <v>169</v>
      </c>
      <c r="U1039" t="s">
        <v>170</v>
      </c>
      <c r="V1039" t="s">
        <v>42</v>
      </c>
      <c r="W1039" t="s">
        <v>171</v>
      </c>
      <c r="X1039" t="s">
        <v>172</v>
      </c>
      <c r="Y1039" t="s">
        <v>51</v>
      </c>
    </row>
    <row r="1040" spans="1:25" x14ac:dyDescent="0.25">
      <c r="A1040">
        <v>10259</v>
      </c>
      <c r="B1040">
        <v>27</v>
      </c>
      <c r="C1040">
        <v>100</v>
      </c>
      <c r="D1040">
        <v>8</v>
      </c>
      <c r="E1040">
        <v>3657.69</v>
      </c>
      <c r="F1040" s="1">
        <v>38153</v>
      </c>
      <c r="G1040" t="s">
        <v>25</v>
      </c>
      <c r="H1040">
        <v>2</v>
      </c>
      <c r="I1040">
        <v>6</v>
      </c>
      <c r="J1040">
        <v>2004</v>
      </c>
      <c r="K1040" t="s">
        <v>181</v>
      </c>
      <c r="L1040">
        <v>169</v>
      </c>
      <c r="M1040" t="s">
        <v>604</v>
      </c>
      <c r="N1040" t="s">
        <v>418</v>
      </c>
      <c r="O1040" t="s">
        <v>419</v>
      </c>
      <c r="P1040" t="s">
        <v>420</v>
      </c>
      <c r="Q1040" t="s">
        <v>421</v>
      </c>
      <c r="R1040" t="s">
        <v>199</v>
      </c>
      <c r="T1040">
        <v>69045</v>
      </c>
      <c r="U1040" t="s">
        <v>199</v>
      </c>
      <c r="V1040" t="s">
        <v>96</v>
      </c>
      <c r="W1040" t="s">
        <v>422</v>
      </c>
      <c r="X1040" t="s">
        <v>423</v>
      </c>
      <c r="Y1040" t="s">
        <v>51</v>
      </c>
    </row>
    <row r="1041" spans="1:25" x14ac:dyDescent="0.25">
      <c r="A1041">
        <v>10266</v>
      </c>
      <c r="B1041">
        <v>29</v>
      </c>
      <c r="C1041">
        <v>100</v>
      </c>
      <c r="D1041">
        <v>7</v>
      </c>
      <c r="E1041">
        <v>4812.55</v>
      </c>
      <c r="F1041" s="1">
        <v>38174</v>
      </c>
      <c r="G1041" t="s">
        <v>25</v>
      </c>
      <c r="H1041">
        <v>3</v>
      </c>
      <c r="I1041">
        <v>7</v>
      </c>
      <c r="J1041">
        <v>2004</v>
      </c>
      <c r="K1041" t="s">
        <v>181</v>
      </c>
      <c r="L1041">
        <v>169</v>
      </c>
      <c r="M1041" t="s">
        <v>604</v>
      </c>
      <c r="N1041" t="s">
        <v>452</v>
      </c>
      <c r="O1041" t="s">
        <v>453</v>
      </c>
      <c r="P1041" t="s">
        <v>454</v>
      </c>
      <c r="R1041" t="s">
        <v>455</v>
      </c>
      <c r="T1041">
        <v>42100</v>
      </c>
      <c r="U1041" t="s">
        <v>258</v>
      </c>
      <c r="V1041" t="s">
        <v>42</v>
      </c>
      <c r="W1041" t="s">
        <v>456</v>
      </c>
      <c r="X1041" t="s">
        <v>457</v>
      </c>
      <c r="Y1041" t="s">
        <v>51</v>
      </c>
    </row>
    <row r="1042" spans="1:25" x14ac:dyDescent="0.25">
      <c r="A1042">
        <v>10271</v>
      </c>
      <c r="B1042">
        <v>20</v>
      </c>
      <c r="C1042">
        <v>100</v>
      </c>
      <c r="D1042">
        <v>9</v>
      </c>
      <c r="E1042">
        <v>3928.6</v>
      </c>
      <c r="F1042" s="1">
        <v>38188</v>
      </c>
      <c r="G1042" t="s">
        <v>25</v>
      </c>
      <c r="H1042">
        <v>3</v>
      </c>
      <c r="I1042">
        <v>7</v>
      </c>
      <c r="J1042">
        <v>2004</v>
      </c>
      <c r="K1042" t="s">
        <v>181</v>
      </c>
      <c r="L1042">
        <v>169</v>
      </c>
      <c r="M1042" t="s">
        <v>604</v>
      </c>
      <c r="N1042" t="s">
        <v>272</v>
      </c>
      <c r="O1042">
        <v>4155551450</v>
      </c>
      <c r="P1042" t="s">
        <v>273</v>
      </c>
      <c r="R1042" t="s">
        <v>274</v>
      </c>
      <c r="S1042" t="s">
        <v>55</v>
      </c>
      <c r="T1042">
        <v>97562</v>
      </c>
      <c r="U1042" t="s">
        <v>32</v>
      </c>
      <c r="V1042" t="s">
        <v>33</v>
      </c>
      <c r="W1042" t="s">
        <v>275</v>
      </c>
      <c r="X1042" t="s">
        <v>276</v>
      </c>
      <c r="Y1042" t="s">
        <v>51</v>
      </c>
    </row>
    <row r="1043" spans="1:25" x14ac:dyDescent="0.25">
      <c r="A1043">
        <v>10278</v>
      </c>
      <c r="B1043">
        <v>42</v>
      </c>
      <c r="C1043">
        <v>100</v>
      </c>
      <c r="D1043">
        <v>7</v>
      </c>
      <c r="E1043">
        <v>6401.22</v>
      </c>
      <c r="F1043" s="1">
        <v>38205</v>
      </c>
      <c r="G1043" t="s">
        <v>25</v>
      </c>
      <c r="H1043">
        <v>3</v>
      </c>
      <c r="I1043">
        <v>8</v>
      </c>
      <c r="J1043">
        <v>2004</v>
      </c>
      <c r="K1043" t="s">
        <v>181</v>
      </c>
      <c r="L1043">
        <v>169</v>
      </c>
      <c r="M1043" t="s">
        <v>604</v>
      </c>
      <c r="N1043" t="s">
        <v>539</v>
      </c>
      <c r="O1043">
        <v>7025551838</v>
      </c>
      <c r="P1043" t="s">
        <v>540</v>
      </c>
      <c r="R1043" t="s">
        <v>541</v>
      </c>
      <c r="S1043" t="s">
        <v>542</v>
      </c>
      <c r="T1043">
        <v>83030</v>
      </c>
      <c r="U1043" t="s">
        <v>32</v>
      </c>
      <c r="V1043" t="s">
        <v>33</v>
      </c>
      <c r="W1043" t="s">
        <v>113</v>
      </c>
      <c r="X1043" t="s">
        <v>400</v>
      </c>
      <c r="Y1043" t="s">
        <v>51</v>
      </c>
    </row>
    <row r="1044" spans="1:25" x14ac:dyDescent="0.25">
      <c r="A1044">
        <v>10281</v>
      </c>
      <c r="B1044">
        <v>25</v>
      </c>
      <c r="C1044">
        <v>100</v>
      </c>
      <c r="D1044">
        <v>5</v>
      </c>
      <c r="E1044">
        <v>4191.25</v>
      </c>
      <c r="F1044" s="1">
        <v>38218</v>
      </c>
      <c r="G1044" t="s">
        <v>25</v>
      </c>
      <c r="H1044">
        <v>3</v>
      </c>
      <c r="I1044">
        <v>8</v>
      </c>
      <c r="J1044">
        <v>2004</v>
      </c>
      <c r="K1044" t="s">
        <v>181</v>
      </c>
      <c r="L1044">
        <v>169</v>
      </c>
      <c r="M1044" t="s">
        <v>604</v>
      </c>
      <c r="N1044" t="s">
        <v>139</v>
      </c>
      <c r="O1044">
        <v>2155551555</v>
      </c>
      <c r="P1044" t="s">
        <v>140</v>
      </c>
      <c r="R1044" t="s">
        <v>141</v>
      </c>
      <c r="S1044" t="s">
        <v>142</v>
      </c>
      <c r="T1044">
        <v>70267</v>
      </c>
      <c r="U1044" t="s">
        <v>32</v>
      </c>
      <c r="V1044" t="s">
        <v>33</v>
      </c>
      <c r="W1044" t="s">
        <v>34</v>
      </c>
      <c r="X1044" t="s">
        <v>143</v>
      </c>
      <c r="Y1044" t="s">
        <v>51</v>
      </c>
    </row>
    <row r="1045" spans="1:25" x14ac:dyDescent="0.25">
      <c r="A1045">
        <v>10287</v>
      </c>
      <c r="B1045">
        <v>36</v>
      </c>
      <c r="C1045">
        <v>100</v>
      </c>
      <c r="D1045">
        <v>5</v>
      </c>
      <c r="E1045">
        <v>5852.52</v>
      </c>
      <c r="F1045" s="1">
        <v>38229</v>
      </c>
      <c r="G1045" t="s">
        <v>25</v>
      </c>
      <c r="H1045">
        <v>3</v>
      </c>
      <c r="I1045">
        <v>8</v>
      </c>
      <c r="J1045">
        <v>2004</v>
      </c>
      <c r="K1045" t="s">
        <v>181</v>
      </c>
      <c r="L1045">
        <v>169</v>
      </c>
      <c r="M1045" t="s">
        <v>604</v>
      </c>
      <c r="N1045" t="s">
        <v>446</v>
      </c>
      <c r="O1045" t="s">
        <v>447</v>
      </c>
      <c r="P1045" t="s">
        <v>448</v>
      </c>
      <c r="R1045" t="s">
        <v>449</v>
      </c>
      <c r="T1045">
        <v>1203</v>
      </c>
      <c r="U1045" t="s">
        <v>450</v>
      </c>
      <c r="V1045" t="s">
        <v>42</v>
      </c>
      <c r="W1045" t="s">
        <v>451</v>
      </c>
      <c r="X1045" t="s">
        <v>103</v>
      </c>
      <c r="Y1045" t="s">
        <v>51</v>
      </c>
    </row>
    <row r="1046" spans="1:25" x14ac:dyDescent="0.25">
      <c r="A1046">
        <v>10292</v>
      </c>
      <c r="B1046">
        <v>21</v>
      </c>
      <c r="C1046">
        <v>100</v>
      </c>
      <c r="D1046">
        <v>12</v>
      </c>
      <c r="E1046">
        <v>2844.87</v>
      </c>
      <c r="F1046" s="1">
        <v>38238</v>
      </c>
      <c r="G1046" t="s">
        <v>25</v>
      </c>
      <c r="H1046">
        <v>3</v>
      </c>
      <c r="I1046">
        <v>9</v>
      </c>
      <c r="J1046">
        <v>2004</v>
      </c>
      <c r="K1046" t="s">
        <v>181</v>
      </c>
      <c r="L1046">
        <v>169</v>
      </c>
      <c r="M1046" t="s">
        <v>604</v>
      </c>
      <c r="N1046" t="s">
        <v>28</v>
      </c>
      <c r="O1046">
        <v>2125557818</v>
      </c>
      <c r="P1046" t="s">
        <v>29</v>
      </c>
      <c r="R1046" t="s">
        <v>30</v>
      </c>
      <c r="S1046" t="s">
        <v>31</v>
      </c>
      <c r="T1046">
        <v>10022</v>
      </c>
      <c r="U1046" t="s">
        <v>32</v>
      </c>
      <c r="V1046" t="s">
        <v>33</v>
      </c>
      <c r="W1046" t="s">
        <v>34</v>
      </c>
      <c r="X1046" t="s">
        <v>35</v>
      </c>
      <c r="Y1046" t="s">
        <v>36</v>
      </c>
    </row>
    <row r="1047" spans="1:25" x14ac:dyDescent="0.25">
      <c r="A1047">
        <v>10301</v>
      </c>
      <c r="B1047">
        <v>23</v>
      </c>
      <c r="C1047">
        <v>100</v>
      </c>
      <c r="D1047">
        <v>9</v>
      </c>
      <c r="E1047">
        <v>4011.66</v>
      </c>
      <c r="F1047" s="1">
        <v>37899</v>
      </c>
      <c r="G1047" t="s">
        <v>25</v>
      </c>
      <c r="H1047">
        <v>4</v>
      </c>
      <c r="I1047">
        <v>10</v>
      </c>
      <c r="J1047">
        <v>2003</v>
      </c>
      <c r="K1047" t="s">
        <v>181</v>
      </c>
      <c r="L1047">
        <v>169</v>
      </c>
      <c r="M1047" t="s">
        <v>604</v>
      </c>
      <c r="N1047" t="s">
        <v>543</v>
      </c>
      <c r="O1047" t="s">
        <v>544</v>
      </c>
      <c r="P1047" t="s">
        <v>545</v>
      </c>
      <c r="R1047" t="s">
        <v>546</v>
      </c>
      <c r="T1047" t="s">
        <v>547</v>
      </c>
      <c r="U1047" t="s">
        <v>78</v>
      </c>
      <c r="V1047" t="s">
        <v>42</v>
      </c>
      <c r="W1047" t="s">
        <v>548</v>
      </c>
      <c r="X1047" t="s">
        <v>549</v>
      </c>
      <c r="Y1047" t="s">
        <v>51</v>
      </c>
    </row>
    <row r="1048" spans="1:25" x14ac:dyDescent="0.25">
      <c r="A1048">
        <v>10305</v>
      </c>
      <c r="B1048">
        <v>37</v>
      </c>
      <c r="C1048">
        <v>100</v>
      </c>
      <c r="D1048">
        <v>9</v>
      </c>
      <c r="E1048">
        <v>7455.87</v>
      </c>
      <c r="F1048" s="1">
        <v>38273</v>
      </c>
      <c r="G1048" t="s">
        <v>25</v>
      </c>
      <c r="H1048">
        <v>4</v>
      </c>
      <c r="I1048">
        <v>10</v>
      </c>
      <c r="J1048">
        <v>2004</v>
      </c>
      <c r="K1048" t="s">
        <v>181</v>
      </c>
      <c r="L1048">
        <v>169</v>
      </c>
      <c r="M1048" t="s">
        <v>604</v>
      </c>
      <c r="N1048" t="s">
        <v>120</v>
      </c>
      <c r="O1048">
        <v>6175558555</v>
      </c>
      <c r="P1048" t="s">
        <v>121</v>
      </c>
      <c r="R1048" t="s">
        <v>122</v>
      </c>
      <c r="S1048" t="s">
        <v>123</v>
      </c>
      <c r="T1048">
        <v>51247</v>
      </c>
      <c r="U1048" t="s">
        <v>32</v>
      </c>
      <c r="V1048" t="s">
        <v>33</v>
      </c>
      <c r="W1048" t="s">
        <v>124</v>
      </c>
      <c r="X1048" t="s">
        <v>125</v>
      </c>
      <c r="Y1048" t="s">
        <v>151</v>
      </c>
    </row>
    <row r="1049" spans="1:25" x14ac:dyDescent="0.25">
      <c r="A1049">
        <v>10310</v>
      </c>
      <c r="B1049">
        <v>48</v>
      </c>
      <c r="C1049">
        <v>100</v>
      </c>
      <c r="D1049">
        <v>3</v>
      </c>
      <c r="E1049">
        <v>8940.9599999999991</v>
      </c>
      <c r="F1049" s="1">
        <v>38276</v>
      </c>
      <c r="G1049" t="s">
        <v>25</v>
      </c>
      <c r="H1049">
        <v>4</v>
      </c>
      <c r="I1049">
        <v>10</v>
      </c>
      <c r="J1049">
        <v>2004</v>
      </c>
      <c r="K1049" t="s">
        <v>181</v>
      </c>
      <c r="L1049">
        <v>169</v>
      </c>
      <c r="M1049" t="s">
        <v>604</v>
      </c>
      <c r="N1049" t="s">
        <v>439</v>
      </c>
      <c r="O1049" t="s">
        <v>440</v>
      </c>
      <c r="P1049" t="s">
        <v>441</v>
      </c>
      <c r="R1049" t="s">
        <v>442</v>
      </c>
      <c r="T1049">
        <v>50739</v>
      </c>
      <c r="U1049" t="s">
        <v>443</v>
      </c>
      <c r="V1049" t="s">
        <v>42</v>
      </c>
      <c r="W1049" t="s">
        <v>444</v>
      </c>
      <c r="X1049" t="s">
        <v>445</v>
      </c>
      <c r="Y1049" t="s">
        <v>151</v>
      </c>
    </row>
    <row r="1050" spans="1:25" x14ac:dyDescent="0.25">
      <c r="A1050">
        <v>10313</v>
      </c>
      <c r="B1050">
        <v>25</v>
      </c>
      <c r="C1050">
        <v>100</v>
      </c>
      <c r="D1050">
        <v>3</v>
      </c>
      <c r="E1050">
        <v>4572.25</v>
      </c>
      <c r="F1050" s="1">
        <v>38282</v>
      </c>
      <c r="G1050" t="s">
        <v>25</v>
      </c>
      <c r="H1050">
        <v>4</v>
      </c>
      <c r="I1050">
        <v>10</v>
      </c>
      <c r="J1050">
        <v>2004</v>
      </c>
      <c r="K1050" t="s">
        <v>181</v>
      </c>
      <c r="L1050">
        <v>169</v>
      </c>
      <c r="M1050" t="s">
        <v>604</v>
      </c>
      <c r="N1050" t="s">
        <v>225</v>
      </c>
      <c r="O1050" t="s">
        <v>226</v>
      </c>
      <c r="P1050" t="s">
        <v>227</v>
      </c>
      <c r="R1050" t="s">
        <v>228</v>
      </c>
      <c r="S1050" t="s">
        <v>229</v>
      </c>
      <c r="T1050" t="s">
        <v>230</v>
      </c>
      <c r="U1050" t="s">
        <v>231</v>
      </c>
      <c r="V1050" t="s">
        <v>33</v>
      </c>
      <c r="W1050" t="s">
        <v>232</v>
      </c>
      <c r="X1050" t="s">
        <v>233</v>
      </c>
      <c r="Y1050" t="s">
        <v>51</v>
      </c>
    </row>
    <row r="1051" spans="1:25" x14ac:dyDescent="0.25">
      <c r="A1051">
        <v>10321</v>
      </c>
      <c r="B1051">
        <v>33</v>
      </c>
      <c r="C1051">
        <v>100</v>
      </c>
      <c r="D1051">
        <v>11</v>
      </c>
      <c r="E1051">
        <v>5700.09</v>
      </c>
      <c r="F1051" s="1">
        <v>38295</v>
      </c>
      <c r="G1051" t="s">
        <v>25</v>
      </c>
      <c r="H1051">
        <v>4</v>
      </c>
      <c r="I1051">
        <v>11</v>
      </c>
      <c r="J1051">
        <v>2004</v>
      </c>
      <c r="K1051" t="s">
        <v>181</v>
      </c>
      <c r="L1051">
        <v>169</v>
      </c>
      <c r="M1051" t="s">
        <v>604</v>
      </c>
      <c r="N1051" t="s">
        <v>160</v>
      </c>
      <c r="O1051">
        <v>5085552555</v>
      </c>
      <c r="P1051" t="s">
        <v>161</v>
      </c>
      <c r="R1051" t="s">
        <v>162</v>
      </c>
      <c r="S1051" t="s">
        <v>123</v>
      </c>
      <c r="T1051">
        <v>50553</v>
      </c>
      <c r="U1051" t="s">
        <v>32</v>
      </c>
      <c r="V1051" t="s">
        <v>33</v>
      </c>
      <c r="W1051" t="s">
        <v>163</v>
      </c>
      <c r="X1051" t="s">
        <v>164</v>
      </c>
      <c r="Y1051" t="s">
        <v>51</v>
      </c>
    </row>
    <row r="1052" spans="1:25" x14ac:dyDescent="0.25">
      <c r="A1052">
        <v>10324</v>
      </c>
      <c r="B1052">
        <v>27</v>
      </c>
      <c r="C1052">
        <v>100</v>
      </c>
      <c r="D1052">
        <v>12</v>
      </c>
      <c r="E1052">
        <v>3155.49</v>
      </c>
      <c r="F1052" s="1">
        <v>38296</v>
      </c>
      <c r="G1052" t="s">
        <v>25</v>
      </c>
      <c r="H1052">
        <v>4</v>
      </c>
      <c r="I1052">
        <v>11</v>
      </c>
      <c r="J1052">
        <v>2004</v>
      </c>
      <c r="K1052" t="s">
        <v>181</v>
      </c>
      <c r="L1052">
        <v>169</v>
      </c>
      <c r="M1052" t="s">
        <v>604</v>
      </c>
      <c r="N1052" t="s">
        <v>99</v>
      </c>
      <c r="O1052">
        <v>2125551500</v>
      </c>
      <c r="P1052" t="s">
        <v>100</v>
      </c>
      <c r="Q1052" t="s">
        <v>101</v>
      </c>
      <c r="R1052" t="s">
        <v>30</v>
      </c>
      <c r="S1052" t="s">
        <v>31</v>
      </c>
      <c r="T1052">
        <v>10022</v>
      </c>
      <c r="U1052" t="s">
        <v>32</v>
      </c>
      <c r="V1052" t="s">
        <v>33</v>
      </c>
      <c r="W1052" t="s">
        <v>102</v>
      </c>
      <c r="X1052" t="s">
        <v>103</v>
      </c>
      <c r="Y1052" t="s">
        <v>51</v>
      </c>
    </row>
    <row r="1053" spans="1:25" x14ac:dyDescent="0.25">
      <c r="A1053">
        <v>10331</v>
      </c>
      <c r="B1053">
        <v>27</v>
      </c>
      <c r="C1053">
        <v>100</v>
      </c>
      <c r="D1053">
        <v>11</v>
      </c>
      <c r="E1053">
        <v>4170.6899999999996</v>
      </c>
      <c r="F1053" s="1">
        <v>38308</v>
      </c>
      <c r="G1053" t="s">
        <v>25</v>
      </c>
      <c r="H1053">
        <v>4</v>
      </c>
      <c r="I1053">
        <v>11</v>
      </c>
      <c r="J1053">
        <v>2004</v>
      </c>
      <c r="K1053" t="s">
        <v>181</v>
      </c>
      <c r="L1053">
        <v>169</v>
      </c>
      <c r="M1053" t="s">
        <v>604</v>
      </c>
      <c r="N1053" t="s">
        <v>309</v>
      </c>
      <c r="O1053">
        <v>2155559857</v>
      </c>
      <c r="P1053" t="s">
        <v>310</v>
      </c>
      <c r="R1053" t="s">
        <v>216</v>
      </c>
      <c r="S1053" t="s">
        <v>142</v>
      </c>
      <c r="T1053">
        <v>71270</v>
      </c>
      <c r="U1053" t="s">
        <v>32</v>
      </c>
      <c r="V1053" t="s">
        <v>33</v>
      </c>
      <c r="W1053" t="s">
        <v>124</v>
      </c>
      <c r="X1053" t="s">
        <v>311</v>
      </c>
      <c r="Y1053" t="s">
        <v>51</v>
      </c>
    </row>
    <row r="1054" spans="1:25" x14ac:dyDescent="0.25">
      <c r="A1054">
        <v>10334</v>
      </c>
      <c r="B1054">
        <v>20</v>
      </c>
      <c r="C1054">
        <v>100</v>
      </c>
      <c r="D1054">
        <v>3</v>
      </c>
      <c r="E1054">
        <v>2878.8</v>
      </c>
      <c r="F1054" s="1">
        <v>38310</v>
      </c>
      <c r="G1054" t="s">
        <v>401</v>
      </c>
      <c r="H1054">
        <v>4</v>
      </c>
      <c r="I1054">
        <v>11</v>
      </c>
      <c r="J1054">
        <v>2004</v>
      </c>
      <c r="K1054" t="s">
        <v>181</v>
      </c>
      <c r="L1054">
        <v>169</v>
      </c>
      <c r="M1054" t="s">
        <v>604</v>
      </c>
      <c r="N1054" t="s">
        <v>183</v>
      </c>
      <c r="O1054" t="s">
        <v>184</v>
      </c>
      <c r="P1054" t="s">
        <v>185</v>
      </c>
      <c r="R1054" t="s">
        <v>186</v>
      </c>
      <c r="T1054" t="s">
        <v>187</v>
      </c>
      <c r="U1054" t="s">
        <v>188</v>
      </c>
      <c r="V1054" t="s">
        <v>42</v>
      </c>
      <c r="W1054" t="s">
        <v>189</v>
      </c>
      <c r="X1054" t="s">
        <v>190</v>
      </c>
      <c r="Y1054" t="s">
        <v>36</v>
      </c>
    </row>
    <row r="1055" spans="1:25" x14ac:dyDescent="0.25">
      <c r="A1055">
        <v>10342</v>
      </c>
      <c r="B1055">
        <v>30</v>
      </c>
      <c r="C1055">
        <v>100</v>
      </c>
      <c r="D1055">
        <v>4</v>
      </c>
      <c r="E1055">
        <v>5029.5</v>
      </c>
      <c r="F1055" s="1">
        <v>38315</v>
      </c>
      <c r="G1055" t="s">
        <v>25</v>
      </c>
      <c r="H1055">
        <v>4</v>
      </c>
      <c r="I1055">
        <v>11</v>
      </c>
      <c r="J1055">
        <v>2004</v>
      </c>
      <c r="K1055" t="s">
        <v>181</v>
      </c>
      <c r="L1055">
        <v>169</v>
      </c>
      <c r="M1055" t="s">
        <v>604</v>
      </c>
      <c r="N1055" t="s">
        <v>89</v>
      </c>
      <c r="O1055" t="s">
        <v>90</v>
      </c>
      <c r="P1055" t="s">
        <v>91</v>
      </c>
      <c r="Q1055" t="s">
        <v>92</v>
      </c>
      <c r="R1055" t="s">
        <v>93</v>
      </c>
      <c r="S1055" t="s">
        <v>94</v>
      </c>
      <c r="T1055">
        <v>3004</v>
      </c>
      <c r="U1055" t="s">
        <v>95</v>
      </c>
      <c r="V1055" t="s">
        <v>96</v>
      </c>
      <c r="W1055" t="s">
        <v>97</v>
      </c>
      <c r="X1055" t="s">
        <v>98</v>
      </c>
      <c r="Y1055" t="s">
        <v>51</v>
      </c>
    </row>
    <row r="1056" spans="1:25" x14ac:dyDescent="0.25">
      <c r="A1056">
        <v>10349</v>
      </c>
      <c r="B1056">
        <v>48</v>
      </c>
      <c r="C1056">
        <v>100</v>
      </c>
      <c r="D1056">
        <v>6</v>
      </c>
      <c r="E1056">
        <v>7396.8</v>
      </c>
      <c r="F1056" s="1">
        <v>38322</v>
      </c>
      <c r="G1056" t="s">
        <v>25</v>
      </c>
      <c r="H1056">
        <v>4</v>
      </c>
      <c r="I1056">
        <v>12</v>
      </c>
      <c r="J1056">
        <v>2004</v>
      </c>
      <c r="K1056" t="s">
        <v>181</v>
      </c>
      <c r="L1056">
        <v>169</v>
      </c>
      <c r="M1056" t="s">
        <v>604</v>
      </c>
      <c r="N1056" t="s">
        <v>475</v>
      </c>
      <c r="O1056">
        <v>2125557413</v>
      </c>
      <c r="P1056" t="s">
        <v>476</v>
      </c>
      <c r="Q1056" t="s">
        <v>477</v>
      </c>
      <c r="R1056" t="s">
        <v>30</v>
      </c>
      <c r="S1056" t="s">
        <v>31</v>
      </c>
      <c r="T1056">
        <v>10022</v>
      </c>
      <c r="U1056" t="s">
        <v>32</v>
      </c>
      <c r="V1056" t="s">
        <v>33</v>
      </c>
      <c r="W1056" t="s">
        <v>56</v>
      </c>
      <c r="X1056" t="s">
        <v>478</v>
      </c>
      <c r="Y1056" t="s">
        <v>151</v>
      </c>
    </row>
    <row r="1057" spans="1:25" x14ac:dyDescent="0.25">
      <c r="A1057">
        <v>10358</v>
      </c>
      <c r="B1057">
        <v>32</v>
      </c>
      <c r="C1057">
        <v>93.49</v>
      </c>
      <c r="D1057">
        <v>12</v>
      </c>
      <c r="E1057">
        <v>2991.68</v>
      </c>
      <c r="F1057" s="1">
        <v>38331</v>
      </c>
      <c r="G1057" t="s">
        <v>25</v>
      </c>
      <c r="H1057">
        <v>4</v>
      </c>
      <c r="I1057">
        <v>12</v>
      </c>
      <c r="J1057">
        <v>2004</v>
      </c>
      <c r="K1057" t="s">
        <v>181</v>
      </c>
      <c r="L1057">
        <v>169</v>
      </c>
      <c r="M1057" t="s">
        <v>604</v>
      </c>
      <c r="N1057" t="s">
        <v>174</v>
      </c>
      <c r="O1057" t="s">
        <v>175</v>
      </c>
      <c r="P1057" t="s">
        <v>176</v>
      </c>
      <c r="R1057" t="s">
        <v>177</v>
      </c>
      <c r="T1057">
        <v>28034</v>
      </c>
      <c r="U1057" t="s">
        <v>178</v>
      </c>
      <c r="V1057" t="s">
        <v>42</v>
      </c>
      <c r="W1057" t="s">
        <v>179</v>
      </c>
      <c r="X1057" t="s">
        <v>180</v>
      </c>
      <c r="Y1057" t="s">
        <v>36</v>
      </c>
    </row>
    <row r="1058" spans="1:25" x14ac:dyDescent="0.25">
      <c r="A1058">
        <v>10366</v>
      </c>
      <c r="B1058">
        <v>34</v>
      </c>
      <c r="C1058">
        <v>100</v>
      </c>
      <c r="D1058">
        <v>1</v>
      </c>
      <c r="E1058">
        <v>6275.72</v>
      </c>
      <c r="F1058" s="1">
        <v>38362</v>
      </c>
      <c r="G1058" t="s">
        <v>25</v>
      </c>
      <c r="H1058">
        <v>1</v>
      </c>
      <c r="I1058">
        <v>1</v>
      </c>
      <c r="J1058">
        <v>2005</v>
      </c>
      <c r="K1058" t="s">
        <v>181</v>
      </c>
      <c r="L1058">
        <v>169</v>
      </c>
      <c r="M1058" t="s">
        <v>604</v>
      </c>
      <c r="N1058" t="s">
        <v>577</v>
      </c>
      <c r="O1058" t="s">
        <v>578</v>
      </c>
      <c r="P1058" t="s">
        <v>579</v>
      </c>
      <c r="R1058" t="s">
        <v>580</v>
      </c>
      <c r="T1058" t="s">
        <v>581</v>
      </c>
      <c r="U1058" t="s">
        <v>370</v>
      </c>
      <c r="V1058" t="s">
        <v>42</v>
      </c>
      <c r="W1058" t="s">
        <v>582</v>
      </c>
      <c r="X1058" t="s">
        <v>583</v>
      </c>
      <c r="Y1058" t="s">
        <v>51</v>
      </c>
    </row>
    <row r="1059" spans="1:25" x14ac:dyDescent="0.25">
      <c r="A1059">
        <v>10370</v>
      </c>
      <c r="B1059">
        <v>27</v>
      </c>
      <c r="C1059">
        <v>56.85</v>
      </c>
      <c r="D1059">
        <v>9</v>
      </c>
      <c r="E1059">
        <v>1534.95</v>
      </c>
      <c r="F1059" s="1">
        <v>38372</v>
      </c>
      <c r="G1059" t="s">
        <v>25</v>
      </c>
      <c r="H1059">
        <v>1</v>
      </c>
      <c r="I1059">
        <v>1</v>
      </c>
      <c r="J1059">
        <v>2005</v>
      </c>
      <c r="K1059" t="s">
        <v>181</v>
      </c>
      <c r="L1059">
        <v>169</v>
      </c>
      <c r="M1059" t="s">
        <v>604</v>
      </c>
      <c r="N1059" t="s">
        <v>285</v>
      </c>
      <c r="O1059" t="s">
        <v>286</v>
      </c>
      <c r="P1059" t="s">
        <v>287</v>
      </c>
      <c r="Q1059" t="s">
        <v>288</v>
      </c>
      <c r="R1059" t="s">
        <v>289</v>
      </c>
      <c r="S1059" t="s">
        <v>157</v>
      </c>
      <c r="T1059">
        <v>2060</v>
      </c>
      <c r="U1059" t="s">
        <v>95</v>
      </c>
      <c r="V1059" t="s">
        <v>96</v>
      </c>
      <c r="W1059" t="s">
        <v>290</v>
      </c>
      <c r="X1059" t="s">
        <v>291</v>
      </c>
      <c r="Y1059" t="s">
        <v>36</v>
      </c>
    </row>
    <row r="1060" spans="1:25" x14ac:dyDescent="0.25">
      <c r="A1060">
        <v>10377</v>
      </c>
      <c r="B1060">
        <v>39</v>
      </c>
      <c r="C1060">
        <v>100</v>
      </c>
      <c r="D1060">
        <v>3</v>
      </c>
      <c r="E1060">
        <v>7264.53</v>
      </c>
      <c r="F1060" s="1">
        <v>38392</v>
      </c>
      <c r="G1060" t="s">
        <v>25</v>
      </c>
      <c r="H1060">
        <v>1</v>
      </c>
      <c r="I1060">
        <v>2</v>
      </c>
      <c r="J1060">
        <v>2005</v>
      </c>
      <c r="K1060" t="s">
        <v>181</v>
      </c>
      <c r="L1060">
        <v>169</v>
      </c>
      <c r="M1060" t="s">
        <v>604</v>
      </c>
      <c r="N1060" t="s">
        <v>126</v>
      </c>
      <c r="O1060" t="s">
        <v>127</v>
      </c>
      <c r="P1060" t="s">
        <v>128</v>
      </c>
      <c r="R1060" t="s">
        <v>129</v>
      </c>
      <c r="T1060">
        <v>21240</v>
      </c>
      <c r="U1060" t="s">
        <v>130</v>
      </c>
      <c r="V1060" t="s">
        <v>42</v>
      </c>
      <c r="W1060" t="s">
        <v>131</v>
      </c>
      <c r="X1060" t="s">
        <v>132</v>
      </c>
      <c r="Y1060" t="s">
        <v>151</v>
      </c>
    </row>
    <row r="1061" spans="1:25" x14ac:dyDescent="0.25">
      <c r="A1061">
        <v>10383</v>
      </c>
      <c r="B1061">
        <v>47</v>
      </c>
      <c r="C1061">
        <v>100</v>
      </c>
      <c r="D1061">
        <v>6</v>
      </c>
      <c r="E1061">
        <v>6869.05</v>
      </c>
      <c r="F1061" s="1">
        <v>38405</v>
      </c>
      <c r="G1061" t="s">
        <v>25</v>
      </c>
      <c r="H1061">
        <v>1</v>
      </c>
      <c r="I1061">
        <v>2</v>
      </c>
      <c r="J1061">
        <v>2005</v>
      </c>
      <c r="K1061" t="s">
        <v>181</v>
      </c>
      <c r="L1061">
        <v>169</v>
      </c>
      <c r="M1061" t="s">
        <v>604</v>
      </c>
      <c r="N1061" t="s">
        <v>174</v>
      </c>
      <c r="O1061" t="s">
        <v>175</v>
      </c>
      <c r="P1061" t="s">
        <v>176</v>
      </c>
      <c r="R1061" t="s">
        <v>177</v>
      </c>
      <c r="T1061">
        <v>28034</v>
      </c>
      <c r="U1061" t="s">
        <v>178</v>
      </c>
      <c r="V1061" t="s">
        <v>42</v>
      </c>
      <c r="W1061" t="s">
        <v>179</v>
      </c>
      <c r="X1061" t="s">
        <v>180</v>
      </c>
      <c r="Y1061" t="s">
        <v>51</v>
      </c>
    </row>
    <row r="1062" spans="1:25" x14ac:dyDescent="0.25">
      <c r="A1062">
        <v>10394</v>
      </c>
      <c r="B1062">
        <v>22</v>
      </c>
      <c r="C1062">
        <v>100</v>
      </c>
      <c r="D1062">
        <v>5</v>
      </c>
      <c r="E1062">
        <v>3353.02</v>
      </c>
      <c r="F1062" s="1">
        <v>38426</v>
      </c>
      <c r="G1062" t="s">
        <v>25</v>
      </c>
      <c r="H1062">
        <v>1</v>
      </c>
      <c r="I1062">
        <v>3</v>
      </c>
      <c r="J1062">
        <v>2005</v>
      </c>
      <c r="K1062" t="s">
        <v>181</v>
      </c>
      <c r="L1062">
        <v>169</v>
      </c>
      <c r="M1062" t="s">
        <v>604</v>
      </c>
      <c r="N1062" t="s">
        <v>174</v>
      </c>
      <c r="O1062" t="s">
        <v>175</v>
      </c>
      <c r="P1062" t="s">
        <v>176</v>
      </c>
      <c r="R1062" t="s">
        <v>177</v>
      </c>
      <c r="T1062">
        <v>28034</v>
      </c>
      <c r="U1062" t="s">
        <v>178</v>
      </c>
      <c r="V1062" t="s">
        <v>42</v>
      </c>
      <c r="W1062" t="s">
        <v>179</v>
      </c>
      <c r="X1062" t="s">
        <v>180</v>
      </c>
      <c r="Y1062" t="s">
        <v>51</v>
      </c>
    </row>
    <row r="1063" spans="1:25" x14ac:dyDescent="0.25">
      <c r="A1063">
        <v>10405</v>
      </c>
      <c r="B1063">
        <v>55</v>
      </c>
      <c r="C1063">
        <v>100</v>
      </c>
      <c r="D1063">
        <v>1</v>
      </c>
      <c r="E1063">
        <v>8289.0499999999993</v>
      </c>
      <c r="F1063" s="1">
        <v>38456</v>
      </c>
      <c r="G1063" t="s">
        <v>25</v>
      </c>
      <c r="H1063">
        <v>2</v>
      </c>
      <c r="I1063">
        <v>4</v>
      </c>
      <c r="J1063">
        <v>2005</v>
      </c>
      <c r="K1063" t="s">
        <v>181</v>
      </c>
      <c r="L1063">
        <v>169</v>
      </c>
      <c r="M1063" t="s">
        <v>604</v>
      </c>
      <c r="N1063" t="s">
        <v>531</v>
      </c>
      <c r="O1063" t="s">
        <v>532</v>
      </c>
      <c r="P1063" t="s">
        <v>533</v>
      </c>
      <c r="R1063" t="s">
        <v>534</v>
      </c>
      <c r="T1063">
        <v>67000</v>
      </c>
      <c r="U1063" t="s">
        <v>41</v>
      </c>
      <c r="V1063" t="s">
        <v>42</v>
      </c>
      <c r="W1063" t="s">
        <v>535</v>
      </c>
      <c r="X1063" t="s">
        <v>536</v>
      </c>
      <c r="Y1063" t="s">
        <v>151</v>
      </c>
    </row>
    <row r="1064" spans="1:25" x14ac:dyDescent="0.25">
      <c r="A1064">
        <v>10412</v>
      </c>
      <c r="B1064">
        <v>60</v>
      </c>
      <c r="C1064">
        <v>100</v>
      </c>
      <c r="D1064">
        <v>9</v>
      </c>
      <c r="E1064">
        <v>11887.8</v>
      </c>
      <c r="F1064" s="1">
        <v>38475</v>
      </c>
      <c r="G1064" t="s">
        <v>25</v>
      </c>
      <c r="H1064">
        <v>2</v>
      </c>
      <c r="I1064">
        <v>5</v>
      </c>
      <c r="J1064">
        <v>2005</v>
      </c>
      <c r="K1064" t="s">
        <v>181</v>
      </c>
      <c r="L1064">
        <v>169</v>
      </c>
      <c r="M1064" t="s">
        <v>604</v>
      </c>
      <c r="N1064" t="s">
        <v>174</v>
      </c>
      <c r="O1064" t="s">
        <v>175</v>
      </c>
      <c r="P1064" t="s">
        <v>176</v>
      </c>
      <c r="R1064" t="s">
        <v>177</v>
      </c>
      <c r="T1064">
        <v>28034</v>
      </c>
      <c r="U1064" t="s">
        <v>178</v>
      </c>
      <c r="V1064" t="s">
        <v>42</v>
      </c>
      <c r="W1064" t="s">
        <v>179</v>
      </c>
      <c r="X1064" t="s">
        <v>180</v>
      </c>
      <c r="Y1064" t="s">
        <v>151</v>
      </c>
    </row>
    <row r="1065" spans="1:25" x14ac:dyDescent="0.25">
      <c r="A1065">
        <v>10419</v>
      </c>
      <c r="B1065">
        <v>35</v>
      </c>
      <c r="C1065">
        <v>100</v>
      </c>
      <c r="D1065">
        <v>6</v>
      </c>
      <c r="E1065">
        <v>5926.9</v>
      </c>
      <c r="F1065" s="1">
        <v>38489</v>
      </c>
      <c r="G1065" t="s">
        <v>25</v>
      </c>
      <c r="H1065">
        <v>2</v>
      </c>
      <c r="I1065">
        <v>5</v>
      </c>
      <c r="J1065">
        <v>2005</v>
      </c>
      <c r="K1065" t="s">
        <v>181</v>
      </c>
      <c r="L1065">
        <v>169</v>
      </c>
      <c r="M1065" t="s">
        <v>604</v>
      </c>
      <c r="N1065" t="s">
        <v>144</v>
      </c>
      <c r="O1065" t="s">
        <v>145</v>
      </c>
      <c r="P1065" t="s">
        <v>146</v>
      </c>
      <c r="R1065" t="s">
        <v>147</v>
      </c>
      <c r="T1065">
        <v>5020</v>
      </c>
      <c r="U1065" t="s">
        <v>148</v>
      </c>
      <c r="V1065" t="s">
        <v>42</v>
      </c>
      <c r="W1065" t="s">
        <v>149</v>
      </c>
      <c r="X1065" t="s">
        <v>150</v>
      </c>
      <c r="Y1065" t="s">
        <v>51</v>
      </c>
    </row>
    <row r="1066" spans="1:25" x14ac:dyDescent="0.25">
      <c r="A1066">
        <v>10425</v>
      </c>
      <c r="B1066">
        <v>28</v>
      </c>
      <c r="C1066">
        <v>100</v>
      </c>
      <c r="D1066">
        <v>8</v>
      </c>
      <c r="E1066">
        <v>3793.16</v>
      </c>
      <c r="F1066" s="1">
        <v>38503</v>
      </c>
      <c r="G1066" t="s">
        <v>300</v>
      </c>
      <c r="H1066">
        <v>2</v>
      </c>
      <c r="I1066">
        <v>5</v>
      </c>
      <c r="J1066">
        <v>2005</v>
      </c>
      <c r="K1066" t="s">
        <v>181</v>
      </c>
      <c r="L1066">
        <v>169</v>
      </c>
      <c r="M1066" t="s">
        <v>604</v>
      </c>
      <c r="N1066" t="s">
        <v>114</v>
      </c>
      <c r="O1066" t="s">
        <v>115</v>
      </c>
      <c r="P1066" t="s">
        <v>116</v>
      </c>
      <c r="R1066" t="s">
        <v>117</v>
      </c>
      <c r="T1066">
        <v>44000</v>
      </c>
      <c r="U1066" t="s">
        <v>41</v>
      </c>
      <c r="V1066" t="s">
        <v>42</v>
      </c>
      <c r="W1066" t="s">
        <v>118</v>
      </c>
      <c r="X1066" t="s">
        <v>119</v>
      </c>
      <c r="Y1066" t="s">
        <v>51</v>
      </c>
    </row>
    <row r="1067" spans="1:25" x14ac:dyDescent="0.25">
      <c r="A1067">
        <v>10105</v>
      </c>
      <c r="B1067">
        <v>38</v>
      </c>
      <c r="C1067">
        <v>100</v>
      </c>
      <c r="D1067">
        <v>13</v>
      </c>
      <c r="E1067">
        <v>4330.1000000000004</v>
      </c>
      <c r="F1067" s="1">
        <v>37663</v>
      </c>
      <c r="G1067" t="s">
        <v>25</v>
      </c>
      <c r="H1067">
        <v>1</v>
      </c>
      <c r="I1067">
        <v>2</v>
      </c>
      <c r="J1067">
        <v>2003</v>
      </c>
      <c r="K1067" t="s">
        <v>605</v>
      </c>
      <c r="L1067">
        <v>100</v>
      </c>
      <c r="M1067" t="s">
        <v>606</v>
      </c>
      <c r="N1067" t="s">
        <v>322</v>
      </c>
      <c r="O1067" t="s">
        <v>323</v>
      </c>
      <c r="P1067" t="s">
        <v>324</v>
      </c>
      <c r="R1067" t="s">
        <v>325</v>
      </c>
      <c r="T1067">
        <v>1734</v>
      </c>
      <c r="U1067" t="s">
        <v>326</v>
      </c>
      <c r="V1067" t="s">
        <v>42</v>
      </c>
      <c r="W1067" t="s">
        <v>327</v>
      </c>
      <c r="X1067" t="s">
        <v>328</v>
      </c>
      <c r="Y1067" t="s">
        <v>51</v>
      </c>
    </row>
    <row r="1068" spans="1:25" x14ac:dyDescent="0.25">
      <c r="A1068">
        <v>10117</v>
      </c>
      <c r="B1068">
        <v>21</v>
      </c>
      <c r="C1068">
        <v>95.8</v>
      </c>
      <c r="D1068">
        <v>7</v>
      </c>
      <c r="E1068">
        <v>2011.8</v>
      </c>
      <c r="F1068" s="1">
        <v>37727</v>
      </c>
      <c r="G1068" t="s">
        <v>25</v>
      </c>
      <c r="H1068">
        <v>2</v>
      </c>
      <c r="I1068">
        <v>4</v>
      </c>
      <c r="J1068">
        <v>2003</v>
      </c>
      <c r="K1068" t="s">
        <v>605</v>
      </c>
      <c r="L1068">
        <v>100</v>
      </c>
      <c r="M1068" t="s">
        <v>606</v>
      </c>
      <c r="N1068" t="s">
        <v>196</v>
      </c>
      <c r="O1068" t="s">
        <v>197</v>
      </c>
      <c r="P1068" t="s">
        <v>198</v>
      </c>
      <c r="R1068" t="s">
        <v>199</v>
      </c>
      <c r="T1068">
        <v>79903</v>
      </c>
      <c r="U1068" t="s">
        <v>199</v>
      </c>
      <c r="V1068" t="s">
        <v>200</v>
      </c>
      <c r="W1068" t="s">
        <v>201</v>
      </c>
      <c r="X1068" t="s">
        <v>202</v>
      </c>
      <c r="Y1068" t="s">
        <v>36</v>
      </c>
    </row>
    <row r="1069" spans="1:25" x14ac:dyDescent="0.25">
      <c r="A1069">
        <v>10128</v>
      </c>
      <c r="B1069">
        <v>41</v>
      </c>
      <c r="C1069">
        <v>100</v>
      </c>
      <c r="D1069">
        <v>4</v>
      </c>
      <c r="E1069">
        <v>4837.18</v>
      </c>
      <c r="F1069" s="1">
        <v>37778</v>
      </c>
      <c r="G1069" t="s">
        <v>25</v>
      </c>
      <c r="H1069">
        <v>2</v>
      </c>
      <c r="I1069">
        <v>6</v>
      </c>
      <c r="J1069">
        <v>2003</v>
      </c>
      <c r="K1069" t="s">
        <v>605</v>
      </c>
      <c r="L1069">
        <v>100</v>
      </c>
      <c r="M1069" t="s">
        <v>606</v>
      </c>
      <c r="N1069" t="s">
        <v>174</v>
      </c>
      <c r="O1069" t="s">
        <v>175</v>
      </c>
      <c r="P1069" t="s">
        <v>176</v>
      </c>
      <c r="R1069" t="s">
        <v>177</v>
      </c>
      <c r="T1069">
        <v>28034</v>
      </c>
      <c r="U1069" t="s">
        <v>178</v>
      </c>
      <c r="V1069" t="s">
        <v>42</v>
      </c>
      <c r="W1069" t="s">
        <v>179</v>
      </c>
      <c r="X1069" t="s">
        <v>180</v>
      </c>
      <c r="Y1069" t="s">
        <v>51</v>
      </c>
    </row>
    <row r="1070" spans="1:25" x14ac:dyDescent="0.25">
      <c r="A1070">
        <v>10142</v>
      </c>
      <c r="B1070">
        <v>22</v>
      </c>
      <c r="C1070">
        <v>97.81</v>
      </c>
      <c r="D1070">
        <v>10</v>
      </c>
      <c r="E1070">
        <v>2151.8200000000002</v>
      </c>
      <c r="F1070" s="1">
        <v>37841</v>
      </c>
      <c r="G1070" t="s">
        <v>25</v>
      </c>
      <c r="H1070">
        <v>3</v>
      </c>
      <c r="I1070">
        <v>8</v>
      </c>
      <c r="J1070">
        <v>2003</v>
      </c>
      <c r="K1070" t="s">
        <v>605</v>
      </c>
      <c r="L1070">
        <v>100</v>
      </c>
      <c r="M1070" t="s">
        <v>606</v>
      </c>
      <c r="N1070" t="s">
        <v>272</v>
      </c>
      <c r="O1070">
        <v>4155551450</v>
      </c>
      <c r="P1070" t="s">
        <v>273</v>
      </c>
      <c r="R1070" t="s">
        <v>274</v>
      </c>
      <c r="S1070" t="s">
        <v>55</v>
      </c>
      <c r="T1070">
        <v>97562</v>
      </c>
      <c r="U1070" t="s">
        <v>32</v>
      </c>
      <c r="V1070" t="s">
        <v>33</v>
      </c>
      <c r="W1070" t="s">
        <v>275</v>
      </c>
      <c r="X1070" t="s">
        <v>276</v>
      </c>
      <c r="Y1070" t="s">
        <v>36</v>
      </c>
    </row>
    <row r="1071" spans="1:25" x14ac:dyDescent="0.25">
      <c r="A1071">
        <v>10153</v>
      </c>
      <c r="B1071">
        <v>29</v>
      </c>
      <c r="C1071">
        <v>88.74</v>
      </c>
      <c r="D1071">
        <v>9</v>
      </c>
      <c r="E1071">
        <v>2573.46</v>
      </c>
      <c r="F1071" s="1">
        <v>37892</v>
      </c>
      <c r="G1071" t="s">
        <v>25</v>
      </c>
      <c r="H1071">
        <v>3</v>
      </c>
      <c r="I1071">
        <v>9</v>
      </c>
      <c r="J1071">
        <v>2003</v>
      </c>
      <c r="K1071" t="s">
        <v>605</v>
      </c>
      <c r="L1071">
        <v>100</v>
      </c>
      <c r="M1071" t="s">
        <v>606</v>
      </c>
      <c r="N1071" t="s">
        <v>174</v>
      </c>
      <c r="O1071" t="s">
        <v>175</v>
      </c>
      <c r="P1071" t="s">
        <v>176</v>
      </c>
      <c r="R1071" t="s">
        <v>177</v>
      </c>
      <c r="T1071">
        <v>28034</v>
      </c>
      <c r="U1071" t="s">
        <v>178</v>
      </c>
      <c r="V1071" t="s">
        <v>42</v>
      </c>
      <c r="W1071" t="s">
        <v>179</v>
      </c>
      <c r="X1071" t="s">
        <v>180</v>
      </c>
      <c r="Y1071" t="s">
        <v>36</v>
      </c>
    </row>
    <row r="1072" spans="1:25" x14ac:dyDescent="0.25">
      <c r="A1072">
        <v>10165</v>
      </c>
      <c r="B1072">
        <v>50</v>
      </c>
      <c r="C1072">
        <v>100</v>
      </c>
      <c r="D1072">
        <v>1</v>
      </c>
      <c r="E1072">
        <v>5344.5</v>
      </c>
      <c r="F1072" s="1">
        <v>37916</v>
      </c>
      <c r="G1072" t="s">
        <v>25</v>
      </c>
      <c r="H1072">
        <v>4</v>
      </c>
      <c r="I1072">
        <v>10</v>
      </c>
      <c r="J1072">
        <v>2003</v>
      </c>
      <c r="K1072" t="s">
        <v>605</v>
      </c>
      <c r="L1072">
        <v>100</v>
      </c>
      <c r="M1072" t="s">
        <v>606</v>
      </c>
      <c r="N1072" t="s">
        <v>196</v>
      </c>
      <c r="O1072" t="s">
        <v>197</v>
      </c>
      <c r="P1072" t="s">
        <v>198</v>
      </c>
      <c r="R1072" t="s">
        <v>199</v>
      </c>
      <c r="T1072">
        <v>79903</v>
      </c>
      <c r="U1072" t="s">
        <v>199</v>
      </c>
      <c r="V1072" t="s">
        <v>200</v>
      </c>
      <c r="W1072" t="s">
        <v>201</v>
      </c>
      <c r="X1072" t="s">
        <v>202</v>
      </c>
      <c r="Y1072" t="s">
        <v>51</v>
      </c>
    </row>
    <row r="1073" spans="1:25" x14ac:dyDescent="0.25">
      <c r="A1073">
        <v>10177</v>
      </c>
      <c r="B1073">
        <v>29</v>
      </c>
      <c r="C1073">
        <v>100</v>
      </c>
      <c r="D1073">
        <v>11</v>
      </c>
      <c r="E1073">
        <v>3070.52</v>
      </c>
      <c r="F1073" s="1">
        <v>37932</v>
      </c>
      <c r="G1073" t="s">
        <v>25</v>
      </c>
      <c r="H1073">
        <v>4</v>
      </c>
      <c r="I1073">
        <v>11</v>
      </c>
      <c r="J1073">
        <v>2003</v>
      </c>
      <c r="K1073" t="s">
        <v>605</v>
      </c>
      <c r="L1073">
        <v>100</v>
      </c>
      <c r="M1073" t="s">
        <v>606</v>
      </c>
      <c r="N1073" t="s">
        <v>487</v>
      </c>
      <c r="O1073" t="s">
        <v>488</v>
      </c>
      <c r="P1073" t="s">
        <v>489</v>
      </c>
      <c r="R1073" t="s">
        <v>177</v>
      </c>
      <c r="T1073">
        <v>28023</v>
      </c>
      <c r="U1073" t="s">
        <v>178</v>
      </c>
      <c r="V1073" t="s">
        <v>42</v>
      </c>
      <c r="W1073" t="s">
        <v>490</v>
      </c>
      <c r="X1073" t="s">
        <v>491</v>
      </c>
      <c r="Y1073" t="s">
        <v>51</v>
      </c>
    </row>
    <row r="1074" spans="1:25" x14ac:dyDescent="0.25">
      <c r="A1074">
        <v>10185</v>
      </c>
      <c r="B1074">
        <v>49</v>
      </c>
      <c r="C1074">
        <v>80.67</v>
      </c>
      <c r="D1074">
        <v>11</v>
      </c>
      <c r="E1074">
        <v>3952.83</v>
      </c>
      <c r="F1074" s="1">
        <v>37939</v>
      </c>
      <c r="G1074" t="s">
        <v>25</v>
      </c>
      <c r="H1074">
        <v>4</v>
      </c>
      <c r="I1074">
        <v>11</v>
      </c>
      <c r="J1074">
        <v>2003</v>
      </c>
      <c r="K1074" t="s">
        <v>605</v>
      </c>
      <c r="L1074">
        <v>100</v>
      </c>
      <c r="M1074" t="s">
        <v>606</v>
      </c>
      <c r="N1074" t="s">
        <v>335</v>
      </c>
      <c r="O1074">
        <v>5085559555</v>
      </c>
      <c r="P1074" t="s">
        <v>336</v>
      </c>
      <c r="R1074" t="s">
        <v>162</v>
      </c>
      <c r="S1074" t="s">
        <v>123</v>
      </c>
      <c r="T1074">
        <v>50553</v>
      </c>
      <c r="U1074" t="s">
        <v>32</v>
      </c>
      <c r="V1074" t="s">
        <v>33</v>
      </c>
      <c r="W1074" t="s">
        <v>337</v>
      </c>
      <c r="X1074" t="s">
        <v>338</v>
      </c>
      <c r="Y1074" t="s">
        <v>51</v>
      </c>
    </row>
    <row r="1075" spans="1:25" x14ac:dyDescent="0.25">
      <c r="A1075">
        <v>10196</v>
      </c>
      <c r="B1075">
        <v>35</v>
      </c>
      <c r="C1075">
        <v>100</v>
      </c>
      <c r="D1075">
        <v>3</v>
      </c>
      <c r="E1075">
        <v>3564.75</v>
      </c>
      <c r="F1075" s="1">
        <v>37951</v>
      </c>
      <c r="G1075" t="s">
        <v>25</v>
      </c>
      <c r="H1075">
        <v>4</v>
      </c>
      <c r="I1075">
        <v>11</v>
      </c>
      <c r="J1075">
        <v>2003</v>
      </c>
      <c r="K1075" t="s">
        <v>605</v>
      </c>
      <c r="L1075">
        <v>100</v>
      </c>
      <c r="M1075" t="s">
        <v>606</v>
      </c>
      <c r="N1075" t="s">
        <v>242</v>
      </c>
      <c r="O1075">
        <v>2035559545</v>
      </c>
      <c r="P1075" t="s">
        <v>243</v>
      </c>
      <c r="R1075" t="s">
        <v>244</v>
      </c>
      <c r="S1075" t="s">
        <v>112</v>
      </c>
      <c r="T1075">
        <v>97823</v>
      </c>
      <c r="U1075" t="s">
        <v>32</v>
      </c>
      <c r="V1075" t="s">
        <v>33</v>
      </c>
      <c r="W1075" t="s">
        <v>83</v>
      </c>
      <c r="X1075" t="s">
        <v>245</v>
      </c>
      <c r="Y1075" t="s">
        <v>51</v>
      </c>
    </row>
    <row r="1076" spans="1:25" x14ac:dyDescent="0.25">
      <c r="A1076">
        <v>10208</v>
      </c>
      <c r="B1076">
        <v>48</v>
      </c>
      <c r="C1076">
        <v>100</v>
      </c>
      <c r="D1076">
        <v>11</v>
      </c>
      <c r="E1076">
        <v>5614.56</v>
      </c>
      <c r="F1076" s="1">
        <v>37988</v>
      </c>
      <c r="G1076" t="s">
        <v>25</v>
      </c>
      <c r="H1076">
        <v>1</v>
      </c>
      <c r="I1076">
        <v>1</v>
      </c>
      <c r="J1076">
        <v>2004</v>
      </c>
      <c r="K1076" t="s">
        <v>605</v>
      </c>
      <c r="L1076">
        <v>100</v>
      </c>
      <c r="M1076" t="s">
        <v>606</v>
      </c>
      <c r="N1076" t="s">
        <v>219</v>
      </c>
      <c r="O1076" t="s">
        <v>220</v>
      </c>
      <c r="P1076" t="s">
        <v>221</v>
      </c>
      <c r="R1076" t="s">
        <v>222</v>
      </c>
      <c r="T1076">
        <v>69004</v>
      </c>
      <c r="U1076" t="s">
        <v>41</v>
      </c>
      <c r="V1076" t="s">
        <v>42</v>
      </c>
      <c r="W1076" t="s">
        <v>223</v>
      </c>
      <c r="X1076" t="s">
        <v>224</v>
      </c>
      <c r="Y1076" t="s">
        <v>51</v>
      </c>
    </row>
    <row r="1077" spans="1:25" x14ac:dyDescent="0.25">
      <c r="A1077">
        <v>10221</v>
      </c>
      <c r="B1077">
        <v>23</v>
      </c>
      <c r="C1077">
        <v>80.67</v>
      </c>
      <c r="D1077">
        <v>5</v>
      </c>
      <c r="E1077">
        <v>1855.41</v>
      </c>
      <c r="F1077" s="1">
        <v>38035</v>
      </c>
      <c r="G1077" t="s">
        <v>25</v>
      </c>
      <c r="H1077">
        <v>1</v>
      </c>
      <c r="I1077">
        <v>2</v>
      </c>
      <c r="J1077">
        <v>2004</v>
      </c>
      <c r="K1077" t="s">
        <v>605</v>
      </c>
      <c r="L1077">
        <v>100</v>
      </c>
      <c r="M1077" t="s">
        <v>606</v>
      </c>
      <c r="N1077" t="s">
        <v>365</v>
      </c>
      <c r="O1077" t="s">
        <v>366</v>
      </c>
      <c r="P1077" t="s">
        <v>367</v>
      </c>
      <c r="R1077" t="s">
        <v>368</v>
      </c>
      <c r="T1077" t="s">
        <v>369</v>
      </c>
      <c r="U1077" t="s">
        <v>370</v>
      </c>
      <c r="V1077" t="s">
        <v>42</v>
      </c>
      <c r="W1077" t="s">
        <v>371</v>
      </c>
      <c r="X1077" t="s">
        <v>372</v>
      </c>
      <c r="Y1077" t="s">
        <v>36</v>
      </c>
    </row>
    <row r="1078" spans="1:25" x14ac:dyDescent="0.25">
      <c r="A1078">
        <v>10232</v>
      </c>
      <c r="B1078">
        <v>48</v>
      </c>
      <c r="C1078">
        <v>95.8</v>
      </c>
      <c r="D1078">
        <v>8</v>
      </c>
      <c r="E1078">
        <v>4598.3999999999996</v>
      </c>
      <c r="F1078" s="1">
        <v>38066</v>
      </c>
      <c r="G1078" t="s">
        <v>25</v>
      </c>
      <c r="H1078">
        <v>1</v>
      </c>
      <c r="I1078">
        <v>3</v>
      </c>
      <c r="J1078">
        <v>2004</v>
      </c>
      <c r="K1078" t="s">
        <v>605</v>
      </c>
      <c r="L1078">
        <v>100</v>
      </c>
      <c r="M1078" t="s">
        <v>606</v>
      </c>
      <c r="N1078" t="s">
        <v>383</v>
      </c>
      <c r="O1078" t="s">
        <v>384</v>
      </c>
      <c r="P1078" t="s">
        <v>385</v>
      </c>
      <c r="R1078" t="s">
        <v>386</v>
      </c>
      <c r="S1078" t="s">
        <v>387</v>
      </c>
      <c r="T1078" t="s">
        <v>388</v>
      </c>
      <c r="U1078" t="s">
        <v>170</v>
      </c>
      <c r="V1078" t="s">
        <v>42</v>
      </c>
      <c r="W1078" t="s">
        <v>389</v>
      </c>
      <c r="X1078" t="s">
        <v>390</v>
      </c>
      <c r="Y1078" t="s">
        <v>51</v>
      </c>
    </row>
    <row r="1079" spans="1:25" x14ac:dyDescent="0.25">
      <c r="A1079">
        <v>10248</v>
      </c>
      <c r="B1079">
        <v>42</v>
      </c>
      <c r="C1079">
        <v>100</v>
      </c>
      <c r="D1079">
        <v>14</v>
      </c>
      <c r="E1079">
        <v>5082.42</v>
      </c>
      <c r="F1079" s="1">
        <v>38114</v>
      </c>
      <c r="G1079" t="s">
        <v>339</v>
      </c>
      <c r="H1079">
        <v>2</v>
      </c>
      <c r="I1079">
        <v>5</v>
      </c>
      <c r="J1079">
        <v>2004</v>
      </c>
      <c r="K1079" t="s">
        <v>605</v>
      </c>
      <c r="L1079">
        <v>100</v>
      </c>
      <c r="M1079" t="s">
        <v>606</v>
      </c>
      <c r="N1079" t="s">
        <v>28</v>
      </c>
      <c r="O1079">
        <v>2125557818</v>
      </c>
      <c r="P1079" t="s">
        <v>29</v>
      </c>
      <c r="R1079" t="s">
        <v>30</v>
      </c>
      <c r="S1079" t="s">
        <v>31</v>
      </c>
      <c r="T1079">
        <v>10022</v>
      </c>
      <c r="U1079" t="s">
        <v>32</v>
      </c>
      <c r="V1079" t="s">
        <v>33</v>
      </c>
      <c r="W1079" t="s">
        <v>34</v>
      </c>
      <c r="X1079" t="s">
        <v>35</v>
      </c>
      <c r="Y1079" t="s">
        <v>51</v>
      </c>
    </row>
    <row r="1080" spans="1:25" x14ac:dyDescent="0.25">
      <c r="A1080">
        <v>10273</v>
      </c>
      <c r="B1080">
        <v>47</v>
      </c>
      <c r="C1080">
        <v>100</v>
      </c>
      <c r="D1080">
        <v>15</v>
      </c>
      <c r="E1080">
        <v>5450.59</v>
      </c>
      <c r="F1080" s="1">
        <v>38189</v>
      </c>
      <c r="G1080" t="s">
        <v>25</v>
      </c>
      <c r="H1080">
        <v>3</v>
      </c>
      <c r="I1080">
        <v>7</v>
      </c>
      <c r="J1080">
        <v>2004</v>
      </c>
      <c r="K1080" t="s">
        <v>605</v>
      </c>
      <c r="L1080">
        <v>100</v>
      </c>
      <c r="M1080" t="s">
        <v>606</v>
      </c>
      <c r="N1080" t="s">
        <v>365</v>
      </c>
      <c r="O1080" t="s">
        <v>366</v>
      </c>
      <c r="P1080" t="s">
        <v>367</v>
      </c>
      <c r="R1080" t="s">
        <v>368</v>
      </c>
      <c r="T1080" t="s">
        <v>369</v>
      </c>
      <c r="U1080" t="s">
        <v>370</v>
      </c>
      <c r="V1080" t="s">
        <v>42</v>
      </c>
      <c r="W1080" t="s">
        <v>371</v>
      </c>
      <c r="X1080" t="s">
        <v>372</v>
      </c>
      <c r="Y1080" t="s">
        <v>51</v>
      </c>
    </row>
    <row r="1081" spans="1:25" x14ac:dyDescent="0.25">
      <c r="A1081">
        <v>10282</v>
      </c>
      <c r="B1081">
        <v>36</v>
      </c>
      <c r="C1081">
        <v>100</v>
      </c>
      <c r="D1081">
        <v>3</v>
      </c>
      <c r="E1081">
        <v>4174.92</v>
      </c>
      <c r="F1081" s="1">
        <v>38219</v>
      </c>
      <c r="G1081" t="s">
        <v>25</v>
      </c>
      <c r="H1081">
        <v>3</v>
      </c>
      <c r="I1081">
        <v>8</v>
      </c>
      <c r="J1081">
        <v>2004</v>
      </c>
      <c r="K1081" t="s">
        <v>605</v>
      </c>
      <c r="L1081">
        <v>100</v>
      </c>
      <c r="M1081" t="s">
        <v>606</v>
      </c>
      <c r="N1081" t="s">
        <v>272</v>
      </c>
      <c r="O1081">
        <v>4155551450</v>
      </c>
      <c r="P1081" t="s">
        <v>273</v>
      </c>
      <c r="R1081" t="s">
        <v>274</v>
      </c>
      <c r="S1081" t="s">
        <v>55</v>
      </c>
      <c r="T1081">
        <v>97562</v>
      </c>
      <c r="U1081" t="s">
        <v>32</v>
      </c>
      <c r="V1081" t="s">
        <v>33</v>
      </c>
      <c r="W1081" t="s">
        <v>275</v>
      </c>
      <c r="X1081" t="s">
        <v>276</v>
      </c>
      <c r="Y1081" t="s">
        <v>51</v>
      </c>
    </row>
    <row r="1082" spans="1:25" x14ac:dyDescent="0.25">
      <c r="A1082">
        <v>10293</v>
      </c>
      <c r="B1082">
        <v>22</v>
      </c>
      <c r="C1082">
        <v>100</v>
      </c>
      <c r="D1082">
        <v>6</v>
      </c>
      <c r="E1082">
        <v>2418.2399999999998</v>
      </c>
      <c r="F1082" s="1">
        <v>38239</v>
      </c>
      <c r="G1082" t="s">
        <v>25</v>
      </c>
      <c r="H1082">
        <v>3</v>
      </c>
      <c r="I1082">
        <v>9</v>
      </c>
      <c r="J1082">
        <v>2004</v>
      </c>
      <c r="K1082" t="s">
        <v>605</v>
      </c>
      <c r="L1082">
        <v>100</v>
      </c>
      <c r="M1082" t="s">
        <v>606</v>
      </c>
      <c r="N1082" t="s">
        <v>254</v>
      </c>
      <c r="O1082" t="s">
        <v>255</v>
      </c>
      <c r="P1082" t="s">
        <v>256</v>
      </c>
      <c r="R1082" t="s">
        <v>257</v>
      </c>
      <c r="T1082">
        <v>10100</v>
      </c>
      <c r="U1082" t="s">
        <v>258</v>
      </c>
      <c r="V1082" t="s">
        <v>42</v>
      </c>
      <c r="W1082" t="s">
        <v>259</v>
      </c>
      <c r="X1082" t="s">
        <v>260</v>
      </c>
      <c r="Y1082" t="s">
        <v>36</v>
      </c>
    </row>
    <row r="1083" spans="1:25" x14ac:dyDescent="0.25">
      <c r="A1083">
        <v>10306</v>
      </c>
      <c r="B1083">
        <v>40</v>
      </c>
      <c r="C1083">
        <v>91.76</v>
      </c>
      <c r="D1083">
        <v>11</v>
      </c>
      <c r="E1083">
        <v>3670.4</v>
      </c>
      <c r="F1083" s="1">
        <v>38274</v>
      </c>
      <c r="G1083" t="s">
        <v>25</v>
      </c>
      <c r="H1083">
        <v>4</v>
      </c>
      <c r="I1083">
        <v>10</v>
      </c>
      <c r="J1083">
        <v>2004</v>
      </c>
      <c r="K1083" t="s">
        <v>605</v>
      </c>
      <c r="L1083">
        <v>100</v>
      </c>
      <c r="M1083" t="s">
        <v>606</v>
      </c>
      <c r="N1083" t="s">
        <v>492</v>
      </c>
      <c r="O1083" t="s">
        <v>493</v>
      </c>
      <c r="P1083" t="s">
        <v>494</v>
      </c>
      <c r="R1083" t="s">
        <v>495</v>
      </c>
      <c r="T1083" t="s">
        <v>496</v>
      </c>
      <c r="U1083" t="s">
        <v>170</v>
      </c>
      <c r="V1083" t="s">
        <v>42</v>
      </c>
      <c r="W1083" t="s">
        <v>497</v>
      </c>
      <c r="X1083" t="s">
        <v>94</v>
      </c>
      <c r="Y1083" t="s">
        <v>51</v>
      </c>
    </row>
    <row r="1084" spans="1:25" x14ac:dyDescent="0.25">
      <c r="A1084">
        <v>10314</v>
      </c>
      <c r="B1084">
        <v>23</v>
      </c>
      <c r="C1084">
        <v>100</v>
      </c>
      <c r="D1084">
        <v>3</v>
      </c>
      <c r="E1084">
        <v>2481.6999999999998</v>
      </c>
      <c r="F1084" s="1">
        <v>38282</v>
      </c>
      <c r="G1084" t="s">
        <v>25</v>
      </c>
      <c r="H1084">
        <v>4</v>
      </c>
      <c r="I1084">
        <v>10</v>
      </c>
      <c r="J1084">
        <v>2004</v>
      </c>
      <c r="K1084" t="s">
        <v>605</v>
      </c>
      <c r="L1084">
        <v>100</v>
      </c>
      <c r="M1084" t="s">
        <v>606</v>
      </c>
      <c r="N1084" t="s">
        <v>498</v>
      </c>
      <c r="O1084" t="s">
        <v>499</v>
      </c>
      <c r="P1084" t="s">
        <v>500</v>
      </c>
      <c r="R1084" t="s">
        <v>501</v>
      </c>
      <c r="T1084">
        <v>8200</v>
      </c>
      <c r="U1084" t="s">
        <v>326</v>
      </c>
      <c r="V1084" t="s">
        <v>42</v>
      </c>
      <c r="W1084" t="s">
        <v>502</v>
      </c>
      <c r="X1084" t="s">
        <v>503</v>
      </c>
      <c r="Y1084" t="s">
        <v>36</v>
      </c>
    </row>
    <row r="1085" spans="1:25" x14ac:dyDescent="0.25">
      <c r="A1085">
        <v>10326</v>
      </c>
      <c r="B1085">
        <v>32</v>
      </c>
      <c r="C1085">
        <v>100</v>
      </c>
      <c r="D1085">
        <v>6</v>
      </c>
      <c r="E1085">
        <v>3807.68</v>
      </c>
      <c r="F1085" s="1">
        <v>38300</v>
      </c>
      <c r="G1085" t="s">
        <v>25</v>
      </c>
      <c r="H1085">
        <v>4</v>
      </c>
      <c r="I1085">
        <v>11</v>
      </c>
      <c r="J1085">
        <v>2004</v>
      </c>
      <c r="K1085" t="s">
        <v>605</v>
      </c>
      <c r="L1085">
        <v>100</v>
      </c>
      <c r="M1085" t="s">
        <v>606</v>
      </c>
      <c r="N1085" t="s">
        <v>183</v>
      </c>
      <c r="O1085" t="s">
        <v>184</v>
      </c>
      <c r="P1085" t="s">
        <v>185</v>
      </c>
      <c r="R1085" t="s">
        <v>186</v>
      </c>
      <c r="T1085" t="s">
        <v>187</v>
      </c>
      <c r="U1085" t="s">
        <v>188</v>
      </c>
      <c r="V1085" t="s">
        <v>42</v>
      </c>
      <c r="W1085" t="s">
        <v>189</v>
      </c>
      <c r="X1085" t="s">
        <v>190</v>
      </c>
      <c r="Y1085" t="s">
        <v>51</v>
      </c>
    </row>
    <row r="1086" spans="1:25" x14ac:dyDescent="0.25">
      <c r="A1086">
        <v>10336</v>
      </c>
      <c r="B1086">
        <v>21</v>
      </c>
      <c r="C1086">
        <v>100</v>
      </c>
      <c r="D1086">
        <v>7</v>
      </c>
      <c r="E1086">
        <v>2230.41</v>
      </c>
      <c r="F1086" s="1">
        <v>38311</v>
      </c>
      <c r="G1086" t="s">
        <v>25</v>
      </c>
      <c r="H1086">
        <v>4</v>
      </c>
      <c r="I1086">
        <v>11</v>
      </c>
      <c r="J1086">
        <v>2004</v>
      </c>
      <c r="K1086" t="s">
        <v>605</v>
      </c>
      <c r="L1086">
        <v>100</v>
      </c>
      <c r="M1086" t="s">
        <v>606</v>
      </c>
      <c r="N1086" t="s">
        <v>403</v>
      </c>
      <c r="O1086" t="s">
        <v>404</v>
      </c>
      <c r="P1086" t="s">
        <v>405</v>
      </c>
      <c r="R1086" t="s">
        <v>48</v>
      </c>
      <c r="T1086">
        <v>75012</v>
      </c>
      <c r="U1086" t="s">
        <v>41</v>
      </c>
      <c r="V1086" t="s">
        <v>42</v>
      </c>
      <c r="W1086" t="s">
        <v>406</v>
      </c>
      <c r="X1086" t="s">
        <v>407</v>
      </c>
      <c r="Y1086" t="s">
        <v>36</v>
      </c>
    </row>
    <row r="1087" spans="1:25" x14ac:dyDescent="0.25">
      <c r="A1087">
        <v>10350</v>
      </c>
      <c r="B1087">
        <v>41</v>
      </c>
      <c r="C1087">
        <v>93.04</v>
      </c>
      <c r="D1087">
        <v>2</v>
      </c>
      <c r="E1087">
        <v>3814.64</v>
      </c>
      <c r="F1087" s="1">
        <v>38323</v>
      </c>
      <c r="G1087" t="s">
        <v>25</v>
      </c>
      <c r="H1087">
        <v>4</v>
      </c>
      <c r="I1087">
        <v>12</v>
      </c>
      <c r="J1087">
        <v>2004</v>
      </c>
      <c r="K1087" t="s">
        <v>605</v>
      </c>
      <c r="L1087">
        <v>100</v>
      </c>
      <c r="M1087" t="s">
        <v>606</v>
      </c>
      <c r="N1087" t="s">
        <v>174</v>
      </c>
      <c r="O1087" t="s">
        <v>175</v>
      </c>
      <c r="P1087" t="s">
        <v>176</v>
      </c>
      <c r="R1087" t="s">
        <v>177</v>
      </c>
      <c r="T1087">
        <v>28034</v>
      </c>
      <c r="U1087" t="s">
        <v>178</v>
      </c>
      <c r="V1087" t="s">
        <v>42</v>
      </c>
      <c r="W1087" t="s">
        <v>179</v>
      </c>
      <c r="X1087" t="s">
        <v>180</v>
      </c>
      <c r="Y1087" t="s">
        <v>51</v>
      </c>
    </row>
    <row r="1088" spans="1:25" x14ac:dyDescent="0.25">
      <c r="A1088">
        <v>10372</v>
      </c>
      <c r="B1088">
        <v>25</v>
      </c>
      <c r="C1088">
        <v>84.71</v>
      </c>
      <c r="D1088">
        <v>5</v>
      </c>
      <c r="E1088">
        <v>2117.75</v>
      </c>
      <c r="F1088" s="1">
        <v>38378</v>
      </c>
      <c r="G1088" t="s">
        <v>25</v>
      </c>
      <c r="H1088">
        <v>1</v>
      </c>
      <c r="I1088">
        <v>1</v>
      </c>
      <c r="J1088">
        <v>2005</v>
      </c>
      <c r="K1088" t="s">
        <v>605</v>
      </c>
      <c r="L1088">
        <v>100</v>
      </c>
      <c r="M1088" t="s">
        <v>606</v>
      </c>
      <c r="N1088" t="s">
        <v>246</v>
      </c>
      <c r="O1088" t="s">
        <v>247</v>
      </c>
      <c r="P1088" t="s">
        <v>248</v>
      </c>
      <c r="R1088" t="s">
        <v>249</v>
      </c>
      <c r="S1088" t="s">
        <v>250</v>
      </c>
      <c r="T1088" t="s">
        <v>251</v>
      </c>
      <c r="U1088" t="s">
        <v>200</v>
      </c>
      <c r="V1088" t="s">
        <v>200</v>
      </c>
      <c r="W1088" t="s">
        <v>252</v>
      </c>
      <c r="X1088" t="s">
        <v>253</v>
      </c>
      <c r="Y1088" t="s">
        <v>36</v>
      </c>
    </row>
    <row r="1089" spans="1:25" x14ac:dyDescent="0.25">
      <c r="A1089">
        <v>10383</v>
      </c>
      <c r="B1089">
        <v>26</v>
      </c>
      <c r="C1089">
        <v>100</v>
      </c>
      <c r="D1089">
        <v>12</v>
      </c>
      <c r="E1089">
        <v>3340.48</v>
      </c>
      <c r="F1089" s="1">
        <v>38405</v>
      </c>
      <c r="G1089" t="s">
        <v>25</v>
      </c>
      <c r="H1089">
        <v>1</v>
      </c>
      <c r="I1089">
        <v>2</v>
      </c>
      <c r="J1089">
        <v>2005</v>
      </c>
      <c r="K1089" t="s">
        <v>605</v>
      </c>
      <c r="L1089">
        <v>100</v>
      </c>
      <c r="M1089" t="s">
        <v>606</v>
      </c>
      <c r="N1089" t="s">
        <v>174</v>
      </c>
      <c r="O1089" t="s">
        <v>175</v>
      </c>
      <c r="P1089" t="s">
        <v>176</v>
      </c>
      <c r="R1089" t="s">
        <v>177</v>
      </c>
      <c r="T1089">
        <v>28034</v>
      </c>
      <c r="U1089" t="s">
        <v>178</v>
      </c>
      <c r="V1089" t="s">
        <v>42</v>
      </c>
      <c r="W1089" t="s">
        <v>179</v>
      </c>
      <c r="X1089" t="s">
        <v>180</v>
      </c>
      <c r="Y1089" t="s">
        <v>51</v>
      </c>
    </row>
    <row r="1090" spans="1:25" x14ac:dyDescent="0.25">
      <c r="A1090">
        <v>10396</v>
      </c>
      <c r="B1090">
        <v>24</v>
      </c>
      <c r="C1090">
        <v>89.75</v>
      </c>
      <c r="D1090">
        <v>4</v>
      </c>
      <c r="E1090">
        <v>2154</v>
      </c>
      <c r="F1090" s="1">
        <v>38434</v>
      </c>
      <c r="G1090" t="s">
        <v>25</v>
      </c>
      <c r="H1090">
        <v>1</v>
      </c>
      <c r="I1090">
        <v>3</v>
      </c>
      <c r="J1090">
        <v>2005</v>
      </c>
      <c r="K1090" t="s">
        <v>605</v>
      </c>
      <c r="L1090">
        <v>100</v>
      </c>
      <c r="M1090" t="s">
        <v>606</v>
      </c>
      <c r="N1090" t="s">
        <v>272</v>
      </c>
      <c r="O1090">
        <v>4155551450</v>
      </c>
      <c r="P1090" t="s">
        <v>273</v>
      </c>
      <c r="R1090" t="s">
        <v>274</v>
      </c>
      <c r="S1090" t="s">
        <v>55</v>
      </c>
      <c r="T1090">
        <v>97562</v>
      </c>
      <c r="U1090" t="s">
        <v>32</v>
      </c>
      <c r="V1090" t="s">
        <v>33</v>
      </c>
      <c r="W1090" t="s">
        <v>275</v>
      </c>
      <c r="X1090" t="s">
        <v>276</v>
      </c>
      <c r="Y1090" t="s">
        <v>36</v>
      </c>
    </row>
    <row r="1091" spans="1:25" x14ac:dyDescent="0.25">
      <c r="A1091">
        <v>10414</v>
      </c>
      <c r="B1091">
        <v>48</v>
      </c>
      <c r="C1091">
        <v>100</v>
      </c>
      <c r="D1091">
        <v>14</v>
      </c>
      <c r="E1091">
        <v>5808.48</v>
      </c>
      <c r="F1091" s="1">
        <v>38478</v>
      </c>
      <c r="G1091" t="s">
        <v>401</v>
      </c>
      <c r="H1091">
        <v>2</v>
      </c>
      <c r="I1091">
        <v>5</v>
      </c>
      <c r="J1091">
        <v>2005</v>
      </c>
      <c r="K1091" t="s">
        <v>605</v>
      </c>
      <c r="L1091">
        <v>100</v>
      </c>
      <c r="M1091" t="s">
        <v>606</v>
      </c>
      <c r="N1091" t="s">
        <v>379</v>
      </c>
      <c r="O1091">
        <v>6175559555</v>
      </c>
      <c r="P1091" t="s">
        <v>380</v>
      </c>
      <c r="R1091" t="s">
        <v>381</v>
      </c>
      <c r="S1091" t="s">
        <v>123</v>
      </c>
      <c r="T1091">
        <v>51003</v>
      </c>
      <c r="U1091" t="s">
        <v>32</v>
      </c>
      <c r="V1091" t="s">
        <v>33</v>
      </c>
      <c r="W1091" t="s">
        <v>382</v>
      </c>
      <c r="X1091" t="s">
        <v>66</v>
      </c>
      <c r="Y1091" t="s">
        <v>51</v>
      </c>
    </row>
    <row r="1092" spans="1:25" x14ac:dyDescent="0.25">
      <c r="A1092">
        <v>10108</v>
      </c>
      <c r="B1092">
        <v>26</v>
      </c>
      <c r="C1092">
        <v>68.349999999999994</v>
      </c>
      <c r="D1092">
        <v>9</v>
      </c>
      <c r="E1092">
        <v>1777.1</v>
      </c>
      <c r="F1092" s="1">
        <v>37683</v>
      </c>
      <c r="G1092" t="s">
        <v>25</v>
      </c>
      <c r="H1092">
        <v>1</v>
      </c>
      <c r="I1092">
        <v>3</v>
      </c>
      <c r="J1092">
        <v>2003</v>
      </c>
      <c r="K1092" t="s">
        <v>181</v>
      </c>
      <c r="L1092">
        <v>80</v>
      </c>
      <c r="M1092" t="s">
        <v>607</v>
      </c>
      <c r="N1092" t="s">
        <v>425</v>
      </c>
      <c r="O1092" t="s">
        <v>426</v>
      </c>
      <c r="P1092" t="s">
        <v>427</v>
      </c>
      <c r="R1092" t="s">
        <v>428</v>
      </c>
      <c r="T1092" t="s">
        <v>429</v>
      </c>
      <c r="U1092" t="s">
        <v>430</v>
      </c>
      <c r="V1092" t="s">
        <v>200</v>
      </c>
      <c r="W1092" t="s">
        <v>431</v>
      </c>
      <c r="X1092" t="s">
        <v>432</v>
      </c>
      <c r="Y1092" t="s">
        <v>36</v>
      </c>
    </row>
    <row r="1093" spans="1:25" x14ac:dyDescent="0.25">
      <c r="A1093">
        <v>10122</v>
      </c>
      <c r="B1093">
        <v>21</v>
      </c>
      <c r="C1093">
        <v>73.17</v>
      </c>
      <c r="D1093">
        <v>13</v>
      </c>
      <c r="E1093">
        <v>1536.57</v>
      </c>
      <c r="F1093" s="1">
        <v>37749</v>
      </c>
      <c r="G1093" t="s">
        <v>25</v>
      </c>
      <c r="H1093">
        <v>2</v>
      </c>
      <c r="I1093">
        <v>5</v>
      </c>
      <c r="J1093">
        <v>2003</v>
      </c>
      <c r="K1093" t="s">
        <v>181</v>
      </c>
      <c r="L1093">
        <v>80</v>
      </c>
      <c r="M1093" t="s">
        <v>607</v>
      </c>
      <c r="N1093" t="s">
        <v>433</v>
      </c>
      <c r="O1093" t="s">
        <v>434</v>
      </c>
      <c r="P1093" t="s">
        <v>435</v>
      </c>
      <c r="R1093" t="s">
        <v>436</v>
      </c>
      <c r="T1093">
        <v>13008</v>
      </c>
      <c r="U1093" t="s">
        <v>41</v>
      </c>
      <c r="V1093" t="s">
        <v>42</v>
      </c>
      <c r="W1093" t="s">
        <v>437</v>
      </c>
      <c r="X1093" t="s">
        <v>438</v>
      </c>
      <c r="Y1093" t="s">
        <v>36</v>
      </c>
    </row>
    <row r="1094" spans="1:25" x14ac:dyDescent="0.25">
      <c r="A1094">
        <v>10135</v>
      </c>
      <c r="B1094">
        <v>45</v>
      </c>
      <c r="C1094">
        <v>78</v>
      </c>
      <c r="D1094">
        <v>10</v>
      </c>
      <c r="E1094">
        <v>3510</v>
      </c>
      <c r="F1094" s="1">
        <v>37804</v>
      </c>
      <c r="G1094" t="s">
        <v>25</v>
      </c>
      <c r="H1094">
        <v>3</v>
      </c>
      <c r="I1094">
        <v>7</v>
      </c>
      <c r="J1094">
        <v>2003</v>
      </c>
      <c r="K1094" t="s">
        <v>181</v>
      </c>
      <c r="L1094">
        <v>80</v>
      </c>
      <c r="M1094" t="s">
        <v>607</v>
      </c>
      <c r="N1094" t="s">
        <v>272</v>
      </c>
      <c r="O1094">
        <v>4155551450</v>
      </c>
      <c r="P1094" t="s">
        <v>273</v>
      </c>
      <c r="R1094" t="s">
        <v>274</v>
      </c>
      <c r="S1094" t="s">
        <v>55</v>
      </c>
      <c r="T1094">
        <v>97562</v>
      </c>
      <c r="U1094" t="s">
        <v>32</v>
      </c>
      <c r="V1094" t="s">
        <v>33</v>
      </c>
      <c r="W1094" t="s">
        <v>275</v>
      </c>
      <c r="X1094" t="s">
        <v>276</v>
      </c>
      <c r="Y1094" t="s">
        <v>51</v>
      </c>
    </row>
    <row r="1095" spans="1:25" x14ac:dyDescent="0.25">
      <c r="A1095">
        <v>10147</v>
      </c>
      <c r="B1095">
        <v>36</v>
      </c>
      <c r="C1095">
        <v>86.04</v>
      </c>
      <c r="D1095">
        <v>10</v>
      </c>
      <c r="E1095">
        <v>3097.44</v>
      </c>
      <c r="F1095" s="1">
        <v>37869</v>
      </c>
      <c r="G1095" t="s">
        <v>25</v>
      </c>
      <c r="H1095">
        <v>3</v>
      </c>
      <c r="I1095">
        <v>9</v>
      </c>
      <c r="J1095">
        <v>2003</v>
      </c>
      <c r="K1095" t="s">
        <v>181</v>
      </c>
      <c r="L1095">
        <v>80</v>
      </c>
      <c r="M1095" t="s">
        <v>607</v>
      </c>
      <c r="N1095" t="s">
        <v>281</v>
      </c>
      <c r="O1095">
        <v>6175558555</v>
      </c>
      <c r="P1095" t="s">
        <v>282</v>
      </c>
      <c r="R1095" t="s">
        <v>283</v>
      </c>
      <c r="S1095" t="s">
        <v>123</v>
      </c>
      <c r="T1095">
        <v>58339</v>
      </c>
      <c r="U1095" t="s">
        <v>32</v>
      </c>
      <c r="V1095" t="s">
        <v>33</v>
      </c>
      <c r="W1095" t="s">
        <v>275</v>
      </c>
      <c r="X1095" t="s">
        <v>284</v>
      </c>
      <c r="Y1095" t="s">
        <v>51</v>
      </c>
    </row>
    <row r="1096" spans="1:25" x14ac:dyDescent="0.25">
      <c r="A1096">
        <v>10159</v>
      </c>
      <c r="B1096">
        <v>21</v>
      </c>
      <c r="C1096">
        <v>81.209999999999994</v>
      </c>
      <c r="D1096">
        <v>5</v>
      </c>
      <c r="E1096">
        <v>1705.41</v>
      </c>
      <c r="F1096" s="1">
        <v>37904</v>
      </c>
      <c r="G1096" t="s">
        <v>25</v>
      </c>
      <c r="H1096">
        <v>4</v>
      </c>
      <c r="I1096">
        <v>10</v>
      </c>
      <c r="J1096">
        <v>2003</v>
      </c>
      <c r="K1096" t="s">
        <v>181</v>
      </c>
      <c r="L1096">
        <v>80</v>
      </c>
      <c r="M1096" t="s">
        <v>607</v>
      </c>
      <c r="N1096" t="s">
        <v>58</v>
      </c>
      <c r="O1096">
        <v>6505551386</v>
      </c>
      <c r="P1096" t="s">
        <v>59</v>
      </c>
      <c r="R1096" t="s">
        <v>60</v>
      </c>
      <c r="S1096" t="s">
        <v>55</v>
      </c>
      <c r="U1096" t="s">
        <v>32</v>
      </c>
      <c r="V1096" t="s">
        <v>33</v>
      </c>
      <c r="W1096" t="s">
        <v>61</v>
      </c>
      <c r="X1096" t="s">
        <v>57</v>
      </c>
      <c r="Y1096" t="s">
        <v>36</v>
      </c>
    </row>
    <row r="1097" spans="1:25" x14ac:dyDescent="0.25">
      <c r="A1097">
        <v>10169</v>
      </c>
      <c r="B1097">
        <v>32</v>
      </c>
      <c r="C1097">
        <v>70.760000000000005</v>
      </c>
      <c r="D1097">
        <v>5</v>
      </c>
      <c r="E1097">
        <v>2264.3200000000002</v>
      </c>
      <c r="F1097" s="1">
        <v>37929</v>
      </c>
      <c r="G1097" t="s">
        <v>25</v>
      </c>
      <c r="H1097">
        <v>4</v>
      </c>
      <c r="I1097">
        <v>11</v>
      </c>
      <c r="J1097">
        <v>2003</v>
      </c>
      <c r="K1097" t="s">
        <v>181</v>
      </c>
      <c r="L1097">
        <v>80</v>
      </c>
      <c r="M1097" t="s">
        <v>607</v>
      </c>
      <c r="N1097" t="s">
        <v>285</v>
      </c>
      <c r="O1097" t="s">
        <v>286</v>
      </c>
      <c r="P1097" t="s">
        <v>287</v>
      </c>
      <c r="Q1097" t="s">
        <v>288</v>
      </c>
      <c r="R1097" t="s">
        <v>289</v>
      </c>
      <c r="S1097" t="s">
        <v>157</v>
      </c>
      <c r="T1097">
        <v>2060</v>
      </c>
      <c r="U1097" t="s">
        <v>95</v>
      </c>
      <c r="V1097" t="s">
        <v>96</v>
      </c>
      <c r="W1097" t="s">
        <v>290</v>
      </c>
      <c r="X1097" t="s">
        <v>291</v>
      </c>
      <c r="Y1097" t="s">
        <v>36</v>
      </c>
    </row>
    <row r="1098" spans="1:25" x14ac:dyDescent="0.25">
      <c r="A1098">
        <v>10181</v>
      </c>
      <c r="B1098">
        <v>30</v>
      </c>
      <c r="C1098">
        <v>82.82</v>
      </c>
      <c r="D1098">
        <v>17</v>
      </c>
      <c r="E1098">
        <v>2484.6</v>
      </c>
      <c r="F1098" s="1">
        <v>37937</v>
      </c>
      <c r="G1098" t="s">
        <v>25</v>
      </c>
      <c r="H1098">
        <v>4</v>
      </c>
      <c r="I1098">
        <v>11</v>
      </c>
      <c r="J1098">
        <v>2003</v>
      </c>
      <c r="K1098" t="s">
        <v>181</v>
      </c>
      <c r="L1098">
        <v>80</v>
      </c>
      <c r="M1098" t="s">
        <v>607</v>
      </c>
      <c r="N1098" t="s">
        <v>73</v>
      </c>
      <c r="O1098" t="s">
        <v>74</v>
      </c>
      <c r="P1098" t="s">
        <v>75</v>
      </c>
      <c r="R1098" t="s">
        <v>76</v>
      </c>
      <c r="T1098" t="s">
        <v>77</v>
      </c>
      <c r="U1098" t="s">
        <v>78</v>
      </c>
      <c r="V1098" t="s">
        <v>42</v>
      </c>
      <c r="W1098" t="s">
        <v>79</v>
      </c>
      <c r="X1098" t="s">
        <v>80</v>
      </c>
      <c r="Y1098" t="s">
        <v>36</v>
      </c>
    </row>
    <row r="1099" spans="1:25" x14ac:dyDescent="0.25">
      <c r="A1099">
        <v>10191</v>
      </c>
      <c r="B1099">
        <v>36</v>
      </c>
      <c r="C1099">
        <v>94.88</v>
      </c>
      <c r="D1099">
        <v>6</v>
      </c>
      <c r="E1099">
        <v>3415.68</v>
      </c>
      <c r="F1099" s="1">
        <v>37945</v>
      </c>
      <c r="G1099" t="s">
        <v>25</v>
      </c>
      <c r="H1099">
        <v>4</v>
      </c>
      <c r="I1099">
        <v>11</v>
      </c>
      <c r="J1099">
        <v>2003</v>
      </c>
      <c r="K1099" t="s">
        <v>181</v>
      </c>
      <c r="L1099">
        <v>80</v>
      </c>
      <c r="M1099" t="s">
        <v>607</v>
      </c>
      <c r="N1099" t="s">
        <v>439</v>
      </c>
      <c r="O1099" t="s">
        <v>440</v>
      </c>
      <c r="P1099" t="s">
        <v>441</v>
      </c>
      <c r="R1099" t="s">
        <v>442</v>
      </c>
      <c r="T1099">
        <v>50739</v>
      </c>
      <c r="U1099" t="s">
        <v>443</v>
      </c>
      <c r="V1099" t="s">
        <v>42</v>
      </c>
      <c r="W1099" t="s">
        <v>444</v>
      </c>
      <c r="X1099" t="s">
        <v>445</v>
      </c>
      <c r="Y1099" t="s">
        <v>51</v>
      </c>
    </row>
    <row r="1100" spans="1:25" x14ac:dyDescent="0.25">
      <c r="A1100">
        <v>10203</v>
      </c>
      <c r="B1100">
        <v>33</v>
      </c>
      <c r="C1100">
        <v>86.04</v>
      </c>
      <c r="D1100">
        <v>11</v>
      </c>
      <c r="E1100">
        <v>2839.32</v>
      </c>
      <c r="F1100" s="1">
        <v>37957</v>
      </c>
      <c r="G1100" t="s">
        <v>25</v>
      </c>
      <c r="H1100">
        <v>4</v>
      </c>
      <c r="I1100">
        <v>12</v>
      </c>
      <c r="J1100">
        <v>2003</v>
      </c>
      <c r="K1100" t="s">
        <v>181</v>
      </c>
      <c r="L1100">
        <v>80</v>
      </c>
      <c r="M1100" t="s">
        <v>607</v>
      </c>
      <c r="N1100" t="s">
        <v>174</v>
      </c>
      <c r="O1100" t="s">
        <v>175</v>
      </c>
      <c r="P1100" t="s">
        <v>176</v>
      </c>
      <c r="R1100" t="s">
        <v>177</v>
      </c>
      <c r="T1100">
        <v>28034</v>
      </c>
      <c r="U1100" t="s">
        <v>178</v>
      </c>
      <c r="V1100" t="s">
        <v>42</v>
      </c>
      <c r="W1100" t="s">
        <v>179</v>
      </c>
      <c r="X1100" t="s">
        <v>180</v>
      </c>
      <c r="Y1100" t="s">
        <v>36</v>
      </c>
    </row>
    <row r="1101" spans="1:25" x14ac:dyDescent="0.25">
      <c r="A1101">
        <v>10211</v>
      </c>
      <c r="B1101">
        <v>35</v>
      </c>
      <c r="C1101">
        <v>78</v>
      </c>
      <c r="D1101">
        <v>5</v>
      </c>
      <c r="E1101">
        <v>2730</v>
      </c>
      <c r="F1101" s="1">
        <v>38001</v>
      </c>
      <c r="G1101" t="s">
        <v>25</v>
      </c>
      <c r="H1101">
        <v>1</v>
      </c>
      <c r="I1101">
        <v>1</v>
      </c>
      <c r="J1101">
        <v>2004</v>
      </c>
      <c r="K1101" t="s">
        <v>181</v>
      </c>
      <c r="L1101">
        <v>80</v>
      </c>
      <c r="M1101" t="s">
        <v>607</v>
      </c>
      <c r="N1101" t="s">
        <v>84</v>
      </c>
      <c r="O1101" t="s">
        <v>85</v>
      </c>
      <c r="P1101" t="s">
        <v>86</v>
      </c>
      <c r="R1101" t="s">
        <v>48</v>
      </c>
      <c r="T1101">
        <v>75016</v>
      </c>
      <c r="U1101" t="s">
        <v>41</v>
      </c>
      <c r="V1101" t="s">
        <v>42</v>
      </c>
      <c r="W1101" t="s">
        <v>87</v>
      </c>
      <c r="X1101" t="s">
        <v>88</v>
      </c>
      <c r="Y1101" t="s">
        <v>36</v>
      </c>
    </row>
    <row r="1102" spans="1:25" x14ac:dyDescent="0.25">
      <c r="A1102">
        <v>10225</v>
      </c>
      <c r="B1102">
        <v>37</v>
      </c>
      <c r="C1102">
        <v>95.69</v>
      </c>
      <c r="D1102">
        <v>12</v>
      </c>
      <c r="E1102">
        <v>3540.53</v>
      </c>
      <c r="F1102" s="1">
        <v>38039</v>
      </c>
      <c r="G1102" t="s">
        <v>25</v>
      </c>
      <c r="H1102">
        <v>1</v>
      </c>
      <c r="I1102">
        <v>2</v>
      </c>
      <c r="J1102">
        <v>2004</v>
      </c>
      <c r="K1102" t="s">
        <v>181</v>
      </c>
      <c r="L1102">
        <v>80</v>
      </c>
      <c r="M1102" t="s">
        <v>607</v>
      </c>
      <c r="N1102" t="s">
        <v>446</v>
      </c>
      <c r="O1102" t="s">
        <v>447</v>
      </c>
      <c r="P1102" t="s">
        <v>448</v>
      </c>
      <c r="R1102" t="s">
        <v>449</v>
      </c>
      <c r="T1102">
        <v>1203</v>
      </c>
      <c r="U1102" t="s">
        <v>450</v>
      </c>
      <c r="V1102" t="s">
        <v>42</v>
      </c>
      <c r="W1102" t="s">
        <v>451</v>
      </c>
      <c r="X1102" t="s">
        <v>103</v>
      </c>
      <c r="Y1102" t="s">
        <v>51</v>
      </c>
    </row>
    <row r="1103" spans="1:25" x14ac:dyDescent="0.25">
      <c r="A1103">
        <v>10238</v>
      </c>
      <c r="B1103">
        <v>41</v>
      </c>
      <c r="C1103">
        <v>73.17</v>
      </c>
      <c r="D1103">
        <v>6</v>
      </c>
      <c r="E1103">
        <v>2999.97</v>
      </c>
      <c r="F1103" s="1">
        <v>38086</v>
      </c>
      <c r="G1103" t="s">
        <v>25</v>
      </c>
      <c r="H1103">
        <v>2</v>
      </c>
      <c r="I1103">
        <v>4</v>
      </c>
      <c r="J1103">
        <v>2004</v>
      </c>
      <c r="K1103" t="s">
        <v>181</v>
      </c>
      <c r="L1103">
        <v>80</v>
      </c>
      <c r="M1103" t="s">
        <v>607</v>
      </c>
      <c r="N1103" t="s">
        <v>322</v>
      </c>
      <c r="O1103" t="s">
        <v>323</v>
      </c>
      <c r="P1103" t="s">
        <v>324</v>
      </c>
      <c r="R1103" t="s">
        <v>325</v>
      </c>
      <c r="T1103">
        <v>1734</v>
      </c>
      <c r="U1103" t="s">
        <v>326</v>
      </c>
      <c r="V1103" t="s">
        <v>42</v>
      </c>
      <c r="W1103" t="s">
        <v>327</v>
      </c>
      <c r="X1103" t="s">
        <v>328</v>
      </c>
      <c r="Y1103" t="s">
        <v>36</v>
      </c>
    </row>
    <row r="1104" spans="1:25" x14ac:dyDescent="0.25">
      <c r="A1104">
        <v>10252</v>
      </c>
      <c r="B1104">
        <v>20</v>
      </c>
      <c r="C1104">
        <v>76.39</v>
      </c>
      <c r="D1104">
        <v>2</v>
      </c>
      <c r="E1104">
        <v>1527.8</v>
      </c>
      <c r="F1104" s="1">
        <v>38133</v>
      </c>
      <c r="G1104" t="s">
        <v>25</v>
      </c>
      <c r="H1104">
        <v>2</v>
      </c>
      <c r="I1104">
        <v>5</v>
      </c>
      <c r="J1104">
        <v>2004</v>
      </c>
      <c r="K1104" t="s">
        <v>181</v>
      </c>
      <c r="L1104">
        <v>80</v>
      </c>
      <c r="M1104" t="s">
        <v>607</v>
      </c>
      <c r="N1104" t="s">
        <v>84</v>
      </c>
      <c r="O1104" t="s">
        <v>85</v>
      </c>
      <c r="P1104" t="s">
        <v>86</v>
      </c>
      <c r="R1104" t="s">
        <v>48</v>
      </c>
      <c r="T1104">
        <v>75016</v>
      </c>
      <c r="U1104" t="s">
        <v>41</v>
      </c>
      <c r="V1104" t="s">
        <v>42</v>
      </c>
      <c r="W1104" t="s">
        <v>87</v>
      </c>
      <c r="X1104" t="s">
        <v>88</v>
      </c>
      <c r="Y1104" t="s">
        <v>36</v>
      </c>
    </row>
    <row r="1105" spans="1:25" x14ac:dyDescent="0.25">
      <c r="A1105">
        <v>10265</v>
      </c>
      <c r="B1105">
        <v>45</v>
      </c>
      <c r="C1105">
        <v>86.84</v>
      </c>
      <c r="D1105">
        <v>2</v>
      </c>
      <c r="E1105">
        <v>3907.8</v>
      </c>
      <c r="F1105" s="1">
        <v>38170</v>
      </c>
      <c r="G1105" t="s">
        <v>25</v>
      </c>
      <c r="H1105">
        <v>3</v>
      </c>
      <c r="I1105">
        <v>7</v>
      </c>
      <c r="J1105">
        <v>2004</v>
      </c>
      <c r="K1105" t="s">
        <v>181</v>
      </c>
      <c r="L1105">
        <v>80</v>
      </c>
      <c r="M1105" t="s">
        <v>607</v>
      </c>
      <c r="N1105" t="s">
        <v>558</v>
      </c>
      <c r="O1105" t="s">
        <v>559</v>
      </c>
      <c r="P1105" t="s">
        <v>560</v>
      </c>
      <c r="R1105" t="s">
        <v>561</v>
      </c>
      <c r="S1105" t="s">
        <v>94</v>
      </c>
      <c r="T1105">
        <v>3150</v>
      </c>
      <c r="U1105" t="s">
        <v>95</v>
      </c>
      <c r="V1105" t="s">
        <v>96</v>
      </c>
      <c r="W1105" t="s">
        <v>562</v>
      </c>
      <c r="X1105" t="s">
        <v>563</v>
      </c>
      <c r="Y1105" t="s">
        <v>51</v>
      </c>
    </row>
    <row r="1106" spans="1:25" x14ac:dyDescent="0.25">
      <c r="A1106">
        <v>10276</v>
      </c>
      <c r="B1106">
        <v>38</v>
      </c>
      <c r="C1106">
        <v>69.959999999999994</v>
      </c>
      <c r="D1106">
        <v>6</v>
      </c>
      <c r="E1106">
        <v>2658.48</v>
      </c>
      <c r="F1106" s="1">
        <v>38201</v>
      </c>
      <c r="G1106" t="s">
        <v>25</v>
      </c>
      <c r="H1106">
        <v>3</v>
      </c>
      <c r="I1106">
        <v>8</v>
      </c>
      <c r="J1106">
        <v>2004</v>
      </c>
      <c r="K1106" t="s">
        <v>181</v>
      </c>
      <c r="L1106">
        <v>80</v>
      </c>
      <c r="M1106" t="s">
        <v>607</v>
      </c>
      <c r="N1106" t="s">
        <v>458</v>
      </c>
      <c r="O1106">
        <v>6175557555</v>
      </c>
      <c r="P1106" t="s">
        <v>459</v>
      </c>
      <c r="R1106" t="s">
        <v>283</v>
      </c>
      <c r="S1106" t="s">
        <v>123</v>
      </c>
      <c r="T1106">
        <v>58339</v>
      </c>
      <c r="U1106" t="s">
        <v>32</v>
      </c>
      <c r="V1106" t="s">
        <v>33</v>
      </c>
      <c r="W1106" t="s">
        <v>460</v>
      </c>
      <c r="X1106" t="s">
        <v>461</v>
      </c>
      <c r="Y1106" t="s">
        <v>36</v>
      </c>
    </row>
    <row r="1107" spans="1:25" x14ac:dyDescent="0.25">
      <c r="A1107">
        <v>10287</v>
      </c>
      <c r="B1107">
        <v>43</v>
      </c>
      <c r="C1107">
        <v>70.760000000000005</v>
      </c>
      <c r="D1107">
        <v>15</v>
      </c>
      <c r="E1107">
        <v>3042.68</v>
      </c>
      <c r="F1107" s="1">
        <v>38229</v>
      </c>
      <c r="G1107" t="s">
        <v>25</v>
      </c>
      <c r="H1107">
        <v>3</v>
      </c>
      <c r="I1107">
        <v>8</v>
      </c>
      <c r="J1107">
        <v>2004</v>
      </c>
      <c r="K1107" t="s">
        <v>181</v>
      </c>
      <c r="L1107">
        <v>80</v>
      </c>
      <c r="M1107" t="s">
        <v>607</v>
      </c>
      <c r="N1107" t="s">
        <v>446</v>
      </c>
      <c r="O1107" t="s">
        <v>447</v>
      </c>
      <c r="P1107" t="s">
        <v>448</v>
      </c>
      <c r="R1107" t="s">
        <v>449</v>
      </c>
      <c r="T1107">
        <v>1203</v>
      </c>
      <c r="U1107" t="s">
        <v>450</v>
      </c>
      <c r="V1107" t="s">
        <v>42</v>
      </c>
      <c r="W1107" t="s">
        <v>451</v>
      </c>
      <c r="X1107" t="s">
        <v>103</v>
      </c>
      <c r="Y1107" t="s">
        <v>51</v>
      </c>
    </row>
    <row r="1108" spans="1:25" x14ac:dyDescent="0.25">
      <c r="A1108">
        <v>10300</v>
      </c>
      <c r="B1108">
        <v>49</v>
      </c>
      <c r="C1108">
        <v>78.8</v>
      </c>
      <c r="D1108">
        <v>8</v>
      </c>
      <c r="E1108">
        <v>3861.2</v>
      </c>
      <c r="F1108" s="1">
        <v>37898</v>
      </c>
      <c r="G1108" t="s">
        <v>25</v>
      </c>
      <c r="H1108">
        <v>4</v>
      </c>
      <c r="I1108">
        <v>10</v>
      </c>
      <c r="J1108">
        <v>2003</v>
      </c>
      <c r="K1108" t="s">
        <v>181</v>
      </c>
      <c r="L1108">
        <v>80</v>
      </c>
      <c r="M1108" t="s">
        <v>607</v>
      </c>
      <c r="N1108" t="s">
        <v>462</v>
      </c>
      <c r="O1108" t="s">
        <v>463</v>
      </c>
      <c r="P1108" t="s">
        <v>464</v>
      </c>
      <c r="R1108" t="s">
        <v>465</v>
      </c>
      <c r="T1108">
        <v>60528</v>
      </c>
      <c r="U1108" t="s">
        <v>443</v>
      </c>
      <c r="V1108" t="s">
        <v>42</v>
      </c>
      <c r="W1108" t="s">
        <v>466</v>
      </c>
      <c r="X1108" t="s">
        <v>414</v>
      </c>
      <c r="Y1108" t="s">
        <v>51</v>
      </c>
    </row>
    <row r="1109" spans="1:25" x14ac:dyDescent="0.25">
      <c r="A1109">
        <v>10310</v>
      </c>
      <c r="B1109">
        <v>27</v>
      </c>
      <c r="C1109">
        <v>80.41</v>
      </c>
      <c r="D1109">
        <v>13</v>
      </c>
      <c r="E1109">
        <v>2171.0700000000002</v>
      </c>
      <c r="F1109" s="1">
        <v>38276</v>
      </c>
      <c r="G1109" t="s">
        <v>25</v>
      </c>
      <c r="H1109">
        <v>4</v>
      </c>
      <c r="I1109">
        <v>10</v>
      </c>
      <c r="J1109">
        <v>2004</v>
      </c>
      <c r="K1109" t="s">
        <v>181</v>
      </c>
      <c r="L1109">
        <v>80</v>
      </c>
      <c r="M1109" t="s">
        <v>607</v>
      </c>
      <c r="N1109" t="s">
        <v>439</v>
      </c>
      <c r="O1109" t="s">
        <v>440</v>
      </c>
      <c r="P1109" t="s">
        <v>441</v>
      </c>
      <c r="R1109" t="s">
        <v>442</v>
      </c>
      <c r="T1109">
        <v>50739</v>
      </c>
      <c r="U1109" t="s">
        <v>443</v>
      </c>
      <c r="V1109" t="s">
        <v>42</v>
      </c>
      <c r="W1109" t="s">
        <v>444</v>
      </c>
      <c r="X1109" t="s">
        <v>445</v>
      </c>
      <c r="Y1109" t="s">
        <v>36</v>
      </c>
    </row>
    <row r="1110" spans="1:25" x14ac:dyDescent="0.25">
      <c r="A1110">
        <v>10319</v>
      </c>
      <c r="B1110">
        <v>46</v>
      </c>
      <c r="C1110">
        <v>73.98</v>
      </c>
      <c r="D1110">
        <v>1</v>
      </c>
      <c r="E1110">
        <v>3403.08</v>
      </c>
      <c r="F1110" s="1">
        <v>38294</v>
      </c>
      <c r="G1110" t="s">
        <v>25</v>
      </c>
      <c r="H1110">
        <v>4</v>
      </c>
      <c r="I1110">
        <v>11</v>
      </c>
      <c r="J1110">
        <v>2004</v>
      </c>
      <c r="K1110" t="s">
        <v>181</v>
      </c>
      <c r="L1110">
        <v>80</v>
      </c>
      <c r="M1110" t="s">
        <v>607</v>
      </c>
      <c r="N1110" t="s">
        <v>507</v>
      </c>
      <c r="O1110">
        <v>2125551957</v>
      </c>
      <c r="P1110" t="s">
        <v>508</v>
      </c>
      <c r="Q1110" t="s">
        <v>509</v>
      </c>
      <c r="R1110" t="s">
        <v>30</v>
      </c>
      <c r="S1110" t="s">
        <v>31</v>
      </c>
      <c r="T1110">
        <v>10022</v>
      </c>
      <c r="U1110" t="s">
        <v>32</v>
      </c>
      <c r="V1110" t="s">
        <v>33</v>
      </c>
      <c r="W1110" t="s">
        <v>510</v>
      </c>
      <c r="X1110" t="s">
        <v>511</v>
      </c>
      <c r="Y1110" t="s">
        <v>51</v>
      </c>
    </row>
    <row r="1111" spans="1:25" x14ac:dyDescent="0.25">
      <c r="A1111">
        <v>10329</v>
      </c>
      <c r="B1111">
        <v>38</v>
      </c>
      <c r="C1111">
        <v>59.1</v>
      </c>
      <c r="D1111">
        <v>10</v>
      </c>
      <c r="E1111">
        <v>2245.8000000000002</v>
      </c>
      <c r="F1111" s="1">
        <v>38306</v>
      </c>
      <c r="G1111" t="s">
        <v>25</v>
      </c>
      <c r="H1111">
        <v>4</v>
      </c>
      <c r="I1111">
        <v>11</v>
      </c>
      <c r="J1111">
        <v>2004</v>
      </c>
      <c r="K1111" t="s">
        <v>181</v>
      </c>
      <c r="L1111">
        <v>80</v>
      </c>
      <c r="M1111" t="s">
        <v>607</v>
      </c>
      <c r="N1111" t="s">
        <v>28</v>
      </c>
      <c r="O1111">
        <v>2125557818</v>
      </c>
      <c r="P1111" t="s">
        <v>29</v>
      </c>
      <c r="R1111" t="s">
        <v>30</v>
      </c>
      <c r="S1111" t="s">
        <v>31</v>
      </c>
      <c r="T1111">
        <v>10022</v>
      </c>
      <c r="U1111" t="s">
        <v>32</v>
      </c>
      <c r="V1111" t="s">
        <v>33</v>
      </c>
      <c r="W1111" t="s">
        <v>34</v>
      </c>
      <c r="X1111" t="s">
        <v>35</v>
      </c>
      <c r="Y1111" t="s">
        <v>36</v>
      </c>
    </row>
    <row r="1112" spans="1:25" x14ac:dyDescent="0.25">
      <c r="A1112">
        <v>10342</v>
      </c>
      <c r="B1112">
        <v>25</v>
      </c>
      <c r="C1112">
        <v>66.739999999999995</v>
      </c>
      <c r="D1112">
        <v>5</v>
      </c>
      <c r="E1112">
        <v>1668.5</v>
      </c>
      <c r="F1112" s="1">
        <v>38315</v>
      </c>
      <c r="G1112" t="s">
        <v>25</v>
      </c>
      <c r="H1112">
        <v>4</v>
      </c>
      <c r="I1112">
        <v>11</v>
      </c>
      <c r="J1112">
        <v>2004</v>
      </c>
      <c r="K1112" t="s">
        <v>181</v>
      </c>
      <c r="L1112">
        <v>80</v>
      </c>
      <c r="M1112" t="s">
        <v>607</v>
      </c>
      <c r="N1112" t="s">
        <v>89</v>
      </c>
      <c r="O1112" t="s">
        <v>90</v>
      </c>
      <c r="P1112" t="s">
        <v>91</v>
      </c>
      <c r="Q1112" t="s">
        <v>92</v>
      </c>
      <c r="R1112" t="s">
        <v>93</v>
      </c>
      <c r="S1112" t="s">
        <v>94</v>
      </c>
      <c r="T1112">
        <v>3004</v>
      </c>
      <c r="U1112" t="s">
        <v>95</v>
      </c>
      <c r="V1112" t="s">
        <v>96</v>
      </c>
      <c r="W1112" t="s">
        <v>97</v>
      </c>
      <c r="X1112" t="s">
        <v>98</v>
      </c>
      <c r="Y1112" t="s">
        <v>36</v>
      </c>
    </row>
    <row r="1113" spans="1:25" x14ac:dyDescent="0.25">
      <c r="A1113">
        <v>10363</v>
      </c>
      <c r="B1113">
        <v>46</v>
      </c>
      <c r="C1113">
        <v>60.3</v>
      </c>
      <c r="D1113">
        <v>10</v>
      </c>
      <c r="E1113">
        <v>2773.8</v>
      </c>
      <c r="F1113" s="1">
        <v>38358</v>
      </c>
      <c r="G1113" t="s">
        <v>25</v>
      </c>
      <c r="H1113">
        <v>1</v>
      </c>
      <c r="I1113">
        <v>1</v>
      </c>
      <c r="J1113">
        <v>2005</v>
      </c>
      <c r="K1113" t="s">
        <v>181</v>
      </c>
      <c r="L1113">
        <v>80</v>
      </c>
      <c r="M1113" t="s">
        <v>607</v>
      </c>
      <c r="N1113" t="s">
        <v>467</v>
      </c>
      <c r="O1113" t="s">
        <v>468</v>
      </c>
      <c r="P1113" t="s">
        <v>469</v>
      </c>
      <c r="R1113" t="s">
        <v>470</v>
      </c>
      <c r="T1113" t="s">
        <v>471</v>
      </c>
      <c r="U1113" t="s">
        <v>130</v>
      </c>
      <c r="V1113" t="s">
        <v>42</v>
      </c>
      <c r="W1113" t="s">
        <v>472</v>
      </c>
      <c r="X1113" t="s">
        <v>473</v>
      </c>
      <c r="Y1113" t="s">
        <v>36</v>
      </c>
    </row>
    <row r="1114" spans="1:25" x14ac:dyDescent="0.25">
      <c r="A1114">
        <v>10378</v>
      </c>
      <c r="B1114">
        <v>22</v>
      </c>
      <c r="C1114">
        <v>100</v>
      </c>
      <c r="D1114">
        <v>4</v>
      </c>
      <c r="E1114">
        <v>2464</v>
      </c>
      <c r="F1114" s="1">
        <v>38393</v>
      </c>
      <c r="G1114" t="s">
        <v>25</v>
      </c>
      <c r="H1114">
        <v>1</v>
      </c>
      <c r="I1114">
        <v>2</v>
      </c>
      <c r="J1114">
        <v>2005</v>
      </c>
      <c r="K1114" t="s">
        <v>181</v>
      </c>
      <c r="L1114">
        <v>80</v>
      </c>
      <c r="M1114" t="s">
        <v>607</v>
      </c>
      <c r="N1114" t="s">
        <v>174</v>
      </c>
      <c r="O1114" t="s">
        <v>175</v>
      </c>
      <c r="P1114" t="s">
        <v>176</v>
      </c>
      <c r="R1114" t="s">
        <v>177</v>
      </c>
      <c r="T1114">
        <v>28034</v>
      </c>
      <c r="U1114" t="s">
        <v>178</v>
      </c>
      <c r="V1114" t="s">
        <v>42</v>
      </c>
      <c r="W1114" t="s">
        <v>179</v>
      </c>
      <c r="X1114" t="s">
        <v>180</v>
      </c>
      <c r="Y1114" t="s">
        <v>36</v>
      </c>
    </row>
    <row r="1115" spans="1:25" x14ac:dyDescent="0.25">
      <c r="A1115">
        <v>10390</v>
      </c>
      <c r="B1115">
        <v>40</v>
      </c>
      <c r="C1115">
        <v>100</v>
      </c>
      <c r="D1115">
        <v>9</v>
      </c>
      <c r="E1115">
        <v>5491.6</v>
      </c>
      <c r="F1115" s="1">
        <v>38415</v>
      </c>
      <c r="G1115" t="s">
        <v>25</v>
      </c>
      <c r="H1115">
        <v>1</v>
      </c>
      <c r="I1115">
        <v>3</v>
      </c>
      <c r="J1115">
        <v>2005</v>
      </c>
      <c r="K1115" t="s">
        <v>181</v>
      </c>
      <c r="L1115">
        <v>80</v>
      </c>
      <c r="M1115" t="s">
        <v>607</v>
      </c>
      <c r="N1115" t="s">
        <v>272</v>
      </c>
      <c r="O1115">
        <v>4155551450</v>
      </c>
      <c r="P1115" t="s">
        <v>273</v>
      </c>
      <c r="R1115" t="s">
        <v>274</v>
      </c>
      <c r="S1115" t="s">
        <v>55</v>
      </c>
      <c r="T1115">
        <v>97562</v>
      </c>
      <c r="U1115" t="s">
        <v>32</v>
      </c>
      <c r="V1115" t="s">
        <v>33</v>
      </c>
      <c r="W1115" t="s">
        <v>275</v>
      </c>
      <c r="X1115" t="s">
        <v>276</v>
      </c>
      <c r="Y1115" t="s">
        <v>51</v>
      </c>
    </row>
    <row r="1116" spans="1:25" x14ac:dyDescent="0.25">
      <c r="A1116">
        <v>10103</v>
      </c>
      <c r="B1116">
        <v>46</v>
      </c>
      <c r="C1116">
        <v>100</v>
      </c>
      <c r="D1116">
        <v>16</v>
      </c>
      <c r="E1116">
        <v>4791.82</v>
      </c>
      <c r="F1116" s="1">
        <v>37650</v>
      </c>
      <c r="G1116" t="s">
        <v>25</v>
      </c>
      <c r="H1116">
        <v>1</v>
      </c>
      <c r="I1116">
        <v>1</v>
      </c>
      <c r="J1116">
        <v>2003</v>
      </c>
      <c r="K1116" t="s">
        <v>550</v>
      </c>
      <c r="L1116">
        <v>99</v>
      </c>
      <c r="M1116" t="s">
        <v>608</v>
      </c>
      <c r="N1116" t="s">
        <v>133</v>
      </c>
      <c r="O1116" t="s">
        <v>134</v>
      </c>
      <c r="P1116" t="s">
        <v>135</v>
      </c>
      <c r="R1116" t="s">
        <v>136</v>
      </c>
      <c r="T1116">
        <v>4110</v>
      </c>
      <c r="U1116" t="s">
        <v>78</v>
      </c>
      <c r="V1116" t="s">
        <v>42</v>
      </c>
      <c r="W1116" t="s">
        <v>137</v>
      </c>
      <c r="X1116" t="s">
        <v>138</v>
      </c>
      <c r="Y1116" t="s">
        <v>51</v>
      </c>
    </row>
    <row r="1117" spans="1:25" x14ac:dyDescent="0.25">
      <c r="A1117">
        <v>10111</v>
      </c>
      <c r="B1117">
        <v>39</v>
      </c>
      <c r="C1117">
        <v>100</v>
      </c>
      <c r="D1117">
        <v>4</v>
      </c>
      <c r="E1117">
        <v>4178.8500000000004</v>
      </c>
      <c r="F1117" s="1">
        <v>37705</v>
      </c>
      <c r="G1117" t="s">
        <v>25</v>
      </c>
      <c r="H1117">
        <v>1</v>
      </c>
      <c r="I1117">
        <v>3</v>
      </c>
      <c r="J1117">
        <v>2003</v>
      </c>
      <c r="K1117" t="s">
        <v>550</v>
      </c>
      <c r="L1117">
        <v>99</v>
      </c>
      <c r="M1117" t="s">
        <v>608</v>
      </c>
      <c r="N1117" t="s">
        <v>81</v>
      </c>
      <c r="O1117">
        <v>6505555787</v>
      </c>
      <c r="P1117" t="s">
        <v>82</v>
      </c>
      <c r="R1117" t="s">
        <v>60</v>
      </c>
      <c r="S1117" t="s">
        <v>55</v>
      </c>
      <c r="U1117" t="s">
        <v>32</v>
      </c>
      <c r="V1117" t="s">
        <v>33</v>
      </c>
      <c r="W1117" t="s">
        <v>83</v>
      </c>
      <c r="X1117" t="s">
        <v>57</v>
      </c>
      <c r="Y1117" t="s">
        <v>51</v>
      </c>
    </row>
    <row r="1118" spans="1:25" x14ac:dyDescent="0.25">
      <c r="A1118">
        <v>10126</v>
      </c>
      <c r="B1118">
        <v>38</v>
      </c>
      <c r="C1118">
        <v>82.34</v>
      </c>
      <c r="D1118">
        <v>16</v>
      </c>
      <c r="E1118">
        <v>3128.92</v>
      </c>
      <c r="F1118" s="1">
        <v>37769</v>
      </c>
      <c r="G1118" t="s">
        <v>25</v>
      </c>
      <c r="H1118">
        <v>2</v>
      </c>
      <c r="I1118">
        <v>5</v>
      </c>
      <c r="J1118">
        <v>2003</v>
      </c>
      <c r="K1118" t="s">
        <v>550</v>
      </c>
      <c r="L1118">
        <v>99</v>
      </c>
      <c r="M1118" t="s">
        <v>608</v>
      </c>
      <c r="N1118" t="s">
        <v>191</v>
      </c>
      <c r="O1118" t="s">
        <v>192</v>
      </c>
      <c r="P1118" t="s">
        <v>193</v>
      </c>
      <c r="R1118" t="s">
        <v>177</v>
      </c>
      <c r="T1118">
        <v>28023</v>
      </c>
      <c r="U1118" t="s">
        <v>178</v>
      </c>
      <c r="V1118" t="s">
        <v>42</v>
      </c>
      <c r="W1118" t="s">
        <v>194</v>
      </c>
      <c r="X1118" t="s">
        <v>195</v>
      </c>
      <c r="Y1118" t="s">
        <v>51</v>
      </c>
    </row>
    <row r="1119" spans="1:25" x14ac:dyDescent="0.25">
      <c r="A1119">
        <v>10139</v>
      </c>
      <c r="B1119">
        <v>30</v>
      </c>
      <c r="C1119">
        <v>100</v>
      </c>
      <c r="D1119">
        <v>5</v>
      </c>
      <c r="E1119">
        <v>3095.4</v>
      </c>
      <c r="F1119" s="1">
        <v>37818</v>
      </c>
      <c r="G1119" t="s">
        <v>25</v>
      </c>
      <c r="H1119">
        <v>3</v>
      </c>
      <c r="I1119">
        <v>7</v>
      </c>
      <c r="J1119">
        <v>2003</v>
      </c>
      <c r="K1119" t="s">
        <v>550</v>
      </c>
      <c r="L1119">
        <v>99</v>
      </c>
      <c r="M1119" t="s">
        <v>608</v>
      </c>
      <c r="N1119" t="s">
        <v>152</v>
      </c>
      <c r="O1119" t="s">
        <v>153</v>
      </c>
      <c r="P1119" t="s">
        <v>154</v>
      </c>
      <c r="Q1119" t="s">
        <v>155</v>
      </c>
      <c r="R1119" t="s">
        <v>156</v>
      </c>
      <c r="S1119" t="s">
        <v>157</v>
      </c>
      <c r="T1119">
        <v>2067</v>
      </c>
      <c r="U1119" t="s">
        <v>95</v>
      </c>
      <c r="V1119" t="s">
        <v>96</v>
      </c>
      <c r="W1119" t="s">
        <v>158</v>
      </c>
      <c r="X1119" t="s">
        <v>159</v>
      </c>
      <c r="Y1119" t="s">
        <v>51</v>
      </c>
    </row>
    <row r="1120" spans="1:25" x14ac:dyDescent="0.25">
      <c r="A1120">
        <v>10149</v>
      </c>
      <c r="B1120">
        <v>42</v>
      </c>
      <c r="C1120">
        <v>94.25</v>
      </c>
      <c r="D1120">
        <v>2</v>
      </c>
      <c r="E1120">
        <v>3958.5</v>
      </c>
      <c r="F1120" s="1">
        <v>37876</v>
      </c>
      <c r="G1120" t="s">
        <v>25</v>
      </c>
      <c r="H1120">
        <v>3</v>
      </c>
      <c r="I1120">
        <v>9</v>
      </c>
      <c r="J1120">
        <v>2003</v>
      </c>
      <c r="K1120" t="s">
        <v>550</v>
      </c>
      <c r="L1120">
        <v>99</v>
      </c>
      <c r="M1120" t="s">
        <v>608</v>
      </c>
      <c r="N1120" t="s">
        <v>526</v>
      </c>
      <c r="O1120">
        <v>4155554312</v>
      </c>
      <c r="P1120" t="s">
        <v>527</v>
      </c>
      <c r="R1120" t="s">
        <v>528</v>
      </c>
      <c r="S1120" t="s">
        <v>55</v>
      </c>
      <c r="T1120">
        <v>94217</v>
      </c>
      <c r="U1120" t="s">
        <v>32</v>
      </c>
      <c r="V1120" t="s">
        <v>33</v>
      </c>
      <c r="W1120" t="s">
        <v>529</v>
      </c>
      <c r="X1120" t="s">
        <v>400</v>
      </c>
      <c r="Y1120" t="s">
        <v>51</v>
      </c>
    </row>
    <row r="1121" spans="1:25" x14ac:dyDescent="0.25">
      <c r="A1121">
        <v>10163</v>
      </c>
      <c r="B1121">
        <v>43</v>
      </c>
      <c r="C1121">
        <v>100</v>
      </c>
      <c r="D1121">
        <v>6</v>
      </c>
      <c r="E1121">
        <v>4991.4399999999996</v>
      </c>
      <c r="F1121" s="1">
        <v>37914</v>
      </c>
      <c r="G1121" t="s">
        <v>25</v>
      </c>
      <c r="H1121">
        <v>4</v>
      </c>
      <c r="I1121">
        <v>10</v>
      </c>
      <c r="J1121">
        <v>2003</v>
      </c>
      <c r="K1121" t="s">
        <v>550</v>
      </c>
      <c r="L1121">
        <v>99</v>
      </c>
      <c r="M1121" t="s">
        <v>608</v>
      </c>
      <c r="N1121" t="s">
        <v>203</v>
      </c>
      <c r="O1121">
        <v>2125558493</v>
      </c>
      <c r="P1121" t="s">
        <v>204</v>
      </c>
      <c r="Q1121" t="s">
        <v>205</v>
      </c>
      <c r="R1121" t="s">
        <v>30</v>
      </c>
      <c r="S1121" t="s">
        <v>31</v>
      </c>
      <c r="T1121">
        <v>10022</v>
      </c>
      <c r="U1121" t="s">
        <v>32</v>
      </c>
      <c r="V1121" t="s">
        <v>33</v>
      </c>
      <c r="W1121" t="s">
        <v>124</v>
      </c>
      <c r="X1121" t="s">
        <v>206</v>
      </c>
      <c r="Y1121" t="s">
        <v>51</v>
      </c>
    </row>
    <row r="1122" spans="1:25" x14ac:dyDescent="0.25">
      <c r="A1122">
        <v>10173</v>
      </c>
      <c r="B1122">
        <v>29</v>
      </c>
      <c r="C1122">
        <v>95.24</v>
      </c>
      <c r="D1122">
        <v>4</v>
      </c>
      <c r="E1122">
        <v>2761.96</v>
      </c>
      <c r="F1122" s="1">
        <v>37930</v>
      </c>
      <c r="G1122" t="s">
        <v>25</v>
      </c>
      <c r="H1122">
        <v>4</v>
      </c>
      <c r="I1122">
        <v>11</v>
      </c>
      <c r="J1122">
        <v>2003</v>
      </c>
      <c r="K1122" t="s">
        <v>550</v>
      </c>
      <c r="L1122">
        <v>99</v>
      </c>
      <c r="M1122" t="s">
        <v>608</v>
      </c>
      <c r="N1122" t="s">
        <v>552</v>
      </c>
      <c r="O1122" t="s">
        <v>553</v>
      </c>
      <c r="P1122" t="s">
        <v>554</v>
      </c>
      <c r="R1122" t="s">
        <v>555</v>
      </c>
      <c r="T1122">
        <v>24100</v>
      </c>
      <c r="U1122" t="s">
        <v>258</v>
      </c>
      <c r="V1122" t="s">
        <v>42</v>
      </c>
      <c r="W1122" t="s">
        <v>556</v>
      </c>
      <c r="X1122" t="s">
        <v>557</v>
      </c>
      <c r="Y1122" t="s">
        <v>36</v>
      </c>
    </row>
    <row r="1123" spans="1:25" x14ac:dyDescent="0.25">
      <c r="A1123">
        <v>10182</v>
      </c>
      <c r="B1123">
        <v>33</v>
      </c>
      <c r="C1123">
        <v>86.31</v>
      </c>
      <c r="D1123">
        <v>1</v>
      </c>
      <c r="E1123">
        <v>2848.23</v>
      </c>
      <c r="F1123" s="1">
        <v>37937</v>
      </c>
      <c r="G1123" t="s">
        <v>25</v>
      </c>
      <c r="H1123">
        <v>4</v>
      </c>
      <c r="I1123">
        <v>11</v>
      </c>
      <c r="J1123">
        <v>2003</v>
      </c>
      <c r="K1123" t="s">
        <v>550</v>
      </c>
      <c r="L1123">
        <v>99</v>
      </c>
      <c r="M1123" t="s">
        <v>608</v>
      </c>
      <c r="N1123" t="s">
        <v>272</v>
      </c>
      <c r="O1123">
        <v>4155551450</v>
      </c>
      <c r="P1123" t="s">
        <v>273</v>
      </c>
      <c r="R1123" t="s">
        <v>274</v>
      </c>
      <c r="S1123" t="s">
        <v>55</v>
      </c>
      <c r="T1123">
        <v>97562</v>
      </c>
      <c r="U1123" t="s">
        <v>32</v>
      </c>
      <c r="V1123" t="s">
        <v>33</v>
      </c>
      <c r="W1123" t="s">
        <v>275</v>
      </c>
      <c r="X1123" t="s">
        <v>276</v>
      </c>
      <c r="Y1123" t="s">
        <v>36</v>
      </c>
    </row>
    <row r="1124" spans="1:25" x14ac:dyDescent="0.25">
      <c r="A1124">
        <v>10193</v>
      </c>
      <c r="B1124">
        <v>32</v>
      </c>
      <c r="C1124">
        <v>79.37</v>
      </c>
      <c r="D1124">
        <v>5</v>
      </c>
      <c r="E1124">
        <v>2539.84</v>
      </c>
      <c r="F1124" s="1">
        <v>37946</v>
      </c>
      <c r="G1124" t="s">
        <v>25</v>
      </c>
      <c r="H1124">
        <v>4</v>
      </c>
      <c r="I1124">
        <v>11</v>
      </c>
      <c r="J1124">
        <v>2003</v>
      </c>
      <c r="K1124" t="s">
        <v>550</v>
      </c>
      <c r="L1124">
        <v>99</v>
      </c>
      <c r="M1124" t="s">
        <v>608</v>
      </c>
      <c r="N1124" t="s">
        <v>558</v>
      </c>
      <c r="O1124" t="s">
        <v>559</v>
      </c>
      <c r="P1124" t="s">
        <v>560</v>
      </c>
      <c r="R1124" t="s">
        <v>561</v>
      </c>
      <c r="S1124" t="s">
        <v>94</v>
      </c>
      <c r="T1124">
        <v>3150</v>
      </c>
      <c r="U1124" t="s">
        <v>95</v>
      </c>
      <c r="V1124" t="s">
        <v>96</v>
      </c>
      <c r="W1124" t="s">
        <v>562</v>
      </c>
      <c r="X1124" t="s">
        <v>563</v>
      </c>
      <c r="Y1124" t="s">
        <v>36</v>
      </c>
    </row>
    <row r="1125" spans="1:25" x14ac:dyDescent="0.25">
      <c r="A1125">
        <v>10206</v>
      </c>
      <c r="B1125">
        <v>28</v>
      </c>
      <c r="C1125">
        <v>87.3</v>
      </c>
      <c r="D1125">
        <v>11</v>
      </c>
      <c r="E1125">
        <v>2444.4</v>
      </c>
      <c r="F1125" s="1">
        <v>37960</v>
      </c>
      <c r="G1125" t="s">
        <v>25</v>
      </c>
      <c r="H1125">
        <v>4</v>
      </c>
      <c r="I1125">
        <v>12</v>
      </c>
      <c r="J1125">
        <v>2003</v>
      </c>
      <c r="K1125" t="s">
        <v>550</v>
      </c>
      <c r="L1125">
        <v>99</v>
      </c>
      <c r="M1125" t="s">
        <v>608</v>
      </c>
      <c r="N1125" t="s">
        <v>225</v>
      </c>
      <c r="O1125" t="s">
        <v>226</v>
      </c>
      <c r="P1125" t="s">
        <v>227</v>
      </c>
      <c r="R1125" t="s">
        <v>228</v>
      </c>
      <c r="S1125" t="s">
        <v>229</v>
      </c>
      <c r="T1125" t="s">
        <v>230</v>
      </c>
      <c r="U1125" t="s">
        <v>231</v>
      </c>
      <c r="V1125" t="s">
        <v>33</v>
      </c>
      <c r="W1125" t="s">
        <v>232</v>
      </c>
      <c r="X1125" t="s">
        <v>233</v>
      </c>
      <c r="Y1125" t="s">
        <v>36</v>
      </c>
    </row>
    <row r="1126" spans="1:25" x14ac:dyDescent="0.25">
      <c r="A1126">
        <v>10215</v>
      </c>
      <c r="B1126">
        <v>41</v>
      </c>
      <c r="C1126">
        <v>100</v>
      </c>
      <c r="D1126">
        <v>8</v>
      </c>
      <c r="E1126">
        <v>4555.92</v>
      </c>
      <c r="F1126" s="1">
        <v>38015</v>
      </c>
      <c r="G1126" t="s">
        <v>25</v>
      </c>
      <c r="H1126">
        <v>1</v>
      </c>
      <c r="I1126">
        <v>1</v>
      </c>
      <c r="J1126">
        <v>2004</v>
      </c>
      <c r="K1126" t="s">
        <v>550</v>
      </c>
      <c r="L1126">
        <v>99</v>
      </c>
      <c r="M1126" t="s">
        <v>608</v>
      </c>
      <c r="N1126" t="s">
        <v>234</v>
      </c>
      <c r="O1126">
        <v>3105553722</v>
      </c>
      <c r="P1126" t="s">
        <v>235</v>
      </c>
      <c r="R1126" t="s">
        <v>236</v>
      </c>
      <c r="S1126" t="s">
        <v>55</v>
      </c>
      <c r="T1126">
        <v>94019</v>
      </c>
      <c r="U1126" t="s">
        <v>32</v>
      </c>
      <c r="V1126" t="s">
        <v>33</v>
      </c>
      <c r="W1126" t="s">
        <v>237</v>
      </c>
      <c r="X1126" t="s">
        <v>238</v>
      </c>
      <c r="Y1126" t="s">
        <v>51</v>
      </c>
    </row>
    <row r="1127" spans="1:25" x14ac:dyDescent="0.25">
      <c r="A1127">
        <v>10227</v>
      </c>
      <c r="B1127">
        <v>33</v>
      </c>
      <c r="C1127">
        <v>100</v>
      </c>
      <c r="D1127">
        <v>1</v>
      </c>
      <c r="E1127">
        <v>3666.96</v>
      </c>
      <c r="F1127" s="1">
        <v>38048</v>
      </c>
      <c r="G1127" t="s">
        <v>25</v>
      </c>
      <c r="H1127">
        <v>1</v>
      </c>
      <c r="I1127">
        <v>3</v>
      </c>
      <c r="J1127">
        <v>2004</v>
      </c>
      <c r="K1127" t="s">
        <v>550</v>
      </c>
      <c r="L1127">
        <v>99</v>
      </c>
      <c r="M1127" t="s">
        <v>608</v>
      </c>
      <c r="N1127" t="s">
        <v>219</v>
      </c>
      <c r="O1127" t="s">
        <v>220</v>
      </c>
      <c r="P1127" t="s">
        <v>221</v>
      </c>
      <c r="R1127" t="s">
        <v>222</v>
      </c>
      <c r="T1127">
        <v>69004</v>
      </c>
      <c r="U1127" t="s">
        <v>41</v>
      </c>
      <c r="V1127" t="s">
        <v>42</v>
      </c>
      <c r="W1127" t="s">
        <v>223</v>
      </c>
      <c r="X1127" t="s">
        <v>224</v>
      </c>
      <c r="Y1127" t="s">
        <v>51</v>
      </c>
    </row>
    <row r="1128" spans="1:25" x14ac:dyDescent="0.25">
      <c r="A1128">
        <v>10244</v>
      </c>
      <c r="B1128">
        <v>36</v>
      </c>
      <c r="C1128">
        <v>84.33</v>
      </c>
      <c r="D1128">
        <v>5</v>
      </c>
      <c r="E1128">
        <v>3035.88</v>
      </c>
      <c r="F1128" s="1">
        <v>38106</v>
      </c>
      <c r="G1128" t="s">
        <v>25</v>
      </c>
      <c r="H1128">
        <v>2</v>
      </c>
      <c r="I1128">
        <v>4</v>
      </c>
      <c r="J1128">
        <v>2004</v>
      </c>
      <c r="K1128" t="s">
        <v>550</v>
      </c>
      <c r="L1128">
        <v>99</v>
      </c>
      <c r="M1128" t="s">
        <v>608</v>
      </c>
      <c r="N1128" t="s">
        <v>174</v>
      </c>
      <c r="O1128" t="s">
        <v>175</v>
      </c>
      <c r="P1128" t="s">
        <v>176</v>
      </c>
      <c r="R1128" t="s">
        <v>177</v>
      </c>
      <c r="T1128">
        <v>28034</v>
      </c>
      <c r="U1128" t="s">
        <v>178</v>
      </c>
      <c r="V1128" t="s">
        <v>42</v>
      </c>
      <c r="W1128" t="s">
        <v>179</v>
      </c>
      <c r="X1128" t="s">
        <v>180</v>
      </c>
      <c r="Y1128" t="s">
        <v>51</v>
      </c>
    </row>
    <row r="1129" spans="1:25" x14ac:dyDescent="0.25">
      <c r="A1129">
        <v>10257</v>
      </c>
      <c r="B1129">
        <v>26</v>
      </c>
      <c r="C1129">
        <v>89.29</v>
      </c>
      <c r="D1129">
        <v>5</v>
      </c>
      <c r="E1129">
        <v>2321.54</v>
      </c>
      <c r="F1129" s="1">
        <v>38152</v>
      </c>
      <c r="G1129" t="s">
        <v>25</v>
      </c>
      <c r="H1129">
        <v>2</v>
      </c>
      <c r="I1129">
        <v>6</v>
      </c>
      <c r="J1129">
        <v>2004</v>
      </c>
      <c r="K1129" t="s">
        <v>550</v>
      </c>
      <c r="L1129">
        <v>99</v>
      </c>
      <c r="M1129" t="s">
        <v>608</v>
      </c>
      <c r="N1129" t="s">
        <v>397</v>
      </c>
      <c r="O1129">
        <v>4085553659</v>
      </c>
      <c r="P1129" t="s">
        <v>398</v>
      </c>
      <c r="R1129" t="s">
        <v>399</v>
      </c>
      <c r="S1129" t="s">
        <v>55</v>
      </c>
      <c r="T1129">
        <v>94217</v>
      </c>
      <c r="U1129" t="s">
        <v>32</v>
      </c>
      <c r="V1129" t="s">
        <v>33</v>
      </c>
      <c r="W1129" t="s">
        <v>102</v>
      </c>
      <c r="X1129" t="s">
        <v>400</v>
      </c>
      <c r="Y1129" t="s">
        <v>36</v>
      </c>
    </row>
    <row r="1130" spans="1:25" x14ac:dyDescent="0.25">
      <c r="A1130">
        <v>10280</v>
      </c>
      <c r="B1130">
        <v>34</v>
      </c>
      <c r="C1130">
        <v>100</v>
      </c>
      <c r="D1130">
        <v>7</v>
      </c>
      <c r="E1130">
        <v>3474.46</v>
      </c>
      <c r="F1130" s="1">
        <v>38216</v>
      </c>
      <c r="G1130" t="s">
        <v>25</v>
      </c>
      <c r="H1130">
        <v>3</v>
      </c>
      <c r="I1130">
        <v>8</v>
      </c>
      <c r="J1130">
        <v>2004</v>
      </c>
      <c r="K1130" t="s">
        <v>550</v>
      </c>
      <c r="L1130">
        <v>99</v>
      </c>
      <c r="M1130" t="s">
        <v>608</v>
      </c>
      <c r="N1130" t="s">
        <v>254</v>
      </c>
      <c r="O1130" t="s">
        <v>255</v>
      </c>
      <c r="P1130" t="s">
        <v>256</v>
      </c>
      <c r="R1130" t="s">
        <v>257</v>
      </c>
      <c r="T1130">
        <v>10100</v>
      </c>
      <c r="U1130" t="s">
        <v>258</v>
      </c>
      <c r="V1130" t="s">
        <v>42</v>
      </c>
      <c r="W1130" t="s">
        <v>259</v>
      </c>
      <c r="X1130" t="s">
        <v>260</v>
      </c>
      <c r="Y1130" t="s">
        <v>51</v>
      </c>
    </row>
    <row r="1131" spans="1:25" x14ac:dyDescent="0.25">
      <c r="A1131">
        <v>10290</v>
      </c>
      <c r="B1131">
        <v>26</v>
      </c>
      <c r="C1131">
        <v>96.23</v>
      </c>
      <c r="D1131">
        <v>2</v>
      </c>
      <c r="E1131">
        <v>2501.98</v>
      </c>
      <c r="F1131" s="1">
        <v>38237</v>
      </c>
      <c r="G1131" t="s">
        <v>25</v>
      </c>
      <c r="H1131">
        <v>3</v>
      </c>
      <c r="I1131">
        <v>9</v>
      </c>
      <c r="J1131">
        <v>2004</v>
      </c>
      <c r="K1131" t="s">
        <v>550</v>
      </c>
      <c r="L1131">
        <v>99</v>
      </c>
      <c r="M1131" t="s">
        <v>608</v>
      </c>
      <c r="N1131" t="s">
        <v>600</v>
      </c>
      <c r="O1131">
        <v>6175558428</v>
      </c>
      <c r="P1131" t="s">
        <v>601</v>
      </c>
      <c r="R1131" t="s">
        <v>283</v>
      </c>
      <c r="S1131" t="s">
        <v>123</v>
      </c>
      <c r="T1131">
        <v>58339</v>
      </c>
      <c r="U1131" t="s">
        <v>32</v>
      </c>
      <c r="V1131" t="s">
        <v>33</v>
      </c>
      <c r="W1131" t="s">
        <v>529</v>
      </c>
      <c r="X1131" t="s">
        <v>245</v>
      </c>
      <c r="Y1131" t="s">
        <v>36</v>
      </c>
    </row>
    <row r="1132" spans="1:25" x14ac:dyDescent="0.25">
      <c r="A1132">
        <v>10304</v>
      </c>
      <c r="B1132">
        <v>38</v>
      </c>
      <c r="C1132">
        <v>100</v>
      </c>
      <c r="D1132">
        <v>11</v>
      </c>
      <c r="E1132">
        <v>3958.46</v>
      </c>
      <c r="F1132" s="1">
        <v>38271</v>
      </c>
      <c r="G1132" t="s">
        <v>25</v>
      </c>
      <c r="H1132">
        <v>4</v>
      </c>
      <c r="I1132">
        <v>10</v>
      </c>
      <c r="J1132">
        <v>2004</v>
      </c>
      <c r="K1132" t="s">
        <v>550</v>
      </c>
      <c r="L1132">
        <v>99</v>
      </c>
      <c r="M1132" t="s">
        <v>608</v>
      </c>
      <c r="N1132" t="s">
        <v>267</v>
      </c>
      <c r="O1132" t="s">
        <v>268</v>
      </c>
      <c r="P1132" t="s">
        <v>269</v>
      </c>
      <c r="R1132" t="s">
        <v>270</v>
      </c>
      <c r="T1132">
        <v>78000</v>
      </c>
      <c r="U1132" t="s">
        <v>41</v>
      </c>
      <c r="V1132" t="s">
        <v>42</v>
      </c>
      <c r="W1132" t="s">
        <v>271</v>
      </c>
      <c r="X1132" t="s">
        <v>50</v>
      </c>
      <c r="Y1132" t="s">
        <v>51</v>
      </c>
    </row>
    <row r="1133" spans="1:25" x14ac:dyDescent="0.25">
      <c r="A1133">
        <v>10312</v>
      </c>
      <c r="B1133">
        <v>33</v>
      </c>
      <c r="C1133">
        <v>100</v>
      </c>
      <c r="D1133">
        <v>8</v>
      </c>
      <c r="E1133">
        <v>3535.95</v>
      </c>
      <c r="F1133" s="1">
        <v>38281</v>
      </c>
      <c r="G1133" t="s">
        <v>25</v>
      </c>
      <c r="H1133">
        <v>4</v>
      </c>
      <c r="I1133">
        <v>10</v>
      </c>
      <c r="J1133">
        <v>2004</v>
      </c>
      <c r="K1133" t="s">
        <v>550</v>
      </c>
      <c r="L1133">
        <v>99</v>
      </c>
      <c r="M1133" t="s">
        <v>608</v>
      </c>
      <c r="N1133" t="s">
        <v>272</v>
      </c>
      <c r="O1133">
        <v>4155551450</v>
      </c>
      <c r="P1133" t="s">
        <v>273</v>
      </c>
      <c r="R1133" t="s">
        <v>274</v>
      </c>
      <c r="S1133" t="s">
        <v>55</v>
      </c>
      <c r="T1133">
        <v>97562</v>
      </c>
      <c r="U1133" t="s">
        <v>32</v>
      </c>
      <c r="V1133" t="s">
        <v>33</v>
      </c>
      <c r="W1133" t="s">
        <v>275</v>
      </c>
      <c r="X1133" t="s">
        <v>276</v>
      </c>
      <c r="Y1133" t="s">
        <v>51</v>
      </c>
    </row>
    <row r="1134" spans="1:25" x14ac:dyDescent="0.25">
      <c r="A1134">
        <v>10323</v>
      </c>
      <c r="B1134">
        <v>33</v>
      </c>
      <c r="C1134">
        <v>91.27</v>
      </c>
      <c r="D1134">
        <v>2</v>
      </c>
      <c r="E1134">
        <v>3011.91</v>
      </c>
      <c r="F1134" s="1">
        <v>38296</v>
      </c>
      <c r="G1134" t="s">
        <v>25</v>
      </c>
      <c r="H1134">
        <v>4</v>
      </c>
      <c r="I1134">
        <v>11</v>
      </c>
      <c r="J1134">
        <v>2004</v>
      </c>
      <c r="K1134" t="s">
        <v>550</v>
      </c>
      <c r="L1134">
        <v>99</v>
      </c>
      <c r="M1134" t="s">
        <v>608</v>
      </c>
      <c r="N1134" t="s">
        <v>462</v>
      </c>
      <c r="O1134" t="s">
        <v>463</v>
      </c>
      <c r="P1134" t="s">
        <v>464</v>
      </c>
      <c r="R1134" t="s">
        <v>465</v>
      </c>
      <c r="T1134">
        <v>60528</v>
      </c>
      <c r="U1134" t="s">
        <v>443</v>
      </c>
      <c r="V1134" t="s">
        <v>42</v>
      </c>
      <c r="W1134" t="s">
        <v>466</v>
      </c>
      <c r="X1134" t="s">
        <v>414</v>
      </c>
      <c r="Y1134" t="s">
        <v>51</v>
      </c>
    </row>
    <row r="1135" spans="1:25" x14ac:dyDescent="0.25">
      <c r="A1135">
        <v>10333</v>
      </c>
      <c r="B1135">
        <v>46</v>
      </c>
      <c r="C1135">
        <v>100</v>
      </c>
      <c r="D1135">
        <v>2</v>
      </c>
      <c r="E1135">
        <v>11336.7</v>
      </c>
      <c r="F1135" s="1">
        <v>38309</v>
      </c>
      <c r="G1135" t="s">
        <v>25</v>
      </c>
      <c r="H1135">
        <v>4</v>
      </c>
      <c r="I1135">
        <v>11</v>
      </c>
      <c r="J1135">
        <v>2004</v>
      </c>
      <c r="K1135" t="s">
        <v>550</v>
      </c>
      <c r="L1135">
        <v>99</v>
      </c>
      <c r="M1135" t="s">
        <v>608</v>
      </c>
      <c r="N1135" t="s">
        <v>81</v>
      </c>
      <c r="O1135">
        <v>6505555787</v>
      </c>
      <c r="P1135" t="s">
        <v>82</v>
      </c>
      <c r="R1135" t="s">
        <v>60</v>
      </c>
      <c r="S1135" t="s">
        <v>55</v>
      </c>
      <c r="U1135" t="s">
        <v>32</v>
      </c>
      <c r="V1135" t="s">
        <v>33</v>
      </c>
      <c r="W1135" t="s">
        <v>83</v>
      </c>
      <c r="X1135" t="s">
        <v>57</v>
      </c>
      <c r="Y1135" t="s">
        <v>151</v>
      </c>
    </row>
    <row r="1136" spans="1:25" x14ac:dyDescent="0.25">
      <c r="A1136">
        <v>10347</v>
      </c>
      <c r="B1136">
        <v>26</v>
      </c>
      <c r="C1136">
        <v>100</v>
      </c>
      <c r="D1136">
        <v>12</v>
      </c>
      <c r="E1136">
        <v>2656.94</v>
      </c>
      <c r="F1136" s="1">
        <v>38320</v>
      </c>
      <c r="G1136" t="s">
        <v>25</v>
      </c>
      <c r="H1136">
        <v>4</v>
      </c>
      <c r="I1136">
        <v>11</v>
      </c>
      <c r="J1136">
        <v>2004</v>
      </c>
      <c r="K1136" t="s">
        <v>550</v>
      </c>
      <c r="L1136">
        <v>99</v>
      </c>
      <c r="M1136" t="s">
        <v>608</v>
      </c>
      <c r="N1136" t="s">
        <v>89</v>
      </c>
      <c r="O1136" t="s">
        <v>90</v>
      </c>
      <c r="P1136" t="s">
        <v>91</v>
      </c>
      <c r="Q1136" t="s">
        <v>92</v>
      </c>
      <c r="R1136" t="s">
        <v>93</v>
      </c>
      <c r="S1136" t="s">
        <v>94</v>
      </c>
      <c r="T1136">
        <v>3004</v>
      </c>
      <c r="U1136" t="s">
        <v>95</v>
      </c>
      <c r="V1136" t="s">
        <v>96</v>
      </c>
      <c r="W1136" t="s">
        <v>97</v>
      </c>
      <c r="X1136" t="s">
        <v>98</v>
      </c>
      <c r="Y1136" t="s">
        <v>36</v>
      </c>
    </row>
    <row r="1137" spans="1:25" x14ac:dyDescent="0.25">
      <c r="A1137">
        <v>10357</v>
      </c>
      <c r="B1137">
        <v>25</v>
      </c>
      <c r="C1137">
        <v>100</v>
      </c>
      <c r="D1137">
        <v>3</v>
      </c>
      <c r="E1137">
        <v>2604.25</v>
      </c>
      <c r="F1137" s="1">
        <v>38331</v>
      </c>
      <c r="G1137" t="s">
        <v>25</v>
      </c>
      <c r="H1137">
        <v>4</v>
      </c>
      <c r="I1137">
        <v>12</v>
      </c>
      <c r="J1137">
        <v>2004</v>
      </c>
      <c r="K1137" t="s">
        <v>550</v>
      </c>
      <c r="L1137">
        <v>99</v>
      </c>
      <c r="M1137" t="s">
        <v>608</v>
      </c>
      <c r="N1137" t="s">
        <v>272</v>
      </c>
      <c r="O1137">
        <v>4155551450</v>
      </c>
      <c r="P1137" t="s">
        <v>273</v>
      </c>
      <c r="R1137" t="s">
        <v>274</v>
      </c>
      <c r="S1137" t="s">
        <v>55</v>
      </c>
      <c r="T1137">
        <v>97562</v>
      </c>
      <c r="U1137" t="s">
        <v>32</v>
      </c>
      <c r="V1137" t="s">
        <v>33</v>
      </c>
      <c r="W1137" t="s">
        <v>275</v>
      </c>
      <c r="X1137" t="s">
        <v>276</v>
      </c>
      <c r="Y1137" t="s">
        <v>36</v>
      </c>
    </row>
    <row r="1138" spans="1:25" x14ac:dyDescent="0.25">
      <c r="A1138">
        <v>10369</v>
      </c>
      <c r="B1138">
        <v>45</v>
      </c>
      <c r="C1138">
        <v>73.08</v>
      </c>
      <c r="D1138">
        <v>4</v>
      </c>
      <c r="E1138">
        <v>3288.6</v>
      </c>
      <c r="F1138" s="1">
        <v>38372</v>
      </c>
      <c r="G1138" t="s">
        <v>25</v>
      </c>
      <c r="H1138">
        <v>1</v>
      </c>
      <c r="I1138">
        <v>1</v>
      </c>
      <c r="J1138">
        <v>2005</v>
      </c>
      <c r="K1138" t="s">
        <v>550</v>
      </c>
      <c r="L1138">
        <v>99</v>
      </c>
      <c r="M1138" t="s">
        <v>608</v>
      </c>
      <c r="N1138" t="s">
        <v>281</v>
      </c>
      <c r="O1138">
        <v>6175558555</v>
      </c>
      <c r="P1138" t="s">
        <v>282</v>
      </c>
      <c r="R1138" t="s">
        <v>283</v>
      </c>
      <c r="S1138" t="s">
        <v>123</v>
      </c>
      <c r="T1138">
        <v>58339</v>
      </c>
      <c r="U1138" t="s">
        <v>32</v>
      </c>
      <c r="V1138" t="s">
        <v>33</v>
      </c>
      <c r="W1138" t="s">
        <v>275</v>
      </c>
      <c r="X1138" t="s">
        <v>284</v>
      </c>
      <c r="Y1138" t="s">
        <v>51</v>
      </c>
    </row>
    <row r="1139" spans="1:25" x14ac:dyDescent="0.25">
      <c r="A1139">
        <v>10382</v>
      </c>
      <c r="B1139">
        <v>50</v>
      </c>
      <c r="C1139">
        <v>100</v>
      </c>
      <c r="D1139">
        <v>7</v>
      </c>
      <c r="E1139">
        <v>8935.5</v>
      </c>
      <c r="F1139" s="1">
        <v>38400</v>
      </c>
      <c r="G1139" t="s">
        <v>25</v>
      </c>
      <c r="H1139">
        <v>1</v>
      </c>
      <c r="I1139">
        <v>2</v>
      </c>
      <c r="J1139">
        <v>2005</v>
      </c>
      <c r="K1139" t="s">
        <v>550</v>
      </c>
      <c r="L1139">
        <v>99</v>
      </c>
      <c r="M1139" t="s">
        <v>608</v>
      </c>
      <c r="N1139" t="s">
        <v>272</v>
      </c>
      <c r="O1139">
        <v>4155551450</v>
      </c>
      <c r="P1139" t="s">
        <v>273</v>
      </c>
      <c r="R1139" t="s">
        <v>274</v>
      </c>
      <c r="S1139" t="s">
        <v>55</v>
      </c>
      <c r="T1139">
        <v>97562</v>
      </c>
      <c r="U1139" t="s">
        <v>32</v>
      </c>
      <c r="V1139" t="s">
        <v>33</v>
      </c>
      <c r="W1139" t="s">
        <v>275</v>
      </c>
      <c r="X1139" t="s">
        <v>276</v>
      </c>
      <c r="Y1139" t="s">
        <v>151</v>
      </c>
    </row>
    <row r="1140" spans="1:25" x14ac:dyDescent="0.25">
      <c r="A1140">
        <v>10392</v>
      </c>
      <c r="B1140">
        <v>36</v>
      </c>
      <c r="C1140">
        <v>100</v>
      </c>
      <c r="D1140">
        <v>1</v>
      </c>
      <c r="E1140">
        <v>4035.96</v>
      </c>
      <c r="F1140" s="1">
        <v>38421</v>
      </c>
      <c r="G1140" t="s">
        <v>25</v>
      </c>
      <c r="H1140">
        <v>1</v>
      </c>
      <c r="I1140">
        <v>3</v>
      </c>
      <c r="J1140">
        <v>2005</v>
      </c>
      <c r="K1140" t="s">
        <v>550</v>
      </c>
      <c r="L1140">
        <v>99</v>
      </c>
      <c r="M1140" t="s">
        <v>608</v>
      </c>
      <c r="N1140" t="s">
        <v>409</v>
      </c>
      <c r="O1140" t="s">
        <v>410</v>
      </c>
      <c r="P1140" t="s">
        <v>411</v>
      </c>
      <c r="R1140" t="s">
        <v>412</v>
      </c>
      <c r="T1140">
        <v>8010</v>
      </c>
      <c r="U1140" t="s">
        <v>148</v>
      </c>
      <c r="V1140" t="s">
        <v>42</v>
      </c>
      <c r="W1140" t="s">
        <v>413</v>
      </c>
      <c r="X1140" t="s">
        <v>414</v>
      </c>
      <c r="Y1140" t="s">
        <v>51</v>
      </c>
    </row>
    <row r="1141" spans="1:25" x14ac:dyDescent="0.25">
      <c r="A1141">
        <v>10423</v>
      </c>
      <c r="B1141">
        <v>21</v>
      </c>
      <c r="C1141">
        <v>89.29</v>
      </c>
      <c r="D1141">
        <v>5</v>
      </c>
      <c r="E1141">
        <v>1875.09</v>
      </c>
      <c r="F1141" s="1">
        <v>38502</v>
      </c>
      <c r="G1141" t="s">
        <v>300</v>
      </c>
      <c r="H1141">
        <v>2</v>
      </c>
      <c r="I1141">
        <v>5</v>
      </c>
      <c r="J1141">
        <v>2005</v>
      </c>
      <c r="K1141" t="s">
        <v>550</v>
      </c>
      <c r="L1141">
        <v>99</v>
      </c>
      <c r="M1141" t="s">
        <v>608</v>
      </c>
      <c r="N1141" t="s">
        <v>365</v>
      </c>
      <c r="O1141" t="s">
        <v>366</v>
      </c>
      <c r="P1141" t="s">
        <v>367</v>
      </c>
      <c r="R1141" t="s">
        <v>368</v>
      </c>
      <c r="T1141" t="s">
        <v>369</v>
      </c>
      <c r="U1141" t="s">
        <v>370</v>
      </c>
      <c r="V1141" t="s">
        <v>42</v>
      </c>
      <c r="W1141" t="s">
        <v>371</v>
      </c>
      <c r="X1141" t="s">
        <v>372</v>
      </c>
      <c r="Y1141" t="s">
        <v>36</v>
      </c>
    </row>
    <row r="1142" spans="1:25" x14ac:dyDescent="0.25">
      <c r="A1142">
        <v>10108</v>
      </c>
      <c r="B1142">
        <v>29</v>
      </c>
      <c r="C1142">
        <v>100</v>
      </c>
      <c r="D1142">
        <v>8</v>
      </c>
      <c r="E1142">
        <v>4049.56</v>
      </c>
      <c r="F1142" s="1">
        <v>37683</v>
      </c>
      <c r="G1142" t="s">
        <v>25</v>
      </c>
      <c r="H1142">
        <v>1</v>
      </c>
      <c r="I1142">
        <v>3</v>
      </c>
      <c r="J1142">
        <v>2003</v>
      </c>
      <c r="K1142" t="s">
        <v>181</v>
      </c>
      <c r="L1142">
        <v>146</v>
      </c>
      <c r="M1142" t="s">
        <v>609</v>
      </c>
      <c r="N1142" t="s">
        <v>425</v>
      </c>
      <c r="O1142" t="s">
        <v>426</v>
      </c>
      <c r="P1142" t="s">
        <v>427</v>
      </c>
      <c r="R1142" t="s">
        <v>428</v>
      </c>
      <c r="T1142" t="s">
        <v>429</v>
      </c>
      <c r="U1142" t="s">
        <v>430</v>
      </c>
      <c r="V1142" t="s">
        <v>200</v>
      </c>
      <c r="W1142" t="s">
        <v>431</v>
      </c>
      <c r="X1142" t="s">
        <v>432</v>
      </c>
      <c r="Y1142" t="s">
        <v>51</v>
      </c>
    </row>
    <row r="1143" spans="1:25" x14ac:dyDescent="0.25">
      <c r="A1143">
        <v>10122</v>
      </c>
      <c r="B1143">
        <v>21</v>
      </c>
      <c r="C1143">
        <v>100</v>
      </c>
      <c r="D1143">
        <v>12</v>
      </c>
      <c r="E1143">
        <v>2469.39</v>
      </c>
      <c r="F1143" s="1">
        <v>37749</v>
      </c>
      <c r="G1143" t="s">
        <v>25</v>
      </c>
      <c r="H1143">
        <v>2</v>
      </c>
      <c r="I1143">
        <v>5</v>
      </c>
      <c r="J1143">
        <v>2003</v>
      </c>
      <c r="K1143" t="s">
        <v>181</v>
      </c>
      <c r="L1143">
        <v>146</v>
      </c>
      <c r="M1143" t="s">
        <v>609</v>
      </c>
      <c r="N1143" t="s">
        <v>433</v>
      </c>
      <c r="O1143" t="s">
        <v>434</v>
      </c>
      <c r="P1143" t="s">
        <v>435</v>
      </c>
      <c r="R1143" t="s">
        <v>436</v>
      </c>
      <c r="T1143">
        <v>13008</v>
      </c>
      <c r="U1143" t="s">
        <v>41</v>
      </c>
      <c r="V1143" t="s">
        <v>42</v>
      </c>
      <c r="W1143" t="s">
        <v>437</v>
      </c>
      <c r="X1143" t="s">
        <v>438</v>
      </c>
      <c r="Y1143" t="s">
        <v>36</v>
      </c>
    </row>
    <row r="1144" spans="1:25" x14ac:dyDescent="0.25">
      <c r="A1144">
        <v>10135</v>
      </c>
      <c r="B1144">
        <v>42</v>
      </c>
      <c r="C1144">
        <v>100</v>
      </c>
      <c r="D1144">
        <v>9</v>
      </c>
      <c r="E1144">
        <v>5432.7</v>
      </c>
      <c r="F1144" s="1">
        <v>37804</v>
      </c>
      <c r="G1144" t="s">
        <v>25</v>
      </c>
      <c r="H1144">
        <v>3</v>
      </c>
      <c r="I1144">
        <v>7</v>
      </c>
      <c r="J1144">
        <v>2003</v>
      </c>
      <c r="K1144" t="s">
        <v>181</v>
      </c>
      <c r="L1144">
        <v>146</v>
      </c>
      <c r="M1144" t="s">
        <v>609</v>
      </c>
      <c r="N1144" t="s">
        <v>272</v>
      </c>
      <c r="O1144">
        <v>4155551450</v>
      </c>
      <c r="P1144" t="s">
        <v>273</v>
      </c>
      <c r="R1144" t="s">
        <v>274</v>
      </c>
      <c r="S1144" t="s">
        <v>55</v>
      </c>
      <c r="T1144">
        <v>97562</v>
      </c>
      <c r="U1144" t="s">
        <v>32</v>
      </c>
      <c r="V1144" t="s">
        <v>33</v>
      </c>
      <c r="W1144" t="s">
        <v>275</v>
      </c>
      <c r="X1144" t="s">
        <v>276</v>
      </c>
      <c r="Y1144" t="s">
        <v>51</v>
      </c>
    </row>
    <row r="1145" spans="1:25" x14ac:dyDescent="0.25">
      <c r="A1145">
        <v>10147</v>
      </c>
      <c r="B1145">
        <v>37</v>
      </c>
      <c r="C1145">
        <v>100</v>
      </c>
      <c r="D1145">
        <v>9</v>
      </c>
      <c r="E1145">
        <v>4405.22</v>
      </c>
      <c r="F1145" s="1">
        <v>37869</v>
      </c>
      <c r="G1145" t="s">
        <v>25</v>
      </c>
      <c r="H1145">
        <v>3</v>
      </c>
      <c r="I1145">
        <v>9</v>
      </c>
      <c r="J1145">
        <v>2003</v>
      </c>
      <c r="K1145" t="s">
        <v>181</v>
      </c>
      <c r="L1145">
        <v>146</v>
      </c>
      <c r="M1145" t="s">
        <v>609</v>
      </c>
      <c r="N1145" t="s">
        <v>281</v>
      </c>
      <c r="O1145">
        <v>6175558555</v>
      </c>
      <c r="P1145" t="s">
        <v>282</v>
      </c>
      <c r="R1145" t="s">
        <v>283</v>
      </c>
      <c r="S1145" t="s">
        <v>123</v>
      </c>
      <c r="T1145">
        <v>58339</v>
      </c>
      <c r="U1145" t="s">
        <v>32</v>
      </c>
      <c r="V1145" t="s">
        <v>33</v>
      </c>
      <c r="W1145" t="s">
        <v>275</v>
      </c>
      <c r="X1145" t="s">
        <v>284</v>
      </c>
      <c r="Y1145" t="s">
        <v>51</v>
      </c>
    </row>
    <row r="1146" spans="1:25" x14ac:dyDescent="0.25">
      <c r="A1146">
        <v>10159</v>
      </c>
      <c r="B1146">
        <v>25</v>
      </c>
      <c r="C1146">
        <v>100</v>
      </c>
      <c r="D1146">
        <v>4</v>
      </c>
      <c r="E1146">
        <v>3638</v>
      </c>
      <c r="F1146" s="1">
        <v>37904</v>
      </c>
      <c r="G1146" t="s">
        <v>25</v>
      </c>
      <c r="H1146">
        <v>4</v>
      </c>
      <c r="I1146">
        <v>10</v>
      </c>
      <c r="J1146">
        <v>2003</v>
      </c>
      <c r="K1146" t="s">
        <v>181</v>
      </c>
      <c r="L1146">
        <v>146</v>
      </c>
      <c r="M1146" t="s">
        <v>609</v>
      </c>
      <c r="N1146" t="s">
        <v>58</v>
      </c>
      <c r="O1146">
        <v>6505551386</v>
      </c>
      <c r="P1146" t="s">
        <v>59</v>
      </c>
      <c r="R1146" t="s">
        <v>60</v>
      </c>
      <c r="S1146" t="s">
        <v>55</v>
      </c>
      <c r="U1146" t="s">
        <v>32</v>
      </c>
      <c r="V1146" t="s">
        <v>33</v>
      </c>
      <c r="W1146" t="s">
        <v>61</v>
      </c>
      <c r="X1146" t="s">
        <v>57</v>
      </c>
      <c r="Y1146" t="s">
        <v>51</v>
      </c>
    </row>
    <row r="1147" spans="1:25" x14ac:dyDescent="0.25">
      <c r="A1147">
        <v>10169</v>
      </c>
      <c r="B1147">
        <v>36</v>
      </c>
      <c r="C1147">
        <v>100</v>
      </c>
      <c r="D1147">
        <v>4</v>
      </c>
      <c r="E1147">
        <v>4444.92</v>
      </c>
      <c r="F1147" s="1">
        <v>37929</v>
      </c>
      <c r="G1147" t="s">
        <v>25</v>
      </c>
      <c r="H1147">
        <v>4</v>
      </c>
      <c r="I1147">
        <v>11</v>
      </c>
      <c r="J1147">
        <v>2003</v>
      </c>
      <c r="K1147" t="s">
        <v>181</v>
      </c>
      <c r="L1147">
        <v>146</v>
      </c>
      <c r="M1147" t="s">
        <v>609</v>
      </c>
      <c r="N1147" t="s">
        <v>285</v>
      </c>
      <c r="O1147" t="s">
        <v>286</v>
      </c>
      <c r="P1147" t="s">
        <v>287</v>
      </c>
      <c r="Q1147" t="s">
        <v>288</v>
      </c>
      <c r="R1147" t="s">
        <v>289</v>
      </c>
      <c r="S1147" t="s">
        <v>157</v>
      </c>
      <c r="T1147">
        <v>2060</v>
      </c>
      <c r="U1147" t="s">
        <v>95</v>
      </c>
      <c r="V1147" t="s">
        <v>96</v>
      </c>
      <c r="W1147" t="s">
        <v>290</v>
      </c>
      <c r="X1147" t="s">
        <v>291</v>
      </c>
      <c r="Y1147" t="s">
        <v>51</v>
      </c>
    </row>
    <row r="1148" spans="1:25" x14ac:dyDescent="0.25">
      <c r="A1148">
        <v>10181</v>
      </c>
      <c r="B1148">
        <v>22</v>
      </c>
      <c r="C1148">
        <v>100</v>
      </c>
      <c r="D1148">
        <v>16</v>
      </c>
      <c r="E1148">
        <v>3395.48</v>
      </c>
      <c r="F1148" s="1">
        <v>37937</v>
      </c>
      <c r="G1148" t="s">
        <v>25</v>
      </c>
      <c r="H1148">
        <v>4</v>
      </c>
      <c r="I1148">
        <v>11</v>
      </c>
      <c r="J1148">
        <v>2003</v>
      </c>
      <c r="K1148" t="s">
        <v>181</v>
      </c>
      <c r="L1148">
        <v>146</v>
      </c>
      <c r="M1148" t="s">
        <v>609</v>
      </c>
      <c r="N1148" t="s">
        <v>73</v>
      </c>
      <c r="O1148" t="s">
        <v>74</v>
      </c>
      <c r="P1148" t="s">
        <v>75</v>
      </c>
      <c r="R1148" t="s">
        <v>76</v>
      </c>
      <c r="T1148" t="s">
        <v>77</v>
      </c>
      <c r="U1148" t="s">
        <v>78</v>
      </c>
      <c r="V1148" t="s">
        <v>42</v>
      </c>
      <c r="W1148" t="s">
        <v>79</v>
      </c>
      <c r="X1148" t="s">
        <v>80</v>
      </c>
      <c r="Y1148" t="s">
        <v>51</v>
      </c>
    </row>
    <row r="1149" spans="1:25" x14ac:dyDescent="0.25">
      <c r="A1149">
        <v>10191</v>
      </c>
      <c r="B1149">
        <v>23</v>
      </c>
      <c r="C1149">
        <v>100</v>
      </c>
      <c r="D1149">
        <v>5</v>
      </c>
      <c r="E1149">
        <v>3414.58</v>
      </c>
      <c r="F1149" s="1">
        <v>37945</v>
      </c>
      <c r="G1149" t="s">
        <v>25</v>
      </c>
      <c r="H1149">
        <v>4</v>
      </c>
      <c r="I1149">
        <v>11</v>
      </c>
      <c r="J1149">
        <v>2003</v>
      </c>
      <c r="K1149" t="s">
        <v>181</v>
      </c>
      <c r="L1149">
        <v>146</v>
      </c>
      <c r="M1149" t="s">
        <v>609</v>
      </c>
      <c r="N1149" t="s">
        <v>439</v>
      </c>
      <c r="O1149" t="s">
        <v>440</v>
      </c>
      <c r="P1149" t="s">
        <v>441</v>
      </c>
      <c r="R1149" t="s">
        <v>442</v>
      </c>
      <c r="T1149">
        <v>50739</v>
      </c>
      <c r="U1149" t="s">
        <v>443</v>
      </c>
      <c r="V1149" t="s">
        <v>42</v>
      </c>
      <c r="W1149" t="s">
        <v>444</v>
      </c>
      <c r="X1149" t="s">
        <v>445</v>
      </c>
      <c r="Y1149" t="s">
        <v>51</v>
      </c>
    </row>
    <row r="1150" spans="1:25" x14ac:dyDescent="0.25">
      <c r="A1150">
        <v>10203</v>
      </c>
      <c r="B1150">
        <v>32</v>
      </c>
      <c r="C1150">
        <v>100</v>
      </c>
      <c r="D1150">
        <v>10</v>
      </c>
      <c r="E1150">
        <v>5127.04</v>
      </c>
      <c r="F1150" s="1">
        <v>37957</v>
      </c>
      <c r="G1150" t="s">
        <v>25</v>
      </c>
      <c r="H1150">
        <v>4</v>
      </c>
      <c r="I1150">
        <v>12</v>
      </c>
      <c r="J1150">
        <v>2003</v>
      </c>
      <c r="K1150" t="s">
        <v>181</v>
      </c>
      <c r="L1150">
        <v>146</v>
      </c>
      <c r="M1150" t="s">
        <v>609</v>
      </c>
      <c r="N1150" t="s">
        <v>174</v>
      </c>
      <c r="O1150" t="s">
        <v>175</v>
      </c>
      <c r="P1150" t="s">
        <v>176</v>
      </c>
      <c r="R1150" t="s">
        <v>177</v>
      </c>
      <c r="T1150">
        <v>28034</v>
      </c>
      <c r="U1150" t="s">
        <v>178</v>
      </c>
      <c r="V1150" t="s">
        <v>42</v>
      </c>
      <c r="W1150" t="s">
        <v>179</v>
      </c>
      <c r="X1150" t="s">
        <v>180</v>
      </c>
      <c r="Y1150" t="s">
        <v>51</v>
      </c>
    </row>
    <row r="1151" spans="1:25" x14ac:dyDescent="0.25">
      <c r="A1151">
        <v>10211</v>
      </c>
      <c r="B1151">
        <v>28</v>
      </c>
      <c r="C1151">
        <v>100</v>
      </c>
      <c r="D1151">
        <v>4</v>
      </c>
      <c r="E1151">
        <v>3745.28</v>
      </c>
      <c r="F1151" s="1">
        <v>38001</v>
      </c>
      <c r="G1151" t="s">
        <v>25</v>
      </c>
      <c r="H1151">
        <v>1</v>
      </c>
      <c r="I1151">
        <v>1</v>
      </c>
      <c r="J1151">
        <v>2004</v>
      </c>
      <c r="K1151" t="s">
        <v>181</v>
      </c>
      <c r="L1151">
        <v>146</v>
      </c>
      <c r="M1151" t="s">
        <v>609</v>
      </c>
      <c r="N1151" t="s">
        <v>84</v>
      </c>
      <c r="O1151" t="s">
        <v>85</v>
      </c>
      <c r="P1151" t="s">
        <v>86</v>
      </c>
      <c r="R1151" t="s">
        <v>48</v>
      </c>
      <c r="T1151">
        <v>75016</v>
      </c>
      <c r="U1151" t="s">
        <v>41</v>
      </c>
      <c r="V1151" t="s">
        <v>42</v>
      </c>
      <c r="W1151" t="s">
        <v>87</v>
      </c>
      <c r="X1151" t="s">
        <v>88</v>
      </c>
      <c r="Y1151" t="s">
        <v>51</v>
      </c>
    </row>
    <row r="1152" spans="1:25" x14ac:dyDescent="0.25">
      <c r="A1152">
        <v>10225</v>
      </c>
      <c r="B1152">
        <v>27</v>
      </c>
      <c r="C1152">
        <v>100</v>
      </c>
      <c r="D1152">
        <v>11</v>
      </c>
      <c r="E1152">
        <v>4564.08</v>
      </c>
      <c r="F1152" s="1">
        <v>38039</v>
      </c>
      <c r="G1152" t="s">
        <v>25</v>
      </c>
      <c r="H1152">
        <v>1</v>
      </c>
      <c r="I1152">
        <v>2</v>
      </c>
      <c r="J1152">
        <v>2004</v>
      </c>
      <c r="K1152" t="s">
        <v>181</v>
      </c>
      <c r="L1152">
        <v>146</v>
      </c>
      <c r="M1152" t="s">
        <v>609</v>
      </c>
      <c r="N1152" t="s">
        <v>446</v>
      </c>
      <c r="O1152" t="s">
        <v>447</v>
      </c>
      <c r="P1152" t="s">
        <v>448</v>
      </c>
      <c r="R1152" t="s">
        <v>449</v>
      </c>
      <c r="T1152">
        <v>1203</v>
      </c>
      <c r="U1152" t="s">
        <v>450</v>
      </c>
      <c r="V1152" t="s">
        <v>42</v>
      </c>
      <c r="W1152" t="s">
        <v>451</v>
      </c>
      <c r="X1152" t="s">
        <v>103</v>
      </c>
      <c r="Y1152" t="s">
        <v>51</v>
      </c>
    </row>
    <row r="1153" spans="1:25" x14ac:dyDescent="0.25">
      <c r="A1153">
        <v>10238</v>
      </c>
      <c r="B1153">
        <v>49</v>
      </c>
      <c r="C1153">
        <v>100</v>
      </c>
      <c r="D1153">
        <v>5</v>
      </c>
      <c r="E1153">
        <v>6554.24</v>
      </c>
      <c r="F1153" s="1">
        <v>38086</v>
      </c>
      <c r="G1153" t="s">
        <v>25</v>
      </c>
      <c r="H1153">
        <v>2</v>
      </c>
      <c r="I1153">
        <v>4</v>
      </c>
      <c r="J1153">
        <v>2004</v>
      </c>
      <c r="K1153" t="s">
        <v>181</v>
      </c>
      <c r="L1153">
        <v>146</v>
      </c>
      <c r="M1153" t="s">
        <v>609</v>
      </c>
      <c r="N1153" t="s">
        <v>322</v>
      </c>
      <c r="O1153" t="s">
        <v>323</v>
      </c>
      <c r="P1153" t="s">
        <v>324</v>
      </c>
      <c r="R1153" t="s">
        <v>325</v>
      </c>
      <c r="T1153">
        <v>1734</v>
      </c>
      <c r="U1153" t="s">
        <v>326</v>
      </c>
      <c r="V1153" t="s">
        <v>42</v>
      </c>
      <c r="W1153" t="s">
        <v>327</v>
      </c>
      <c r="X1153" t="s">
        <v>328</v>
      </c>
      <c r="Y1153" t="s">
        <v>51</v>
      </c>
    </row>
    <row r="1154" spans="1:25" x14ac:dyDescent="0.25">
      <c r="A1154">
        <v>10252</v>
      </c>
      <c r="B1154">
        <v>41</v>
      </c>
      <c r="C1154">
        <v>100</v>
      </c>
      <c r="D1154">
        <v>1</v>
      </c>
      <c r="E1154">
        <v>6749.83</v>
      </c>
      <c r="F1154" s="1">
        <v>38133</v>
      </c>
      <c r="G1154" t="s">
        <v>25</v>
      </c>
      <c r="H1154">
        <v>2</v>
      </c>
      <c r="I1154">
        <v>5</v>
      </c>
      <c r="J1154">
        <v>2004</v>
      </c>
      <c r="K1154" t="s">
        <v>181</v>
      </c>
      <c r="L1154">
        <v>146</v>
      </c>
      <c r="M1154" t="s">
        <v>609</v>
      </c>
      <c r="N1154" t="s">
        <v>84</v>
      </c>
      <c r="O1154" t="s">
        <v>85</v>
      </c>
      <c r="P1154" t="s">
        <v>86</v>
      </c>
      <c r="R1154" t="s">
        <v>48</v>
      </c>
      <c r="T1154">
        <v>75016</v>
      </c>
      <c r="U1154" t="s">
        <v>41</v>
      </c>
      <c r="V1154" t="s">
        <v>42</v>
      </c>
      <c r="W1154" t="s">
        <v>87</v>
      </c>
      <c r="X1154" t="s">
        <v>88</v>
      </c>
      <c r="Y1154" t="s">
        <v>51</v>
      </c>
    </row>
    <row r="1155" spans="1:25" x14ac:dyDescent="0.25">
      <c r="A1155">
        <v>10265</v>
      </c>
      <c r="B1155">
        <v>49</v>
      </c>
      <c r="C1155">
        <v>100</v>
      </c>
      <c r="D1155">
        <v>1</v>
      </c>
      <c r="E1155">
        <v>8427.02</v>
      </c>
      <c r="F1155" s="1">
        <v>38170</v>
      </c>
      <c r="G1155" t="s">
        <v>25</v>
      </c>
      <c r="H1155">
        <v>3</v>
      </c>
      <c r="I1155">
        <v>7</v>
      </c>
      <c r="J1155">
        <v>2004</v>
      </c>
      <c r="K1155" t="s">
        <v>181</v>
      </c>
      <c r="L1155">
        <v>146</v>
      </c>
      <c r="M1155" t="s">
        <v>609</v>
      </c>
      <c r="N1155" t="s">
        <v>558</v>
      </c>
      <c r="O1155" t="s">
        <v>559</v>
      </c>
      <c r="P1155" t="s">
        <v>560</v>
      </c>
      <c r="R1155" t="s">
        <v>561</v>
      </c>
      <c r="S1155" t="s">
        <v>94</v>
      </c>
      <c r="T1155">
        <v>3150</v>
      </c>
      <c r="U1155" t="s">
        <v>95</v>
      </c>
      <c r="V1155" t="s">
        <v>96</v>
      </c>
      <c r="W1155" t="s">
        <v>562</v>
      </c>
      <c r="X1155" t="s">
        <v>563</v>
      </c>
      <c r="Y1155" t="s">
        <v>151</v>
      </c>
    </row>
    <row r="1156" spans="1:25" x14ac:dyDescent="0.25">
      <c r="A1156">
        <v>10276</v>
      </c>
      <c r="B1156">
        <v>30</v>
      </c>
      <c r="C1156">
        <v>100</v>
      </c>
      <c r="D1156">
        <v>5</v>
      </c>
      <c r="E1156">
        <v>3924.6</v>
      </c>
      <c r="F1156" s="1">
        <v>38201</v>
      </c>
      <c r="G1156" t="s">
        <v>25</v>
      </c>
      <c r="H1156">
        <v>3</v>
      </c>
      <c r="I1156">
        <v>8</v>
      </c>
      <c r="J1156">
        <v>2004</v>
      </c>
      <c r="K1156" t="s">
        <v>181</v>
      </c>
      <c r="L1156">
        <v>146</v>
      </c>
      <c r="M1156" t="s">
        <v>609</v>
      </c>
      <c r="N1156" t="s">
        <v>458</v>
      </c>
      <c r="O1156">
        <v>6175557555</v>
      </c>
      <c r="P1156" t="s">
        <v>459</v>
      </c>
      <c r="R1156" t="s">
        <v>283</v>
      </c>
      <c r="S1156" t="s">
        <v>123</v>
      </c>
      <c r="T1156">
        <v>58339</v>
      </c>
      <c r="U1156" t="s">
        <v>32</v>
      </c>
      <c r="V1156" t="s">
        <v>33</v>
      </c>
      <c r="W1156" t="s">
        <v>460</v>
      </c>
      <c r="X1156" t="s">
        <v>461</v>
      </c>
      <c r="Y1156" t="s">
        <v>51</v>
      </c>
    </row>
    <row r="1157" spans="1:25" x14ac:dyDescent="0.25">
      <c r="A1157">
        <v>10287</v>
      </c>
      <c r="B1157">
        <v>40</v>
      </c>
      <c r="C1157">
        <v>100</v>
      </c>
      <c r="D1157">
        <v>14</v>
      </c>
      <c r="E1157">
        <v>6761.6</v>
      </c>
      <c r="F1157" s="1">
        <v>38229</v>
      </c>
      <c r="G1157" t="s">
        <v>25</v>
      </c>
      <c r="H1157">
        <v>3</v>
      </c>
      <c r="I1157">
        <v>8</v>
      </c>
      <c r="J1157">
        <v>2004</v>
      </c>
      <c r="K1157" t="s">
        <v>181</v>
      </c>
      <c r="L1157">
        <v>146</v>
      </c>
      <c r="M1157" t="s">
        <v>609</v>
      </c>
      <c r="N1157" t="s">
        <v>446</v>
      </c>
      <c r="O1157" t="s">
        <v>447</v>
      </c>
      <c r="P1157" t="s">
        <v>448</v>
      </c>
      <c r="R1157" t="s">
        <v>449</v>
      </c>
      <c r="T1157">
        <v>1203</v>
      </c>
      <c r="U1157" t="s">
        <v>450</v>
      </c>
      <c r="V1157" t="s">
        <v>42</v>
      </c>
      <c r="W1157" t="s">
        <v>451</v>
      </c>
      <c r="X1157" t="s">
        <v>103</v>
      </c>
      <c r="Y1157" t="s">
        <v>51</v>
      </c>
    </row>
    <row r="1158" spans="1:25" x14ac:dyDescent="0.25">
      <c r="A1158">
        <v>10300</v>
      </c>
      <c r="B1158">
        <v>23</v>
      </c>
      <c r="C1158">
        <v>100</v>
      </c>
      <c r="D1158">
        <v>7</v>
      </c>
      <c r="E1158">
        <v>3786.49</v>
      </c>
      <c r="F1158" s="1">
        <v>37898</v>
      </c>
      <c r="G1158" t="s">
        <v>25</v>
      </c>
      <c r="H1158">
        <v>4</v>
      </c>
      <c r="I1158">
        <v>10</v>
      </c>
      <c r="J1158">
        <v>2003</v>
      </c>
      <c r="K1158" t="s">
        <v>181</v>
      </c>
      <c r="L1158">
        <v>146</v>
      </c>
      <c r="M1158" t="s">
        <v>609</v>
      </c>
      <c r="N1158" t="s">
        <v>462</v>
      </c>
      <c r="O1158" t="s">
        <v>463</v>
      </c>
      <c r="P1158" t="s">
        <v>464</v>
      </c>
      <c r="R1158" t="s">
        <v>465</v>
      </c>
      <c r="T1158">
        <v>60528</v>
      </c>
      <c r="U1158" t="s">
        <v>443</v>
      </c>
      <c r="V1158" t="s">
        <v>42</v>
      </c>
      <c r="W1158" t="s">
        <v>466</v>
      </c>
      <c r="X1158" t="s">
        <v>414</v>
      </c>
      <c r="Y1158" t="s">
        <v>51</v>
      </c>
    </row>
    <row r="1159" spans="1:25" x14ac:dyDescent="0.25">
      <c r="A1159">
        <v>10310</v>
      </c>
      <c r="B1159">
        <v>49</v>
      </c>
      <c r="C1159">
        <v>100</v>
      </c>
      <c r="D1159">
        <v>12</v>
      </c>
      <c r="E1159">
        <v>6266.12</v>
      </c>
      <c r="F1159" s="1">
        <v>38276</v>
      </c>
      <c r="G1159" t="s">
        <v>25</v>
      </c>
      <c r="H1159">
        <v>4</v>
      </c>
      <c r="I1159">
        <v>10</v>
      </c>
      <c r="J1159">
        <v>2004</v>
      </c>
      <c r="K1159" t="s">
        <v>181</v>
      </c>
      <c r="L1159">
        <v>146</v>
      </c>
      <c r="M1159" t="s">
        <v>609</v>
      </c>
      <c r="N1159" t="s">
        <v>439</v>
      </c>
      <c r="O1159" t="s">
        <v>440</v>
      </c>
      <c r="P1159" t="s">
        <v>441</v>
      </c>
      <c r="R1159" t="s">
        <v>442</v>
      </c>
      <c r="T1159">
        <v>50739</v>
      </c>
      <c r="U1159" t="s">
        <v>443</v>
      </c>
      <c r="V1159" t="s">
        <v>42</v>
      </c>
      <c r="W1159" t="s">
        <v>444</v>
      </c>
      <c r="X1159" t="s">
        <v>445</v>
      </c>
      <c r="Y1159" t="s">
        <v>51</v>
      </c>
    </row>
    <row r="1160" spans="1:25" x14ac:dyDescent="0.25">
      <c r="A1160">
        <v>10320</v>
      </c>
      <c r="B1160">
        <v>25</v>
      </c>
      <c r="C1160">
        <v>100</v>
      </c>
      <c r="D1160">
        <v>5</v>
      </c>
      <c r="E1160">
        <v>3491</v>
      </c>
      <c r="F1160" s="1">
        <v>38294</v>
      </c>
      <c r="G1160" t="s">
        <v>25</v>
      </c>
      <c r="H1160">
        <v>4</v>
      </c>
      <c r="I1160">
        <v>11</v>
      </c>
      <c r="J1160">
        <v>2004</v>
      </c>
      <c r="K1160" t="s">
        <v>181</v>
      </c>
      <c r="L1160">
        <v>146</v>
      </c>
      <c r="M1160" t="s">
        <v>609</v>
      </c>
      <c r="N1160" t="s">
        <v>183</v>
      </c>
      <c r="O1160" t="s">
        <v>184</v>
      </c>
      <c r="P1160" t="s">
        <v>185</v>
      </c>
      <c r="R1160" t="s">
        <v>186</v>
      </c>
      <c r="T1160" t="s">
        <v>187</v>
      </c>
      <c r="U1160" t="s">
        <v>188</v>
      </c>
      <c r="V1160" t="s">
        <v>42</v>
      </c>
      <c r="W1160" t="s">
        <v>189</v>
      </c>
      <c r="X1160" t="s">
        <v>190</v>
      </c>
      <c r="Y1160" t="s">
        <v>51</v>
      </c>
    </row>
    <row r="1161" spans="1:25" x14ac:dyDescent="0.25">
      <c r="A1161">
        <v>10330</v>
      </c>
      <c r="B1161">
        <v>37</v>
      </c>
      <c r="C1161">
        <v>100</v>
      </c>
      <c r="D1161">
        <v>3</v>
      </c>
      <c r="E1161">
        <v>4405.22</v>
      </c>
      <c r="F1161" s="1">
        <v>38307</v>
      </c>
      <c r="G1161" t="s">
        <v>25</v>
      </c>
      <c r="H1161">
        <v>4</v>
      </c>
      <c r="I1161">
        <v>11</v>
      </c>
      <c r="J1161">
        <v>2004</v>
      </c>
      <c r="K1161" t="s">
        <v>181</v>
      </c>
      <c r="L1161">
        <v>146</v>
      </c>
      <c r="M1161" t="s">
        <v>609</v>
      </c>
      <c r="N1161" t="s">
        <v>425</v>
      </c>
      <c r="O1161" t="s">
        <v>426</v>
      </c>
      <c r="P1161" t="s">
        <v>427</v>
      </c>
      <c r="R1161" t="s">
        <v>428</v>
      </c>
      <c r="T1161" t="s">
        <v>429</v>
      </c>
      <c r="U1161" t="s">
        <v>430</v>
      </c>
      <c r="V1161" t="s">
        <v>200</v>
      </c>
      <c r="W1161" t="s">
        <v>431</v>
      </c>
      <c r="X1161" t="s">
        <v>432</v>
      </c>
      <c r="Y1161" t="s">
        <v>51</v>
      </c>
    </row>
    <row r="1162" spans="1:25" x14ac:dyDescent="0.25">
      <c r="A1162">
        <v>10342</v>
      </c>
      <c r="B1162">
        <v>55</v>
      </c>
      <c r="C1162">
        <v>100</v>
      </c>
      <c r="D1162">
        <v>7</v>
      </c>
      <c r="E1162">
        <v>6548.3</v>
      </c>
      <c r="F1162" s="1">
        <v>38315</v>
      </c>
      <c r="G1162" t="s">
        <v>25</v>
      </c>
      <c r="H1162">
        <v>4</v>
      </c>
      <c r="I1162">
        <v>11</v>
      </c>
      <c r="J1162">
        <v>2004</v>
      </c>
      <c r="K1162" t="s">
        <v>181</v>
      </c>
      <c r="L1162">
        <v>146</v>
      </c>
      <c r="M1162" t="s">
        <v>609</v>
      </c>
      <c r="N1162" t="s">
        <v>89</v>
      </c>
      <c r="O1162" t="s">
        <v>90</v>
      </c>
      <c r="P1162" t="s">
        <v>91</v>
      </c>
      <c r="Q1162" t="s">
        <v>92</v>
      </c>
      <c r="R1162" t="s">
        <v>93</v>
      </c>
      <c r="S1162" t="s">
        <v>94</v>
      </c>
      <c r="T1162">
        <v>3004</v>
      </c>
      <c r="U1162" t="s">
        <v>95</v>
      </c>
      <c r="V1162" t="s">
        <v>96</v>
      </c>
      <c r="W1162" t="s">
        <v>97</v>
      </c>
      <c r="X1162" t="s">
        <v>98</v>
      </c>
      <c r="Y1162" t="s">
        <v>51</v>
      </c>
    </row>
    <row r="1163" spans="1:25" x14ac:dyDescent="0.25">
      <c r="A1163">
        <v>10355</v>
      </c>
      <c r="B1163">
        <v>23</v>
      </c>
      <c r="C1163">
        <v>100</v>
      </c>
      <c r="D1163">
        <v>7</v>
      </c>
      <c r="E1163">
        <v>3177.91</v>
      </c>
      <c r="F1163" s="1">
        <v>38328</v>
      </c>
      <c r="G1163" t="s">
        <v>25</v>
      </c>
      <c r="H1163">
        <v>4</v>
      </c>
      <c r="I1163">
        <v>12</v>
      </c>
      <c r="J1163">
        <v>2004</v>
      </c>
      <c r="K1163" t="s">
        <v>181</v>
      </c>
      <c r="L1163">
        <v>146</v>
      </c>
      <c r="M1163" t="s">
        <v>609</v>
      </c>
      <c r="N1163" t="s">
        <v>174</v>
      </c>
      <c r="O1163" t="s">
        <v>175</v>
      </c>
      <c r="P1163" t="s">
        <v>176</v>
      </c>
      <c r="R1163" t="s">
        <v>177</v>
      </c>
      <c r="T1163">
        <v>28034</v>
      </c>
      <c r="U1163" t="s">
        <v>178</v>
      </c>
      <c r="V1163" t="s">
        <v>42</v>
      </c>
      <c r="W1163" t="s">
        <v>179</v>
      </c>
      <c r="X1163" t="s">
        <v>180</v>
      </c>
      <c r="Y1163" t="s">
        <v>51</v>
      </c>
    </row>
    <row r="1164" spans="1:25" x14ac:dyDescent="0.25">
      <c r="A1164">
        <v>10363</v>
      </c>
      <c r="B1164">
        <v>24</v>
      </c>
      <c r="C1164">
        <v>100</v>
      </c>
      <c r="D1164">
        <v>11</v>
      </c>
      <c r="E1164">
        <v>4142.6400000000003</v>
      </c>
      <c r="F1164" s="1">
        <v>38358</v>
      </c>
      <c r="G1164" t="s">
        <v>25</v>
      </c>
      <c r="H1164">
        <v>1</v>
      </c>
      <c r="I1164">
        <v>1</v>
      </c>
      <c r="J1164">
        <v>2005</v>
      </c>
      <c r="K1164" t="s">
        <v>181</v>
      </c>
      <c r="L1164">
        <v>146</v>
      </c>
      <c r="M1164" t="s">
        <v>609</v>
      </c>
      <c r="N1164" t="s">
        <v>467</v>
      </c>
      <c r="O1164" t="s">
        <v>468</v>
      </c>
      <c r="P1164" t="s">
        <v>469</v>
      </c>
      <c r="R1164" t="s">
        <v>470</v>
      </c>
      <c r="T1164" t="s">
        <v>471</v>
      </c>
      <c r="U1164" t="s">
        <v>130</v>
      </c>
      <c r="V1164" t="s">
        <v>42</v>
      </c>
      <c r="W1164" t="s">
        <v>472</v>
      </c>
      <c r="X1164" t="s">
        <v>473</v>
      </c>
      <c r="Y1164" t="s">
        <v>51</v>
      </c>
    </row>
    <row r="1165" spans="1:25" x14ac:dyDescent="0.25">
      <c r="A1165">
        <v>10378</v>
      </c>
      <c r="B1165">
        <v>43</v>
      </c>
      <c r="C1165">
        <v>96.49</v>
      </c>
      <c r="D1165">
        <v>10</v>
      </c>
      <c r="E1165">
        <v>4149.07</v>
      </c>
      <c r="F1165" s="1">
        <v>38393</v>
      </c>
      <c r="G1165" t="s">
        <v>25</v>
      </c>
      <c r="H1165">
        <v>1</v>
      </c>
      <c r="I1165">
        <v>2</v>
      </c>
      <c r="J1165">
        <v>2005</v>
      </c>
      <c r="K1165" t="s">
        <v>181</v>
      </c>
      <c r="L1165">
        <v>146</v>
      </c>
      <c r="M1165" t="s">
        <v>609</v>
      </c>
      <c r="N1165" t="s">
        <v>174</v>
      </c>
      <c r="O1165" t="s">
        <v>175</v>
      </c>
      <c r="P1165" t="s">
        <v>176</v>
      </c>
      <c r="R1165" t="s">
        <v>177</v>
      </c>
      <c r="T1165">
        <v>28034</v>
      </c>
      <c r="U1165" t="s">
        <v>178</v>
      </c>
      <c r="V1165" t="s">
        <v>42</v>
      </c>
      <c r="W1165" t="s">
        <v>179</v>
      </c>
      <c r="X1165" t="s">
        <v>180</v>
      </c>
      <c r="Y1165" t="s">
        <v>51</v>
      </c>
    </row>
    <row r="1166" spans="1:25" x14ac:dyDescent="0.25">
      <c r="A1166">
        <v>10390</v>
      </c>
      <c r="B1166">
        <v>50</v>
      </c>
      <c r="C1166">
        <v>100</v>
      </c>
      <c r="D1166">
        <v>1</v>
      </c>
      <c r="E1166">
        <v>7397</v>
      </c>
      <c r="F1166" s="1">
        <v>38415</v>
      </c>
      <c r="G1166" t="s">
        <v>25</v>
      </c>
      <c r="H1166">
        <v>1</v>
      </c>
      <c r="I1166">
        <v>3</v>
      </c>
      <c r="J1166">
        <v>2005</v>
      </c>
      <c r="K1166" t="s">
        <v>181</v>
      </c>
      <c r="L1166">
        <v>146</v>
      </c>
      <c r="M1166" t="s">
        <v>609</v>
      </c>
      <c r="N1166" t="s">
        <v>272</v>
      </c>
      <c r="O1166">
        <v>4155551450</v>
      </c>
      <c r="P1166" t="s">
        <v>273</v>
      </c>
      <c r="R1166" t="s">
        <v>274</v>
      </c>
      <c r="S1166" t="s">
        <v>55</v>
      </c>
      <c r="T1166">
        <v>97562</v>
      </c>
      <c r="U1166" t="s">
        <v>32</v>
      </c>
      <c r="V1166" t="s">
        <v>33</v>
      </c>
      <c r="W1166" t="s">
        <v>275</v>
      </c>
      <c r="X1166" t="s">
        <v>276</v>
      </c>
      <c r="Y1166" t="s">
        <v>151</v>
      </c>
    </row>
    <row r="1167" spans="1:25" x14ac:dyDescent="0.25">
      <c r="A1167">
        <v>10109</v>
      </c>
      <c r="B1167">
        <v>47</v>
      </c>
      <c r="C1167">
        <v>100</v>
      </c>
      <c r="D1167">
        <v>2</v>
      </c>
      <c r="E1167">
        <v>6241.6</v>
      </c>
      <c r="F1167" s="1">
        <v>37690</v>
      </c>
      <c r="G1167" t="s">
        <v>25</v>
      </c>
      <c r="H1167">
        <v>1</v>
      </c>
      <c r="I1167">
        <v>3</v>
      </c>
      <c r="J1167">
        <v>2003</v>
      </c>
      <c r="K1167" t="s">
        <v>181</v>
      </c>
      <c r="L1167">
        <v>141</v>
      </c>
      <c r="M1167" t="s">
        <v>610</v>
      </c>
      <c r="N1167" t="s">
        <v>309</v>
      </c>
      <c r="O1167">
        <v>2155559857</v>
      </c>
      <c r="P1167" t="s">
        <v>310</v>
      </c>
      <c r="R1167" t="s">
        <v>216</v>
      </c>
      <c r="S1167" t="s">
        <v>142</v>
      </c>
      <c r="T1167">
        <v>71270</v>
      </c>
      <c r="U1167" t="s">
        <v>32</v>
      </c>
      <c r="V1167" t="s">
        <v>33</v>
      </c>
      <c r="W1167" t="s">
        <v>124</v>
      </c>
      <c r="X1167" t="s">
        <v>311</v>
      </c>
      <c r="Y1167" t="s">
        <v>51</v>
      </c>
    </row>
    <row r="1168" spans="1:25" x14ac:dyDescent="0.25">
      <c r="A1168">
        <v>10123</v>
      </c>
      <c r="B1168">
        <v>34</v>
      </c>
      <c r="C1168">
        <v>100</v>
      </c>
      <c r="D1168">
        <v>4</v>
      </c>
      <c r="E1168">
        <v>5331.88</v>
      </c>
      <c r="F1168" s="1">
        <v>37761</v>
      </c>
      <c r="G1168" t="s">
        <v>25</v>
      </c>
      <c r="H1168">
        <v>2</v>
      </c>
      <c r="I1168">
        <v>5</v>
      </c>
      <c r="J1168">
        <v>2003</v>
      </c>
      <c r="K1168" t="s">
        <v>181</v>
      </c>
      <c r="L1168">
        <v>141</v>
      </c>
      <c r="M1168" t="s">
        <v>610</v>
      </c>
      <c r="N1168" t="s">
        <v>312</v>
      </c>
      <c r="O1168" t="s">
        <v>313</v>
      </c>
      <c r="P1168" t="s">
        <v>314</v>
      </c>
      <c r="R1168" t="s">
        <v>117</v>
      </c>
      <c r="T1168">
        <v>44000</v>
      </c>
      <c r="U1168" t="s">
        <v>41</v>
      </c>
      <c r="V1168" t="s">
        <v>42</v>
      </c>
      <c r="W1168" t="s">
        <v>315</v>
      </c>
      <c r="X1168" t="s">
        <v>316</v>
      </c>
      <c r="Y1168" t="s">
        <v>51</v>
      </c>
    </row>
    <row r="1169" spans="1:25" x14ac:dyDescent="0.25">
      <c r="A1169">
        <v>10137</v>
      </c>
      <c r="B1169">
        <v>31</v>
      </c>
      <c r="C1169">
        <v>100</v>
      </c>
      <c r="D1169">
        <v>4</v>
      </c>
      <c r="E1169">
        <v>5124.3</v>
      </c>
      <c r="F1169" s="1">
        <v>37812</v>
      </c>
      <c r="G1169" t="s">
        <v>25</v>
      </c>
      <c r="H1169">
        <v>3</v>
      </c>
      <c r="I1169">
        <v>7</v>
      </c>
      <c r="J1169">
        <v>2003</v>
      </c>
      <c r="K1169" t="s">
        <v>181</v>
      </c>
      <c r="L1169">
        <v>141</v>
      </c>
      <c r="M1169" t="s">
        <v>610</v>
      </c>
      <c r="N1169" t="s">
        <v>37</v>
      </c>
      <c r="O1169" t="s">
        <v>38</v>
      </c>
      <c r="P1169" t="s">
        <v>39</v>
      </c>
      <c r="R1169" t="s">
        <v>40</v>
      </c>
      <c r="T1169">
        <v>51100</v>
      </c>
      <c r="U1169" t="s">
        <v>41</v>
      </c>
      <c r="V1169" t="s">
        <v>42</v>
      </c>
      <c r="W1169" t="s">
        <v>43</v>
      </c>
      <c r="X1169" t="s">
        <v>44</v>
      </c>
      <c r="Y1169" t="s">
        <v>51</v>
      </c>
    </row>
    <row r="1170" spans="1:25" x14ac:dyDescent="0.25">
      <c r="A1170">
        <v>10148</v>
      </c>
      <c r="B1170">
        <v>28</v>
      </c>
      <c r="C1170">
        <v>100</v>
      </c>
      <c r="D1170">
        <v>11</v>
      </c>
      <c r="E1170">
        <v>3639.44</v>
      </c>
      <c r="F1170" s="1">
        <v>37875</v>
      </c>
      <c r="G1170" t="s">
        <v>25</v>
      </c>
      <c r="H1170">
        <v>3</v>
      </c>
      <c r="I1170">
        <v>9</v>
      </c>
      <c r="J1170">
        <v>2003</v>
      </c>
      <c r="K1170" t="s">
        <v>181</v>
      </c>
      <c r="L1170">
        <v>141</v>
      </c>
      <c r="M1170" t="s">
        <v>610</v>
      </c>
      <c r="N1170" t="s">
        <v>285</v>
      </c>
      <c r="O1170" t="s">
        <v>286</v>
      </c>
      <c r="P1170" t="s">
        <v>287</v>
      </c>
      <c r="Q1170" t="s">
        <v>288</v>
      </c>
      <c r="R1170" t="s">
        <v>289</v>
      </c>
      <c r="S1170" t="s">
        <v>157</v>
      </c>
      <c r="T1170">
        <v>2060</v>
      </c>
      <c r="U1170" t="s">
        <v>95</v>
      </c>
      <c r="V1170" t="s">
        <v>96</v>
      </c>
      <c r="W1170" t="s">
        <v>290</v>
      </c>
      <c r="X1170" t="s">
        <v>291</v>
      </c>
      <c r="Y1170" t="s">
        <v>51</v>
      </c>
    </row>
    <row r="1171" spans="1:25" x14ac:dyDescent="0.25">
      <c r="A1171">
        <v>10161</v>
      </c>
      <c r="B1171">
        <v>36</v>
      </c>
      <c r="C1171">
        <v>100</v>
      </c>
      <c r="D1171">
        <v>10</v>
      </c>
      <c r="E1171">
        <v>5544</v>
      </c>
      <c r="F1171" s="1">
        <v>37911</v>
      </c>
      <c r="G1171" t="s">
        <v>25</v>
      </c>
      <c r="H1171">
        <v>4</v>
      </c>
      <c r="I1171">
        <v>10</v>
      </c>
      <c r="J1171">
        <v>2003</v>
      </c>
      <c r="K1171" t="s">
        <v>181</v>
      </c>
      <c r="L1171">
        <v>141</v>
      </c>
      <c r="M1171" t="s">
        <v>610</v>
      </c>
      <c r="N1171" t="s">
        <v>498</v>
      </c>
      <c r="O1171" t="s">
        <v>499</v>
      </c>
      <c r="P1171" t="s">
        <v>500</v>
      </c>
      <c r="R1171" t="s">
        <v>501</v>
      </c>
      <c r="T1171">
        <v>8200</v>
      </c>
      <c r="U1171" t="s">
        <v>326</v>
      </c>
      <c r="V1171" t="s">
        <v>42</v>
      </c>
      <c r="W1171" t="s">
        <v>502</v>
      </c>
      <c r="X1171" t="s">
        <v>503</v>
      </c>
      <c r="Y1171" t="s">
        <v>51</v>
      </c>
    </row>
    <row r="1172" spans="1:25" x14ac:dyDescent="0.25">
      <c r="A1172">
        <v>10172</v>
      </c>
      <c r="B1172">
        <v>48</v>
      </c>
      <c r="C1172">
        <v>100</v>
      </c>
      <c r="D1172">
        <v>8</v>
      </c>
      <c r="E1172">
        <v>5493.12</v>
      </c>
      <c r="F1172" s="1">
        <v>37930</v>
      </c>
      <c r="G1172" t="s">
        <v>25</v>
      </c>
      <c r="H1172">
        <v>4</v>
      </c>
      <c r="I1172">
        <v>11</v>
      </c>
      <c r="J1172">
        <v>2003</v>
      </c>
      <c r="K1172" t="s">
        <v>181</v>
      </c>
      <c r="L1172">
        <v>141</v>
      </c>
      <c r="M1172" t="s">
        <v>610</v>
      </c>
      <c r="N1172" t="s">
        <v>109</v>
      </c>
      <c r="O1172">
        <v>2035552570</v>
      </c>
      <c r="P1172" t="s">
        <v>110</v>
      </c>
      <c r="R1172" t="s">
        <v>111</v>
      </c>
      <c r="S1172" t="s">
        <v>112</v>
      </c>
      <c r="T1172">
        <v>97562</v>
      </c>
      <c r="U1172" t="s">
        <v>32</v>
      </c>
      <c r="V1172" t="s">
        <v>33</v>
      </c>
      <c r="W1172" t="s">
        <v>113</v>
      </c>
      <c r="X1172" t="s">
        <v>57</v>
      </c>
      <c r="Y1172" t="s">
        <v>51</v>
      </c>
    </row>
    <row r="1173" spans="1:25" x14ac:dyDescent="0.25">
      <c r="A1173">
        <v>10181</v>
      </c>
      <c r="B1173">
        <v>39</v>
      </c>
      <c r="C1173">
        <v>100</v>
      </c>
      <c r="D1173">
        <v>4</v>
      </c>
      <c r="E1173">
        <v>5785.26</v>
      </c>
      <c r="F1173" s="1">
        <v>37937</v>
      </c>
      <c r="G1173" t="s">
        <v>25</v>
      </c>
      <c r="H1173">
        <v>4</v>
      </c>
      <c r="I1173">
        <v>11</v>
      </c>
      <c r="J1173">
        <v>2003</v>
      </c>
      <c r="K1173" t="s">
        <v>181</v>
      </c>
      <c r="L1173">
        <v>141</v>
      </c>
      <c r="M1173" t="s">
        <v>610</v>
      </c>
      <c r="N1173" t="s">
        <v>73</v>
      </c>
      <c r="O1173" t="s">
        <v>74</v>
      </c>
      <c r="P1173" t="s">
        <v>75</v>
      </c>
      <c r="R1173" t="s">
        <v>76</v>
      </c>
      <c r="T1173" t="s">
        <v>77</v>
      </c>
      <c r="U1173" t="s">
        <v>78</v>
      </c>
      <c r="V1173" t="s">
        <v>42</v>
      </c>
      <c r="W1173" t="s">
        <v>79</v>
      </c>
      <c r="X1173" t="s">
        <v>80</v>
      </c>
      <c r="Y1173" t="s">
        <v>51</v>
      </c>
    </row>
    <row r="1174" spans="1:25" x14ac:dyDescent="0.25">
      <c r="A1174">
        <v>10192</v>
      </c>
      <c r="B1174">
        <v>45</v>
      </c>
      <c r="C1174">
        <v>100</v>
      </c>
      <c r="D1174">
        <v>9</v>
      </c>
      <c r="E1174">
        <v>5340.6</v>
      </c>
      <c r="F1174" s="1">
        <v>37945</v>
      </c>
      <c r="G1174" t="s">
        <v>25</v>
      </c>
      <c r="H1174">
        <v>4</v>
      </c>
      <c r="I1174">
        <v>11</v>
      </c>
      <c r="J1174">
        <v>2003</v>
      </c>
      <c r="K1174" t="s">
        <v>181</v>
      </c>
      <c r="L1174">
        <v>141</v>
      </c>
      <c r="M1174" t="s">
        <v>610</v>
      </c>
      <c r="N1174" t="s">
        <v>277</v>
      </c>
      <c r="O1174">
        <v>6035558647</v>
      </c>
      <c r="P1174" t="s">
        <v>278</v>
      </c>
      <c r="R1174" t="s">
        <v>279</v>
      </c>
      <c r="S1174" t="s">
        <v>280</v>
      </c>
      <c r="T1174">
        <v>62005</v>
      </c>
      <c r="U1174" t="s">
        <v>32</v>
      </c>
      <c r="V1174" t="s">
        <v>33</v>
      </c>
      <c r="W1174" t="s">
        <v>56</v>
      </c>
      <c r="X1174" t="s">
        <v>276</v>
      </c>
      <c r="Y1174" t="s">
        <v>51</v>
      </c>
    </row>
    <row r="1175" spans="1:25" x14ac:dyDescent="0.25">
      <c r="A1175">
        <v>10204</v>
      </c>
      <c r="B1175">
        <v>35</v>
      </c>
      <c r="C1175">
        <v>100</v>
      </c>
      <c r="D1175">
        <v>15</v>
      </c>
      <c r="E1175">
        <v>5735.8</v>
      </c>
      <c r="F1175" s="1">
        <v>37957</v>
      </c>
      <c r="G1175" t="s">
        <v>25</v>
      </c>
      <c r="H1175">
        <v>4</v>
      </c>
      <c r="I1175">
        <v>12</v>
      </c>
      <c r="J1175">
        <v>2003</v>
      </c>
      <c r="K1175" t="s">
        <v>181</v>
      </c>
      <c r="L1175">
        <v>141</v>
      </c>
      <c r="M1175" t="s">
        <v>610</v>
      </c>
      <c r="N1175" t="s">
        <v>475</v>
      </c>
      <c r="O1175">
        <v>2125557413</v>
      </c>
      <c r="P1175" t="s">
        <v>476</v>
      </c>
      <c r="Q1175" t="s">
        <v>477</v>
      </c>
      <c r="R1175" t="s">
        <v>30</v>
      </c>
      <c r="S1175" t="s">
        <v>31</v>
      </c>
      <c r="T1175">
        <v>10022</v>
      </c>
      <c r="U1175" t="s">
        <v>32</v>
      </c>
      <c r="V1175" t="s">
        <v>33</v>
      </c>
      <c r="W1175" t="s">
        <v>56</v>
      </c>
      <c r="X1175" t="s">
        <v>478</v>
      </c>
      <c r="Y1175" t="s">
        <v>51</v>
      </c>
    </row>
    <row r="1176" spans="1:25" x14ac:dyDescent="0.25">
      <c r="A1176">
        <v>10212</v>
      </c>
      <c r="B1176">
        <v>45</v>
      </c>
      <c r="C1176">
        <v>100</v>
      </c>
      <c r="D1176">
        <v>8</v>
      </c>
      <c r="E1176">
        <v>6357.6</v>
      </c>
      <c r="F1176" s="1">
        <v>38002</v>
      </c>
      <c r="G1176" t="s">
        <v>25</v>
      </c>
      <c r="H1176">
        <v>1</v>
      </c>
      <c r="I1176">
        <v>1</v>
      </c>
      <c r="J1176">
        <v>2004</v>
      </c>
      <c r="K1176" t="s">
        <v>181</v>
      </c>
      <c r="L1176">
        <v>141</v>
      </c>
      <c r="M1176" t="s">
        <v>610</v>
      </c>
      <c r="N1176" t="s">
        <v>174</v>
      </c>
      <c r="O1176" t="s">
        <v>175</v>
      </c>
      <c r="P1176" t="s">
        <v>176</v>
      </c>
      <c r="R1176" t="s">
        <v>177</v>
      </c>
      <c r="T1176">
        <v>28034</v>
      </c>
      <c r="U1176" t="s">
        <v>178</v>
      </c>
      <c r="V1176" t="s">
        <v>42</v>
      </c>
      <c r="W1176" t="s">
        <v>179</v>
      </c>
      <c r="X1176" t="s">
        <v>180</v>
      </c>
      <c r="Y1176" t="s">
        <v>51</v>
      </c>
    </row>
    <row r="1177" spans="1:25" x14ac:dyDescent="0.25">
      <c r="A1177">
        <v>10226</v>
      </c>
      <c r="B1177">
        <v>46</v>
      </c>
      <c r="C1177">
        <v>100</v>
      </c>
      <c r="D1177">
        <v>6</v>
      </c>
      <c r="E1177">
        <v>7343.9</v>
      </c>
      <c r="F1177" s="1">
        <v>38043</v>
      </c>
      <c r="G1177" t="s">
        <v>25</v>
      </c>
      <c r="H1177">
        <v>1</v>
      </c>
      <c r="I1177">
        <v>2</v>
      </c>
      <c r="J1177">
        <v>2004</v>
      </c>
      <c r="K1177" t="s">
        <v>181</v>
      </c>
      <c r="L1177">
        <v>141</v>
      </c>
      <c r="M1177" t="s">
        <v>610</v>
      </c>
      <c r="N1177" t="s">
        <v>362</v>
      </c>
      <c r="O1177">
        <v>7605558146</v>
      </c>
      <c r="P1177" t="s">
        <v>363</v>
      </c>
      <c r="R1177" t="s">
        <v>364</v>
      </c>
      <c r="S1177" t="s">
        <v>55</v>
      </c>
      <c r="T1177">
        <v>91217</v>
      </c>
      <c r="U1177" t="s">
        <v>32</v>
      </c>
      <c r="V1177" t="s">
        <v>33</v>
      </c>
      <c r="W1177" t="s">
        <v>237</v>
      </c>
      <c r="X1177" t="s">
        <v>276</v>
      </c>
      <c r="Y1177" t="s">
        <v>151</v>
      </c>
    </row>
    <row r="1178" spans="1:25" x14ac:dyDescent="0.25">
      <c r="A1178">
        <v>10240</v>
      </c>
      <c r="B1178">
        <v>37</v>
      </c>
      <c r="C1178">
        <v>100</v>
      </c>
      <c r="D1178">
        <v>1</v>
      </c>
      <c r="E1178">
        <v>5959.22</v>
      </c>
      <c r="F1178" s="1">
        <v>38090</v>
      </c>
      <c r="G1178" t="s">
        <v>25</v>
      </c>
      <c r="H1178">
        <v>2</v>
      </c>
      <c r="I1178">
        <v>4</v>
      </c>
      <c r="J1178">
        <v>2004</v>
      </c>
      <c r="K1178" t="s">
        <v>181</v>
      </c>
      <c r="L1178">
        <v>141</v>
      </c>
      <c r="M1178" t="s">
        <v>610</v>
      </c>
      <c r="N1178" t="s">
        <v>302</v>
      </c>
      <c r="O1178" t="s">
        <v>303</v>
      </c>
      <c r="P1178" t="s">
        <v>304</v>
      </c>
      <c r="R1178" t="s">
        <v>305</v>
      </c>
      <c r="S1178" t="s">
        <v>305</v>
      </c>
      <c r="T1178" t="s">
        <v>306</v>
      </c>
      <c r="U1178" t="s">
        <v>200</v>
      </c>
      <c r="V1178" t="s">
        <v>200</v>
      </c>
      <c r="W1178" t="s">
        <v>307</v>
      </c>
      <c r="X1178" t="s">
        <v>308</v>
      </c>
      <c r="Y1178" t="s">
        <v>51</v>
      </c>
    </row>
    <row r="1179" spans="1:25" x14ac:dyDescent="0.25">
      <c r="A1179">
        <v>10253</v>
      </c>
      <c r="B1179">
        <v>31</v>
      </c>
      <c r="C1179">
        <v>100</v>
      </c>
      <c r="D1179">
        <v>3</v>
      </c>
      <c r="E1179">
        <v>4029.38</v>
      </c>
      <c r="F1179" s="1">
        <v>38139</v>
      </c>
      <c r="G1179" t="s">
        <v>339</v>
      </c>
      <c r="H1179">
        <v>2</v>
      </c>
      <c r="I1179">
        <v>6</v>
      </c>
      <c r="J1179">
        <v>2004</v>
      </c>
      <c r="K1179" t="s">
        <v>181</v>
      </c>
      <c r="L1179">
        <v>141</v>
      </c>
      <c r="M1179" t="s">
        <v>610</v>
      </c>
      <c r="N1179" t="s">
        <v>165</v>
      </c>
      <c r="O1179" t="s">
        <v>166</v>
      </c>
      <c r="P1179" t="s">
        <v>167</v>
      </c>
      <c r="R1179" t="s">
        <v>168</v>
      </c>
      <c r="T1179" t="s">
        <v>169</v>
      </c>
      <c r="U1179" t="s">
        <v>170</v>
      </c>
      <c r="V1179" t="s">
        <v>42</v>
      </c>
      <c r="W1179" t="s">
        <v>171</v>
      </c>
      <c r="X1179" t="s">
        <v>172</v>
      </c>
      <c r="Y1179" t="s">
        <v>51</v>
      </c>
    </row>
    <row r="1180" spans="1:25" x14ac:dyDescent="0.25">
      <c r="A1180">
        <v>10266</v>
      </c>
      <c r="B1180">
        <v>33</v>
      </c>
      <c r="C1180">
        <v>100</v>
      </c>
      <c r="D1180">
        <v>4</v>
      </c>
      <c r="E1180">
        <v>5035.1400000000003</v>
      </c>
      <c r="F1180" s="1">
        <v>38174</v>
      </c>
      <c r="G1180" t="s">
        <v>25</v>
      </c>
      <c r="H1180">
        <v>3</v>
      </c>
      <c r="I1180">
        <v>7</v>
      </c>
      <c r="J1180">
        <v>2004</v>
      </c>
      <c r="K1180" t="s">
        <v>181</v>
      </c>
      <c r="L1180">
        <v>141</v>
      </c>
      <c r="M1180" t="s">
        <v>610</v>
      </c>
      <c r="N1180" t="s">
        <v>452</v>
      </c>
      <c r="O1180" t="s">
        <v>453</v>
      </c>
      <c r="P1180" t="s">
        <v>454</v>
      </c>
      <c r="R1180" t="s">
        <v>455</v>
      </c>
      <c r="T1180">
        <v>42100</v>
      </c>
      <c r="U1180" t="s">
        <v>258</v>
      </c>
      <c r="V1180" t="s">
        <v>42</v>
      </c>
      <c r="W1180" t="s">
        <v>456</v>
      </c>
      <c r="X1180" t="s">
        <v>457</v>
      </c>
      <c r="Y1180" t="s">
        <v>51</v>
      </c>
    </row>
    <row r="1181" spans="1:25" x14ac:dyDescent="0.25">
      <c r="A1181">
        <v>10278</v>
      </c>
      <c r="B1181">
        <v>31</v>
      </c>
      <c r="C1181">
        <v>100</v>
      </c>
      <c r="D1181">
        <v>4</v>
      </c>
      <c r="E1181">
        <v>4116.8</v>
      </c>
      <c r="F1181" s="1">
        <v>38205</v>
      </c>
      <c r="G1181" t="s">
        <v>25</v>
      </c>
      <c r="H1181">
        <v>3</v>
      </c>
      <c r="I1181">
        <v>8</v>
      </c>
      <c r="J1181">
        <v>2004</v>
      </c>
      <c r="K1181" t="s">
        <v>181</v>
      </c>
      <c r="L1181">
        <v>141</v>
      </c>
      <c r="M1181" t="s">
        <v>610</v>
      </c>
      <c r="N1181" t="s">
        <v>539</v>
      </c>
      <c r="O1181">
        <v>7025551838</v>
      </c>
      <c r="P1181" t="s">
        <v>540</v>
      </c>
      <c r="R1181" t="s">
        <v>541</v>
      </c>
      <c r="S1181" t="s">
        <v>542</v>
      </c>
      <c r="T1181">
        <v>83030</v>
      </c>
      <c r="U1181" t="s">
        <v>32</v>
      </c>
      <c r="V1181" t="s">
        <v>33</v>
      </c>
      <c r="W1181" t="s">
        <v>113</v>
      </c>
      <c r="X1181" t="s">
        <v>400</v>
      </c>
      <c r="Y1181" t="s">
        <v>51</v>
      </c>
    </row>
    <row r="1182" spans="1:25" x14ac:dyDescent="0.25">
      <c r="A1182">
        <v>10287</v>
      </c>
      <c r="B1182">
        <v>27</v>
      </c>
      <c r="C1182">
        <v>100</v>
      </c>
      <c r="D1182">
        <v>2</v>
      </c>
      <c r="E1182">
        <v>4310.55</v>
      </c>
      <c r="F1182" s="1">
        <v>38229</v>
      </c>
      <c r="G1182" t="s">
        <v>25</v>
      </c>
      <c r="H1182">
        <v>3</v>
      </c>
      <c r="I1182">
        <v>8</v>
      </c>
      <c r="J1182">
        <v>2004</v>
      </c>
      <c r="K1182" t="s">
        <v>181</v>
      </c>
      <c r="L1182">
        <v>141</v>
      </c>
      <c r="M1182" t="s">
        <v>610</v>
      </c>
      <c r="N1182" t="s">
        <v>446</v>
      </c>
      <c r="O1182" t="s">
        <v>447</v>
      </c>
      <c r="P1182" t="s">
        <v>448</v>
      </c>
      <c r="R1182" t="s">
        <v>449</v>
      </c>
      <c r="T1182">
        <v>1203</v>
      </c>
      <c r="U1182" t="s">
        <v>450</v>
      </c>
      <c r="V1182" t="s">
        <v>42</v>
      </c>
      <c r="W1182" t="s">
        <v>451</v>
      </c>
      <c r="X1182" t="s">
        <v>103</v>
      </c>
      <c r="Y1182" t="s">
        <v>51</v>
      </c>
    </row>
    <row r="1183" spans="1:25" x14ac:dyDescent="0.25">
      <c r="A1183">
        <v>10301</v>
      </c>
      <c r="B1183">
        <v>39</v>
      </c>
      <c r="C1183">
        <v>100</v>
      </c>
      <c r="D1183">
        <v>6</v>
      </c>
      <c r="E1183">
        <v>6446.7</v>
      </c>
      <c r="F1183" s="1">
        <v>37899</v>
      </c>
      <c r="G1183" t="s">
        <v>25</v>
      </c>
      <c r="H1183">
        <v>4</v>
      </c>
      <c r="I1183">
        <v>10</v>
      </c>
      <c r="J1183">
        <v>2003</v>
      </c>
      <c r="K1183" t="s">
        <v>181</v>
      </c>
      <c r="L1183">
        <v>141</v>
      </c>
      <c r="M1183" t="s">
        <v>610</v>
      </c>
      <c r="N1183" t="s">
        <v>543</v>
      </c>
      <c r="O1183" t="s">
        <v>544</v>
      </c>
      <c r="P1183" t="s">
        <v>545</v>
      </c>
      <c r="R1183" t="s">
        <v>546</v>
      </c>
      <c r="T1183" t="s">
        <v>547</v>
      </c>
      <c r="U1183" t="s">
        <v>78</v>
      </c>
      <c r="V1183" t="s">
        <v>42</v>
      </c>
      <c r="W1183" t="s">
        <v>548</v>
      </c>
      <c r="X1183" t="s">
        <v>549</v>
      </c>
      <c r="Y1183" t="s">
        <v>51</v>
      </c>
    </row>
    <row r="1184" spans="1:25" x14ac:dyDescent="0.25">
      <c r="A1184">
        <v>10311</v>
      </c>
      <c r="B1184">
        <v>32</v>
      </c>
      <c r="C1184">
        <v>100</v>
      </c>
      <c r="D1184">
        <v>11</v>
      </c>
      <c r="E1184">
        <v>3616.64</v>
      </c>
      <c r="F1184" s="1">
        <v>38276</v>
      </c>
      <c r="G1184" t="s">
        <v>25</v>
      </c>
      <c r="H1184">
        <v>4</v>
      </c>
      <c r="I1184">
        <v>10</v>
      </c>
      <c r="J1184">
        <v>2004</v>
      </c>
      <c r="K1184" t="s">
        <v>181</v>
      </c>
      <c r="L1184">
        <v>141</v>
      </c>
      <c r="M1184" t="s">
        <v>610</v>
      </c>
      <c r="N1184" t="s">
        <v>174</v>
      </c>
      <c r="O1184" t="s">
        <v>175</v>
      </c>
      <c r="P1184" t="s">
        <v>176</v>
      </c>
      <c r="R1184" t="s">
        <v>177</v>
      </c>
      <c r="T1184">
        <v>28034</v>
      </c>
      <c r="U1184" t="s">
        <v>178</v>
      </c>
      <c r="V1184" t="s">
        <v>42</v>
      </c>
      <c r="W1184" t="s">
        <v>179</v>
      </c>
      <c r="X1184" t="s">
        <v>180</v>
      </c>
      <c r="Y1184" t="s">
        <v>51</v>
      </c>
    </row>
    <row r="1185" spans="1:25" x14ac:dyDescent="0.25">
      <c r="A1185">
        <v>10321</v>
      </c>
      <c r="B1185">
        <v>28</v>
      </c>
      <c r="C1185">
        <v>100</v>
      </c>
      <c r="D1185">
        <v>8</v>
      </c>
      <c r="E1185">
        <v>4232.76</v>
      </c>
      <c r="F1185" s="1">
        <v>38295</v>
      </c>
      <c r="G1185" t="s">
        <v>25</v>
      </c>
      <c r="H1185">
        <v>4</v>
      </c>
      <c r="I1185">
        <v>11</v>
      </c>
      <c r="J1185">
        <v>2004</v>
      </c>
      <c r="K1185" t="s">
        <v>181</v>
      </c>
      <c r="L1185">
        <v>141</v>
      </c>
      <c r="M1185" t="s">
        <v>610</v>
      </c>
      <c r="N1185" t="s">
        <v>160</v>
      </c>
      <c r="O1185">
        <v>5085552555</v>
      </c>
      <c r="P1185" t="s">
        <v>161</v>
      </c>
      <c r="R1185" t="s">
        <v>162</v>
      </c>
      <c r="S1185" t="s">
        <v>123</v>
      </c>
      <c r="T1185">
        <v>50553</v>
      </c>
      <c r="U1185" t="s">
        <v>32</v>
      </c>
      <c r="V1185" t="s">
        <v>33</v>
      </c>
      <c r="W1185" t="s">
        <v>163</v>
      </c>
      <c r="X1185" t="s">
        <v>164</v>
      </c>
      <c r="Y1185" t="s">
        <v>51</v>
      </c>
    </row>
    <row r="1186" spans="1:25" x14ac:dyDescent="0.25">
      <c r="A1186">
        <v>10331</v>
      </c>
      <c r="B1186">
        <v>26</v>
      </c>
      <c r="C1186">
        <v>67.91</v>
      </c>
      <c r="D1186">
        <v>12</v>
      </c>
      <c r="E1186">
        <v>1765.66</v>
      </c>
      <c r="F1186" s="1">
        <v>38308</v>
      </c>
      <c r="G1186" t="s">
        <v>25</v>
      </c>
      <c r="H1186">
        <v>4</v>
      </c>
      <c r="I1186">
        <v>11</v>
      </c>
      <c r="J1186">
        <v>2004</v>
      </c>
      <c r="K1186" t="s">
        <v>181</v>
      </c>
      <c r="L1186">
        <v>141</v>
      </c>
      <c r="M1186" t="s">
        <v>610</v>
      </c>
      <c r="N1186" t="s">
        <v>309</v>
      </c>
      <c r="O1186">
        <v>2155559857</v>
      </c>
      <c r="P1186" t="s">
        <v>310</v>
      </c>
      <c r="R1186" t="s">
        <v>216</v>
      </c>
      <c r="S1186" t="s">
        <v>142</v>
      </c>
      <c r="T1186">
        <v>71270</v>
      </c>
      <c r="U1186" t="s">
        <v>32</v>
      </c>
      <c r="V1186" t="s">
        <v>33</v>
      </c>
      <c r="W1186" t="s">
        <v>124</v>
      </c>
      <c r="X1186" t="s">
        <v>311</v>
      </c>
      <c r="Y1186" t="s">
        <v>36</v>
      </c>
    </row>
    <row r="1187" spans="1:25" x14ac:dyDescent="0.25">
      <c r="A1187">
        <v>10343</v>
      </c>
      <c r="B1187">
        <v>44</v>
      </c>
      <c r="C1187">
        <v>84.88</v>
      </c>
      <c r="D1187">
        <v>2</v>
      </c>
      <c r="E1187">
        <v>3734.72</v>
      </c>
      <c r="F1187" s="1">
        <v>38315</v>
      </c>
      <c r="G1187" t="s">
        <v>25</v>
      </c>
      <c r="H1187">
        <v>4</v>
      </c>
      <c r="I1187">
        <v>11</v>
      </c>
      <c r="J1187">
        <v>2004</v>
      </c>
      <c r="K1187" t="s">
        <v>181</v>
      </c>
      <c r="L1187">
        <v>141</v>
      </c>
      <c r="M1187" t="s">
        <v>610</v>
      </c>
      <c r="N1187" t="s">
        <v>37</v>
      </c>
      <c r="O1187" t="s">
        <v>38</v>
      </c>
      <c r="P1187" t="s">
        <v>39</v>
      </c>
      <c r="R1187" t="s">
        <v>40</v>
      </c>
      <c r="T1187">
        <v>51100</v>
      </c>
      <c r="U1187" t="s">
        <v>41</v>
      </c>
      <c r="V1187" t="s">
        <v>42</v>
      </c>
      <c r="W1187" t="s">
        <v>43</v>
      </c>
      <c r="X1187" t="s">
        <v>44</v>
      </c>
      <c r="Y1187" t="s">
        <v>51</v>
      </c>
    </row>
    <row r="1188" spans="1:25" x14ac:dyDescent="0.25">
      <c r="A1188">
        <v>10367</v>
      </c>
      <c r="B1188">
        <v>46</v>
      </c>
      <c r="C1188">
        <v>100</v>
      </c>
      <c r="D1188">
        <v>6</v>
      </c>
      <c r="E1188">
        <v>4808.38</v>
      </c>
      <c r="F1188" s="1">
        <v>38364</v>
      </c>
      <c r="G1188" t="s">
        <v>408</v>
      </c>
      <c r="H1188">
        <v>1</v>
      </c>
      <c r="I1188">
        <v>1</v>
      </c>
      <c r="J1188">
        <v>2005</v>
      </c>
      <c r="K1188" t="s">
        <v>181</v>
      </c>
      <c r="L1188">
        <v>141</v>
      </c>
      <c r="M1188" t="s">
        <v>610</v>
      </c>
      <c r="N1188" t="s">
        <v>52</v>
      </c>
      <c r="O1188">
        <v>6265557265</v>
      </c>
      <c r="P1188" t="s">
        <v>53</v>
      </c>
      <c r="R1188" t="s">
        <v>54</v>
      </c>
      <c r="S1188" t="s">
        <v>55</v>
      </c>
      <c r="T1188">
        <v>90003</v>
      </c>
      <c r="U1188" t="s">
        <v>32</v>
      </c>
      <c r="V1188" t="s">
        <v>33</v>
      </c>
      <c r="W1188" t="s">
        <v>56</v>
      </c>
      <c r="X1188" t="s">
        <v>57</v>
      </c>
      <c r="Y1188" t="s">
        <v>51</v>
      </c>
    </row>
    <row r="1189" spans="1:25" x14ac:dyDescent="0.25">
      <c r="A1189">
        <v>10379</v>
      </c>
      <c r="B1189">
        <v>32</v>
      </c>
      <c r="C1189">
        <v>70.83</v>
      </c>
      <c r="D1189">
        <v>4</v>
      </c>
      <c r="E1189">
        <v>2266.56</v>
      </c>
      <c r="F1189" s="1">
        <v>38393</v>
      </c>
      <c r="G1189" t="s">
        <v>25</v>
      </c>
      <c r="H1189">
        <v>1</v>
      </c>
      <c r="I1189">
        <v>2</v>
      </c>
      <c r="J1189">
        <v>2005</v>
      </c>
      <c r="K1189" t="s">
        <v>181</v>
      </c>
      <c r="L1189">
        <v>141</v>
      </c>
      <c r="M1189" t="s">
        <v>610</v>
      </c>
      <c r="N1189" t="s">
        <v>174</v>
      </c>
      <c r="O1189" t="s">
        <v>175</v>
      </c>
      <c r="P1189" t="s">
        <v>176</v>
      </c>
      <c r="R1189" t="s">
        <v>177</v>
      </c>
      <c r="T1189">
        <v>28034</v>
      </c>
      <c r="U1189" t="s">
        <v>178</v>
      </c>
      <c r="V1189" t="s">
        <v>42</v>
      </c>
      <c r="W1189" t="s">
        <v>179</v>
      </c>
      <c r="X1189" t="s">
        <v>180</v>
      </c>
      <c r="Y1189" t="s">
        <v>36</v>
      </c>
    </row>
    <row r="1190" spans="1:25" x14ac:dyDescent="0.25">
      <c r="A1190">
        <v>10406</v>
      </c>
      <c r="B1190">
        <v>65</v>
      </c>
      <c r="C1190">
        <v>100</v>
      </c>
      <c r="D1190">
        <v>1</v>
      </c>
      <c r="E1190">
        <v>10468.9</v>
      </c>
      <c r="F1190" s="1">
        <v>38457</v>
      </c>
      <c r="G1190" t="s">
        <v>173</v>
      </c>
      <c r="H1190">
        <v>2</v>
      </c>
      <c r="I1190">
        <v>4</v>
      </c>
      <c r="J1190">
        <v>2005</v>
      </c>
      <c r="K1190" t="s">
        <v>181</v>
      </c>
      <c r="L1190">
        <v>141</v>
      </c>
      <c r="M1190" t="s">
        <v>610</v>
      </c>
      <c r="N1190" t="s">
        <v>322</v>
      </c>
      <c r="O1190" t="s">
        <v>323</v>
      </c>
      <c r="P1190" t="s">
        <v>324</v>
      </c>
      <c r="R1190" t="s">
        <v>325</v>
      </c>
      <c r="T1190">
        <v>1734</v>
      </c>
      <c r="U1190" t="s">
        <v>326</v>
      </c>
      <c r="V1190" t="s">
        <v>42</v>
      </c>
      <c r="W1190" t="s">
        <v>327</v>
      </c>
      <c r="X1190" t="s">
        <v>328</v>
      </c>
      <c r="Y1190" t="s">
        <v>151</v>
      </c>
    </row>
    <row r="1191" spans="1:25" x14ac:dyDescent="0.25">
      <c r="A1191">
        <v>10419</v>
      </c>
      <c r="B1191">
        <v>43</v>
      </c>
      <c r="C1191">
        <v>100</v>
      </c>
      <c r="D1191">
        <v>3</v>
      </c>
      <c r="E1191">
        <v>5589.14</v>
      </c>
      <c r="F1191" s="1">
        <v>38489</v>
      </c>
      <c r="G1191" t="s">
        <v>25</v>
      </c>
      <c r="H1191">
        <v>2</v>
      </c>
      <c r="I1191">
        <v>5</v>
      </c>
      <c r="J1191">
        <v>2005</v>
      </c>
      <c r="K1191" t="s">
        <v>181</v>
      </c>
      <c r="L1191">
        <v>141</v>
      </c>
      <c r="M1191" t="s">
        <v>610</v>
      </c>
      <c r="N1191" t="s">
        <v>144</v>
      </c>
      <c r="O1191" t="s">
        <v>145</v>
      </c>
      <c r="P1191" t="s">
        <v>146</v>
      </c>
      <c r="R1191" t="s">
        <v>147</v>
      </c>
      <c r="T1191">
        <v>5020</v>
      </c>
      <c r="U1191" t="s">
        <v>148</v>
      </c>
      <c r="V1191" t="s">
        <v>42</v>
      </c>
      <c r="W1191" t="s">
        <v>149</v>
      </c>
      <c r="X1191" t="s">
        <v>150</v>
      </c>
      <c r="Y1191" t="s">
        <v>51</v>
      </c>
    </row>
    <row r="1192" spans="1:25" x14ac:dyDescent="0.25">
      <c r="A1192">
        <v>10108</v>
      </c>
      <c r="B1192">
        <v>43</v>
      </c>
      <c r="C1192">
        <v>67.77</v>
      </c>
      <c r="D1192">
        <v>12</v>
      </c>
      <c r="E1192">
        <v>2914.11</v>
      </c>
      <c r="F1192" s="1">
        <v>37683</v>
      </c>
      <c r="G1192" t="s">
        <v>25</v>
      </c>
      <c r="H1192">
        <v>1</v>
      </c>
      <c r="I1192">
        <v>3</v>
      </c>
      <c r="J1192">
        <v>2003</v>
      </c>
      <c r="K1192" t="s">
        <v>26</v>
      </c>
      <c r="L1192">
        <v>62</v>
      </c>
      <c r="M1192" t="s">
        <v>611</v>
      </c>
      <c r="N1192" t="s">
        <v>425</v>
      </c>
      <c r="O1192" t="s">
        <v>426</v>
      </c>
      <c r="P1192" t="s">
        <v>427</v>
      </c>
      <c r="R1192" t="s">
        <v>428</v>
      </c>
      <c r="T1192" t="s">
        <v>429</v>
      </c>
      <c r="U1192" t="s">
        <v>430</v>
      </c>
      <c r="V1192" t="s">
        <v>200</v>
      </c>
      <c r="W1192" t="s">
        <v>431</v>
      </c>
      <c r="X1192" t="s">
        <v>432</v>
      </c>
      <c r="Y1192" t="s">
        <v>36</v>
      </c>
    </row>
    <row r="1193" spans="1:25" x14ac:dyDescent="0.25">
      <c r="A1193">
        <v>10122</v>
      </c>
      <c r="B1193">
        <v>35</v>
      </c>
      <c r="C1193">
        <v>49.74</v>
      </c>
      <c r="D1193">
        <v>16</v>
      </c>
      <c r="E1193">
        <v>1740.9</v>
      </c>
      <c r="F1193" s="1">
        <v>37749</v>
      </c>
      <c r="G1193" t="s">
        <v>25</v>
      </c>
      <c r="H1193">
        <v>2</v>
      </c>
      <c r="I1193">
        <v>5</v>
      </c>
      <c r="J1193">
        <v>2003</v>
      </c>
      <c r="K1193" t="s">
        <v>26</v>
      </c>
      <c r="L1193">
        <v>62</v>
      </c>
      <c r="M1193" t="s">
        <v>611</v>
      </c>
      <c r="N1193" t="s">
        <v>433</v>
      </c>
      <c r="O1193" t="s">
        <v>434</v>
      </c>
      <c r="P1193" t="s">
        <v>435</v>
      </c>
      <c r="R1193" t="s">
        <v>436</v>
      </c>
      <c r="T1193">
        <v>13008</v>
      </c>
      <c r="U1193" t="s">
        <v>41</v>
      </c>
      <c r="V1193" t="s">
        <v>42</v>
      </c>
      <c r="W1193" t="s">
        <v>437</v>
      </c>
      <c r="X1193" t="s">
        <v>438</v>
      </c>
      <c r="Y1193" t="s">
        <v>36</v>
      </c>
    </row>
    <row r="1194" spans="1:25" x14ac:dyDescent="0.25">
      <c r="A1194">
        <v>10135</v>
      </c>
      <c r="B1194">
        <v>45</v>
      </c>
      <c r="C1194">
        <v>50.36</v>
      </c>
      <c r="D1194">
        <v>13</v>
      </c>
      <c r="E1194">
        <v>2266.1999999999998</v>
      </c>
      <c r="F1194" s="1">
        <v>37804</v>
      </c>
      <c r="G1194" t="s">
        <v>25</v>
      </c>
      <c r="H1194">
        <v>3</v>
      </c>
      <c r="I1194">
        <v>7</v>
      </c>
      <c r="J1194">
        <v>2003</v>
      </c>
      <c r="K1194" t="s">
        <v>26</v>
      </c>
      <c r="L1194">
        <v>62</v>
      </c>
      <c r="M1194" t="s">
        <v>611</v>
      </c>
      <c r="N1194" t="s">
        <v>272</v>
      </c>
      <c r="O1194">
        <v>4155551450</v>
      </c>
      <c r="P1194" t="s">
        <v>273</v>
      </c>
      <c r="R1194" t="s">
        <v>274</v>
      </c>
      <c r="S1194" t="s">
        <v>55</v>
      </c>
      <c r="T1194">
        <v>97562</v>
      </c>
      <c r="U1194" t="s">
        <v>32</v>
      </c>
      <c r="V1194" t="s">
        <v>33</v>
      </c>
      <c r="W1194" t="s">
        <v>275</v>
      </c>
      <c r="X1194" t="s">
        <v>276</v>
      </c>
      <c r="Y1194" t="s">
        <v>36</v>
      </c>
    </row>
    <row r="1195" spans="1:25" x14ac:dyDescent="0.25">
      <c r="A1195">
        <v>10146</v>
      </c>
      <c r="B1195">
        <v>47</v>
      </c>
      <c r="C1195">
        <v>67.14</v>
      </c>
      <c r="D1195">
        <v>2</v>
      </c>
      <c r="E1195">
        <v>3155.58</v>
      </c>
      <c r="F1195" s="1">
        <v>37867</v>
      </c>
      <c r="G1195" t="s">
        <v>25</v>
      </c>
      <c r="H1195">
        <v>3</v>
      </c>
      <c r="I1195">
        <v>9</v>
      </c>
      <c r="J1195">
        <v>2003</v>
      </c>
      <c r="K1195" t="s">
        <v>26</v>
      </c>
      <c r="L1195">
        <v>62</v>
      </c>
      <c r="M1195" t="s">
        <v>611</v>
      </c>
      <c r="N1195" t="s">
        <v>568</v>
      </c>
      <c r="O1195">
        <v>2035554407</v>
      </c>
      <c r="P1195" t="s">
        <v>569</v>
      </c>
      <c r="R1195" t="s">
        <v>516</v>
      </c>
      <c r="S1195" t="s">
        <v>112</v>
      </c>
      <c r="T1195">
        <v>97561</v>
      </c>
      <c r="U1195" t="s">
        <v>32</v>
      </c>
      <c r="V1195" t="s">
        <v>33</v>
      </c>
      <c r="W1195" t="s">
        <v>570</v>
      </c>
      <c r="X1195" t="s">
        <v>571</v>
      </c>
      <c r="Y1195" t="s">
        <v>51</v>
      </c>
    </row>
    <row r="1196" spans="1:25" x14ac:dyDescent="0.25">
      <c r="A1196">
        <v>10159</v>
      </c>
      <c r="B1196">
        <v>21</v>
      </c>
      <c r="C1196">
        <v>64.66</v>
      </c>
      <c r="D1196">
        <v>8</v>
      </c>
      <c r="E1196">
        <v>1357.86</v>
      </c>
      <c r="F1196" s="1">
        <v>37904</v>
      </c>
      <c r="G1196" t="s">
        <v>25</v>
      </c>
      <c r="H1196">
        <v>4</v>
      </c>
      <c r="I1196">
        <v>10</v>
      </c>
      <c r="J1196">
        <v>2003</v>
      </c>
      <c r="K1196" t="s">
        <v>26</v>
      </c>
      <c r="L1196">
        <v>62</v>
      </c>
      <c r="M1196" t="s">
        <v>611</v>
      </c>
      <c r="N1196" t="s">
        <v>58</v>
      </c>
      <c r="O1196">
        <v>6505551386</v>
      </c>
      <c r="P1196" t="s">
        <v>59</v>
      </c>
      <c r="R1196" t="s">
        <v>60</v>
      </c>
      <c r="S1196" t="s">
        <v>55</v>
      </c>
      <c r="U1196" t="s">
        <v>32</v>
      </c>
      <c r="V1196" t="s">
        <v>33</v>
      </c>
      <c r="W1196" t="s">
        <v>61</v>
      </c>
      <c r="X1196" t="s">
        <v>57</v>
      </c>
      <c r="Y1196" t="s">
        <v>36</v>
      </c>
    </row>
    <row r="1197" spans="1:25" x14ac:dyDescent="0.25">
      <c r="A1197">
        <v>10169</v>
      </c>
      <c r="B1197">
        <v>38</v>
      </c>
      <c r="C1197">
        <v>68.39</v>
      </c>
      <c r="D1197">
        <v>8</v>
      </c>
      <c r="E1197">
        <v>2598.8200000000002</v>
      </c>
      <c r="F1197" s="1">
        <v>37929</v>
      </c>
      <c r="G1197" t="s">
        <v>25</v>
      </c>
      <c r="H1197">
        <v>4</v>
      </c>
      <c r="I1197">
        <v>11</v>
      </c>
      <c r="J1197">
        <v>2003</v>
      </c>
      <c r="K1197" t="s">
        <v>26</v>
      </c>
      <c r="L1197">
        <v>62</v>
      </c>
      <c r="M1197" t="s">
        <v>611</v>
      </c>
      <c r="N1197" t="s">
        <v>285</v>
      </c>
      <c r="O1197" t="s">
        <v>286</v>
      </c>
      <c r="P1197" t="s">
        <v>287</v>
      </c>
      <c r="Q1197" t="s">
        <v>288</v>
      </c>
      <c r="R1197" t="s">
        <v>289</v>
      </c>
      <c r="S1197" t="s">
        <v>157</v>
      </c>
      <c r="T1197">
        <v>2060</v>
      </c>
      <c r="U1197" t="s">
        <v>95</v>
      </c>
      <c r="V1197" t="s">
        <v>96</v>
      </c>
      <c r="W1197" t="s">
        <v>290</v>
      </c>
      <c r="X1197" t="s">
        <v>291</v>
      </c>
      <c r="Y1197" t="s">
        <v>36</v>
      </c>
    </row>
    <row r="1198" spans="1:25" x14ac:dyDescent="0.25">
      <c r="A1198">
        <v>10180</v>
      </c>
      <c r="B1198">
        <v>21</v>
      </c>
      <c r="C1198">
        <v>50.36</v>
      </c>
      <c r="D1198">
        <v>3</v>
      </c>
      <c r="E1198">
        <v>1057.56</v>
      </c>
      <c r="F1198" s="1">
        <v>37936</v>
      </c>
      <c r="G1198" t="s">
        <v>25</v>
      </c>
      <c r="H1198">
        <v>4</v>
      </c>
      <c r="I1198">
        <v>11</v>
      </c>
      <c r="J1198">
        <v>2003</v>
      </c>
      <c r="K1198" t="s">
        <v>26</v>
      </c>
      <c r="L1198">
        <v>62</v>
      </c>
      <c r="M1198" t="s">
        <v>611</v>
      </c>
      <c r="N1198" t="s">
        <v>67</v>
      </c>
      <c r="O1198" t="s">
        <v>68</v>
      </c>
      <c r="P1198" t="s">
        <v>69</v>
      </c>
      <c r="R1198" t="s">
        <v>70</v>
      </c>
      <c r="T1198">
        <v>59000</v>
      </c>
      <c r="U1198" t="s">
        <v>41</v>
      </c>
      <c r="V1198" t="s">
        <v>42</v>
      </c>
      <c r="W1198" t="s">
        <v>71</v>
      </c>
      <c r="X1198" t="s">
        <v>72</v>
      </c>
      <c r="Y1198" t="s">
        <v>36</v>
      </c>
    </row>
    <row r="1199" spans="1:25" x14ac:dyDescent="0.25">
      <c r="A1199">
        <v>10191</v>
      </c>
      <c r="B1199">
        <v>43</v>
      </c>
      <c r="C1199">
        <v>72.739999999999995</v>
      </c>
      <c r="D1199">
        <v>9</v>
      </c>
      <c r="E1199">
        <v>3127.82</v>
      </c>
      <c r="F1199" s="1">
        <v>37945</v>
      </c>
      <c r="G1199" t="s">
        <v>25</v>
      </c>
      <c r="H1199">
        <v>4</v>
      </c>
      <c r="I1199">
        <v>11</v>
      </c>
      <c r="J1199">
        <v>2003</v>
      </c>
      <c r="K1199" t="s">
        <v>26</v>
      </c>
      <c r="L1199">
        <v>62</v>
      </c>
      <c r="M1199" t="s">
        <v>611</v>
      </c>
      <c r="N1199" t="s">
        <v>439</v>
      </c>
      <c r="O1199" t="s">
        <v>440</v>
      </c>
      <c r="P1199" t="s">
        <v>441</v>
      </c>
      <c r="R1199" t="s">
        <v>442</v>
      </c>
      <c r="T1199">
        <v>50739</v>
      </c>
      <c r="U1199" t="s">
        <v>443</v>
      </c>
      <c r="V1199" t="s">
        <v>42</v>
      </c>
      <c r="W1199" t="s">
        <v>444</v>
      </c>
      <c r="X1199" t="s">
        <v>445</v>
      </c>
      <c r="Y1199" t="s">
        <v>51</v>
      </c>
    </row>
    <row r="1200" spans="1:25" x14ac:dyDescent="0.25">
      <c r="A1200">
        <v>10211</v>
      </c>
      <c r="B1200">
        <v>46</v>
      </c>
      <c r="C1200">
        <v>54.09</v>
      </c>
      <c r="D1200">
        <v>8</v>
      </c>
      <c r="E1200">
        <v>2488.14</v>
      </c>
      <c r="F1200" s="1">
        <v>38001</v>
      </c>
      <c r="G1200" t="s">
        <v>25</v>
      </c>
      <c r="H1200">
        <v>1</v>
      </c>
      <c r="I1200">
        <v>1</v>
      </c>
      <c r="J1200">
        <v>2004</v>
      </c>
      <c r="K1200" t="s">
        <v>26</v>
      </c>
      <c r="L1200">
        <v>62</v>
      </c>
      <c r="M1200" t="s">
        <v>611</v>
      </c>
      <c r="N1200" t="s">
        <v>84</v>
      </c>
      <c r="O1200" t="s">
        <v>85</v>
      </c>
      <c r="P1200" t="s">
        <v>86</v>
      </c>
      <c r="R1200" t="s">
        <v>48</v>
      </c>
      <c r="T1200">
        <v>75016</v>
      </c>
      <c r="U1200" t="s">
        <v>41</v>
      </c>
      <c r="V1200" t="s">
        <v>42</v>
      </c>
      <c r="W1200" t="s">
        <v>87</v>
      </c>
      <c r="X1200" t="s">
        <v>88</v>
      </c>
      <c r="Y1200" t="s">
        <v>36</v>
      </c>
    </row>
    <row r="1201" spans="1:25" x14ac:dyDescent="0.25">
      <c r="A1201">
        <v>10224</v>
      </c>
      <c r="B1201">
        <v>38</v>
      </c>
      <c r="C1201">
        <v>58.44</v>
      </c>
      <c r="D1201">
        <v>1</v>
      </c>
      <c r="E1201">
        <v>2220.7199999999998</v>
      </c>
      <c r="F1201" s="1">
        <v>38038</v>
      </c>
      <c r="G1201" t="s">
        <v>25</v>
      </c>
      <c r="H1201">
        <v>1</v>
      </c>
      <c r="I1201">
        <v>2</v>
      </c>
      <c r="J1201">
        <v>2004</v>
      </c>
      <c r="K1201" t="s">
        <v>26</v>
      </c>
      <c r="L1201">
        <v>62</v>
      </c>
      <c r="M1201" t="s">
        <v>611</v>
      </c>
      <c r="N1201" t="s">
        <v>67</v>
      </c>
      <c r="O1201" t="s">
        <v>68</v>
      </c>
      <c r="P1201" t="s">
        <v>69</v>
      </c>
      <c r="R1201" t="s">
        <v>70</v>
      </c>
      <c r="T1201">
        <v>59000</v>
      </c>
      <c r="U1201" t="s">
        <v>41</v>
      </c>
      <c r="V1201" t="s">
        <v>42</v>
      </c>
      <c r="W1201" t="s">
        <v>71</v>
      </c>
      <c r="X1201" t="s">
        <v>72</v>
      </c>
      <c r="Y1201" t="s">
        <v>36</v>
      </c>
    </row>
    <row r="1202" spans="1:25" x14ac:dyDescent="0.25">
      <c r="A1202">
        <v>10237</v>
      </c>
      <c r="B1202">
        <v>26</v>
      </c>
      <c r="C1202">
        <v>52.22</v>
      </c>
      <c r="D1202">
        <v>1</v>
      </c>
      <c r="E1202">
        <v>1357.72</v>
      </c>
      <c r="F1202" s="1">
        <v>38082</v>
      </c>
      <c r="G1202" t="s">
        <v>25</v>
      </c>
      <c r="H1202">
        <v>2</v>
      </c>
      <c r="I1202">
        <v>4</v>
      </c>
      <c r="J1202">
        <v>2004</v>
      </c>
      <c r="K1202" t="s">
        <v>26</v>
      </c>
      <c r="L1202">
        <v>62</v>
      </c>
      <c r="M1202" t="s">
        <v>611</v>
      </c>
      <c r="N1202" t="s">
        <v>99</v>
      </c>
      <c r="O1202">
        <v>2125551500</v>
      </c>
      <c r="P1202" t="s">
        <v>100</v>
      </c>
      <c r="Q1202" t="s">
        <v>101</v>
      </c>
      <c r="R1202" t="s">
        <v>30</v>
      </c>
      <c r="S1202" t="s">
        <v>31</v>
      </c>
      <c r="T1202">
        <v>10022</v>
      </c>
      <c r="U1202" t="s">
        <v>32</v>
      </c>
      <c r="V1202" t="s">
        <v>33</v>
      </c>
      <c r="W1202" t="s">
        <v>102</v>
      </c>
      <c r="X1202" t="s">
        <v>103</v>
      </c>
      <c r="Y1202" t="s">
        <v>36</v>
      </c>
    </row>
    <row r="1203" spans="1:25" x14ac:dyDescent="0.25">
      <c r="A1203">
        <v>10252</v>
      </c>
      <c r="B1203">
        <v>31</v>
      </c>
      <c r="C1203">
        <v>52.84</v>
      </c>
      <c r="D1203">
        <v>5</v>
      </c>
      <c r="E1203">
        <v>1638.04</v>
      </c>
      <c r="F1203" s="1">
        <v>38133</v>
      </c>
      <c r="G1203" t="s">
        <v>25</v>
      </c>
      <c r="H1203">
        <v>2</v>
      </c>
      <c r="I1203">
        <v>5</v>
      </c>
      <c r="J1203">
        <v>2004</v>
      </c>
      <c r="K1203" t="s">
        <v>26</v>
      </c>
      <c r="L1203">
        <v>62</v>
      </c>
      <c r="M1203" t="s">
        <v>611</v>
      </c>
      <c r="N1203" t="s">
        <v>84</v>
      </c>
      <c r="O1203" t="s">
        <v>85</v>
      </c>
      <c r="P1203" t="s">
        <v>86</v>
      </c>
      <c r="R1203" t="s">
        <v>48</v>
      </c>
      <c r="T1203">
        <v>75016</v>
      </c>
      <c r="U1203" t="s">
        <v>41</v>
      </c>
      <c r="V1203" t="s">
        <v>42</v>
      </c>
      <c r="W1203" t="s">
        <v>87</v>
      </c>
      <c r="X1203" t="s">
        <v>88</v>
      </c>
      <c r="Y1203" t="s">
        <v>36</v>
      </c>
    </row>
    <row r="1204" spans="1:25" x14ac:dyDescent="0.25">
      <c r="A1204">
        <v>10264</v>
      </c>
      <c r="B1204">
        <v>48</v>
      </c>
      <c r="C1204">
        <v>54.71</v>
      </c>
      <c r="D1204">
        <v>3</v>
      </c>
      <c r="E1204">
        <v>2626.08</v>
      </c>
      <c r="F1204" s="1">
        <v>38168</v>
      </c>
      <c r="G1204" t="s">
        <v>25</v>
      </c>
      <c r="H1204">
        <v>2</v>
      </c>
      <c r="I1204">
        <v>6</v>
      </c>
      <c r="J1204">
        <v>2004</v>
      </c>
      <c r="K1204" t="s">
        <v>26</v>
      </c>
      <c r="L1204">
        <v>62</v>
      </c>
      <c r="M1204" t="s">
        <v>611</v>
      </c>
      <c r="N1204" t="s">
        <v>379</v>
      </c>
      <c r="O1204">
        <v>6175559555</v>
      </c>
      <c r="P1204" t="s">
        <v>380</v>
      </c>
      <c r="R1204" t="s">
        <v>381</v>
      </c>
      <c r="S1204" t="s">
        <v>123</v>
      </c>
      <c r="T1204">
        <v>51003</v>
      </c>
      <c r="U1204" t="s">
        <v>32</v>
      </c>
      <c r="V1204" t="s">
        <v>33</v>
      </c>
      <c r="W1204" t="s">
        <v>382</v>
      </c>
      <c r="X1204" t="s">
        <v>66</v>
      </c>
      <c r="Y1204" t="s">
        <v>36</v>
      </c>
    </row>
    <row r="1205" spans="1:25" x14ac:dyDescent="0.25">
      <c r="A1205">
        <v>10276</v>
      </c>
      <c r="B1205">
        <v>33</v>
      </c>
      <c r="C1205">
        <v>50.36</v>
      </c>
      <c r="D1205">
        <v>9</v>
      </c>
      <c r="E1205">
        <v>1661.88</v>
      </c>
      <c r="F1205" s="1">
        <v>38201</v>
      </c>
      <c r="G1205" t="s">
        <v>25</v>
      </c>
      <c r="H1205">
        <v>3</v>
      </c>
      <c r="I1205">
        <v>8</v>
      </c>
      <c r="J1205">
        <v>2004</v>
      </c>
      <c r="K1205" t="s">
        <v>26</v>
      </c>
      <c r="L1205">
        <v>62</v>
      </c>
      <c r="M1205" t="s">
        <v>611</v>
      </c>
      <c r="N1205" t="s">
        <v>458</v>
      </c>
      <c r="O1205">
        <v>6175557555</v>
      </c>
      <c r="P1205" t="s">
        <v>459</v>
      </c>
      <c r="R1205" t="s">
        <v>283</v>
      </c>
      <c r="S1205" t="s">
        <v>123</v>
      </c>
      <c r="T1205">
        <v>58339</v>
      </c>
      <c r="U1205" t="s">
        <v>32</v>
      </c>
      <c r="V1205" t="s">
        <v>33</v>
      </c>
      <c r="W1205" t="s">
        <v>460</v>
      </c>
      <c r="X1205" t="s">
        <v>461</v>
      </c>
      <c r="Y1205" t="s">
        <v>36</v>
      </c>
    </row>
    <row r="1206" spans="1:25" x14ac:dyDescent="0.25">
      <c r="A1206">
        <v>10286</v>
      </c>
      <c r="B1206">
        <v>38</v>
      </c>
      <c r="C1206">
        <v>57.2</v>
      </c>
      <c r="D1206">
        <v>1</v>
      </c>
      <c r="E1206">
        <v>2173.6</v>
      </c>
      <c r="F1206" s="1">
        <v>38227</v>
      </c>
      <c r="G1206" t="s">
        <v>25</v>
      </c>
      <c r="H1206">
        <v>3</v>
      </c>
      <c r="I1206">
        <v>8</v>
      </c>
      <c r="J1206">
        <v>2004</v>
      </c>
      <c r="K1206" t="s">
        <v>26</v>
      </c>
      <c r="L1206">
        <v>62</v>
      </c>
      <c r="M1206" t="s">
        <v>611</v>
      </c>
      <c r="N1206" t="s">
        <v>403</v>
      </c>
      <c r="O1206" t="s">
        <v>404</v>
      </c>
      <c r="P1206" t="s">
        <v>405</v>
      </c>
      <c r="R1206" t="s">
        <v>48</v>
      </c>
      <c r="T1206">
        <v>75012</v>
      </c>
      <c r="U1206" t="s">
        <v>41</v>
      </c>
      <c r="V1206" t="s">
        <v>42</v>
      </c>
      <c r="W1206" t="s">
        <v>406</v>
      </c>
      <c r="X1206" t="s">
        <v>407</v>
      </c>
      <c r="Y1206" t="s">
        <v>36</v>
      </c>
    </row>
    <row r="1207" spans="1:25" x14ac:dyDescent="0.25">
      <c r="A1207">
        <v>10299</v>
      </c>
      <c r="B1207">
        <v>39</v>
      </c>
      <c r="C1207">
        <v>55.95</v>
      </c>
      <c r="D1207">
        <v>3</v>
      </c>
      <c r="E1207">
        <v>2182.0500000000002</v>
      </c>
      <c r="F1207" s="1">
        <v>38260</v>
      </c>
      <c r="G1207" t="s">
        <v>25</v>
      </c>
      <c r="H1207">
        <v>3</v>
      </c>
      <c r="I1207">
        <v>9</v>
      </c>
      <c r="J1207">
        <v>2004</v>
      </c>
      <c r="K1207" t="s">
        <v>26</v>
      </c>
      <c r="L1207">
        <v>62</v>
      </c>
      <c r="M1207" t="s">
        <v>611</v>
      </c>
      <c r="N1207" t="s">
        <v>126</v>
      </c>
      <c r="O1207" t="s">
        <v>127</v>
      </c>
      <c r="P1207" t="s">
        <v>128</v>
      </c>
      <c r="R1207" t="s">
        <v>129</v>
      </c>
      <c r="T1207">
        <v>21240</v>
      </c>
      <c r="U1207" t="s">
        <v>130</v>
      </c>
      <c r="V1207" t="s">
        <v>42</v>
      </c>
      <c r="W1207" t="s">
        <v>131</v>
      </c>
      <c r="X1207" t="s">
        <v>132</v>
      </c>
      <c r="Y1207" t="s">
        <v>36</v>
      </c>
    </row>
    <row r="1208" spans="1:25" x14ac:dyDescent="0.25">
      <c r="A1208">
        <v>10310</v>
      </c>
      <c r="B1208">
        <v>42</v>
      </c>
      <c r="C1208">
        <v>67.14</v>
      </c>
      <c r="D1208">
        <v>16</v>
      </c>
      <c r="E1208">
        <v>2819.88</v>
      </c>
      <c r="F1208" s="1">
        <v>38276</v>
      </c>
      <c r="G1208" t="s">
        <v>25</v>
      </c>
      <c r="H1208">
        <v>4</v>
      </c>
      <c r="I1208">
        <v>10</v>
      </c>
      <c r="J1208">
        <v>2004</v>
      </c>
      <c r="K1208" t="s">
        <v>26</v>
      </c>
      <c r="L1208">
        <v>62</v>
      </c>
      <c r="M1208" t="s">
        <v>611</v>
      </c>
      <c r="N1208" t="s">
        <v>439</v>
      </c>
      <c r="O1208" t="s">
        <v>440</v>
      </c>
      <c r="P1208" t="s">
        <v>441</v>
      </c>
      <c r="R1208" t="s">
        <v>442</v>
      </c>
      <c r="T1208">
        <v>50739</v>
      </c>
      <c r="U1208" t="s">
        <v>443</v>
      </c>
      <c r="V1208" t="s">
        <v>42</v>
      </c>
      <c r="W1208" t="s">
        <v>444</v>
      </c>
      <c r="X1208" t="s">
        <v>445</v>
      </c>
      <c r="Y1208" t="s">
        <v>36</v>
      </c>
    </row>
    <row r="1209" spans="1:25" x14ac:dyDescent="0.25">
      <c r="A1209">
        <v>10319</v>
      </c>
      <c r="B1209">
        <v>44</v>
      </c>
      <c r="C1209">
        <v>59.06</v>
      </c>
      <c r="D1209">
        <v>4</v>
      </c>
      <c r="E1209">
        <v>2598.64</v>
      </c>
      <c r="F1209" s="1">
        <v>38294</v>
      </c>
      <c r="G1209" t="s">
        <v>25</v>
      </c>
      <c r="H1209">
        <v>4</v>
      </c>
      <c r="I1209">
        <v>11</v>
      </c>
      <c r="J1209">
        <v>2004</v>
      </c>
      <c r="K1209" t="s">
        <v>26</v>
      </c>
      <c r="L1209">
        <v>62</v>
      </c>
      <c r="M1209" t="s">
        <v>611</v>
      </c>
      <c r="N1209" t="s">
        <v>507</v>
      </c>
      <c r="O1209">
        <v>2125551957</v>
      </c>
      <c r="P1209" t="s">
        <v>508</v>
      </c>
      <c r="Q1209" t="s">
        <v>509</v>
      </c>
      <c r="R1209" t="s">
        <v>30</v>
      </c>
      <c r="S1209" t="s">
        <v>31</v>
      </c>
      <c r="T1209">
        <v>10022</v>
      </c>
      <c r="U1209" t="s">
        <v>32</v>
      </c>
      <c r="V1209" t="s">
        <v>33</v>
      </c>
      <c r="W1209" t="s">
        <v>510</v>
      </c>
      <c r="X1209" t="s">
        <v>511</v>
      </c>
      <c r="Y1209" t="s">
        <v>36</v>
      </c>
    </row>
    <row r="1210" spans="1:25" x14ac:dyDescent="0.25">
      <c r="A1210">
        <v>10330</v>
      </c>
      <c r="B1210">
        <v>29</v>
      </c>
      <c r="C1210">
        <v>69.63</v>
      </c>
      <c r="D1210">
        <v>2</v>
      </c>
      <c r="E1210">
        <v>2019.27</v>
      </c>
      <c r="F1210" s="1">
        <v>38307</v>
      </c>
      <c r="G1210" t="s">
        <v>25</v>
      </c>
      <c r="H1210">
        <v>4</v>
      </c>
      <c r="I1210">
        <v>11</v>
      </c>
      <c r="J1210">
        <v>2004</v>
      </c>
      <c r="K1210" t="s">
        <v>26</v>
      </c>
      <c r="L1210">
        <v>62</v>
      </c>
      <c r="M1210" t="s">
        <v>611</v>
      </c>
      <c r="N1210" t="s">
        <v>425</v>
      </c>
      <c r="O1210" t="s">
        <v>426</v>
      </c>
      <c r="P1210" t="s">
        <v>427</v>
      </c>
      <c r="R1210" t="s">
        <v>428</v>
      </c>
      <c r="T1210" t="s">
        <v>429</v>
      </c>
      <c r="U1210" t="s">
        <v>430</v>
      </c>
      <c r="V1210" t="s">
        <v>200</v>
      </c>
      <c r="W1210" t="s">
        <v>431</v>
      </c>
      <c r="X1210" t="s">
        <v>432</v>
      </c>
      <c r="Y1210" t="s">
        <v>36</v>
      </c>
    </row>
    <row r="1211" spans="1:25" x14ac:dyDescent="0.25">
      <c r="A1211">
        <v>10342</v>
      </c>
      <c r="B1211">
        <v>26</v>
      </c>
      <c r="C1211">
        <v>55.95</v>
      </c>
      <c r="D1211">
        <v>8</v>
      </c>
      <c r="E1211">
        <v>1454.7</v>
      </c>
      <c r="F1211" s="1">
        <v>38315</v>
      </c>
      <c r="G1211" t="s">
        <v>25</v>
      </c>
      <c r="H1211">
        <v>4</v>
      </c>
      <c r="I1211">
        <v>11</v>
      </c>
      <c r="J1211">
        <v>2004</v>
      </c>
      <c r="K1211" t="s">
        <v>26</v>
      </c>
      <c r="L1211">
        <v>62</v>
      </c>
      <c r="M1211" t="s">
        <v>611</v>
      </c>
      <c r="N1211" t="s">
        <v>89</v>
      </c>
      <c r="O1211" t="s">
        <v>90</v>
      </c>
      <c r="P1211" t="s">
        <v>91</v>
      </c>
      <c r="Q1211" t="s">
        <v>92</v>
      </c>
      <c r="R1211" t="s">
        <v>93</v>
      </c>
      <c r="S1211" t="s">
        <v>94</v>
      </c>
      <c r="T1211">
        <v>3004</v>
      </c>
      <c r="U1211" t="s">
        <v>95</v>
      </c>
      <c r="V1211" t="s">
        <v>96</v>
      </c>
      <c r="W1211" t="s">
        <v>97</v>
      </c>
      <c r="X1211" t="s">
        <v>98</v>
      </c>
      <c r="Y1211" t="s">
        <v>36</v>
      </c>
    </row>
    <row r="1212" spans="1:25" x14ac:dyDescent="0.25">
      <c r="A1212">
        <v>10355</v>
      </c>
      <c r="B1212">
        <v>31</v>
      </c>
      <c r="C1212">
        <v>53.47</v>
      </c>
      <c r="D1212">
        <v>1</v>
      </c>
      <c r="E1212">
        <v>1657.57</v>
      </c>
      <c r="F1212" s="1">
        <v>38328</v>
      </c>
      <c r="G1212" t="s">
        <v>25</v>
      </c>
      <c r="H1212">
        <v>4</v>
      </c>
      <c r="I1212">
        <v>12</v>
      </c>
      <c r="J1212">
        <v>2004</v>
      </c>
      <c r="K1212" t="s">
        <v>26</v>
      </c>
      <c r="L1212">
        <v>62</v>
      </c>
      <c r="M1212" t="s">
        <v>611</v>
      </c>
      <c r="N1212" t="s">
        <v>174</v>
      </c>
      <c r="O1212" t="s">
        <v>175</v>
      </c>
      <c r="P1212" t="s">
        <v>176</v>
      </c>
      <c r="R1212" t="s">
        <v>177</v>
      </c>
      <c r="T1212">
        <v>28034</v>
      </c>
      <c r="U1212" t="s">
        <v>178</v>
      </c>
      <c r="V1212" t="s">
        <v>42</v>
      </c>
      <c r="W1212" t="s">
        <v>179</v>
      </c>
      <c r="X1212" t="s">
        <v>180</v>
      </c>
      <c r="Y1212" t="s">
        <v>36</v>
      </c>
    </row>
    <row r="1213" spans="1:25" x14ac:dyDescent="0.25">
      <c r="A1213">
        <v>10363</v>
      </c>
      <c r="B1213">
        <v>32</v>
      </c>
      <c r="C1213">
        <v>89.12</v>
      </c>
      <c r="D1213">
        <v>12</v>
      </c>
      <c r="E1213">
        <v>2851.84</v>
      </c>
      <c r="F1213" s="1">
        <v>38358</v>
      </c>
      <c r="G1213" t="s">
        <v>25</v>
      </c>
      <c r="H1213">
        <v>1</v>
      </c>
      <c r="I1213">
        <v>1</v>
      </c>
      <c r="J1213">
        <v>2005</v>
      </c>
      <c r="K1213" t="s">
        <v>26</v>
      </c>
      <c r="L1213">
        <v>62</v>
      </c>
      <c r="M1213" t="s">
        <v>611</v>
      </c>
      <c r="N1213" t="s">
        <v>467</v>
      </c>
      <c r="O1213" t="s">
        <v>468</v>
      </c>
      <c r="P1213" t="s">
        <v>469</v>
      </c>
      <c r="R1213" t="s">
        <v>470</v>
      </c>
      <c r="T1213" t="s">
        <v>471</v>
      </c>
      <c r="U1213" t="s">
        <v>130</v>
      </c>
      <c r="V1213" t="s">
        <v>42</v>
      </c>
      <c r="W1213" t="s">
        <v>472</v>
      </c>
      <c r="X1213" t="s">
        <v>473</v>
      </c>
      <c r="Y1213" t="s">
        <v>36</v>
      </c>
    </row>
    <row r="1214" spans="1:25" x14ac:dyDescent="0.25">
      <c r="A1214">
        <v>10378</v>
      </c>
      <c r="B1214">
        <v>28</v>
      </c>
      <c r="C1214">
        <v>100</v>
      </c>
      <c r="D1214">
        <v>9</v>
      </c>
      <c r="E1214">
        <v>4609.6400000000003</v>
      </c>
      <c r="F1214" s="1">
        <v>38393</v>
      </c>
      <c r="G1214" t="s">
        <v>25</v>
      </c>
      <c r="H1214">
        <v>1</v>
      </c>
      <c r="I1214">
        <v>2</v>
      </c>
      <c r="J1214">
        <v>2005</v>
      </c>
      <c r="K1214" t="s">
        <v>26</v>
      </c>
      <c r="L1214">
        <v>62</v>
      </c>
      <c r="M1214" t="s">
        <v>611</v>
      </c>
      <c r="N1214" t="s">
        <v>174</v>
      </c>
      <c r="O1214" t="s">
        <v>175</v>
      </c>
      <c r="P1214" t="s">
        <v>176</v>
      </c>
      <c r="R1214" t="s">
        <v>177</v>
      </c>
      <c r="T1214">
        <v>28034</v>
      </c>
      <c r="U1214" t="s">
        <v>178</v>
      </c>
      <c r="V1214" t="s">
        <v>42</v>
      </c>
      <c r="W1214" t="s">
        <v>179</v>
      </c>
      <c r="X1214" t="s">
        <v>180</v>
      </c>
      <c r="Y1214" t="s">
        <v>51</v>
      </c>
    </row>
    <row r="1215" spans="1:25" x14ac:dyDescent="0.25">
      <c r="A1215">
        <v>10390</v>
      </c>
      <c r="B1215">
        <v>36</v>
      </c>
      <c r="C1215">
        <v>100</v>
      </c>
      <c r="D1215">
        <v>2</v>
      </c>
      <c r="E1215">
        <v>5079.96</v>
      </c>
      <c r="F1215" s="1">
        <v>38415</v>
      </c>
      <c r="G1215" t="s">
        <v>25</v>
      </c>
      <c r="H1215">
        <v>1</v>
      </c>
      <c r="I1215">
        <v>3</v>
      </c>
      <c r="J1215">
        <v>2005</v>
      </c>
      <c r="K1215" t="s">
        <v>26</v>
      </c>
      <c r="L1215">
        <v>62</v>
      </c>
      <c r="M1215" t="s">
        <v>611</v>
      </c>
      <c r="N1215" t="s">
        <v>272</v>
      </c>
      <c r="O1215">
        <v>4155551450</v>
      </c>
      <c r="P1215" t="s">
        <v>273</v>
      </c>
      <c r="R1215" t="s">
        <v>274</v>
      </c>
      <c r="S1215" t="s">
        <v>55</v>
      </c>
      <c r="T1215">
        <v>97562</v>
      </c>
      <c r="U1215" t="s">
        <v>32</v>
      </c>
      <c r="V1215" t="s">
        <v>33</v>
      </c>
      <c r="W1215" t="s">
        <v>275</v>
      </c>
      <c r="X1215" t="s">
        <v>276</v>
      </c>
      <c r="Y1215" t="s">
        <v>51</v>
      </c>
    </row>
    <row r="1216" spans="1:25" x14ac:dyDescent="0.25">
      <c r="A1216">
        <v>10403</v>
      </c>
      <c r="B1216">
        <v>36</v>
      </c>
      <c r="C1216">
        <v>52.22</v>
      </c>
      <c r="D1216">
        <v>1</v>
      </c>
      <c r="E1216">
        <v>1879.92</v>
      </c>
      <c r="F1216" s="1">
        <v>38450</v>
      </c>
      <c r="G1216" t="s">
        <v>25</v>
      </c>
      <c r="H1216">
        <v>2</v>
      </c>
      <c r="I1216">
        <v>4</v>
      </c>
      <c r="J1216">
        <v>2005</v>
      </c>
      <c r="K1216" t="s">
        <v>26</v>
      </c>
      <c r="L1216">
        <v>62</v>
      </c>
      <c r="M1216" t="s">
        <v>611</v>
      </c>
      <c r="N1216" t="s">
        <v>165</v>
      </c>
      <c r="O1216" t="s">
        <v>166</v>
      </c>
      <c r="P1216" t="s">
        <v>167</v>
      </c>
      <c r="R1216" t="s">
        <v>168</v>
      </c>
      <c r="T1216" t="s">
        <v>169</v>
      </c>
      <c r="U1216" t="s">
        <v>170</v>
      </c>
      <c r="V1216" t="s">
        <v>42</v>
      </c>
      <c r="W1216" t="s">
        <v>171</v>
      </c>
      <c r="X1216" t="s">
        <v>172</v>
      </c>
      <c r="Y1216" t="s">
        <v>36</v>
      </c>
    </row>
    <row r="1217" spans="1:25" x14ac:dyDescent="0.25">
      <c r="A1217">
        <v>10106</v>
      </c>
      <c r="B1217">
        <v>41</v>
      </c>
      <c r="C1217">
        <v>100</v>
      </c>
      <c r="D1217">
        <v>17</v>
      </c>
      <c r="E1217">
        <v>4774.8599999999997</v>
      </c>
      <c r="F1217" s="1">
        <v>37669</v>
      </c>
      <c r="G1217" t="s">
        <v>25</v>
      </c>
      <c r="H1217">
        <v>1</v>
      </c>
      <c r="I1217">
        <v>2</v>
      </c>
      <c r="J1217">
        <v>2003</v>
      </c>
      <c r="K1217" t="s">
        <v>550</v>
      </c>
      <c r="L1217">
        <v>105</v>
      </c>
      <c r="M1217" t="s">
        <v>612</v>
      </c>
      <c r="N1217" t="s">
        <v>552</v>
      </c>
      <c r="O1217" t="s">
        <v>553</v>
      </c>
      <c r="P1217" t="s">
        <v>554</v>
      </c>
      <c r="R1217" t="s">
        <v>555</v>
      </c>
      <c r="T1217">
        <v>24100</v>
      </c>
      <c r="U1217" t="s">
        <v>258</v>
      </c>
      <c r="V1217" t="s">
        <v>42</v>
      </c>
      <c r="W1217" t="s">
        <v>556</v>
      </c>
      <c r="X1217" t="s">
        <v>557</v>
      </c>
      <c r="Y1217" t="s">
        <v>51</v>
      </c>
    </row>
    <row r="1218" spans="1:25" x14ac:dyDescent="0.25">
      <c r="A1218">
        <v>10119</v>
      </c>
      <c r="B1218">
        <v>27</v>
      </c>
      <c r="C1218">
        <v>99.52</v>
      </c>
      <c r="D1218">
        <v>8</v>
      </c>
      <c r="E1218">
        <v>2687.04</v>
      </c>
      <c r="F1218" s="1">
        <v>37739</v>
      </c>
      <c r="G1218" t="s">
        <v>25</v>
      </c>
      <c r="H1218">
        <v>2</v>
      </c>
      <c r="I1218">
        <v>4</v>
      </c>
      <c r="J1218">
        <v>2003</v>
      </c>
      <c r="K1218" t="s">
        <v>550</v>
      </c>
      <c r="L1218">
        <v>105</v>
      </c>
      <c r="M1218" t="s">
        <v>612</v>
      </c>
      <c r="N1218" t="s">
        <v>144</v>
      </c>
      <c r="O1218" t="s">
        <v>145</v>
      </c>
      <c r="P1218" t="s">
        <v>146</v>
      </c>
      <c r="R1218" t="s">
        <v>147</v>
      </c>
      <c r="T1218">
        <v>5020</v>
      </c>
      <c r="U1218" t="s">
        <v>148</v>
      </c>
      <c r="V1218" t="s">
        <v>42</v>
      </c>
      <c r="W1218" t="s">
        <v>149</v>
      </c>
      <c r="X1218" t="s">
        <v>150</v>
      </c>
      <c r="Y1218" t="s">
        <v>36</v>
      </c>
    </row>
    <row r="1219" spans="1:25" x14ac:dyDescent="0.25">
      <c r="A1219">
        <v>10130</v>
      </c>
      <c r="B1219">
        <v>33</v>
      </c>
      <c r="C1219">
        <v>100</v>
      </c>
      <c r="D1219">
        <v>1</v>
      </c>
      <c r="E1219">
        <v>3423.75</v>
      </c>
      <c r="F1219" s="1">
        <v>37788</v>
      </c>
      <c r="G1219" t="s">
        <v>25</v>
      </c>
      <c r="H1219">
        <v>2</v>
      </c>
      <c r="I1219">
        <v>6</v>
      </c>
      <c r="J1219">
        <v>2003</v>
      </c>
      <c r="K1219" t="s">
        <v>550</v>
      </c>
      <c r="L1219">
        <v>105</v>
      </c>
      <c r="M1219" t="s">
        <v>612</v>
      </c>
      <c r="N1219" t="s">
        <v>600</v>
      </c>
      <c r="O1219">
        <v>6175558428</v>
      </c>
      <c r="P1219" t="s">
        <v>601</v>
      </c>
      <c r="R1219" t="s">
        <v>283</v>
      </c>
      <c r="S1219" t="s">
        <v>123</v>
      </c>
      <c r="T1219">
        <v>58339</v>
      </c>
      <c r="U1219" t="s">
        <v>32</v>
      </c>
      <c r="V1219" t="s">
        <v>33</v>
      </c>
      <c r="W1219" t="s">
        <v>529</v>
      </c>
      <c r="X1219" t="s">
        <v>245</v>
      </c>
      <c r="Y1219" t="s">
        <v>51</v>
      </c>
    </row>
    <row r="1220" spans="1:25" x14ac:dyDescent="0.25">
      <c r="A1220">
        <v>10143</v>
      </c>
      <c r="B1220">
        <v>34</v>
      </c>
      <c r="C1220">
        <v>100</v>
      </c>
      <c r="D1220">
        <v>12</v>
      </c>
      <c r="E1220">
        <v>3455.76</v>
      </c>
      <c r="F1220" s="1">
        <v>37843</v>
      </c>
      <c r="G1220" t="s">
        <v>25</v>
      </c>
      <c r="H1220">
        <v>3</v>
      </c>
      <c r="I1220">
        <v>8</v>
      </c>
      <c r="J1220">
        <v>2003</v>
      </c>
      <c r="K1220" t="s">
        <v>550</v>
      </c>
      <c r="L1220">
        <v>105</v>
      </c>
      <c r="M1220" t="s">
        <v>612</v>
      </c>
      <c r="N1220" t="s">
        <v>335</v>
      </c>
      <c r="O1220">
        <v>5085559555</v>
      </c>
      <c r="P1220" t="s">
        <v>336</v>
      </c>
      <c r="R1220" t="s">
        <v>162</v>
      </c>
      <c r="S1220" t="s">
        <v>123</v>
      </c>
      <c r="T1220">
        <v>50553</v>
      </c>
      <c r="U1220" t="s">
        <v>32</v>
      </c>
      <c r="V1220" t="s">
        <v>33</v>
      </c>
      <c r="W1220" t="s">
        <v>337</v>
      </c>
      <c r="X1220" t="s">
        <v>338</v>
      </c>
      <c r="Y1220" t="s">
        <v>51</v>
      </c>
    </row>
    <row r="1221" spans="1:25" x14ac:dyDescent="0.25">
      <c r="A1221">
        <v>10155</v>
      </c>
      <c r="B1221">
        <v>29</v>
      </c>
      <c r="C1221">
        <v>100</v>
      </c>
      <c r="D1221">
        <v>10</v>
      </c>
      <c r="E1221">
        <v>3622.97</v>
      </c>
      <c r="F1221" s="1">
        <v>37900</v>
      </c>
      <c r="G1221" t="s">
        <v>25</v>
      </c>
      <c r="H1221">
        <v>4</v>
      </c>
      <c r="I1221">
        <v>10</v>
      </c>
      <c r="J1221">
        <v>2003</v>
      </c>
      <c r="K1221" t="s">
        <v>550</v>
      </c>
      <c r="L1221">
        <v>105</v>
      </c>
      <c r="M1221" t="s">
        <v>612</v>
      </c>
      <c r="N1221" t="s">
        <v>126</v>
      </c>
      <c r="O1221" t="s">
        <v>127</v>
      </c>
      <c r="P1221" t="s">
        <v>128</v>
      </c>
      <c r="R1221" t="s">
        <v>129</v>
      </c>
      <c r="T1221">
        <v>21240</v>
      </c>
      <c r="U1221" t="s">
        <v>130</v>
      </c>
      <c r="V1221" t="s">
        <v>42</v>
      </c>
      <c r="W1221" t="s">
        <v>131</v>
      </c>
      <c r="X1221" t="s">
        <v>132</v>
      </c>
      <c r="Y1221" t="s">
        <v>51</v>
      </c>
    </row>
    <row r="1222" spans="1:25" x14ac:dyDescent="0.25">
      <c r="A1222">
        <v>10167</v>
      </c>
      <c r="B1222">
        <v>34</v>
      </c>
      <c r="C1222">
        <v>100</v>
      </c>
      <c r="D1222">
        <v>6</v>
      </c>
      <c r="E1222">
        <v>3599.58</v>
      </c>
      <c r="F1222" s="1">
        <v>37917</v>
      </c>
      <c r="G1222" t="s">
        <v>339</v>
      </c>
      <c r="H1222">
        <v>4</v>
      </c>
      <c r="I1222">
        <v>10</v>
      </c>
      <c r="J1222">
        <v>2003</v>
      </c>
      <c r="K1222" t="s">
        <v>550</v>
      </c>
      <c r="L1222">
        <v>105</v>
      </c>
      <c r="M1222" t="s">
        <v>612</v>
      </c>
      <c r="N1222" t="s">
        <v>261</v>
      </c>
      <c r="O1222" t="s">
        <v>262</v>
      </c>
      <c r="P1222" t="s">
        <v>263</v>
      </c>
      <c r="R1222" t="s">
        <v>264</v>
      </c>
      <c r="T1222" t="s">
        <v>265</v>
      </c>
      <c r="U1222" t="s">
        <v>188</v>
      </c>
      <c r="V1222" t="s">
        <v>42</v>
      </c>
      <c r="W1222" t="s">
        <v>266</v>
      </c>
      <c r="X1222" t="s">
        <v>206</v>
      </c>
      <c r="Y1222" t="s">
        <v>51</v>
      </c>
    </row>
    <row r="1223" spans="1:25" x14ac:dyDescent="0.25">
      <c r="A1223">
        <v>10178</v>
      </c>
      <c r="B1223">
        <v>48</v>
      </c>
      <c r="C1223">
        <v>100</v>
      </c>
      <c r="D1223">
        <v>9</v>
      </c>
      <c r="E1223">
        <v>5386.56</v>
      </c>
      <c r="F1223" s="1">
        <v>37933</v>
      </c>
      <c r="G1223" t="s">
        <v>25</v>
      </c>
      <c r="H1223">
        <v>4</v>
      </c>
      <c r="I1223">
        <v>11</v>
      </c>
      <c r="J1223">
        <v>2003</v>
      </c>
      <c r="K1223" t="s">
        <v>550</v>
      </c>
      <c r="L1223">
        <v>105</v>
      </c>
      <c r="M1223" t="s">
        <v>612</v>
      </c>
      <c r="N1223" t="s">
        <v>340</v>
      </c>
      <c r="O1223" t="s">
        <v>341</v>
      </c>
      <c r="P1223" t="s">
        <v>342</v>
      </c>
      <c r="R1223" t="s">
        <v>343</v>
      </c>
      <c r="T1223">
        <v>31000</v>
      </c>
      <c r="U1223" t="s">
        <v>41</v>
      </c>
      <c r="V1223" t="s">
        <v>42</v>
      </c>
      <c r="W1223" t="s">
        <v>344</v>
      </c>
      <c r="X1223" t="s">
        <v>345</v>
      </c>
      <c r="Y1223" t="s">
        <v>51</v>
      </c>
    </row>
    <row r="1224" spans="1:25" x14ac:dyDescent="0.25">
      <c r="A1224">
        <v>10186</v>
      </c>
      <c r="B1224">
        <v>46</v>
      </c>
      <c r="C1224">
        <v>100</v>
      </c>
      <c r="D1224">
        <v>6</v>
      </c>
      <c r="E1224">
        <v>4918.78</v>
      </c>
      <c r="F1224" s="1">
        <v>37939</v>
      </c>
      <c r="G1224" t="s">
        <v>25</v>
      </c>
      <c r="H1224">
        <v>4</v>
      </c>
      <c r="I1224">
        <v>11</v>
      </c>
      <c r="J1224">
        <v>2003</v>
      </c>
      <c r="K1224" t="s">
        <v>550</v>
      </c>
      <c r="L1224">
        <v>105</v>
      </c>
      <c r="M1224" t="s">
        <v>612</v>
      </c>
      <c r="N1224" t="s">
        <v>346</v>
      </c>
      <c r="O1224" t="s">
        <v>347</v>
      </c>
      <c r="P1224" t="s">
        <v>348</v>
      </c>
      <c r="R1224" t="s">
        <v>332</v>
      </c>
      <c r="T1224" t="s">
        <v>349</v>
      </c>
      <c r="U1224" t="s">
        <v>170</v>
      </c>
      <c r="V1224" t="s">
        <v>42</v>
      </c>
      <c r="W1224" t="s">
        <v>350</v>
      </c>
      <c r="X1224" t="s">
        <v>351</v>
      </c>
      <c r="Y1224" t="s">
        <v>51</v>
      </c>
    </row>
    <row r="1225" spans="1:25" x14ac:dyDescent="0.25">
      <c r="A1225">
        <v>10197</v>
      </c>
      <c r="B1225">
        <v>22</v>
      </c>
      <c r="C1225">
        <v>100</v>
      </c>
      <c r="D1225">
        <v>3</v>
      </c>
      <c r="E1225">
        <v>2538.8000000000002</v>
      </c>
      <c r="F1225" s="1">
        <v>37951</v>
      </c>
      <c r="G1225" t="s">
        <v>25</v>
      </c>
      <c r="H1225">
        <v>4</v>
      </c>
      <c r="I1225">
        <v>11</v>
      </c>
      <c r="J1225">
        <v>2003</v>
      </c>
      <c r="K1225" t="s">
        <v>550</v>
      </c>
      <c r="L1225">
        <v>105</v>
      </c>
      <c r="M1225" t="s">
        <v>612</v>
      </c>
      <c r="N1225" t="s">
        <v>352</v>
      </c>
      <c r="O1225" t="s">
        <v>353</v>
      </c>
      <c r="P1225" t="s">
        <v>354</v>
      </c>
      <c r="R1225" t="s">
        <v>355</v>
      </c>
      <c r="T1225">
        <v>8022</v>
      </c>
      <c r="U1225" t="s">
        <v>178</v>
      </c>
      <c r="V1225" t="s">
        <v>42</v>
      </c>
      <c r="W1225" t="s">
        <v>356</v>
      </c>
      <c r="X1225" t="s">
        <v>357</v>
      </c>
      <c r="Y1225" t="s">
        <v>36</v>
      </c>
    </row>
    <row r="1226" spans="1:25" x14ac:dyDescent="0.25">
      <c r="A1226">
        <v>10209</v>
      </c>
      <c r="B1226">
        <v>20</v>
      </c>
      <c r="C1226">
        <v>100</v>
      </c>
      <c r="D1226">
        <v>5</v>
      </c>
      <c r="E1226">
        <v>2498.6</v>
      </c>
      <c r="F1226" s="1">
        <v>37995</v>
      </c>
      <c r="G1226" t="s">
        <v>25</v>
      </c>
      <c r="H1226">
        <v>1</v>
      </c>
      <c r="I1226">
        <v>1</v>
      </c>
      <c r="J1226">
        <v>2004</v>
      </c>
      <c r="K1226" t="s">
        <v>550</v>
      </c>
      <c r="L1226">
        <v>105</v>
      </c>
      <c r="M1226" t="s">
        <v>612</v>
      </c>
      <c r="N1226" t="s">
        <v>358</v>
      </c>
      <c r="O1226">
        <v>2155554369</v>
      </c>
      <c r="P1226" t="s">
        <v>359</v>
      </c>
      <c r="R1226" t="s">
        <v>360</v>
      </c>
      <c r="S1226" t="s">
        <v>55</v>
      </c>
      <c r="U1226" t="s">
        <v>32</v>
      </c>
      <c r="V1226" t="s">
        <v>33</v>
      </c>
      <c r="W1226" t="s">
        <v>361</v>
      </c>
      <c r="X1226" t="s">
        <v>103</v>
      </c>
      <c r="Y1226" t="s">
        <v>36</v>
      </c>
    </row>
    <row r="1227" spans="1:25" x14ac:dyDescent="0.25">
      <c r="A1227">
        <v>10222</v>
      </c>
      <c r="B1227">
        <v>45</v>
      </c>
      <c r="C1227">
        <v>85.75</v>
      </c>
      <c r="D1227">
        <v>9</v>
      </c>
      <c r="E1227">
        <v>3858.75</v>
      </c>
      <c r="F1227" s="1">
        <v>38036</v>
      </c>
      <c r="G1227" t="s">
        <v>25</v>
      </c>
      <c r="H1227">
        <v>1</v>
      </c>
      <c r="I1227">
        <v>2</v>
      </c>
      <c r="J1227">
        <v>2004</v>
      </c>
      <c r="K1227" t="s">
        <v>550</v>
      </c>
      <c r="L1227">
        <v>105</v>
      </c>
      <c r="M1227" t="s">
        <v>612</v>
      </c>
      <c r="N1227" t="s">
        <v>362</v>
      </c>
      <c r="O1227">
        <v>7605558146</v>
      </c>
      <c r="P1227" t="s">
        <v>363</v>
      </c>
      <c r="R1227" t="s">
        <v>364</v>
      </c>
      <c r="S1227" t="s">
        <v>55</v>
      </c>
      <c r="T1227">
        <v>91217</v>
      </c>
      <c r="U1227" t="s">
        <v>32</v>
      </c>
      <c r="V1227" t="s">
        <v>33</v>
      </c>
      <c r="W1227" t="s">
        <v>237</v>
      </c>
      <c r="X1227" t="s">
        <v>276</v>
      </c>
      <c r="Y1227" t="s">
        <v>51</v>
      </c>
    </row>
    <row r="1228" spans="1:25" x14ac:dyDescent="0.25">
      <c r="A1228">
        <v>10249</v>
      </c>
      <c r="B1228">
        <v>46</v>
      </c>
      <c r="C1228">
        <v>100</v>
      </c>
      <c r="D1228">
        <v>5</v>
      </c>
      <c r="E1228">
        <v>5600.5</v>
      </c>
      <c r="F1228" s="1">
        <v>38115</v>
      </c>
      <c r="G1228" t="s">
        <v>25</v>
      </c>
      <c r="H1228">
        <v>2</v>
      </c>
      <c r="I1228">
        <v>5</v>
      </c>
      <c r="J1228">
        <v>2004</v>
      </c>
      <c r="K1228" t="s">
        <v>550</v>
      </c>
      <c r="L1228">
        <v>105</v>
      </c>
      <c r="M1228" t="s">
        <v>612</v>
      </c>
      <c r="N1228" t="s">
        <v>239</v>
      </c>
      <c r="O1228">
        <v>6175555555</v>
      </c>
      <c r="P1228" t="s">
        <v>240</v>
      </c>
      <c r="R1228" t="s">
        <v>122</v>
      </c>
      <c r="S1228" t="s">
        <v>123</v>
      </c>
      <c r="T1228">
        <v>51247</v>
      </c>
      <c r="U1228" t="s">
        <v>32</v>
      </c>
      <c r="V1228" t="s">
        <v>33</v>
      </c>
      <c r="W1228" t="s">
        <v>241</v>
      </c>
      <c r="X1228" t="s">
        <v>143</v>
      </c>
      <c r="Y1228" t="s">
        <v>51</v>
      </c>
    </row>
    <row r="1229" spans="1:25" x14ac:dyDescent="0.25">
      <c r="A1229">
        <v>10262</v>
      </c>
      <c r="B1229">
        <v>34</v>
      </c>
      <c r="C1229">
        <v>100</v>
      </c>
      <c r="D1229">
        <v>14</v>
      </c>
      <c r="E1229">
        <v>4103.46</v>
      </c>
      <c r="F1229" s="1">
        <v>38162</v>
      </c>
      <c r="G1229" t="s">
        <v>339</v>
      </c>
      <c r="H1229">
        <v>2</v>
      </c>
      <c r="I1229">
        <v>6</v>
      </c>
      <c r="J1229">
        <v>2004</v>
      </c>
      <c r="K1229" t="s">
        <v>550</v>
      </c>
      <c r="L1229">
        <v>105</v>
      </c>
      <c r="M1229" t="s">
        <v>612</v>
      </c>
      <c r="N1229" t="s">
        <v>174</v>
      </c>
      <c r="O1229" t="s">
        <v>175</v>
      </c>
      <c r="P1229" t="s">
        <v>176</v>
      </c>
      <c r="R1229" t="s">
        <v>177</v>
      </c>
      <c r="T1229">
        <v>28034</v>
      </c>
      <c r="U1229" t="s">
        <v>178</v>
      </c>
      <c r="V1229" t="s">
        <v>42</v>
      </c>
      <c r="W1229" t="s">
        <v>179</v>
      </c>
      <c r="X1229" t="s">
        <v>180</v>
      </c>
      <c r="Y1229" t="s">
        <v>51</v>
      </c>
    </row>
    <row r="1230" spans="1:25" x14ac:dyDescent="0.25">
      <c r="A1230">
        <v>10273</v>
      </c>
      <c r="B1230">
        <v>50</v>
      </c>
      <c r="C1230">
        <v>85.75</v>
      </c>
      <c r="D1230">
        <v>1</v>
      </c>
      <c r="E1230">
        <v>4287.5</v>
      </c>
      <c r="F1230" s="1">
        <v>38189</v>
      </c>
      <c r="G1230" t="s">
        <v>25</v>
      </c>
      <c r="H1230">
        <v>3</v>
      </c>
      <c r="I1230">
        <v>7</v>
      </c>
      <c r="J1230">
        <v>2004</v>
      </c>
      <c r="K1230" t="s">
        <v>550</v>
      </c>
      <c r="L1230">
        <v>105</v>
      </c>
      <c r="M1230" t="s">
        <v>612</v>
      </c>
      <c r="N1230" t="s">
        <v>365</v>
      </c>
      <c r="O1230" t="s">
        <v>366</v>
      </c>
      <c r="P1230" t="s">
        <v>367</v>
      </c>
      <c r="R1230" t="s">
        <v>368</v>
      </c>
      <c r="T1230" t="s">
        <v>369</v>
      </c>
      <c r="U1230" t="s">
        <v>370</v>
      </c>
      <c r="V1230" t="s">
        <v>42</v>
      </c>
      <c r="W1230" t="s">
        <v>371</v>
      </c>
      <c r="X1230" t="s">
        <v>372</v>
      </c>
      <c r="Y1230" t="s">
        <v>51</v>
      </c>
    </row>
    <row r="1231" spans="1:25" x14ac:dyDescent="0.25">
      <c r="A1231">
        <v>10283</v>
      </c>
      <c r="B1231">
        <v>46</v>
      </c>
      <c r="C1231">
        <v>100</v>
      </c>
      <c r="D1231">
        <v>3</v>
      </c>
      <c r="E1231">
        <v>5795.54</v>
      </c>
      <c r="F1231" s="1">
        <v>38219</v>
      </c>
      <c r="G1231" t="s">
        <v>25</v>
      </c>
      <c r="H1231">
        <v>3</v>
      </c>
      <c r="I1231">
        <v>8</v>
      </c>
      <c r="J1231">
        <v>2004</v>
      </c>
      <c r="K1231" t="s">
        <v>550</v>
      </c>
      <c r="L1231">
        <v>105</v>
      </c>
      <c r="M1231" t="s">
        <v>612</v>
      </c>
      <c r="N1231" t="s">
        <v>373</v>
      </c>
      <c r="O1231" t="s">
        <v>374</v>
      </c>
      <c r="P1231" t="s">
        <v>375</v>
      </c>
      <c r="R1231" t="s">
        <v>376</v>
      </c>
      <c r="S1231" t="s">
        <v>229</v>
      </c>
      <c r="T1231" t="s">
        <v>377</v>
      </c>
      <c r="U1231" t="s">
        <v>231</v>
      </c>
      <c r="V1231" t="s">
        <v>33</v>
      </c>
      <c r="W1231" t="s">
        <v>378</v>
      </c>
      <c r="X1231" t="s">
        <v>172</v>
      </c>
      <c r="Y1231" t="s">
        <v>51</v>
      </c>
    </row>
    <row r="1232" spans="1:25" x14ac:dyDescent="0.25">
      <c r="A1232">
        <v>10296</v>
      </c>
      <c r="B1232">
        <v>22</v>
      </c>
      <c r="C1232">
        <v>84.7</v>
      </c>
      <c r="D1232">
        <v>12</v>
      </c>
      <c r="E1232">
        <v>1863.4</v>
      </c>
      <c r="F1232" s="1">
        <v>38245</v>
      </c>
      <c r="G1232" t="s">
        <v>25</v>
      </c>
      <c r="H1232">
        <v>3</v>
      </c>
      <c r="I1232">
        <v>9</v>
      </c>
      <c r="J1232">
        <v>2004</v>
      </c>
      <c r="K1232" t="s">
        <v>550</v>
      </c>
      <c r="L1232">
        <v>105</v>
      </c>
      <c r="M1232" t="s">
        <v>612</v>
      </c>
      <c r="N1232" t="s">
        <v>572</v>
      </c>
      <c r="O1232" t="s">
        <v>573</v>
      </c>
      <c r="P1232" t="s">
        <v>574</v>
      </c>
      <c r="R1232" t="s">
        <v>575</v>
      </c>
      <c r="T1232">
        <v>80686</v>
      </c>
      <c r="U1232" t="s">
        <v>443</v>
      </c>
      <c r="V1232" t="s">
        <v>42</v>
      </c>
      <c r="W1232" t="s">
        <v>576</v>
      </c>
      <c r="X1232" t="s">
        <v>103</v>
      </c>
      <c r="Y1232" t="s">
        <v>36</v>
      </c>
    </row>
    <row r="1233" spans="1:25" x14ac:dyDescent="0.25">
      <c r="A1233">
        <v>10307</v>
      </c>
      <c r="B1233">
        <v>48</v>
      </c>
      <c r="C1233">
        <v>86.81</v>
      </c>
      <c r="D1233">
        <v>6</v>
      </c>
      <c r="E1233">
        <v>4166.88</v>
      </c>
      <c r="F1233" s="1">
        <v>38274</v>
      </c>
      <c r="G1233" t="s">
        <v>25</v>
      </c>
      <c r="H1233">
        <v>4</v>
      </c>
      <c r="I1233">
        <v>10</v>
      </c>
      <c r="J1233">
        <v>2004</v>
      </c>
      <c r="K1233" t="s">
        <v>550</v>
      </c>
      <c r="L1233">
        <v>105</v>
      </c>
      <c r="M1233" t="s">
        <v>612</v>
      </c>
      <c r="N1233" t="s">
        <v>214</v>
      </c>
      <c r="O1233">
        <v>2155554695</v>
      </c>
      <c r="P1233" t="s">
        <v>215</v>
      </c>
      <c r="R1233" t="s">
        <v>216</v>
      </c>
      <c r="S1233" t="s">
        <v>142</v>
      </c>
      <c r="T1233">
        <v>71270</v>
      </c>
      <c r="U1233" t="s">
        <v>32</v>
      </c>
      <c r="V1233" t="s">
        <v>33</v>
      </c>
      <c r="W1233" t="s">
        <v>217</v>
      </c>
      <c r="X1233" t="s">
        <v>218</v>
      </c>
      <c r="Y1233" t="s">
        <v>51</v>
      </c>
    </row>
    <row r="1234" spans="1:25" x14ac:dyDescent="0.25">
      <c r="A1234">
        <v>10316</v>
      </c>
      <c r="B1234">
        <v>47</v>
      </c>
      <c r="C1234">
        <v>86.81</v>
      </c>
      <c r="D1234">
        <v>14</v>
      </c>
      <c r="E1234">
        <v>4080.07</v>
      </c>
      <c r="F1234" s="1">
        <v>38292</v>
      </c>
      <c r="G1234" t="s">
        <v>25</v>
      </c>
      <c r="H1234">
        <v>4</v>
      </c>
      <c r="I1234">
        <v>11</v>
      </c>
      <c r="J1234">
        <v>2004</v>
      </c>
      <c r="K1234" t="s">
        <v>550</v>
      </c>
      <c r="L1234">
        <v>105</v>
      </c>
      <c r="M1234" t="s">
        <v>612</v>
      </c>
      <c r="N1234" t="s">
        <v>383</v>
      </c>
      <c r="O1234" t="s">
        <v>384</v>
      </c>
      <c r="P1234" t="s">
        <v>385</v>
      </c>
      <c r="R1234" t="s">
        <v>386</v>
      </c>
      <c r="S1234" t="s">
        <v>387</v>
      </c>
      <c r="T1234" t="s">
        <v>388</v>
      </c>
      <c r="U1234" t="s">
        <v>170</v>
      </c>
      <c r="V1234" t="s">
        <v>42</v>
      </c>
      <c r="W1234" t="s">
        <v>389</v>
      </c>
      <c r="X1234" t="s">
        <v>390</v>
      </c>
      <c r="Y1234" t="s">
        <v>51</v>
      </c>
    </row>
    <row r="1235" spans="1:25" x14ac:dyDescent="0.25">
      <c r="A1235">
        <v>10328</v>
      </c>
      <c r="B1235">
        <v>34</v>
      </c>
      <c r="C1235">
        <v>100</v>
      </c>
      <c r="D1235">
        <v>6</v>
      </c>
      <c r="E1235">
        <v>3815.48</v>
      </c>
      <c r="F1235" s="1">
        <v>38303</v>
      </c>
      <c r="G1235" t="s">
        <v>25</v>
      </c>
      <c r="H1235">
        <v>4</v>
      </c>
      <c r="I1235">
        <v>11</v>
      </c>
      <c r="J1235">
        <v>2004</v>
      </c>
      <c r="K1235" t="s">
        <v>550</v>
      </c>
      <c r="L1235">
        <v>105</v>
      </c>
      <c r="M1235" t="s">
        <v>612</v>
      </c>
      <c r="N1235" t="s">
        <v>552</v>
      </c>
      <c r="O1235" t="s">
        <v>553</v>
      </c>
      <c r="P1235" t="s">
        <v>554</v>
      </c>
      <c r="R1235" t="s">
        <v>555</v>
      </c>
      <c r="T1235">
        <v>24100</v>
      </c>
      <c r="U1235" t="s">
        <v>258</v>
      </c>
      <c r="V1235" t="s">
        <v>42</v>
      </c>
      <c r="W1235" t="s">
        <v>556</v>
      </c>
      <c r="X1235" t="s">
        <v>557</v>
      </c>
      <c r="Y1235" t="s">
        <v>51</v>
      </c>
    </row>
    <row r="1236" spans="1:25" x14ac:dyDescent="0.25">
      <c r="A1236">
        <v>10338</v>
      </c>
      <c r="B1236">
        <v>45</v>
      </c>
      <c r="C1236">
        <v>100</v>
      </c>
      <c r="D1236">
        <v>2</v>
      </c>
      <c r="E1236">
        <v>5526.45</v>
      </c>
      <c r="F1236" s="1">
        <v>38313</v>
      </c>
      <c r="G1236" t="s">
        <v>25</v>
      </c>
      <c r="H1236">
        <v>4</v>
      </c>
      <c r="I1236">
        <v>11</v>
      </c>
      <c r="J1236">
        <v>2004</v>
      </c>
      <c r="K1236" t="s">
        <v>550</v>
      </c>
      <c r="L1236">
        <v>105</v>
      </c>
      <c r="M1236" t="s">
        <v>612</v>
      </c>
      <c r="N1236" t="s">
        <v>577</v>
      </c>
      <c r="O1236" t="s">
        <v>578</v>
      </c>
      <c r="P1236" t="s">
        <v>579</v>
      </c>
      <c r="R1236" t="s">
        <v>580</v>
      </c>
      <c r="T1236" t="s">
        <v>581</v>
      </c>
      <c r="U1236" t="s">
        <v>370</v>
      </c>
      <c r="V1236" t="s">
        <v>42</v>
      </c>
      <c r="W1236" t="s">
        <v>582</v>
      </c>
      <c r="X1236" t="s">
        <v>583</v>
      </c>
      <c r="Y1236" t="s">
        <v>51</v>
      </c>
    </row>
    <row r="1237" spans="1:25" x14ac:dyDescent="0.25">
      <c r="A1237">
        <v>10351</v>
      </c>
      <c r="B1237">
        <v>20</v>
      </c>
      <c r="C1237">
        <v>100</v>
      </c>
      <c r="D1237">
        <v>2</v>
      </c>
      <c r="E1237">
        <v>3374.6</v>
      </c>
      <c r="F1237" s="1">
        <v>38324</v>
      </c>
      <c r="G1237" t="s">
        <v>25</v>
      </c>
      <c r="H1237">
        <v>4</v>
      </c>
      <c r="I1237">
        <v>12</v>
      </c>
      <c r="J1237">
        <v>2004</v>
      </c>
      <c r="K1237" t="s">
        <v>550</v>
      </c>
      <c r="L1237">
        <v>105</v>
      </c>
      <c r="M1237" t="s">
        <v>612</v>
      </c>
      <c r="N1237" t="s">
        <v>329</v>
      </c>
      <c r="O1237" t="s">
        <v>330</v>
      </c>
      <c r="P1237" t="s">
        <v>331</v>
      </c>
      <c r="R1237" t="s">
        <v>332</v>
      </c>
      <c r="T1237" t="s">
        <v>333</v>
      </c>
      <c r="U1237" t="s">
        <v>170</v>
      </c>
      <c r="V1237" t="s">
        <v>42</v>
      </c>
      <c r="W1237" t="s">
        <v>61</v>
      </c>
      <c r="X1237" t="s">
        <v>334</v>
      </c>
      <c r="Y1237" t="s">
        <v>51</v>
      </c>
    </row>
    <row r="1238" spans="1:25" x14ac:dyDescent="0.25">
      <c r="A1238">
        <v>10373</v>
      </c>
      <c r="B1238">
        <v>50</v>
      </c>
      <c r="C1238">
        <v>60.49</v>
      </c>
      <c r="D1238">
        <v>6</v>
      </c>
      <c r="E1238">
        <v>3024.5</v>
      </c>
      <c r="F1238" s="1">
        <v>38383</v>
      </c>
      <c r="G1238" t="s">
        <v>25</v>
      </c>
      <c r="H1238">
        <v>1</v>
      </c>
      <c r="I1238">
        <v>1</v>
      </c>
      <c r="J1238">
        <v>2005</v>
      </c>
      <c r="K1238" t="s">
        <v>550</v>
      </c>
      <c r="L1238">
        <v>105</v>
      </c>
      <c r="M1238" t="s">
        <v>612</v>
      </c>
      <c r="N1238" t="s">
        <v>391</v>
      </c>
      <c r="O1238" t="s">
        <v>392</v>
      </c>
      <c r="P1238" t="s">
        <v>393</v>
      </c>
      <c r="R1238" t="s">
        <v>394</v>
      </c>
      <c r="T1238">
        <v>90110</v>
      </c>
      <c r="U1238" t="s">
        <v>130</v>
      </c>
      <c r="V1238" t="s">
        <v>42</v>
      </c>
      <c r="W1238" t="s">
        <v>395</v>
      </c>
      <c r="X1238" t="s">
        <v>396</v>
      </c>
      <c r="Y1238" t="s">
        <v>51</v>
      </c>
    </row>
    <row r="1239" spans="1:25" x14ac:dyDescent="0.25">
      <c r="A1239">
        <v>10386</v>
      </c>
      <c r="B1239">
        <v>22</v>
      </c>
      <c r="C1239">
        <v>57.55</v>
      </c>
      <c r="D1239">
        <v>6</v>
      </c>
      <c r="E1239">
        <v>1266.0999999999999</v>
      </c>
      <c r="F1239" s="1">
        <v>38412</v>
      </c>
      <c r="G1239" t="s">
        <v>408</v>
      </c>
      <c r="H1239">
        <v>1</v>
      </c>
      <c r="I1239">
        <v>3</v>
      </c>
      <c r="J1239">
        <v>2005</v>
      </c>
      <c r="K1239" t="s">
        <v>550</v>
      </c>
      <c r="L1239">
        <v>105</v>
      </c>
      <c r="M1239" t="s">
        <v>612</v>
      </c>
      <c r="N1239" t="s">
        <v>174</v>
      </c>
      <c r="O1239" t="s">
        <v>175</v>
      </c>
      <c r="P1239" t="s">
        <v>176</v>
      </c>
      <c r="R1239" t="s">
        <v>177</v>
      </c>
      <c r="T1239">
        <v>28034</v>
      </c>
      <c r="U1239" t="s">
        <v>178</v>
      </c>
      <c r="V1239" t="s">
        <v>42</v>
      </c>
      <c r="W1239" t="s">
        <v>179</v>
      </c>
      <c r="X1239" t="s">
        <v>180</v>
      </c>
      <c r="Y1239" t="s">
        <v>36</v>
      </c>
    </row>
    <row r="1240" spans="1:25" x14ac:dyDescent="0.25">
      <c r="A1240">
        <v>10398</v>
      </c>
      <c r="B1240">
        <v>45</v>
      </c>
      <c r="C1240">
        <v>100</v>
      </c>
      <c r="D1240">
        <v>17</v>
      </c>
      <c r="E1240">
        <v>4811.8500000000004</v>
      </c>
      <c r="F1240" s="1">
        <v>38441</v>
      </c>
      <c r="G1240" t="s">
        <v>25</v>
      </c>
      <c r="H1240">
        <v>1</v>
      </c>
      <c r="I1240">
        <v>3</v>
      </c>
      <c r="J1240">
        <v>2005</v>
      </c>
      <c r="K1240" t="s">
        <v>550</v>
      </c>
      <c r="L1240">
        <v>105</v>
      </c>
      <c r="M1240" t="s">
        <v>612</v>
      </c>
      <c r="N1240" t="s">
        <v>37</v>
      </c>
      <c r="O1240" t="s">
        <v>38</v>
      </c>
      <c r="P1240" t="s">
        <v>39</v>
      </c>
      <c r="R1240" t="s">
        <v>40</v>
      </c>
      <c r="T1240">
        <v>51100</v>
      </c>
      <c r="U1240" t="s">
        <v>41</v>
      </c>
      <c r="V1240" t="s">
        <v>42</v>
      </c>
      <c r="W1240" t="s">
        <v>43</v>
      </c>
      <c r="X1240" t="s">
        <v>44</v>
      </c>
      <c r="Y1240" t="s">
        <v>51</v>
      </c>
    </row>
    <row r="1241" spans="1:25" x14ac:dyDescent="0.25">
      <c r="A1241">
        <v>10400</v>
      </c>
      <c r="B1241">
        <v>58</v>
      </c>
      <c r="C1241">
        <v>100</v>
      </c>
      <c r="D1241">
        <v>6</v>
      </c>
      <c r="E1241">
        <v>7307.42</v>
      </c>
      <c r="F1241" s="1">
        <v>38443</v>
      </c>
      <c r="G1241" t="s">
        <v>25</v>
      </c>
      <c r="H1241">
        <v>2</v>
      </c>
      <c r="I1241">
        <v>4</v>
      </c>
      <c r="J1241">
        <v>2005</v>
      </c>
      <c r="K1241" t="s">
        <v>550</v>
      </c>
      <c r="L1241">
        <v>105</v>
      </c>
      <c r="M1241" t="s">
        <v>612</v>
      </c>
      <c r="N1241" t="s">
        <v>397</v>
      </c>
      <c r="O1241">
        <v>4085553659</v>
      </c>
      <c r="P1241" t="s">
        <v>398</v>
      </c>
      <c r="R1241" t="s">
        <v>399</v>
      </c>
      <c r="S1241" t="s">
        <v>55</v>
      </c>
      <c r="T1241">
        <v>94217</v>
      </c>
      <c r="U1241" t="s">
        <v>32</v>
      </c>
      <c r="V1241" t="s">
        <v>33</v>
      </c>
      <c r="W1241" t="s">
        <v>102</v>
      </c>
      <c r="X1241" t="s">
        <v>400</v>
      </c>
      <c r="Y1241" t="s">
        <v>151</v>
      </c>
    </row>
    <row r="1242" spans="1:25" x14ac:dyDescent="0.25">
      <c r="A1242">
        <v>10415</v>
      </c>
      <c r="B1242">
        <v>51</v>
      </c>
      <c r="C1242">
        <v>100</v>
      </c>
      <c r="D1242">
        <v>5</v>
      </c>
      <c r="E1242">
        <v>6209.25</v>
      </c>
      <c r="F1242" s="1">
        <v>38481</v>
      </c>
      <c r="G1242" t="s">
        <v>173</v>
      </c>
      <c r="H1242">
        <v>2</v>
      </c>
      <c r="I1242">
        <v>5</v>
      </c>
      <c r="J1242">
        <v>2005</v>
      </c>
      <c r="K1242" t="s">
        <v>550</v>
      </c>
      <c r="L1242">
        <v>105</v>
      </c>
      <c r="M1242" t="s">
        <v>612</v>
      </c>
      <c r="N1242" t="s">
        <v>558</v>
      </c>
      <c r="O1242" t="s">
        <v>559</v>
      </c>
      <c r="P1242" t="s">
        <v>560</v>
      </c>
      <c r="R1242" t="s">
        <v>561</v>
      </c>
      <c r="S1242" t="s">
        <v>94</v>
      </c>
      <c r="T1242">
        <v>3150</v>
      </c>
      <c r="U1242" t="s">
        <v>95</v>
      </c>
      <c r="V1242" t="s">
        <v>96</v>
      </c>
      <c r="W1242" t="s">
        <v>562</v>
      </c>
      <c r="X1242" t="s">
        <v>563</v>
      </c>
      <c r="Y1242" t="s">
        <v>51</v>
      </c>
    </row>
    <row r="1243" spans="1:25" x14ac:dyDescent="0.25">
      <c r="A1243">
        <v>10104</v>
      </c>
      <c r="B1243">
        <v>38</v>
      </c>
      <c r="C1243">
        <v>100</v>
      </c>
      <c r="D1243">
        <v>3</v>
      </c>
      <c r="E1243">
        <v>5348.5</v>
      </c>
      <c r="F1243" s="1">
        <v>37652</v>
      </c>
      <c r="G1243" t="s">
        <v>25</v>
      </c>
      <c r="H1243">
        <v>1</v>
      </c>
      <c r="I1243">
        <v>1</v>
      </c>
      <c r="J1243">
        <v>2003</v>
      </c>
      <c r="K1243" t="s">
        <v>181</v>
      </c>
      <c r="L1243">
        <v>143</v>
      </c>
      <c r="M1243" t="s">
        <v>613</v>
      </c>
      <c r="N1243" t="s">
        <v>174</v>
      </c>
      <c r="O1243" t="s">
        <v>175</v>
      </c>
      <c r="P1243" t="s">
        <v>176</v>
      </c>
      <c r="R1243" t="s">
        <v>177</v>
      </c>
      <c r="T1243">
        <v>28034</v>
      </c>
      <c r="U1243" t="s">
        <v>178</v>
      </c>
      <c r="V1243" t="s">
        <v>42</v>
      </c>
      <c r="W1243" t="s">
        <v>179</v>
      </c>
      <c r="X1243" t="s">
        <v>180</v>
      </c>
      <c r="Y1243" t="s">
        <v>51</v>
      </c>
    </row>
    <row r="1244" spans="1:25" x14ac:dyDescent="0.25">
      <c r="A1244">
        <v>10117</v>
      </c>
      <c r="B1244">
        <v>22</v>
      </c>
      <c r="C1244">
        <v>100</v>
      </c>
      <c r="D1244">
        <v>12</v>
      </c>
      <c r="E1244">
        <v>2780.58</v>
      </c>
      <c r="F1244" s="1">
        <v>37727</v>
      </c>
      <c r="G1244" t="s">
        <v>25</v>
      </c>
      <c r="H1244">
        <v>2</v>
      </c>
      <c r="I1244">
        <v>4</v>
      </c>
      <c r="J1244">
        <v>2003</v>
      </c>
      <c r="K1244" t="s">
        <v>181</v>
      </c>
      <c r="L1244">
        <v>143</v>
      </c>
      <c r="M1244" t="s">
        <v>613</v>
      </c>
      <c r="N1244" t="s">
        <v>196</v>
      </c>
      <c r="O1244" t="s">
        <v>197</v>
      </c>
      <c r="P1244" t="s">
        <v>198</v>
      </c>
      <c r="R1244" t="s">
        <v>199</v>
      </c>
      <c r="T1244">
        <v>79903</v>
      </c>
      <c r="U1244" t="s">
        <v>199</v>
      </c>
      <c r="V1244" t="s">
        <v>200</v>
      </c>
      <c r="W1244" t="s">
        <v>201</v>
      </c>
      <c r="X1244" t="s">
        <v>202</v>
      </c>
      <c r="Y1244" t="s">
        <v>36</v>
      </c>
    </row>
    <row r="1245" spans="1:25" x14ac:dyDescent="0.25">
      <c r="A1245">
        <v>10127</v>
      </c>
      <c r="B1245">
        <v>25</v>
      </c>
      <c r="C1245">
        <v>100</v>
      </c>
      <c r="D1245">
        <v>5</v>
      </c>
      <c r="E1245">
        <v>3447</v>
      </c>
      <c r="F1245" s="1">
        <v>37775</v>
      </c>
      <c r="G1245" t="s">
        <v>25</v>
      </c>
      <c r="H1245">
        <v>2</v>
      </c>
      <c r="I1245">
        <v>6</v>
      </c>
      <c r="J1245">
        <v>2003</v>
      </c>
      <c r="K1245" t="s">
        <v>181</v>
      </c>
      <c r="L1245">
        <v>143</v>
      </c>
      <c r="M1245" t="s">
        <v>613</v>
      </c>
      <c r="N1245" t="s">
        <v>475</v>
      </c>
      <c r="O1245">
        <v>2125557413</v>
      </c>
      <c r="P1245" t="s">
        <v>476</v>
      </c>
      <c r="Q1245" t="s">
        <v>477</v>
      </c>
      <c r="R1245" t="s">
        <v>30</v>
      </c>
      <c r="S1245" t="s">
        <v>31</v>
      </c>
      <c r="T1245">
        <v>10022</v>
      </c>
      <c r="U1245" t="s">
        <v>32</v>
      </c>
      <c r="V1245" t="s">
        <v>33</v>
      </c>
      <c r="W1245" t="s">
        <v>56</v>
      </c>
      <c r="X1245" t="s">
        <v>478</v>
      </c>
      <c r="Y1245" t="s">
        <v>51</v>
      </c>
    </row>
    <row r="1246" spans="1:25" x14ac:dyDescent="0.25">
      <c r="A1246">
        <v>10142</v>
      </c>
      <c r="B1246">
        <v>24</v>
      </c>
      <c r="C1246">
        <v>100</v>
      </c>
      <c r="D1246">
        <v>15</v>
      </c>
      <c r="E1246">
        <v>3791.52</v>
      </c>
      <c r="F1246" s="1">
        <v>37841</v>
      </c>
      <c r="G1246" t="s">
        <v>25</v>
      </c>
      <c r="H1246">
        <v>3</v>
      </c>
      <c r="I1246">
        <v>8</v>
      </c>
      <c r="J1246">
        <v>2003</v>
      </c>
      <c r="K1246" t="s">
        <v>181</v>
      </c>
      <c r="L1246">
        <v>143</v>
      </c>
      <c r="M1246" t="s">
        <v>613</v>
      </c>
      <c r="N1246" t="s">
        <v>272</v>
      </c>
      <c r="O1246">
        <v>4155551450</v>
      </c>
      <c r="P1246" t="s">
        <v>273</v>
      </c>
      <c r="R1246" t="s">
        <v>274</v>
      </c>
      <c r="S1246" t="s">
        <v>55</v>
      </c>
      <c r="T1246">
        <v>97562</v>
      </c>
      <c r="U1246" t="s">
        <v>32</v>
      </c>
      <c r="V1246" t="s">
        <v>33</v>
      </c>
      <c r="W1246" t="s">
        <v>275</v>
      </c>
      <c r="X1246" t="s">
        <v>276</v>
      </c>
      <c r="Y1246" t="s">
        <v>51</v>
      </c>
    </row>
    <row r="1247" spans="1:25" x14ac:dyDescent="0.25">
      <c r="A1247">
        <v>10152</v>
      </c>
      <c r="B1247">
        <v>35</v>
      </c>
      <c r="C1247">
        <v>100</v>
      </c>
      <c r="D1247">
        <v>1</v>
      </c>
      <c r="E1247">
        <v>4524.1000000000004</v>
      </c>
      <c r="F1247" s="1">
        <v>37889</v>
      </c>
      <c r="G1247" t="s">
        <v>25</v>
      </c>
      <c r="H1247">
        <v>3</v>
      </c>
      <c r="I1247">
        <v>9</v>
      </c>
      <c r="J1247">
        <v>2003</v>
      </c>
      <c r="K1247" t="s">
        <v>181</v>
      </c>
      <c r="L1247">
        <v>143</v>
      </c>
      <c r="M1247" t="s">
        <v>613</v>
      </c>
      <c r="N1247" t="s">
        <v>207</v>
      </c>
      <c r="O1247" t="s">
        <v>208</v>
      </c>
      <c r="P1247" t="s">
        <v>209</v>
      </c>
      <c r="R1247" t="s">
        <v>210</v>
      </c>
      <c r="S1247" t="s">
        <v>211</v>
      </c>
      <c r="T1247">
        <v>4101</v>
      </c>
      <c r="U1247" t="s">
        <v>95</v>
      </c>
      <c r="V1247" t="s">
        <v>96</v>
      </c>
      <c r="W1247" t="s">
        <v>212</v>
      </c>
      <c r="X1247" t="s">
        <v>213</v>
      </c>
      <c r="Y1247" t="s">
        <v>51</v>
      </c>
    </row>
    <row r="1248" spans="1:25" x14ac:dyDescent="0.25">
      <c r="A1248">
        <v>10165</v>
      </c>
      <c r="B1248">
        <v>28</v>
      </c>
      <c r="C1248">
        <v>100</v>
      </c>
      <c r="D1248">
        <v>6</v>
      </c>
      <c r="E1248">
        <v>3337.6</v>
      </c>
      <c r="F1248" s="1">
        <v>37916</v>
      </c>
      <c r="G1248" t="s">
        <v>25</v>
      </c>
      <c r="H1248">
        <v>4</v>
      </c>
      <c r="I1248">
        <v>10</v>
      </c>
      <c r="J1248">
        <v>2003</v>
      </c>
      <c r="K1248" t="s">
        <v>181</v>
      </c>
      <c r="L1248">
        <v>143</v>
      </c>
      <c r="M1248" t="s">
        <v>613</v>
      </c>
      <c r="N1248" t="s">
        <v>196</v>
      </c>
      <c r="O1248" t="s">
        <v>197</v>
      </c>
      <c r="P1248" t="s">
        <v>198</v>
      </c>
      <c r="R1248" t="s">
        <v>199</v>
      </c>
      <c r="T1248">
        <v>79903</v>
      </c>
      <c r="U1248" t="s">
        <v>199</v>
      </c>
      <c r="V1248" t="s">
        <v>200</v>
      </c>
      <c r="W1248" t="s">
        <v>201</v>
      </c>
      <c r="X1248" t="s">
        <v>202</v>
      </c>
      <c r="Y1248" t="s">
        <v>51</v>
      </c>
    </row>
    <row r="1249" spans="1:25" x14ac:dyDescent="0.25">
      <c r="A1249">
        <v>10176</v>
      </c>
      <c r="B1249">
        <v>36</v>
      </c>
      <c r="C1249">
        <v>100</v>
      </c>
      <c r="D1249">
        <v>5</v>
      </c>
      <c r="E1249">
        <v>5532.12</v>
      </c>
      <c r="F1249" s="1">
        <v>37931</v>
      </c>
      <c r="G1249" t="s">
        <v>25</v>
      </c>
      <c r="H1249">
        <v>4</v>
      </c>
      <c r="I1249">
        <v>11</v>
      </c>
      <c r="J1249">
        <v>2003</v>
      </c>
      <c r="K1249" t="s">
        <v>181</v>
      </c>
      <c r="L1249">
        <v>143</v>
      </c>
      <c r="M1249" t="s">
        <v>613</v>
      </c>
      <c r="N1249" t="s">
        <v>452</v>
      </c>
      <c r="O1249" t="s">
        <v>453</v>
      </c>
      <c r="P1249" t="s">
        <v>454</v>
      </c>
      <c r="R1249" t="s">
        <v>455</v>
      </c>
      <c r="T1249">
        <v>42100</v>
      </c>
      <c r="U1249" t="s">
        <v>258</v>
      </c>
      <c r="V1249" t="s">
        <v>42</v>
      </c>
      <c r="W1249" t="s">
        <v>456</v>
      </c>
      <c r="X1249" t="s">
        <v>457</v>
      </c>
      <c r="Y1249" t="s">
        <v>51</v>
      </c>
    </row>
    <row r="1250" spans="1:25" x14ac:dyDescent="0.25">
      <c r="A1250">
        <v>10185</v>
      </c>
      <c r="B1250">
        <v>39</v>
      </c>
      <c r="C1250">
        <v>100</v>
      </c>
      <c r="D1250">
        <v>16</v>
      </c>
      <c r="E1250">
        <v>5096.91</v>
      </c>
      <c r="F1250" s="1">
        <v>37939</v>
      </c>
      <c r="G1250" t="s">
        <v>25</v>
      </c>
      <c r="H1250">
        <v>4</v>
      </c>
      <c r="I1250">
        <v>11</v>
      </c>
      <c r="J1250">
        <v>2003</v>
      </c>
      <c r="K1250" t="s">
        <v>181</v>
      </c>
      <c r="L1250">
        <v>143</v>
      </c>
      <c r="M1250" t="s">
        <v>613</v>
      </c>
      <c r="N1250" t="s">
        <v>335</v>
      </c>
      <c r="O1250">
        <v>5085559555</v>
      </c>
      <c r="P1250" t="s">
        <v>336</v>
      </c>
      <c r="R1250" t="s">
        <v>162</v>
      </c>
      <c r="S1250" t="s">
        <v>123</v>
      </c>
      <c r="T1250">
        <v>50553</v>
      </c>
      <c r="U1250" t="s">
        <v>32</v>
      </c>
      <c r="V1250" t="s">
        <v>33</v>
      </c>
      <c r="W1250" t="s">
        <v>337</v>
      </c>
      <c r="X1250" t="s">
        <v>338</v>
      </c>
      <c r="Y1250" t="s">
        <v>51</v>
      </c>
    </row>
    <row r="1251" spans="1:25" x14ac:dyDescent="0.25">
      <c r="A1251">
        <v>10196</v>
      </c>
      <c r="B1251">
        <v>27</v>
      </c>
      <c r="C1251">
        <v>100</v>
      </c>
      <c r="D1251">
        <v>8</v>
      </c>
      <c r="E1251">
        <v>4537.08</v>
      </c>
      <c r="F1251" s="1">
        <v>37951</v>
      </c>
      <c r="G1251" t="s">
        <v>25</v>
      </c>
      <c r="H1251">
        <v>4</v>
      </c>
      <c r="I1251">
        <v>11</v>
      </c>
      <c r="J1251">
        <v>2003</v>
      </c>
      <c r="K1251" t="s">
        <v>181</v>
      </c>
      <c r="L1251">
        <v>143</v>
      </c>
      <c r="M1251" t="s">
        <v>613</v>
      </c>
      <c r="N1251" t="s">
        <v>242</v>
      </c>
      <c r="O1251">
        <v>2035559545</v>
      </c>
      <c r="P1251" t="s">
        <v>243</v>
      </c>
      <c r="R1251" t="s">
        <v>244</v>
      </c>
      <c r="S1251" t="s">
        <v>112</v>
      </c>
      <c r="T1251">
        <v>97823</v>
      </c>
      <c r="U1251" t="s">
        <v>32</v>
      </c>
      <c r="V1251" t="s">
        <v>33</v>
      </c>
      <c r="W1251" t="s">
        <v>83</v>
      </c>
      <c r="X1251" t="s">
        <v>245</v>
      </c>
      <c r="Y1251" t="s">
        <v>51</v>
      </c>
    </row>
    <row r="1252" spans="1:25" x14ac:dyDescent="0.25">
      <c r="A1252">
        <v>10207</v>
      </c>
      <c r="B1252">
        <v>40</v>
      </c>
      <c r="C1252">
        <v>100</v>
      </c>
      <c r="D1252">
        <v>1</v>
      </c>
      <c r="E1252">
        <v>6146.8</v>
      </c>
      <c r="F1252" s="1">
        <v>37964</v>
      </c>
      <c r="G1252" t="s">
        <v>25</v>
      </c>
      <c r="H1252">
        <v>4</v>
      </c>
      <c r="I1252">
        <v>12</v>
      </c>
      <c r="J1252">
        <v>2003</v>
      </c>
      <c r="K1252" t="s">
        <v>181</v>
      </c>
      <c r="L1252">
        <v>143</v>
      </c>
      <c r="M1252" t="s">
        <v>613</v>
      </c>
      <c r="N1252" t="s">
        <v>415</v>
      </c>
      <c r="O1252">
        <v>6175552555</v>
      </c>
      <c r="P1252" t="s">
        <v>416</v>
      </c>
      <c r="R1252" t="s">
        <v>381</v>
      </c>
      <c r="S1252" t="s">
        <v>123</v>
      </c>
      <c r="T1252">
        <v>51003</v>
      </c>
      <c r="U1252" t="s">
        <v>32</v>
      </c>
      <c r="V1252" t="s">
        <v>33</v>
      </c>
      <c r="W1252" t="s">
        <v>417</v>
      </c>
      <c r="X1252" t="s">
        <v>276</v>
      </c>
      <c r="Y1252" t="s">
        <v>51</v>
      </c>
    </row>
    <row r="1253" spans="1:25" x14ac:dyDescent="0.25">
      <c r="A1253">
        <v>10220</v>
      </c>
      <c r="B1253">
        <v>50</v>
      </c>
      <c r="C1253">
        <v>100</v>
      </c>
      <c r="D1253">
        <v>5</v>
      </c>
      <c r="E1253">
        <v>8258</v>
      </c>
      <c r="F1253" s="1">
        <v>38029</v>
      </c>
      <c r="G1253" t="s">
        <v>25</v>
      </c>
      <c r="H1253">
        <v>1</v>
      </c>
      <c r="I1253">
        <v>2</v>
      </c>
      <c r="J1253">
        <v>2004</v>
      </c>
      <c r="K1253" t="s">
        <v>181</v>
      </c>
      <c r="L1253">
        <v>143</v>
      </c>
      <c r="M1253" t="s">
        <v>613</v>
      </c>
      <c r="N1253" t="s">
        <v>479</v>
      </c>
      <c r="O1253" t="s">
        <v>480</v>
      </c>
      <c r="P1253" t="s">
        <v>481</v>
      </c>
      <c r="Q1253" t="s">
        <v>482</v>
      </c>
      <c r="R1253" t="s">
        <v>483</v>
      </c>
      <c r="T1253">
        <v>2</v>
      </c>
      <c r="U1253" t="s">
        <v>484</v>
      </c>
      <c r="V1253" t="s">
        <v>42</v>
      </c>
      <c r="W1253" t="s">
        <v>485</v>
      </c>
      <c r="X1253" t="s">
        <v>486</v>
      </c>
      <c r="Y1253" t="s">
        <v>151</v>
      </c>
    </row>
    <row r="1254" spans="1:25" x14ac:dyDescent="0.25">
      <c r="A1254">
        <v>10230</v>
      </c>
      <c r="B1254">
        <v>42</v>
      </c>
      <c r="C1254">
        <v>100</v>
      </c>
      <c r="D1254">
        <v>3</v>
      </c>
      <c r="E1254">
        <v>7238.28</v>
      </c>
      <c r="F1254" s="1">
        <v>38061</v>
      </c>
      <c r="G1254" t="s">
        <v>25</v>
      </c>
      <c r="H1254">
        <v>1</v>
      </c>
      <c r="I1254">
        <v>3</v>
      </c>
      <c r="J1254">
        <v>2004</v>
      </c>
      <c r="K1254" t="s">
        <v>181</v>
      </c>
      <c r="L1254">
        <v>143</v>
      </c>
      <c r="M1254" t="s">
        <v>613</v>
      </c>
      <c r="N1254" t="s">
        <v>462</v>
      </c>
      <c r="O1254" t="s">
        <v>463</v>
      </c>
      <c r="P1254" t="s">
        <v>464</v>
      </c>
      <c r="R1254" t="s">
        <v>465</v>
      </c>
      <c r="T1254">
        <v>60528</v>
      </c>
      <c r="U1254" t="s">
        <v>443</v>
      </c>
      <c r="V1254" t="s">
        <v>42</v>
      </c>
      <c r="W1254" t="s">
        <v>466</v>
      </c>
      <c r="X1254" t="s">
        <v>414</v>
      </c>
      <c r="Y1254" t="s">
        <v>151</v>
      </c>
    </row>
    <row r="1255" spans="1:25" x14ac:dyDescent="0.25">
      <c r="A1255">
        <v>10247</v>
      </c>
      <c r="B1255">
        <v>48</v>
      </c>
      <c r="C1255">
        <v>100</v>
      </c>
      <c r="D1255">
        <v>5</v>
      </c>
      <c r="E1255">
        <v>6756</v>
      </c>
      <c r="F1255" s="1">
        <v>38112</v>
      </c>
      <c r="G1255" t="s">
        <v>25</v>
      </c>
      <c r="H1255">
        <v>2</v>
      </c>
      <c r="I1255">
        <v>5</v>
      </c>
      <c r="J1255">
        <v>2004</v>
      </c>
      <c r="K1255" t="s">
        <v>181</v>
      </c>
      <c r="L1255">
        <v>143</v>
      </c>
      <c r="M1255" t="s">
        <v>613</v>
      </c>
      <c r="N1255" t="s">
        <v>467</v>
      </c>
      <c r="O1255" t="s">
        <v>468</v>
      </c>
      <c r="P1255" t="s">
        <v>469</v>
      </c>
      <c r="R1255" t="s">
        <v>470</v>
      </c>
      <c r="T1255" t="s">
        <v>471</v>
      </c>
      <c r="U1255" t="s">
        <v>130</v>
      </c>
      <c r="V1255" t="s">
        <v>42</v>
      </c>
      <c r="W1255" t="s">
        <v>472</v>
      </c>
      <c r="X1255" t="s">
        <v>473</v>
      </c>
      <c r="Y1255" t="s">
        <v>51</v>
      </c>
    </row>
    <row r="1256" spans="1:25" x14ac:dyDescent="0.25">
      <c r="A1256">
        <v>10272</v>
      </c>
      <c r="B1256">
        <v>25</v>
      </c>
      <c r="C1256">
        <v>100</v>
      </c>
      <c r="D1256">
        <v>5</v>
      </c>
      <c r="E1256">
        <v>3734</v>
      </c>
      <c r="F1256" s="1">
        <v>38188</v>
      </c>
      <c r="G1256" t="s">
        <v>25</v>
      </c>
      <c r="H1256">
        <v>3</v>
      </c>
      <c r="I1256">
        <v>7</v>
      </c>
      <c r="J1256">
        <v>2004</v>
      </c>
      <c r="K1256" t="s">
        <v>181</v>
      </c>
      <c r="L1256">
        <v>143</v>
      </c>
      <c r="M1256" t="s">
        <v>613</v>
      </c>
      <c r="N1256" t="s">
        <v>139</v>
      </c>
      <c r="O1256">
        <v>2155551555</v>
      </c>
      <c r="P1256" t="s">
        <v>140</v>
      </c>
      <c r="R1256" t="s">
        <v>141</v>
      </c>
      <c r="S1256" t="s">
        <v>142</v>
      </c>
      <c r="T1256">
        <v>70267</v>
      </c>
      <c r="U1256" t="s">
        <v>32</v>
      </c>
      <c r="V1256" t="s">
        <v>33</v>
      </c>
      <c r="W1256" t="s">
        <v>34</v>
      </c>
      <c r="X1256" t="s">
        <v>143</v>
      </c>
      <c r="Y1256" t="s">
        <v>51</v>
      </c>
    </row>
    <row r="1257" spans="1:25" x14ac:dyDescent="0.25">
      <c r="A1257">
        <v>10282</v>
      </c>
      <c r="B1257">
        <v>31</v>
      </c>
      <c r="C1257">
        <v>100</v>
      </c>
      <c r="D1257">
        <v>8</v>
      </c>
      <c r="E1257">
        <v>4674.8</v>
      </c>
      <c r="F1257" s="1">
        <v>38219</v>
      </c>
      <c r="G1257" t="s">
        <v>25</v>
      </c>
      <c r="H1257">
        <v>3</v>
      </c>
      <c r="I1257">
        <v>8</v>
      </c>
      <c r="J1257">
        <v>2004</v>
      </c>
      <c r="K1257" t="s">
        <v>181</v>
      </c>
      <c r="L1257">
        <v>143</v>
      </c>
      <c r="M1257" t="s">
        <v>613</v>
      </c>
      <c r="N1257" t="s">
        <v>272</v>
      </c>
      <c r="O1257">
        <v>4155551450</v>
      </c>
      <c r="P1257" t="s">
        <v>273</v>
      </c>
      <c r="R1257" t="s">
        <v>274</v>
      </c>
      <c r="S1257" t="s">
        <v>55</v>
      </c>
      <c r="T1257">
        <v>97562</v>
      </c>
      <c r="U1257" t="s">
        <v>32</v>
      </c>
      <c r="V1257" t="s">
        <v>33</v>
      </c>
      <c r="W1257" t="s">
        <v>275</v>
      </c>
      <c r="X1257" t="s">
        <v>276</v>
      </c>
      <c r="Y1257" t="s">
        <v>51</v>
      </c>
    </row>
    <row r="1258" spans="1:25" x14ac:dyDescent="0.25">
      <c r="A1258">
        <v>10292</v>
      </c>
      <c r="B1258">
        <v>44</v>
      </c>
      <c r="C1258">
        <v>100</v>
      </c>
      <c r="D1258">
        <v>2</v>
      </c>
      <c r="E1258">
        <v>7140.76</v>
      </c>
      <c r="F1258" s="1">
        <v>38238</v>
      </c>
      <c r="G1258" t="s">
        <v>25</v>
      </c>
      <c r="H1258">
        <v>3</v>
      </c>
      <c r="I1258">
        <v>9</v>
      </c>
      <c r="J1258">
        <v>2004</v>
      </c>
      <c r="K1258" t="s">
        <v>181</v>
      </c>
      <c r="L1258">
        <v>143</v>
      </c>
      <c r="M1258" t="s">
        <v>613</v>
      </c>
      <c r="N1258" t="s">
        <v>28</v>
      </c>
      <c r="O1258">
        <v>2125557818</v>
      </c>
      <c r="P1258" t="s">
        <v>29</v>
      </c>
      <c r="R1258" t="s">
        <v>30</v>
      </c>
      <c r="S1258" t="s">
        <v>31</v>
      </c>
      <c r="T1258">
        <v>10022</v>
      </c>
      <c r="U1258" t="s">
        <v>32</v>
      </c>
      <c r="V1258" t="s">
        <v>33</v>
      </c>
      <c r="W1258" t="s">
        <v>34</v>
      </c>
      <c r="X1258" t="s">
        <v>35</v>
      </c>
      <c r="Y1258" t="s">
        <v>151</v>
      </c>
    </row>
    <row r="1259" spans="1:25" x14ac:dyDescent="0.25">
      <c r="A1259">
        <v>10306</v>
      </c>
      <c r="B1259">
        <v>23</v>
      </c>
      <c r="C1259">
        <v>100</v>
      </c>
      <c r="D1259">
        <v>16</v>
      </c>
      <c r="E1259">
        <v>3600.65</v>
      </c>
      <c r="F1259" s="1">
        <v>38274</v>
      </c>
      <c r="G1259" t="s">
        <v>25</v>
      </c>
      <c r="H1259">
        <v>4</v>
      </c>
      <c r="I1259">
        <v>10</v>
      </c>
      <c r="J1259">
        <v>2004</v>
      </c>
      <c r="K1259" t="s">
        <v>181</v>
      </c>
      <c r="L1259">
        <v>143</v>
      </c>
      <c r="M1259" t="s">
        <v>613</v>
      </c>
      <c r="N1259" t="s">
        <v>492</v>
      </c>
      <c r="O1259" t="s">
        <v>493</v>
      </c>
      <c r="P1259" t="s">
        <v>494</v>
      </c>
      <c r="R1259" t="s">
        <v>495</v>
      </c>
      <c r="T1259" t="s">
        <v>496</v>
      </c>
      <c r="U1259" t="s">
        <v>170</v>
      </c>
      <c r="V1259" t="s">
        <v>42</v>
      </c>
      <c r="W1259" t="s">
        <v>497</v>
      </c>
      <c r="X1259" t="s">
        <v>94</v>
      </c>
      <c r="Y1259" t="s">
        <v>51</v>
      </c>
    </row>
    <row r="1260" spans="1:25" x14ac:dyDescent="0.25">
      <c r="A1260">
        <v>10314</v>
      </c>
      <c r="B1260">
        <v>29</v>
      </c>
      <c r="C1260">
        <v>100</v>
      </c>
      <c r="D1260">
        <v>8</v>
      </c>
      <c r="E1260">
        <v>4206.74</v>
      </c>
      <c r="F1260" s="1">
        <v>38282</v>
      </c>
      <c r="G1260" t="s">
        <v>25</v>
      </c>
      <c r="H1260">
        <v>4</v>
      </c>
      <c r="I1260">
        <v>10</v>
      </c>
      <c r="J1260">
        <v>2004</v>
      </c>
      <c r="K1260" t="s">
        <v>181</v>
      </c>
      <c r="L1260">
        <v>143</v>
      </c>
      <c r="M1260" t="s">
        <v>613</v>
      </c>
      <c r="N1260" t="s">
        <v>498</v>
      </c>
      <c r="O1260" t="s">
        <v>499</v>
      </c>
      <c r="P1260" t="s">
        <v>500</v>
      </c>
      <c r="R1260" t="s">
        <v>501</v>
      </c>
      <c r="T1260">
        <v>8200</v>
      </c>
      <c r="U1260" t="s">
        <v>326</v>
      </c>
      <c r="V1260" t="s">
        <v>42</v>
      </c>
      <c r="W1260" t="s">
        <v>502</v>
      </c>
      <c r="X1260" t="s">
        <v>503</v>
      </c>
      <c r="Y1260" t="s">
        <v>51</v>
      </c>
    </row>
    <row r="1261" spans="1:25" x14ac:dyDescent="0.25">
      <c r="A1261">
        <v>10324</v>
      </c>
      <c r="B1261">
        <v>49</v>
      </c>
      <c r="C1261">
        <v>100</v>
      </c>
      <c r="D1261">
        <v>13</v>
      </c>
      <c r="E1261">
        <v>5379.71</v>
      </c>
      <c r="F1261" s="1">
        <v>38296</v>
      </c>
      <c r="G1261" t="s">
        <v>25</v>
      </c>
      <c r="H1261">
        <v>4</v>
      </c>
      <c r="I1261">
        <v>11</v>
      </c>
      <c r="J1261">
        <v>2004</v>
      </c>
      <c r="K1261" t="s">
        <v>181</v>
      </c>
      <c r="L1261">
        <v>143</v>
      </c>
      <c r="M1261" t="s">
        <v>613</v>
      </c>
      <c r="N1261" t="s">
        <v>99</v>
      </c>
      <c r="O1261">
        <v>2125551500</v>
      </c>
      <c r="P1261" t="s">
        <v>100</v>
      </c>
      <c r="Q1261" t="s">
        <v>101</v>
      </c>
      <c r="R1261" t="s">
        <v>30</v>
      </c>
      <c r="S1261" t="s">
        <v>31</v>
      </c>
      <c r="T1261">
        <v>10022</v>
      </c>
      <c r="U1261" t="s">
        <v>32</v>
      </c>
      <c r="V1261" t="s">
        <v>33</v>
      </c>
      <c r="W1261" t="s">
        <v>102</v>
      </c>
      <c r="X1261" t="s">
        <v>103</v>
      </c>
      <c r="Y1261" t="s">
        <v>51</v>
      </c>
    </row>
    <row r="1262" spans="1:25" x14ac:dyDescent="0.25">
      <c r="A1262">
        <v>10337</v>
      </c>
      <c r="B1262">
        <v>36</v>
      </c>
      <c r="C1262">
        <v>100</v>
      </c>
      <c r="D1262">
        <v>3</v>
      </c>
      <c r="E1262">
        <v>5679.36</v>
      </c>
      <c r="F1262" s="1">
        <v>38312</v>
      </c>
      <c r="G1262" t="s">
        <v>25</v>
      </c>
      <c r="H1262">
        <v>4</v>
      </c>
      <c r="I1262">
        <v>11</v>
      </c>
      <c r="J1262">
        <v>2004</v>
      </c>
      <c r="K1262" t="s">
        <v>181</v>
      </c>
      <c r="L1262">
        <v>143</v>
      </c>
      <c r="M1262" t="s">
        <v>613</v>
      </c>
      <c r="N1262" t="s">
        <v>203</v>
      </c>
      <c r="O1262">
        <v>2125558493</v>
      </c>
      <c r="P1262" t="s">
        <v>204</v>
      </c>
      <c r="Q1262" t="s">
        <v>205</v>
      </c>
      <c r="R1262" t="s">
        <v>30</v>
      </c>
      <c r="S1262" t="s">
        <v>31</v>
      </c>
      <c r="T1262">
        <v>10022</v>
      </c>
      <c r="U1262" t="s">
        <v>32</v>
      </c>
      <c r="V1262" t="s">
        <v>33</v>
      </c>
      <c r="W1262" t="s">
        <v>124</v>
      </c>
      <c r="X1262" t="s">
        <v>206</v>
      </c>
      <c r="Y1262" t="s">
        <v>51</v>
      </c>
    </row>
    <row r="1263" spans="1:25" x14ac:dyDescent="0.25">
      <c r="A1263">
        <v>10349</v>
      </c>
      <c r="B1263">
        <v>34</v>
      </c>
      <c r="C1263">
        <v>100</v>
      </c>
      <c r="D1263">
        <v>5</v>
      </c>
      <c r="E1263">
        <v>4394.84</v>
      </c>
      <c r="F1263" s="1">
        <v>38322</v>
      </c>
      <c r="G1263" t="s">
        <v>25</v>
      </c>
      <c r="H1263">
        <v>4</v>
      </c>
      <c r="I1263">
        <v>12</v>
      </c>
      <c r="J1263">
        <v>2004</v>
      </c>
      <c r="K1263" t="s">
        <v>181</v>
      </c>
      <c r="L1263">
        <v>143</v>
      </c>
      <c r="M1263" t="s">
        <v>613</v>
      </c>
      <c r="N1263" t="s">
        <v>475</v>
      </c>
      <c r="O1263">
        <v>2125557413</v>
      </c>
      <c r="P1263" t="s">
        <v>476</v>
      </c>
      <c r="Q1263" t="s">
        <v>477</v>
      </c>
      <c r="R1263" t="s">
        <v>30</v>
      </c>
      <c r="S1263" t="s">
        <v>31</v>
      </c>
      <c r="T1263">
        <v>10022</v>
      </c>
      <c r="U1263" t="s">
        <v>32</v>
      </c>
      <c r="V1263" t="s">
        <v>33</v>
      </c>
      <c r="W1263" t="s">
        <v>56</v>
      </c>
      <c r="X1263" t="s">
        <v>478</v>
      </c>
      <c r="Y1263" t="s">
        <v>51</v>
      </c>
    </row>
    <row r="1264" spans="1:25" x14ac:dyDescent="0.25">
      <c r="A1264">
        <v>10358</v>
      </c>
      <c r="B1264">
        <v>25</v>
      </c>
      <c r="C1264">
        <v>100</v>
      </c>
      <c r="D1264">
        <v>13</v>
      </c>
      <c r="E1264">
        <v>2528.25</v>
      </c>
      <c r="F1264" s="1">
        <v>38331</v>
      </c>
      <c r="G1264" t="s">
        <v>25</v>
      </c>
      <c r="H1264">
        <v>4</v>
      </c>
      <c r="I1264">
        <v>12</v>
      </c>
      <c r="J1264">
        <v>2004</v>
      </c>
      <c r="K1264" t="s">
        <v>181</v>
      </c>
      <c r="L1264">
        <v>143</v>
      </c>
      <c r="M1264" t="s">
        <v>613</v>
      </c>
      <c r="N1264" t="s">
        <v>174</v>
      </c>
      <c r="O1264" t="s">
        <v>175</v>
      </c>
      <c r="P1264" t="s">
        <v>176</v>
      </c>
      <c r="R1264" t="s">
        <v>177</v>
      </c>
      <c r="T1264">
        <v>28034</v>
      </c>
      <c r="U1264" t="s">
        <v>178</v>
      </c>
      <c r="V1264" t="s">
        <v>42</v>
      </c>
      <c r="W1264" t="s">
        <v>179</v>
      </c>
      <c r="X1264" t="s">
        <v>180</v>
      </c>
      <c r="Y1264" t="s">
        <v>36</v>
      </c>
    </row>
    <row r="1265" spans="1:25" x14ac:dyDescent="0.25">
      <c r="A1265">
        <v>10372</v>
      </c>
      <c r="B1265">
        <v>48</v>
      </c>
      <c r="C1265">
        <v>100</v>
      </c>
      <c r="D1265">
        <v>6</v>
      </c>
      <c r="E1265">
        <v>7031.52</v>
      </c>
      <c r="F1265" s="1">
        <v>38378</v>
      </c>
      <c r="G1265" t="s">
        <v>25</v>
      </c>
      <c r="H1265">
        <v>1</v>
      </c>
      <c r="I1265">
        <v>1</v>
      </c>
      <c r="J1265">
        <v>2005</v>
      </c>
      <c r="K1265" t="s">
        <v>181</v>
      </c>
      <c r="L1265">
        <v>143</v>
      </c>
      <c r="M1265" t="s">
        <v>613</v>
      </c>
      <c r="N1265" t="s">
        <v>246</v>
      </c>
      <c r="O1265" t="s">
        <v>247</v>
      </c>
      <c r="P1265" t="s">
        <v>248</v>
      </c>
      <c r="R1265" t="s">
        <v>249</v>
      </c>
      <c r="S1265" t="s">
        <v>250</v>
      </c>
      <c r="T1265" t="s">
        <v>251</v>
      </c>
      <c r="U1265" t="s">
        <v>200</v>
      </c>
      <c r="V1265" t="s">
        <v>200</v>
      </c>
      <c r="W1265" t="s">
        <v>252</v>
      </c>
      <c r="X1265" t="s">
        <v>253</v>
      </c>
      <c r="Y1265" t="s">
        <v>151</v>
      </c>
    </row>
    <row r="1266" spans="1:25" x14ac:dyDescent="0.25">
      <c r="A1266">
        <v>10383</v>
      </c>
      <c r="B1266">
        <v>38</v>
      </c>
      <c r="C1266">
        <v>100</v>
      </c>
      <c r="D1266">
        <v>1</v>
      </c>
      <c r="E1266">
        <v>5340.9</v>
      </c>
      <c r="F1266" s="1">
        <v>38405</v>
      </c>
      <c r="G1266" t="s">
        <v>25</v>
      </c>
      <c r="H1266">
        <v>1</v>
      </c>
      <c r="I1266">
        <v>2</v>
      </c>
      <c r="J1266">
        <v>2005</v>
      </c>
      <c r="K1266" t="s">
        <v>181</v>
      </c>
      <c r="L1266">
        <v>143</v>
      </c>
      <c r="M1266" t="s">
        <v>613</v>
      </c>
      <c r="N1266" t="s">
        <v>174</v>
      </c>
      <c r="O1266" t="s">
        <v>175</v>
      </c>
      <c r="P1266" t="s">
        <v>176</v>
      </c>
      <c r="R1266" t="s">
        <v>177</v>
      </c>
      <c r="T1266">
        <v>28034</v>
      </c>
      <c r="U1266" t="s">
        <v>178</v>
      </c>
      <c r="V1266" t="s">
        <v>42</v>
      </c>
      <c r="W1266" t="s">
        <v>179</v>
      </c>
      <c r="X1266" t="s">
        <v>180</v>
      </c>
      <c r="Y1266" t="s">
        <v>51</v>
      </c>
    </row>
    <row r="1267" spans="1:25" x14ac:dyDescent="0.25">
      <c r="A1267">
        <v>10394</v>
      </c>
      <c r="B1267">
        <v>37</v>
      </c>
      <c r="C1267">
        <v>100</v>
      </c>
      <c r="D1267">
        <v>1</v>
      </c>
      <c r="E1267">
        <v>6376.58</v>
      </c>
      <c r="F1267" s="1">
        <v>38426</v>
      </c>
      <c r="G1267" t="s">
        <v>25</v>
      </c>
      <c r="H1267">
        <v>1</v>
      </c>
      <c r="I1267">
        <v>3</v>
      </c>
      <c r="J1267">
        <v>2005</v>
      </c>
      <c r="K1267" t="s">
        <v>181</v>
      </c>
      <c r="L1267">
        <v>143</v>
      </c>
      <c r="M1267" t="s">
        <v>613</v>
      </c>
      <c r="N1267" t="s">
        <v>174</v>
      </c>
      <c r="O1267" t="s">
        <v>175</v>
      </c>
      <c r="P1267" t="s">
        <v>176</v>
      </c>
      <c r="R1267" t="s">
        <v>177</v>
      </c>
      <c r="T1267">
        <v>28034</v>
      </c>
      <c r="U1267" t="s">
        <v>178</v>
      </c>
      <c r="V1267" t="s">
        <v>42</v>
      </c>
      <c r="W1267" t="s">
        <v>179</v>
      </c>
      <c r="X1267" t="s">
        <v>180</v>
      </c>
      <c r="Y1267" t="s">
        <v>51</v>
      </c>
    </row>
    <row r="1268" spans="1:25" x14ac:dyDescent="0.25">
      <c r="A1268">
        <v>10413</v>
      </c>
      <c r="B1268">
        <v>49</v>
      </c>
      <c r="C1268">
        <v>100</v>
      </c>
      <c r="D1268">
        <v>5</v>
      </c>
      <c r="E1268">
        <v>6896.75</v>
      </c>
      <c r="F1268" s="1">
        <v>38477</v>
      </c>
      <c r="G1268" t="s">
        <v>25</v>
      </c>
      <c r="H1268">
        <v>2</v>
      </c>
      <c r="I1268">
        <v>5</v>
      </c>
      <c r="J1268">
        <v>2005</v>
      </c>
      <c r="K1268" t="s">
        <v>181</v>
      </c>
      <c r="L1268">
        <v>143</v>
      </c>
      <c r="M1268" t="s">
        <v>613</v>
      </c>
      <c r="N1268" t="s">
        <v>109</v>
      </c>
      <c r="O1268">
        <v>2035552570</v>
      </c>
      <c r="P1268" t="s">
        <v>110</v>
      </c>
      <c r="R1268" t="s">
        <v>111</v>
      </c>
      <c r="S1268" t="s">
        <v>112</v>
      </c>
      <c r="T1268">
        <v>97562</v>
      </c>
      <c r="U1268" t="s">
        <v>32</v>
      </c>
      <c r="V1268" t="s">
        <v>33</v>
      </c>
      <c r="W1268" t="s">
        <v>113</v>
      </c>
      <c r="X1268" t="s">
        <v>57</v>
      </c>
      <c r="Y1268" t="s">
        <v>51</v>
      </c>
    </row>
    <row r="1269" spans="1:25" x14ac:dyDescent="0.25">
      <c r="A1269">
        <v>10100</v>
      </c>
      <c r="B1269">
        <v>22</v>
      </c>
      <c r="C1269">
        <v>86.51</v>
      </c>
      <c r="D1269">
        <v>4</v>
      </c>
      <c r="E1269">
        <v>1903.22</v>
      </c>
      <c r="F1269" s="1">
        <v>37627</v>
      </c>
      <c r="G1269" t="s">
        <v>25</v>
      </c>
      <c r="H1269">
        <v>1</v>
      </c>
      <c r="I1269">
        <v>1</v>
      </c>
      <c r="J1269">
        <v>2003</v>
      </c>
      <c r="K1269" t="s">
        <v>550</v>
      </c>
      <c r="L1269">
        <v>92</v>
      </c>
      <c r="M1269" t="s">
        <v>614</v>
      </c>
      <c r="N1269" t="s">
        <v>277</v>
      </c>
      <c r="O1269">
        <v>6035558647</v>
      </c>
      <c r="P1269" t="s">
        <v>278</v>
      </c>
      <c r="R1269" t="s">
        <v>279</v>
      </c>
      <c r="S1269" t="s">
        <v>280</v>
      </c>
      <c r="T1269">
        <v>62005</v>
      </c>
      <c r="U1269" t="s">
        <v>32</v>
      </c>
      <c r="V1269" t="s">
        <v>33</v>
      </c>
      <c r="W1269" t="s">
        <v>56</v>
      </c>
      <c r="X1269" t="s">
        <v>276</v>
      </c>
      <c r="Y1269" t="s">
        <v>36</v>
      </c>
    </row>
    <row r="1270" spans="1:25" x14ac:dyDescent="0.25">
      <c r="A1270">
        <v>10110</v>
      </c>
      <c r="B1270">
        <v>28</v>
      </c>
      <c r="C1270">
        <v>89.27</v>
      </c>
      <c r="D1270">
        <v>8</v>
      </c>
      <c r="E1270">
        <v>2499.56</v>
      </c>
      <c r="F1270" s="1">
        <v>37698</v>
      </c>
      <c r="G1270" t="s">
        <v>25</v>
      </c>
      <c r="H1270">
        <v>1</v>
      </c>
      <c r="I1270">
        <v>3</v>
      </c>
      <c r="J1270">
        <v>2003</v>
      </c>
      <c r="K1270" t="s">
        <v>550</v>
      </c>
      <c r="L1270">
        <v>92</v>
      </c>
      <c r="M1270" t="s">
        <v>614</v>
      </c>
      <c r="N1270" t="s">
        <v>492</v>
      </c>
      <c r="O1270" t="s">
        <v>493</v>
      </c>
      <c r="P1270" t="s">
        <v>494</v>
      </c>
      <c r="R1270" t="s">
        <v>495</v>
      </c>
      <c r="T1270" t="s">
        <v>496</v>
      </c>
      <c r="U1270" t="s">
        <v>170</v>
      </c>
      <c r="V1270" t="s">
        <v>42</v>
      </c>
      <c r="W1270" t="s">
        <v>497</v>
      </c>
      <c r="X1270" t="s">
        <v>94</v>
      </c>
      <c r="Y1270" t="s">
        <v>36</v>
      </c>
    </row>
    <row r="1271" spans="1:25" x14ac:dyDescent="0.25">
      <c r="A1271">
        <v>10124</v>
      </c>
      <c r="B1271">
        <v>36</v>
      </c>
      <c r="C1271">
        <v>85.59</v>
      </c>
      <c r="D1271">
        <v>7</v>
      </c>
      <c r="E1271">
        <v>3081.24</v>
      </c>
      <c r="F1271" s="1">
        <v>37762</v>
      </c>
      <c r="G1271" t="s">
        <v>25</v>
      </c>
      <c r="H1271">
        <v>2</v>
      </c>
      <c r="I1271">
        <v>5</v>
      </c>
      <c r="J1271">
        <v>2003</v>
      </c>
      <c r="K1271" t="s">
        <v>550</v>
      </c>
      <c r="L1271">
        <v>92</v>
      </c>
      <c r="M1271" t="s">
        <v>614</v>
      </c>
      <c r="N1271" t="s">
        <v>539</v>
      </c>
      <c r="O1271">
        <v>7025551838</v>
      </c>
      <c r="P1271" t="s">
        <v>540</v>
      </c>
      <c r="R1271" t="s">
        <v>541</v>
      </c>
      <c r="S1271" t="s">
        <v>542</v>
      </c>
      <c r="T1271">
        <v>83030</v>
      </c>
      <c r="U1271" t="s">
        <v>32</v>
      </c>
      <c r="V1271" t="s">
        <v>33</v>
      </c>
      <c r="W1271" t="s">
        <v>113</v>
      </c>
      <c r="X1271" t="s">
        <v>400</v>
      </c>
      <c r="Y1271" t="s">
        <v>51</v>
      </c>
    </row>
    <row r="1272" spans="1:25" x14ac:dyDescent="0.25">
      <c r="A1272">
        <v>10148</v>
      </c>
      <c r="B1272">
        <v>34</v>
      </c>
      <c r="C1272">
        <v>100</v>
      </c>
      <c r="D1272">
        <v>1</v>
      </c>
      <c r="E1272">
        <v>3598.22</v>
      </c>
      <c r="F1272" s="1">
        <v>37875</v>
      </c>
      <c r="G1272" t="s">
        <v>25</v>
      </c>
      <c r="H1272">
        <v>3</v>
      </c>
      <c r="I1272">
        <v>9</v>
      </c>
      <c r="J1272">
        <v>2003</v>
      </c>
      <c r="K1272" t="s">
        <v>550</v>
      </c>
      <c r="L1272">
        <v>92</v>
      </c>
      <c r="M1272" t="s">
        <v>614</v>
      </c>
      <c r="N1272" t="s">
        <v>285</v>
      </c>
      <c r="O1272" t="s">
        <v>286</v>
      </c>
      <c r="P1272" t="s">
        <v>287</v>
      </c>
      <c r="Q1272" t="s">
        <v>288</v>
      </c>
      <c r="R1272" t="s">
        <v>289</v>
      </c>
      <c r="S1272" t="s">
        <v>157</v>
      </c>
      <c r="T1272">
        <v>2060</v>
      </c>
      <c r="U1272" t="s">
        <v>95</v>
      </c>
      <c r="V1272" t="s">
        <v>96</v>
      </c>
      <c r="W1272" t="s">
        <v>290</v>
      </c>
      <c r="X1272" t="s">
        <v>291</v>
      </c>
      <c r="Y1272" t="s">
        <v>51</v>
      </c>
    </row>
    <row r="1273" spans="1:25" x14ac:dyDescent="0.25">
      <c r="A1273">
        <v>10162</v>
      </c>
      <c r="B1273">
        <v>39</v>
      </c>
      <c r="C1273">
        <v>100</v>
      </c>
      <c r="D1273">
        <v>10</v>
      </c>
      <c r="E1273">
        <v>3912.09</v>
      </c>
      <c r="F1273" s="1">
        <v>37912</v>
      </c>
      <c r="G1273" t="s">
        <v>25</v>
      </c>
      <c r="H1273">
        <v>4</v>
      </c>
      <c r="I1273">
        <v>10</v>
      </c>
      <c r="J1273">
        <v>2003</v>
      </c>
      <c r="K1273" t="s">
        <v>550</v>
      </c>
      <c r="L1273">
        <v>92</v>
      </c>
      <c r="M1273" t="s">
        <v>614</v>
      </c>
      <c r="N1273" t="s">
        <v>58</v>
      </c>
      <c r="O1273">
        <v>6505551386</v>
      </c>
      <c r="P1273" t="s">
        <v>59</v>
      </c>
      <c r="R1273" t="s">
        <v>60</v>
      </c>
      <c r="S1273" t="s">
        <v>55</v>
      </c>
      <c r="U1273" t="s">
        <v>32</v>
      </c>
      <c r="V1273" t="s">
        <v>33</v>
      </c>
      <c r="W1273" t="s">
        <v>61</v>
      </c>
      <c r="X1273" t="s">
        <v>57</v>
      </c>
      <c r="Y1273" t="s">
        <v>51</v>
      </c>
    </row>
    <row r="1274" spans="1:25" x14ac:dyDescent="0.25">
      <c r="A1274">
        <v>10173</v>
      </c>
      <c r="B1274">
        <v>21</v>
      </c>
      <c r="C1274">
        <v>75.459999999999994</v>
      </c>
      <c r="D1274">
        <v>14</v>
      </c>
      <c r="E1274">
        <v>1584.66</v>
      </c>
      <c r="F1274" s="1">
        <v>37930</v>
      </c>
      <c r="G1274" t="s">
        <v>25</v>
      </c>
      <c r="H1274">
        <v>4</v>
      </c>
      <c r="I1274">
        <v>11</v>
      </c>
      <c r="J1274">
        <v>2003</v>
      </c>
      <c r="K1274" t="s">
        <v>550</v>
      </c>
      <c r="L1274">
        <v>92</v>
      </c>
      <c r="M1274" t="s">
        <v>614</v>
      </c>
      <c r="N1274" t="s">
        <v>552</v>
      </c>
      <c r="O1274" t="s">
        <v>553</v>
      </c>
      <c r="P1274" t="s">
        <v>554</v>
      </c>
      <c r="R1274" t="s">
        <v>555</v>
      </c>
      <c r="T1274">
        <v>24100</v>
      </c>
      <c r="U1274" t="s">
        <v>258</v>
      </c>
      <c r="V1274" t="s">
        <v>42</v>
      </c>
      <c r="W1274" t="s">
        <v>556</v>
      </c>
      <c r="X1274" t="s">
        <v>557</v>
      </c>
      <c r="Y1274" t="s">
        <v>36</v>
      </c>
    </row>
    <row r="1275" spans="1:25" x14ac:dyDescent="0.25">
      <c r="A1275">
        <v>10182</v>
      </c>
      <c r="B1275">
        <v>36</v>
      </c>
      <c r="C1275">
        <v>100</v>
      </c>
      <c r="D1275">
        <v>11</v>
      </c>
      <c r="E1275">
        <v>3942.72</v>
      </c>
      <c r="F1275" s="1">
        <v>37937</v>
      </c>
      <c r="G1275" t="s">
        <v>25</v>
      </c>
      <c r="H1275">
        <v>4</v>
      </c>
      <c r="I1275">
        <v>11</v>
      </c>
      <c r="J1275">
        <v>2003</v>
      </c>
      <c r="K1275" t="s">
        <v>550</v>
      </c>
      <c r="L1275">
        <v>92</v>
      </c>
      <c r="M1275" t="s">
        <v>614</v>
      </c>
      <c r="N1275" t="s">
        <v>272</v>
      </c>
      <c r="O1275">
        <v>4155551450</v>
      </c>
      <c r="P1275" t="s">
        <v>273</v>
      </c>
      <c r="R1275" t="s">
        <v>274</v>
      </c>
      <c r="S1275" t="s">
        <v>55</v>
      </c>
      <c r="T1275">
        <v>97562</v>
      </c>
      <c r="U1275" t="s">
        <v>32</v>
      </c>
      <c r="V1275" t="s">
        <v>33</v>
      </c>
      <c r="W1275" t="s">
        <v>275</v>
      </c>
      <c r="X1275" t="s">
        <v>276</v>
      </c>
      <c r="Y1275" t="s">
        <v>51</v>
      </c>
    </row>
    <row r="1276" spans="1:25" x14ac:dyDescent="0.25">
      <c r="A1276">
        <v>10193</v>
      </c>
      <c r="B1276">
        <v>24</v>
      </c>
      <c r="C1276">
        <v>97.55</v>
      </c>
      <c r="D1276">
        <v>15</v>
      </c>
      <c r="E1276">
        <v>2341.1999999999998</v>
      </c>
      <c r="F1276" s="1">
        <v>37946</v>
      </c>
      <c r="G1276" t="s">
        <v>25</v>
      </c>
      <c r="H1276">
        <v>4</v>
      </c>
      <c r="I1276">
        <v>11</v>
      </c>
      <c r="J1276">
        <v>2003</v>
      </c>
      <c r="K1276" t="s">
        <v>550</v>
      </c>
      <c r="L1276">
        <v>92</v>
      </c>
      <c r="M1276" t="s">
        <v>614</v>
      </c>
      <c r="N1276" t="s">
        <v>558</v>
      </c>
      <c r="O1276" t="s">
        <v>559</v>
      </c>
      <c r="P1276" t="s">
        <v>560</v>
      </c>
      <c r="R1276" t="s">
        <v>561</v>
      </c>
      <c r="S1276" t="s">
        <v>94</v>
      </c>
      <c r="T1276">
        <v>3150</v>
      </c>
      <c r="U1276" t="s">
        <v>95</v>
      </c>
      <c r="V1276" t="s">
        <v>96</v>
      </c>
      <c r="W1276" t="s">
        <v>562</v>
      </c>
      <c r="X1276" t="s">
        <v>563</v>
      </c>
      <c r="Y1276" t="s">
        <v>36</v>
      </c>
    </row>
    <row r="1277" spans="1:25" x14ac:dyDescent="0.25">
      <c r="A1277">
        <v>10204</v>
      </c>
      <c r="B1277">
        <v>29</v>
      </c>
      <c r="C1277">
        <v>85.59</v>
      </c>
      <c r="D1277">
        <v>5</v>
      </c>
      <c r="E1277">
        <v>2482.11</v>
      </c>
      <c r="F1277" s="1">
        <v>37957</v>
      </c>
      <c r="G1277" t="s">
        <v>25</v>
      </c>
      <c r="H1277">
        <v>4</v>
      </c>
      <c r="I1277">
        <v>12</v>
      </c>
      <c r="J1277">
        <v>2003</v>
      </c>
      <c r="K1277" t="s">
        <v>550</v>
      </c>
      <c r="L1277">
        <v>92</v>
      </c>
      <c r="M1277" t="s">
        <v>614</v>
      </c>
      <c r="N1277" t="s">
        <v>475</v>
      </c>
      <c r="O1277">
        <v>2125557413</v>
      </c>
      <c r="P1277" t="s">
        <v>476</v>
      </c>
      <c r="Q1277" t="s">
        <v>477</v>
      </c>
      <c r="R1277" t="s">
        <v>30</v>
      </c>
      <c r="S1277" t="s">
        <v>31</v>
      </c>
      <c r="T1277">
        <v>10022</v>
      </c>
      <c r="U1277" t="s">
        <v>32</v>
      </c>
      <c r="V1277" t="s">
        <v>33</v>
      </c>
      <c r="W1277" t="s">
        <v>56</v>
      </c>
      <c r="X1277" t="s">
        <v>478</v>
      </c>
      <c r="Y1277" t="s">
        <v>36</v>
      </c>
    </row>
    <row r="1278" spans="1:25" x14ac:dyDescent="0.25">
      <c r="A1278">
        <v>10213</v>
      </c>
      <c r="B1278">
        <v>38</v>
      </c>
      <c r="C1278">
        <v>94.79</v>
      </c>
      <c r="D1278">
        <v>1</v>
      </c>
      <c r="E1278">
        <v>3602.02</v>
      </c>
      <c r="F1278" s="1">
        <v>38008</v>
      </c>
      <c r="G1278" t="s">
        <v>25</v>
      </c>
      <c r="H1278">
        <v>1</v>
      </c>
      <c r="I1278">
        <v>1</v>
      </c>
      <c r="J1278">
        <v>2004</v>
      </c>
      <c r="K1278" t="s">
        <v>550</v>
      </c>
      <c r="L1278">
        <v>92</v>
      </c>
      <c r="M1278" t="s">
        <v>614</v>
      </c>
      <c r="N1278" t="s">
        <v>346</v>
      </c>
      <c r="O1278" t="s">
        <v>347</v>
      </c>
      <c r="P1278" t="s">
        <v>348</v>
      </c>
      <c r="R1278" t="s">
        <v>332</v>
      </c>
      <c r="T1278" t="s">
        <v>349</v>
      </c>
      <c r="U1278" t="s">
        <v>170</v>
      </c>
      <c r="V1278" t="s">
        <v>42</v>
      </c>
      <c r="W1278" t="s">
        <v>350</v>
      </c>
      <c r="X1278" t="s">
        <v>351</v>
      </c>
      <c r="Y1278" t="s">
        <v>51</v>
      </c>
    </row>
    <row r="1279" spans="1:25" x14ac:dyDescent="0.25">
      <c r="A1279">
        <v>10227</v>
      </c>
      <c r="B1279">
        <v>34</v>
      </c>
      <c r="C1279">
        <v>100</v>
      </c>
      <c r="D1279">
        <v>11</v>
      </c>
      <c r="E1279">
        <v>3566.94</v>
      </c>
      <c r="F1279" s="1">
        <v>38048</v>
      </c>
      <c r="G1279" t="s">
        <v>25</v>
      </c>
      <c r="H1279">
        <v>1</v>
      </c>
      <c r="I1279">
        <v>3</v>
      </c>
      <c r="J1279">
        <v>2004</v>
      </c>
      <c r="K1279" t="s">
        <v>550</v>
      </c>
      <c r="L1279">
        <v>92</v>
      </c>
      <c r="M1279" t="s">
        <v>614</v>
      </c>
      <c r="N1279" t="s">
        <v>219</v>
      </c>
      <c r="O1279" t="s">
        <v>220</v>
      </c>
      <c r="P1279" t="s">
        <v>221</v>
      </c>
      <c r="R1279" t="s">
        <v>222</v>
      </c>
      <c r="T1279">
        <v>69004</v>
      </c>
      <c r="U1279" t="s">
        <v>41</v>
      </c>
      <c r="V1279" t="s">
        <v>42</v>
      </c>
      <c r="W1279" t="s">
        <v>223</v>
      </c>
      <c r="X1279" t="s">
        <v>224</v>
      </c>
      <c r="Y1279" t="s">
        <v>51</v>
      </c>
    </row>
    <row r="1280" spans="1:25" x14ac:dyDescent="0.25">
      <c r="A1280">
        <v>10241</v>
      </c>
      <c r="B1280">
        <v>42</v>
      </c>
      <c r="C1280">
        <v>90.19</v>
      </c>
      <c r="D1280">
        <v>3</v>
      </c>
      <c r="E1280">
        <v>3787.98</v>
      </c>
      <c r="F1280" s="1">
        <v>38090</v>
      </c>
      <c r="G1280" t="s">
        <v>25</v>
      </c>
      <c r="H1280">
        <v>2</v>
      </c>
      <c r="I1280">
        <v>4</v>
      </c>
      <c r="J1280">
        <v>2004</v>
      </c>
      <c r="K1280" t="s">
        <v>550</v>
      </c>
      <c r="L1280">
        <v>92</v>
      </c>
      <c r="M1280" t="s">
        <v>614</v>
      </c>
      <c r="N1280" t="s">
        <v>531</v>
      </c>
      <c r="O1280" t="s">
        <v>532</v>
      </c>
      <c r="P1280" t="s">
        <v>533</v>
      </c>
      <c r="R1280" t="s">
        <v>534</v>
      </c>
      <c r="T1280">
        <v>67000</v>
      </c>
      <c r="U1280" t="s">
        <v>41</v>
      </c>
      <c r="V1280" t="s">
        <v>42</v>
      </c>
      <c r="W1280" t="s">
        <v>535</v>
      </c>
      <c r="X1280" t="s">
        <v>536</v>
      </c>
      <c r="Y1280" t="s">
        <v>51</v>
      </c>
    </row>
    <row r="1281" spans="1:25" x14ac:dyDescent="0.25">
      <c r="A1281">
        <v>10280</v>
      </c>
      <c r="B1281">
        <v>35</v>
      </c>
      <c r="C1281">
        <v>100</v>
      </c>
      <c r="D1281">
        <v>17</v>
      </c>
      <c r="E1281">
        <v>3704.05</v>
      </c>
      <c r="F1281" s="1">
        <v>38216</v>
      </c>
      <c r="G1281" t="s">
        <v>25</v>
      </c>
      <c r="H1281">
        <v>3</v>
      </c>
      <c r="I1281">
        <v>8</v>
      </c>
      <c r="J1281">
        <v>2004</v>
      </c>
      <c r="K1281" t="s">
        <v>550</v>
      </c>
      <c r="L1281">
        <v>92</v>
      </c>
      <c r="M1281" t="s">
        <v>614</v>
      </c>
      <c r="N1281" t="s">
        <v>254</v>
      </c>
      <c r="O1281" t="s">
        <v>255</v>
      </c>
      <c r="P1281" t="s">
        <v>256</v>
      </c>
      <c r="R1281" t="s">
        <v>257</v>
      </c>
      <c r="T1281">
        <v>10100</v>
      </c>
      <c r="U1281" t="s">
        <v>258</v>
      </c>
      <c r="V1281" t="s">
        <v>42</v>
      </c>
      <c r="W1281" t="s">
        <v>259</v>
      </c>
      <c r="X1281" t="s">
        <v>260</v>
      </c>
      <c r="Y1281" t="s">
        <v>51</v>
      </c>
    </row>
    <row r="1282" spans="1:25" x14ac:dyDescent="0.25">
      <c r="A1282">
        <v>10288</v>
      </c>
      <c r="B1282">
        <v>35</v>
      </c>
      <c r="C1282">
        <v>80.989999999999995</v>
      </c>
      <c r="D1282">
        <v>6</v>
      </c>
      <c r="E1282">
        <v>2834.65</v>
      </c>
      <c r="F1282" s="1">
        <v>38231</v>
      </c>
      <c r="G1282" t="s">
        <v>25</v>
      </c>
      <c r="H1282">
        <v>3</v>
      </c>
      <c r="I1282">
        <v>9</v>
      </c>
      <c r="J1282">
        <v>2004</v>
      </c>
      <c r="K1282" t="s">
        <v>550</v>
      </c>
      <c r="L1282">
        <v>92</v>
      </c>
      <c r="M1282" t="s">
        <v>614</v>
      </c>
      <c r="N1282" t="s">
        <v>418</v>
      </c>
      <c r="O1282" t="s">
        <v>419</v>
      </c>
      <c r="P1282" t="s">
        <v>420</v>
      </c>
      <c r="Q1282" t="s">
        <v>421</v>
      </c>
      <c r="R1282" t="s">
        <v>199</v>
      </c>
      <c r="T1282">
        <v>69045</v>
      </c>
      <c r="U1282" t="s">
        <v>199</v>
      </c>
      <c r="V1282" t="s">
        <v>96</v>
      </c>
      <c r="W1282" t="s">
        <v>422</v>
      </c>
      <c r="X1282" t="s">
        <v>423</v>
      </c>
      <c r="Y1282" t="s">
        <v>36</v>
      </c>
    </row>
    <row r="1283" spans="1:25" x14ac:dyDescent="0.25">
      <c r="A1283">
        <v>10302</v>
      </c>
      <c r="B1283">
        <v>38</v>
      </c>
      <c r="C1283">
        <v>89.27</v>
      </c>
      <c r="D1283">
        <v>2</v>
      </c>
      <c r="E1283">
        <v>3392.26</v>
      </c>
      <c r="F1283" s="1">
        <v>37900</v>
      </c>
      <c r="G1283" t="s">
        <v>25</v>
      </c>
      <c r="H1283">
        <v>4</v>
      </c>
      <c r="I1283">
        <v>10</v>
      </c>
      <c r="J1283">
        <v>2003</v>
      </c>
      <c r="K1283" t="s">
        <v>550</v>
      </c>
      <c r="L1283">
        <v>92</v>
      </c>
      <c r="M1283" t="s">
        <v>614</v>
      </c>
      <c r="N1283" t="s">
        <v>165</v>
      </c>
      <c r="O1283" t="s">
        <v>166</v>
      </c>
      <c r="P1283" t="s">
        <v>167</v>
      </c>
      <c r="R1283" t="s">
        <v>168</v>
      </c>
      <c r="T1283" t="s">
        <v>169</v>
      </c>
      <c r="U1283" t="s">
        <v>170</v>
      </c>
      <c r="V1283" t="s">
        <v>42</v>
      </c>
      <c r="W1283" t="s">
        <v>171</v>
      </c>
      <c r="X1283" t="s">
        <v>172</v>
      </c>
      <c r="Y1283" t="s">
        <v>51</v>
      </c>
    </row>
    <row r="1284" spans="1:25" x14ac:dyDescent="0.25">
      <c r="A1284">
        <v>10311</v>
      </c>
      <c r="B1284">
        <v>41</v>
      </c>
      <c r="C1284">
        <v>81.91</v>
      </c>
      <c r="D1284">
        <v>1</v>
      </c>
      <c r="E1284">
        <v>3358.31</v>
      </c>
      <c r="F1284" s="1">
        <v>38276</v>
      </c>
      <c r="G1284" t="s">
        <v>25</v>
      </c>
      <c r="H1284">
        <v>4</v>
      </c>
      <c r="I1284">
        <v>10</v>
      </c>
      <c r="J1284">
        <v>2004</v>
      </c>
      <c r="K1284" t="s">
        <v>550</v>
      </c>
      <c r="L1284">
        <v>92</v>
      </c>
      <c r="M1284" t="s">
        <v>614</v>
      </c>
      <c r="N1284" t="s">
        <v>174</v>
      </c>
      <c r="O1284" t="s">
        <v>175</v>
      </c>
      <c r="P1284" t="s">
        <v>176</v>
      </c>
      <c r="R1284" t="s">
        <v>177</v>
      </c>
      <c r="T1284">
        <v>28034</v>
      </c>
      <c r="U1284" t="s">
        <v>178</v>
      </c>
      <c r="V1284" t="s">
        <v>42</v>
      </c>
      <c r="W1284" t="s">
        <v>179</v>
      </c>
      <c r="X1284" t="s">
        <v>180</v>
      </c>
      <c r="Y1284" t="s">
        <v>51</v>
      </c>
    </row>
    <row r="1285" spans="1:25" x14ac:dyDescent="0.25">
      <c r="A1285">
        <v>10332</v>
      </c>
      <c r="B1285">
        <v>50</v>
      </c>
      <c r="C1285">
        <v>100</v>
      </c>
      <c r="D1285">
        <v>2</v>
      </c>
      <c r="E1285">
        <v>7310</v>
      </c>
      <c r="F1285" s="1">
        <v>38308</v>
      </c>
      <c r="G1285" t="s">
        <v>25</v>
      </c>
      <c r="H1285">
        <v>4</v>
      </c>
      <c r="I1285">
        <v>11</v>
      </c>
      <c r="J1285">
        <v>2004</v>
      </c>
      <c r="K1285" t="s">
        <v>550</v>
      </c>
      <c r="L1285">
        <v>92</v>
      </c>
      <c r="M1285" t="s">
        <v>614</v>
      </c>
      <c r="N1285" t="s">
        <v>492</v>
      </c>
      <c r="O1285" t="s">
        <v>493</v>
      </c>
      <c r="P1285" t="s">
        <v>494</v>
      </c>
      <c r="R1285" t="s">
        <v>495</v>
      </c>
      <c r="T1285" t="s">
        <v>496</v>
      </c>
      <c r="U1285" t="s">
        <v>170</v>
      </c>
      <c r="V1285" t="s">
        <v>42</v>
      </c>
      <c r="W1285" t="s">
        <v>497</v>
      </c>
      <c r="X1285" t="s">
        <v>94</v>
      </c>
      <c r="Y1285" t="s">
        <v>151</v>
      </c>
    </row>
    <row r="1286" spans="1:25" x14ac:dyDescent="0.25">
      <c r="A1286">
        <v>10344</v>
      </c>
      <c r="B1286">
        <v>21</v>
      </c>
      <c r="C1286">
        <v>100</v>
      </c>
      <c r="D1286">
        <v>4</v>
      </c>
      <c r="E1286">
        <v>2203.11</v>
      </c>
      <c r="F1286" s="1">
        <v>38316</v>
      </c>
      <c r="G1286" t="s">
        <v>25</v>
      </c>
      <c r="H1286">
        <v>4</v>
      </c>
      <c r="I1286">
        <v>11</v>
      </c>
      <c r="J1286">
        <v>2004</v>
      </c>
      <c r="K1286" t="s">
        <v>550</v>
      </c>
      <c r="L1286">
        <v>92</v>
      </c>
      <c r="M1286" t="s">
        <v>614</v>
      </c>
      <c r="N1286" t="s">
        <v>433</v>
      </c>
      <c r="O1286" t="s">
        <v>434</v>
      </c>
      <c r="P1286" t="s">
        <v>435</v>
      </c>
      <c r="R1286" t="s">
        <v>436</v>
      </c>
      <c r="T1286">
        <v>13008</v>
      </c>
      <c r="U1286" t="s">
        <v>41</v>
      </c>
      <c r="V1286" t="s">
        <v>42</v>
      </c>
      <c r="W1286" t="s">
        <v>437</v>
      </c>
      <c r="X1286" t="s">
        <v>438</v>
      </c>
      <c r="Y1286" t="s">
        <v>36</v>
      </c>
    </row>
    <row r="1287" spans="1:25" x14ac:dyDescent="0.25">
      <c r="A1287">
        <v>10367</v>
      </c>
      <c r="B1287">
        <v>43</v>
      </c>
      <c r="C1287">
        <v>62.72</v>
      </c>
      <c r="D1287">
        <v>8</v>
      </c>
      <c r="E1287">
        <v>2696.96</v>
      </c>
      <c r="F1287" s="1">
        <v>38364</v>
      </c>
      <c r="G1287" t="s">
        <v>408</v>
      </c>
      <c r="H1287">
        <v>1</v>
      </c>
      <c r="I1287">
        <v>1</v>
      </c>
      <c r="J1287">
        <v>2005</v>
      </c>
      <c r="K1287" t="s">
        <v>550</v>
      </c>
      <c r="L1287">
        <v>92</v>
      </c>
      <c r="M1287" t="s">
        <v>614</v>
      </c>
      <c r="N1287" t="s">
        <v>52</v>
      </c>
      <c r="O1287">
        <v>6265557265</v>
      </c>
      <c r="P1287" t="s">
        <v>53</v>
      </c>
      <c r="R1287" t="s">
        <v>54</v>
      </c>
      <c r="S1287" t="s">
        <v>55</v>
      </c>
      <c r="T1287">
        <v>90003</v>
      </c>
      <c r="U1287" t="s">
        <v>32</v>
      </c>
      <c r="V1287" t="s">
        <v>33</v>
      </c>
      <c r="W1287" t="s">
        <v>56</v>
      </c>
      <c r="X1287" t="s">
        <v>57</v>
      </c>
      <c r="Y1287" t="s">
        <v>36</v>
      </c>
    </row>
    <row r="1288" spans="1:25" x14ac:dyDescent="0.25">
      <c r="A1288">
        <v>10380</v>
      </c>
      <c r="B1288">
        <v>32</v>
      </c>
      <c r="C1288">
        <v>100</v>
      </c>
      <c r="D1288">
        <v>1</v>
      </c>
      <c r="E1288">
        <v>3376.64</v>
      </c>
      <c r="F1288" s="1">
        <v>38399</v>
      </c>
      <c r="G1288" t="s">
        <v>25</v>
      </c>
      <c r="H1288">
        <v>1</v>
      </c>
      <c r="I1288">
        <v>2</v>
      </c>
      <c r="J1288">
        <v>2005</v>
      </c>
      <c r="K1288" t="s">
        <v>550</v>
      </c>
      <c r="L1288">
        <v>92</v>
      </c>
      <c r="M1288" t="s">
        <v>614</v>
      </c>
      <c r="N1288" t="s">
        <v>174</v>
      </c>
      <c r="O1288" t="s">
        <v>175</v>
      </c>
      <c r="P1288" t="s">
        <v>176</v>
      </c>
      <c r="R1288" t="s">
        <v>177</v>
      </c>
      <c r="T1288">
        <v>28034</v>
      </c>
      <c r="U1288" t="s">
        <v>178</v>
      </c>
      <c r="V1288" t="s">
        <v>42</v>
      </c>
      <c r="W1288" t="s">
        <v>179</v>
      </c>
      <c r="X1288" t="s">
        <v>180</v>
      </c>
      <c r="Y1288" t="s">
        <v>51</v>
      </c>
    </row>
    <row r="1289" spans="1:25" x14ac:dyDescent="0.25">
      <c r="A1289">
        <v>10407</v>
      </c>
      <c r="B1289">
        <v>6</v>
      </c>
      <c r="C1289">
        <v>90.19</v>
      </c>
      <c r="D1289">
        <v>3</v>
      </c>
      <c r="E1289">
        <v>541.14</v>
      </c>
      <c r="F1289" s="1">
        <v>38464</v>
      </c>
      <c r="G1289" t="s">
        <v>401</v>
      </c>
      <c r="H1289">
        <v>2</v>
      </c>
      <c r="I1289">
        <v>4</v>
      </c>
      <c r="J1289">
        <v>2005</v>
      </c>
      <c r="K1289" t="s">
        <v>550</v>
      </c>
      <c r="L1289">
        <v>92</v>
      </c>
      <c r="M1289" t="s">
        <v>614</v>
      </c>
      <c r="N1289" t="s">
        <v>397</v>
      </c>
      <c r="O1289">
        <v>4085553659</v>
      </c>
      <c r="P1289" t="s">
        <v>398</v>
      </c>
      <c r="R1289" t="s">
        <v>399</v>
      </c>
      <c r="S1289" t="s">
        <v>55</v>
      </c>
      <c r="T1289">
        <v>94217</v>
      </c>
      <c r="U1289" t="s">
        <v>32</v>
      </c>
      <c r="V1289" t="s">
        <v>33</v>
      </c>
      <c r="W1289" t="s">
        <v>102</v>
      </c>
      <c r="X1289" t="s">
        <v>400</v>
      </c>
      <c r="Y1289" t="s">
        <v>36</v>
      </c>
    </row>
    <row r="1290" spans="1:25" x14ac:dyDescent="0.25">
      <c r="A1290">
        <v>10420</v>
      </c>
      <c r="B1290">
        <v>66</v>
      </c>
      <c r="C1290">
        <v>92.95</v>
      </c>
      <c r="D1290">
        <v>6</v>
      </c>
      <c r="E1290">
        <v>6134.7</v>
      </c>
      <c r="F1290" s="1">
        <v>38501</v>
      </c>
      <c r="G1290" t="s">
        <v>300</v>
      </c>
      <c r="H1290">
        <v>2</v>
      </c>
      <c r="I1290">
        <v>5</v>
      </c>
      <c r="J1290">
        <v>2005</v>
      </c>
      <c r="K1290" t="s">
        <v>550</v>
      </c>
      <c r="L1290">
        <v>92</v>
      </c>
      <c r="M1290" t="s">
        <v>614</v>
      </c>
      <c r="N1290" t="s">
        <v>152</v>
      </c>
      <c r="O1290" t="s">
        <v>153</v>
      </c>
      <c r="P1290" t="s">
        <v>154</v>
      </c>
      <c r="Q1290" t="s">
        <v>155</v>
      </c>
      <c r="R1290" t="s">
        <v>156</v>
      </c>
      <c r="S1290" t="s">
        <v>157</v>
      </c>
      <c r="T1290">
        <v>2067</v>
      </c>
      <c r="U1290" t="s">
        <v>95</v>
      </c>
      <c r="V1290" t="s">
        <v>96</v>
      </c>
      <c r="W1290" t="s">
        <v>158</v>
      </c>
      <c r="X1290" t="s">
        <v>159</v>
      </c>
      <c r="Y1290" t="s">
        <v>51</v>
      </c>
    </row>
    <row r="1291" spans="1:25" x14ac:dyDescent="0.25">
      <c r="A1291">
        <v>10105</v>
      </c>
      <c r="B1291">
        <v>41</v>
      </c>
      <c r="C1291">
        <v>82.5</v>
      </c>
      <c r="D1291">
        <v>10</v>
      </c>
      <c r="E1291">
        <v>3382.5</v>
      </c>
      <c r="F1291" s="1">
        <v>37663</v>
      </c>
      <c r="G1291" t="s">
        <v>25</v>
      </c>
      <c r="H1291">
        <v>1</v>
      </c>
      <c r="I1291">
        <v>2</v>
      </c>
      <c r="J1291">
        <v>2003</v>
      </c>
      <c r="K1291" t="s">
        <v>550</v>
      </c>
      <c r="L1291">
        <v>87</v>
      </c>
      <c r="M1291" t="s">
        <v>615</v>
      </c>
      <c r="N1291" t="s">
        <v>322</v>
      </c>
      <c r="O1291" t="s">
        <v>323</v>
      </c>
      <c r="P1291" t="s">
        <v>324</v>
      </c>
      <c r="R1291" t="s">
        <v>325</v>
      </c>
      <c r="T1291">
        <v>1734</v>
      </c>
      <c r="U1291" t="s">
        <v>326</v>
      </c>
      <c r="V1291" t="s">
        <v>42</v>
      </c>
      <c r="W1291" t="s">
        <v>327</v>
      </c>
      <c r="X1291" t="s">
        <v>328</v>
      </c>
      <c r="Y1291" t="s">
        <v>51</v>
      </c>
    </row>
    <row r="1292" spans="1:25" x14ac:dyDescent="0.25">
      <c r="A1292">
        <v>10117</v>
      </c>
      <c r="B1292">
        <v>23</v>
      </c>
      <c r="C1292">
        <v>97.42</v>
      </c>
      <c r="D1292">
        <v>4</v>
      </c>
      <c r="E1292">
        <v>2240.66</v>
      </c>
      <c r="F1292" s="1">
        <v>37727</v>
      </c>
      <c r="G1292" t="s">
        <v>25</v>
      </c>
      <c r="H1292">
        <v>2</v>
      </c>
      <c r="I1292">
        <v>4</v>
      </c>
      <c r="J1292">
        <v>2003</v>
      </c>
      <c r="K1292" t="s">
        <v>550</v>
      </c>
      <c r="L1292">
        <v>87</v>
      </c>
      <c r="M1292" t="s">
        <v>615</v>
      </c>
      <c r="N1292" t="s">
        <v>196</v>
      </c>
      <c r="O1292" t="s">
        <v>197</v>
      </c>
      <c r="P1292" t="s">
        <v>198</v>
      </c>
      <c r="R1292" t="s">
        <v>199</v>
      </c>
      <c r="T1292">
        <v>79903</v>
      </c>
      <c r="U1292" t="s">
        <v>199</v>
      </c>
      <c r="V1292" t="s">
        <v>200</v>
      </c>
      <c r="W1292" t="s">
        <v>201</v>
      </c>
      <c r="X1292" t="s">
        <v>202</v>
      </c>
      <c r="Y1292" t="s">
        <v>36</v>
      </c>
    </row>
    <row r="1293" spans="1:25" x14ac:dyDescent="0.25">
      <c r="A1293">
        <v>10128</v>
      </c>
      <c r="B1293">
        <v>43</v>
      </c>
      <c r="C1293">
        <v>92.16</v>
      </c>
      <c r="D1293">
        <v>1</v>
      </c>
      <c r="E1293">
        <v>3962.88</v>
      </c>
      <c r="F1293" s="1">
        <v>37778</v>
      </c>
      <c r="G1293" t="s">
        <v>25</v>
      </c>
      <c r="H1293">
        <v>2</v>
      </c>
      <c r="I1293">
        <v>6</v>
      </c>
      <c r="J1293">
        <v>2003</v>
      </c>
      <c r="K1293" t="s">
        <v>550</v>
      </c>
      <c r="L1293">
        <v>87</v>
      </c>
      <c r="M1293" t="s">
        <v>615</v>
      </c>
      <c r="N1293" t="s">
        <v>174</v>
      </c>
      <c r="O1293" t="s">
        <v>175</v>
      </c>
      <c r="P1293" t="s">
        <v>176</v>
      </c>
      <c r="R1293" t="s">
        <v>177</v>
      </c>
      <c r="T1293">
        <v>28034</v>
      </c>
      <c r="U1293" t="s">
        <v>178</v>
      </c>
      <c r="V1293" t="s">
        <v>42</v>
      </c>
      <c r="W1293" t="s">
        <v>179</v>
      </c>
      <c r="X1293" t="s">
        <v>180</v>
      </c>
      <c r="Y1293" t="s">
        <v>51</v>
      </c>
    </row>
    <row r="1294" spans="1:25" x14ac:dyDescent="0.25">
      <c r="A1294">
        <v>10142</v>
      </c>
      <c r="B1294">
        <v>24</v>
      </c>
      <c r="C1294">
        <v>70.22</v>
      </c>
      <c r="D1294">
        <v>7</v>
      </c>
      <c r="E1294">
        <v>1685.28</v>
      </c>
      <c r="F1294" s="1">
        <v>37841</v>
      </c>
      <c r="G1294" t="s">
        <v>25</v>
      </c>
      <c r="H1294">
        <v>3</v>
      </c>
      <c r="I1294">
        <v>8</v>
      </c>
      <c r="J1294">
        <v>2003</v>
      </c>
      <c r="K1294" t="s">
        <v>550</v>
      </c>
      <c r="L1294">
        <v>87</v>
      </c>
      <c r="M1294" t="s">
        <v>615</v>
      </c>
      <c r="N1294" t="s">
        <v>272</v>
      </c>
      <c r="O1294">
        <v>4155551450</v>
      </c>
      <c r="P1294" t="s">
        <v>273</v>
      </c>
      <c r="R1294" t="s">
        <v>274</v>
      </c>
      <c r="S1294" t="s">
        <v>55</v>
      </c>
      <c r="T1294">
        <v>97562</v>
      </c>
      <c r="U1294" t="s">
        <v>32</v>
      </c>
      <c r="V1294" t="s">
        <v>33</v>
      </c>
      <c r="W1294" t="s">
        <v>275</v>
      </c>
      <c r="X1294" t="s">
        <v>276</v>
      </c>
      <c r="Y1294" t="s">
        <v>36</v>
      </c>
    </row>
    <row r="1295" spans="1:25" x14ac:dyDescent="0.25">
      <c r="A1295">
        <v>10153</v>
      </c>
      <c r="B1295">
        <v>22</v>
      </c>
      <c r="C1295">
        <v>83.38</v>
      </c>
      <c r="D1295">
        <v>6</v>
      </c>
      <c r="E1295">
        <v>1834.36</v>
      </c>
      <c r="F1295" s="1">
        <v>37892</v>
      </c>
      <c r="G1295" t="s">
        <v>25</v>
      </c>
      <c r="H1295">
        <v>3</v>
      </c>
      <c r="I1295">
        <v>9</v>
      </c>
      <c r="J1295">
        <v>2003</v>
      </c>
      <c r="K1295" t="s">
        <v>550</v>
      </c>
      <c r="L1295">
        <v>87</v>
      </c>
      <c r="M1295" t="s">
        <v>615</v>
      </c>
      <c r="N1295" t="s">
        <v>174</v>
      </c>
      <c r="O1295" t="s">
        <v>175</v>
      </c>
      <c r="P1295" t="s">
        <v>176</v>
      </c>
      <c r="R1295" t="s">
        <v>177</v>
      </c>
      <c r="T1295">
        <v>28034</v>
      </c>
      <c r="U1295" t="s">
        <v>178</v>
      </c>
      <c r="V1295" t="s">
        <v>42</v>
      </c>
      <c r="W1295" t="s">
        <v>179</v>
      </c>
      <c r="X1295" t="s">
        <v>180</v>
      </c>
      <c r="Y1295" t="s">
        <v>36</v>
      </c>
    </row>
    <row r="1296" spans="1:25" x14ac:dyDescent="0.25">
      <c r="A1296">
        <v>10166</v>
      </c>
      <c r="B1296">
        <v>26</v>
      </c>
      <c r="C1296">
        <v>73.73</v>
      </c>
      <c r="D1296">
        <v>1</v>
      </c>
      <c r="E1296">
        <v>1916.98</v>
      </c>
      <c r="F1296" s="1">
        <v>37915</v>
      </c>
      <c r="G1296" t="s">
        <v>25</v>
      </c>
      <c r="H1296">
        <v>4</v>
      </c>
      <c r="I1296">
        <v>10</v>
      </c>
      <c r="J1296">
        <v>2003</v>
      </c>
      <c r="K1296" t="s">
        <v>550</v>
      </c>
      <c r="L1296">
        <v>87</v>
      </c>
      <c r="M1296" t="s">
        <v>615</v>
      </c>
      <c r="N1296" t="s">
        <v>160</v>
      </c>
      <c r="O1296">
        <v>5085552555</v>
      </c>
      <c r="P1296" t="s">
        <v>161</v>
      </c>
      <c r="R1296" t="s">
        <v>162</v>
      </c>
      <c r="S1296" t="s">
        <v>123</v>
      </c>
      <c r="T1296">
        <v>50553</v>
      </c>
      <c r="U1296" t="s">
        <v>32</v>
      </c>
      <c r="V1296" t="s">
        <v>33</v>
      </c>
      <c r="W1296" t="s">
        <v>163</v>
      </c>
      <c r="X1296" t="s">
        <v>164</v>
      </c>
      <c r="Y1296" t="s">
        <v>36</v>
      </c>
    </row>
    <row r="1297" spans="1:25" x14ac:dyDescent="0.25">
      <c r="A1297">
        <v>10177</v>
      </c>
      <c r="B1297">
        <v>35</v>
      </c>
      <c r="C1297">
        <v>74.599999999999994</v>
      </c>
      <c r="D1297">
        <v>8</v>
      </c>
      <c r="E1297">
        <v>2611</v>
      </c>
      <c r="F1297" s="1">
        <v>37932</v>
      </c>
      <c r="G1297" t="s">
        <v>25</v>
      </c>
      <c r="H1297">
        <v>4</v>
      </c>
      <c r="I1297">
        <v>11</v>
      </c>
      <c r="J1297">
        <v>2003</v>
      </c>
      <c r="K1297" t="s">
        <v>550</v>
      </c>
      <c r="L1297">
        <v>87</v>
      </c>
      <c r="M1297" t="s">
        <v>615</v>
      </c>
      <c r="N1297" t="s">
        <v>487</v>
      </c>
      <c r="O1297" t="s">
        <v>488</v>
      </c>
      <c r="P1297" t="s">
        <v>489</v>
      </c>
      <c r="R1297" t="s">
        <v>177</v>
      </c>
      <c r="T1297">
        <v>28023</v>
      </c>
      <c r="U1297" t="s">
        <v>178</v>
      </c>
      <c r="V1297" t="s">
        <v>42</v>
      </c>
      <c r="W1297" t="s">
        <v>490</v>
      </c>
      <c r="X1297" t="s">
        <v>491</v>
      </c>
      <c r="Y1297" t="s">
        <v>36</v>
      </c>
    </row>
    <row r="1298" spans="1:25" x14ac:dyDescent="0.25">
      <c r="A1298">
        <v>10185</v>
      </c>
      <c r="B1298">
        <v>47</v>
      </c>
      <c r="C1298">
        <v>77.239999999999995</v>
      </c>
      <c r="D1298">
        <v>8</v>
      </c>
      <c r="E1298">
        <v>3630.28</v>
      </c>
      <c r="F1298" s="1">
        <v>37939</v>
      </c>
      <c r="G1298" t="s">
        <v>25</v>
      </c>
      <c r="H1298">
        <v>4</v>
      </c>
      <c r="I1298">
        <v>11</v>
      </c>
      <c r="J1298">
        <v>2003</v>
      </c>
      <c r="K1298" t="s">
        <v>550</v>
      </c>
      <c r="L1298">
        <v>87</v>
      </c>
      <c r="M1298" t="s">
        <v>615</v>
      </c>
      <c r="N1298" t="s">
        <v>335</v>
      </c>
      <c r="O1298">
        <v>5085559555</v>
      </c>
      <c r="P1298" t="s">
        <v>336</v>
      </c>
      <c r="R1298" t="s">
        <v>162</v>
      </c>
      <c r="S1298" t="s">
        <v>123</v>
      </c>
      <c r="T1298">
        <v>50553</v>
      </c>
      <c r="U1298" t="s">
        <v>32</v>
      </c>
      <c r="V1298" t="s">
        <v>33</v>
      </c>
      <c r="W1298" t="s">
        <v>337</v>
      </c>
      <c r="X1298" t="s">
        <v>338</v>
      </c>
      <c r="Y1298" t="s">
        <v>51</v>
      </c>
    </row>
    <row r="1299" spans="1:25" x14ac:dyDescent="0.25">
      <c r="A1299">
        <v>10197</v>
      </c>
      <c r="B1299">
        <v>50</v>
      </c>
      <c r="C1299">
        <v>100</v>
      </c>
      <c r="D1299">
        <v>14</v>
      </c>
      <c r="E1299">
        <v>5090.5</v>
      </c>
      <c r="F1299" s="1">
        <v>37951</v>
      </c>
      <c r="G1299" t="s">
        <v>25</v>
      </c>
      <c r="H1299">
        <v>4</v>
      </c>
      <c r="I1299">
        <v>11</v>
      </c>
      <c r="J1299">
        <v>2003</v>
      </c>
      <c r="K1299" t="s">
        <v>550</v>
      </c>
      <c r="L1299">
        <v>87</v>
      </c>
      <c r="M1299" t="s">
        <v>615</v>
      </c>
      <c r="N1299" t="s">
        <v>352</v>
      </c>
      <c r="O1299" t="s">
        <v>353</v>
      </c>
      <c r="P1299" t="s">
        <v>354</v>
      </c>
      <c r="R1299" t="s">
        <v>355</v>
      </c>
      <c r="T1299">
        <v>8022</v>
      </c>
      <c r="U1299" t="s">
        <v>178</v>
      </c>
      <c r="V1299" t="s">
        <v>42</v>
      </c>
      <c r="W1299" t="s">
        <v>356</v>
      </c>
      <c r="X1299" t="s">
        <v>357</v>
      </c>
      <c r="Y1299" t="s">
        <v>51</v>
      </c>
    </row>
    <row r="1300" spans="1:25" x14ac:dyDescent="0.25">
      <c r="A1300">
        <v>10208</v>
      </c>
      <c r="B1300">
        <v>45</v>
      </c>
      <c r="C1300">
        <v>87.77</v>
      </c>
      <c r="D1300">
        <v>8</v>
      </c>
      <c r="E1300">
        <v>3949.65</v>
      </c>
      <c r="F1300" s="1">
        <v>37988</v>
      </c>
      <c r="G1300" t="s">
        <v>25</v>
      </c>
      <c r="H1300">
        <v>1</v>
      </c>
      <c r="I1300">
        <v>1</v>
      </c>
      <c r="J1300">
        <v>2004</v>
      </c>
      <c r="K1300" t="s">
        <v>550</v>
      </c>
      <c r="L1300">
        <v>87</v>
      </c>
      <c r="M1300" t="s">
        <v>615</v>
      </c>
      <c r="N1300" t="s">
        <v>219</v>
      </c>
      <c r="O1300" t="s">
        <v>220</v>
      </c>
      <c r="P1300" t="s">
        <v>221</v>
      </c>
      <c r="R1300" t="s">
        <v>222</v>
      </c>
      <c r="T1300">
        <v>69004</v>
      </c>
      <c r="U1300" t="s">
        <v>41</v>
      </c>
      <c r="V1300" t="s">
        <v>42</v>
      </c>
      <c r="W1300" t="s">
        <v>223</v>
      </c>
      <c r="X1300" t="s">
        <v>224</v>
      </c>
      <c r="Y1300" t="s">
        <v>51</v>
      </c>
    </row>
    <row r="1301" spans="1:25" x14ac:dyDescent="0.25">
      <c r="A1301">
        <v>10221</v>
      </c>
      <c r="B1301">
        <v>39</v>
      </c>
      <c r="C1301">
        <v>89.53</v>
      </c>
      <c r="D1301">
        <v>2</v>
      </c>
      <c r="E1301">
        <v>3491.67</v>
      </c>
      <c r="F1301" s="1">
        <v>38035</v>
      </c>
      <c r="G1301" t="s">
        <v>25</v>
      </c>
      <c r="H1301">
        <v>1</v>
      </c>
      <c r="I1301">
        <v>2</v>
      </c>
      <c r="J1301">
        <v>2004</v>
      </c>
      <c r="K1301" t="s">
        <v>550</v>
      </c>
      <c r="L1301">
        <v>87</v>
      </c>
      <c r="M1301" t="s">
        <v>615</v>
      </c>
      <c r="N1301" t="s">
        <v>365</v>
      </c>
      <c r="O1301" t="s">
        <v>366</v>
      </c>
      <c r="P1301" t="s">
        <v>367</v>
      </c>
      <c r="R1301" t="s">
        <v>368</v>
      </c>
      <c r="T1301" t="s">
        <v>369</v>
      </c>
      <c r="U1301" t="s">
        <v>370</v>
      </c>
      <c r="V1301" t="s">
        <v>42</v>
      </c>
      <c r="W1301" t="s">
        <v>371</v>
      </c>
      <c r="X1301" t="s">
        <v>372</v>
      </c>
      <c r="Y1301" t="s">
        <v>51</v>
      </c>
    </row>
    <row r="1302" spans="1:25" x14ac:dyDescent="0.25">
      <c r="A1302">
        <v>10232</v>
      </c>
      <c r="B1302">
        <v>23</v>
      </c>
      <c r="C1302">
        <v>89.53</v>
      </c>
      <c r="D1302">
        <v>5</v>
      </c>
      <c r="E1302">
        <v>2059.19</v>
      </c>
      <c r="F1302" s="1">
        <v>38066</v>
      </c>
      <c r="G1302" t="s">
        <v>25</v>
      </c>
      <c r="H1302">
        <v>1</v>
      </c>
      <c r="I1302">
        <v>3</v>
      </c>
      <c r="J1302">
        <v>2004</v>
      </c>
      <c r="K1302" t="s">
        <v>550</v>
      </c>
      <c r="L1302">
        <v>87</v>
      </c>
      <c r="M1302" t="s">
        <v>615</v>
      </c>
      <c r="N1302" t="s">
        <v>383</v>
      </c>
      <c r="O1302" t="s">
        <v>384</v>
      </c>
      <c r="P1302" t="s">
        <v>385</v>
      </c>
      <c r="R1302" t="s">
        <v>386</v>
      </c>
      <c r="S1302" t="s">
        <v>387</v>
      </c>
      <c r="T1302" t="s">
        <v>388</v>
      </c>
      <c r="U1302" t="s">
        <v>170</v>
      </c>
      <c r="V1302" t="s">
        <v>42</v>
      </c>
      <c r="W1302" t="s">
        <v>389</v>
      </c>
      <c r="X1302" t="s">
        <v>390</v>
      </c>
      <c r="Y1302" t="s">
        <v>36</v>
      </c>
    </row>
    <row r="1303" spans="1:25" x14ac:dyDescent="0.25">
      <c r="A1303">
        <v>10248</v>
      </c>
      <c r="B1303">
        <v>42</v>
      </c>
      <c r="C1303">
        <v>75.48</v>
      </c>
      <c r="D1303">
        <v>11</v>
      </c>
      <c r="E1303">
        <v>3170.16</v>
      </c>
      <c r="F1303" s="1">
        <v>38114</v>
      </c>
      <c r="G1303" t="s">
        <v>339</v>
      </c>
      <c r="H1303">
        <v>2</v>
      </c>
      <c r="I1303">
        <v>5</v>
      </c>
      <c r="J1303">
        <v>2004</v>
      </c>
      <c r="K1303" t="s">
        <v>550</v>
      </c>
      <c r="L1303">
        <v>87</v>
      </c>
      <c r="M1303" t="s">
        <v>615</v>
      </c>
      <c r="N1303" t="s">
        <v>28</v>
      </c>
      <c r="O1303">
        <v>2125557818</v>
      </c>
      <c r="P1303" t="s">
        <v>29</v>
      </c>
      <c r="R1303" t="s">
        <v>30</v>
      </c>
      <c r="S1303" t="s">
        <v>31</v>
      </c>
      <c r="T1303">
        <v>10022</v>
      </c>
      <c r="U1303" t="s">
        <v>32</v>
      </c>
      <c r="V1303" t="s">
        <v>33</v>
      </c>
      <c r="W1303" t="s">
        <v>34</v>
      </c>
      <c r="X1303" t="s">
        <v>35</v>
      </c>
      <c r="Y1303" t="s">
        <v>51</v>
      </c>
    </row>
    <row r="1304" spans="1:25" x14ac:dyDescent="0.25">
      <c r="A1304">
        <v>10261</v>
      </c>
      <c r="B1304">
        <v>20</v>
      </c>
      <c r="C1304">
        <v>89.53</v>
      </c>
      <c r="D1304">
        <v>9</v>
      </c>
      <c r="E1304">
        <v>1790.6</v>
      </c>
      <c r="F1304" s="1">
        <v>38155</v>
      </c>
      <c r="G1304" t="s">
        <v>25</v>
      </c>
      <c r="H1304">
        <v>2</v>
      </c>
      <c r="I1304">
        <v>6</v>
      </c>
      <c r="J1304">
        <v>2004</v>
      </c>
      <c r="K1304" t="s">
        <v>550</v>
      </c>
      <c r="L1304">
        <v>87</v>
      </c>
      <c r="M1304" t="s">
        <v>615</v>
      </c>
      <c r="N1304" t="s">
        <v>292</v>
      </c>
      <c r="O1304" t="s">
        <v>293</v>
      </c>
      <c r="P1304" t="s">
        <v>294</v>
      </c>
      <c r="R1304" t="s">
        <v>295</v>
      </c>
      <c r="S1304" t="s">
        <v>296</v>
      </c>
      <c r="T1304" t="s">
        <v>297</v>
      </c>
      <c r="U1304" t="s">
        <v>231</v>
      </c>
      <c r="V1304" t="s">
        <v>33</v>
      </c>
      <c r="W1304" t="s">
        <v>298</v>
      </c>
      <c r="X1304" t="s">
        <v>299</v>
      </c>
      <c r="Y1304" t="s">
        <v>36</v>
      </c>
    </row>
    <row r="1305" spans="1:25" x14ac:dyDescent="0.25">
      <c r="A1305">
        <v>10273</v>
      </c>
      <c r="B1305">
        <v>33</v>
      </c>
      <c r="C1305">
        <v>71.09</v>
      </c>
      <c r="D1305">
        <v>12</v>
      </c>
      <c r="E1305">
        <v>2345.9699999999998</v>
      </c>
      <c r="F1305" s="1">
        <v>38189</v>
      </c>
      <c r="G1305" t="s">
        <v>25</v>
      </c>
      <c r="H1305">
        <v>3</v>
      </c>
      <c r="I1305">
        <v>7</v>
      </c>
      <c r="J1305">
        <v>2004</v>
      </c>
      <c r="K1305" t="s">
        <v>550</v>
      </c>
      <c r="L1305">
        <v>87</v>
      </c>
      <c r="M1305" t="s">
        <v>615</v>
      </c>
      <c r="N1305" t="s">
        <v>365</v>
      </c>
      <c r="O1305" t="s">
        <v>366</v>
      </c>
      <c r="P1305" t="s">
        <v>367</v>
      </c>
      <c r="R1305" t="s">
        <v>368</v>
      </c>
      <c r="T1305" t="s">
        <v>369</v>
      </c>
      <c r="U1305" t="s">
        <v>370</v>
      </c>
      <c r="V1305" t="s">
        <v>42</v>
      </c>
      <c r="W1305" t="s">
        <v>371</v>
      </c>
      <c r="X1305" t="s">
        <v>372</v>
      </c>
      <c r="Y1305" t="s">
        <v>36</v>
      </c>
    </row>
    <row r="1306" spans="1:25" x14ac:dyDescent="0.25">
      <c r="A1306">
        <v>10283</v>
      </c>
      <c r="B1306">
        <v>34</v>
      </c>
      <c r="C1306">
        <v>100</v>
      </c>
      <c r="D1306">
        <v>14</v>
      </c>
      <c r="E1306">
        <v>3580.88</v>
      </c>
      <c r="F1306" s="1">
        <v>38219</v>
      </c>
      <c r="G1306" t="s">
        <v>25</v>
      </c>
      <c r="H1306">
        <v>3</v>
      </c>
      <c r="I1306">
        <v>8</v>
      </c>
      <c r="J1306">
        <v>2004</v>
      </c>
      <c r="K1306" t="s">
        <v>550</v>
      </c>
      <c r="L1306">
        <v>87</v>
      </c>
      <c r="M1306" t="s">
        <v>615</v>
      </c>
      <c r="N1306" t="s">
        <v>373</v>
      </c>
      <c r="O1306" t="s">
        <v>374</v>
      </c>
      <c r="P1306" t="s">
        <v>375</v>
      </c>
      <c r="R1306" t="s">
        <v>376</v>
      </c>
      <c r="S1306" t="s">
        <v>229</v>
      </c>
      <c r="T1306" t="s">
        <v>377</v>
      </c>
      <c r="U1306" t="s">
        <v>231</v>
      </c>
      <c r="V1306" t="s">
        <v>33</v>
      </c>
      <c r="W1306" t="s">
        <v>378</v>
      </c>
      <c r="X1306" t="s">
        <v>172</v>
      </c>
      <c r="Y1306" t="s">
        <v>51</v>
      </c>
    </row>
    <row r="1307" spans="1:25" x14ac:dyDescent="0.25">
      <c r="A1307">
        <v>10293</v>
      </c>
      <c r="B1307">
        <v>49</v>
      </c>
      <c r="C1307">
        <v>100</v>
      </c>
      <c r="D1307">
        <v>3</v>
      </c>
      <c r="E1307">
        <v>4946.0600000000004</v>
      </c>
      <c r="F1307" s="1">
        <v>38239</v>
      </c>
      <c r="G1307" t="s">
        <v>25</v>
      </c>
      <c r="H1307">
        <v>3</v>
      </c>
      <c r="I1307">
        <v>9</v>
      </c>
      <c r="J1307">
        <v>2004</v>
      </c>
      <c r="K1307" t="s">
        <v>550</v>
      </c>
      <c r="L1307">
        <v>87</v>
      </c>
      <c r="M1307" t="s">
        <v>615</v>
      </c>
      <c r="N1307" t="s">
        <v>254</v>
      </c>
      <c r="O1307" t="s">
        <v>255</v>
      </c>
      <c r="P1307" t="s">
        <v>256</v>
      </c>
      <c r="R1307" t="s">
        <v>257</v>
      </c>
      <c r="T1307">
        <v>10100</v>
      </c>
      <c r="U1307" t="s">
        <v>258</v>
      </c>
      <c r="V1307" t="s">
        <v>42</v>
      </c>
      <c r="W1307" t="s">
        <v>259</v>
      </c>
      <c r="X1307" t="s">
        <v>260</v>
      </c>
      <c r="Y1307" t="s">
        <v>51</v>
      </c>
    </row>
    <row r="1308" spans="1:25" x14ac:dyDescent="0.25">
      <c r="A1308">
        <v>10306</v>
      </c>
      <c r="B1308">
        <v>39</v>
      </c>
      <c r="C1308">
        <v>90.4</v>
      </c>
      <c r="D1308">
        <v>8</v>
      </c>
      <c r="E1308">
        <v>3525.6</v>
      </c>
      <c r="F1308" s="1">
        <v>38274</v>
      </c>
      <c r="G1308" t="s">
        <v>25</v>
      </c>
      <c r="H1308">
        <v>4</v>
      </c>
      <c r="I1308">
        <v>10</v>
      </c>
      <c r="J1308">
        <v>2004</v>
      </c>
      <c r="K1308" t="s">
        <v>550</v>
      </c>
      <c r="L1308">
        <v>87</v>
      </c>
      <c r="M1308" t="s">
        <v>615</v>
      </c>
      <c r="N1308" t="s">
        <v>492</v>
      </c>
      <c r="O1308" t="s">
        <v>493</v>
      </c>
      <c r="P1308" t="s">
        <v>494</v>
      </c>
      <c r="R1308" t="s">
        <v>495</v>
      </c>
      <c r="T1308" t="s">
        <v>496</v>
      </c>
      <c r="U1308" t="s">
        <v>170</v>
      </c>
      <c r="V1308" t="s">
        <v>42</v>
      </c>
      <c r="W1308" t="s">
        <v>497</v>
      </c>
      <c r="X1308" t="s">
        <v>94</v>
      </c>
      <c r="Y1308" t="s">
        <v>51</v>
      </c>
    </row>
    <row r="1309" spans="1:25" x14ac:dyDescent="0.25">
      <c r="A1309">
        <v>10315</v>
      </c>
      <c r="B1309">
        <v>36</v>
      </c>
      <c r="C1309">
        <v>100</v>
      </c>
      <c r="D1309">
        <v>7</v>
      </c>
      <c r="E1309">
        <v>3602.16</v>
      </c>
      <c r="F1309" s="1">
        <v>38289</v>
      </c>
      <c r="G1309" t="s">
        <v>25</v>
      </c>
      <c r="H1309">
        <v>4</v>
      </c>
      <c r="I1309">
        <v>10</v>
      </c>
      <c r="J1309">
        <v>2004</v>
      </c>
      <c r="K1309" t="s">
        <v>550</v>
      </c>
      <c r="L1309">
        <v>87</v>
      </c>
      <c r="M1309" t="s">
        <v>615</v>
      </c>
      <c r="N1309" t="s">
        <v>114</v>
      </c>
      <c r="O1309" t="s">
        <v>115</v>
      </c>
      <c r="P1309" t="s">
        <v>116</v>
      </c>
      <c r="R1309" t="s">
        <v>117</v>
      </c>
      <c r="T1309">
        <v>44000</v>
      </c>
      <c r="U1309" t="s">
        <v>41</v>
      </c>
      <c r="V1309" t="s">
        <v>42</v>
      </c>
      <c r="W1309" t="s">
        <v>118</v>
      </c>
      <c r="X1309" t="s">
        <v>119</v>
      </c>
      <c r="Y1309" t="s">
        <v>51</v>
      </c>
    </row>
    <row r="1310" spans="1:25" x14ac:dyDescent="0.25">
      <c r="A1310">
        <v>10326</v>
      </c>
      <c r="B1310">
        <v>50</v>
      </c>
      <c r="C1310">
        <v>86.01</v>
      </c>
      <c r="D1310">
        <v>5</v>
      </c>
      <c r="E1310">
        <v>4300.5</v>
      </c>
      <c r="F1310" s="1">
        <v>38300</v>
      </c>
      <c r="G1310" t="s">
        <v>25</v>
      </c>
      <c r="H1310">
        <v>4</v>
      </c>
      <c r="I1310">
        <v>11</v>
      </c>
      <c r="J1310">
        <v>2004</v>
      </c>
      <c r="K1310" t="s">
        <v>550</v>
      </c>
      <c r="L1310">
        <v>87</v>
      </c>
      <c r="M1310" t="s">
        <v>615</v>
      </c>
      <c r="N1310" t="s">
        <v>183</v>
      </c>
      <c r="O1310" t="s">
        <v>184</v>
      </c>
      <c r="P1310" t="s">
        <v>185</v>
      </c>
      <c r="R1310" t="s">
        <v>186</v>
      </c>
      <c r="T1310" t="s">
        <v>187</v>
      </c>
      <c r="U1310" t="s">
        <v>188</v>
      </c>
      <c r="V1310" t="s">
        <v>42</v>
      </c>
      <c r="W1310" t="s">
        <v>189</v>
      </c>
      <c r="X1310" t="s">
        <v>190</v>
      </c>
      <c r="Y1310" t="s">
        <v>51</v>
      </c>
    </row>
    <row r="1311" spans="1:25" x14ac:dyDescent="0.25">
      <c r="A1311">
        <v>10337</v>
      </c>
      <c r="B1311">
        <v>29</v>
      </c>
      <c r="C1311">
        <v>100</v>
      </c>
      <c r="D1311">
        <v>2</v>
      </c>
      <c r="E1311">
        <v>4498.1899999999996</v>
      </c>
      <c r="F1311" s="1">
        <v>38312</v>
      </c>
      <c r="G1311" t="s">
        <v>25</v>
      </c>
      <c r="H1311">
        <v>4</v>
      </c>
      <c r="I1311">
        <v>11</v>
      </c>
      <c r="J1311">
        <v>2004</v>
      </c>
      <c r="K1311" t="s">
        <v>550</v>
      </c>
      <c r="L1311">
        <v>87</v>
      </c>
      <c r="M1311" t="s">
        <v>615</v>
      </c>
      <c r="N1311" t="s">
        <v>203</v>
      </c>
      <c r="O1311">
        <v>2125558493</v>
      </c>
      <c r="P1311" t="s">
        <v>204</v>
      </c>
      <c r="Q1311" t="s">
        <v>205</v>
      </c>
      <c r="R1311" t="s">
        <v>30</v>
      </c>
      <c r="S1311" t="s">
        <v>31</v>
      </c>
      <c r="T1311">
        <v>10022</v>
      </c>
      <c r="U1311" t="s">
        <v>32</v>
      </c>
      <c r="V1311" t="s">
        <v>33</v>
      </c>
      <c r="W1311" t="s">
        <v>124</v>
      </c>
      <c r="X1311" t="s">
        <v>206</v>
      </c>
      <c r="Y1311" t="s">
        <v>51</v>
      </c>
    </row>
    <row r="1312" spans="1:25" x14ac:dyDescent="0.25">
      <c r="A1312">
        <v>10350</v>
      </c>
      <c r="B1312">
        <v>30</v>
      </c>
      <c r="C1312">
        <v>100</v>
      </c>
      <c r="D1312">
        <v>3</v>
      </c>
      <c r="E1312">
        <v>3023.1</v>
      </c>
      <c r="F1312" s="1">
        <v>38323</v>
      </c>
      <c r="G1312" t="s">
        <v>25</v>
      </c>
      <c r="H1312">
        <v>4</v>
      </c>
      <c r="I1312">
        <v>12</v>
      </c>
      <c r="J1312">
        <v>2004</v>
      </c>
      <c r="K1312" t="s">
        <v>550</v>
      </c>
      <c r="L1312">
        <v>87</v>
      </c>
      <c r="M1312" t="s">
        <v>615</v>
      </c>
      <c r="N1312" t="s">
        <v>174</v>
      </c>
      <c r="O1312" t="s">
        <v>175</v>
      </c>
      <c r="P1312" t="s">
        <v>176</v>
      </c>
      <c r="R1312" t="s">
        <v>177</v>
      </c>
      <c r="T1312">
        <v>28034</v>
      </c>
      <c r="U1312" t="s">
        <v>178</v>
      </c>
      <c r="V1312" t="s">
        <v>42</v>
      </c>
      <c r="W1312" t="s">
        <v>179</v>
      </c>
      <c r="X1312" t="s">
        <v>180</v>
      </c>
      <c r="Y1312" t="s">
        <v>51</v>
      </c>
    </row>
    <row r="1313" spans="1:25" x14ac:dyDescent="0.25">
      <c r="A1313">
        <v>10372</v>
      </c>
      <c r="B1313">
        <v>41</v>
      </c>
      <c r="C1313">
        <v>86.89</v>
      </c>
      <c r="D1313">
        <v>7</v>
      </c>
      <c r="E1313">
        <v>3562.49</v>
      </c>
      <c r="F1313" s="1">
        <v>38378</v>
      </c>
      <c r="G1313" t="s">
        <v>25</v>
      </c>
      <c r="H1313">
        <v>1</v>
      </c>
      <c r="I1313">
        <v>1</v>
      </c>
      <c r="J1313">
        <v>2005</v>
      </c>
      <c r="K1313" t="s">
        <v>550</v>
      </c>
      <c r="L1313">
        <v>87</v>
      </c>
      <c r="M1313" t="s">
        <v>615</v>
      </c>
      <c r="N1313" t="s">
        <v>246</v>
      </c>
      <c r="O1313" t="s">
        <v>247</v>
      </c>
      <c r="P1313" t="s">
        <v>248</v>
      </c>
      <c r="R1313" t="s">
        <v>249</v>
      </c>
      <c r="S1313" t="s">
        <v>250</v>
      </c>
      <c r="T1313" t="s">
        <v>251</v>
      </c>
      <c r="U1313" t="s">
        <v>200</v>
      </c>
      <c r="V1313" t="s">
        <v>200</v>
      </c>
      <c r="W1313" t="s">
        <v>252</v>
      </c>
      <c r="X1313" t="s">
        <v>253</v>
      </c>
      <c r="Y1313" t="s">
        <v>51</v>
      </c>
    </row>
    <row r="1314" spans="1:25" x14ac:dyDescent="0.25">
      <c r="A1314">
        <v>10383</v>
      </c>
      <c r="B1314">
        <v>28</v>
      </c>
      <c r="C1314">
        <v>58.58</v>
      </c>
      <c r="D1314">
        <v>7</v>
      </c>
      <c r="E1314">
        <v>1640.24</v>
      </c>
      <c r="F1314" s="1">
        <v>38405</v>
      </c>
      <c r="G1314" t="s">
        <v>25</v>
      </c>
      <c r="H1314">
        <v>1</v>
      </c>
      <c r="I1314">
        <v>2</v>
      </c>
      <c r="J1314">
        <v>2005</v>
      </c>
      <c r="K1314" t="s">
        <v>550</v>
      </c>
      <c r="L1314">
        <v>87</v>
      </c>
      <c r="M1314" t="s">
        <v>615</v>
      </c>
      <c r="N1314" t="s">
        <v>174</v>
      </c>
      <c r="O1314" t="s">
        <v>175</v>
      </c>
      <c r="P1314" t="s">
        <v>176</v>
      </c>
      <c r="R1314" t="s">
        <v>177</v>
      </c>
      <c r="T1314">
        <v>28034</v>
      </c>
      <c r="U1314" t="s">
        <v>178</v>
      </c>
      <c r="V1314" t="s">
        <v>42</v>
      </c>
      <c r="W1314" t="s">
        <v>179</v>
      </c>
      <c r="X1314" t="s">
        <v>180</v>
      </c>
      <c r="Y1314" t="s">
        <v>36</v>
      </c>
    </row>
    <row r="1315" spans="1:25" x14ac:dyDescent="0.25">
      <c r="A1315">
        <v>10396</v>
      </c>
      <c r="B1315">
        <v>45</v>
      </c>
      <c r="C1315">
        <v>100</v>
      </c>
      <c r="D1315">
        <v>5</v>
      </c>
      <c r="E1315">
        <v>4739.3999999999996</v>
      </c>
      <c r="F1315" s="1">
        <v>38434</v>
      </c>
      <c r="G1315" t="s">
        <v>25</v>
      </c>
      <c r="H1315">
        <v>1</v>
      </c>
      <c r="I1315">
        <v>3</v>
      </c>
      <c r="J1315">
        <v>2005</v>
      </c>
      <c r="K1315" t="s">
        <v>550</v>
      </c>
      <c r="L1315">
        <v>87</v>
      </c>
      <c r="M1315" t="s">
        <v>615</v>
      </c>
      <c r="N1315" t="s">
        <v>272</v>
      </c>
      <c r="O1315">
        <v>4155551450</v>
      </c>
      <c r="P1315" t="s">
        <v>273</v>
      </c>
      <c r="R1315" t="s">
        <v>274</v>
      </c>
      <c r="S1315" t="s">
        <v>55</v>
      </c>
      <c r="T1315">
        <v>97562</v>
      </c>
      <c r="U1315" t="s">
        <v>32</v>
      </c>
      <c r="V1315" t="s">
        <v>33</v>
      </c>
      <c r="W1315" t="s">
        <v>275</v>
      </c>
      <c r="X1315" t="s">
        <v>276</v>
      </c>
      <c r="Y1315" t="s">
        <v>51</v>
      </c>
    </row>
    <row r="1316" spans="1:25" x14ac:dyDescent="0.25">
      <c r="A1316">
        <v>10414</v>
      </c>
      <c r="B1316">
        <v>16</v>
      </c>
      <c r="C1316">
        <v>75.48</v>
      </c>
      <c r="D1316">
        <v>11</v>
      </c>
      <c r="E1316">
        <v>1207.68</v>
      </c>
      <c r="F1316" s="1">
        <v>38478</v>
      </c>
      <c r="G1316" t="s">
        <v>401</v>
      </c>
      <c r="H1316">
        <v>2</v>
      </c>
      <c r="I1316">
        <v>5</v>
      </c>
      <c r="J1316">
        <v>2005</v>
      </c>
      <c r="K1316" t="s">
        <v>550</v>
      </c>
      <c r="L1316">
        <v>87</v>
      </c>
      <c r="M1316" t="s">
        <v>615</v>
      </c>
      <c r="N1316" t="s">
        <v>379</v>
      </c>
      <c r="O1316">
        <v>6175559555</v>
      </c>
      <c r="P1316" t="s">
        <v>380</v>
      </c>
      <c r="R1316" t="s">
        <v>381</v>
      </c>
      <c r="S1316" t="s">
        <v>123</v>
      </c>
      <c r="T1316">
        <v>51003</v>
      </c>
      <c r="U1316" t="s">
        <v>32</v>
      </c>
      <c r="V1316" t="s">
        <v>33</v>
      </c>
      <c r="W1316" t="s">
        <v>382</v>
      </c>
      <c r="X1316" t="s">
        <v>66</v>
      </c>
      <c r="Y1316" t="s">
        <v>36</v>
      </c>
    </row>
    <row r="1317" spans="1:25" x14ac:dyDescent="0.25">
      <c r="A1317">
        <v>10103</v>
      </c>
      <c r="B1317">
        <v>36</v>
      </c>
      <c r="C1317">
        <v>100</v>
      </c>
      <c r="D1317">
        <v>5</v>
      </c>
      <c r="E1317">
        <v>4228.2</v>
      </c>
      <c r="F1317" s="1">
        <v>37650</v>
      </c>
      <c r="G1317" t="s">
        <v>25</v>
      </c>
      <c r="H1317">
        <v>1</v>
      </c>
      <c r="I1317">
        <v>1</v>
      </c>
      <c r="J1317">
        <v>2003</v>
      </c>
      <c r="K1317" t="s">
        <v>504</v>
      </c>
      <c r="L1317">
        <v>121</v>
      </c>
      <c r="M1317" t="s">
        <v>616</v>
      </c>
      <c r="N1317" t="s">
        <v>133</v>
      </c>
      <c r="O1317" t="s">
        <v>134</v>
      </c>
      <c r="P1317" t="s">
        <v>135</v>
      </c>
      <c r="R1317" t="s">
        <v>136</v>
      </c>
      <c r="T1317">
        <v>4110</v>
      </c>
      <c r="U1317" t="s">
        <v>78</v>
      </c>
      <c r="V1317" t="s">
        <v>42</v>
      </c>
      <c r="W1317" t="s">
        <v>137</v>
      </c>
      <c r="X1317" t="s">
        <v>138</v>
      </c>
      <c r="Y1317" t="s">
        <v>51</v>
      </c>
    </row>
    <row r="1318" spans="1:25" x14ac:dyDescent="0.25">
      <c r="A1318">
        <v>10114</v>
      </c>
      <c r="B1318">
        <v>41</v>
      </c>
      <c r="C1318">
        <v>100</v>
      </c>
      <c r="D1318">
        <v>9</v>
      </c>
      <c r="E1318">
        <v>4815.45</v>
      </c>
      <c r="F1318" s="1">
        <v>37712</v>
      </c>
      <c r="G1318" t="s">
        <v>25</v>
      </c>
      <c r="H1318">
        <v>2</v>
      </c>
      <c r="I1318">
        <v>4</v>
      </c>
      <c r="J1318">
        <v>2003</v>
      </c>
      <c r="K1318" t="s">
        <v>504</v>
      </c>
      <c r="L1318">
        <v>121</v>
      </c>
      <c r="M1318" t="s">
        <v>616</v>
      </c>
      <c r="N1318" t="s">
        <v>403</v>
      </c>
      <c r="O1318" t="s">
        <v>404</v>
      </c>
      <c r="P1318" t="s">
        <v>405</v>
      </c>
      <c r="R1318" t="s">
        <v>48</v>
      </c>
      <c r="T1318">
        <v>75012</v>
      </c>
      <c r="U1318" t="s">
        <v>41</v>
      </c>
      <c r="V1318" t="s">
        <v>42</v>
      </c>
      <c r="W1318" t="s">
        <v>406</v>
      </c>
      <c r="X1318" t="s">
        <v>407</v>
      </c>
      <c r="Y1318" t="s">
        <v>51</v>
      </c>
    </row>
    <row r="1319" spans="1:25" x14ac:dyDescent="0.25">
      <c r="A1319">
        <v>10126</v>
      </c>
      <c r="B1319">
        <v>50</v>
      </c>
      <c r="C1319">
        <v>100</v>
      </c>
      <c r="D1319">
        <v>5</v>
      </c>
      <c r="E1319">
        <v>7083</v>
      </c>
      <c r="F1319" s="1">
        <v>37769</v>
      </c>
      <c r="G1319" t="s">
        <v>25</v>
      </c>
      <c r="H1319">
        <v>2</v>
      </c>
      <c r="I1319">
        <v>5</v>
      </c>
      <c r="J1319">
        <v>2003</v>
      </c>
      <c r="K1319" t="s">
        <v>504</v>
      </c>
      <c r="L1319">
        <v>121</v>
      </c>
      <c r="M1319" t="s">
        <v>616</v>
      </c>
      <c r="N1319" t="s">
        <v>191</v>
      </c>
      <c r="O1319" t="s">
        <v>192</v>
      </c>
      <c r="P1319" t="s">
        <v>193</v>
      </c>
      <c r="R1319" t="s">
        <v>177</v>
      </c>
      <c r="T1319">
        <v>28023</v>
      </c>
      <c r="U1319" t="s">
        <v>178</v>
      </c>
      <c r="V1319" t="s">
        <v>42</v>
      </c>
      <c r="W1319" t="s">
        <v>194</v>
      </c>
      <c r="X1319" t="s">
        <v>195</v>
      </c>
      <c r="Y1319" t="s">
        <v>151</v>
      </c>
    </row>
    <row r="1320" spans="1:25" x14ac:dyDescent="0.25">
      <c r="A1320">
        <v>10140</v>
      </c>
      <c r="B1320">
        <v>40</v>
      </c>
      <c r="C1320">
        <v>100</v>
      </c>
      <c r="D1320">
        <v>5</v>
      </c>
      <c r="E1320">
        <v>4601.2</v>
      </c>
      <c r="F1320" s="1">
        <v>37826</v>
      </c>
      <c r="G1320" t="s">
        <v>25</v>
      </c>
      <c r="H1320">
        <v>3</v>
      </c>
      <c r="I1320">
        <v>7</v>
      </c>
      <c r="J1320">
        <v>2003</v>
      </c>
      <c r="K1320" t="s">
        <v>504</v>
      </c>
      <c r="L1320">
        <v>121</v>
      </c>
      <c r="M1320" t="s">
        <v>616</v>
      </c>
      <c r="N1320" t="s">
        <v>62</v>
      </c>
      <c r="O1320">
        <v>6505556809</v>
      </c>
      <c r="P1320" t="s">
        <v>63</v>
      </c>
      <c r="R1320" t="s">
        <v>64</v>
      </c>
      <c r="S1320" t="s">
        <v>55</v>
      </c>
      <c r="T1320">
        <v>94217</v>
      </c>
      <c r="U1320" t="s">
        <v>32</v>
      </c>
      <c r="V1320" t="s">
        <v>33</v>
      </c>
      <c r="W1320" t="s">
        <v>65</v>
      </c>
      <c r="X1320" t="s">
        <v>66</v>
      </c>
      <c r="Y1320" t="s">
        <v>51</v>
      </c>
    </row>
    <row r="1321" spans="1:25" x14ac:dyDescent="0.25">
      <c r="A1321">
        <v>10150</v>
      </c>
      <c r="B1321">
        <v>49</v>
      </c>
      <c r="C1321">
        <v>100</v>
      </c>
      <c r="D1321">
        <v>2</v>
      </c>
      <c r="E1321">
        <v>6467.02</v>
      </c>
      <c r="F1321" s="1">
        <v>37883</v>
      </c>
      <c r="G1321" t="s">
        <v>25</v>
      </c>
      <c r="H1321">
        <v>3</v>
      </c>
      <c r="I1321">
        <v>9</v>
      </c>
      <c r="J1321">
        <v>2003</v>
      </c>
      <c r="K1321" t="s">
        <v>504</v>
      </c>
      <c r="L1321">
        <v>121</v>
      </c>
      <c r="M1321" t="s">
        <v>616</v>
      </c>
      <c r="N1321" t="s">
        <v>196</v>
      </c>
      <c r="O1321" t="s">
        <v>197</v>
      </c>
      <c r="P1321" t="s">
        <v>198</v>
      </c>
      <c r="R1321" t="s">
        <v>199</v>
      </c>
      <c r="T1321">
        <v>79903</v>
      </c>
      <c r="U1321" t="s">
        <v>199</v>
      </c>
      <c r="V1321" t="s">
        <v>200</v>
      </c>
      <c r="W1321" t="s">
        <v>201</v>
      </c>
      <c r="X1321" t="s">
        <v>202</v>
      </c>
      <c r="Y1321" t="s">
        <v>51</v>
      </c>
    </row>
    <row r="1322" spans="1:25" x14ac:dyDescent="0.25">
      <c r="A1322">
        <v>10164</v>
      </c>
      <c r="B1322">
        <v>45</v>
      </c>
      <c r="C1322">
        <v>100</v>
      </c>
      <c r="D1322">
        <v>3</v>
      </c>
      <c r="E1322">
        <v>5012.55</v>
      </c>
      <c r="F1322" s="1">
        <v>37915</v>
      </c>
      <c r="G1322" t="s">
        <v>408</v>
      </c>
      <c r="H1322">
        <v>4</v>
      </c>
      <c r="I1322">
        <v>10</v>
      </c>
      <c r="J1322">
        <v>2003</v>
      </c>
      <c r="K1322" t="s">
        <v>504</v>
      </c>
      <c r="L1322">
        <v>121</v>
      </c>
      <c r="M1322" t="s">
        <v>616</v>
      </c>
      <c r="N1322" t="s">
        <v>409</v>
      </c>
      <c r="O1322" t="s">
        <v>410</v>
      </c>
      <c r="P1322" t="s">
        <v>411</v>
      </c>
      <c r="R1322" t="s">
        <v>412</v>
      </c>
      <c r="T1322">
        <v>8010</v>
      </c>
      <c r="U1322" t="s">
        <v>148</v>
      </c>
      <c r="V1322" t="s">
        <v>42</v>
      </c>
      <c r="W1322" t="s">
        <v>413</v>
      </c>
      <c r="X1322" t="s">
        <v>414</v>
      </c>
      <c r="Y1322" t="s">
        <v>51</v>
      </c>
    </row>
    <row r="1323" spans="1:25" x14ac:dyDescent="0.25">
      <c r="A1323">
        <v>10175</v>
      </c>
      <c r="B1323">
        <v>47</v>
      </c>
      <c r="C1323">
        <v>100</v>
      </c>
      <c r="D1323">
        <v>10</v>
      </c>
      <c r="E1323">
        <v>5121.59</v>
      </c>
      <c r="F1323" s="1">
        <v>37931</v>
      </c>
      <c r="G1323" t="s">
        <v>25</v>
      </c>
      <c r="H1323">
        <v>4</v>
      </c>
      <c r="I1323">
        <v>11</v>
      </c>
      <c r="J1323">
        <v>2003</v>
      </c>
      <c r="K1323" t="s">
        <v>504</v>
      </c>
      <c r="L1323">
        <v>121</v>
      </c>
      <c r="M1323" t="s">
        <v>616</v>
      </c>
      <c r="N1323" t="s">
        <v>329</v>
      </c>
      <c r="O1323" t="s">
        <v>330</v>
      </c>
      <c r="P1323" t="s">
        <v>331</v>
      </c>
      <c r="R1323" t="s">
        <v>332</v>
      </c>
      <c r="T1323" t="s">
        <v>333</v>
      </c>
      <c r="U1323" t="s">
        <v>170</v>
      </c>
      <c r="V1323" t="s">
        <v>42</v>
      </c>
      <c r="W1323" t="s">
        <v>61</v>
      </c>
      <c r="X1323" t="s">
        <v>334</v>
      </c>
      <c r="Y1323" t="s">
        <v>51</v>
      </c>
    </row>
    <row r="1324" spans="1:25" x14ac:dyDescent="0.25">
      <c r="A1324">
        <v>10183</v>
      </c>
      <c r="B1324">
        <v>21</v>
      </c>
      <c r="C1324">
        <v>100</v>
      </c>
      <c r="D1324">
        <v>2</v>
      </c>
      <c r="E1324">
        <v>2441.04</v>
      </c>
      <c r="F1324" s="1">
        <v>37938</v>
      </c>
      <c r="G1324" t="s">
        <v>25</v>
      </c>
      <c r="H1324">
        <v>4</v>
      </c>
      <c r="I1324">
        <v>11</v>
      </c>
      <c r="J1324">
        <v>2003</v>
      </c>
      <c r="K1324" t="s">
        <v>504</v>
      </c>
      <c r="L1324">
        <v>121</v>
      </c>
      <c r="M1324" t="s">
        <v>616</v>
      </c>
      <c r="N1324" t="s">
        <v>214</v>
      </c>
      <c r="O1324">
        <v>2155554695</v>
      </c>
      <c r="P1324" t="s">
        <v>215</v>
      </c>
      <c r="R1324" t="s">
        <v>216</v>
      </c>
      <c r="S1324" t="s">
        <v>142</v>
      </c>
      <c r="T1324">
        <v>71270</v>
      </c>
      <c r="U1324" t="s">
        <v>32</v>
      </c>
      <c r="V1324" t="s">
        <v>33</v>
      </c>
      <c r="W1324" t="s">
        <v>217</v>
      </c>
      <c r="X1324" t="s">
        <v>218</v>
      </c>
      <c r="Y1324" t="s">
        <v>36</v>
      </c>
    </row>
    <row r="1325" spans="1:25" x14ac:dyDescent="0.25">
      <c r="A1325">
        <v>10194</v>
      </c>
      <c r="B1325">
        <v>32</v>
      </c>
      <c r="C1325">
        <v>100</v>
      </c>
      <c r="D1325">
        <v>5</v>
      </c>
      <c r="E1325">
        <v>4262.08</v>
      </c>
      <c r="F1325" s="1">
        <v>37950</v>
      </c>
      <c r="G1325" t="s">
        <v>25</v>
      </c>
      <c r="H1325">
        <v>4</v>
      </c>
      <c r="I1325">
        <v>11</v>
      </c>
      <c r="J1325">
        <v>2003</v>
      </c>
      <c r="K1325" t="s">
        <v>504</v>
      </c>
      <c r="L1325">
        <v>121</v>
      </c>
      <c r="M1325" t="s">
        <v>616</v>
      </c>
      <c r="N1325" t="s">
        <v>219</v>
      </c>
      <c r="O1325" t="s">
        <v>220</v>
      </c>
      <c r="P1325" t="s">
        <v>221</v>
      </c>
      <c r="R1325" t="s">
        <v>222</v>
      </c>
      <c r="T1325">
        <v>69004</v>
      </c>
      <c r="U1325" t="s">
        <v>41</v>
      </c>
      <c r="V1325" t="s">
        <v>42</v>
      </c>
      <c r="W1325" t="s">
        <v>223</v>
      </c>
      <c r="X1325" t="s">
        <v>224</v>
      </c>
      <c r="Y1325" t="s">
        <v>51</v>
      </c>
    </row>
    <row r="1326" spans="1:25" x14ac:dyDescent="0.25">
      <c r="A1326">
        <v>10207</v>
      </c>
      <c r="B1326">
        <v>47</v>
      </c>
      <c r="C1326">
        <v>100</v>
      </c>
      <c r="D1326">
        <v>16</v>
      </c>
      <c r="E1326">
        <v>6658.02</v>
      </c>
      <c r="F1326" s="1">
        <v>37964</v>
      </c>
      <c r="G1326" t="s">
        <v>25</v>
      </c>
      <c r="H1326">
        <v>4</v>
      </c>
      <c r="I1326">
        <v>12</v>
      </c>
      <c r="J1326">
        <v>2003</v>
      </c>
      <c r="K1326" t="s">
        <v>504</v>
      </c>
      <c r="L1326">
        <v>121</v>
      </c>
      <c r="M1326" t="s">
        <v>616</v>
      </c>
      <c r="N1326" t="s">
        <v>415</v>
      </c>
      <c r="O1326">
        <v>6175552555</v>
      </c>
      <c r="P1326" t="s">
        <v>416</v>
      </c>
      <c r="R1326" t="s">
        <v>381</v>
      </c>
      <c r="S1326" t="s">
        <v>123</v>
      </c>
      <c r="T1326">
        <v>51003</v>
      </c>
      <c r="U1326" t="s">
        <v>32</v>
      </c>
      <c r="V1326" t="s">
        <v>33</v>
      </c>
      <c r="W1326" t="s">
        <v>417</v>
      </c>
      <c r="X1326" t="s">
        <v>276</v>
      </c>
      <c r="Y1326" t="s">
        <v>51</v>
      </c>
    </row>
    <row r="1327" spans="1:25" x14ac:dyDescent="0.25">
      <c r="A1327">
        <v>10217</v>
      </c>
      <c r="B1327">
        <v>38</v>
      </c>
      <c r="C1327">
        <v>100</v>
      </c>
      <c r="D1327">
        <v>5</v>
      </c>
      <c r="E1327">
        <v>4509.08</v>
      </c>
      <c r="F1327" s="1">
        <v>38021</v>
      </c>
      <c r="G1327" t="s">
        <v>25</v>
      </c>
      <c r="H1327">
        <v>1</v>
      </c>
      <c r="I1327">
        <v>2</v>
      </c>
      <c r="J1327">
        <v>2004</v>
      </c>
      <c r="K1327" t="s">
        <v>504</v>
      </c>
      <c r="L1327">
        <v>121</v>
      </c>
      <c r="M1327" t="s">
        <v>616</v>
      </c>
      <c r="N1327" t="s">
        <v>418</v>
      </c>
      <c r="O1327" t="s">
        <v>419</v>
      </c>
      <c r="P1327" t="s">
        <v>420</v>
      </c>
      <c r="Q1327" t="s">
        <v>421</v>
      </c>
      <c r="R1327" t="s">
        <v>199</v>
      </c>
      <c r="T1327">
        <v>69045</v>
      </c>
      <c r="U1327" t="s">
        <v>199</v>
      </c>
      <c r="V1327" t="s">
        <v>96</v>
      </c>
      <c r="W1327" t="s">
        <v>422</v>
      </c>
      <c r="X1327" t="s">
        <v>423</v>
      </c>
      <c r="Y1327" t="s">
        <v>51</v>
      </c>
    </row>
    <row r="1328" spans="1:25" x14ac:dyDescent="0.25">
      <c r="A1328">
        <v>10229</v>
      </c>
      <c r="B1328">
        <v>41</v>
      </c>
      <c r="C1328">
        <v>100</v>
      </c>
      <c r="D1328">
        <v>10</v>
      </c>
      <c r="E1328">
        <v>4716.2299999999996</v>
      </c>
      <c r="F1328" s="1">
        <v>38057</v>
      </c>
      <c r="G1328" t="s">
        <v>25</v>
      </c>
      <c r="H1328">
        <v>1</v>
      </c>
      <c r="I1328">
        <v>3</v>
      </c>
      <c r="J1328">
        <v>2004</v>
      </c>
      <c r="K1328" t="s">
        <v>504</v>
      </c>
      <c r="L1328">
        <v>121</v>
      </c>
      <c r="M1328" t="s">
        <v>616</v>
      </c>
      <c r="N1328" t="s">
        <v>272</v>
      </c>
      <c r="O1328">
        <v>4155551450</v>
      </c>
      <c r="P1328" t="s">
        <v>273</v>
      </c>
      <c r="R1328" t="s">
        <v>274</v>
      </c>
      <c r="S1328" t="s">
        <v>55</v>
      </c>
      <c r="T1328">
        <v>97562</v>
      </c>
      <c r="U1328" t="s">
        <v>32</v>
      </c>
      <c r="V1328" t="s">
        <v>33</v>
      </c>
      <c r="W1328" t="s">
        <v>275</v>
      </c>
      <c r="X1328" t="s">
        <v>276</v>
      </c>
      <c r="Y1328" t="s">
        <v>51</v>
      </c>
    </row>
    <row r="1329" spans="1:25" x14ac:dyDescent="0.25">
      <c r="A1329">
        <v>10245</v>
      </c>
      <c r="B1329">
        <v>21</v>
      </c>
      <c r="C1329">
        <v>100</v>
      </c>
      <c r="D1329">
        <v>3</v>
      </c>
      <c r="E1329">
        <v>2390.2199999999998</v>
      </c>
      <c r="F1329" s="1">
        <v>38111</v>
      </c>
      <c r="G1329" t="s">
        <v>25</v>
      </c>
      <c r="H1329">
        <v>2</v>
      </c>
      <c r="I1329">
        <v>5</v>
      </c>
      <c r="J1329">
        <v>2004</v>
      </c>
      <c r="K1329" t="s">
        <v>504</v>
      </c>
      <c r="L1329">
        <v>121</v>
      </c>
      <c r="M1329" t="s">
        <v>616</v>
      </c>
      <c r="N1329" t="s">
        <v>242</v>
      </c>
      <c r="O1329">
        <v>2035559545</v>
      </c>
      <c r="P1329" t="s">
        <v>243</v>
      </c>
      <c r="R1329" t="s">
        <v>244</v>
      </c>
      <c r="S1329" t="s">
        <v>112</v>
      </c>
      <c r="T1329">
        <v>97823</v>
      </c>
      <c r="U1329" t="s">
        <v>32</v>
      </c>
      <c r="V1329" t="s">
        <v>33</v>
      </c>
      <c r="W1329" t="s">
        <v>83</v>
      </c>
      <c r="X1329" t="s">
        <v>245</v>
      </c>
      <c r="Y1329" t="s">
        <v>36</v>
      </c>
    </row>
    <row r="1330" spans="1:25" x14ac:dyDescent="0.25">
      <c r="A1330">
        <v>10259</v>
      </c>
      <c r="B1330">
        <v>41</v>
      </c>
      <c r="C1330">
        <v>100</v>
      </c>
      <c r="D1330">
        <v>13</v>
      </c>
      <c r="E1330">
        <v>4666.62</v>
      </c>
      <c r="F1330" s="1">
        <v>38153</v>
      </c>
      <c r="G1330" t="s">
        <v>25</v>
      </c>
      <c r="H1330">
        <v>2</v>
      </c>
      <c r="I1330">
        <v>6</v>
      </c>
      <c r="J1330">
        <v>2004</v>
      </c>
      <c r="K1330" t="s">
        <v>504</v>
      </c>
      <c r="L1330">
        <v>121</v>
      </c>
      <c r="M1330" t="s">
        <v>616</v>
      </c>
      <c r="N1330" t="s">
        <v>418</v>
      </c>
      <c r="O1330" t="s">
        <v>419</v>
      </c>
      <c r="P1330" t="s">
        <v>420</v>
      </c>
      <c r="Q1330" t="s">
        <v>421</v>
      </c>
      <c r="R1330" t="s">
        <v>199</v>
      </c>
      <c r="T1330">
        <v>69045</v>
      </c>
      <c r="U1330" t="s">
        <v>199</v>
      </c>
      <c r="V1330" t="s">
        <v>96</v>
      </c>
      <c r="W1330" t="s">
        <v>422</v>
      </c>
      <c r="X1330" t="s">
        <v>423</v>
      </c>
      <c r="Y1330" t="s">
        <v>51</v>
      </c>
    </row>
    <row r="1331" spans="1:25" x14ac:dyDescent="0.25">
      <c r="A1331">
        <v>10270</v>
      </c>
      <c r="B1331">
        <v>38</v>
      </c>
      <c r="C1331">
        <v>100</v>
      </c>
      <c r="D1331">
        <v>3</v>
      </c>
      <c r="E1331">
        <v>5383.08</v>
      </c>
      <c r="F1331" s="1">
        <v>38187</v>
      </c>
      <c r="G1331" t="s">
        <v>25</v>
      </c>
      <c r="H1331">
        <v>3</v>
      </c>
      <c r="I1331">
        <v>7</v>
      </c>
      <c r="J1331">
        <v>2004</v>
      </c>
      <c r="K1331" t="s">
        <v>504</v>
      </c>
      <c r="L1331">
        <v>121</v>
      </c>
      <c r="M1331" t="s">
        <v>616</v>
      </c>
      <c r="N1331" t="s">
        <v>152</v>
      </c>
      <c r="O1331" t="s">
        <v>153</v>
      </c>
      <c r="P1331" t="s">
        <v>154</v>
      </c>
      <c r="Q1331" t="s">
        <v>155</v>
      </c>
      <c r="R1331" t="s">
        <v>156</v>
      </c>
      <c r="S1331" t="s">
        <v>157</v>
      </c>
      <c r="T1331">
        <v>2067</v>
      </c>
      <c r="U1331" t="s">
        <v>95</v>
      </c>
      <c r="V1331" t="s">
        <v>96</v>
      </c>
      <c r="W1331" t="s">
        <v>158</v>
      </c>
      <c r="X1331" t="s">
        <v>159</v>
      </c>
      <c r="Y1331" t="s">
        <v>51</v>
      </c>
    </row>
    <row r="1332" spans="1:25" x14ac:dyDescent="0.25">
      <c r="A1332">
        <v>10281</v>
      </c>
      <c r="B1332">
        <v>25</v>
      </c>
      <c r="C1332">
        <v>99.29</v>
      </c>
      <c r="D1332">
        <v>10</v>
      </c>
      <c r="E1332">
        <v>2482.25</v>
      </c>
      <c r="F1332" s="1">
        <v>38218</v>
      </c>
      <c r="G1332" t="s">
        <v>25</v>
      </c>
      <c r="H1332">
        <v>3</v>
      </c>
      <c r="I1332">
        <v>8</v>
      </c>
      <c r="J1332">
        <v>2004</v>
      </c>
      <c r="K1332" t="s">
        <v>504</v>
      </c>
      <c r="L1332">
        <v>121</v>
      </c>
      <c r="M1332" t="s">
        <v>616</v>
      </c>
      <c r="N1332" t="s">
        <v>139</v>
      </c>
      <c r="O1332">
        <v>2155551555</v>
      </c>
      <c r="P1332" t="s">
        <v>140</v>
      </c>
      <c r="R1332" t="s">
        <v>141</v>
      </c>
      <c r="S1332" t="s">
        <v>142</v>
      </c>
      <c r="T1332">
        <v>70267</v>
      </c>
      <c r="U1332" t="s">
        <v>32</v>
      </c>
      <c r="V1332" t="s">
        <v>33</v>
      </c>
      <c r="W1332" t="s">
        <v>34</v>
      </c>
      <c r="X1332" t="s">
        <v>143</v>
      </c>
      <c r="Y1332" t="s">
        <v>36</v>
      </c>
    </row>
    <row r="1333" spans="1:25" x14ac:dyDescent="0.25">
      <c r="A1333">
        <v>10291</v>
      </c>
      <c r="B1333">
        <v>48</v>
      </c>
      <c r="C1333">
        <v>100</v>
      </c>
      <c r="D1333">
        <v>5</v>
      </c>
      <c r="E1333">
        <v>5288.64</v>
      </c>
      <c r="F1333" s="1">
        <v>38238</v>
      </c>
      <c r="G1333" t="s">
        <v>25</v>
      </c>
      <c r="H1333">
        <v>3</v>
      </c>
      <c r="I1333">
        <v>9</v>
      </c>
      <c r="J1333">
        <v>2004</v>
      </c>
      <c r="K1333" t="s">
        <v>504</v>
      </c>
      <c r="L1333">
        <v>121</v>
      </c>
      <c r="M1333" t="s">
        <v>616</v>
      </c>
      <c r="N1333" t="s">
        <v>261</v>
      </c>
      <c r="O1333" t="s">
        <v>262</v>
      </c>
      <c r="P1333" t="s">
        <v>263</v>
      </c>
      <c r="R1333" t="s">
        <v>264</v>
      </c>
      <c r="T1333" t="s">
        <v>265</v>
      </c>
      <c r="U1333" t="s">
        <v>188</v>
      </c>
      <c r="V1333" t="s">
        <v>42</v>
      </c>
      <c r="W1333" t="s">
        <v>266</v>
      </c>
      <c r="X1333" t="s">
        <v>206</v>
      </c>
      <c r="Y1333" t="s">
        <v>51</v>
      </c>
    </row>
    <row r="1334" spans="1:25" x14ac:dyDescent="0.25">
      <c r="A1334">
        <v>10305</v>
      </c>
      <c r="B1334">
        <v>22</v>
      </c>
      <c r="C1334">
        <v>99.29</v>
      </c>
      <c r="D1334">
        <v>14</v>
      </c>
      <c r="E1334">
        <v>2184.38</v>
      </c>
      <c r="F1334" s="1">
        <v>38273</v>
      </c>
      <c r="G1334" t="s">
        <v>25</v>
      </c>
      <c r="H1334">
        <v>4</v>
      </c>
      <c r="I1334">
        <v>10</v>
      </c>
      <c r="J1334">
        <v>2004</v>
      </c>
      <c r="K1334" t="s">
        <v>504</v>
      </c>
      <c r="L1334">
        <v>121</v>
      </c>
      <c r="M1334" t="s">
        <v>616</v>
      </c>
      <c r="N1334" t="s">
        <v>120</v>
      </c>
      <c r="O1334">
        <v>6175558555</v>
      </c>
      <c r="P1334" t="s">
        <v>121</v>
      </c>
      <c r="R1334" t="s">
        <v>122</v>
      </c>
      <c r="S1334" t="s">
        <v>123</v>
      </c>
      <c r="T1334">
        <v>51247</v>
      </c>
      <c r="U1334" t="s">
        <v>32</v>
      </c>
      <c r="V1334" t="s">
        <v>33</v>
      </c>
      <c r="W1334" t="s">
        <v>124</v>
      </c>
      <c r="X1334" t="s">
        <v>125</v>
      </c>
      <c r="Y1334" t="s">
        <v>36</v>
      </c>
    </row>
    <row r="1335" spans="1:25" x14ac:dyDescent="0.25">
      <c r="A1335">
        <v>10313</v>
      </c>
      <c r="B1335">
        <v>28</v>
      </c>
      <c r="C1335">
        <v>100</v>
      </c>
      <c r="D1335">
        <v>8</v>
      </c>
      <c r="E1335">
        <v>2881.76</v>
      </c>
      <c r="F1335" s="1">
        <v>38282</v>
      </c>
      <c r="G1335" t="s">
        <v>25</v>
      </c>
      <c r="H1335">
        <v>4</v>
      </c>
      <c r="I1335">
        <v>10</v>
      </c>
      <c r="J1335">
        <v>2004</v>
      </c>
      <c r="K1335" t="s">
        <v>504</v>
      </c>
      <c r="L1335">
        <v>121</v>
      </c>
      <c r="M1335" t="s">
        <v>616</v>
      </c>
      <c r="N1335" t="s">
        <v>225</v>
      </c>
      <c r="O1335" t="s">
        <v>226</v>
      </c>
      <c r="P1335" t="s">
        <v>227</v>
      </c>
      <c r="R1335" t="s">
        <v>228</v>
      </c>
      <c r="S1335" t="s">
        <v>229</v>
      </c>
      <c r="T1335" t="s">
        <v>230</v>
      </c>
      <c r="U1335" t="s">
        <v>231</v>
      </c>
      <c r="V1335" t="s">
        <v>33</v>
      </c>
      <c r="W1335" t="s">
        <v>232</v>
      </c>
      <c r="X1335" t="s">
        <v>233</v>
      </c>
      <c r="Y1335" t="s">
        <v>36</v>
      </c>
    </row>
    <row r="1336" spans="1:25" x14ac:dyDescent="0.25">
      <c r="A1336">
        <v>10323</v>
      </c>
      <c r="B1336">
        <v>47</v>
      </c>
      <c r="C1336">
        <v>100</v>
      </c>
      <c r="D1336">
        <v>1</v>
      </c>
      <c r="E1336">
        <v>6203.06</v>
      </c>
      <c r="F1336" s="1">
        <v>38296</v>
      </c>
      <c r="G1336" t="s">
        <v>25</v>
      </c>
      <c r="H1336">
        <v>4</v>
      </c>
      <c r="I1336">
        <v>11</v>
      </c>
      <c r="J1336">
        <v>2004</v>
      </c>
      <c r="K1336" t="s">
        <v>504</v>
      </c>
      <c r="L1336">
        <v>121</v>
      </c>
      <c r="M1336" t="s">
        <v>616</v>
      </c>
      <c r="N1336" t="s">
        <v>462</v>
      </c>
      <c r="O1336" t="s">
        <v>463</v>
      </c>
      <c r="P1336" t="s">
        <v>464</v>
      </c>
      <c r="R1336" t="s">
        <v>465</v>
      </c>
      <c r="T1336">
        <v>60528</v>
      </c>
      <c r="U1336" t="s">
        <v>443</v>
      </c>
      <c r="V1336" t="s">
        <v>42</v>
      </c>
      <c r="W1336" t="s">
        <v>466</v>
      </c>
      <c r="X1336" t="s">
        <v>414</v>
      </c>
      <c r="Y1336" t="s">
        <v>51</v>
      </c>
    </row>
    <row r="1337" spans="1:25" x14ac:dyDescent="0.25">
      <c r="A1337">
        <v>10334</v>
      </c>
      <c r="B1337">
        <v>49</v>
      </c>
      <c r="C1337">
        <v>100</v>
      </c>
      <c r="D1337">
        <v>4</v>
      </c>
      <c r="E1337">
        <v>6763.47</v>
      </c>
      <c r="F1337" s="1">
        <v>38310</v>
      </c>
      <c r="G1337" t="s">
        <v>401</v>
      </c>
      <c r="H1337">
        <v>4</v>
      </c>
      <c r="I1337">
        <v>11</v>
      </c>
      <c r="J1337">
        <v>2004</v>
      </c>
      <c r="K1337" t="s">
        <v>504</v>
      </c>
      <c r="L1337">
        <v>121</v>
      </c>
      <c r="M1337" t="s">
        <v>616</v>
      </c>
      <c r="N1337" t="s">
        <v>183</v>
      </c>
      <c r="O1337" t="s">
        <v>184</v>
      </c>
      <c r="P1337" t="s">
        <v>185</v>
      </c>
      <c r="R1337" t="s">
        <v>186</v>
      </c>
      <c r="T1337" t="s">
        <v>187</v>
      </c>
      <c r="U1337" t="s">
        <v>188</v>
      </c>
      <c r="V1337" t="s">
        <v>42</v>
      </c>
      <c r="W1337" t="s">
        <v>189</v>
      </c>
      <c r="X1337" t="s">
        <v>190</v>
      </c>
      <c r="Y1337" t="s">
        <v>51</v>
      </c>
    </row>
    <row r="1338" spans="1:25" x14ac:dyDescent="0.25">
      <c r="A1338">
        <v>10347</v>
      </c>
      <c r="B1338">
        <v>45</v>
      </c>
      <c r="C1338">
        <v>100</v>
      </c>
      <c r="D1338">
        <v>4</v>
      </c>
      <c r="E1338">
        <v>5884.65</v>
      </c>
      <c r="F1338" s="1">
        <v>38320</v>
      </c>
      <c r="G1338" t="s">
        <v>25</v>
      </c>
      <c r="H1338">
        <v>4</v>
      </c>
      <c r="I1338">
        <v>11</v>
      </c>
      <c r="J1338">
        <v>2004</v>
      </c>
      <c r="K1338" t="s">
        <v>504</v>
      </c>
      <c r="L1338">
        <v>121</v>
      </c>
      <c r="M1338" t="s">
        <v>616</v>
      </c>
      <c r="N1338" t="s">
        <v>89</v>
      </c>
      <c r="O1338" t="s">
        <v>90</v>
      </c>
      <c r="P1338" t="s">
        <v>91</v>
      </c>
      <c r="Q1338" t="s">
        <v>92</v>
      </c>
      <c r="R1338" t="s">
        <v>93</v>
      </c>
      <c r="S1338" t="s">
        <v>94</v>
      </c>
      <c r="T1338">
        <v>3004</v>
      </c>
      <c r="U1338" t="s">
        <v>95</v>
      </c>
      <c r="V1338" t="s">
        <v>96</v>
      </c>
      <c r="W1338" t="s">
        <v>97</v>
      </c>
      <c r="X1338" t="s">
        <v>98</v>
      </c>
      <c r="Y1338" t="s">
        <v>51</v>
      </c>
    </row>
    <row r="1339" spans="1:25" x14ac:dyDescent="0.25">
      <c r="A1339">
        <v>10357</v>
      </c>
      <c r="B1339">
        <v>28</v>
      </c>
      <c r="C1339">
        <v>100</v>
      </c>
      <c r="D1339">
        <v>2</v>
      </c>
      <c r="E1339">
        <v>3559.64</v>
      </c>
      <c r="F1339" s="1">
        <v>38331</v>
      </c>
      <c r="G1339" t="s">
        <v>25</v>
      </c>
      <c r="H1339">
        <v>4</v>
      </c>
      <c r="I1339">
        <v>12</v>
      </c>
      <c r="J1339">
        <v>2004</v>
      </c>
      <c r="K1339" t="s">
        <v>504</v>
      </c>
      <c r="L1339">
        <v>121</v>
      </c>
      <c r="M1339" t="s">
        <v>616</v>
      </c>
      <c r="N1339" t="s">
        <v>272</v>
      </c>
      <c r="O1339">
        <v>4155551450</v>
      </c>
      <c r="P1339" t="s">
        <v>273</v>
      </c>
      <c r="R1339" t="s">
        <v>274</v>
      </c>
      <c r="S1339" t="s">
        <v>55</v>
      </c>
      <c r="T1339">
        <v>97562</v>
      </c>
      <c r="U1339" t="s">
        <v>32</v>
      </c>
      <c r="V1339" t="s">
        <v>33</v>
      </c>
      <c r="W1339" t="s">
        <v>275</v>
      </c>
      <c r="X1339" t="s">
        <v>276</v>
      </c>
      <c r="Y1339" t="s">
        <v>51</v>
      </c>
    </row>
    <row r="1340" spans="1:25" x14ac:dyDescent="0.25">
      <c r="A1340">
        <v>10370</v>
      </c>
      <c r="B1340">
        <v>29</v>
      </c>
      <c r="C1340">
        <v>57.53</v>
      </c>
      <c r="D1340">
        <v>6</v>
      </c>
      <c r="E1340">
        <v>1668.37</v>
      </c>
      <c r="F1340" s="1">
        <v>38372</v>
      </c>
      <c r="G1340" t="s">
        <v>25</v>
      </c>
      <c r="H1340">
        <v>1</v>
      </c>
      <c r="I1340">
        <v>1</v>
      </c>
      <c r="J1340">
        <v>2005</v>
      </c>
      <c r="K1340" t="s">
        <v>504</v>
      </c>
      <c r="L1340">
        <v>121</v>
      </c>
      <c r="M1340" t="s">
        <v>616</v>
      </c>
      <c r="N1340" t="s">
        <v>285</v>
      </c>
      <c r="O1340" t="s">
        <v>286</v>
      </c>
      <c r="P1340" t="s">
        <v>287</v>
      </c>
      <c r="Q1340" t="s">
        <v>288</v>
      </c>
      <c r="R1340" t="s">
        <v>289</v>
      </c>
      <c r="S1340" t="s">
        <v>157</v>
      </c>
      <c r="T1340">
        <v>2060</v>
      </c>
      <c r="U1340" t="s">
        <v>95</v>
      </c>
      <c r="V1340" t="s">
        <v>96</v>
      </c>
      <c r="W1340" t="s">
        <v>290</v>
      </c>
      <c r="X1340" t="s">
        <v>291</v>
      </c>
      <c r="Y1340" t="s">
        <v>36</v>
      </c>
    </row>
    <row r="1341" spans="1:25" x14ac:dyDescent="0.25">
      <c r="A1341">
        <v>10382</v>
      </c>
      <c r="B1341">
        <v>39</v>
      </c>
      <c r="C1341">
        <v>100</v>
      </c>
      <c r="D1341">
        <v>1</v>
      </c>
      <c r="E1341">
        <v>4890.6000000000004</v>
      </c>
      <c r="F1341" s="1">
        <v>38400</v>
      </c>
      <c r="G1341" t="s">
        <v>25</v>
      </c>
      <c r="H1341">
        <v>1</v>
      </c>
      <c r="I1341">
        <v>2</v>
      </c>
      <c r="J1341">
        <v>2005</v>
      </c>
      <c r="K1341" t="s">
        <v>504</v>
      </c>
      <c r="L1341">
        <v>121</v>
      </c>
      <c r="M1341" t="s">
        <v>616</v>
      </c>
      <c r="N1341" t="s">
        <v>272</v>
      </c>
      <c r="O1341">
        <v>4155551450</v>
      </c>
      <c r="P1341" t="s">
        <v>273</v>
      </c>
      <c r="R1341" t="s">
        <v>274</v>
      </c>
      <c r="S1341" t="s">
        <v>55</v>
      </c>
      <c r="T1341">
        <v>97562</v>
      </c>
      <c r="U1341" t="s">
        <v>32</v>
      </c>
      <c r="V1341" t="s">
        <v>33</v>
      </c>
      <c r="W1341" t="s">
        <v>275</v>
      </c>
      <c r="X1341" t="s">
        <v>276</v>
      </c>
      <c r="Y1341" t="s">
        <v>51</v>
      </c>
    </row>
    <row r="1342" spans="1:25" x14ac:dyDescent="0.25">
      <c r="A1342">
        <v>10411</v>
      </c>
      <c r="B1342">
        <v>46</v>
      </c>
      <c r="C1342">
        <v>100</v>
      </c>
      <c r="D1342">
        <v>3</v>
      </c>
      <c r="E1342">
        <v>5235.72</v>
      </c>
      <c r="F1342" s="1">
        <v>38473</v>
      </c>
      <c r="G1342" t="s">
        <v>25</v>
      </c>
      <c r="H1342">
        <v>2</v>
      </c>
      <c r="I1342">
        <v>5</v>
      </c>
      <c r="J1342">
        <v>2005</v>
      </c>
      <c r="K1342" t="s">
        <v>504</v>
      </c>
      <c r="L1342">
        <v>121</v>
      </c>
      <c r="M1342" t="s">
        <v>616</v>
      </c>
      <c r="N1342" t="s">
        <v>292</v>
      </c>
      <c r="O1342" t="s">
        <v>293</v>
      </c>
      <c r="P1342" t="s">
        <v>294</v>
      </c>
      <c r="R1342" t="s">
        <v>295</v>
      </c>
      <c r="S1342" t="s">
        <v>296</v>
      </c>
      <c r="T1342" t="s">
        <v>297</v>
      </c>
      <c r="U1342" t="s">
        <v>231</v>
      </c>
      <c r="V1342" t="s">
        <v>33</v>
      </c>
      <c r="W1342" t="s">
        <v>298</v>
      </c>
      <c r="X1342" t="s">
        <v>299</v>
      </c>
      <c r="Y1342" t="s">
        <v>51</v>
      </c>
    </row>
    <row r="1343" spans="1:25" x14ac:dyDescent="0.25">
      <c r="A1343">
        <v>10425</v>
      </c>
      <c r="B1343">
        <v>38</v>
      </c>
      <c r="C1343">
        <v>100</v>
      </c>
      <c r="D1343">
        <v>13</v>
      </c>
      <c r="E1343">
        <v>4325.16</v>
      </c>
      <c r="F1343" s="1">
        <v>38503</v>
      </c>
      <c r="G1343" t="s">
        <v>300</v>
      </c>
      <c r="H1343">
        <v>2</v>
      </c>
      <c r="I1343">
        <v>5</v>
      </c>
      <c r="J1343">
        <v>2005</v>
      </c>
      <c r="K1343" t="s">
        <v>504</v>
      </c>
      <c r="L1343">
        <v>121</v>
      </c>
      <c r="M1343" t="s">
        <v>616</v>
      </c>
      <c r="N1343" t="s">
        <v>114</v>
      </c>
      <c r="O1343" t="s">
        <v>115</v>
      </c>
      <c r="P1343" t="s">
        <v>116</v>
      </c>
      <c r="R1343" t="s">
        <v>117</v>
      </c>
      <c r="T1343">
        <v>44000</v>
      </c>
      <c r="U1343" t="s">
        <v>41</v>
      </c>
      <c r="V1343" t="s">
        <v>42</v>
      </c>
      <c r="W1343" t="s">
        <v>118</v>
      </c>
      <c r="X1343" t="s">
        <v>119</v>
      </c>
      <c r="Y1343" t="s">
        <v>51</v>
      </c>
    </row>
    <row r="1344" spans="1:25" x14ac:dyDescent="0.25">
      <c r="A1344">
        <v>10103</v>
      </c>
      <c r="B1344">
        <v>41</v>
      </c>
      <c r="C1344">
        <v>47.29</v>
      </c>
      <c r="D1344">
        <v>9</v>
      </c>
      <c r="E1344">
        <v>1938.89</v>
      </c>
      <c r="F1344" s="1">
        <v>37650</v>
      </c>
      <c r="G1344" t="s">
        <v>25</v>
      </c>
      <c r="H1344">
        <v>1</v>
      </c>
      <c r="I1344">
        <v>1</v>
      </c>
      <c r="J1344">
        <v>2003</v>
      </c>
      <c r="K1344" t="s">
        <v>550</v>
      </c>
      <c r="L1344">
        <v>50</v>
      </c>
      <c r="M1344" t="s">
        <v>617</v>
      </c>
      <c r="N1344" t="s">
        <v>133</v>
      </c>
      <c r="O1344" t="s">
        <v>134</v>
      </c>
      <c r="P1344" t="s">
        <v>135</v>
      </c>
      <c r="R1344" t="s">
        <v>136</v>
      </c>
      <c r="T1344">
        <v>4110</v>
      </c>
      <c r="U1344" t="s">
        <v>78</v>
      </c>
      <c r="V1344" t="s">
        <v>42</v>
      </c>
      <c r="W1344" t="s">
        <v>137</v>
      </c>
      <c r="X1344" t="s">
        <v>138</v>
      </c>
      <c r="Y1344" t="s">
        <v>36</v>
      </c>
    </row>
    <row r="1345" spans="1:25" x14ac:dyDescent="0.25">
      <c r="A1345">
        <v>10113</v>
      </c>
      <c r="B1345">
        <v>50</v>
      </c>
      <c r="C1345">
        <v>49.81</v>
      </c>
      <c r="D1345">
        <v>3</v>
      </c>
      <c r="E1345">
        <v>2490.5</v>
      </c>
      <c r="F1345" s="1">
        <v>37706</v>
      </c>
      <c r="G1345" t="s">
        <v>25</v>
      </c>
      <c r="H1345">
        <v>1</v>
      </c>
      <c r="I1345">
        <v>3</v>
      </c>
      <c r="J1345">
        <v>2003</v>
      </c>
      <c r="K1345" t="s">
        <v>550</v>
      </c>
      <c r="L1345">
        <v>50</v>
      </c>
      <c r="M1345" t="s">
        <v>617</v>
      </c>
      <c r="N1345" t="s">
        <v>272</v>
      </c>
      <c r="O1345">
        <v>4155551450</v>
      </c>
      <c r="P1345" t="s">
        <v>273</v>
      </c>
      <c r="R1345" t="s">
        <v>274</v>
      </c>
      <c r="S1345" t="s">
        <v>55</v>
      </c>
      <c r="T1345">
        <v>97562</v>
      </c>
      <c r="U1345" t="s">
        <v>32</v>
      </c>
      <c r="V1345" t="s">
        <v>33</v>
      </c>
      <c r="W1345" t="s">
        <v>275</v>
      </c>
      <c r="X1345" t="s">
        <v>276</v>
      </c>
      <c r="Y1345" t="s">
        <v>36</v>
      </c>
    </row>
    <row r="1346" spans="1:25" x14ac:dyDescent="0.25">
      <c r="A1346">
        <v>10126</v>
      </c>
      <c r="B1346">
        <v>43</v>
      </c>
      <c r="C1346">
        <v>53.83</v>
      </c>
      <c r="D1346">
        <v>9</v>
      </c>
      <c r="E1346">
        <v>2314.69</v>
      </c>
      <c r="F1346" s="1">
        <v>37769</v>
      </c>
      <c r="G1346" t="s">
        <v>25</v>
      </c>
      <c r="H1346">
        <v>2</v>
      </c>
      <c r="I1346">
        <v>5</v>
      </c>
      <c r="J1346">
        <v>2003</v>
      </c>
      <c r="K1346" t="s">
        <v>550</v>
      </c>
      <c r="L1346">
        <v>50</v>
      </c>
      <c r="M1346" t="s">
        <v>617</v>
      </c>
      <c r="N1346" t="s">
        <v>191</v>
      </c>
      <c r="O1346" t="s">
        <v>192</v>
      </c>
      <c r="P1346" t="s">
        <v>193</v>
      </c>
      <c r="R1346" t="s">
        <v>177</v>
      </c>
      <c r="T1346">
        <v>28023</v>
      </c>
      <c r="U1346" t="s">
        <v>178</v>
      </c>
      <c r="V1346" t="s">
        <v>42</v>
      </c>
      <c r="W1346" t="s">
        <v>194</v>
      </c>
      <c r="X1346" t="s">
        <v>195</v>
      </c>
      <c r="Y1346" t="s">
        <v>36</v>
      </c>
    </row>
    <row r="1347" spans="1:25" x14ac:dyDescent="0.25">
      <c r="A1347">
        <v>10140</v>
      </c>
      <c r="B1347">
        <v>29</v>
      </c>
      <c r="C1347">
        <v>43.27</v>
      </c>
      <c r="D1347">
        <v>9</v>
      </c>
      <c r="E1347">
        <v>1254.83</v>
      </c>
      <c r="F1347" s="1">
        <v>37826</v>
      </c>
      <c r="G1347" t="s">
        <v>25</v>
      </c>
      <c r="H1347">
        <v>3</v>
      </c>
      <c r="I1347">
        <v>7</v>
      </c>
      <c r="J1347">
        <v>2003</v>
      </c>
      <c r="K1347" t="s">
        <v>550</v>
      </c>
      <c r="L1347">
        <v>50</v>
      </c>
      <c r="M1347" t="s">
        <v>617</v>
      </c>
      <c r="N1347" t="s">
        <v>62</v>
      </c>
      <c r="O1347">
        <v>6505556809</v>
      </c>
      <c r="P1347" t="s">
        <v>63</v>
      </c>
      <c r="R1347" t="s">
        <v>64</v>
      </c>
      <c r="S1347" t="s">
        <v>55</v>
      </c>
      <c r="T1347">
        <v>94217</v>
      </c>
      <c r="U1347" t="s">
        <v>32</v>
      </c>
      <c r="V1347" t="s">
        <v>33</v>
      </c>
      <c r="W1347" t="s">
        <v>65</v>
      </c>
      <c r="X1347" t="s">
        <v>66</v>
      </c>
      <c r="Y1347" t="s">
        <v>36</v>
      </c>
    </row>
    <row r="1348" spans="1:25" x14ac:dyDescent="0.25">
      <c r="A1348">
        <v>10150</v>
      </c>
      <c r="B1348">
        <v>30</v>
      </c>
      <c r="C1348">
        <v>42.76</v>
      </c>
      <c r="D1348">
        <v>6</v>
      </c>
      <c r="E1348">
        <v>1282.8</v>
      </c>
      <c r="F1348" s="1">
        <v>37883</v>
      </c>
      <c r="G1348" t="s">
        <v>25</v>
      </c>
      <c r="H1348">
        <v>3</v>
      </c>
      <c r="I1348">
        <v>9</v>
      </c>
      <c r="J1348">
        <v>2003</v>
      </c>
      <c r="K1348" t="s">
        <v>550</v>
      </c>
      <c r="L1348">
        <v>50</v>
      </c>
      <c r="M1348" t="s">
        <v>617</v>
      </c>
      <c r="N1348" t="s">
        <v>196</v>
      </c>
      <c r="O1348" t="s">
        <v>197</v>
      </c>
      <c r="P1348" t="s">
        <v>198</v>
      </c>
      <c r="R1348" t="s">
        <v>199</v>
      </c>
      <c r="T1348">
        <v>79903</v>
      </c>
      <c r="U1348" t="s">
        <v>199</v>
      </c>
      <c r="V1348" t="s">
        <v>200</v>
      </c>
      <c r="W1348" t="s">
        <v>201</v>
      </c>
      <c r="X1348" t="s">
        <v>202</v>
      </c>
      <c r="Y1348" t="s">
        <v>36</v>
      </c>
    </row>
    <row r="1349" spans="1:25" x14ac:dyDescent="0.25">
      <c r="A1349">
        <v>10164</v>
      </c>
      <c r="B1349">
        <v>25</v>
      </c>
      <c r="C1349">
        <v>53.83</v>
      </c>
      <c r="D1349">
        <v>7</v>
      </c>
      <c r="E1349">
        <v>1345.75</v>
      </c>
      <c r="F1349" s="1">
        <v>37915</v>
      </c>
      <c r="G1349" t="s">
        <v>408</v>
      </c>
      <c r="H1349">
        <v>4</v>
      </c>
      <c r="I1349">
        <v>10</v>
      </c>
      <c r="J1349">
        <v>2003</v>
      </c>
      <c r="K1349" t="s">
        <v>550</v>
      </c>
      <c r="L1349">
        <v>50</v>
      </c>
      <c r="M1349" t="s">
        <v>617</v>
      </c>
      <c r="N1349" t="s">
        <v>409</v>
      </c>
      <c r="O1349" t="s">
        <v>410</v>
      </c>
      <c r="P1349" t="s">
        <v>411</v>
      </c>
      <c r="R1349" t="s">
        <v>412</v>
      </c>
      <c r="T1349">
        <v>8010</v>
      </c>
      <c r="U1349" t="s">
        <v>148</v>
      </c>
      <c r="V1349" t="s">
        <v>42</v>
      </c>
      <c r="W1349" t="s">
        <v>413</v>
      </c>
      <c r="X1349" t="s">
        <v>414</v>
      </c>
      <c r="Y1349" t="s">
        <v>36</v>
      </c>
    </row>
    <row r="1350" spans="1:25" x14ac:dyDescent="0.25">
      <c r="A1350">
        <v>10174</v>
      </c>
      <c r="B1350">
        <v>49</v>
      </c>
      <c r="C1350">
        <v>44.78</v>
      </c>
      <c r="D1350">
        <v>2</v>
      </c>
      <c r="E1350">
        <v>2194.2199999999998</v>
      </c>
      <c r="F1350" s="1">
        <v>37931</v>
      </c>
      <c r="G1350" t="s">
        <v>25</v>
      </c>
      <c r="H1350">
        <v>4</v>
      </c>
      <c r="I1350">
        <v>11</v>
      </c>
      <c r="J1350">
        <v>2003</v>
      </c>
      <c r="K1350" t="s">
        <v>550</v>
      </c>
      <c r="L1350">
        <v>50</v>
      </c>
      <c r="M1350" t="s">
        <v>617</v>
      </c>
      <c r="N1350" t="s">
        <v>207</v>
      </c>
      <c r="O1350" t="s">
        <v>208</v>
      </c>
      <c r="P1350" t="s">
        <v>209</v>
      </c>
      <c r="R1350" t="s">
        <v>210</v>
      </c>
      <c r="S1350" t="s">
        <v>211</v>
      </c>
      <c r="T1350">
        <v>4101</v>
      </c>
      <c r="U1350" t="s">
        <v>95</v>
      </c>
      <c r="V1350" t="s">
        <v>96</v>
      </c>
      <c r="W1350" t="s">
        <v>212</v>
      </c>
      <c r="X1350" t="s">
        <v>213</v>
      </c>
      <c r="Y1350" t="s">
        <v>36</v>
      </c>
    </row>
    <row r="1351" spans="1:25" x14ac:dyDescent="0.25">
      <c r="A1351">
        <v>10183</v>
      </c>
      <c r="B1351">
        <v>40</v>
      </c>
      <c r="C1351">
        <v>49.3</v>
      </c>
      <c r="D1351">
        <v>6</v>
      </c>
      <c r="E1351">
        <v>1972</v>
      </c>
      <c r="F1351" s="1">
        <v>37938</v>
      </c>
      <c r="G1351" t="s">
        <v>25</v>
      </c>
      <c r="H1351">
        <v>4</v>
      </c>
      <c r="I1351">
        <v>11</v>
      </c>
      <c r="J1351">
        <v>2003</v>
      </c>
      <c r="K1351" t="s">
        <v>550</v>
      </c>
      <c r="L1351">
        <v>50</v>
      </c>
      <c r="M1351" t="s">
        <v>617</v>
      </c>
      <c r="N1351" t="s">
        <v>214</v>
      </c>
      <c r="O1351">
        <v>2155554695</v>
      </c>
      <c r="P1351" t="s">
        <v>215</v>
      </c>
      <c r="R1351" t="s">
        <v>216</v>
      </c>
      <c r="S1351" t="s">
        <v>142</v>
      </c>
      <c r="T1351">
        <v>71270</v>
      </c>
      <c r="U1351" t="s">
        <v>32</v>
      </c>
      <c r="V1351" t="s">
        <v>33</v>
      </c>
      <c r="W1351" t="s">
        <v>217</v>
      </c>
      <c r="X1351" t="s">
        <v>218</v>
      </c>
      <c r="Y1351" t="s">
        <v>36</v>
      </c>
    </row>
    <row r="1352" spans="1:25" x14ac:dyDescent="0.25">
      <c r="A1352">
        <v>10194</v>
      </c>
      <c r="B1352">
        <v>41</v>
      </c>
      <c r="C1352">
        <v>44.78</v>
      </c>
      <c r="D1352">
        <v>9</v>
      </c>
      <c r="E1352">
        <v>1835.98</v>
      </c>
      <c r="F1352" s="1">
        <v>37950</v>
      </c>
      <c r="G1352" t="s">
        <v>25</v>
      </c>
      <c r="H1352">
        <v>4</v>
      </c>
      <c r="I1352">
        <v>11</v>
      </c>
      <c r="J1352">
        <v>2003</v>
      </c>
      <c r="K1352" t="s">
        <v>550</v>
      </c>
      <c r="L1352">
        <v>50</v>
      </c>
      <c r="M1352" t="s">
        <v>617</v>
      </c>
      <c r="N1352" t="s">
        <v>219</v>
      </c>
      <c r="O1352" t="s">
        <v>220</v>
      </c>
      <c r="P1352" t="s">
        <v>221</v>
      </c>
      <c r="R1352" t="s">
        <v>222</v>
      </c>
      <c r="T1352">
        <v>69004</v>
      </c>
      <c r="U1352" t="s">
        <v>41</v>
      </c>
      <c r="V1352" t="s">
        <v>42</v>
      </c>
      <c r="W1352" t="s">
        <v>223</v>
      </c>
      <c r="X1352" t="s">
        <v>224</v>
      </c>
      <c r="Y1352" t="s">
        <v>36</v>
      </c>
    </row>
    <row r="1353" spans="1:25" x14ac:dyDescent="0.25">
      <c r="A1353">
        <v>10206</v>
      </c>
      <c r="B1353">
        <v>21</v>
      </c>
      <c r="C1353">
        <v>53.33</v>
      </c>
      <c r="D1353">
        <v>4</v>
      </c>
      <c r="E1353">
        <v>1119.93</v>
      </c>
      <c r="F1353" s="1">
        <v>37960</v>
      </c>
      <c r="G1353" t="s">
        <v>25</v>
      </c>
      <c r="H1353">
        <v>4</v>
      </c>
      <c r="I1353">
        <v>12</v>
      </c>
      <c r="J1353">
        <v>2003</v>
      </c>
      <c r="K1353" t="s">
        <v>550</v>
      </c>
      <c r="L1353">
        <v>50</v>
      </c>
      <c r="M1353" t="s">
        <v>617</v>
      </c>
      <c r="N1353" t="s">
        <v>225</v>
      </c>
      <c r="O1353" t="s">
        <v>226</v>
      </c>
      <c r="P1353" t="s">
        <v>227</v>
      </c>
      <c r="R1353" t="s">
        <v>228</v>
      </c>
      <c r="S1353" t="s">
        <v>229</v>
      </c>
      <c r="T1353" t="s">
        <v>230</v>
      </c>
      <c r="U1353" t="s">
        <v>231</v>
      </c>
      <c r="V1353" t="s">
        <v>33</v>
      </c>
      <c r="W1353" t="s">
        <v>232</v>
      </c>
      <c r="X1353" t="s">
        <v>233</v>
      </c>
      <c r="Y1353" t="s">
        <v>36</v>
      </c>
    </row>
    <row r="1354" spans="1:25" x14ac:dyDescent="0.25">
      <c r="A1354">
        <v>10215</v>
      </c>
      <c r="B1354">
        <v>46</v>
      </c>
      <c r="C1354">
        <v>45.28</v>
      </c>
      <c r="D1354">
        <v>1</v>
      </c>
      <c r="E1354">
        <v>2082.88</v>
      </c>
      <c r="F1354" s="1">
        <v>38015</v>
      </c>
      <c r="G1354" t="s">
        <v>25</v>
      </c>
      <c r="H1354">
        <v>1</v>
      </c>
      <c r="I1354">
        <v>1</v>
      </c>
      <c r="J1354">
        <v>2004</v>
      </c>
      <c r="K1354" t="s">
        <v>550</v>
      </c>
      <c r="L1354">
        <v>50</v>
      </c>
      <c r="M1354" t="s">
        <v>617</v>
      </c>
      <c r="N1354" t="s">
        <v>234</v>
      </c>
      <c r="O1354">
        <v>3105553722</v>
      </c>
      <c r="P1354" t="s">
        <v>235</v>
      </c>
      <c r="R1354" t="s">
        <v>236</v>
      </c>
      <c r="S1354" t="s">
        <v>55</v>
      </c>
      <c r="T1354">
        <v>94019</v>
      </c>
      <c r="U1354" t="s">
        <v>32</v>
      </c>
      <c r="V1354" t="s">
        <v>33</v>
      </c>
      <c r="W1354" t="s">
        <v>237</v>
      </c>
      <c r="X1354" t="s">
        <v>238</v>
      </c>
      <c r="Y1354" t="s">
        <v>36</v>
      </c>
    </row>
    <row r="1355" spans="1:25" x14ac:dyDescent="0.25">
      <c r="A1355">
        <v>10229</v>
      </c>
      <c r="B1355">
        <v>39</v>
      </c>
      <c r="C1355">
        <v>40.25</v>
      </c>
      <c r="D1355">
        <v>14</v>
      </c>
      <c r="E1355">
        <v>1569.75</v>
      </c>
      <c r="F1355" s="1">
        <v>38057</v>
      </c>
      <c r="G1355" t="s">
        <v>25</v>
      </c>
      <c r="H1355">
        <v>1</v>
      </c>
      <c r="I1355">
        <v>3</v>
      </c>
      <c r="J1355">
        <v>2004</v>
      </c>
      <c r="K1355" t="s">
        <v>550</v>
      </c>
      <c r="L1355">
        <v>50</v>
      </c>
      <c r="M1355" t="s">
        <v>617</v>
      </c>
      <c r="N1355" t="s">
        <v>272</v>
      </c>
      <c r="O1355">
        <v>4155551450</v>
      </c>
      <c r="P1355" t="s">
        <v>273</v>
      </c>
      <c r="R1355" t="s">
        <v>274</v>
      </c>
      <c r="S1355" t="s">
        <v>55</v>
      </c>
      <c r="T1355">
        <v>97562</v>
      </c>
      <c r="U1355" t="s">
        <v>32</v>
      </c>
      <c r="V1355" t="s">
        <v>33</v>
      </c>
      <c r="W1355" t="s">
        <v>275</v>
      </c>
      <c r="X1355" t="s">
        <v>276</v>
      </c>
      <c r="Y1355" t="s">
        <v>36</v>
      </c>
    </row>
    <row r="1356" spans="1:25" x14ac:dyDescent="0.25">
      <c r="A1356">
        <v>10245</v>
      </c>
      <c r="B1356">
        <v>45</v>
      </c>
      <c r="C1356">
        <v>59.87</v>
      </c>
      <c r="D1356">
        <v>7</v>
      </c>
      <c r="E1356">
        <v>2694.15</v>
      </c>
      <c r="F1356" s="1">
        <v>38111</v>
      </c>
      <c r="G1356" t="s">
        <v>25</v>
      </c>
      <c r="H1356">
        <v>2</v>
      </c>
      <c r="I1356">
        <v>5</v>
      </c>
      <c r="J1356">
        <v>2004</v>
      </c>
      <c r="K1356" t="s">
        <v>550</v>
      </c>
      <c r="L1356">
        <v>50</v>
      </c>
      <c r="M1356" t="s">
        <v>617</v>
      </c>
      <c r="N1356" t="s">
        <v>242</v>
      </c>
      <c r="O1356">
        <v>2035559545</v>
      </c>
      <c r="P1356" t="s">
        <v>243</v>
      </c>
      <c r="R1356" t="s">
        <v>244</v>
      </c>
      <c r="S1356" t="s">
        <v>112</v>
      </c>
      <c r="T1356">
        <v>97823</v>
      </c>
      <c r="U1356" t="s">
        <v>32</v>
      </c>
      <c r="V1356" t="s">
        <v>33</v>
      </c>
      <c r="W1356" t="s">
        <v>83</v>
      </c>
      <c r="X1356" t="s">
        <v>245</v>
      </c>
      <c r="Y1356" t="s">
        <v>36</v>
      </c>
    </row>
    <row r="1357" spans="1:25" x14ac:dyDescent="0.25">
      <c r="A1357">
        <v>10258</v>
      </c>
      <c r="B1357">
        <v>21</v>
      </c>
      <c r="C1357">
        <v>59.87</v>
      </c>
      <c r="D1357">
        <v>4</v>
      </c>
      <c r="E1357">
        <v>1257.27</v>
      </c>
      <c r="F1357" s="1">
        <v>38153</v>
      </c>
      <c r="G1357" t="s">
        <v>25</v>
      </c>
      <c r="H1357">
        <v>2</v>
      </c>
      <c r="I1357">
        <v>6</v>
      </c>
      <c r="J1357">
        <v>2004</v>
      </c>
      <c r="K1357" t="s">
        <v>550</v>
      </c>
      <c r="L1357">
        <v>50</v>
      </c>
      <c r="M1357" t="s">
        <v>617</v>
      </c>
      <c r="N1357" t="s">
        <v>246</v>
      </c>
      <c r="O1357" t="s">
        <v>247</v>
      </c>
      <c r="P1357" t="s">
        <v>248</v>
      </c>
      <c r="R1357" t="s">
        <v>249</v>
      </c>
      <c r="S1357" t="s">
        <v>250</v>
      </c>
      <c r="T1357" t="s">
        <v>251</v>
      </c>
      <c r="U1357" t="s">
        <v>200</v>
      </c>
      <c r="V1357" t="s">
        <v>200</v>
      </c>
      <c r="W1357" t="s">
        <v>252</v>
      </c>
      <c r="X1357" t="s">
        <v>253</v>
      </c>
      <c r="Y1357" t="s">
        <v>36</v>
      </c>
    </row>
    <row r="1358" spans="1:25" x14ac:dyDescent="0.25">
      <c r="A1358">
        <v>10270</v>
      </c>
      <c r="B1358">
        <v>44</v>
      </c>
      <c r="C1358">
        <v>58.36</v>
      </c>
      <c r="D1358">
        <v>7</v>
      </c>
      <c r="E1358">
        <v>2567.84</v>
      </c>
      <c r="F1358" s="1">
        <v>38187</v>
      </c>
      <c r="G1358" t="s">
        <v>25</v>
      </c>
      <c r="H1358">
        <v>3</v>
      </c>
      <c r="I1358">
        <v>7</v>
      </c>
      <c r="J1358">
        <v>2004</v>
      </c>
      <c r="K1358" t="s">
        <v>550</v>
      </c>
      <c r="L1358">
        <v>50</v>
      </c>
      <c r="M1358" t="s">
        <v>617</v>
      </c>
      <c r="N1358" t="s">
        <v>152</v>
      </c>
      <c r="O1358" t="s">
        <v>153</v>
      </c>
      <c r="P1358" t="s">
        <v>154</v>
      </c>
      <c r="Q1358" t="s">
        <v>155</v>
      </c>
      <c r="R1358" t="s">
        <v>156</v>
      </c>
      <c r="S1358" t="s">
        <v>157</v>
      </c>
      <c r="T1358">
        <v>2067</v>
      </c>
      <c r="U1358" t="s">
        <v>95</v>
      </c>
      <c r="V1358" t="s">
        <v>96</v>
      </c>
      <c r="W1358" t="s">
        <v>158</v>
      </c>
      <c r="X1358" t="s">
        <v>159</v>
      </c>
      <c r="Y1358" t="s">
        <v>36</v>
      </c>
    </row>
    <row r="1359" spans="1:25" x14ac:dyDescent="0.25">
      <c r="A1359">
        <v>10281</v>
      </c>
      <c r="B1359">
        <v>44</v>
      </c>
      <c r="C1359">
        <v>59.87</v>
      </c>
      <c r="D1359">
        <v>14</v>
      </c>
      <c r="E1359">
        <v>2634.28</v>
      </c>
      <c r="F1359" s="1">
        <v>38218</v>
      </c>
      <c r="G1359" t="s">
        <v>25</v>
      </c>
      <c r="H1359">
        <v>3</v>
      </c>
      <c r="I1359">
        <v>8</v>
      </c>
      <c r="J1359">
        <v>2004</v>
      </c>
      <c r="K1359" t="s">
        <v>550</v>
      </c>
      <c r="L1359">
        <v>50</v>
      </c>
      <c r="M1359" t="s">
        <v>617</v>
      </c>
      <c r="N1359" t="s">
        <v>139</v>
      </c>
      <c r="O1359">
        <v>2155551555</v>
      </c>
      <c r="P1359" t="s">
        <v>140</v>
      </c>
      <c r="R1359" t="s">
        <v>141</v>
      </c>
      <c r="S1359" t="s">
        <v>142</v>
      </c>
      <c r="T1359">
        <v>70267</v>
      </c>
      <c r="U1359" t="s">
        <v>32</v>
      </c>
      <c r="V1359" t="s">
        <v>33</v>
      </c>
      <c r="W1359" t="s">
        <v>34</v>
      </c>
      <c r="X1359" t="s">
        <v>143</v>
      </c>
      <c r="Y1359" t="s">
        <v>36</v>
      </c>
    </row>
    <row r="1360" spans="1:25" x14ac:dyDescent="0.25">
      <c r="A1360">
        <v>10291</v>
      </c>
      <c r="B1360">
        <v>29</v>
      </c>
      <c r="C1360">
        <v>51.82</v>
      </c>
      <c r="D1360">
        <v>9</v>
      </c>
      <c r="E1360">
        <v>1502.78</v>
      </c>
      <c r="F1360" s="1">
        <v>38238</v>
      </c>
      <c r="G1360" t="s">
        <v>25</v>
      </c>
      <c r="H1360">
        <v>3</v>
      </c>
      <c r="I1360">
        <v>9</v>
      </c>
      <c r="J1360">
        <v>2004</v>
      </c>
      <c r="K1360" t="s">
        <v>550</v>
      </c>
      <c r="L1360">
        <v>50</v>
      </c>
      <c r="M1360" t="s">
        <v>617</v>
      </c>
      <c r="N1360" t="s">
        <v>261</v>
      </c>
      <c r="O1360" t="s">
        <v>262</v>
      </c>
      <c r="P1360" t="s">
        <v>263</v>
      </c>
      <c r="R1360" t="s">
        <v>264</v>
      </c>
      <c r="T1360" t="s">
        <v>265</v>
      </c>
      <c r="U1360" t="s">
        <v>188</v>
      </c>
      <c r="V1360" t="s">
        <v>42</v>
      </c>
      <c r="W1360" t="s">
        <v>266</v>
      </c>
      <c r="X1360" t="s">
        <v>206</v>
      </c>
      <c r="Y1360" t="s">
        <v>36</v>
      </c>
    </row>
    <row r="1361" spans="1:25" x14ac:dyDescent="0.25">
      <c r="A1361">
        <v>10304</v>
      </c>
      <c r="B1361">
        <v>34</v>
      </c>
      <c r="C1361">
        <v>49.3</v>
      </c>
      <c r="D1361">
        <v>4</v>
      </c>
      <c r="E1361">
        <v>1676.2</v>
      </c>
      <c r="F1361" s="1">
        <v>38271</v>
      </c>
      <c r="G1361" t="s">
        <v>25</v>
      </c>
      <c r="H1361">
        <v>4</v>
      </c>
      <c r="I1361">
        <v>10</v>
      </c>
      <c r="J1361">
        <v>2004</v>
      </c>
      <c r="K1361" t="s">
        <v>550</v>
      </c>
      <c r="L1361">
        <v>50</v>
      </c>
      <c r="M1361" t="s">
        <v>617</v>
      </c>
      <c r="N1361" t="s">
        <v>267</v>
      </c>
      <c r="O1361" t="s">
        <v>268</v>
      </c>
      <c r="P1361" t="s">
        <v>269</v>
      </c>
      <c r="R1361" t="s">
        <v>270</v>
      </c>
      <c r="T1361">
        <v>78000</v>
      </c>
      <c r="U1361" t="s">
        <v>41</v>
      </c>
      <c r="V1361" t="s">
        <v>42</v>
      </c>
      <c r="W1361" t="s">
        <v>271</v>
      </c>
      <c r="X1361" t="s">
        <v>50</v>
      </c>
      <c r="Y1361" t="s">
        <v>36</v>
      </c>
    </row>
    <row r="1362" spans="1:25" x14ac:dyDescent="0.25">
      <c r="A1362">
        <v>10312</v>
      </c>
      <c r="B1362">
        <v>39</v>
      </c>
      <c r="C1362">
        <v>56.85</v>
      </c>
      <c r="D1362">
        <v>1</v>
      </c>
      <c r="E1362">
        <v>2217.15</v>
      </c>
      <c r="F1362" s="1">
        <v>38281</v>
      </c>
      <c r="G1362" t="s">
        <v>25</v>
      </c>
      <c r="H1362">
        <v>4</v>
      </c>
      <c r="I1362">
        <v>10</v>
      </c>
      <c r="J1362">
        <v>2004</v>
      </c>
      <c r="K1362" t="s">
        <v>550</v>
      </c>
      <c r="L1362">
        <v>50</v>
      </c>
      <c r="M1362" t="s">
        <v>617</v>
      </c>
      <c r="N1362" t="s">
        <v>272</v>
      </c>
      <c r="O1362">
        <v>4155551450</v>
      </c>
      <c r="P1362" t="s">
        <v>273</v>
      </c>
      <c r="R1362" t="s">
        <v>274</v>
      </c>
      <c r="S1362" t="s">
        <v>55</v>
      </c>
      <c r="T1362">
        <v>97562</v>
      </c>
      <c r="U1362" t="s">
        <v>32</v>
      </c>
      <c r="V1362" t="s">
        <v>33</v>
      </c>
      <c r="W1362" t="s">
        <v>275</v>
      </c>
      <c r="X1362" t="s">
        <v>276</v>
      </c>
      <c r="Y1362" t="s">
        <v>36</v>
      </c>
    </row>
    <row r="1363" spans="1:25" x14ac:dyDescent="0.25">
      <c r="A1363">
        <v>10324</v>
      </c>
      <c r="B1363">
        <v>38</v>
      </c>
      <c r="C1363">
        <v>100</v>
      </c>
      <c r="D1363">
        <v>6</v>
      </c>
      <c r="E1363">
        <v>6832.02</v>
      </c>
      <c r="F1363" s="1">
        <v>38296</v>
      </c>
      <c r="G1363" t="s">
        <v>25</v>
      </c>
      <c r="H1363">
        <v>4</v>
      </c>
      <c r="I1363">
        <v>11</v>
      </c>
      <c r="J1363">
        <v>2004</v>
      </c>
      <c r="K1363" t="s">
        <v>550</v>
      </c>
      <c r="L1363">
        <v>50</v>
      </c>
      <c r="M1363" t="s">
        <v>617</v>
      </c>
      <c r="N1363" t="s">
        <v>99</v>
      </c>
      <c r="O1363">
        <v>2125551500</v>
      </c>
      <c r="P1363" t="s">
        <v>100</v>
      </c>
      <c r="Q1363" t="s">
        <v>101</v>
      </c>
      <c r="R1363" t="s">
        <v>30</v>
      </c>
      <c r="S1363" t="s">
        <v>31</v>
      </c>
      <c r="T1363">
        <v>10022</v>
      </c>
      <c r="U1363" t="s">
        <v>32</v>
      </c>
      <c r="V1363" t="s">
        <v>33</v>
      </c>
      <c r="W1363" t="s">
        <v>102</v>
      </c>
      <c r="X1363" t="s">
        <v>103</v>
      </c>
      <c r="Y1363" t="s">
        <v>51</v>
      </c>
    </row>
    <row r="1364" spans="1:25" x14ac:dyDescent="0.25">
      <c r="A1364">
        <v>10333</v>
      </c>
      <c r="B1364">
        <v>24</v>
      </c>
      <c r="C1364">
        <v>79.86</v>
      </c>
      <c r="D1364">
        <v>8</v>
      </c>
      <c r="E1364">
        <v>1916.64</v>
      </c>
      <c r="F1364" s="1">
        <v>38309</v>
      </c>
      <c r="G1364" t="s">
        <v>25</v>
      </c>
      <c r="H1364">
        <v>4</v>
      </c>
      <c r="I1364">
        <v>11</v>
      </c>
      <c r="J1364">
        <v>2004</v>
      </c>
      <c r="K1364" t="s">
        <v>550</v>
      </c>
      <c r="L1364">
        <v>50</v>
      </c>
      <c r="M1364" t="s">
        <v>617</v>
      </c>
      <c r="N1364" t="s">
        <v>81</v>
      </c>
      <c r="O1364">
        <v>6505555787</v>
      </c>
      <c r="P1364" t="s">
        <v>82</v>
      </c>
      <c r="R1364" t="s">
        <v>60</v>
      </c>
      <c r="S1364" t="s">
        <v>55</v>
      </c>
      <c r="U1364" t="s">
        <v>32</v>
      </c>
      <c r="V1364" t="s">
        <v>33</v>
      </c>
      <c r="W1364" t="s">
        <v>83</v>
      </c>
      <c r="X1364" t="s">
        <v>57</v>
      </c>
      <c r="Y1364" t="s">
        <v>36</v>
      </c>
    </row>
    <row r="1365" spans="1:25" x14ac:dyDescent="0.25">
      <c r="A1365">
        <v>10348</v>
      </c>
      <c r="B1365">
        <v>29</v>
      </c>
      <c r="C1365">
        <v>100</v>
      </c>
      <c r="D1365">
        <v>6</v>
      </c>
      <c r="E1365">
        <v>7110.8</v>
      </c>
      <c r="F1365" s="1">
        <v>38292</v>
      </c>
      <c r="G1365" t="s">
        <v>25</v>
      </c>
      <c r="H1365">
        <v>4</v>
      </c>
      <c r="I1365">
        <v>11</v>
      </c>
      <c r="J1365">
        <v>2004</v>
      </c>
      <c r="K1365" t="s">
        <v>550</v>
      </c>
      <c r="L1365">
        <v>50</v>
      </c>
      <c r="M1365" t="s">
        <v>617</v>
      </c>
      <c r="N1365" t="s">
        <v>191</v>
      </c>
      <c r="O1365" t="s">
        <v>192</v>
      </c>
      <c r="P1365" t="s">
        <v>193</v>
      </c>
      <c r="R1365" t="s">
        <v>177</v>
      </c>
      <c r="T1365">
        <v>28023</v>
      </c>
      <c r="U1365" t="s">
        <v>178</v>
      </c>
      <c r="V1365" t="s">
        <v>42</v>
      </c>
      <c r="W1365" t="s">
        <v>194</v>
      </c>
      <c r="X1365" t="s">
        <v>195</v>
      </c>
      <c r="Y1365" t="s">
        <v>151</v>
      </c>
    </row>
    <row r="1366" spans="1:25" x14ac:dyDescent="0.25">
      <c r="A1366">
        <v>10358</v>
      </c>
      <c r="B1366">
        <v>30</v>
      </c>
      <c r="C1366">
        <v>100</v>
      </c>
      <c r="D1366">
        <v>8</v>
      </c>
      <c r="E1366">
        <v>5302.8</v>
      </c>
      <c r="F1366" s="1">
        <v>38331</v>
      </c>
      <c r="G1366" t="s">
        <v>25</v>
      </c>
      <c r="H1366">
        <v>4</v>
      </c>
      <c r="I1366">
        <v>12</v>
      </c>
      <c r="J1366">
        <v>2004</v>
      </c>
      <c r="K1366" t="s">
        <v>550</v>
      </c>
      <c r="L1366">
        <v>50</v>
      </c>
      <c r="M1366" t="s">
        <v>617</v>
      </c>
      <c r="N1366" t="s">
        <v>174</v>
      </c>
      <c r="O1366" t="s">
        <v>175</v>
      </c>
      <c r="P1366" t="s">
        <v>176</v>
      </c>
      <c r="R1366" t="s">
        <v>177</v>
      </c>
      <c r="T1366">
        <v>28034</v>
      </c>
      <c r="U1366" t="s">
        <v>178</v>
      </c>
      <c r="V1366" t="s">
        <v>42</v>
      </c>
      <c r="W1366" t="s">
        <v>179</v>
      </c>
      <c r="X1366" t="s">
        <v>180</v>
      </c>
      <c r="Y1366" t="s">
        <v>51</v>
      </c>
    </row>
    <row r="1367" spans="1:25" x14ac:dyDescent="0.25">
      <c r="A1367">
        <v>10370</v>
      </c>
      <c r="B1367">
        <v>20</v>
      </c>
      <c r="C1367">
        <v>100</v>
      </c>
      <c r="D1367">
        <v>2</v>
      </c>
      <c r="E1367">
        <v>2730</v>
      </c>
      <c r="F1367" s="1">
        <v>38372</v>
      </c>
      <c r="G1367" t="s">
        <v>25</v>
      </c>
      <c r="H1367">
        <v>1</v>
      </c>
      <c r="I1367">
        <v>1</v>
      </c>
      <c r="J1367">
        <v>2005</v>
      </c>
      <c r="K1367" t="s">
        <v>550</v>
      </c>
      <c r="L1367">
        <v>50</v>
      </c>
      <c r="M1367" t="s">
        <v>617</v>
      </c>
      <c r="N1367" t="s">
        <v>285</v>
      </c>
      <c r="O1367" t="s">
        <v>286</v>
      </c>
      <c r="P1367" t="s">
        <v>287</v>
      </c>
      <c r="Q1367" t="s">
        <v>288</v>
      </c>
      <c r="R1367" t="s">
        <v>289</v>
      </c>
      <c r="S1367" t="s">
        <v>157</v>
      </c>
      <c r="T1367">
        <v>2060</v>
      </c>
      <c r="U1367" t="s">
        <v>95</v>
      </c>
      <c r="V1367" t="s">
        <v>96</v>
      </c>
      <c r="W1367" t="s">
        <v>290</v>
      </c>
      <c r="X1367" t="s">
        <v>291</v>
      </c>
      <c r="Y1367" t="s">
        <v>36</v>
      </c>
    </row>
    <row r="1368" spans="1:25" x14ac:dyDescent="0.25">
      <c r="A1368">
        <v>10382</v>
      </c>
      <c r="B1368">
        <v>39</v>
      </c>
      <c r="C1368">
        <v>100</v>
      </c>
      <c r="D1368">
        <v>2</v>
      </c>
      <c r="E1368">
        <v>7827.3</v>
      </c>
      <c r="F1368" s="1">
        <v>38400</v>
      </c>
      <c r="G1368" t="s">
        <v>25</v>
      </c>
      <c r="H1368">
        <v>1</v>
      </c>
      <c r="I1368">
        <v>2</v>
      </c>
      <c r="J1368">
        <v>2005</v>
      </c>
      <c r="K1368" t="s">
        <v>550</v>
      </c>
      <c r="L1368">
        <v>50</v>
      </c>
      <c r="M1368" t="s">
        <v>617</v>
      </c>
      <c r="N1368" t="s">
        <v>272</v>
      </c>
      <c r="O1368">
        <v>4155551450</v>
      </c>
      <c r="P1368" t="s">
        <v>273</v>
      </c>
      <c r="R1368" t="s">
        <v>274</v>
      </c>
      <c r="S1368" t="s">
        <v>55</v>
      </c>
      <c r="T1368">
        <v>97562</v>
      </c>
      <c r="U1368" t="s">
        <v>32</v>
      </c>
      <c r="V1368" t="s">
        <v>33</v>
      </c>
      <c r="W1368" t="s">
        <v>275</v>
      </c>
      <c r="X1368" t="s">
        <v>276</v>
      </c>
      <c r="Y1368" t="s">
        <v>151</v>
      </c>
    </row>
    <row r="1369" spans="1:25" x14ac:dyDescent="0.25">
      <c r="A1369">
        <v>10411</v>
      </c>
      <c r="B1369">
        <v>35</v>
      </c>
      <c r="C1369">
        <v>59.87</v>
      </c>
      <c r="D1369">
        <v>7</v>
      </c>
      <c r="E1369">
        <v>2095.4499999999998</v>
      </c>
      <c r="F1369" s="1">
        <v>38473</v>
      </c>
      <c r="G1369" t="s">
        <v>25</v>
      </c>
      <c r="H1369">
        <v>2</v>
      </c>
      <c r="I1369">
        <v>5</v>
      </c>
      <c r="J1369">
        <v>2005</v>
      </c>
      <c r="K1369" t="s">
        <v>550</v>
      </c>
      <c r="L1369">
        <v>50</v>
      </c>
      <c r="M1369" t="s">
        <v>617</v>
      </c>
      <c r="N1369" t="s">
        <v>292</v>
      </c>
      <c r="O1369" t="s">
        <v>293</v>
      </c>
      <c r="P1369" t="s">
        <v>294</v>
      </c>
      <c r="R1369" t="s">
        <v>295</v>
      </c>
      <c r="S1369" t="s">
        <v>296</v>
      </c>
      <c r="T1369" t="s">
        <v>297</v>
      </c>
      <c r="U1369" t="s">
        <v>231</v>
      </c>
      <c r="V1369" t="s">
        <v>33</v>
      </c>
      <c r="W1369" t="s">
        <v>298</v>
      </c>
      <c r="X1369" t="s">
        <v>299</v>
      </c>
      <c r="Y1369" t="s">
        <v>36</v>
      </c>
    </row>
    <row r="1370" spans="1:25" x14ac:dyDescent="0.25">
      <c r="A1370">
        <v>10424</v>
      </c>
      <c r="B1370">
        <v>26</v>
      </c>
      <c r="C1370">
        <v>59.87</v>
      </c>
      <c r="D1370">
        <v>4</v>
      </c>
      <c r="E1370">
        <v>1556.62</v>
      </c>
      <c r="F1370" s="1">
        <v>38503</v>
      </c>
      <c r="G1370" t="s">
        <v>300</v>
      </c>
      <c r="H1370">
        <v>2</v>
      </c>
      <c r="I1370">
        <v>5</v>
      </c>
      <c r="J1370">
        <v>2005</v>
      </c>
      <c r="K1370" t="s">
        <v>550</v>
      </c>
      <c r="L1370">
        <v>50</v>
      </c>
      <c r="M1370" t="s">
        <v>617</v>
      </c>
      <c r="N1370" t="s">
        <v>174</v>
      </c>
      <c r="O1370" t="s">
        <v>175</v>
      </c>
      <c r="P1370" t="s">
        <v>176</v>
      </c>
      <c r="R1370" t="s">
        <v>177</v>
      </c>
      <c r="T1370">
        <v>28034</v>
      </c>
      <c r="U1370" t="s">
        <v>178</v>
      </c>
      <c r="V1370" t="s">
        <v>42</v>
      </c>
      <c r="W1370" t="s">
        <v>179</v>
      </c>
      <c r="X1370" t="s">
        <v>180</v>
      </c>
      <c r="Y1370" t="s">
        <v>36</v>
      </c>
    </row>
    <row r="1371" spans="1:25" x14ac:dyDescent="0.25">
      <c r="A1371">
        <v>10108</v>
      </c>
      <c r="B1371">
        <v>44</v>
      </c>
      <c r="C1371">
        <v>100</v>
      </c>
      <c r="D1371">
        <v>11</v>
      </c>
      <c r="E1371">
        <v>5565.12</v>
      </c>
      <c r="F1371" s="1">
        <v>37683</v>
      </c>
      <c r="G1371" t="s">
        <v>25</v>
      </c>
      <c r="H1371">
        <v>1</v>
      </c>
      <c r="I1371">
        <v>3</v>
      </c>
      <c r="J1371">
        <v>2003</v>
      </c>
      <c r="K1371" t="s">
        <v>181</v>
      </c>
      <c r="L1371">
        <v>148</v>
      </c>
      <c r="M1371" t="s">
        <v>618</v>
      </c>
      <c r="N1371" t="s">
        <v>425</v>
      </c>
      <c r="O1371" t="s">
        <v>426</v>
      </c>
      <c r="P1371" t="s">
        <v>427</v>
      </c>
      <c r="R1371" t="s">
        <v>428</v>
      </c>
      <c r="T1371" t="s">
        <v>429</v>
      </c>
      <c r="U1371" t="s">
        <v>430</v>
      </c>
      <c r="V1371" t="s">
        <v>200</v>
      </c>
      <c r="W1371" t="s">
        <v>431</v>
      </c>
      <c r="X1371" t="s">
        <v>432</v>
      </c>
      <c r="Y1371" t="s">
        <v>51</v>
      </c>
    </row>
    <row r="1372" spans="1:25" x14ac:dyDescent="0.25">
      <c r="A1372">
        <v>10122</v>
      </c>
      <c r="B1372">
        <v>28</v>
      </c>
      <c r="C1372">
        <v>100</v>
      </c>
      <c r="D1372">
        <v>15</v>
      </c>
      <c r="E1372">
        <v>3583.16</v>
      </c>
      <c r="F1372" s="1">
        <v>37749</v>
      </c>
      <c r="G1372" t="s">
        <v>25</v>
      </c>
      <c r="H1372">
        <v>2</v>
      </c>
      <c r="I1372">
        <v>5</v>
      </c>
      <c r="J1372">
        <v>2003</v>
      </c>
      <c r="K1372" t="s">
        <v>181</v>
      </c>
      <c r="L1372">
        <v>148</v>
      </c>
      <c r="M1372" t="s">
        <v>618</v>
      </c>
      <c r="N1372" t="s">
        <v>433</v>
      </c>
      <c r="O1372" t="s">
        <v>434</v>
      </c>
      <c r="P1372" t="s">
        <v>435</v>
      </c>
      <c r="R1372" t="s">
        <v>436</v>
      </c>
      <c r="T1372">
        <v>13008</v>
      </c>
      <c r="U1372" t="s">
        <v>41</v>
      </c>
      <c r="V1372" t="s">
        <v>42</v>
      </c>
      <c r="W1372" t="s">
        <v>437</v>
      </c>
      <c r="X1372" t="s">
        <v>438</v>
      </c>
      <c r="Y1372" t="s">
        <v>51</v>
      </c>
    </row>
    <row r="1373" spans="1:25" x14ac:dyDescent="0.25">
      <c r="A1373">
        <v>10135</v>
      </c>
      <c r="B1373">
        <v>31</v>
      </c>
      <c r="C1373">
        <v>100</v>
      </c>
      <c r="D1373">
        <v>12</v>
      </c>
      <c r="E1373">
        <v>4705.18</v>
      </c>
      <c r="F1373" s="1">
        <v>37804</v>
      </c>
      <c r="G1373" t="s">
        <v>25</v>
      </c>
      <c r="H1373">
        <v>3</v>
      </c>
      <c r="I1373">
        <v>7</v>
      </c>
      <c r="J1373">
        <v>2003</v>
      </c>
      <c r="K1373" t="s">
        <v>181</v>
      </c>
      <c r="L1373">
        <v>148</v>
      </c>
      <c r="M1373" t="s">
        <v>618</v>
      </c>
      <c r="N1373" t="s">
        <v>272</v>
      </c>
      <c r="O1373">
        <v>4155551450</v>
      </c>
      <c r="P1373" t="s">
        <v>273</v>
      </c>
      <c r="R1373" t="s">
        <v>274</v>
      </c>
      <c r="S1373" t="s">
        <v>55</v>
      </c>
      <c r="T1373">
        <v>97562</v>
      </c>
      <c r="U1373" t="s">
        <v>32</v>
      </c>
      <c r="V1373" t="s">
        <v>33</v>
      </c>
      <c r="W1373" t="s">
        <v>275</v>
      </c>
      <c r="X1373" t="s">
        <v>276</v>
      </c>
      <c r="Y1373" t="s">
        <v>51</v>
      </c>
    </row>
    <row r="1374" spans="1:25" x14ac:dyDescent="0.25">
      <c r="A1374">
        <v>10146</v>
      </c>
      <c r="B1374">
        <v>29</v>
      </c>
      <c r="C1374">
        <v>100</v>
      </c>
      <c r="D1374">
        <v>1</v>
      </c>
      <c r="E1374">
        <v>4444.54</v>
      </c>
      <c r="F1374" s="1">
        <v>37867</v>
      </c>
      <c r="G1374" t="s">
        <v>25</v>
      </c>
      <c r="H1374">
        <v>3</v>
      </c>
      <c r="I1374">
        <v>9</v>
      </c>
      <c r="J1374">
        <v>2003</v>
      </c>
      <c r="K1374" t="s">
        <v>181</v>
      </c>
      <c r="L1374">
        <v>148</v>
      </c>
      <c r="M1374" t="s">
        <v>618</v>
      </c>
      <c r="N1374" t="s">
        <v>568</v>
      </c>
      <c r="O1374">
        <v>2035554407</v>
      </c>
      <c r="P1374" t="s">
        <v>569</v>
      </c>
      <c r="R1374" t="s">
        <v>516</v>
      </c>
      <c r="S1374" t="s">
        <v>112</v>
      </c>
      <c r="T1374">
        <v>97561</v>
      </c>
      <c r="U1374" t="s">
        <v>32</v>
      </c>
      <c r="V1374" t="s">
        <v>33</v>
      </c>
      <c r="W1374" t="s">
        <v>570</v>
      </c>
      <c r="X1374" t="s">
        <v>571</v>
      </c>
      <c r="Y1374" t="s">
        <v>51</v>
      </c>
    </row>
    <row r="1375" spans="1:25" x14ac:dyDescent="0.25">
      <c r="A1375">
        <v>10159</v>
      </c>
      <c r="B1375">
        <v>32</v>
      </c>
      <c r="C1375">
        <v>100</v>
      </c>
      <c r="D1375">
        <v>7</v>
      </c>
      <c r="E1375">
        <v>4618.88</v>
      </c>
      <c r="F1375" s="1">
        <v>37904</v>
      </c>
      <c r="G1375" t="s">
        <v>25</v>
      </c>
      <c r="H1375">
        <v>4</v>
      </c>
      <c r="I1375">
        <v>10</v>
      </c>
      <c r="J1375">
        <v>2003</v>
      </c>
      <c r="K1375" t="s">
        <v>181</v>
      </c>
      <c r="L1375">
        <v>148</v>
      </c>
      <c r="M1375" t="s">
        <v>618</v>
      </c>
      <c r="N1375" t="s">
        <v>58</v>
      </c>
      <c r="O1375">
        <v>6505551386</v>
      </c>
      <c r="P1375" t="s">
        <v>59</v>
      </c>
      <c r="R1375" t="s">
        <v>60</v>
      </c>
      <c r="S1375" t="s">
        <v>55</v>
      </c>
      <c r="U1375" t="s">
        <v>32</v>
      </c>
      <c r="V1375" t="s">
        <v>33</v>
      </c>
      <c r="W1375" t="s">
        <v>61</v>
      </c>
      <c r="X1375" t="s">
        <v>57</v>
      </c>
      <c r="Y1375" t="s">
        <v>51</v>
      </c>
    </row>
    <row r="1376" spans="1:25" x14ac:dyDescent="0.25">
      <c r="A1376">
        <v>10169</v>
      </c>
      <c r="B1376">
        <v>33</v>
      </c>
      <c r="C1376">
        <v>100</v>
      </c>
      <c r="D1376">
        <v>7</v>
      </c>
      <c r="E1376">
        <v>4910.3999999999996</v>
      </c>
      <c r="F1376" s="1">
        <v>37929</v>
      </c>
      <c r="G1376" t="s">
        <v>25</v>
      </c>
      <c r="H1376">
        <v>4</v>
      </c>
      <c r="I1376">
        <v>11</v>
      </c>
      <c r="J1376">
        <v>2003</v>
      </c>
      <c r="K1376" t="s">
        <v>181</v>
      </c>
      <c r="L1376">
        <v>148</v>
      </c>
      <c r="M1376" t="s">
        <v>618</v>
      </c>
      <c r="N1376" t="s">
        <v>285</v>
      </c>
      <c r="O1376" t="s">
        <v>286</v>
      </c>
      <c r="P1376" t="s">
        <v>287</v>
      </c>
      <c r="Q1376" t="s">
        <v>288</v>
      </c>
      <c r="R1376" t="s">
        <v>289</v>
      </c>
      <c r="S1376" t="s">
        <v>157</v>
      </c>
      <c r="T1376">
        <v>2060</v>
      </c>
      <c r="U1376" t="s">
        <v>95</v>
      </c>
      <c r="V1376" t="s">
        <v>96</v>
      </c>
      <c r="W1376" t="s">
        <v>290</v>
      </c>
      <c r="X1376" t="s">
        <v>291</v>
      </c>
      <c r="Y1376" t="s">
        <v>51</v>
      </c>
    </row>
    <row r="1377" spans="1:25" x14ac:dyDescent="0.25">
      <c r="A1377">
        <v>10180</v>
      </c>
      <c r="B1377">
        <v>44</v>
      </c>
      <c r="C1377">
        <v>100</v>
      </c>
      <c r="D1377">
        <v>2</v>
      </c>
      <c r="E1377">
        <v>5565.12</v>
      </c>
      <c r="F1377" s="1">
        <v>37936</v>
      </c>
      <c r="G1377" t="s">
        <v>25</v>
      </c>
      <c r="H1377">
        <v>4</v>
      </c>
      <c r="I1377">
        <v>11</v>
      </c>
      <c r="J1377">
        <v>2003</v>
      </c>
      <c r="K1377" t="s">
        <v>181</v>
      </c>
      <c r="L1377">
        <v>148</v>
      </c>
      <c r="M1377" t="s">
        <v>618</v>
      </c>
      <c r="N1377" t="s">
        <v>67</v>
      </c>
      <c r="O1377" t="s">
        <v>68</v>
      </c>
      <c r="P1377" t="s">
        <v>69</v>
      </c>
      <c r="R1377" t="s">
        <v>70</v>
      </c>
      <c r="T1377">
        <v>59000</v>
      </c>
      <c r="U1377" t="s">
        <v>41</v>
      </c>
      <c r="V1377" t="s">
        <v>42</v>
      </c>
      <c r="W1377" t="s">
        <v>71</v>
      </c>
      <c r="X1377" t="s">
        <v>72</v>
      </c>
      <c r="Y1377" t="s">
        <v>51</v>
      </c>
    </row>
    <row r="1378" spans="1:25" x14ac:dyDescent="0.25">
      <c r="A1378">
        <v>10191</v>
      </c>
      <c r="B1378">
        <v>32</v>
      </c>
      <c r="C1378">
        <v>100</v>
      </c>
      <c r="D1378">
        <v>8</v>
      </c>
      <c r="E1378">
        <v>4237.76</v>
      </c>
      <c r="F1378" s="1">
        <v>37945</v>
      </c>
      <c r="G1378" t="s">
        <v>25</v>
      </c>
      <c r="H1378">
        <v>4</v>
      </c>
      <c r="I1378">
        <v>11</v>
      </c>
      <c r="J1378">
        <v>2003</v>
      </c>
      <c r="K1378" t="s">
        <v>181</v>
      </c>
      <c r="L1378">
        <v>148</v>
      </c>
      <c r="M1378" t="s">
        <v>618</v>
      </c>
      <c r="N1378" t="s">
        <v>439</v>
      </c>
      <c r="O1378" t="s">
        <v>440</v>
      </c>
      <c r="P1378" t="s">
        <v>441</v>
      </c>
      <c r="R1378" t="s">
        <v>442</v>
      </c>
      <c r="T1378">
        <v>50739</v>
      </c>
      <c r="U1378" t="s">
        <v>443</v>
      </c>
      <c r="V1378" t="s">
        <v>42</v>
      </c>
      <c r="W1378" t="s">
        <v>444</v>
      </c>
      <c r="X1378" t="s">
        <v>445</v>
      </c>
      <c r="Y1378" t="s">
        <v>51</v>
      </c>
    </row>
    <row r="1379" spans="1:25" x14ac:dyDescent="0.25">
      <c r="A1379">
        <v>10211</v>
      </c>
      <c r="B1379">
        <v>41</v>
      </c>
      <c r="C1379">
        <v>100</v>
      </c>
      <c r="D1379">
        <v>7</v>
      </c>
      <c r="E1379">
        <v>5673.58</v>
      </c>
      <c r="F1379" s="1">
        <v>38001</v>
      </c>
      <c r="G1379" t="s">
        <v>25</v>
      </c>
      <c r="H1379">
        <v>1</v>
      </c>
      <c r="I1379">
        <v>1</v>
      </c>
      <c r="J1379">
        <v>2004</v>
      </c>
      <c r="K1379" t="s">
        <v>181</v>
      </c>
      <c r="L1379">
        <v>148</v>
      </c>
      <c r="M1379" t="s">
        <v>618</v>
      </c>
      <c r="N1379" t="s">
        <v>84</v>
      </c>
      <c r="O1379" t="s">
        <v>85</v>
      </c>
      <c r="P1379" t="s">
        <v>86</v>
      </c>
      <c r="R1379" t="s">
        <v>48</v>
      </c>
      <c r="T1379">
        <v>75016</v>
      </c>
      <c r="U1379" t="s">
        <v>41</v>
      </c>
      <c r="V1379" t="s">
        <v>42</v>
      </c>
      <c r="W1379" t="s">
        <v>87</v>
      </c>
      <c r="X1379" t="s">
        <v>88</v>
      </c>
      <c r="Y1379" t="s">
        <v>51</v>
      </c>
    </row>
    <row r="1380" spans="1:25" x14ac:dyDescent="0.25">
      <c r="A1380">
        <v>10225</v>
      </c>
      <c r="B1380">
        <v>35</v>
      </c>
      <c r="C1380">
        <v>100</v>
      </c>
      <c r="D1380">
        <v>14</v>
      </c>
      <c r="E1380">
        <v>5260.15</v>
      </c>
      <c r="F1380" s="1">
        <v>38039</v>
      </c>
      <c r="G1380" t="s">
        <v>25</v>
      </c>
      <c r="H1380">
        <v>1</v>
      </c>
      <c r="I1380">
        <v>2</v>
      </c>
      <c r="J1380">
        <v>2004</v>
      </c>
      <c r="K1380" t="s">
        <v>181</v>
      </c>
      <c r="L1380">
        <v>148</v>
      </c>
      <c r="M1380" t="s">
        <v>618</v>
      </c>
      <c r="N1380" t="s">
        <v>446</v>
      </c>
      <c r="O1380" t="s">
        <v>447</v>
      </c>
      <c r="P1380" t="s">
        <v>448</v>
      </c>
      <c r="R1380" t="s">
        <v>449</v>
      </c>
      <c r="T1380">
        <v>1203</v>
      </c>
      <c r="U1380" t="s">
        <v>450</v>
      </c>
      <c r="V1380" t="s">
        <v>42</v>
      </c>
      <c r="W1380" t="s">
        <v>451</v>
      </c>
      <c r="X1380" t="s">
        <v>103</v>
      </c>
      <c r="Y1380" t="s">
        <v>51</v>
      </c>
    </row>
    <row r="1381" spans="1:25" x14ac:dyDescent="0.25">
      <c r="A1381">
        <v>10238</v>
      </c>
      <c r="B1381">
        <v>44</v>
      </c>
      <c r="C1381">
        <v>100</v>
      </c>
      <c r="D1381">
        <v>8</v>
      </c>
      <c r="E1381">
        <v>6350.96</v>
      </c>
      <c r="F1381" s="1">
        <v>38086</v>
      </c>
      <c r="G1381" t="s">
        <v>25</v>
      </c>
      <c r="H1381">
        <v>2</v>
      </c>
      <c r="I1381">
        <v>4</v>
      </c>
      <c r="J1381">
        <v>2004</v>
      </c>
      <c r="K1381" t="s">
        <v>181</v>
      </c>
      <c r="L1381">
        <v>148</v>
      </c>
      <c r="M1381" t="s">
        <v>618</v>
      </c>
      <c r="N1381" t="s">
        <v>322</v>
      </c>
      <c r="O1381" t="s">
        <v>323</v>
      </c>
      <c r="P1381" t="s">
        <v>324</v>
      </c>
      <c r="R1381" t="s">
        <v>325</v>
      </c>
      <c r="T1381">
        <v>1734</v>
      </c>
      <c r="U1381" t="s">
        <v>326</v>
      </c>
      <c r="V1381" t="s">
        <v>42</v>
      </c>
      <c r="W1381" t="s">
        <v>327</v>
      </c>
      <c r="X1381" t="s">
        <v>328</v>
      </c>
      <c r="Y1381" t="s">
        <v>51</v>
      </c>
    </row>
    <row r="1382" spans="1:25" x14ac:dyDescent="0.25">
      <c r="A1382">
        <v>10252</v>
      </c>
      <c r="B1382">
        <v>26</v>
      </c>
      <c r="C1382">
        <v>100</v>
      </c>
      <c r="D1382">
        <v>4</v>
      </c>
      <c r="E1382">
        <v>3559.4</v>
      </c>
      <c r="F1382" s="1">
        <v>38133</v>
      </c>
      <c r="G1382" t="s">
        <v>25</v>
      </c>
      <c r="H1382">
        <v>2</v>
      </c>
      <c r="I1382">
        <v>5</v>
      </c>
      <c r="J1382">
        <v>2004</v>
      </c>
      <c r="K1382" t="s">
        <v>181</v>
      </c>
      <c r="L1382">
        <v>148</v>
      </c>
      <c r="M1382" t="s">
        <v>618</v>
      </c>
      <c r="N1382" t="s">
        <v>84</v>
      </c>
      <c r="O1382" t="s">
        <v>85</v>
      </c>
      <c r="P1382" t="s">
        <v>86</v>
      </c>
      <c r="R1382" t="s">
        <v>48</v>
      </c>
      <c r="T1382">
        <v>75016</v>
      </c>
      <c r="U1382" t="s">
        <v>41</v>
      </c>
      <c r="V1382" t="s">
        <v>42</v>
      </c>
      <c r="W1382" t="s">
        <v>87</v>
      </c>
      <c r="X1382" t="s">
        <v>88</v>
      </c>
      <c r="Y1382" t="s">
        <v>51</v>
      </c>
    </row>
    <row r="1383" spans="1:25" x14ac:dyDescent="0.25">
      <c r="A1383">
        <v>10264</v>
      </c>
      <c r="B1383">
        <v>20</v>
      </c>
      <c r="C1383">
        <v>100</v>
      </c>
      <c r="D1383">
        <v>2</v>
      </c>
      <c r="E1383">
        <v>2410.6</v>
      </c>
      <c r="F1383" s="1">
        <v>38168</v>
      </c>
      <c r="G1383" t="s">
        <v>25</v>
      </c>
      <c r="H1383">
        <v>2</v>
      </c>
      <c r="I1383">
        <v>6</v>
      </c>
      <c r="J1383">
        <v>2004</v>
      </c>
      <c r="K1383" t="s">
        <v>181</v>
      </c>
      <c r="L1383">
        <v>148</v>
      </c>
      <c r="M1383" t="s">
        <v>618</v>
      </c>
      <c r="N1383" t="s">
        <v>379</v>
      </c>
      <c r="O1383">
        <v>6175559555</v>
      </c>
      <c r="P1383" t="s">
        <v>380</v>
      </c>
      <c r="R1383" t="s">
        <v>381</v>
      </c>
      <c r="S1383" t="s">
        <v>123</v>
      </c>
      <c r="T1383">
        <v>51003</v>
      </c>
      <c r="U1383" t="s">
        <v>32</v>
      </c>
      <c r="V1383" t="s">
        <v>33</v>
      </c>
      <c r="W1383" t="s">
        <v>382</v>
      </c>
      <c r="X1383" t="s">
        <v>66</v>
      </c>
      <c r="Y1383" t="s">
        <v>36</v>
      </c>
    </row>
    <row r="1384" spans="1:25" x14ac:dyDescent="0.25">
      <c r="A1384">
        <v>10276</v>
      </c>
      <c r="B1384">
        <v>48</v>
      </c>
      <c r="C1384">
        <v>100</v>
      </c>
      <c r="D1384">
        <v>8</v>
      </c>
      <c r="E1384">
        <v>5713.92</v>
      </c>
      <c r="F1384" s="1">
        <v>38201</v>
      </c>
      <c r="G1384" t="s">
        <v>25</v>
      </c>
      <c r="H1384">
        <v>3</v>
      </c>
      <c r="I1384">
        <v>8</v>
      </c>
      <c r="J1384">
        <v>2004</v>
      </c>
      <c r="K1384" t="s">
        <v>181</v>
      </c>
      <c r="L1384">
        <v>148</v>
      </c>
      <c r="M1384" t="s">
        <v>618</v>
      </c>
      <c r="N1384" t="s">
        <v>458</v>
      </c>
      <c r="O1384">
        <v>6175557555</v>
      </c>
      <c r="P1384" t="s">
        <v>459</v>
      </c>
      <c r="R1384" t="s">
        <v>283</v>
      </c>
      <c r="S1384" t="s">
        <v>123</v>
      </c>
      <c r="T1384">
        <v>58339</v>
      </c>
      <c r="U1384" t="s">
        <v>32</v>
      </c>
      <c r="V1384" t="s">
        <v>33</v>
      </c>
      <c r="W1384" t="s">
        <v>460</v>
      </c>
      <c r="X1384" t="s">
        <v>461</v>
      </c>
      <c r="Y1384" t="s">
        <v>51</v>
      </c>
    </row>
    <row r="1385" spans="1:25" x14ac:dyDescent="0.25">
      <c r="A1385">
        <v>10287</v>
      </c>
      <c r="B1385">
        <v>34</v>
      </c>
      <c r="C1385">
        <v>100</v>
      </c>
      <c r="D1385">
        <v>17</v>
      </c>
      <c r="E1385">
        <v>4300.32</v>
      </c>
      <c r="F1385" s="1">
        <v>38229</v>
      </c>
      <c r="G1385" t="s">
        <v>25</v>
      </c>
      <c r="H1385">
        <v>3</v>
      </c>
      <c r="I1385">
        <v>8</v>
      </c>
      <c r="J1385">
        <v>2004</v>
      </c>
      <c r="K1385" t="s">
        <v>181</v>
      </c>
      <c r="L1385">
        <v>148</v>
      </c>
      <c r="M1385" t="s">
        <v>618</v>
      </c>
      <c r="N1385" t="s">
        <v>446</v>
      </c>
      <c r="O1385" t="s">
        <v>447</v>
      </c>
      <c r="P1385" t="s">
        <v>448</v>
      </c>
      <c r="R1385" t="s">
        <v>449</v>
      </c>
      <c r="T1385">
        <v>1203</v>
      </c>
      <c r="U1385" t="s">
        <v>450</v>
      </c>
      <c r="V1385" t="s">
        <v>42</v>
      </c>
      <c r="W1385" t="s">
        <v>451</v>
      </c>
      <c r="X1385" t="s">
        <v>103</v>
      </c>
      <c r="Y1385" t="s">
        <v>51</v>
      </c>
    </row>
    <row r="1386" spans="1:25" x14ac:dyDescent="0.25">
      <c r="A1386">
        <v>10299</v>
      </c>
      <c r="B1386">
        <v>49</v>
      </c>
      <c r="C1386">
        <v>100</v>
      </c>
      <c r="D1386">
        <v>2</v>
      </c>
      <c r="E1386">
        <v>7947.31</v>
      </c>
      <c r="F1386" s="1">
        <v>38260</v>
      </c>
      <c r="G1386" t="s">
        <v>25</v>
      </c>
      <c r="H1386">
        <v>3</v>
      </c>
      <c r="I1386">
        <v>9</v>
      </c>
      <c r="J1386">
        <v>2004</v>
      </c>
      <c r="K1386" t="s">
        <v>181</v>
      </c>
      <c r="L1386">
        <v>148</v>
      </c>
      <c r="M1386" t="s">
        <v>618</v>
      </c>
      <c r="N1386" t="s">
        <v>126</v>
      </c>
      <c r="O1386" t="s">
        <v>127</v>
      </c>
      <c r="P1386" t="s">
        <v>128</v>
      </c>
      <c r="R1386" t="s">
        <v>129</v>
      </c>
      <c r="T1386">
        <v>21240</v>
      </c>
      <c r="U1386" t="s">
        <v>130</v>
      </c>
      <c r="V1386" t="s">
        <v>42</v>
      </c>
      <c r="W1386" t="s">
        <v>131</v>
      </c>
      <c r="X1386" t="s">
        <v>132</v>
      </c>
      <c r="Y1386" t="s">
        <v>151</v>
      </c>
    </row>
    <row r="1387" spans="1:25" x14ac:dyDescent="0.25">
      <c r="A1387">
        <v>10310</v>
      </c>
      <c r="B1387">
        <v>40</v>
      </c>
      <c r="C1387">
        <v>100</v>
      </c>
      <c r="D1387">
        <v>15</v>
      </c>
      <c r="E1387">
        <v>5356.8</v>
      </c>
      <c r="F1387" s="1">
        <v>38276</v>
      </c>
      <c r="G1387" t="s">
        <v>25</v>
      </c>
      <c r="H1387">
        <v>4</v>
      </c>
      <c r="I1387">
        <v>10</v>
      </c>
      <c r="J1387">
        <v>2004</v>
      </c>
      <c r="K1387" t="s">
        <v>181</v>
      </c>
      <c r="L1387">
        <v>148</v>
      </c>
      <c r="M1387" t="s">
        <v>618</v>
      </c>
      <c r="N1387" t="s">
        <v>439</v>
      </c>
      <c r="O1387" t="s">
        <v>440</v>
      </c>
      <c r="P1387" t="s">
        <v>441</v>
      </c>
      <c r="R1387" t="s">
        <v>442</v>
      </c>
      <c r="T1387">
        <v>50739</v>
      </c>
      <c r="U1387" t="s">
        <v>443</v>
      </c>
      <c r="V1387" t="s">
        <v>42</v>
      </c>
      <c r="W1387" t="s">
        <v>444</v>
      </c>
      <c r="X1387" t="s">
        <v>445</v>
      </c>
      <c r="Y1387" t="s">
        <v>51</v>
      </c>
    </row>
    <row r="1388" spans="1:25" x14ac:dyDescent="0.25">
      <c r="A1388">
        <v>10319</v>
      </c>
      <c r="B1388">
        <v>45</v>
      </c>
      <c r="C1388">
        <v>100</v>
      </c>
      <c r="D1388">
        <v>3</v>
      </c>
      <c r="E1388">
        <v>7901.1</v>
      </c>
      <c r="F1388" s="1">
        <v>38294</v>
      </c>
      <c r="G1388" t="s">
        <v>25</v>
      </c>
      <c r="H1388">
        <v>4</v>
      </c>
      <c r="I1388">
        <v>11</v>
      </c>
      <c r="J1388">
        <v>2004</v>
      </c>
      <c r="K1388" t="s">
        <v>181</v>
      </c>
      <c r="L1388">
        <v>148</v>
      </c>
      <c r="M1388" t="s">
        <v>618</v>
      </c>
      <c r="N1388" t="s">
        <v>507</v>
      </c>
      <c r="O1388">
        <v>2125551957</v>
      </c>
      <c r="P1388" t="s">
        <v>508</v>
      </c>
      <c r="Q1388" t="s">
        <v>509</v>
      </c>
      <c r="R1388" t="s">
        <v>30</v>
      </c>
      <c r="S1388" t="s">
        <v>31</v>
      </c>
      <c r="T1388">
        <v>10022</v>
      </c>
      <c r="U1388" t="s">
        <v>32</v>
      </c>
      <c r="V1388" t="s">
        <v>33</v>
      </c>
      <c r="W1388" t="s">
        <v>510</v>
      </c>
      <c r="X1388" t="s">
        <v>511</v>
      </c>
      <c r="Y1388" t="s">
        <v>151</v>
      </c>
    </row>
    <row r="1389" spans="1:25" x14ac:dyDescent="0.25">
      <c r="A1389">
        <v>10330</v>
      </c>
      <c r="B1389">
        <v>50</v>
      </c>
      <c r="C1389">
        <v>100</v>
      </c>
      <c r="D1389">
        <v>4</v>
      </c>
      <c r="E1389">
        <v>6101</v>
      </c>
      <c r="F1389" s="1">
        <v>38307</v>
      </c>
      <c r="G1389" t="s">
        <v>25</v>
      </c>
      <c r="H1389">
        <v>4</v>
      </c>
      <c r="I1389">
        <v>11</v>
      </c>
      <c r="J1389">
        <v>2004</v>
      </c>
      <c r="K1389" t="s">
        <v>181</v>
      </c>
      <c r="L1389">
        <v>148</v>
      </c>
      <c r="M1389" t="s">
        <v>618</v>
      </c>
      <c r="N1389" t="s">
        <v>425</v>
      </c>
      <c r="O1389" t="s">
        <v>426</v>
      </c>
      <c r="P1389" t="s">
        <v>427</v>
      </c>
      <c r="R1389" t="s">
        <v>428</v>
      </c>
      <c r="T1389" t="s">
        <v>429</v>
      </c>
      <c r="U1389" t="s">
        <v>430</v>
      </c>
      <c r="V1389" t="s">
        <v>200</v>
      </c>
      <c r="W1389" t="s">
        <v>431</v>
      </c>
      <c r="X1389" t="s">
        <v>432</v>
      </c>
      <c r="Y1389" t="s">
        <v>51</v>
      </c>
    </row>
    <row r="1390" spans="1:25" x14ac:dyDescent="0.25">
      <c r="A1390">
        <v>10342</v>
      </c>
      <c r="B1390">
        <v>38</v>
      </c>
      <c r="C1390">
        <v>100</v>
      </c>
      <c r="D1390">
        <v>11</v>
      </c>
      <c r="E1390">
        <v>6276.46</v>
      </c>
      <c r="F1390" s="1">
        <v>38315</v>
      </c>
      <c r="G1390" t="s">
        <v>25</v>
      </c>
      <c r="H1390">
        <v>4</v>
      </c>
      <c r="I1390">
        <v>11</v>
      </c>
      <c r="J1390">
        <v>2004</v>
      </c>
      <c r="K1390" t="s">
        <v>181</v>
      </c>
      <c r="L1390">
        <v>148</v>
      </c>
      <c r="M1390" t="s">
        <v>618</v>
      </c>
      <c r="N1390" t="s">
        <v>89</v>
      </c>
      <c r="O1390" t="s">
        <v>90</v>
      </c>
      <c r="P1390" t="s">
        <v>91</v>
      </c>
      <c r="Q1390" t="s">
        <v>92</v>
      </c>
      <c r="R1390" t="s">
        <v>93</v>
      </c>
      <c r="S1390" t="s">
        <v>94</v>
      </c>
      <c r="T1390">
        <v>3004</v>
      </c>
      <c r="U1390" t="s">
        <v>95</v>
      </c>
      <c r="V1390" t="s">
        <v>96</v>
      </c>
      <c r="W1390" t="s">
        <v>97</v>
      </c>
      <c r="X1390" t="s">
        <v>98</v>
      </c>
      <c r="Y1390" t="s">
        <v>51</v>
      </c>
    </row>
    <row r="1391" spans="1:25" x14ac:dyDescent="0.25">
      <c r="A1391">
        <v>10355</v>
      </c>
      <c r="B1391">
        <v>25</v>
      </c>
      <c r="C1391">
        <v>100</v>
      </c>
      <c r="D1391">
        <v>2</v>
      </c>
      <c r="E1391">
        <v>4203.5</v>
      </c>
      <c r="F1391" s="1">
        <v>38328</v>
      </c>
      <c r="G1391" t="s">
        <v>25</v>
      </c>
      <c r="H1391">
        <v>4</v>
      </c>
      <c r="I1391">
        <v>12</v>
      </c>
      <c r="J1391">
        <v>2004</v>
      </c>
      <c r="K1391" t="s">
        <v>181</v>
      </c>
      <c r="L1391">
        <v>148</v>
      </c>
      <c r="M1391" t="s">
        <v>618</v>
      </c>
      <c r="N1391" t="s">
        <v>174</v>
      </c>
      <c r="O1391" t="s">
        <v>175</v>
      </c>
      <c r="P1391" t="s">
        <v>176</v>
      </c>
      <c r="R1391" t="s">
        <v>177</v>
      </c>
      <c r="T1391">
        <v>28034</v>
      </c>
      <c r="U1391" t="s">
        <v>178</v>
      </c>
      <c r="V1391" t="s">
        <v>42</v>
      </c>
      <c r="W1391" t="s">
        <v>179</v>
      </c>
      <c r="X1391" t="s">
        <v>180</v>
      </c>
      <c r="Y1391" t="s">
        <v>51</v>
      </c>
    </row>
    <row r="1392" spans="1:25" x14ac:dyDescent="0.25">
      <c r="A1392">
        <v>10363</v>
      </c>
      <c r="B1392">
        <v>28</v>
      </c>
      <c r="C1392">
        <v>58.18</v>
      </c>
      <c r="D1392">
        <v>13</v>
      </c>
      <c r="E1392">
        <v>1629.04</v>
      </c>
      <c r="F1392" s="1">
        <v>38358</v>
      </c>
      <c r="G1392" t="s">
        <v>25</v>
      </c>
      <c r="H1392">
        <v>1</v>
      </c>
      <c r="I1392">
        <v>1</v>
      </c>
      <c r="J1392">
        <v>2005</v>
      </c>
      <c r="K1392" t="s">
        <v>181</v>
      </c>
      <c r="L1392">
        <v>148</v>
      </c>
      <c r="M1392" t="s">
        <v>618</v>
      </c>
      <c r="N1392" t="s">
        <v>467</v>
      </c>
      <c r="O1392" t="s">
        <v>468</v>
      </c>
      <c r="P1392" t="s">
        <v>469</v>
      </c>
      <c r="R1392" t="s">
        <v>470</v>
      </c>
      <c r="T1392" t="s">
        <v>471</v>
      </c>
      <c r="U1392" t="s">
        <v>130</v>
      </c>
      <c r="V1392" t="s">
        <v>42</v>
      </c>
      <c r="W1392" t="s">
        <v>472</v>
      </c>
      <c r="X1392" t="s">
        <v>473</v>
      </c>
      <c r="Y1392" t="s">
        <v>36</v>
      </c>
    </row>
    <row r="1393" spans="1:25" x14ac:dyDescent="0.25">
      <c r="A1393">
        <v>10378</v>
      </c>
      <c r="B1393">
        <v>49</v>
      </c>
      <c r="C1393">
        <v>67.14</v>
      </c>
      <c r="D1393">
        <v>8</v>
      </c>
      <c r="E1393">
        <v>3289.86</v>
      </c>
      <c r="F1393" s="1">
        <v>38393</v>
      </c>
      <c r="G1393" t="s">
        <v>25</v>
      </c>
      <c r="H1393">
        <v>1</v>
      </c>
      <c r="I1393">
        <v>2</v>
      </c>
      <c r="J1393">
        <v>2005</v>
      </c>
      <c r="K1393" t="s">
        <v>181</v>
      </c>
      <c r="L1393">
        <v>148</v>
      </c>
      <c r="M1393" t="s">
        <v>618</v>
      </c>
      <c r="N1393" t="s">
        <v>174</v>
      </c>
      <c r="O1393" t="s">
        <v>175</v>
      </c>
      <c r="P1393" t="s">
        <v>176</v>
      </c>
      <c r="R1393" t="s">
        <v>177</v>
      </c>
      <c r="T1393">
        <v>28034</v>
      </c>
      <c r="U1393" t="s">
        <v>178</v>
      </c>
      <c r="V1393" t="s">
        <v>42</v>
      </c>
      <c r="W1393" t="s">
        <v>179</v>
      </c>
      <c r="X1393" t="s">
        <v>180</v>
      </c>
      <c r="Y1393" t="s">
        <v>51</v>
      </c>
    </row>
    <row r="1394" spans="1:25" x14ac:dyDescent="0.25">
      <c r="A1394">
        <v>10390</v>
      </c>
      <c r="B1394">
        <v>49</v>
      </c>
      <c r="C1394">
        <v>100</v>
      </c>
      <c r="D1394">
        <v>3</v>
      </c>
      <c r="E1394">
        <v>6862.94</v>
      </c>
      <c r="F1394" s="1">
        <v>38415</v>
      </c>
      <c r="G1394" t="s">
        <v>25</v>
      </c>
      <c r="H1394">
        <v>1</v>
      </c>
      <c r="I1394">
        <v>3</v>
      </c>
      <c r="J1394">
        <v>2005</v>
      </c>
      <c r="K1394" t="s">
        <v>181</v>
      </c>
      <c r="L1394">
        <v>148</v>
      </c>
      <c r="M1394" t="s">
        <v>618</v>
      </c>
      <c r="N1394" t="s">
        <v>272</v>
      </c>
      <c r="O1394">
        <v>4155551450</v>
      </c>
      <c r="P1394" t="s">
        <v>273</v>
      </c>
      <c r="R1394" t="s">
        <v>274</v>
      </c>
      <c r="S1394" t="s">
        <v>55</v>
      </c>
      <c r="T1394">
        <v>97562</v>
      </c>
      <c r="U1394" t="s">
        <v>32</v>
      </c>
      <c r="V1394" t="s">
        <v>33</v>
      </c>
      <c r="W1394" t="s">
        <v>275</v>
      </c>
      <c r="X1394" t="s">
        <v>276</v>
      </c>
      <c r="Y1394" t="s">
        <v>51</v>
      </c>
    </row>
    <row r="1395" spans="1:25" x14ac:dyDescent="0.25">
      <c r="A1395">
        <v>10110</v>
      </c>
      <c r="B1395">
        <v>42</v>
      </c>
      <c r="C1395">
        <v>61.29</v>
      </c>
      <c r="D1395">
        <v>9</v>
      </c>
      <c r="E1395">
        <v>2574.1799999999998</v>
      </c>
      <c r="F1395" s="1">
        <v>37698</v>
      </c>
      <c r="G1395" t="s">
        <v>25</v>
      </c>
      <c r="H1395">
        <v>1</v>
      </c>
      <c r="I1395">
        <v>3</v>
      </c>
      <c r="J1395">
        <v>2003</v>
      </c>
      <c r="K1395" t="s">
        <v>181</v>
      </c>
      <c r="L1395">
        <v>71</v>
      </c>
      <c r="M1395" t="s">
        <v>619</v>
      </c>
      <c r="N1395" t="s">
        <v>492</v>
      </c>
      <c r="O1395" t="s">
        <v>493</v>
      </c>
      <c r="P1395" t="s">
        <v>494</v>
      </c>
      <c r="R1395" t="s">
        <v>495</v>
      </c>
      <c r="T1395" t="s">
        <v>496</v>
      </c>
      <c r="U1395" t="s">
        <v>170</v>
      </c>
      <c r="V1395" t="s">
        <v>42</v>
      </c>
      <c r="W1395" t="s">
        <v>497</v>
      </c>
      <c r="X1395" t="s">
        <v>94</v>
      </c>
      <c r="Y1395" t="s">
        <v>36</v>
      </c>
    </row>
    <row r="1396" spans="1:25" x14ac:dyDescent="0.25">
      <c r="A1396">
        <v>10124</v>
      </c>
      <c r="B1396">
        <v>23</v>
      </c>
      <c r="C1396">
        <v>57.73</v>
      </c>
      <c r="D1396">
        <v>8</v>
      </c>
      <c r="E1396">
        <v>1327.79</v>
      </c>
      <c r="F1396" s="1">
        <v>37762</v>
      </c>
      <c r="G1396" t="s">
        <v>25</v>
      </c>
      <c r="H1396">
        <v>2</v>
      </c>
      <c r="I1396">
        <v>5</v>
      </c>
      <c r="J1396">
        <v>2003</v>
      </c>
      <c r="K1396" t="s">
        <v>181</v>
      </c>
      <c r="L1396">
        <v>71</v>
      </c>
      <c r="M1396" t="s">
        <v>619</v>
      </c>
      <c r="N1396" t="s">
        <v>539</v>
      </c>
      <c r="O1396">
        <v>7025551838</v>
      </c>
      <c r="P1396" t="s">
        <v>540</v>
      </c>
      <c r="R1396" t="s">
        <v>541</v>
      </c>
      <c r="S1396" t="s">
        <v>542</v>
      </c>
      <c r="T1396">
        <v>83030</v>
      </c>
      <c r="U1396" t="s">
        <v>32</v>
      </c>
      <c r="V1396" t="s">
        <v>33</v>
      </c>
      <c r="W1396" t="s">
        <v>113</v>
      </c>
      <c r="X1396" t="s">
        <v>400</v>
      </c>
      <c r="Y1396" t="s">
        <v>36</v>
      </c>
    </row>
    <row r="1397" spans="1:25" x14ac:dyDescent="0.25">
      <c r="A1397">
        <v>10148</v>
      </c>
      <c r="B1397">
        <v>29</v>
      </c>
      <c r="C1397">
        <v>81.25</v>
      </c>
      <c r="D1397">
        <v>2</v>
      </c>
      <c r="E1397">
        <v>2356.25</v>
      </c>
      <c r="F1397" s="1">
        <v>37875</v>
      </c>
      <c r="G1397" t="s">
        <v>25</v>
      </c>
      <c r="H1397">
        <v>3</v>
      </c>
      <c r="I1397">
        <v>9</v>
      </c>
      <c r="J1397">
        <v>2003</v>
      </c>
      <c r="K1397" t="s">
        <v>181</v>
      </c>
      <c r="L1397">
        <v>71</v>
      </c>
      <c r="M1397" t="s">
        <v>619</v>
      </c>
      <c r="N1397" t="s">
        <v>285</v>
      </c>
      <c r="O1397" t="s">
        <v>286</v>
      </c>
      <c r="P1397" t="s">
        <v>287</v>
      </c>
      <c r="Q1397" t="s">
        <v>288</v>
      </c>
      <c r="R1397" t="s">
        <v>289</v>
      </c>
      <c r="S1397" t="s">
        <v>157</v>
      </c>
      <c r="T1397">
        <v>2060</v>
      </c>
      <c r="U1397" t="s">
        <v>95</v>
      </c>
      <c r="V1397" t="s">
        <v>96</v>
      </c>
      <c r="W1397" t="s">
        <v>290</v>
      </c>
      <c r="X1397" t="s">
        <v>291</v>
      </c>
      <c r="Y1397" t="s">
        <v>36</v>
      </c>
    </row>
    <row r="1398" spans="1:25" x14ac:dyDescent="0.25">
      <c r="A1398">
        <v>10161</v>
      </c>
      <c r="B1398">
        <v>25</v>
      </c>
      <c r="C1398">
        <v>80.540000000000006</v>
      </c>
      <c r="D1398">
        <v>1</v>
      </c>
      <c r="E1398">
        <v>2013.5</v>
      </c>
      <c r="F1398" s="1">
        <v>37911</v>
      </c>
      <c r="G1398" t="s">
        <v>25</v>
      </c>
      <c r="H1398">
        <v>4</v>
      </c>
      <c r="I1398">
        <v>10</v>
      </c>
      <c r="J1398">
        <v>2003</v>
      </c>
      <c r="K1398" t="s">
        <v>181</v>
      </c>
      <c r="L1398">
        <v>71</v>
      </c>
      <c r="M1398" t="s">
        <v>619</v>
      </c>
      <c r="N1398" t="s">
        <v>498</v>
      </c>
      <c r="O1398" t="s">
        <v>499</v>
      </c>
      <c r="P1398" t="s">
        <v>500</v>
      </c>
      <c r="R1398" t="s">
        <v>501</v>
      </c>
      <c r="T1398">
        <v>8200</v>
      </c>
      <c r="U1398" t="s">
        <v>326</v>
      </c>
      <c r="V1398" t="s">
        <v>42</v>
      </c>
      <c r="W1398" t="s">
        <v>502</v>
      </c>
      <c r="X1398" t="s">
        <v>503</v>
      </c>
      <c r="Y1398" t="s">
        <v>36</v>
      </c>
    </row>
    <row r="1399" spans="1:25" x14ac:dyDescent="0.25">
      <c r="A1399">
        <v>10173</v>
      </c>
      <c r="B1399">
        <v>39</v>
      </c>
      <c r="C1399">
        <v>71.98</v>
      </c>
      <c r="D1399">
        <v>15</v>
      </c>
      <c r="E1399">
        <v>2807.22</v>
      </c>
      <c r="F1399" s="1">
        <v>37930</v>
      </c>
      <c r="G1399" t="s">
        <v>25</v>
      </c>
      <c r="H1399">
        <v>4</v>
      </c>
      <c r="I1399">
        <v>11</v>
      </c>
      <c r="J1399">
        <v>2003</v>
      </c>
      <c r="K1399" t="s">
        <v>181</v>
      </c>
      <c r="L1399">
        <v>71</v>
      </c>
      <c r="M1399" t="s">
        <v>619</v>
      </c>
      <c r="N1399" t="s">
        <v>552</v>
      </c>
      <c r="O1399" t="s">
        <v>553</v>
      </c>
      <c r="P1399" t="s">
        <v>554</v>
      </c>
      <c r="R1399" t="s">
        <v>555</v>
      </c>
      <c r="T1399">
        <v>24100</v>
      </c>
      <c r="U1399" t="s">
        <v>258</v>
      </c>
      <c r="V1399" t="s">
        <v>42</v>
      </c>
      <c r="W1399" t="s">
        <v>556</v>
      </c>
      <c r="X1399" t="s">
        <v>557</v>
      </c>
      <c r="Y1399" t="s">
        <v>36</v>
      </c>
    </row>
    <row r="1400" spans="1:25" x14ac:dyDescent="0.25">
      <c r="A1400">
        <v>10182</v>
      </c>
      <c r="B1400">
        <v>44</v>
      </c>
      <c r="C1400">
        <v>69.84</v>
      </c>
      <c r="D1400">
        <v>12</v>
      </c>
      <c r="E1400">
        <v>3072.96</v>
      </c>
      <c r="F1400" s="1">
        <v>37937</v>
      </c>
      <c r="G1400" t="s">
        <v>25</v>
      </c>
      <c r="H1400">
        <v>4</v>
      </c>
      <c r="I1400">
        <v>11</v>
      </c>
      <c r="J1400">
        <v>2003</v>
      </c>
      <c r="K1400" t="s">
        <v>181</v>
      </c>
      <c r="L1400">
        <v>71</v>
      </c>
      <c r="M1400" t="s">
        <v>619</v>
      </c>
      <c r="N1400" t="s">
        <v>272</v>
      </c>
      <c r="O1400">
        <v>4155551450</v>
      </c>
      <c r="P1400" t="s">
        <v>273</v>
      </c>
      <c r="R1400" t="s">
        <v>274</v>
      </c>
      <c r="S1400" t="s">
        <v>55</v>
      </c>
      <c r="T1400">
        <v>97562</v>
      </c>
      <c r="U1400" t="s">
        <v>32</v>
      </c>
      <c r="V1400" t="s">
        <v>33</v>
      </c>
      <c r="W1400" t="s">
        <v>275</v>
      </c>
      <c r="X1400" t="s">
        <v>276</v>
      </c>
      <c r="Y1400" t="s">
        <v>51</v>
      </c>
    </row>
    <row r="1401" spans="1:25" x14ac:dyDescent="0.25">
      <c r="A1401">
        <v>10193</v>
      </c>
      <c r="B1401">
        <v>25</v>
      </c>
      <c r="C1401">
        <v>76.260000000000005</v>
      </c>
      <c r="D1401">
        <v>16</v>
      </c>
      <c r="E1401">
        <v>1906.5</v>
      </c>
      <c r="F1401" s="1">
        <v>37946</v>
      </c>
      <c r="G1401" t="s">
        <v>25</v>
      </c>
      <c r="H1401">
        <v>4</v>
      </c>
      <c r="I1401">
        <v>11</v>
      </c>
      <c r="J1401">
        <v>2003</v>
      </c>
      <c r="K1401" t="s">
        <v>181</v>
      </c>
      <c r="L1401">
        <v>71</v>
      </c>
      <c r="M1401" t="s">
        <v>619</v>
      </c>
      <c r="N1401" t="s">
        <v>558</v>
      </c>
      <c r="O1401" t="s">
        <v>559</v>
      </c>
      <c r="P1401" t="s">
        <v>560</v>
      </c>
      <c r="R1401" t="s">
        <v>561</v>
      </c>
      <c r="S1401" t="s">
        <v>94</v>
      </c>
      <c r="T1401">
        <v>3150</v>
      </c>
      <c r="U1401" t="s">
        <v>95</v>
      </c>
      <c r="V1401" t="s">
        <v>96</v>
      </c>
      <c r="W1401" t="s">
        <v>562</v>
      </c>
      <c r="X1401" t="s">
        <v>563</v>
      </c>
      <c r="Y1401" t="s">
        <v>36</v>
      </c>
    </row>
    <row r="1402" spans="1:25" x14ac:dyDescent="0.25">
      <c r="A1402">
        <v>10204</v>
      </c>
      <c r="B1402">
        <v>45</v>
      </c>
      <c r="C1402">
        <v>76.260000000000005</v>
      </c>
      <c r="D1402">
        <v>6</v>
      </c>
      <c r="E1402">
        <v>3431.7</v>
      </c>
      <c r="F1402" s="1">
        <v>37957</v>
      </c>
      <c r="G1402" t="s">
        <v>25</v>
      </c>
      <c r="H1402">
        <v>4</v>
      </c>
      <c r="I1402">
        <v>12</v>
      </c>
      <c r="J1402">
        <v>2003</v>
      </c>
      <c r="K1402" t="s">
        <v>181</v>
      </c>
      <c r="L1402">
        <v>71</v>
      </c>
      <c r="M1402" t="s">
        <v>619</v>
      </c>
      <c r="N1402" t="s">
        <v>475</v>
      </c>
      <c r="O1402">
        <v>2125557413</v>
      </c>
      <c r="P1402" t="s">
        <v>476</v>
      </c>
      <c r="Q1402" t="s">
        <v>477</v>
      </c>
      <c r="R1402" t="s">
        <v>30</v>
      </c>
      <c r="S1402" t="s">
        <v>31</v>
      </c>
      <c r="T1402">
        <v>10022</v>
      </c>
      <c r="U1402" t="s">
        <v>32</v>
      </c>
      <c r="V1402" t="s">
        <v>33</v>
      </c>
      <c r="W1402" t="s">
        <v>56</v>
      </c>
      <c r="X1402" t="s">
        <v>478</v>
      </c>
      <c r="Y1402" t="s">
        <v>51</v>
      </c>
    </row>
    <row r="1403" spans="1:25" x14ac:dyDescent="0.25">
      <c r="A1403">
        <v>10213</v>
      </c>
      <c r="B1403">
        <v>25</v>
      </c>
      <c r="C1403">
        <v>83.39</v>
      </c>
      <c r="D1403">
        <v>2</v>
      </c>
      <c r="E1403">
        <v>2084.75</v>
      </c>
      <c r="F1403" s="1">
        <v>38008</v>
      </c>
      <c r="G1403" t="s">
        <v>25</v>
      </c>
      <c r="H1403">
        <v>1</v>
      </c>
      <c r="I1403">
        <v>1</v>
      </c>
      <c r="J1403">
        <v>2004</v>
      </c>
      <c r="K1403" t="s">
        <v>181</v>
      </c>
      <c r="L1403">
        <v>71</v>
      </c>
      <c r="M1403" t="s">
        <v>619</v>
      </c>
      <c r="N1403" t="s">
        <v>346</v>
      </c>
      <c r="O1403" t="s">
        <v>347</v>
      </c>
      <c r="P1403" t="s">
        <v>348</v>
      </c>
      <c r="R1403" t="s">
        <v>332</v>
      </c>
      <c r="T1403" t="s">
        <v>349</v>
      </c>
      <c r="U1403" t="s">
        <v>170</v>
      </c>
      <c r="V1403" t="s">
        <v>42</v>
      </c>
      <c r="W1403" t="s">
        <v>350</v>
      </c>
      <c r="X1403" t="s">
        <v>351</v>
      </c>
      <c r="Y1403" t="s">
        <v>36</v>
      </c>
    </row>
    <row r="1404" spans="1:25" x14ac:dyDescent="0.25">
      <c r="A1404">
        <v>10227</v>
      </c>
      <c r="B1404">
        <v>37</v>
      </c>
      <c r="C1404">
        <v>57.73</v>
      </c>
      <c r="D1404">
        <v>12</v>
      </c>
      <c r="E1404">
        <v>2136.0100000000002</v>
      </c>
      <c r="F1404" s="1">
        <v>38048</v>
      </c>
      <c r="G1404" t="s">
        <v>25</v>
      </c>
      <c r="H1404">
        <v>1</v>
      </c>
      <c r="I1404">
        <v>3</v>
      </c>
      <c r="J1404">
        <v>2004</v>
      </c>
      <c r="K1404" t="s">
        <v>181</v>
      </c>
      <c r="L1404">
        <v>71</v>
      </c>
      <c r="M1404" t="s">
        <v>619</v>
      </c>
      <c r="N1404" t="s">
        <v>219</v>
      </c>
      <c r="O1404" t="s">
        <v>220</v>
      </c>
      <c r="P1404" t="s">
        <v>221</v>
      </c>
      <c r="R1404" t="s">
        <v>222</v>
      </c>
      <c r="T1404">
        <v>69004</v>
      </c>
      <c r="U1404" t="s">
        <v>41</v>
      </c>
      <c r="V1404" t="s">
        <v>42</v>
      </c>
      <c r="W1404" t="s">
        <v>223</v>
      </c>
      <c r="X1404" t="s">
        <v>224</v>
      </c>
      <c r="Y1404" t="s">
        <v>36</v>
      </c>
    </row>
    <row r="1405" spans="1:25" x14ac:dyDescent="0.25">
      <c r="A1405">
        <v>10241</v>
      </c>
      <c r="B1405">
        <v>30</v>
      </c>
      <c r="C1405">
        <v>66.989999999999995</v>
      </c>
      <c r="D1405">
        <v>4</v>
      </c>
      <c r="E1405">
        <v>2009.7</v>
      </c>
      <c r="F1405" s="1">
        <v>38090</v>
      </c>
      <c r="G1405" t="s">
        <v>25</v>
      </c>
      <c r="H1405">
        <v>2</v>
      </c>
      <c r="I1405">
        <v>4</v>
      </c>
      <c r="J1405">
        <v>2004</v>
      </c>
      <c r="K1405" t="s">
        <v>181</v>
      </c>
      <c r="L1405">
        <v>71</v>
      </c>
      <c r="M1405" t="s">
        <v>619</v>
      </c>
      <c r="N1405" t="s">
        <v>531</v>
      </c>
      <c r="O1405" t="s">
        <v>532</v>
      </c>
      <c r="P1405" t="s">
        <v>533</v>
      </c>
      <c r="R1405" t="s">
        <v>534</v>
      </c>
      <c r="T1405">
        <v>67000</v>
      </c>
      <c r="U1405" t="s">
        <v>41</v>
      </c>
      <c r="V1405" t="s">
        <v>42</v>
      </c>
      <c r="W1405" t="s">
        <v>535</v>
      </c>
      <c r="X1405" t="s">
        <v>536</v>
      </c>
      <c r="Y1405" t="s">
        <v>36</v>
      </c>
    </row>
    <row r="1406" spans="1:25" x14ac:dyDescent="0.25">
      <c r="A1406">
        <v>10267</v>
      </c>
      <c r="B1406">
        <v>36</v>
      </c>
      <c r="C1406">
        <v>75.55</v>
      </c>
      <c r="D1406">
        <v>1</v>
      </c>
      <c r="E1406">
        <v>2719.8</v>
      </c>
      <c r="F1406" s="1">
        <v>38175</v>
      </c>
      <c r="G1406" t="s">
        <v>25</v>
      </c>
      <c r="H1406">
        <v>3</v>
      </c>
      <c r="I1406">
        <v>7</v>
      </c>
      <c r="J1406">
        <v>2004</v>
      </c>
      <c r="K1406" t="s">
        <v>181</v>
      </c>
      <c r="L1406">
        <v>71</v>
      </c>
      <c r="M1406" t="s">
        <v>619</v>
      </c>
      <c r="N1406" t="s">
        <v>475</v>
      </c>
      <c r="O1406">
        <v>2125557413</v>
      </c>
      <c r="P1406" t="s">
        <v>476</v>
      </c>
      <c r="Q1406" t="s">
        <v>477</v>
      </c>
      <c r="R1406" t="s">
        <v>30</v>
      </c>
      <c r="S1406" t="s">
        <v>31</v>
      </c>
      <c r="T1406">
        <v>10022</v>
      </c>
      <c r="U1406" t="s">
        <v>32</v>
      </c>
      <c r="V1406" t="s">
        <v>33</v>
      </c>
      <c r="W1406" t="s">
        <v>56</v>
      </c>
      <c r="X1406" t="s">
        <v>478</v>
      </c>
      <c r="Y1406" t="s">
        <v>36</v>
      </c>
    </row>
    <row r="1407" spans="1:25" x14ac:dyDescent="0.25">
      <c r="A1407">
        <v>10279</v>
      </c>
      <c r="B1407">
        <v>26</v>
      </c>
      <c r="C1407">
        <v>60.58</v>
      </c>
      <c r="D1407">
        <v>1</v>
      </c>
      <c r="E1407">
        <v>1575.08</v>
      </c>
      <c r="F1407" s="1">
        <v>38208</v>
      </c>
      <c r="G1407" t="s">
        <v>25</v>
      </c>
      <c r="H1407">
        <v>3</v>
      </c>
      <c r="I1407">
        <v>8</v>
      </c>
      <c r="J1407">
        <v>2004</v>
      </c>
      <c r="K1407" t="s">
        <v>181</v>
      </c>
      <c r="L1407">
        <v>71</v>
      </c>
      <c r="M1407" t="s">
        <v>619</v>
      </c>
      <c r="N1407" t="s">
        <v>174</v>
      </c>
      <c r="O1407" t="s">
        <v>175</v>
      </c>
      <c r="P1407" t="s">
        <v>176</v>
      </c>
      <c r="R1407" t="s">
        <v>177</v>
      </c>
      <c r="T1407">
        <v>28034</v>
      </c>
      <c r="U1407" t="s">
        <v>178</v>
      </c>
      <c r="V1407" t="s">
        <v>42</v>
      </c>
      <c r="W1407" t="s">
        <v>179</v>
      </c>
      <c r="X1407" t="s">
        <v>180</v>
      </c>
      <c r="Y1407" t="s">
        <v>36</v>
      </c>
    </row>
    <row r="1408" spans="1:25" x14ac:dyDescent="0.25">
      <c r="A1408">
        <v>10288</v>
      </c>
      <c r="B1408">
        <v>23</v>
      </c>
      <c r="C1408">
        <v>73.41</v>
      </c>
      <c r="D1408">
        <v>7</v>
      </c>
      <c r="E1408">
        <v>1688.43</v>
      </c>
      <c r="F1408" s="1">
        <v>38231</v>
      </c>
      <c r="G1408" t="s">
        <v>25</v>
      </c>
      <c r="H1408">
        <v>3</v>
      </c>
      <c r="I1408">
        <v>9</v>
      </c>
      <c r="J1408">
        <v>2004</v>
      </c>
      <c r="K1408" t="s">
        <v>181</v>
      </c>
      <c r="L1408">
        <v>71</v>
      </c>
      <c r="M1408" t="s">
        <v>619</v>
      </c>
      <c r="N1408" t="s">
        <v>418</v>
      </c>
      <c r="O1408" t="s">
        <v>419</v>
      </c>
      <c r="P1408" t="s">
        <v>420</v>
      </c>
      <c r="Q1408" t="s">
        <v>421</v>
      </c>
      <c r="R1408" t="s">
        <v>199</v>
      </c>
      <c r="T1408">
        <v>69045</v>
      </c>
      <c r="U1408" t="s">
        <v>199</v>
      </c>
      <c r="V1408" t="s">
        <v>96</v>
      </c>
      <c r="W1408" t="s">
        <v>422</v>
      </c>
      <c r="X1408" t="s">
        <v>423</v>
      </c>
      <c r="Y1408" t="s">
        <v>36</v>
      </c>
    </row>
    <row r="1409" spans="1:25" x14ac:dyDescent="0.25">
      <c r="A1409">
        <v>10302</v>
      </c>
      <c r="B1409">
        <v>23</v>
      </c>
      <c r="C1409">
        <v>72.7</v>
      </c>
      <c r="D1409">
        <v>3</v>
      </c>
      <c r="E1409">
        <v>1672.1</v>
      </c>
      <c r="F1409" s="1">
        <v>37900</v>
      </c>
      <c r="G1409" t="s">
        <v>25</v>
      </c>
      <c r="H1409">
        <v>4</v>
      </c>
      <c r="I1409">
        <v>10</v>
      </c>
      <c r="J1409">
        <v>2003</v>
      </c>
      <c r="K1409" t="s">
        <v>181</v>
      </c>
      <c r="L1409">
        <v>71</v>
      </c>
      <c r="M1409" t="s">
        <v>619</v>
      </c>
      <c r="N1409" t="s">
        <v>165</v>
      </c>
      <c r="O1409" t="s">
        <v>166</v>
      </c>
      <c r="P1409" t="s">
        <v>167</v>
      </c>
      <c r="R1409" t="s">
        <v>168</v>
      </c>
      <c r="T1409" t="s">
        <v>169</v>
      </c>
      <c r="U1409" t="s">
        <v>170</v>
      </c>
      <c r="V1409" t="s">
        <v>42</v>
      </c>
      <c r="W1409" t="s">
        <v>171</v>
      </c>
      <c r="X1409" t="s">
        <v>172</v>
      </c>
      <c r="Y1409" t="s">
        <v>36</v>
      </c>
    </row>
    <row r="1410" spans="1:25" x14ac:dyDescent="0.25">
      <c r="A1410">
        <v>10311</v>
      </c>
      <c r="B1410">
        <v>25</v>
      </c>
      <c r="C1410">
        <v>66.989999999999995</v>
      </c>
      <c r="D1410">
        <v>2</v>
      </c>
      <c r="E1410">
        <v>1674.75</v>
      </c>
      <c r="F1410" s="1">
        <v>38276</v>
      </c>
      <c r="G1410" t="s">
        <v>25</v>
      </c>
      <c r="H1410">
        <v>4</v>
      </c>
      <c r="I1410">
        <v>10</v>
      </c>
      <c r="J1410">
        <v>2004</v>
      </c>
      <c r="K1410" t="s">
        <v>181</v>
      </c>
      <c r="L1410">
        <v>71</v>
      </c>
      <c r="M1410" t="s">
        <v>619</v>
      </c>
      <c r="N1410" t="s">
        <v>174</v>
      </c>
      <c r="O1410" t="s">
        <v>175</v>
      </c>
      <c r="P1410" t="s">
        <v>176</v>
      </c>
      <c r="R1410" t="s">
        <v>177</v>
      </c>
      <c r="T1410">
        <v>28034</v>
      </c>
      <c r="U1410" t="s">
        <v>178</v>
      </c>
      <c r="V1410" t="s">
        <v>42</v>
      </c>
      <c r="W1410" t="s">
        <v>179</v>
      </c>
      <c r="X1410" t="s">
        <v>180</v>
      </c>
      <c r="Y1410" t="s">
        <v>36</v>
      </c>
    </row>
    <row r="1411" spans="1:25" x14ac:dyDescent="0.25">
      <c r="A1411">
        <v>10332</v>
      </c>
      <c r="B1411">
        <v>21</v>
      </c>
      <c r="C1411">
        <v>100</v>
      </c>
      <c r="D1411">
        <v>3</v>
      </c>
      <c r="E1411">
        <v>3472.98</v>
      </c>
      <c r="F1411" s="1">
        <v>38308</v>
      </c>
      <c r="G1411" t="s">
        <v>25</v>
      </c>
      <c r="H1411">
        <v>4</v>
      </c>
      <c r="I1411">
        <v>11</v>
      </c>
      <c r="J1411">
        <v>2004</v>
      </c>
      <c r="K1411" t="s">
        <v>181</v>
      </c>
      <c r="L1411">
        <v>71</v>
      </c>
      <c r="M1411" t="s">
        <v>619</v>
      </c>
      <c r="N1411" t="s">
        <v>492</v>
      </c>
      <c r="O1411" t="s">
        <v>493</v>
      </c>
      <c r="P1411" t="s">
        <v>494</v>
      </c>
      <c r="R1411" t="s">
        <v>495</v>
      </c>
      <c r="T1411" t="s">
        <v>496</v>
      </c>
      <c r="U1411" t="s">
        <v>170</v>
      </c>
      <c r="V1411" t="s">
        <v>42</v>
      </c>
      <c r="W1411" t="s">
        <v>497</v>
      </c>
      <c r="X1411" t="s">
        <v>94</v>
      </c>
      <c r="Y1411" t="s">
        <v>51</v>
      </c>
    </row>
    <row r="1412" spans="1:25" x14ac:dyDescent="0.25">
      <c r="A1412">
        <v>10344</v>
      </c>
      <c r="B1412">
        <v>26</v>
      </c>
      <c r="C1412">
        <v>63.43</v>
      </c>
      <c r="D1412">
        <v>5</v>
      </c>
      <c r="E1412">
        <v>1649.18</v>
      </c>
      <c r="F1412" s="1">
        <v>38316</v>
      </c>
      <c r="G1412" t="s">
        <v>25</v>
      </c>
      <c r="H1412">
        <v>4</v>
      </c>
      <c r="I1412">
        <v>11</v>
      </c>
      <c r="J1412">
        <v>2004</v>
      </c>
      <c r="K1412" t="s">
        <v>181</v>
      </c>
      <c r="L1412">
        <v>71</v>
      </c>
      <c r="M1412" t="s">
        <v>619</v>
      </c>
      <c r="N1412" t="s">
        <v>433</v>
      </c>
      <c r="O1412" t="s">
        <v>434</v>
      </c>
      <c r="P1412" t="s">
        <v>435</v>
      </c>
      <c r="R1412" t="s">
        <v>436</v>
      </c>
      <c r="T1412">
        <v>13008</v>
      </c>
      <c r="U1412" t="s">
        <v>41</v>
      </c>
      <c r="V1412" t="s">
        <v>42</v>
      </c>
      <c r="W1412" t="s">
        <v>437</v>
      </c>
      <c r="X1412" t="s">
        <v>438</v>
      </c>
      <c r="Y1412" t="s">
        <v>36</v>
      </c>
    </row>
    <row r="1413" spans="1:25" x14ac:dyDescent="0.25">
      <c r="A1413">
        <v>10367</v>
      </c>
      <c r="B1413">
        <v>44</v>
      </c>
      <c r="C1413">
        <v>85.25</v>
      </c>
      <c r="D1413">
        <v>9</v>
      </c>
      <c r="E1413">
        <v>3751</v>
      </c>
      <c r="F1413" s="1">
        <v>38364</v>
      </c>
      <c r="G1413" t="s">
        <v>408</v>
      </c>
      <c r="H1413">
        <v>1</v>
      </c>
      <c r="I1413">
        <v>1</v>
      </c>
      <c r="J1413">
        <v>2005</v>
      </c>
      <c r="K1413" t="s">
        <v>181</v>
      </c>
      <c r="L1413">
        <v>71</v>
      </c>
      <c r="M1413" t="s">
        <v>619</v>
      </c>
      <c r="N1413" t="s">
        <v>52</v>
      </c>
      <c r="O1413">
        <v>6265557265</v>
      </c>
      <c r="P1413" t="s">
        <v>53</v>
      </c>
      <c r="R1413" t="s">
        <v>54</v>
      </c>
      <c r="S1413" t="s">
        <v>55</v>
      </c>
      <c r="T1413">
        <v>90003</v>
      </c>
      <c r="U1413" t="s">
        <v>32</v>
      </c>
      <c r="V1413" t="s">
        <v>33</v>
      </c>
      <c r="W1413" t="s">
        <v>56</v>
      </c>
      <c r="X1413" t="s">
        <v>57</v>
      </c>
      <c r="Y1413" t="s">
        <v>51</v>
      </c>
    </row>
    <row r="1414" spans="1:25" x14ac:dyDescent="0.25">
      <c r="A1414">
        <v>10380</v>
      </c>
      <c r="B1414">
        <v>24</v>
      </c>
      <c r="C1414">
        <v>100</v>
      </c>
      <c r="D1414">
        <v>2</v>
      </c>
      <c r="E1414">
        <v>4536</v>
      </c>
      <c r="F1414" s="1">
        <v>38399</v>
      </c>
      <c r="G1414" t="s">
        <v>25</v>
      </c>
      <c r="H1414">
        <v>1</v>
      </c>
      <c r="I1414">
        <v>2</v>
      </c>
      <c r="J1414">
        <v>2005</v>
      </c>
      <c r="K1414" t="s">
        <v>181</v>
      </c>
      <c r="L1414">
        <v>71</v>
      </c>
      <c r="M1414" t="s">
        <v>619</v>
      </c>
      <c r="N1414" t="s">
        <v>174</v>
      </c>
      <c r="O1414" t="s">
        <v>175</v>
      </c>
      <c r="P1414" t="s">
        <v>176</v>
      </c>
      <c r="R1414" t="s">
        <v>177</v>
      </c>
      <c r="T1414">
        <v>28034</v>
      </c>
      <c r="U1414" t="s">
        <v>178</v>
      </c>
      <c r="V1414" t="s">
        <v>42</v>
      </c>
      <c r="W1414" t="s">
        <v>179</v>
      </c>
      <c r="X1414" t="s">
        <v>180</v>
      </c>
      <c r="Y1414" t="s">
        <v>51</v>
      </c>
    </row>
    <row r="1415" spans="1:25" x14ac:dyDescent="0.25">
      <c r="A1415">
        <v>10407</v>
      </c>
      <c r="B1415">
        <v>66</v>
      </c>
      <c r="C1415">
        <v>66.989999999999995</v>
      </c>
      <c r="D1415">
        <v>4</v>
      </c>
      <c r="E1415">
        <v>4421.34</v>
      </c>
      <c r="F1415" s="1">
        <v>38464</v>
      </c>
      <c r="G1415" t="s">
        <v>401</v>
      </c>
      <c r="H1415">
        <v>2</v>
      </c>
      <c r="I1415">
        <v>4</v>
      </c>
      <c r="J1415">
        <v>2005</v>
      </c>
      <c r="K1415" t="s">
        <v>181</v>
      </c>
      <c r="L1415">
        <v>71</v>
      </c>
      <c r="M1415" t="s">
        <v>619</v>
      </c>
      <c r="N1415" t="s">
        <v>397</v>
      </c>
      <c r="O1415">
        <v>4085553659</v>
      </c>
      <c r="P1415" t="s">
        <v>398</v>
      </c>
      <c r="R1415" t="s">
        <v>399</v>
      </c>
      <c r="S1415" t="s">
        <v>55</v>
      </c>
      <c r="T1415">
        <v>94217</v>
      </c>
      <c r="U1415" t="s">
        <v>32</v>
      </c>
      <c r="V1415" t="s">
        <v>33</v>
      </c>
      <c r="W1415" t="s">
        <v>102</v>
      </c>
      <c r="X1415" t="s">
        <v>400</v>
      </c>
      <c r="Y1415" t="s">
        <v>51</v>
      </c>
    </row>
    <row r="1416" spans="1:25" x14ac:dyDescent="0.25">
      <c r="A1416">
        <v>10420</v>
      </c>
      <c r="B1416">
        <v>36</v>
      </c>
      <c r="C1416">
        <v>57.73</v>
      </c>
      <c r="D1416">
        <v>7</v>
      </c>
      <c r="E1416">
        <v>2078.2800000000002</v>
      </c>
      <c r="F1416" s="1">
        <v>38501</v>
      </c>
      <c r="G1416" t="s">
        <v>300</v>
      </c>
      <c r="H1416">
        <v>2</v>
      </c>
      <c r="I1416">
        <v>5</v>
      </c>
      <c r="J1416">
        <v>2005</v>
      </c>
      <c r="K1416" t="s">
        <v>181</v>
      </c>
      <c r="L1416">
        <v>71</v>
      </c>
      <c r="M1416" t="s">
        <v>619</v>
      </c>
      <c r="N1416" t="s">
        <v>152</v>
      </c>
      <c r="O1416" t="s">
        <v>153</v>
      </c>
      <c r="P1416" t="s">
        <v>154</v>
      </c>
      <c r="Q1416" t="s">
        <v>155</v>
      </c>
      <c r="R1416" t="s">
        <v>156</v>
      </c>
      <c r="S1416" t="s">
        <v>157</v>
      </c>
      <c r="T1416">
        <v>2067</v>
      </c>
      <c r="U1416" t="s">
        <v>95</v>
      </c>
      <c r="V1416" t="s">
        <v>96</v>
      </c>
      <c r="W1416" t="s">
        <v>158</v>
      </c>
      <c r="X1416" t="s">
        <v>159</v>
      </c>
      <c r="Y1416" t="s">
        <v>36</v>
      </c>
    </row>
    <row r="1417" spans="1:25" x14ac:dyDescent="0.25">
      <c r="A1417">
        <v>10110</v>
      </c>
      <c r="B1417">
        <v>36</v>
      </c>
      <c r="C1417">
        <v>85.25</v>
      </c>
      <c r="D1417">
        <v>13</v>
      </c>
      <c r="E1417">
        <v>3069</v>
      </c>
      <c r="F1417" s="1">
        <v>37698</v>
      </c>
      <c r="G1417" t="s">
        <v>25</v>
      </c>
      <c r="H1417">
        <v>1</v>
      </c>
      <c r="I1417">
        <v>3</v>
      </c>
      <c r="J1417">
        <v>2003</v>
      </c>
      <c r="K1417" t="s">
        <v>181</v>
      </c>
      <c r="L1417">
        <v>73</v>
      </c>
      <c r="M1417" t="s">
        <v>620</v>
      </c>
      <c r="N1417" t="s">
        <v>492</v>
      </c>
      <c r="O1417" t="s">
        <v>493</v>
      </c>
      <c r="P1417" t="s">
        <v>494</v>
      </c>
      <c r="R1417" t="s">
        <v>495</v>
      </c>
      <c r="T1417" t="s">
        <v>496</v>
      </c>
      <c r="U1417" t="s">
        <v>170</v>
      </c>
      <c r="V1417" t="s">
        <v>42</v>
      </c>
      <c r="W1417" t="s">
        <v>497</v>
      </c>
      <c r="X1417" t="s">
        <v>94</v>
      </c>
      <c r="Y1417" t="s">
        <v>51</v>
      </c>
    </row>
    <row r="1418" spans="1:25" x14ac:dyDescent="0.25">
      <c r="A1418">
        <v>10124</v>
      </c>
      <c r="B1418">
        <v>22</v>
      </c>
      <c r="C1418">
        <v>77.900000000000006</v>
      </c>
      <c r="D1418">
        <v>12</v>
      </c>
      <c r="E1418">
        <v>1713.8</v>
      </c>
      <c r="F1418" s="1">
        <v>37762</v>
      </c>
      <c r="G1418" t="s">
        <v>25</v>
      </c>
      <c r="H1418">
        <v>2</v>
      </c>
      <c r="I1418">
        <v>5</v>
      </c>
      <c r="J1418">
        <v>2003</v>
      </c>
      <c r="K1418" t="s">
        <v>181</v>
      </c>
      <c r="L1418">
        <v>73</v>
      </c>
      <c r="M1418" t="s">
        <v>620</v>
      </c>
      <c r="N1418" t="s">
        <v>539</v>
      </c>
      <c r="O1418">
        <v>7025551838</v>
      </c>
      <c r="P1418" t="s">
        <v>540</v>
      </c>
      <c r="R1418" t="s">
        <v>541</v>
      </c>
      <c r="S1418" t="s">
        <v>542</v>
      </c>
      <c r="T1418">
        <v>83030</v>
      </c>
      <c r="U1418" t="s">
        <v>32</v>
      </c>
      <c r="V1418" t="s">
        <v>33</v>
      </c>
      <c r="W1418" t="s">
        <v>113</v>
      </c>
      <c r="X1418" t="s">
        <v>400</v>
      </c>
      <c r="Y1418" t="s">
        <v>36</v>
      </c>
    </row>
    <row r="1419" spans="1:25" x14ac:dyDescent="0.25">
      <c r="A1419">
        <v>10148</v>
      </c>
      <c r="B1419">
        <v>25</v>
      </c>
      <c r="C1419">
        <v>60.26</v>
      </c>
      <c r="D1419">
        <v>6</v>
      </c>
      <c r="E1419">
        <v>1506.5</v>
      </c>
      <c r="F1419" s="1">
        <v>37875</v>
      </c>
      <c r="G1419" t="s">
        <v>25</v>
      </c>
      <c r="H1419">
        <v>3</v>
      </c>
      <c r="I1419">
        <v>9</v>
      </c>
      <c r="J1419">
        <v>2003</v>
      </c>
      <c r="K1419" t="s">
        <v>181</v>
      </c>
      <c r="L1419">
        <v>73</v>
      </c>
      <c r="M1419" t="s">
        <v>620</v>
      </c>
      <c r="N1419" t="s">
        <v>285</v>
      </c>
      <c r="O1419" t="s">
        <v>286</v>
      </c>
      <c r="P1419" t="s">
        <v>287</v>
      </c>
      <c r="Q1419" t="s">
        <v>288</v>
      </c>
      <c r="R1419" t="s">
        <v>289</v>
      </c>
      <c r="S1419" t="s">
        <v>157</v>
      </c>
      <c r="T1419">
        <v>2060</v>
      </c>
      <c r="U1419" t="s">
        <v>95</v>
      </c>
      <c r="V1419" t="s">
        <v>96</v>
      </c>
      <c r="W1419" t="s">
        <v>290</v>
      </c>
      <c r="X1419" t="s">
        <v>291</v>
      </c>
      <c r="Y1419" t="s">
        <v>36</v>
      </c>
    </row>
    <row r="1420" spans="1:25" x14ac:dyDescent="0.25">
      <c r="A1420">
        <v>10161</v>
      </c>
      <c r="B1420">
        <v>37</v>
      </c>
      <c r="C1420">
        <v>72.760000000000005</v>
      </c>
      <c r="D1420">
        <v>5</v>
      </c>
      <c r="E1420">
        <v>2692.12</v>
      </c>
      <c r="F1420" s="1">
        <v>37911</v>
      </c>
      <c r="G1420" t="s">
        <v>25</v>
      </c>
      <c r="H1420">
        <v>4</v>
      </c>
      <c r="I1420">
        <v>10</v>
      </c>
      <c r="J1420">
        <v>2003</v>
      </c>
      <c r="K1420" t="s">
        <v>181</v>
      </c>
      <c r="L1420">
        <v>73</v>
      </c>
      <c r="M1420" t="s">
        <v>620</v>
      </c>
      <c r="N1420" t="s">
        <v>498</v>
      </c>
      <c r="O1420" t="s">
        <v>499</v>
      </c>
      <c r="P1420" t="s">
        <v>500</v>
      </c>
      <c r="R1420" t="s">
        <v>501</v>
      </c>
      <c r="T1420">
        <v>8200</v>
      </c>
      <c r="U1420" t="s">
        <v>326</v>
      </c>
      <c r="V1420" t="s">
        <v>42</v>
      </c>
      <c r="W1420" t="s">
        <v>502</v>
      </c>
      <c r="X1420" t="s">
        <v>503</v>
      </c>
      <c r="Y1420" t="s">
        <v>36</v>
      </c>
    </row>
    <row r="1421" spans="1:25" x14ac:dyDescent="0.25">
      <c r="A1421">
        <v>10172</v>
      </c>
      <c r="B1421">
        <v>32</v>
      </c>
      <c r="C1421">
        <v>75.69</v>
      </c>
      <c r="D1421">
        <v>3</v>
      </c>
      <c r="E1421">
        <v>2422.08</v>
      </c>
      <c r="F1421" s="1">
        <v>37930</v>
      </c>
      <c r="G1421" t="s">
        <v>25</v>
      </c>
      <c r="H1421">
        <v>4</v>
      </c>
      <c r="I1421">
        <v>11</v>
      </c>
      <c r="J1421">
        <v>2003</v>
      </c>
      <c r="K1421" t="s">
        <v>181</v>
      </c>
      <c r="L1421">
        <v>73</v>
      </c>
      <c r="M1421" t="s">
        <v>620</v>
      </c>
      <c r="N1421" t="s">
        <v>109</v>
      </c>
      <c r="O1421">
        <v>2035552570</v>
      </c>
      <c r="P1421" t="s">
        <v>110</v>
      </c>
      <c r="R1421" t="s">
        <v>111</v>
      </c>
      <c r="S1421" t="s">
        <v>112</v>
      </c>
      <c r="T1421">
        <v>97562</v>
      </c>
      <c r="U1421" t="s">
        <v>32</v>
      </c>
      <c r="V1421" t="s">
        <v>33</v>
      </c>
      <c r="W1421" t="s">
        <v>113</v>
      </c>
      <c r="X1421" t="s">
        <v>57</v>
      </c>
      <c r="Y1421" t="s">
        <v>36</v>
      </c>
    </row>
    <row r="1422" spans="1:25" x14ac:dyDescent="0.25">
      <c r="A1422">
        <v>10182</v>
      </c>
      <c r="B1422">
        <v>47</v>
      </c>
      <c r="C1422">
        <v>74.22</v>
      </c>
      <c r="D1422">
        <v>16</v>
      </c>
      <c r="E1422">
        <v>3488.34</v>
      </c>
      <c r="F1422" s="1">
        <v>37937</v>
      </c>
      <c r="G1422" t="s">
        <v>25</v>
      </c>
      <c r="H1422">
        <v>4</v>
      </c>
      <c r="I1422">
        <v>11</v>
      </c>
      <c r="J1422">
        <v>2003</v>
      </c>
      <c r="K1422" t="s">
        <v>181</v>
      </c>
      <c r="L1422">
        <v>73</v>
      </c>
      <c r="M1422" t="s">
        <v>620</v>
      </c>
      <c r="N1422" t="s">
        <v>272</v>
      </c>
      <c r="O1422">
        <v>4155551450</v>
      </c>
      <c r="P1422" t="s">
        <v>273</v>
      </c>
      <c r="R1422" t="s">
        <v>274</v>
      </c>
      <c r="S1422" t="s">
        <v>55</v>
      </c>
      <c r="T1422">
        <v>97562</v>
      </c>
      <c r="U1422" t="s">
        <v>32</v>
      </c>
      <c r="V1422" t="s">
        <v>33</v>
      </c>
      <c r="W1422" t="s">
        <v>275</v>
      </c>
      <c r="X1422" t="s">
        <v>276</v>
      </c>
      <c r="Y1422" t="s">
        <v>51</v>
      </c>
    </row>
    <row r="1423" spans="1:25" x14ac:dyDescent="0.25">
      <c r="A1423">
        <v>10192</v>
      </c>
      <c r="B1423">
        <v>37</v>
      </c>
      <c r="C1423">
        <v>69.819999999999993</v>
      </c>
      <c r="D1423">
        <v>4</v>
      </c>
      <c r="E1423">
        <v>2583.34</v>
      </c>
      <c r="F1423" s="1">
        <v>37945</v>
      </c>
      <c r="G1423" t="s">
        <v>25</v>
      </c>
      <c r="H1423">
        <v>4</v>
      </c>
      <c r="I1423">
        <v>11</v>
      </c>
      <c r="J1423">
        <v>2003</v>
      </c>
      <c r="K1423" t="s">
        <v>181</v>
      </c>
      <c r="L1423">
        <v>73</v>
      </c>
      <c r="M1423" t="s">
        <v>620</v>
      </c>
      <c r="N1423" t="s">
        <v>277</v>
      </c>
      <c r="O1423">
        <v>6035558647</v>
      </c>
      <c r="P1423" t="s">
        <v>278</v>
      </c>
      <c r="R1423" t="s">
        <v>279</v>
      </c>
      <c r="S1423" t="s">
        <v>280</v>
      </c>
      <c r="T1423">
        <v>62005</v>
      </c>
      <c r="U1423" t="s">
        <v>32</v>
      </c>
      <c r="V1423" t="s">
        <v>33</v>
      </c>
      <c r="W1423" t="s">
        <v>56</v>
      </c>
      <c r="X1423" t="s">
        <v>276</v>
      </c>
      <c r="Y1423" t="s">
        <v>36</v>
      </c>
    </row>
    <row r="1424" spans="1:25" x14ac:dyDescent="0.25">
      <c r="A1424">
        <v>10204</v>
      </c>
      <c r="B1424">
        <v>20</v>
      </c>
      <c r="C1424">
        <v>62.47</v>
      </c>
      <c r="D1424">
        <v>10</v>
      </c>
      <c r="E1424">
        <v>1249.4000000000001</v>
      </c>
      <c r="F1424" s="1">
        <v>37957</v>
      </c>
      <c r="G1424" t="s">
        <v>25</v>
      </c>
      <c r="H1424">
        <v>4</v>
      </c>
      <c r="I1424">
        <v>12</v>
      </c>
      <c r="J1424">
        <v>2003</v>
      </c>
      <c r="K1424" t="s">
        <v>181</v>
      </c>
      <c r="L1424">
        <v>73</v>
      </c>
      <c r="M1424" t="s">
        <v>620</v>
      </c>
      <c r="N1424" t="s">
        <v>475</v>
      </c>
      <c r="O1424">
        <v>2125557413</v>
      </c>
      <c r="P1424" t="s">
        <v>476</v>
      </c>
      <c r="Q1424" t="s">
        <v>477</v>
      </c>
      <c r="R1424" t="s">
        <v>30</v>
      </c>
      <c r="S1424" t="s">
        <v>31</v>
      </c>
      <c r="T1424">
        <v>10022</v>
      </c>
      <c r="U1424" t="s">
        <v>32</v>
      </c>
      <c r="V1424" t="s">
        <v>33</v>
      </c>
      <c r="W1424" t="s">
        <v>56</v>
      </c>
      <c r="X1424" t="s">
        <v>478</v>
      </c>
      <c r="Y1424" t="s">
        <v>36</v>
      </c>
    </row>
    <row r="1425" spans="1:25" x14ac:dyDescent="0.25">
      <c r="A1425">
        <v>10212</v>
      </c>
      <c r="B1425">
        <v>41</v>
      </c>
      <c r="C1425">
        <v>82.31</v>
      </c>
      <c r="D1425">
        <v>3</v>
      </c>
      <c r="E1425">
        <v>3374.71</v>
      </c>
      <c r="F1425" s="1">
        <v>38002</v>
      </c>
      <c r="G1425" t="s">
        <v>25</v>
      </c>
      <c r="H1425">
        <v>1</v>
      </c>
      <c r="I1425">
        <v>1</v>
      </c>
      <c r="J1425">
        <v>2004</v>
      </c>
      <c r="K1425" t="s">
        <v>181</v>
      </c>
      <c r="L1425">
        <v>73</v>
      </c>
      <c r="M1425" t="s">
        <v>620</v>
      </c>
      <c r="N1425" t="s">
        <v>174</v>
      </c>
      <c r="O1425" t="s">
        <v>175</v>
      </c>
      <c r="P1425" t="s">
        <v>176</v>
      </c>
      <c r="R1425" t="s">
        <v>177</v>
      </c>
      <c r="T1425">
        <v>28034</v>
      </c>
      <c r="U1425" t="s">
        <v>178</v>
      </c>
      <c r="V1425" t="s">
        <v>42</v>
      </c>
      <c r="W1425" t="s">
        <v>179</v>
      </c>
      <c r="X1425" t="s">
        <v>180</v>
      </c>
      <c r="Y1425" t="s">
        <v>51</v>
      </c>
    </row>
    <row r="1426" spans="1:25" x14ac:dyDescent="0.25">
      <c r="A1426">
        <v>10226</v>
      </c>
      <c r="B1426">
        <v>21</v>
      </c>
      <c r="C1426">
        <v>60.26</v>
      </c>
      <c r="D1426">
        <v>1</v>
      </c>
      <c r="E1426">
        <v>1265.46</v>
      </c>
      <c r="F1426" s="1">
        <v>38043</v>
      </c>
      <c r="G1426" t="s">
        <v>25</v>
      </c>
      <c r="H1426">
        <v>1</v>
      </c>
      <c r="I1426">
        <v>2</v>
      </c>
      <c r="J1426">
        <v>2004</v>
      </c>
      <c r="K1426" t="s">
        <v>181</v>
      </c>
      <c r="L1426">
        <v>73</v>
      </c>
      <c r="M1426" t="s">
        <v>620</v>
      </c>
      <c r="N1426" t="s">
        <v>362</v>
      </c>
      <c r="O1426">
        <v>7605558146</v>
      </c>
      <c r="P1426" t="s">
        <v>363</v>
      </c>
      <c r="R1426" t="s">
        <v>364</v>
      </c>
      <c r="S1426" t="s">
        <v>55</v>
      </c>
      <c r="T1426">
        <v>91217</v>
      </c>
      <c r="U1426" t="s">
        <v>32</v>
      </c>
      <c r="V1426" t="s">
        <v>33</v>
      </c>
      <c r="W1426" t="s">
        <v>237</v>
      </c>
      <c r="X1426" t="s">
        <v>276</v>
      </c>
      <c r="Y1426" t="s">
        <v>36</v>
      </c>
    </row>
    <row r="1427" spans="1:25" x14ac:dyDescent="0.25">
      <c r="A1427">
        <v>10241</v>
      </c>
      <c r="B1427">
        <v>22</v>
      </c>
      <c r="C1427">
        <v>76.430000000000007</v>
      </c>
      <c r="D1427">
        <v>8</v>
      </c>
      <c r="E1427">
        <v>1681.46</v>
      </c>
      <c r="F1427" s="1">
        <v>38090</v>
      </c>
      <c r="G1427" t="s">
        <v>25</v>
      </c>
      <c r="H1427">
        <v>2</v>
      </c>
      <c r="I1427">
        <v>4</v>
      </c>
      <c r="J1427">
        <v>2004</v>
      </c>
      <c r="K1427" t="s">
        <v>181</v>
      </c>
      <c r="L1427">
        <v>73</v>
      </c>
      <c r="M1427" t="s">
        <v>620</v>
      </c>
      <c r="N1427" t="s">
        <v>531</v>
      </c>
      <c r="O1427" t="s">
        <v>532</v>
      </c>
      <c r="P1427" t="s">
        <v>533</v>
      </c>
      <c r="R1427" t="s">
        <v>534</v>
      </c>
      <c r="T1427">
        <v>67000</v>
      </c>
      <c r="U1427" t="s">
        <v>41</v>
      </c>
      <c r="V1427" t="s">
        <v>42</v>
      </c>
      <c r="W1427" t="s">
        <v>535</v>
      </c>
      <c r="X1427" t="s">
        <v>536</v>
      </c>
      <c r="Y1427" t="s">
        <v>36</v>
      </c>
    </row>
    <row r="1428" spans="1:25" x14ac:dyDescent="0.25">
      <c r="A1428">
        <v>10267</v>
      </c>
      <c r="B1428">
        <v>40</v>
      </c>
      <c r="C1428">
        <v>80.099999999999994</v>
      </c>
      <c r="D1428">
        <v>5</v>
      </c>
      <c r="E1428">
        <v>3204</v>
      </c>
      <c r="F1428" s="1">
        <v>38175</v>
      </c>
      <c r="G1428" t="s">
        <v>25</v>
      </c>
      <c r="H1428">
        <v>3</v>
      </c>
      <c r="I1428">
        <v>7</v>
      </c>
      <c r="J1428">
        <v>2004</v>
      </c>
      <c r="K1428" t="s">
        <v>181</v>
      </c>
      <c r="L1428">
        <v>73</v>
      </c>
      <c r="M1428" t="s">
        <v>620</v>
      </c>
      <c r="N1428" t="s">
        <v>475</v>
      </c>
      <c r="O1428">
        <v>2125557413</v>
      </c>
      <c r="P1428" t="s">
        <v>476</v>
      </c>
      <c r="Q1428" t="s">
        <v>477</v>
      </c>
      <c r="R1428" t="s">
        <v>30</v>
      </c>
      <c r="S1428" t="s">
        <v>31</v>
      </c>
      <c r="T1428">
        <v>10022</v>
      </c>
      <c r="U1428" t="s">
        <v>32</v>
      </c>
      <c r="V1428" t="s">
        <v>33</v>
      </c>
      <c r="W1428" t="s">
        <v>56</v>
      </c>
      <c r="X1428" t="s">
        <v>478</v>
      </c>
      <c r="Y1428" t="s">
        <v>51</v>
      </c>
    </row>
    <row r="1429" spans="1:25" x14ac:dyDescent="0.25">
      <c r="A1429">
        <v>10279</v>
      </c>
      <c r="B1429">
        <v>32</v>
      </c>
      <c r="C1429">
        <v>74.959999999999994</v>
      </c>
      <c r="D1429">
        <v>5</v>
      </c>
      <c r="E1429">
        <v>2398.7199999999998</v>
      </c>
      <c r="F1429" s="1">
        <v>38208</v>
      </c>
      <c r="G1429" t="s">
        <v>25</v>
      </c>
      <c r="H1429">
        <v>3</v>
      </c>
      <c r="I1429">
        <v>8</v>
      </c>
      <c r="J1429">
        <v>2004</v>
      </c>
      <c r="K1429" t="s">
        <v>181</v>
      </c>
      <c r="L1429">
        <v>73</v>
      </c>
      <c r="M1429" t="s">
        <v>620</v>
      </c>
      <c r="N1429" t="s">
        <v>174</v>
      </c>
      <c r="O1429" t="s">
        <v>175</v>
      </c>
      <c r="P1429" t="s">
        <v>176</v>
      </c>
      <c r="R1429" t="s">
        <v>177</v>
      </c>
      <c r="T1429">
        <v>28034</v>
      </c>
      <c r="U1429" t="s">
        <v>178</v>
      </c>
      <c r="V1429" t="s">
        <v>42</v>
      </c>
      <c r="W1429" t="s">
        <v>179</v>
      </c>
      <c r="X1429" t="s">
        <v>180</v>
      </c>
      <c r="Y1429" t="s">
        <v>36</v>
      </c>
    </row>
    <row r="1430" spans="1:25" x14ac:dyDescent="0.25">
      <c r="A1430">
        <v>10288</v>
      </c>
      <c r="B1430">
        <v>36</v>
      </c>
      <c r="C1430">
        <v>66.14</v>
      </c>
      <c r="D1430">
        <v>11</v>
      </c>
      <c r="E1430">
        <v>2381.04</v>
      </c>
      <c r="F1430" s="1">
        <v>38231</v>
      </c>
      <c r="G1430" t="s">
        <v>25</v>
      </c>
      <c r="H1430">
        <v>3</v>
      </c>
      <c r="I1430">
        <v>9</v>
      </c>
      <c r="J1430">
        <v>2004</v>
      </c>
      <c r="K1430" t="s">
        <v>181</v>
      </c>
      <c r="L1430">
        <v>73</v>
      </c>
      <c r="M1430" t="s">
        <v>620</v>
      </c>
      <c r="N1430" t="s">
        <v>418</v>
      </c>
      <c r="O1430" t="s">
        <v>419</v>
      </c>
      <c r="P1430" t="s">
        <v>420</v>
      </c>
      <c r="Q1430" t="s">
        <v>421</v>
      </c>
      <c r="R1430" t="s">
        <v>199</v>
      </c>
      <c r="T1430">
        <v>69045</v>
      </c>
      <c r="U1430" t="s">
        <v>199</v>
      </c>
      <c r="V1430" t="s">
        <v>96</v>
      </c>
      <c r="W1430" t="s">
        <v>422</v>
      </c>
      <c r="X1430" t="s">
        <v>423</v>
      </c>
      <c r="Y1430" t="s">
        <v>36</v>
      </c>
    </row>
    <row r="1431" spans="1:25" x14ac:dyDescent="0.25">
      <c r="A1431">
        <v>10301</v>
      </c>
      <c r="B1431">
        <v>27</v>
      </c>
      <c r="C1431">
        <v>72.02</v>
      </c>
      <c r="D1431">
        <v>1</v>
      </c>
      <c r="E1431">
        <v>1944.54</v>
      </c>
      <c r="F1431" s="1">
        <v>37899</v>
      </c>
      <c r="G1431" t="s">
        <v>25</v>
      </c>
      <c r="H1431">
        <v>4</v>
      </c>
      <c r="I1431">
        <v>10</v>
      </c>
      <c r="J1431">
        <v>2003</v>
      </c>
      <c r="K1431" t="s">
        <v>181</v>
      </c>
      <c r="L1431">
        <v>73</v>
      </c>
      <c r="M1431" t="s">
        <v>620</v>
      </c>
      <c r="N1431" t="s">
        <v>543</v>
      </c>
      <c r="O1431" t="s">
        <v>544</v>
      </c>
      <c r="P1431" t="s">
        <v>545</v>
      </c>
      <c r="R1431" t="s">
        <v>546</v>
      </c>
      <c r="T1431" t="s">
        <v>547</v>
      </c>
      <c r="U1431" t="s">
        <v>78</v>
      </c>
      <c r="V1431" t="s">
        <v>42</v>
      </c>
      <c r="W1431" t="s">
        <v>548</v>
      </c>
      <c r="X1431" t="s">
        <v>549</v>
      </c>
      <c r="Y1431" t="s">
        <v>36</v>
      </c>
    </row>
    <row r="1432" spans="1:25" x14ac:dyDescent="0.25">
      <c r="A1432">
        <v>10311</v>
      </c>
      <c r="B1432">
        <v>26</v>
      </c>
      <c r="C1432">
        <v>87.45</v>
      </c>
      <c r="D1432">
        <v>6</v>
      </c>
      <c r="E1432">
        <v>2273.6999999999998</v>
      </c>
      <c r="F1432" s="1">
        <v>38276</v>
      </c>
      <c r="G1432" t="s">
        <v>25</v>
      </c>
      <c r="H1432">
        <v>4</v>
      </c>
      <c r="I1432">
        <v>10</v>
      </c>
      <c r="J1432">
        <v>2004</v>
      </c>
      <c r="K1432" t="s">
        <v>181</v>
      </c>
      <c r="L1432">
        <v>73</v>
      </c>
      <c r="M1432" t="s">
        <v>620</v>
      </c>
      <c r="N1432" t="s">
        <v>174</v>
      </c>
      <c r="O1432" t="s">
        <v>175</v>
      </c>
      <c r="P1432" t="s">
        <v>176</v>
      </c>
      <c r="R1432" t="s">
        <v>177</v>
      </c>
      <c r="T1432">
        <v>28034</v>
      </c>
      <c r="U1432" t="s">
        <v>178</v>
      </c>
      <c r="V1432" t="s">
        <v>42</v>
      </c>
      <c r="W1432" t="s">
        <v>179</v>
      </c>
      <c r="X1432" t="s">
        <v>180</v>
      </c>
      <c r="Y1432" t="s">
        <v>36</v>
      </c>
    </row>
    <row r="1433" spans="1:25" x14ac:dyDescent="0.25">
      <c r="A1433">
        <v>10321</v>
      </c>
      <c r="B1433">
        <v>30</v>
      </c>
      <c r="C1433">
        <v>70.55</v>
      </c>
      <c r="D1433">
        <v>3</v>
      </c>
      <c r="E1433">
        <v>2116.5</v>
      </c>
      <c r="F1433" s="1">
        <v>38295</v>
      </c>
      <c r="G1433" t="s">
        <v>25</v>
      </c>
      <c r="H1433">
        <v>4</v>
      </c>
      <c r="I1433">
        <v>11</v>
      </c>
      <c r="J1433">
        <v>2004</v>
      </c>
      <c r="K1433" t="s">
        <v>181</v>
      </c>
      <c r="L1433">
        <v>73</v>
      </c>
      <c r="M1433" t="s">
        <v>620</v>
      </c>
      <c r="N1433" t="s">
        <v>160</v>
      </c>
      <c r="O1433">
        <v>5085552555</v>
      </c>
      <c r="P1433" t="s">
        <v>161</v>
      </c>
      <c r="R1433" t="s">
        <v>162</v>
      </c>
      <c r="S1433" t="s">
        <v>123</v>
      </c>
      <c r="T1433">
        <v>50553</v>
      </c>
      <c r="U1433" t="s">
        <v>32</v>
      </c>
      <c r="V1433" t="s">
        <v>33</v>
      </c>
      <c r="W1433" t="s">
        <v>163</v>
      </c>
      <c r="X1433" t="s">
        <v>164</v>
      </c>
      <c r="Y1433" t="s">
        <v>36</v>
      </c>
    </row>
    <row r="1434" spans="1:25" x14ac:dyDescent="0.25">
      <c r="A1434">
        <v>10332</v>
      </c>
      <c r="B1434">
        <v>23</v>
      </c>
      <c r="C1434">
        <v>56.84</v>
      </c>
      <c r="D1434">
        <v>4</v>
      </c>
      <c r="E1434">
        <v>1307.32</v>
      </c>
      <c r="F1434" s="1">
        <v>38308</v>
      </c>
      <c r="G1434" t="s">
        <v>25</v>
      </c>
      <c r="H1434">
        <v>4</v>
      </c>
      <c r="I1434">
        <v>11</v>
      </c>
      <c r="J1434">
        <v>2004</v>
      </c>
      <c r="K1434" t="s">
        <v>181</v>
      </c>
      <c r="L1434">
        <v>73</v>
      </c>
      <c r="M1434" t="s">
        <v>620</v>
      </c>
      <c r="N1434" t="s">
        <v>492</v>
      </c>
      <c r="O1434" t="s">
        <v>493</v>
      </c>
      <c r="P1434" t="s">
        <v>494</v>
      </c>
      <c r="R1434" t="s">
        <v>495</v>
      </c>
      <c r="T1434" t="s">
        <v>496</v>
      </c>
      <c r="U1434" t="s">
        <v>170</v>
      </c>
      <c r="V1434" t="s">
        <v>42</v>
      </c>
      <c r="W1434" t="s">
        <v>497</v>
      </c>
      <c r="X1434" t="s">
        <v>94</v>
      </c>
      <c r="Y1434" t="s">
        <v>36</v>
      </c>
    </row>
    <row r="1435" spans="1:25" x14ac:dyDescent="0.25">
      <c r="A1435">
        <v>10344</v>
      </c>
      <c r="B1435">
        <v>29</v>
      </c>
      <c r="C1435">
        <v>59.53</v>
      </c>
      <c r="D1435">
        <v>7</v>
      </c>
      <c r="E1435">
        <v>1726.37</v>
      </c>
      <c r="F1435" s="1">
        <v>38316</v>
      </c>
      <c r="G1435" t="s">
        <v>25</v>
      </c>
      <c r="H1435">
        <v>4</v>
      </c>
      <c r="I1435">
        <v>11</v>
      </c>
      <c r="J1435">
        <v>2004</v>
      </c>
      <c r="K1435" t="s">
        <v>181</v>
      </c>
      <c r="L1435">
        <v>73</v>
      </c>
      <c r="M1435" t="s">
        <v>620</v>
      </c>
      <c r="N1435" t="s">
        <v>433</v>
      </c>
      <c r="O1435" t="s">
        <v>434</v>
      </c>
      <c r="P1435" t="s">
        <v>435</v>
      </c>
      <c r="R1435" t="s">
        <v>436</v>
      </c>
      <c r="T1435">
        <v>13008</v>
      </c>
      <c r="U1435" t="s">
        <v>41</v>
      </c>
      <c r="V1435" t="s">
        <v>42</v>
      </c>
      <c r="W1435" t="s">
        <v>437</v>
      </c>
      <c r="X1435" t="s">
        <v>438</v>
      </c>
      <c r="Y1435" t="s">
        <v>36</v>
      </c>
    </row>
    <row r="1436" spans="1:25" x14ac:dyDescent="0.25">
      <c r="A1436">
        <v>10367</v>
      </c>
      <c r="B1436">
        <v>21</v>
      </c>
      <c r="C1436">
        <v>60.37</v>
      </c>
      <c r="D1436">
        <v>10</v>
      </c>
      <c r="E1436">
        <v>1267.77</v>
      </c>
      <c r="F1436" s="1">
        <v>38364</v>
      </c>
      <c r="G1436" t="s">
        <v>408</v>
      </c>
      <c r="H1436">
        <v>1</v>
      </c>
      <c r="I1436">
        <v>1</v>
      </c>
      <c r="J1436">
        <v>2005</v>
      </c>
      <c r="K1436" t="s">
        <v>181</v>
      </c>
      <c r="L1436">
        <v>73</v>
      </c>
      <c r="M1436" t="s">
        <v>620</v>
      </c>
      <c r="N1436" t="s">
        <v>52</v>
      </c>
      <c r="O1436">
        <v>6265557265</v>
      </c>
      <c r="P1436" t="s">
        <v>53</v>
      </c>
      <c r="R1436" t="s">
        <v>54</v>
      </c>
      <c r="S1436" t="s">
        <v>55</v>
      </c>
      <c r="T1436">
        <v>90003</v>
      </c>
      <c r="U1436" t="s">
        <v>32</v>
      </c>
      <c r="V1436" t="s">
        <v>33</v>
      </c>
      <c r="W1436" t="s">
        <v>56</v>
      </c>
      <c r="X1436" t="s">
        <v>57</v>
      </c>
      <c r="Y1436" t="s">
        <v>36</v>
      </c>
    </row>
    <row r="1437" spans="1:25" x14ac:dyDescent="0.25">
      <c r="A1437">
        <v>10380</v>
      </c>
      <c r="B1437">
        <v>34</v>
      </c>
      <c r="C1437">
        <v>100</v>
      </c>
      <c r="D1437">
        <v>3</v>
      </c>
      <c r="E1437">
        <v>3441.82</v>
      </c>
      <c r="F1437" s="1">
        <v>38399</v>
      </c>
      <c r="G1437" t="s">
        <v>25</v>
      </c>
      <c r="H1437">
        <v>1</v>
      </c>
      <c r="I1437">
        <v>2</v>
      </c>
      <c r="J1437">
        <v>2005</v>
      </c>
      <c r="K1437" t="s">
        <v>181</v>
      </c>
      <c r="L1437">
        <v>73</v>
      </c>
      <c r="M1437" t="s">
        <v>620</v>
      </c>
      <c r="N1437" t="s">
        <v>174</v>
      </c>
      <c r="O1437" t="s">
        <v>175</v>
      </c>
      <c r="P1437" t="s">
        <v>176</v>
      </c>
      <c r="R1437" t="s">
        <v>177</v>
      </c>
      <c r="T1437">
        <v>28034</v>
      </c>
      <c r="U1437" t="s">
        <v>178</v>
      </c>
      <c r="V1437" t="s">
        <v>42</v>
      </c>
      <c r="W1437" t="s">
        <v>179</v>
      </c>
      <c r="X1437" t="s">
        <v>180</v>
      </c>
      <c r="Y1437" t="s">
        <v>51</v>
      </c>
    </row>
    <row r="1438" spans="1:25" x14ac:dyDescent="0.25">
      <c r="A1438">
        <v>10407</v>
      </c>
      <c r="B1438">
        <v>26</v>
      </c>
      <c r="C1438">
        <v>76.430000000000007</v>
      </c>
      <c r="D1438">
        <v>8</v>
      </c>
      <c r="E1438">
        <v>1987.18</v>
      </c>
      <c r="F1438" s="1">
        <v>38464</v>
      </c>
      <c r="G1438" t="s">
        <v>401</v>
      </c>
      <c r="H1438">
        <v>2</v>
      </c>
      <c r="I1438">
        <v>4</v>
      </c>
      <c r="J1438">
        <v>2005</v>
      </c>
      <c r="K1438" t="s">
        <v>181</v>
      </c>
      <c r="L1438">
        <v>73</v>
      </c>
      <c r="M1438" t="s">
        <v>620</v>
      </c>
      <c r="N1438" t="s">
        <v>397</v>
      </c>
      <c r="O1438">
        <v>4085553659</v>
      </c>
      <c r="P1438" t="s">
        <v>398</v>
      </c>
      <c r="R1438" t="s">
        <v>399</v>
      </c>
      <c r="S1438" t="s">
        <v>55</v>
      </c>
      <c r="T1438">
        <v>94217</v>
      </c>
      <c r="U1438" t="s">
        <v>32</v>
      </c>
      <c r="V1438" t="s">
        <v>33</v>
      </c>
      <c r="W1438" t="s">
        <v>102</v>
      </c>
      <c r="X1438" t="s">
        <v>400</v>
      </c>
      <c r="Y1438" t="s">
        <v>36</v>
      </c>
    </row>
    <row r="1439" spans="1:25" x14ac:dyDescent="0.25">
      <c r="A1439">
        <v>10420</v>
      </c>
      <c r="B1439">
        <v>60</v>
      </c>
      <c r="C1439">
        <v>64.67</v>
      </c>
      <c r="D1439">
        <v>11</v>
      </c>
      <c r="E1439">
        <v>3880.2</v>
      </c>
      <c r="F1439" s="1">
        <v>38501</v>
      </c>
      <c r="G1439" t="s">
        <v>300</v>
      </c>
      <c r="H1439">
        <v>2</v>
      </c>
      <c r="I1439">
        <v>5</v>
      </c>
      <c r="J1439">
        <v>2005</v>
      </c>
      <c r="K1439" t="s">
        <v>181</v>
      </c>
      <c r="L1439">
        <v>73</v>
      </c>
      <c r="M1439" t="s">
        <v>620</v>
      </c>
      <c r="N1439" t="s">
        <v>152</v>
      </c>
      <c r="O1439" t="s">
        <v>153</v>
      </c>
      <c r="P1439" t="s">
        <v>154</v>
      </c>
      <c r="Q1439" t="s">
        <v>155</v>
      </c>
      <c r="R1439" t="s">
        <v>156</v>
      </c>
      <c r="S1439" t="s">
        <v>157</v>
      </c>
      <c r="T1439">
        <v>2067</v>
      </c>
      <c r="U1439" t="s">
        <v>95</v>
      </c>
      <c r="V1439" t="s">
        <v>96</v>
      </c>
      <c r="W1439" t="s">
        <v>158</v>
      </c>
      <c r="X1439" t="s">
        <v>159</v>
      </c>
      <c r="Y1439" t="s">
        <v>51</v>
      </c>
    </row>
    <row r="1440" spans="1:25" x14ac:dyDescent="0.25">
      <c r="A1440">
        <v>10104</v>
      </c>
      <c r="B1440">
        <v>35</v>
      </c>
      <c r="C1440">
        <v>55.49</v>
      </c>
      <c r="D1440">
        <v>6</v>
      </c>
      <c r="E1440">
        <v>1942.15</v>
      </c>
      <c r="F1440" s="1">
        <v>37652</v>
      </c>
      <c r="G1440" t="s">
        <v>25</v>
      </c>
      <c r="H1440">
        <v>1</v>
      </c>
      <c r="I1440">
        <v>1</v>
      </c>
      <c r="J1440">
        <v>2003</v>
      </c>
      <c r="K1440" t="s">
        <v>181</v>
      </c>
      <c r="L1440">
        <v>57</v>
      </c>
      <c r="M1440" t="s">
        <v>621</v>
      </c>
      <c r="N1440" t="s">
        <v>174</v>
      </c>
      <c r="O1440" t="s">
        <v>175</v>
      </c>
      <c r="P1440" t="s">
        <v>176</v>
      </c>
      <c r="R1440" t="s">
        <v>177</v>
      </c>
      <c r="T1440">
        <v>28034</v>
      </c>
      <c r="U1440" t="s">
        <v>178</v>
      </c>
      <c r="V1440" t="s">
        <v>42</v>
      </c>
      <c r="W1440" t="s">
        <v>179</v>
      </c>
      <c r="X1440" t="s">
        <v>180</v>
      </c>
      <c r="Y1440" t="s">
        <v>36</v>
      </c>
    </row>
    <row r="1441" spans="1:25" x14ac:dyDescent="0.25">
      <c r="A1441">
        <v>10115</v>
      </c>
      <c r="B1441">
        <v>47</v>
      </c>
      <c r="C1441">
        <v>69.36</v>
      </c>
      <c r="D1441">
        <v>2</v>
      </c>
      <c r="E1441">
        <v>3259.92</v>
      </c>
      <c r="F1441" s="1">
        <v>37715</v>
      </c>
      <c r="G1441" t="s">
        <v>25</v>
      </c>
      <c r="H1441">
        <v>2</v>
      </c>
      <c r="I1441">
        <v>4</v>
      </c>
      <c r="J1441">
        <v>2003</v>
      </c>
      <c r="K1441" t="s">
        <v>181</v>
      </c>
      <c r="L1441">
        <v>57</v>
      </c>
      <c r="M1441" t="s">
        <v>621</v>
      </c>
      <c r="N1441" t="s">
        <v>203</v>
      </c>
      <c r="O1441">
        <v>2125558493</v>
      </c>
      <c r="P1441" t="s">
        <v>204</v>
      </c>
      <c r="Q1441" t="s">
        <v>205</v>
      </c>
      <c r="R1441" t="s">
        <v>30</v>
      </c>
      <c r="S1441" t="s">
        <v>31</v>
      </c>
      <c r="T1441">
        <v>10022</v>
      </c>
      <c r="U1441" t="s">
        <v>32</v>
      </c>
      <c r="V1441" t="s">
        <v>33</v>
      </c>
      <c r="W1441" t="s">
        <v>124</v>
      </c>
      <c r="X1441" t="s">
        <v>206</v>
      </c>
      <c r="Y1441" t="s">
        <v>51</v>
      </c>
    </row>
    <row r="1442" spans="1:25" x14ac:dyDescent="0.25">
      <c r="A1442">
        <v>10127</v>
      </c>
      <c r="B1442">
        <v>20</v>
      </c>
      <c r="C1442">
        <v>60.69</v>
      </c>
      <c r="D1442">
        <v>8</v>
      </c>
      <c r="E1442">
        <v>1213.8</v>
      </c>
      <c r="F1442" s="1">
        <v>37775</v>
      </c>
      <c r="G1442" t="s">
        <v>25</v>
      </c>
      <c r="H1442">
        <v>2</v>
      </c>
      <c r="I1442">
        <v>6</v>
      </c>
      <c r="J1442">
        <v>2003</v>
      </c>
      <c r="K1442" t="s">
        <v>181</v>
      </c>
      <c r="L1442">
        <v>57</v>
      </c>
      <c r="M1442" t="s">
        <v>621</v>
      </c>
      <c r="N1442" t="s">
        <v>475</v>
      </c>
      <c r="O1442">
        <v>2125557413</v>
      </c>
      <c r="P1442" t="s">
        <v>476</v>
      </c>
      <c r="Q1442" t="s">
        <v>477</v>
      </c>
      <c r="R1442" t="s">
        <v>30</v>
      </c>
      <c r="S1442" t="s">
        <v>31</v>
      </c>
      <c r="T1442">
        <v>10022</v>
      </c>
      <c r="U1442" t="s">
        <v>32</v>
      </c>
      <c r="V1442" t="s">
        <v>33</v>
      </c>
      <c r="W1442" t="s">
        <v>56</v>
      </c>
      <c r="X1442" t="s">
        <v>478</v>
      </c>
      <c r="Y1442" t="s">
        <v>36</v>
      </c>
    </row>
    <row r="1443" spans="1:25" x14ac:dyDescent="0.25">
      <c r="A1443">
        <v>10141</v>
      </c>
      <c r="B1443">
        <v>20</v>
      </c>
      <c r="C1443">
        <v>54.33</v>
      </c>
      <c r="D1443">
        <v>2</v>
      </c>
      <c r="E1443">
        <v>1086.5999999999999</v>
      </c>
      <c r="F1443" s="1">
        <v>37834</v>
      </c>
      <c r="G1443" t="s">
        <v>25</v>
      </c>
      <c r="H1443">
        <v>3</v>
      </c>
      <c r="I1443">
        <v>8</v>
      </c>
      <c r="J1443">
        <v>2003</v>
      </c>
      <c r="K1443" t="s">
        <v>181</v>
      </c>
      <c r="L1443">
        <v>57</v>
      </c>
      <c r="M1443" t="s">
        <v>621</v>
      </c>
      <c r="N1443" t="s">
        <v>467</v>
      </c>
      <c r="O1443" t="s">
        <v>468</v>
      </c>
      <c r="P1443" t="s">
        <v>469</v>
      </c>
      <c r="R1443" t="s">
        <v>470</v>
      </c>
      <c r="T1443" t="s">
        <v>471</v>
      </c>
      <c r="U1443" t="s">
        <v>130</v>
      </c>
      <c r="V1443" t="s">
        <v>42</v>
      </c>
      <c r="W1443" t="s">
        <v>472</v>
      </c>
      <c r="X1443" t="s">
        <v>473</v>
      </c>
      <c r="Y1443" t="s">
        <v>36</v>
      </c>
    </row>
    <row r="1444" spans="1:25" x14ac:dyDescent="0.25">
      <c r="A1444">
        <v>10152</v>
      </c>
      <c r="B1444">
        <v>25</v>
      </c>
      <c r="C1444">
        <v>65.31</v>
      </c>
      <c r="D1444">
        <v>4</v>
      </c>
      <c r="E1444">
        <v>1632.75</v>
      </c>
      <c r="F1444" s="1">
        <v>37889</v>
      </c>
      <c r="G1444" t="s">
        <v>25</v>
      </c>
      <c r="H1444">
        <v>3</v>
      </c>
      <c r="I1444">
        <v>9</v>
      </c>
      <c r="J1444">
        <v>2003</v>
      </c>
      <c r="K1444" t="s">
        <v>181</v>
      </c>
      <c r="L1444">
        <v>57</v>
      </c>
      <c r="M1444" t="s">
        <v>621</v>
      </c>
      <c r="N1444" t="s">
        <v>207</v>
      </c>
      <c r="O1444" t="s">
        <v>208</v>
      </c>
      <c r="P1444" t="s">
        <v>209</v>
      </c>
      <c r="R1444" t="s">
        <v>210</v>
      </c>
      <c r="S1444" t="s">
        <v>211</v>
      </c>
      <c r="T1444">
        <v>4101</v>
      </c>
      <c r="U1444" t="s">
        <v>95</v>
      </c>
      <c r="V1444" t="s">
        <v>96</v>
      </c>
      <c r="W1444" t="s">
        <v>212</v>
      </c>
      <c r="X1444" t="s">
        <v>213</v>
      </c>
      <c r="Y1444" t="s">
        <v>36</v>
      </c>
    </row>
    <row r="1445" spans="1:25" x14ac:dyDescent="0.25">
      <c r="A1445">
        <v>10165</v>
      </c>
      <c r="B1445">
        <v>25</v>
      </c>
      <c r="C1445">
        <v>69.36</v>
      </c>
      <c r="D1445">
        <v>9</v>
      </c>
      <c r="E1445">
        <v>1734</v>
      </c>
      <c r="F1445" s="1">
        <v>37916</v>
      </c>
      <c r="G1445" t="s">
        <v>25</v>
      </c>
      <c r="H1445">
        <v>4</v>
      </c>
      <c r="I1445">
        <v>10</v>
      </c>
      <c r="J1445">
        <v>2003</v>
      </c>
      <c r="K1445" t="s">
        <v>181</v>
      </c>
      <c r="L1445">
        <v>57</v>
      </c>
      <c r="M1445" t="s">
        <v>621</v>
      </c>
      <c r="N1445" t="s">
        <v>196</v>
      </c>
      <c r="O1445" t="s">
        <v>197</v>
      </c>
      <c r="P1445" t="s">
        <v>198</v>
      </c>
      <c r="R1445" t="s">
        <v>199</v>
      </c>
      <c r="T1445">
        <v>79903</v>
      </c>
      <c r="U1445" t="s">
        <v>199</v>
      </c>
      <c r="V1445" t="s">
        <v>200</v>
      </c>
      <c r="W1445" t="s">
        <v>201</v>
      </c>
      <c r="X1445" t="s">
        <v>202</v>
      </c>
      <c r="Y1445" t="s">
        <v>36</v>
      </c>
    </row>
    <row r="1446" spans="1:25" x14ac:dyDescent="0.25">
      <c r="A1446">
        <v>10176</v>
      </c>
      <c r="B1446">
        <v>27</v>
      </c>
      <c r="C1446">
        <v>68.78</v>
      </c>
      <c r="D1446">
        <v>8</v>
      </c>
      <c r="E1446">
        <v>1857.06</v>
      </c>
      <c r="F1446" s="1">
        <v>37931</v>
      </c>
      <c r="G1446" t="s">
        <v>25</v>
      </c>
      <c r="H1446">
        <v>4</v>
      </c>
      <c r="I1446">
        <v>11</v>
      </c>
      <c r="J1446">
        <v>2003</v>
      </c>
      <c r="K1446" t="s">
        <v>181</v>
      </c>
      <c r="L1446">
        <v>57</v>
      </c>
      <c r="M1446" t="s">
        <v>621</v>
      </c>
      <c r="N1446" t="s">
        <v>452</v>
      </c>
      <c r="O1446" t="s">
        <v>453</v>
      </c>
      <c r="P1446" t="s">
        <v>454</v>
      </c>
      <c r="R1446" t="s">
        <v>455</v>
      </c>
      <c r="T1446">
        <v>42100</v>
      </c>
      <c r="U1446" t="s">
        <v>258</v>
      </c>
      <c r="V1446" t="s">
        <v>42</v>
      </c>
      <c r="W1446" t="s">
        <v>456</v>
      </c>
      <c r="X1446" t="s">
        <v>457</v>
      </c>
      <c r="Y1446" t="s">
        <v>36</v>
      </c>
    </row>
    <row r="1447" spans="1:25" x14ac:dyDescent="0.25">
      <c r="A1447">
        <v>10184</v>
      </c>
      <c r="B1447">
        <v>31</v>
      </c>
      <c r="C1447">
        <v>60.11</v>
      </c>
      <c r="D1447">
        <v>3</v>
      </c>
      <c r="E1447">
        <v>1863.41</v>
      </c>
      <c r="F1447" s="1">
        <v>37939</v>
      </c>
      <c r="G1447" t="s">
        <v>25</v>
      </c>
      <c r="H1447">
        <v>4</v>
      </c>
      <c r="I1447">
        <v>11</v>
      </c>
      <c r="J1447">
        <v>2003</v>
      </c>
      <c r="K1447" t="s">
        <v>181</v>
      </c>
      <c r="L1447">
        <v>57</v>
      </c>
      <c r="M1447" t="s">
        <v>621</v>
      </c>
      <c r="N1447" t="s">
        <v>520</v>
      </c>
      <c r="O1447" t="s">
        <v>521</v>
      </c>
      <c r="P1447" t="s">
        <v>522</v>
      </c>
      <c r="R1447" t="s">
        <v>523</v>
      </c>
      <c r="T1447">
        <v>41101</v>
      </c>
      <c r="U1447" t="s">
        <v>178</v>
      </c>
      <c r="V1447" t="s">
        <v>42</v>
      </c>
      <c r="W1447" t="s">
        <v>524</v>
      </c>
      <c r="X1447" t="s">
        <v>525</v>
      </c>
      <c r="Y1447" t="s">
        <v>36</v>
      </c>
    </row>
    <row r="1448" spans="1:25" x14ac:dyDescent="0.25">
      <c r="A1448">
        <v>10195</v>
      </c>
      <c r="B1448">
        <v>44</v>
      </c>
      <c r="C1448">
        <v>66.47</v>
      </c>
      <c r="D1448">
        <v>3</v>
      </c>
      <c r="E1448">
        <v>2924.68</v>
      </c>
      <c r="F1448" s="1">
        <v>37950</v>
      </c>
      <c r="G1448" t="s">
        <v>25</v>
      </c>
      <c r="H1448">
        <v>4</v>
      </c>
      <c r="I1448">
        <v>11</v>
      </c>
      <c r="J1448">
        <v>2003</v>
      </c>
      <c r="K1448" t="s">
        <v>181</v>
      </c>
      <c r="L1448">
        <v>57</v>
      </c>
      <c r="M1448" t="s">
        <v>621</v>
      </c>
      <c r="N1448" t="s">
        <v>317</v>
      </c>
      <c r="O1448">
        <v>9145554562</v>
      </c>
      <c r="P1448" t="s">
        <v>318</v>
      </c>
      <c r="R1448" t="s">
        <v>319</v>
      </c>
      <c r="S1448" t="s">
        <v>31</v>
      </c>
      <c r="T1448">
        <v>24067</v>
      </c>
      <c r="U1448" t="s">
        <v>32</v>
      </c>
      <c r="V1448" t="s">
        <v>33</v>
      </c>
      <c r="W1448" t="s">
        <v>102</v>
      </c>
      <c r="X1448" t="s">
        <v>238</v>
      </c>
      <c r="Y1448" t="s">
        <v>36</v>
      </c>
    </row>
    <row r="1449" spans="1:25" x14ac:dyDescent="0.25">
      <c r="A1449">
        <v>10207</v>
      </c>
      <c r="B1449">
        <v>49</v>
      </c>
      <c r="C1449">
        <v>46.82</v>
      </c>
      <c r="D1449">
        <v>4</v>
      </c>
      <c r="E1449">
        <v>2294.1799999999998</v>
      </c>
      <c r="F1449" s="1">
        <v>37964</v>
      </c>
      <c r="G1449" t="s">
        <v>25</v>
      </c>
      <c r="H1449">
        <v>4</v>
      </c>
      <c r="I1449">
        <v>12</v>
      </c>
      <c r="J1449">
        <v>2003</v>
      </c>
      <c r="K1449" t="s">
        <v>181</v>
      </c>
      <c r="L1449">
        <v>57</v>
      </c>
      <c r="M1449" t="s">
        <v>621</v>
      </c>
      <c r="N1449" t="s">
        <v>415</v>
      </c>
      <c r="O1449">
        <v>6175552555</v>
      </c>
      <c r="P1449" t="s">
        <v>416</v>
      </c>
      <c r="R1449" t="s">
        <v>381</v>
      </c>
      <c r="S1449" t="s">
        <v>123</v>
      </c>
      <c r="T1449">
        <v>51003</v>
      </c>
      <c r="U1449" t="s">
        <v>32</v>
      </c>
      <c r="V1449" t="s">
        <v>33</v>
      </c>
      <c r="W1449" t="s">
        <v>417</v>
      </c>
      <c r="X1449" t="s">
        <v>276</v>
      </c>
      <c r="Y1449" t="s">
        <v>36</v>
      </c>
    </row>
    <row r="1450" spans="1:25" x14ac:dyDescent="0.25">
      <c r="A1450">
        <v>10220</v>
      </c>
      <c r="B1450">
        <v>26</v>
      </c>
      <c r="C1450">
        <v>56.07</v>
      </c>
      <c r="D1450">
        <v>8</v>
      </c>
      <c r="E1450">
        <v>1457.82</v>
      </c>
      <c r="F1450" s="1">
        <v>38029</v>
      </c>
      <c r="G1450" t="s">
        <v>25</v>
      </c>
      <c r="H1450">
        <v>1</v>
      </c>
      <c r="I1450">
        <v>2</v>
      </c>
      <c r="J1450">
        <v>2004</v>
      </c>
      <c r="K1450" t="s">
        <v>181</v>
      </c>
      <c r="L1450">
        <v>57</v>
      </c>
      <c r="M1450" t="s">
        <v>621</v>
      </c>
      <c r="N1450" t="s">
        <v>479</v>
      </c>
      <c r="O1450" t="s">
        <v>480</v>
      </c>
      <c r="P1450" t="s">
        <v>481</v>
      </c>
      <c r="Q1450" t="s">
        <v>482</v>
      </c>
      <c r="R1450" t="s">
        <v>483</v>
      </c>
      <c r="T1450">
        <v>2</v>
      </c>
      <c r="U1450" t="s">
        <v>484</v>
      </c>
      <c r="V1450" t="s">
        <v>42</v>
      </c>
      <c r="W1450" t="s">
        <v>485</v>
      </c>
      <c r="X1450" t="s">
        <v>486</v>
      </c>
      <c r="Y1450" t="s">
        <v>36</v>
      </c>
    </row>
    <row r="1451" spans="1:25" x14ac:dyDescent="0.25">
      <c r="A1451">
        <v>10230</v>
      </c>
      <c r="B1451">
        <v>36</v>
      </c>
      <c r="C1451">
        <v>54.33</v>
      </c>
      <c r="D1451">
        <v>6</v>
      </c>
      <c r="E1451">
        <v>1955.88</v>
      </c>
      <c r="F1451" s="1">
        <v>38061</v>
      </c>
      <c r="G1451" t="s">
        <v>25</v>
      </c>
      <c r="H1451">
        <v>1</v>
      </c>
      <c r="I1451">
        <v>3</v>
      </c>
      <c r="J1451">
        <v>2004</v>
      </c>
      <c r="K1451" t="s">
        <v>181</v>
      </c>
      <c r="L1451">
        <v>57</v>
      </c>
      <c r="M1451" t="s">
        <v>621</v>
      </c>
      <c r="N1451" t="s">
        <v>462</v>
      </c>
      <c r="O1451" t="s">
        <v>463</v>
      </c>
      <c r="P1451" t="s">
        <v>464</v>
      </c>
      <c r="R1451" t="s">
        <v>465</v>
      </c>
      <c r="T1451">
        <v>60528</v>
      </c>
      <c r="U1451" t="s">
        <v>443</v>
      </c>
      <c r="V1451" t="s">
        <v>42</v>
      </c>
      <c r="W1451" t="s">
        <v>466</v>
      </c>
      <c r="X1451" t="s">
        <v>414</v>
      </c>
      <c r="Y1451" t="s">
        <v>36</v>
      </c>
    </row>
    <row r="1452" spans="1:25" x14ac:dyDescent="0.25">
      <c r="A1452">
        <v>10246</v>
      </c>
      <c r="B1452">
        <v>44</v>
      </c>
      <c r="C1452">
        <v>52.6</v>
      </c>
      <c r="D1452">
        <v>2</v>
      </c>
      <c r="E1452">
        <v>2314.4</v>
      </c>
      <c r="F1452" s="1">
        <v>38112</v>
      </c>
      <c r="G1452" t="s">
        <v>25</v>
      </c>
      <c r="H1452">
        <v>2</v>
      </c>
      <c r="I1452">
        <v>5</v>
      </c>
      <c r="J1452">
        <v>2004</v>
      </c>
      <c r="K1452" t="s">
        <v>181</v>
      </c>
      <c r="L1452">
        <v>57</v>
      </c>
      <c r="M1452" t="s">
        <v>621</v>
      </c>
      <c r="N1452" t="s">
        <v>174</v>
      </c>
      <c r="O1452" t="s">
        <v>175</v>
      </c>
      <c r="P1452" t="s">
        <v>176</v>
      </c>
      <c r="R1452" t="s">
        <v>177</v>
      </c>
      <c r="T1452">
        <v>28034</v>
      </c>
      <c r="U1452" t="s">
        <v>178</v>
      </c>
      <c r="V1452" t="s">
        <v>42</v>
      </c>
      <c r="W1452" t="s">
        <v>179</v>
      </c>
      <c r="X1452" t="s">
        <v>180</v>
      </c>
      <c r="Y1452" t="s">
        <v>36</v>
      </c>
    </row>
    <row r="1453" spans="1:25" x14ac:dyDescent="0.25">
      <c r="A1453">
        <v>10259</v>
      </c>
      <c r="B1453">
        <v>28</v>
      </c>
      <c r="C1453">
        <v>46.82</v>
      </c>
      <c r="D1453">
        <v>1</v>
      </c>
      <c r="E1453">
        <v>1310.96</v>
      </c>
      <c r="F1453" s="1">
        <v>38153</v>
      </c>
      <c r="G1453" t="s">
        <v>25</v>
      </c>
      <c r="H1453">
        <v>2</v>
      </c>
      <c r="I1453">
        <v>6</v>
      </c>
      <c r="J1453">
        <v>2004</v>
      </c>
      <c r="K1453" t="s">
        <v>181</v>
      </c>
      <c r="L1453">
        <v>57</v>
      </c>
      <c r="M1453" t="s">
        <v>621</v>
      </c>
      <c r="N1453" t="s">
        <v>418</v>
      </c>
      <c r="O1453" t="s">
        <v>419</v>
      </c>
      <c r="P1453" t="s">
        <v>420</v>
      </c>
      <c r="Q1453" t="s">
        <v>421</v>
      </c>
      <c r="R1453" t="s">
        <v>199</v>
      </c>
      <c r="T1453">
        <v>69045</v>
      </c>
      <c r="U1453" t="s">
        <v>199</v>
      </c>
      <c r="V1453" t="s">
        <v>96</v>
      </c>
      <c r="W1453" t="s">
        <v>422</v>
      </c>
      <c r="X1453" t="s">
        <v>423</v>
      </c>
      <c r="Y1453" t="s">
        <v>36</v>
      </c>
    </row>
    <row r="1454" spans="1:25" x14ac:dyDescent="0.25">
      <c r="A1454">
        <v>10271</v>
      </c>
      <c r="B1454">
        <v>45</v>
      </c>
      <c r="C1454">
        <v>64.739999999999995</v>
      </c>
      <c r="D1454">
        <v>2</v>
      </c>
      <c r="E1454">
        <v>2913.3</v>
      </c>
      <c r="F1454" s="1">
        <v>38188</v>
      </c>
      <c r="G1454" t="s">
        <v>25</v>
      </c>
      <c r="H1454">
        <v>3</v>
      </c>
      <c r="I1454">
        <v>7</v>
      </c>
      <c r="J1454">
        <v>2004</v>
      </c>
      <c r="K1454" t="s">
        <v>181</v>
      </c>
      <c r="L1454">
        <v>57</v>
      </c>
      <c r="M1454" t="s">
        <v>621</v>
      </c>
      <c r="N1454" t="s">
        <v>272</v>
      </c>
      <c r="O1454">
        <v>4155551450</v>
      </c>
      <c r="P1454" t="s">
        <v>273</v>
      </c>
      <c r="R1454" t="s">
        <v>274</v>
      </c>
      <c r="S1454" t="s">
        <v>55</v>
      </c>
      <c r="T1454">
        <v>97562</v>
      </c>
      <c r="U1454" t="s">
        <v>32</v>
      </c>
      <c r="V1454" t="s">
        <v>33</v>
      </c>
      <c r="W1454" t="s">
        <v>275</v>
      </c>
      <c r="X1454" t="s">
        <v>276</v>
      </c>
      <c r="Y1454" t="s">
        <v>36</v>
      </c>
    </row>
    <row r="1455" spans="1:25" x14ac:dyDescent="0.25">
      <c r="A1455">
        <v>10282</v>
      </c>
      <c r="B1455">
        <v>29</v>
      </c>
      <c r="C1455">
        <v>46.82</v>
      </c>
      <c r="D1455">
        <v>11</v>
      </c>
      <c r="E1455">
        <v>1357.78</v>
      </c>
      <c r="F1455" s="1">
        <v>38219</v>
      </c>
      <c r="G1455" t="s">
        <v>25</v>
      </c>
      <c r="H1455">
        <v>3</v>
      </c>
      <c r="I1455">
        <v>8</v>
      </c>
      <c r="J1455">
        <v>2004</v>
      </c>
      <c r="K1455" t="s">
        <v>181</v>
      </c>
      <c r="L1455">
        <v>57</v>
      </c>
      <c r="M1455" t="s">
        <v>621</v>
      </c>
      <c r="N1455" t="s">
        <v>272</v>
      </c>
      <c r="O1455">
        <v>4155551450</v>
      </c>
      <c r="P1455" t="s">
        <v>273</v>
      </c>
      <c r="R1455" t="s">
        <v>274</v>
      </c>
      <c r="S1455" t="s">
        <v>55</v>
      </c>
      <c r="T1455">
        <v>97562</v>
      </c>
      <c r="U1455" t="s">
        <v>32</v>
      </c>
      <c r="V1455" t="s">
        <v>33</v>
      </c>
      <c r="W1455" t="s">
        <v>275</v>
      </c>
      <c r="X1455" t="s">
        <v>276</v>
      </c>
      <c r="Y1455" t="s">
        <v>36</v>
      </c>
    </row>
    <row r="1456" spans="1:25" x14ac:dyDescent="0.25">
      <c r="A1456">
        <v>10292</v>
      </c>
      <c r="B1456">
        <v>40</v>
      </c>
      <c r="C1456">
        <v>53.75</v>
      </c>
      <c r="D1456">
        <v>5</v>
      </c>
      <c r="E1456">
        <v>2150</v>
      </c>
      <c r="F1456" s="1">
        <v>38238</v>
      </c>
      <c r="G1456" t="s">
        <v>25</v>
      </c>
      <c r="H1456">
        <v>3</v>
      </c>
      <c r="I1456">
        <v>9</v>
      </c>
      <c r="J1456">
        <v>2004</v>
      </c>
      <c r="K1456" t="s">
        <v>181</v>
      </c>
      <c r="L1456">
        <v>57</v>
      </c>
      <c r="M1456" t="s">
        <v>621</v>
      </c>
      <c r="N1456" t="s">
        <v>28</v>
      </c>
      <c r="O1456">
        <v>2125557818</v>
      </c>
      <c r="P1456" t="s">
        <v>29</v>
      </c>
      <c r="R1456" t="s">
        <v>30</v>
      </c>
      <c r="S1456" t="s">
        <v>31</v>
      </c>
      <c r="T1456">
        <v>10022</v>
      </c>
      <c r="U1456" t="s">
        <v>32</v>
      </c>
      <c r="V1456" t="s">
        <v>33</v>
      </c>
      <c r="W1456" t="s">
        <v>34</v>
      </c>
      <c r="X1456" t="s">
        <v>35</v>
      </c>
      <c r="Y1456" t="s">
        <v>36</v>
      </c>
    </row>
    <row r="1457" spans="1:25" x14ac:dyDescent="0.25">
      <c r="A1457">
        <v>10305</v>
      </c>
      <c r="B1457">
        <v>45</v>
      </c>
      <c r="C1457">
        <v>61.85</v>
      </c>
      <c r="D1457">
        <v>2</v>
      </c>
      <c r="E1457">
        <v>2783.25</v>
      </c>
      <c r="F1457" s="1">
        <v>38273</v>
      </c>
      <c r="G1457" t="s">
        <v>25</v>
      </c>
      <c r="H1457">
        <v>4</v>
      </c>
      <c r="I1457">
        <v>10</v>
      </c>
      <c r="J1457">
        <v>2004</v>
      </c>
      <c r="K1457" t="s">
        <v>181</v>
      </c>
      <c r="L1457">
        <v>57</v>
      </c>
      <c r="M1457" t="s">
        <v>621</v>
      </c>
      <c r="N1457" t="s">
        <v>120</v>
      </c>
      <c r="O1457">
        <v>6175558555</v>
      </c>
      <c r="P1457" t="s">
        <v>121</v>
      </c>
      <c r="R1457" t="s">
        <v>122</v>
      </c>
      <c r="S1457" t="s">
        <v>123</v>
      </c>
      <c r="T1457">
        <v>51247</v>
      </c>
      <c r="U1457" t="s">
        <v>32</v>
      </c>
      <c r="V1457" t="s">
        <v>33</v>
      </c>
      <c r="W1457" t="s">
        <v>124</v>
      </c>
      <c r="X1457" t="s">
        <v>125</v>
      </c>
      <c r="Y1457" t="s">
        <v>36</v>
      </c>
    </row>
    <row r="1458" spans="1:25" x14ac:dyDescent="0.25">
      <c r="A1458">
        <v>10314</v>
      </c>
      <c r="B1458">
        <v>44</v>
      </c>
      <c r="C1458">
        <v>53.18</v>
      </c>
      <c r="D1458">
        <v>11</v>
      </c>
      <c r="E1458">
        <v>2339.92</v>
      </c>
      <c r="F1458" s="1">
        <v>38282</v>
      </c>
      <c r="G1458" t="s">
        <v>25</v>
      </c>
      <c r="H1458">
        <v>4</v>
      </c>
      <c r="I1458">
        <v>10</v>
      </c>
      <c r="J1458">
        <v>2004</v>
      </c>
      <c r="K1458" t="s">
        <v>181</v>
      </c>
      <c r="L1458">
        <v>57</v>
      </c>
      <c r="M1458" t="s">
        <v>621</v>
      </c>
      <c r="N1458" t="s">
        <v>498</v>
      </c>
      <c r="O1458" t="s">
        <v>499</v>
      </c>
      <c r="P1458" t="s">
        <v>500</v>
      </c>
      <c r="R1458" t="s">
        <v>501</v>
      </c>
      <c r="T1458">
        <v>8200</v>
      </c>
      <c r="U1458" t="s">
        <v>326</v>
      </c>
      <c r="V1458" t="s">
        <v>42</v>
      </c>
      <c r="W1458" t="s">
        <v>502</v>
      </c>
      <c r="X1458" t="s">
        <v>503</v>
      </c>
      <c r="Y1458" t="s">
        <v>36</v>
      </c>
    </row>
    <row r="1459" spans="1:25" x14ac:dyDescent="0.25">
      <c r="A1459">
        <v>10324</v>
      </c>
      <c r="B1459">
        <v>25</v>
      </c>
      <c r="C1459">
        <v>69.16</v>
      </c>
      <c r="D1459">
        <v>14</v>
      </c>
      <c r="E1459">
        <v>1729</v>
      </c>
      <c r="F1459" s="1">
        <v>38296</v>
      </c>
      <c r="G1459" t="s">
        <v>25</v>
      </c>
      <c r="H1459">
        <v>4</v>
      </c>
      <c r="I1459">
        <v>11</v>
      </c>
      <c r="J1459">
        <v>2004</v>
      </c>
      <c r="K1459" t="s">
        <v>181</v>
      </c>
      <c r="L1459">
        <v>57</v>
      </c>
      <c r="M1459" t="s">
        <v>621</v>
      </c>
      <c r="N1459" t="s">
        <v>99</v>
      </c>
      <c r="O1459">
        <v>2125551500</v>
      </c>
      <c r="P1459" t="s">
        <v>100</v>
      </c>
      <c r="Q1459" t="s">
        <v>101</v>
      </c>
      <c r="R1459" t="s">
        <v>30</v>
      </c>
      <c r="S1459" t="s">
        <v>31</v>
      </c>
      <c r="T1459">
        <v>10022</v>
      </c>
      <c r="U1459" t="s">
        <v>32</v>
      </c>
      <c r="V1459" t="s">
        <v>33</v>
      </c>
      <c r="W1459" t="s">
        <v>102</v>
      </c>
      <c r="X1459" t="s">
        <v>103</v>
      </c>
      <c r="Y1459" t="s">
        <v>36</v>
      </c>
    </row>
    <row r="1460" spans="1:25" x14ac:dyDescent="0.25">
      <c r="A1460">
        <v>10336</v>
      </c>
      <c r="B1460">
        <v>45</v>
      </c>
      <c r="C1460">
        <v>100</v>
      </c>
      <c r="D1460">
        <v>4</v>
      </c>
      <c r="E1460">
        <v>5972.4</v>
      </c>
      <c r="F1460" s="1">
        <v>38311</v>
      </c>
      <c r="G1460" t="s">
        <v>25</v>
      </c>
      <c r="H1460">
        <v>4</v>
      </c>
      <c r="I1460">
        <v>11</v>
      </c>
      <c r="J1460">
        <v>2004</v>
      </c>
      <c r="K1460" t="s">
        <v>181</v>
      </c>
      <c r="L1460">
        <v>57</v>
      </c>
      <c r="M1460" t="s">
        <v>621</v>
      </c>
      <c r="N1460" t="s">
        <v>403</v>
      </c>
      <c r="O1460" t="s">
        <v>404</v>
      </c>
      <c r="P1460" t="s">
        <v>405</v>
      </c>
      <c r="R1460" t="s">
        <v>48</v>
      </c>
      <c r="T1460">
        <v>75012</v>
      </c>
      <c r="U1460" t="s">
        <v>41</v>
      </c>
      <c r="V1460" t="s">
        <v>42</v>
      </c>
      <c r="W1460" t="s">
        <v>406</v>
      </c>
      <c r="X1460" t="s">
        <v>407</v>
      </c>
      <c r="Y1460" t="s">
        <v>51</v>
      </c>
    </row>
    <row r="1461" spans="1:25" x14ac:dyDescent="0.25">
      <c r="A1461">
        <v>10349</v>
      </c>
      <c r="B1461">
        <v>48</v>
      </c>
      <c r="C1461">
        <v>47.4</v>
      </c>
      <c r="D1461">
        <v>4</v>
      </c>
      <c r="E1461">
        <v>2275.1999999999998</v>
      </c>
      <c r="F1461" s="1">
        <v>38322</v>
      </c>
      <c r="G1461" t="s">
        <v>25</v>
      </c>
      <c r="H1461">
        <v>4</v>
      </c>
      <c r="I1461">
        <v>12</v>
      </c>
      <c r="J1461">
        <v>2004</v>
      </c>
      <c r="K1461" t="s">
        <v>181</v>
      </c>
      <c r="L1461">
        <v>57</v>
      </c>
      <c r="M1461" t="s">
        <v>621</v>
      </c>
      <c r="N1461" t="s">
        <v>475</v>
      </c>
      <c r="O1461">
        <v>2125557413</v>
      </c>
      <c r="P1461" t="s">
        <v>476</v>
      </c>
      <c r="Q1461" t="s">
        <v>477</v>
      </c>
      <c r="R1461" t="s">
        <v>30</v>
      </c>
      <c r="S1461" t="s">
        <v>31</v>
      </c>
      <c r="T1461">
        <v>10022</v>
      </c>
      <c r="U1461" t="s">
        <v>32</v>
      </c>
      <c r="V1461" t="s">
        <v>33</v>
      </c>
      <c r="W1461" t="s">
        <v>56</v>
      </c>
      <c r="X1461" t="s">
        <v>478</v>
      </c>
      <c r="Y1461" t="s">
        <v>36</v>
      </c>
    </row>
    <row r="1462" spans="1:25" x14ac:dyDescent="0.25">
      <c r="A1462">
        <v>10358</v>
      </c>
      <c r="B1462">
        <v>44</v>
      </c>
      <c r="C1462">
        <v>60.76</v>
      </c>
      <c r="D1462">
        <v>14</v>
      </c>
      <c r="E1462">
        <v>2673.44</v>
      </c>
      <c r="F1462" s="1">
        <v>38331</v>
      </c>
      <c r="G1462" t="s">
        <v>25</v>
      </c>
      <c r="H1462">
        <v>4</v>
      </c>
      <c r="I1462">
        <v>12</v>
      </c>
      <c r="J1462">
        <v>2004</v>
      </c>
      <c r="K1462" t="s">
        <v>181</v>
      </c>
      <c r="L1462">
        <v>57</v>
      </c>
      <c r="M1462" t="s">
        <v>621</v>
      </c>
      <c r="N1462" t="s">
        <v>174</v>
      </c>
      <c r="O1462" t="s">
        <v>175</v>
      </c>
      <c r="P1462" t="s">
        <v>176</v>
      </c>
      <c r="R1462" t="s">
        <v>177</v>
      </c>
      <c r="T1462">
        <v>28034</v>
      </c>
      <c r="U1462" t="s">
        <v>178</v>
      </c>
      <c r="V1462" t="s">
        <v>42</v>
      </c>
      <c r="W1462" t="s">
        <v>179</v>
      </c>
      <c r="X1462" t="s">
        <v>180</v>
      </c>
      <c r="Y1462" t="s">
        <v>36</v>
      </c>
    </row>
    <row r="1463" spans="1:25" x14ac:dyDescent="0.25">
      <c r="A1463">
        <v>10371</v>
      </c>
      <c r="B1463">
        <v>25</v>
      </c>
      <c r="C1463">
        <v>97.27</v>
      </c>
      <c r="D1463">
        <v>12</v>
      </c>
      <c r="E1463">
        <v>2431.75</v>
      </c>
      <c r="F1463" s="1">
        <v>38375</v>
      </c>
      <c r="G1463" t="s">
        <v>25</v>
      </c>
      <c r="H1463">
        <v>1</v>
      </c>
      <c r="I1463">
        <v>1</v>
      </c>
      <c r="J1463">
        <v>2005</v>
      </c>
      <c r="K1463" t="s">
        <v>181</v>
      </c>
      <c r="L1463">
        <v>57</v>
      </c>
      <c r="M1463" t="s">
        <v>621</v>
      </c>
      <c r="N1463" t="s">
        <v>272</v>
      </c>
      <c r="O1463">
        <v>4155551450</v>
      </c>
      <c r="P1463" t="s">
        <v>273</v>
      </c>
      <c r="R1463" t="s">
        <v>274</v>
      </c>
      <c r="S1463" t="s">
        <v>55</v>
      </c>
      <c r="T1463">
        <v>97562</v>
      </c>
      <c r="U1463" t="s">
        <v>32</v>
      </c>
      <c r="V1463" t="s">
        <v>33</v>
      </c>
      <c r="W1463" t="s">
        <v>275</v>
      </c>
      <c r="X1463" t="s">
        <v>276</v>
      </c>
      <c r="Y1463" t="s">
        <v>36</v>
      </c>
    </row>
    <row r="1464" spans="1:25" x14ac:dyDescent="0.25">
      <c r="A1464">
        <v>10383</v>
      </c>
      <c r="B1464">
        <v>22</v>
      </c>
      <c r="C1464">
        <v>91.76</v>
      </c>
      <c r="D1464">
        <v>2</v>
      </c>
      <c r="E1464">
        <v>2018.72</v>
      </c>
      <c r="F1464" s="1">
        <v>38405</v>
      </c>
      <c r="G1464" t="s">
        <v>25</v>
      </c>
      <c r="H1464">
        <v>1</v>
      </c>
      <c r="I1464">
        <v>2</v>
      </c>
      <c r="J1464">
        <v>2005</v>
      </c>
      <c r="K1464" t="s">
        <v>181</v>
      </c>
      <c r="L1464">
        <v>57</v>
      </c>
      <c r="M1464" t="s">
        <v>621</v>
      </c>
      <c r="N1464" t="s">
        <v>174</v>
      </c>
      <c r="O1464" t="s">
        <v>175</v>
      </c>
      <c r="P1464" t="s">
        <v>176</v>
      </c>
      <c r="R1464" t="s">
        <v>177</v>
      </c>
      <c r="T1464">
        <v>28034</v>
      </c>
      <c r="U1464" t="s">
        <v>178</v>
      </c>
      <c r="V1464" t="s">
        <v>42</v>
      </c>
      <c r="W1464" t="s">
        <v>179</v>
      </c>
      <c r="X1464" t="s">
        <v>180</v>
      </c>
      <c r="Y1464" t="s">
        <v>36</v>
      </c>
    </row>
    <row r="1465" spans="1:25" x14ac:dyDescent="0.25">
      <c r="A1465">
        <v>10394</v>
      </c>
      <c r="B1465">
        <v>31</v>
      </c>
      <c r="C1465">
        <v>50.29</v>
      </c>
      <c r="D1465">
        <v>2</v>
      </c>
      <c r="E1465">
        <v>1558.99</v>
      </c>
      <c r="F1465" s="1">
        <v>38426</v>
      </c>
      <c r="G1465" t="s">
        <v>25</v>
      </c>
      <c r="H1465">
        <v>1</v>
      </c>
      <c r="I1465">
        <v>3</v>
      </c>
      <c r="J1465">
        <v>2005</v>
      </c>
      <c r="K1465" t="s">
        <v>181</v>
      </c>
      <c r="L1465">
        <v>57</v>
      </c>
      <c r="M1465" t="s">
        <v>621</v>
      </c>
      <c r="N1465" t="s">
        <v>174</v>
      </c>
      <c r="O1465" t="s">
        <v>175</v>
      </c>
      <c r="P1465" t="s">
        <v>176</v>
      </c>
      <c r="R1465" t="s">
        <v>177</v>
      </c>
      <c r="T1465">
        <v>28034</v>
      </c>
      <c r="U1465" t="s">
        <v>178</v>
      </c>
      <c r="V1465" t="s">
        <v>42</v>
      </c>
      <c r="W1465" t="s">
        <v>179</v>
      </c>
      <c r="X1465" t="s">
        <v>180</v>
      </c>
      <c r="Y1465" t="s">
        <v>36</v>
      </c>
    </row>
    <row r="1466" spans="1:25" x14ac:dyDescent="0.25">
      <c r="A1466">
        <v>10412</v>
      </c>
      <c r="B1466">
        <v>21</v>
      </c>
      <c r="C1466">
        <v>52.6</v>
      </c>
      <c r="D1466">
        <v>2</v>
      </c>
      <c r="E1466">
        <v>1104.5999999999999</v>
      </c>
      <c r="F1466" s="1">
        <v>38475</v>
      </c>
      <c r="G1466" t="s">
        <v>25</v>
      </c>
      <c r="H1466">
        <v>2</v>
      </c>
      <c r="I1466">
        <v>5</v>
      </c>
      <c r="J1466">
        <v>2005</v>
      </c>
      <c r="K1466" t="s">
        <v>181</v>
      </c>
      <c r="L1466">
        <v>57</v>
      </c>
      <c r="M1466" t="s">
        <v>621</v>
      </c>
      <c r="N1466" t="s">
        <v>174</v>
      </c>
      <c r="O1466" t="s">
        <v>175</v>
      </c>
      <c r="P1466" t="s">
        <v>176</v>
      </c>
      <c r="R1466" t="s">
        <v>177</v>
      </c>
      <c r="T1466">
        <v>28034</v>
      </c>
      <c r="U1466" t="s">
        <v>178</v>
      </c>
      <c r="V1466" t="s">
        <v>42</v>
      </c>
      <c r="W1466" t="s">
        <v>179</v>
      </c>
      <c r="X1466" t="s">
        <v>180</v>
      </c>
      <c r="Y1466" t="s">
        <v>36</v>
      </c>
    </row>
    <row r="1467" spans="1:25" x14ac:dyDescent="0.25">
      <c r="A1467">
        <v>10425</v>
      </c>
      <c r="B1467">
        <v>55</v>
      </c>
      <c r="C1467">
        <v>46.82</v>
      </c>
      <c r="D1467">
        <v>1</v>
      </c>
      <c r="E1467">
        <v>2575.1</v>
      </c>
      <c r="F1467" s="1">
        <v>38503</v>
      </c>
      <c r="G1467" t="s">
        <v>300</v>
      </c>
      <c r="H1467">
        <v>2</v>
      </c>
      <c r="I1467">
        <v>5</v>
      </c>
      <c r="J1467">
        <v>2005</v>
      </c>
      <c r="K1467" t="s">
        <v>181</v>
      </c>
      <c r="L1467">
        <v>57</v>
      </c>
      <c r="M1467" t="s">
        <v>621</v>
      </c>
      <c r="N1467" t="s">
        <v>114</v>
      </c>
      <c r="O1467" t="s">
        <v>115</v>
      </c>
      <c r="P1467" t="s">
        <v>116</v>
      </c>
      <c r="R1467" t="s">
        <v>117</v>
      </c>
      <c r="T1467">
        <v>44000</v>
      </c>
      <c r="U1467" t="s">
        <v>41</v>
      </c>
      <c r="V1467" t="s">
        <v>42</v>
      </c>
      <c r="W1467" t="s">
        <v>118</v>
      </c>
      <c r="X1467" t="s">
        <v>119</v>
      </c>
      <c r="Y1467" t="s">
        <v>36</v>
      </c>
    </row>
    <row r="1468" spans="1:25" x14ac:dyDescent="0.25">
      <c r="A1468">
        <v>10107</v>
      </c>
      <c r="B1468">
        <v>25</v>
      </c>
      <c r="C1468">
        <v>100</v>
      </c>
      <c r="D1468">
        <v>3</v>
      </c>
      <c r="E1468">
        <v>2845.75</v>
      </c>
      <c r="F1468" s="1">
        <v>37676</v>
      </c>
      <c r="G1468" t="s">
        <v>25</v>
      </c>
      <c r="H1468">
        <v>1</v>
      </c>
      <c r="I1468">
        <v>2</v>
      </c>
      <c r="J1468">
        <v>2003</v>
      </c>
      <c r="K1468" t="s">
        <v>26</v>
      </c>
      <c r="L1468">
        <v>112</v>
      </c>
      <c r="M1468" t="s">
        <v>622</v>
      </c>
      <c r="N1468" t="s">
        <v>28</v>
      </c>
      <c r="O1468">
        <v>2125557818</v>
      </c>
      <c r="P1468" t="s">
        <v>29</v>
      </c>
      <c r="R1468" t="s">
        <v>30</v>
      </c>
      <c r="S1468" t="s">
        <v>31</v>
      </c>
      <c r="T1468">
        <v>10022</v>
      </c>
      <c r="U1468" t="s">
        <v>32</v>
      </c>
      <c r="V1468" t="s">
        <v>33</v>
      </c>
      <c r="W1468" t="s">
        <v>34</v>
      </c>
      <c r="X1468" t="s">
        <v>35</v>
      </c>
      <c r="Y1468" t="s">
        <v>36</v>
      </c>
    </row>
    <row r="1469" spans="1:25" x14ac:dyDescent="0.25">
      <c r="A1469">
        <v>10120</v>
      </c>
      <c r="B1469">
        <v>35</v>
      </c>
      <c r="C1469">
        <v>98.05</v>
      </c>
      <c r="D1469">
        <v>1</v>
      </c>
      <c r="E1469">
        <v>3431.75</v>
      </c>
      <c r="F1469" s="1">
        <v>37740</v>
      </c>
      <c r="G1469" t="s">
        <v>25</v>
      </c>
      <c r="H1469">
        <v>2</v>
      </c>
      <c r="I1469">
        <v>4</v>
      </c>
      <c r="J1469">
        <v>2003</v>
      </c>
      <c r="K1469" t="s">
        <v>26</v>
      </c>
      <c r="L1469">
        <v>112</v>
      </c>
      <c r="M1469" t="s">
        <v>622</v>
      </c>
      <c r="N1469" t="s">
        <v>89</v>
      </c>
      <c r="O1469" t="s">
        <v>90</v>
      </c>
      <c r="P1469" t="s">
        <v>91</v>
      </c>
      <c r="Q1469" t="s">
        <v>92</v>
      </c>
      <c r="R1469" t="s">
        <v>93</v>
      </c>
      <c r="S1469" t="s">
        <v>94</v>
      </c>
      <c r="T1469">
        <v>3004</v>
      </c>
      <c r="U1469" t="s">
        <v>95</v>
      </c>
      <c r="V1469" t="s">
        <v>96</v>
      </c>
      <c r="W1469" t="s">
        <v>97</v>
      </c>
      <c r="X1469" t="s">
        <v>98</v>
      </c>
      <c r="Y1469" t="s">
        <v>51</v>
      </c>
    </row>
    <row r="1470" spans="1:25" x14ac:dyDescent="0.25">
      <c r="A1470">
        <v>10134</v>
      </c>
      <c r="B1470">
        <v>35</v>
      </c>
      <c r="C1470">
        <v>93.54</v>
      </c>
      <c r="D1470">
        <v>3</v>
      </c>
      <c r="E1470">
        <v>3273.9</v>
      </c>
      <c r="F1470" s="1">
        <v>37803</v>
      </c>
      <c r="G1470" t="s">
        <v>25</v>
      </c>
      <c r="H1470">
        <v>3</v>
      </c>
      <c r="I1470">
        <v>7</v>
      </c>
      <c r="J1470">
        <v>2003</v>
      </c>
      <c r="K1470" t="s">
        <v>26</v>
      </c>
      <c r="L1470">
        <v>112</v>
      </c>
      <c r="M1470" t="s">
        <v>622</v>
      </c>
      <c r="N1470" t="s">
        <v>45</v>
      </c>
      <c r="O1470" t="s">
        <v>46</v>
      </c>
      <c r="P1470" t="s">
        <v>47</v>
      </c>
      <c r="R1470" t="s">
        <v>48</v>
      </c>
      <c r="T1470">
        <v>75508</v>
      </c>
      <c r="U1470" t="s">
        <v>41</v>
      </c>
      <c r="V1470" t="s">
        <v>42</v>
      </c>
      <c r="W1470" t="s">
        <v>49</v>
      </c>
      <c r="X1470" t="s">
        <v>50</v>
      </c>
      <c r="Y1470" t="s">
        <v>51</v>
      </c>
    </row>
    <row r="1471" spans="1:25" x14ac:dyDescent="0.25">
      <c r="A1471">
        <v>10145</v>
      </c>
      <c r="B1471">
        <v>43</v>
      </c>
      <c r="C1471">
        <v>95.8</v>
      </c>
      <c r="D1471">
        <v>7</v>
      </c>
      <c r="E1471">
        <v>4119.3999999999996</v>
      </c>
      <c r="F1471" s="1">
        <v>37858</v>
      </c>
      <c r="G1471" t="s">
        <v>25</v>
      </c>
      <c r="H1471">
        <v>3</v>
      </c>
      <c r="I1471">
        <v>8</v>
      </c>
      <c r="J1471">
        <v>2003</v>
      </c>
      <c r="K1471" t="s">
        <v>26</v>
      </c>
      <c r="L1471">
        <v>112</v>
      </c>
      <c r="M1471" t="s">
        <v>622</v>
      </c>
      <c r="N1471" t="s">
        <v>52</v>
      </c>
      <c r="O1471">
        <v>6265557265</v>
      </c>
      <c r="P1471" t="s">
        <v>53</v>
      </c>
      <c r="R1471" t="s">
        <v>54</v>
      </c>
      <c r="S1471" t="s">
        <v>55</v>
      </c>
      <c r="T1471">
        <v>90003</v>
      </c>
      <c r="U1471" t="s">
        <v>32</v>
      </c>
      <c r="V1471" t="s">
        <v>33</v>
      </c>
      <c r="W1471" t="s">
        <v>56</v>
      </c>
      <c r="X1471" t="s">
        <v>57</v>
      </c>
      <c r="Y1471" t="s">
        <v>51</v>
      </c>
    </row>
    <row r="1472" spans="1:25" x14ac:dyDescent="0.25">
      <c r="A1472">
        <v>10159</v>
      </c>
      <c r="B1472">
        <v>44</v>
      </c>
      <c r="C1472">
        <v>100</v>
      </c>
      <c r="D1472">
        <v>15</v>
      </c>
      <c r="E1472">
        <v>5355.68</v>
      </c>
      <c r="F1472" s="1">
        <v>37904</v>
      </c>
      <c r="G1472" t="s">
        <v>25</v>
      </c>
      <c r="H1472">
        <v>4</v>
      </c>
      <c r="I1472">
        <v>10</v>
      </c>
      <c r="J1472">
        <v>2003</v>
      </c>
      <c r="K1472" t="s">
        <v>26</v>
      </c>
      <c r="L1472">
        <v>112</v>
      </c>
      <c r="M1472" t="s">
        <v>622</v>
      </c>
      <c r="N1472" t="s">
        <v>58</v>
      </c>
      <c r="O1472">
        <v>6505551386</v>
      </c>
      <c r="P1472" t="s">
        <v>59</v>
      </c>
      <c r="R1472" t="s">
        <v>60</v>
      </c>
      <c r="S1472" t="s">
        <v>55</v>
      </c>
      <c r="U1472" t="s">
        <v>32</v>
      </c>
      <c r="V1472" t="s">
        <v>33</v>
      </c>
      <c r="W1472" t="s">
        <v>61</v>
      </c>
      <c r="X1472" t="s">
        <v>57</v>
      </c>
      <c r="Y1472" t="s">
        <v>51</v>
      </c>
    </row>
    <row r="1473" spans="1:25" x14ac:dyDescent="0.25">
      <c r="A1473">
        <v>10168</v>
      </c>
      <c r="B1473">
        <v>50</v>
      </c>
      <c r="C1473">
        <v>100</v>
      </c>
      <c r="D1473">
        <v>2</v>
      </c>
      <c r="E1473">
        <v>5747.5</v>
      </c>
      <c r="F1473" s="1">
        <v>37922</v>
      </c>
      <c r="G1473" t="s">
        <v>25</v>
      </c>
      <c r="H1473">
        <v>4</v>
      </c>
      <c r="I1473">
        <v>10</v>
      </c>
      <c r="J1473">
        <v>2003</v>
      </c>
      <c r="K1473" t="s">
        <v>26</v>
      </c>
      <c r="L1473">
        <v>112</v>
      </c>
      <c r="M1473" t="s">
        <v>622</v>
      </c>
      <c r="N1473" t="s">
        <v>62</v>
      </c>
      <c r="O1473">
        <v>6505556809</v>
      </c>
      <c r="P1473" t="s">
        <v>63</v>
      </c>
      <c r="R1473" t="s">
        <v>64</v>
      </c>
      <c r="S1473" t="s">
        <v>55</v>
      </c>
      <c r="T1473">
        <v>94217</v>
      </c>
      <c r="U1473" t="s">
        <v>32</v>
      </c>
      <c r="V1473" t="s">
        <v>33</v>
      </c>
      <c r="W1473" t="s">
        <v>65</v>
      </c>
      <c r="X1473" t="s">
        <v>66</v>
      </c>
      <c r="Y1473" t="s">
        <v>51</v>
      </c>
    </row>
    <row r="1474" spans="1:25" x14ac:dyDescent="0.25">
      <c r="A1474">
        <v>10180</v>
      </c>
      <c r="B1474">
        <v>48</v>
      </c>
      <c r="C1474">
        <v>100</v>
      </c>
      <c r="D1474">
        <v>10</v>
      </c>
      <c r="E1474">
        <v>5355.36</v>
      </c>
      <c r="F1474" s="1">
        <v>37936</v>
      </c>
      <c r="G1474" t="s">
        <v>25</v>
      </c>
      <c r="H1474">
        <v>4</v>
      </c>
      <c r="I1474">
        <v>11</v>
      </c>
      <c r="J1474">
        <v>2003</v>
      </c>
      <c r="K1474" t="s">
        <v>26</v>
      </c>
      <c r="L1474">
        <v>112</v>
      </c>
      <c r="M1474" t="s">
        <v>622</v>
      </c>
      <c r="N1474" t="s">
        <v>67</v>
      </c>
      <c r="O1474" t="s">
        <v>68</v>
      </c>
      <c r="P1474" t="s">
        <v>69</v>
      </c>
      <c r="R1474" t="s">
        <v>70</v>
      </c>
      <c r="T1474">
        <v>59000</v>
      </c>
      <c r="U1474" t="s">
        <v>41</v>
      </c>
      <c r="V1474" t="s">
        <v>42</v>
      </c>
      <c r="W1474" t="s">
        <v>71</v>
      </c>
      <c r="X1474" t="s">
        <v>72</v>
      </c>
      <c r="Y1474" t="s">
        <v>51</v>
      </c>
    </row>
    <row r="1475" spans="1:25" x14ac:dyDescent="0.25">
      <c r="A1475">
        <v>10188</v>
      </c>
      <c r="B1475">
        <v>25</v>
      </c>
      <c r="C1475">
        <v>100</v>
      </c>
      <c r="D1475">
        <v>2</v>
      </c>
      <c r="E1475">
        <v>2535.75</v>
      </c>
      <c r="F1475" s="1">
        <v>37943</v>
      </c>
      <c r="G1475" t="s">
        <v>25</v>
      </c>
      <c r="H1475">
        <v>4</v>
      </c>
      <c r="I1475">
        <v>11</v>
      </c>
      <c r="J1475">
        <v>2003</v>
      </c>
      <c r="K1475" t="s">
        <v>26</v>
      </c>
      <c r="L1475">
        <v>112</v>
      </c>
      <c r="M1475" t="s">
        <v>622</v>
      </c>
      <c r="N1475" t="s">
        <v>73</v>
      </c>
      <c r="O1475" t="s">
        <v>74</v>
      </c>
      <c r="P1475" t="s">
        <v>75</v>
      </c>
      <c r="R1475" t="s">
        <v>76</v>
      </c>
      <c r="T1475" t="s">
        <v>77</v>
      </c>
      <c r="U1475" t="s">
        <v>78</v>
      </c>
      <c r="V1475" t="s">
        <v>42</v>
      </c>
      <c r="W1475" t="s">
        <v>79</v>
      </c>
      <c r="X1475" t="s">
        <v>80</v>
      </c>
      <c r="Y1475" t="s">
        <v>36</v>
      </c>
    </row>
    <row r="1476" spans="1:25" x14ac:dyDescent="0.25">
      <c r="A1476">
        <v>10201</v>
      </c>
      <c r="B1476">
        <v>39</v>
      </c>
      <c r="C1476">
        <v>100</v>
      </c>
      <c r="D1476">
        <v>3</v>
      </c>
      <c r="E1476">
        <v>4351.2299999999996</v>
      </c>
      <c r="F1476" s="1">
        <v>37956</v>
      </c>
      <c r="G1476" t="s">
        <v>25</v>
      </c>
      <c r="H1476">
        <v>4</v>
      </c>
      <c r="I1476">
        <v>12</v>
      </c>
      <c r="J1476">
        <v>2003</v>
      </c>
      <c r="K1476" t="s">
        <v>26</v>
      </c>
      <c r="L1476">
        <v>112</v>
      </c>
      <c r="M1476" t="s">
        <v>622</v>
      </c>
      <c r="N1476" t="s">
        <v>81</v>
      </c>
      <c r="O1476">
        <v>6505555787</v>
      </c>
      <c r="P1476" t="s">
        <v>82</v>
      </c>
      <c r="R1476" t="s">
        <v>60</v>
      </c>
      <c r="S1476" t="s">
        <v>55</v>
      </c>
      <c r="U1476" t="s">
        <v>32</v>
      </c>
      <c r="V1476" t="s">
        <v>33</v>
      </c>
      <c r="W1476" t="s">
        <v>83</v>
      </c>
      <c r="X1476" t="s">
        <v>57</v>
      </c>
      <c r="Y1476" t="s">
        <v>51</v>
      </c>
    </row>
    <row r="1477" spans="1:25" x14ac:dyDescent="0.25">
      <c r="A1477">
        <v>10211</v>
      </c>
      <c r="B1477">
        <v>25</v>
      </c>
      <c r="C1477">
        <v>90.16</v>
      </c>
      <c r="D1477">
        <v>15</v>
      </c>
      <c r="E1477">
        <v>2254</v>
      </c>
      <c r="F1477" s="1">
        <v>38001</v>
      </c>
      <c r="G1477" t="s">
        <v>25</v>
      </c>
      <c r="H1477">
        <v>1</v>
      </c>
      <c r="I1477">
        <v>1</v>
      </c>
      <c r="J1477">
        <v>2004</v>
      </c>
      <c r="K1477" t="s">
        <v>26</v>
      </c>
      <c r="L1477">
        <v>112</v>
      </c>
      <c r="M1477" t="s">
        <v>622</v>
      </c>
      <c r="N1477" t="s">
        <v>84</v>
      </c>
      <c r="O1477" t="s">
        <v>85</v>
      </c>
      <c r="P1477" t="s">
        <v>86</v>
      </c>
      <c r="R1477" t="s">
        <v>48</v>
      </c>
      <c r="T1477">
        <v>75016</v>
      </c>
      <c r="U1477" t="s">
        <v>41</v>
      </c>
      <c r="V1477" t="s">
        <v>42</v>
      </c>
      <c r="W1477" t="s">
        <v>87</v>
      </c>
      <c r="X1477" t="s">
        <v>88</v>
      </c>
      <c r="Y1477" t="s">
        <v>36</v>
      </c>
    </row>
    <row r="1478" spans="1:25" x14ac:dyDescent="0.25">
      <c r="A1478">
        <v>10223</v>
      </c>
      <c r="B1478">
        <v>32</v>
      </c>
      <c r="C1478">
        <v>91.29</v>
      </c>
      <c r="D1478">
        <v>2</v>
      </c>
      <c r="E1478">
        <v>2921.28</v>
      </c>
      <c r="F1478" s="1">
        <v>38037</v>
      </c>
      <c r="G1478" t="s">
        <v>25</v>
      </c>
      <c r="H1478">
        <v>1</v>
      </c>
      <c r="I1478">
        <v>2</v>
      </c>
      <c r="J1478">
        <v>2004</v>
      </c>
      <c r="K1478" t="s">
        <v>26</v>
      </c>
      <c r="L1478">
        <v>112</v>
      </c>
      <c r="M1478" t="s">
        <v>622</v>
      </c>
      <c r="N1478" t="s">
        <v>89</v>
      </c>
      <c r="O1478" t="s">
        <v>90</v>
      </c>
      <c r="P1478" t="s">
        <v>91</v>
      </c>
      <c r="Q1478" t="s">
        <v>92</v>
      </c>
      <c r="R1478" t="s">
        <v>93</v>
      </c>
      <c r="S1478" t="s">
        <v>94</v>
      </c>
      <c r="T1478">
        <v>3004</v>
      </c>
      <c r="U1478" t="s">
        <v>95</v>
      </c>
      <c r="V1478" t="s">
        <v>96</v>
      </c>
      <c r="W1478" t="s">
        <v>97</v>
      </c>
      <c r="X1478" t="s">
        <v>98</v>
      </c>
      <c r="Y1478" t="s">
        <v>36</v>
      </c>
    </row>
    <row r="1479" spans="1:25" x14ac:dyDescent="0.25">
      <c r="A1479">
        <v>10237</v>
      </c>
      <c r="B1479">
        <v>20</v>
      </c>
      <c r="C1479">
        <v>100</v>
      </c>
      <c r="D1479">
        <v>8</v>
      </c>
      <c r="E1479">
        <v>2299</v>
      </c>
      <c r="F1479" s="1">
        <v>38082</v>
      </c>
      <c r="G1479" t="s">
        <v>25</v>
      </c>
      <c r="H1479">
        <v>2</v>
      </c>
      <c r="I1479">
        <v>4</v>
      </c>
      <c r="J1479">
        <v>2004</v>
      </c>
      <c r="K1479" t="s">
        <v>26</v>
      </c>
      <c r="L1479">
        <v>112</v>
      </c>
      <c r="M1479" t="s">
        <v>622</v>
      </c>
      <c r="N1479" t="s">
        <v>99</v>
      </c>
      <c r="O1479">
        <v>2125551500</v>
      </c>
      <c r="P1479" t="s">
        <v>100</v>
      </c>
      <c r="Q1479" t="s">
        <v>101</v>
      </c>
      <c r="R1479" t="s">
        <v>30</v>
      </c>
      <c r="S1479" t="s">
        <v>31</v>
      </c>
      <c r="T1479">
        <v>10022</v>
      </c>
      <c r="U1479" t="s">
        <v>32</v>
      </c>
      <c r="V1479" t="s">
        <v>33</v>
      </c>
      <c r="W1479" t="s">
        <v>102</v>
      </c>
      <c r="X1479" t="s">
        <v>103</v>
      </c>
      <c r="Y1479" t="s">
        <v>36</v>
      </c>
    </row>
    <row r="1480" spans="1:25" x14ac:dyDescent="0.25">
      <c r="A1480">
        <v>10251</v>
      </c>
      <c r="B1480">
        <v>26</v>
      </c>
      <c r="C1480">
        <v>100</v>
      </c>
      <c r="D1480">
        <v>3</v>
      </c>
      <c r="E1480">
        <v>2637.18</v>
      </c>
      <c r="F1480" s="1">
        <v>38125</v>
      </c>
      <c r="G1480" t="s">
        <v>25</v>
      </c>
      <c r="H1480">
        <v>2</v>
      </c>
      <c r="I1480">
        <v>5</v>
      </c>
      <c r="J1480">
        <v>2004</v>
      </c>
      <c r="K1480" t="s">
        <v>26</v>
      </c>
      <c r="L1480">
        <v>112</v>
      </c>
      <c r="M1480" t="s">
        <v>622</v>
      </c>
      <c r="N1480" t="s">
        <v>104</v>
      </c>
      <c r="O1480">
        <v>2015559350</v>
      </c>
      <c r="P1480" t="s">
        <v>105</v>
      </c>
      <c r="R1480" t="s">
        <v>106</v>
      </c>
      <c r="S1480" t="s">
        <v>107</v>
      </c>
      <c r="T1480">
        <v>94019</v>
      </c>
      <c r="U1480" t="s">
        <v>32</v>
      </c>
      <c r="V1480" t="s">
        <v>33</v>
      </c>
      <c r="W1480" t="s">
        <v>61</v>
      </c>
      <c r="X1480" t="s">
        <v>108</v>
      </c>
      <c r="Y1480" t="s">
        <v>36</v>
      </c>
    </row>
    <row r="1481" spans="1:25" x14ac:dyDescent="0.25">
      <c r="A1481">
        <v>10263</v>
      </c>
      <c r="B1481">
        <v>42</v>
      </c>
      <c r="C1481">
        <v>100</v>
      </c>
      <c r="D1481">
        <v>3</v>
      </c>
      <c r="E1481">
        <v>4307.5200000000004</v>
      </c>
      <c r="F1481" s="1">
        <v>38166</v>
      </c>
      <c r="G1481" t="s">
        <v>25</v>
      </c>
      <c r="H1481">
        <v>2</v>
      </c>
      <c r="I1481">
        <v>6</v>
      </c>
      <c r="J1481">
        <v>2004</v>
      </c>
      <c r="K1481" t="s">
        <v>26</v>
      </c>
      <c r="L1481">
        <v>112</v>
      </c>
      <c r="M1481" t="s">
        <v>622</v>
      </c>
      <c r="N1481" t="s">
        <v>109</v>
      </c>
      <c r="O1481">
        <v>2035552570</v>
      </c>
      <c r="P1481" t="s">
        <v>110</v>
      </c>
      <c r="R1481" t="s">
        <v>111</v>
      </c>
      <c r="S1481" t="s">
        <v>112</v>
      </c>
      <c r="T1481">
        <v>97562</v>
      </c>
      <c r="U1481" t="s">
        <v>32</v>
      </c>
      <c r="V1481" t="s">
        <v>33</v>
      </c>
      <c r="W1481" t="s">
        <v>113</v>
      </c>
      <c r="X1481" t="s">
        <v>57</v>
      </c>
      <c r="Y1481" t="s">
        <v>51</v>
      </c>
    </row>
    <row r="1482" spans="1:25" x14ac:dyDescent="0.25">
      <c r="A1482">
        <v>10275</v>
      </c>
      <c r="B1482">
        <v>21</v>
      </c>
      <c r="C1482">
        <v>100</v>
      </c>
      <c r="D1482">
        <v>2</v>
      </c>
      <c r="E1482">
        <v>2153.7600000000002</v>
      </c>
      <c r="F1482" s="1">
        <v>38191</v>
      </c>
      <c r="G1482" t="s">
        <v>25</v>
      </c>
      <c r="H1482">
        <v>3</v>
      </c>
      <c r="I1482">
        <v>7</v>
      </c>
      <c r="J1482">
        <v>2004</v>
      </c>
      <c r="K1482" t="s">
        <v>26</v>
      </c>
      <c r="L1482">
        <v>112</v>
      </c>
      <c r="M1482" t="s">
        <v>622</v>
      </c>
      <c r="N1482" t="s">
        <v>114</v>
      </c>
      <c r="O1482" t="s">
        <v>115</v>
      </c>
      <c r="P1482" t="s">
        <v>116</v>
      </c>
      <c r="R1482" t="s">
        <v>117</v>
      </c>
      <c r="T1482">
        <v>44000</v>
      </c>
      <c r="U1482" t="s">
        <v>41</v>
      </c>
      <c r="V1482" t="s">
        <v>42</v>
      </c>
      <c r="W1482" t="s">
        <v>118</v>
      </c>
      <c r="X1482" t="s">
        <v>119</v>
      </c>
      <c r="Y1482" t="s">
        <v>36</v>
      </c>
    </row>
    <row r="1483" spans="1:25" x14ac:dyDescent="0.25">
      <c r="A1483">
        <v>10285</v>
      </c>
      <c r="B1483">
        <v>34</v>
      </c>
      <c r="C1483">
        <v>100</v>
      </c>
      <c r="D1483">
        <v>7</v>
      </c>
      <c r="E1483">
        <v>3716.88</v>
      </c>
      <c r="F1483" s="1">
        <v>38226</v>
      </c>
      <c r="G1483" t="s">
        <v>25</v>
      </c>
      <c r="H1483">
        <v>3</v>
      </c>
      <c r="I1483">
        <v>8</v>
      </c>
      <c r="J1483">
        <v>2004</v>
      </c>
      <c r="K1483" t="s">
        <v>26</v>
      </c>
      <c r="L1483">
        <v>112</v>
      </c>
      <c r="M1483" t="s">
        <v>622</v>
      </c>
      <c r="N1483" t="s">
        <v>120</v>
      </c>
      <c r="O1483">
        <v>6175558555</v>
      </c>
      <c r="P1483" t="s">
        <v>121</v>
      </c>
      <c r="R1483" t="s">
        <v>122</v>
      </c>
      <c r="S1483" t="s">
        <v>123</v>
      </c>
      <c r="T1483">
        <v>51247</v>
      </c>
      <c r="U1483" t="s">
        <v>32</v>
      </c>
      <c r="V1483" t="s">
        <v>33</v>
      </c>
      <c r="W1483" t="s">
        <v>124</v>
      </c>
      <c r="X1483" t="s">
        <v>125</v>
      </c>
      <c r="Y1483" t="s">
        <v>51</v>
      </c>
    </row>
    <row r="1484" spans="1:25" x14ac:dyDescent="0.25">
      <c r="A1484">
        <v>10299</v>
      </c>
      <c r="B1484">
        <v>47</v>
      </c>
      <c r="C1484">
        <v>100</v>
      </c>
      <c r="D1484">
        <v>10</v>
      </c>
      <c r="E1484">
        <v>5455.76</v>
      </c>
      <c r="F1484" s="1">
        <v>38260</v>
      </c>
      <c r="G1484" t="s">
        <v>25</v>
      </c>
      <c r="H1484">
        <v>3</v>
      </c>
      <c r="I1484">
        <v>9</v>
      </c>
      <c r="J1484">
        <v>2004</v>
      </c>
      <c r="K1484" t="s">
        <v>26</v>
      </c>
      <c r="L1484">
        <v>112</v>
      </c>
      <c r="M1484" t="s">
        <v>622</v>
      </c>
      <c r="N1484" t="s">
        <v>126</v>
      </c>
      <c r="O1484" t="s">
        <v>127</v>
      </c>
      <c r="P1484" t="s">
        <v>128</v>
      </c>
      <c r="R1484" t="s">
        <v>129</v>
      </c>
      <c r="T1484">
        <v>21240</v>
      </c>
      <c r="U1484" t="s">
        <v>130</v>
      </c>
      <c r="V1484" t="s">
        <v>42</v>
      </c>
      <c r="W1484" t="s">
        <v>131</v>
      </c>
      <c r="X1484" t="s">
        <v>132</v>
      </c>
      <c r="Y1484" t="s">
        <v>51</v>
      </c>
    </row>
    <row r="1485" spans="1:25" x14ac:dyDescent="0.25">
      <c r="A1485">
        <v>10309</v>
      </c>
      <c r="B1485">
        <v>21</v>
      </c>
      <c r="C1485">
        <v>100</v>
      </c>
      <c r="D1485">
        <v>6</v>
      </c>
      <c r="E1485">
        <v>2650.62</v>
      </c>
      <c r="F1485" s="1">
        <v>38275</v>
      </c>
      <c r="G1485" t="s">
        <v>25</v>
      </c>
      <c r="H1485">
        <v>4</v>
      </c>
      <c r="I1485">
        <v>10</v>
      </c>
      <c r="J1485">
        <v>2004</v>
      </c>
      <c r="K1485" t="s">
        <v>26</v>
      </c>
      <c r="L1485">
        <v>112</v>
      </c>
      <c r="M1485" t="s">
        <v>622</v>
      </c>
      <c r="N1485" t="s">
        <v>133</v>
      </c>
      <c r="O1485" t="s">
        <v>134</v>
      </c>
      <c r="P1485" t="s">
        <v>135</v>
      </c>
      <c r="R1485" t="s">
        <v>136</v>
      </c>
      <c r="T1485">
        <v>4110</v>
      </c>
      <c r="U1485" t="s">
        <v>78</v>
      </c>
      <c r="V1485" t="s">
        <v>42</v>
      </c>
      <c r="W1485" t="s">
        <v>137</v>
      </c>
      <c r="X1485" t="s">
        <v>138</v>
      </c>
      <c r="Y1485" t="s">
        <v>36</v>
      </c>
    </row>
    <row r="1486" spans="1:25" x14ac:dyDescent="0.25">
      <c r="A1486">
        <v>10318</v>
      </c>
      <c r="B1486">
        <v>48</v>
      </c>
      <c r="C1486">
        <v>100</v>
      </c>
      <c r="D1486">
        <v>2</v>
      </c>
      <c r="E1486">
        <v>6437.28</v>
      </c>
      <c r="F1486" s="1">
        <v>38293</v>
      </c>
      <c r="G1486" t="s">
        <v>25</v>
      </c>
      <c r="H1486">
        <v>4</v>
      </c>
      <c r="I1486">
        <v>11</v>
      </c>
      <c r="J1486">
        <v>2004</v>
      </c>
      <c r="K1486" t="s">
        <v>26</v>
      </c>
      <c r="L1486">
        <v>112</v>
      </c>
      <c r="M1486" t="s">
        <v>622</v>
      </c>
      <c r="N1486" t="s">
        <v>139</v>
      </c>
      <c r="O1486">
        <v>2155551555</v>
      </c>
      <c r="P1486" t="s">
        <v>140</v>
      </c>
      <c r="R1486" t="s">
        <v>141</v>
      </c>
      <c r="S1486" t="s">
        <v>142</v>
      </c>
      <c r="T1486">
        <v>70267</v>
      </c>
      <c r="U1486" t="s">
        <v>32</v>
      </c>
      <c r="V1486" t="s">
        <v>33</v>
      </c>
      <c r="W1486" t="s">
        <v>34</v>
      </c>
      <c r="X1486" t="s">
        <v>143</v>
      </c>
      <c r="Y1486" t="s">
        <v>51</v>
      </c>
    </row>
    <row r="1487" spans="1:25" x14ac:dyDescent="0.25">
      <c r="A1487">
        <v>10329</v>
      </c>
      <c r="B1487">
        <v>30</v>
      </c>
      <c r="C1487">
        <v>87.78</v>
      </c>
      <c r="D1487">
        <v>7</v>
      </c>
      <c r="E1487">
        <v>2633.4</v>
      </c>
      <c r="F1487" s="1">
        <v>38306</v>
      </c>
      <c r="G1487" t="s">
        <v>25</v>
      </c>
      <c r="H1487">
        <v>4</v>
      </c>
      <c r="I1487">
        <v>11</v>
      </c>
      <c r="J1487">
        <v>2004</v>
      </c>
      <c r="K1487" t="s">
        <v>26</v>
      </c>
      <c r="L1487">
        <v>112</v>
      </c>
      <c r="M1487" t="s">
        <v>622</v>
      </c>
      <c r="N1487" t="s">
        <v>28</v>
      </c>
      <c r="O1487">
        <v>2125557818</v>
      </c>
      <c r="P1487" t="s">
        <v>29</v>
      </c>
      <c r="R1487" t="s">
        <v>30</v>
      </c>
      <c r="S1487" t="s">
        <v>31</v>
      </c>
      <c r="T1487">
        <v>10022</v>
      </c>
      <c r="U1487" t="s">
        <v>32</v>
      </c>
      <c r="V1487" t="s">
        <v>33</v>
      </c>
      <c r="W1487" t="s">
        <v>34</v>
      </c>
      <c r="X1487" t="s">
        <v>35</v>
      </c>
      <c r="Y1487" t="s">
        <v>36</v>
      </c>
    </row>
    <row r="1488" spans="1:25" x14ac:dyDescent="0.25">
      <c r="A1488">
        <v>10339</v>
      </c>
      <c r="B1488">
        <v>27</v>
      </c>
      <c r="C1488">
        <v>84.39</v>
      </c>
      <c r="D1488">
        <v>10</v>
      </c>
      <c r="E1488">
        <v>2278.5300000000002</v>
      </c>
      <c r="F1488" s="1">
        <v>38314</v>
      </c>
      <c r="G1488" t="s">
        <v>25</v>
      </c>
      <c r="H1488">
        <v>4</v>
      </c>
      <c r="I1488">
        <v>11</v>
      </c>
      <c r="J1488">
        <v>2004</v>
      </c>
      <c r="K1488" t="s">
        <v>26</v>
      </c>
      <c r="L1488">
        <v>112</v>
      </c>
      <c r="M1488" t="s">
        <v>622</v>
      </c>
      <c r="N1488" t="s">
        <v>246</v>
      </c>
      <c r="O1488" t="s">
        <v>247</v>
      </c>
      <c r="P1488" t="s">
        <v>248</v>
      </c>
      <c r="R1488" t="s">
        <v>249</v>
      </c>
      <c r="S1488" t="s">
        <v>250</v>
      </c>
      <c r="T1488" t="s">
        <v>251</v>
      </c>
      <c r="U1488" t="s">
        <v>200</v>
      </c>
      <c r="V1488" t="s">
        <v>200</v>
      </c>
      <c r="W1488" t="s">
        <v>252</v>
      </c>
      <c r="X1488" t="s">
        <v>253</v>
      </c>
      <c r="Y1488" t="s">
        <v>36</v>
      </c>
    </row>
    <row r="1489" spans="1:25" x14ac:dyDescent="0.25">
      <c r="A1489">
        <v>10362</v>
      </c>
      <c r="B1489">
        <v>50</v>
      </c>
      <c r="C1489">
        <v>96.92</v>
      </c>
      <c r="D1489">
        <v>2</v>
      </c>
      <c r="E1489">
        <v>4846</v>
      </c>
      <c r="F1489" s="1">
        <v>38357</v>
      </c>
      <c r="G1489" t="s">
        <v>25</v>
      </c>
      <c r="H1489">
        <v>1</v>
      </c>
      <c r="I1489">
        <v>1</v>
      </c>
      <c r="J1489">
        <v>2005</v>
      </c>
      <c r="K1489" t="s">
        <v>26</v>
      </c>
      <c r="L1489">
        <v>112</v>
      </c>
      <c r="M1489" t="s">
        <v>622</v>
      </c>
      <c r="N1489" t="s">
        <v>62</v>
      </c>
      <c r="O1489">
        <v>6505556809</v>
      </c>
      <c r="P1489" t="s">
        <v>63</v>
      </c>
      <c r="R1489" t="s">
        <v>64</v>
      </c>
      <c r="S1489" t="s">
        <v>55</v>
      </c>
      <c r="T1489">
        <v>94217</v>
      </c>
      <c r="U1489" t="s">
        <v>32</v>
      </c>
      <c r="V1489" t="s">
        <v>33</v>
      </c>
      <c r="W1489" t="s">
        <v>65</v>
      </c>
      <c r="X1489" t="s">
        <v>66</v>
      </c>
      <c r="Y1489" t="s">
        <v>51</v>
      </c>
    </row>
    <row r="1490" spans="1:25" x14ac:dyDescent="0.25">
      <c r="A1490">
        <v>10374</v>
      </c>
      <c r="B1490">
        <v>38</v>
      </c>
      <c r="C1490">
        <v>100</v>
      </c>
      <c r="D1490">
        <v>6</v>
      </c>
      <c r="E1490">
        <v>4197.1000000000004</v>
      </c>
      <c r="F1490" s="1">
        <v>38385</v>
      </c>
      <c r="G1490" t="s">
        <v>25</v>
      </c>
      <c r="H1490">
        <v>1</v>
      </c>
      <c r="I1490">
        <v>2</v>
      </c>
      <c r="J1490">
        <v>2005</v>
      </c>
      <c r="K1490" t="s">
        <v>26</v>
      </c>
      <c r="L1490">
        <v>112</v>
      </c>
      <c r="M1490" t="s">
        <v>622</v>
      </c>
      <c r="N1490" t="s">
        <v>207</v>
      </c>
      <c r="O1490" t="s">
        <v>208</v>
      </c>
      <c r="P1490" t="s">
        <v>209</v>
      </c>
      <c r="R1490" t="s">
        <v>210</v>
      </c>
      <c r="S1490" t="s">
        <v>211</v>
      </c>
      <c r="T1490">
        <v>4101</v>
      </c>
      <c r="U1490" t="s">
        <v>95</v>
      </c>
      <c r="V1490" t="s">
        <v>96</v>
      </c>
      <c r="W1490" t="s">
        <v>212</v>
      </c>
      <c r="X1490" t="s">
        <v>213</v>
      </c>
      <c r="Y1490" t="s">
        <v>51</v>
      </c>
    </row>
    <row r="1491" spans="1:25" x14ac:dyDescent="0.25">
      <c r="A1491">
        <v>10389</v>
      </c>
      <c r="B1491">
        <v>45</v>
      </c>
      <c r="C1491">
        <v>100</v>
      </c>
      <c r="D1491">
        <v>1</v>
      </c>
      <c r="E1491">
        <v>4597.6499999999996</v>
      </c>
      <c r="F1491" s="1">
        <v>38414</v>
      </c>
      <c r="G1491" t="s">
        <v>25</v>
      </c>
      <c r="H1491">
        <v>1</v>
      </c>
      <c r="I1491">
        <v>3</v>
      </c>
      <c r="J1491">
        <v>2005</v>
      </c>
      <c r="K1491" t="s">
        <v>26</v>
      </c>
      <c r="L1491">
        <v>112</v>
      </c>
      <c r="M1491" t="s">
        <v>622</v>
      </c>
      <c r="N1491" t="s">
        <v>261</v>
      </c>
      <c r="O1491" t="s">
        <v>262</v>
      </c>
      <c r="P1491" t="s">
        <v>263</v>
      </c>
      <c r="R1491" t="s">
        <v>264</v>
      </c>
      <c r="T1491" t="s">
        <v>265</v>
      </c>
      <c r="U1491" t="s">
        <v>188</v>
      </c>
      <c r="V1491" t="s">
        <v>42</v>
      </c>
      <c r="W1491" t="s">
        <v>266</v>
      </c>
      <c r="X1491" t="s">
        <v>206</v>
      </c>
      <c r="Y1491" t="s">
        <v>51</v>
      </c>
    </row>
    <row r="1492" spans="1:25" x14ac:dyDescent="0.25">
      <c r="A1492">
        <v>10403</v>
      </c>
      <c r="B1492">
        <v>46</v>
      </c>
      <c r="C1492">
        <v>100</v>
      </c>
      <c r="D1492">
        <v>8</v>
      </c>
      <c r="E1492">
        <v>5287.7</v>
      </c>
      <c r="F1492" s="1">
        <v>38450</v>
      </c>
      <c r="G1492" t="s">
        <v>25</v>
      </c>
      <c r="H1492">
        <v>2</v>
      </c>
      <c r="I1492">
        <v>4</v>
      </c>
      <c r="J1492">
        <v>2005</v>
      </c>
      <c r="K1492" t="s">
        <v>26</v>
      </c>
      <c r="L1492">
        <v>112</v>
      </c>
      <c r="M1492" t="s">
        <v>622</v>
      </c>
      <c r="N1492" t="s">
        <v>165</v>
      </c>
      <c r="O1492" t="s">
        <v>166</v>
      </c>
      <c r="P1492" t="s">
        <v>167</v>
      </c>
      <c r="R1492" t="s">
        <v>168</v>
      </c>
      <c r="T1492" t="s">
        <v>169</v>
      </c>
      <c r="U1492" t="s">
        <v>170</v>
      </c>
      <c r="V1492" t="s">
        <v>42</v>
      </c>
      <c r="W1492" t="s">
        <v>171</v>
      </c>
      <c r="X1492" t="s">
        <v>172</v>
      </c>
      <c r="Y1492" t="s">
        <v>51</v>
      </c>
    </row>
    <row r="1493" spans="1:25" x14ac:dyDescent="0.25">
      <c r="A1493">
        <v>10417</v>
      </c>
      <c r="B1493">
        <v>35</v>
      </c>
      <c r="C1493">
        <v>100</v>
      </c>
      <c r="D1493">
        <v>3</v>
      </c>
      <c r="E1493">
        <v>3550.05</v>
      </c>
      <c r="F1493" s="1">
        <v>38485</v>
      </c>
      <c r="G1493" t="s">
        <v>173</v>
      </c>
      <c r="H1493">
        <v>2</v>
      </c>
      <c r="I1493">
        <v>5</v>
      </c>
      <c r="J1493">
        <v>2005</v>
      </c>
      <c r="K1493" t="s">
        <v>26</v>
      </c>
      <c r="L1493">
        <v>112</v>
      </c>
      <c r="M1493" t="s">
        <v>622</v>
      </c>
      <c r="N1493" t="s">
        <v>174</v>
      </c>
      <c r="O1493" t="s">
        <v>175</v>
      </c>
      <c r="P1493" t="s">
        <v>176</v>
      </c>
      <c r="R1493" t="s">
        <v>177</v>
      </c>
      <c r="T1493">
        <v>28034</v>
      </c>
      <c r="U1493" t="s">
        <v>178</v>
      </c>
      <c r="V1493" t="s">
        <v>42</v>
      </c>
      <c r="W1493" t="s">
        <v>179</v>
      </c>
      <c r="X1493" t="s">
        <v>180</v>
      </c>
      <c r="Y1493" t="s">
        <v>51</v>
      </c>
    </row>
    <row r="1494" spans="1:25" x14ac:dyDescent="0.25">
      <c r="A1494">
        <v>10110</v>
      </c>
      <c r="B1494">
        <v>29</v>
      </c>
      <c r="C1494">
        <v>59.37</v>
      </c>
      <c r="D1494">
        <v>15</v>
      </c>
      <c r="E1494">
        <v>1721.73</v>
      </c>
      <c r="F1494" s="1">
        <v>37698</v>
      </c>
      <c r="G1494" t="s">
        <v>25</v>
      </c>
      <c r="H1494">
        <v>1</v>
      </c>
      <c r="I1494">
        <v>3</v>
      </c>
      <c r="J1494">
        <v>2003</v>
      </c>
      <c r="K1494" t="s">
        <v>181</v>
      </c>
      <c r="L1494">
        <v>50</v>
      </c>
      <c r="M1494" t="s">
        <v>623</v>
      </c>
      <c r="N1494" t="s">
        <v>492</v>
      </c>
      <c r="O1494" t="s">
        <v>493</v>
      </c>
      <c r="P1494" t="s">
        <v>494</v>
      </c>
      <c r="R1494" t="s">
        <v>495</v>
      </c>
      <c r="T1494" t="s">
        <v>496</v>
      </c>
      <c r="U1494" t="s">
        <v>170</v>
      </c>
      <c r="V1494" t="s">
        <v>42</v>
      </c>
      <c r="W1494" t="s">
        <v>497</v>
      </c>
      <c r="X1494" t="s">
        <v>94</v>
      </c>
      <c r="Y1494" t="s">
        <v>36</v>
      </c>
    </row>
    <row r="1495" spans="1:25" x14ac:dyDescent="0.25">
      <c r="A1495">
        <v>10123</v>
      </c>
      <c r="B1495">
        <v>50</v>
      </c>
      <c r="C1495">
        <v>59.87</v>
      </c>
      <c r="D1495">
        <v>1</v>
      </c>
      <c r="E1495">
        <v>2993.5</v>
      </c>
      <c r="F1495" s="1">
        <v>37761</v>
      </c>
      <c r="G1495" t="s">
        <v>25</v>
      </c>
      <c r="H1495">
        <v>2</v>
      </c>
      <c r="I1495">
        <v>5</v>
      </c>
      <c r="J1495">
        <v>2003</v>
      </c>
      <c r="K1495" t="s">
        <v>181</v>
      </c>
      <c r="L1495">
        <v>50</v>
      </c>
      <c r="M1495" t="s">
        <v>623</v>
      </c>
      <c r="N1495" t="s">
        <v>312</v>
      </c>
      <c r="O1495" t="s">
        <v>313</v>
      </c>
      <c r="P1495" t="s">
        <v>314</v>
      </c>
      <c r="R1495" t="s">
        <v>117</v>
      </c>
      <c r="T1495">
        <v>44000</v>
      </c>
      <c r="U1495" t="s">
        <v>41</v>
      </c>
      <c r="V1495" t="s">
        <v>42</v>
      </c>
      <c r="W1495" t="s">
        <v>315</v>
      </c>
      <c r="X1495" t="s">
        <v>316</v>
      </c>
      <c r="Y1495" t="s">
        <v>36</v>
      </c>
    </row>
    <row r="1496" spans="1:25" x14ac:dyDescent="0.25">
      <c r="A1496">
        <v>10137</v>
      </c>
      <c r="B1496">
        <v>26</v>
      </c>
      <c r="C1496">
        <v>49.81</v>
      </c>
      <c r="D1496">
        <v>1</v>
      </c>
      <c r="E1496">
        <v>1295.06</v>
      </c>
      <c r="F1496" s="1">
        <v>37812</v>
      </c>
      <c r="G1496" t="s">
        <v>25</v>
      </c>
      <c r="H1496">
        <v>3</v>
      </c>
      <c r="I1496">
        <v>7</v>
      </c>
      <c r="J1496">
        <v>2003</v>
      </c>
      <c r="K1496" t="s">
        <v>181</v>
      </c>
      <c r="L1496">
        <v>50</v>
      </c>
      <c r="M1496" t="s">
        <v>623</v>
      </c>
      <c r="N1496" t="s">
        <v>37</v>
      </c>
      <c r="O1496" t="s">
        <v>38</v>
      </c>
      <c r="P1496" t="s">
        <v>39</v>
      </c>
      <c r="R1496" t="s">
        <v>40</v>
      </c>
      <c r="T1496">
        <v>51100</v>
      </c>
      <c r="U1496" t="s">
        <v>41</v>
      </c>
      <c r="V1496" t="s">
        <v>42</v>
      </c>
      <c r="W1496" t="s">
        <v>43</v>
      </c>
      <c r="X1496" t="s">
        <v>44</v>
      </c>
      <c r="Y1496" t="s">
        <v>36</v>
      </c>
    </row>
    <row r="1497" spans="1:25" x14ac:dyDescent="0.25">
      <c r="A1497">
        <v>10148</v>
      </c>
      <c r="B1497">
        <v>47</v>
      </c>
      <c r="C1497">
        <v>56.85</v>
      </c>
      <c r="D1497">
        <v>8</v>
      </c>
      <c r="E1497">
        <v>2671.95</v>
      </c>
      <c r="F1497" s="1">
        <v>37875</v>
      </c>
      <c r="G1497" t="s">
        <v>25</v>
      </c>
      <c r="H1497">
        <v>3</v>
      </c>
      <c r="I1497">
        <v>9</v>
      </c>
      <c r="J1497">
        <v>2003</v>
      </c>
      <c r="K1497" t="s">
        <v>181</v>
      </c>
      <c r="L1497">
        <v>50</v>
      </c>
      <c r="M1497" t="s">
        <v>623</v>
      </c>
      <c r="N1497" t="s">
        <v>285</v>
      </c>
      <c r="O1497" t="s">
        <v>286</v>
      </c>
      <c r="P1497" t="s">
        <v>287</v>
      </c>
      <c r="Q1497" t="s">
        <v>288</v>
      </c>
      <c r="R1497" t="s">
        <v>289</v>
      </c>
      <c r="S1497" t="s">
        <v>157</v>
      </c>
      <c r="T1497">
        <v>2060</v>
      </c>
      <c r="U1497" t="s">
        <v>95</v>
      </c>
      <c r="V1497" t="s">
        <v>96</v>
      </c>
      <c r="W1497" t="s">
        <v>290</v>
      </c>
      <c r="X1497" t="s">
        <v>291</v>
      </c>
      <c r="Y1497" t="s">
        <v>36</v>
      </c>
    </row>
    <row r="1498" spans="1:25" x14ac:dyDescent="0.25">
      <c r="A1498">
        <v>10161</v>
      </c>
      <c r="B1498">
        <v>23</v>
      </c>
      <c r="C1498">
        <v>53.33</v>
      </c>
      <c r="D1498">
        <v>7</v>
      </c>
      <c r="E1498">
        <v>1226.5899999999999</v>
      </c>
      <c r="F1498" s="1">
        <v>37911</v>
      </c>
      <c r="G1498" t="s">
        <v>25</v>
      </c>
      <c r="H1498">
        <v>4</v>
      </c>
      <c r="I1498">
        <v>10</v>
      </c>
      <c r="J1498">
        <v>2003</v>
      </c>
      <c r="K1498" t="s">
        <v>181</v>
      </c>
      <c r="L1498">
        <v>50</v>
      </c>
      <c r="M1498" t="s">
        <v>623</v>
      </c>
      <c r="N1498" t="s">
        <v>498</v>
      </c>
      <c r="O1498" t="s">
        <v>499</v>
      </c>
      <c r="P1498" t="s">
        <v>500</v>
      </c>
      <c r="R1498" t="s">
        <v>501</v>
      </c>
      <c r="T1498">
        <v>8200</v>
      </c>
      <c r="U1498" t="s">
        <v>326</v>
      </c>
      <c r="V1498" t="s">
        <v>42</v>
      </c>
      <c r="W1498" t="s">
        <v>502</v>
      </c>
      <c r="X1498" t="s">
        <v>503</v>
      </c>
      <c r="Y1498" t="s">
        <v>36</v>
      </c>
    </row>
    <row r="1499" spans="1:25" x14ac:dyDescent="0.25">
      <c r="A1499">
        <v>10172</v>
      </c>
      <c r="B1499">
        <v>34</v>
      </c>
      <c r="C1499">
        <v>42.76</v>
      </c>
      <c r="D1499">
        <v>5</v>
      </c>
      <c r="E1499">
        <v>1453.84</v>
      </c>
      <c r="F1499" s="1">
        <v>37930</v>
      </c>
      <c r="G1499" t="s">
        <v>25</v>
      </c>
      <c r="H1499">
        <v>4</v>
      </c>
      <c r="I1499">
        <v>11</v>
      </c>
      <c r="J1499">
        <v>2003</v>
      </c>
      <c r="K1499" t="s">
        <v>181</v>
      </c>
      <c r="L1499">
        <v>50</v>
      </c>
      <c r="M1499" t="s">
        <v>623</v>
      </c>
      <c r="N1499" t="s">
        <v>109</v>
      </c>
      <c r="O1499">
        <v>2035552570</v>
      </c>
      <c r="P1499" t="s">
        <v>110</v>
      </c>
      <c r="R1499" t="s">
        <v>111</v>
      </c>
      <c r="S1499" t="s">
        <v>112</v>
      </c>
      <c r="T1499">
        <v>97562</v>
      </c>
      <c r="U1499" t="s">
        <v>32</v>
      </c>
      <c r="V1499" t="s">
        <v>33</v>
      </c>
      <c r="W1499" t="s">
        <v>113</v>
      </c>
      <c r="X1499" t="s">
        <v>57</v>
      </c>
      <c r="Y1499" t="s">
        <v>36</v>
      </c>
    </row>
    <row r="1500" spans="1:25" x14ac:dyDescent="0.25">
      <c r="A1500">
        <v>10181</v>
      </c>
      <c r="B1500">
        <v>34</v>
      </c>
      <c r="C1500">
        <v>53.83</v>
      </c>
      <c r="D1500">
        <v>1</v>
      </c>
      <c r="E1500">
        <v>1830.22</v>
      </c>
      <c r="F1500" s="1">
        <v>37937</v>
      </c>
      <c r="G1500" t="s">
        <v>25</v>
      </c>
      <c r="H1500">
        <v>4</v>
      </c>
      <c r="I1500">
        <v>11</v>
      </c>
      <c r="J1500">
        <v>2003</v>
      </c>
      <c r="K1500" t="s">
        <v>181</v>
      </c>
      <c r="L1500">
        <v>50</v>
      </c>
      <c r="M1500" t="s">
        <v>623</v>
      </c>
      <c r="N1500" t="s">
        <v>73</v>
      </c>
      <c r="O1500" t="s">
        <v>74</v>
      </c>
      <c r="P1500" t="s">
        <v>75</v>
      </c>
      <c r="R1500" t="s">
        <v>76</v>
      </c>
      <c r="T1500" t="s">
        <v>77</v>
      </c>
      <c r="U1500" t="s">
        <v>78</v>
      </c>
      <c r="V1500" t="s">
        <v>42</v>
      </c>
      <c r="W1500" t="s">
        <v>79</v>
      </c>
      <c r="X1500" t="s">
        <v>80</v>
      </c>
      <c r="Y1500" t="s">
        <v>36</v>
      </c>
    </row>
    <row r="1501" spans="1:25" x14ac:dyDescent="0.25">
      <c r="A1501">
        <v>10192</v>
      </c>
      <c r="B1501">
        <v>47</v>
      </c>
      <c r="C1501">
        <v>53.83</v>
      </c>
      <c r="D1501">
        <v>6</v>
      </c>
      <c r="E1501">
        <v>2530.0100000000002</v>
      </c>
      <c r="F1501" s="1">
        <v>37945</v>
      </c>
      <c r="G1501" t="s">
        <v>25</v>
      </c>
      <c r="H1501">
        <v>4</v>
      </c>
      <c r="I1501">
        <v>11</v>
      </c>
      <c r="J1501">
        <v>2003</v>
      </c>
      <c r="K1501" t="s">
        <v>181</v>
      </c>
      <c r="L1501">
        <v>50</v>
      </c>
      <c r="M1501" t="s">
        <v>623</v>
      </c>
      <c r="N1501" t="s">
        <v>277</v>
      </c>
      <c r="O1501">
        <v>6035558647</v>
      </c>
      <c r="P1501" t="s">
        <v>278</v>
      </c>
      <c r="R1501" t="s">
        <v>279</v>
      </c>
      <c r="S1501" t="s">
        <v>280</v>
      </c>
      <c r="T1501">
        <v>62005</v>
      </c>
      <c r="U1501" t="s">
        <v>32</v>
      </c>
      <c r="V1501" t="s">
        <v>33</v>
      </c>
      <c r="W1501" t="s">
        <v>56</v>
      </c>
      <c r="X1501" t="s">
        <v>276</v>
      </c>
      <c r="Y1501" t="s">
        <v>36</v>
      </c>
    </row>
    <row r="1502" spans="1:25" x14ac:dyDescent="0.25">
      <c r="A1502">
        <v>10204</v>
      </c>
      <c r="B1502">
        <v>45</v>
      </c>
      <c r="C1502">
        <v>49.81</v>
      </c>
      <c r="D1502">
        <v>12</v>
      </c>
      <c r="E1502">
        <v>2241.4499999999998</v>
      </c>
      <c r="F1502" s="1">
        <v>37957</v>
      </c>
      <c r="G1502" t="s">
        <v>25</v>
      </c>
      <c r="H1502">
        <v>4</v>
      </c>
      <c r="I1502">
        <v>12</v>
      </c>
      <c r="J1502">
        <v>2003</v>
      </c>
      <c r="K1502" t="s">
        <v>181</v>
      </c>
      <c r="L1502">
        <v>50</v>
      </c>
      <c r="M1502" t="s">
        <v>623</v>
      </c>
      <c r="N1502" t="s">
        <v>475</v>
      </c>
      <c r="O1502">
        <v>2125557413</v>
      </c>
      <c r="P1502" t="s">
        <v>476</v>
      </c>
      <c r="Q1502" t="s">
        <v>477</v>
      </c>
      <c r="R1502" t="s">
        <v>30</v>
      </c>
      <c r="S1502" t="s">
        <v>31</v>
      </c>
      <c r="T1502">
        <v>10022</v>
      </c>
      <c r="U1502" t="s">
        <v>32</v>
      </c>
      <c r="V1502" t="s">
        <v>33</v>
      </c>
      <c r="W1502" t="s">
        <v>56</v>
      </c>
      <c r="X1502" t="s">
        <v>478</v>
      </c>
      <c r="Y1502" t="s">
        <v>36</v>
      </c>
    </row>
    <row r="1503" spans="1:25" x14ac:dyDescent="0.25">
      <c r="A1503">
        <v>10212</v>
      </c>
      <c r="B1503">
        <v>45</v>
      </c>
      <c r="C1503">
        <v>53.33</v>
      </c>
      <c r="D1503">
        <v>5</v>
      </c>
      <c r="E1503">
        <v>2399.85</v>
      </c>
      <c r="F1503" s="1">
        <v>38002</v>
      </c>
      <c r="G1503" t="s">
        <v>25</v>
      </c>
      <c r="H1503">
        <v>1</v>
      </c>
      <c r="I1503">
        <v>1</v>
      </c>
      <c r="J1503">
        <v>2004</v>
      </c>
      <c r="K1503" t="s">
        <v>181</v>
      </c>
      <c r="L1503">
        <v>50</v>
      </c>
      <c r="M1503" t="s">
        <v>623</v>
      </c>
      <c r="N1503" t="s">
        <v>174</v>
      </c>
      <c r="O1503" t="s">
        <v>175</v>
      </c>
      <c r="P1503" t="s">
        <v>176</v>
      </c>
      <c r="R1503" t="s">
        <v>177</v>
      </c>
      <c r="T1503">
        <v>28034</v>
      </c>
      <c r="U1503" t="s">
        <v>178</v>
      </c>
      <c r="V1503" t="s">
        <v>42</v>
      </c>
      <c r="W1503" t="s">
        <v>179</v>
      </c>
      <c r="X1503" t="s">
        <v>180</v>
      </c>
      <c r="Y1503" t="s">
        <v>36</v>
      </c>
    </row>
    <row r="1504" spans="1:25" x14ac:dyDescent="0.25">
      <c r="A1504">
        <v>10226</v>
      </c>
      <c r="B1504">
        <v>36</v>
      </c>
      <c r="C1504">
        <v>43.27</v>
      </c>
      <c r="D1504">
        <v>3</v>
      </c>
      <c r="E1504">
        <v>1557.72</v>
      </c>
      <c r="F1504" s="1">
        <v>38043</v>
      </c>
      <c r="G1504" t="s">
        <v>25</v>
      </c>
      <c r="H1504">
        <v>1</v>
      </c>
      <c r="I1504">
        <v>2</v>
      </c>
      <c r="J1504">
        <v>2004</v>
      </c>
      <c r="K1504" t="s">
        <v>181</v>
      </c>
      <c r="L1504">
        <v>50</v>
      </c>
      <c r="M1504" t="s">
        <v>623</v>
      </c>
      <c r="N1504" t="s">
        <v>362</v>
      </c>
      <c r="O1504">
        <v>7605558146</v>
      </c>
      <c r="P1504" t="s">
        <v>363</v>
      </c>
      <c r="R1504" t="s">
        <v>364</v>
      </c>
      <c r="S1504" t="s">
        <v>55</v>
      </c>
      <c r="T1504">
        <v>91217</v>
      </c>
      <c r="U1504" t="s">
        <v>32</v>
      </c>
      <c r="V1504" t="s">
        <v>33</v>
      </c>
      <c r="W1504" t="s">
        <v>237</v>
      </c>
      <c r="X1504" t="s">
        <v>276</v>
      </c>
      <c r="Y1504" t="s">
        <v>36</v>
      </c>
    </row>
    <row r="1505" spans="1:25" x14ac:dyDescent="0.25">
      <c r="A1505">
        <v>10241</v>
      </c>
      <c r="B1505">
        <v>21</v>
      </c>
      <c r="C1505">
        <v>40.25</v>
      </c>
      <c r="D1505">
        <v>10</v>
      </c>
      <c r="E1505">
        <v>845.25</v>
      </c>
      <c r="F1505" s="1">
        <v>38090</v>
      </c>
      <c r="G1505" t="s">
        <v>25</v>
      </c>
      <c r="H1505">
        <v>2</v>
      </c>
      <c r="I1505">
        <v>4</v>
      </c>
      <c r="J1505">
        <v>2004</v>
      </c>
      <c r="K1505" t="s">
        <v>181</v>
      </c>
      <c r="L1505">
        <v>50</v>
      </c>
      <c r="M1505" t="s">
        <v>623</v>
      </c>
      <c r="N1505" t="s">
        <v>531</v>
      </c>
      <c r="O1505" t="s">
        <v>532</v>
      </c>
      <c r="P1505" t="s">
        <v>533</v>
      </c>
      <c r="R1505" t="s">
        <v>534</v>
      </c>
      <c r="T1505">
        <v>67000</v>
      </c>
      <c r="U1505" t="s">
        <v>41</v>
      </c>
      <c r="V1505" t="s">
        <v>42</v>
      </c>
      <c r="W1505" t="s">
        <v>535</v>
      </c>
      <c r="X1505" t="s">
        <v>536</v>
      </c>
      <c r="Y1505" t="s">
        <v>36</v>
      </c>
    </row>
    <row r="1506" spans="1:25" x14ac:dyDescent="0.25">
      <c r="A1506">
        <v>10266</v>
      </c>
      <c r="B1506">
        <v>28</v>
      </c>
      <c r="C1506">
        <v>48.3</v>
      </c>
      <c r="D1506">
        <v>1</v>
      </c>
      <c r="E1506">
        <v>1352.4</v>
      </c>
      <c r="F1506" s="1">
        <v>38174</v>
      </c>
      <c r="G1506" t="s">
        <v>25</v>
      </c>
      <c r="H1506">
        <v>3</v>
      </c>
      <c r="I1506">
        <v>7</v>
      </c>
      <c r="J1506">
        <v>2004</v>
      </c>
      <c r="K1506" t="s">
        <v>181</v>
      </c>
      <c r="L1506">
        <v>50</v>
      </c>
      <c r="M1506" t="s">
        <v>623</v>
      </c>
      <c r="N1506" t="s">
        <v>452</v>
      </c>
      <c r="O1506" t="s">
        <v>453</v>
      </c>
      <c r="P1506" t="s">
        <v>454</v>
      </c>
      <c r="R1506" t="s">
        <v>455</v>
      </c>
      <c r="T1506">
        <v>42100</v>
      </c>
      <c r="U1506" t="s">
        <v>258</v>
      </c>
      <c r="V1506" t="s">
        <v>42</v>
      </c>
      <c r="W1506" t="s">
        <v>456</v>
      </c>
      <c r="X1506" t="s">
        <v>457</v>
      </c>
      <c r="Y1506" t="s">
        <v>36</v>
      </c>
    </row>
    <row r="1507" spans="1:25" x14ac:dyDescent="0.25">
      <c r="A1507">
        <v>10278</v>
      </c>
      <c r="B1507">
        <v>35</v>
      </c>
      <c r="C1507">
        <v>45.28</v>
      </c>
      <c r="D1507">
        <v>1</v>
      </c>
      <c r="E1507">
        <v>1584.8</v>
      </c>
      <c r="F1507" s="1">
        <v>38205</v>
      </c>
      <c r="G1507" t="s">
        <v>25</v>
      </c>
      <c r="H1507">
        <v>3</v>
      </c>
      <c r="I1507">
        <v>8</v>
      </c>
      <c r="J1507">
        <v>2004</v>
      </c>
      <c r="K1507" t="s">
        <v>181</v>
      </c>
      <c r="L1507">
        <v>50</v>
      </c>
      <c r="M1507" t="s">
        <v>623</v>
      </c>
      <c r="N1507" t="s">
        <v>539</v>
      </c>
      <c r="O1507">
        <v>7025551838</v>
      </c>
      <c r="P1507" t="s">
        <v>540</v>
      </c>
      <c r="R1507" t="s">
        <v>541</v>
      </c>
      <c r="S1507" t="s">
        <v>542</v>
      </c>
      <c r="T1507">
        <v>83030</v>
      </c>
      <c r="U1507" t="s">
        <v>32</v>
      </c>
      <c r="V1507" t="s">
        <v>33</v>
      </c>
      <c r="W1507" t="s">
        <v>113</v>
      </c>
      <c r="X1507" t="s">
        <v>400</v>
      </c>
      <c r="Y1507" t="s">
        <v>36</v>
      </c>
    </row>
    <row r="1508" spans="1:25" x14ac:dyDescent="0.25">
      <c r="A1508">
        <v>10288</v>
      </c>
      <c r="B1508">
        <v>50</v>
      </c>
      <c r="C1508">
        <v>52.32</v>
      </c>
      <c r="D1508">
        <v>13</v>
      </c>
      <c r="E1508">
        <v>2616</v>
      </c>
      <c r="F1508" s="1">
        <v>38231</v>
      </c>
      <c r="G1508" t="s">
        <v>25</v>
      </c>
      <c r="H1508">
        <v>3</v>
      </c>
      <c r="I1508">
        <v>9</v>
      </c>
      <c r="J1508">
        <v>2004</v>
      </c>
      <c r="K1508" t="s">
        <v>181</v>
      </c>
      <c r="L1508">
        <v>50</v>
      </c>
      <c r="M1508" t="s">
        <v>623</v>
      </c>
      <c r="N1508" t="s">
        <v>418</v>
      </c>
      <c r="O1508" t="s">
        <v>419</v>
      </c>
      <c r="P1508" t="s">
        <v>420</v>
      </c>
      <c r="Q1508" t="s">
        <v>421</v>
      </c>
      <c r="R1508" t="s">
        <v>199</v>
      </c>
      <c r="T1508">
        <v>69045</v>
      </c>
      <c r="U1508" t="s">
        <v>199</v>
      </c>
      <c r="V1508" t="s">
        <v>96</v>
      </c>
      <c r="W1508" t="s">
        <v>422</v>
      </c>
      <c r="X1508" t="s">
        <v>423</v>
      </c>
      <c r="Y1508" t="s">
        <v>36</v>
      </c>
    </row>
    <row r="1509" spans="1:25" x14ac:dyDescent="0.25">
      <c r="A1509">
        <v>10301</v>
      </c>
      <c r="B1509">
        <v>22</v>
      </c>
      <c r="C1509">
        <v>51.32</v>
      </c>
      <c r="D1509">
        <v>3</v>
      </c>
      <c r="E1509">
        <v>1129.04</v>
      </c>
      <c r="F1509" s="1">
        <v>37899</v>
      </c>
      <c r="G1509" t="s">
        <v>25</v>
      </c>
      <c r="H1509">
        <v>4</v>
      </c>
      <c r="I1509">
        <v>10</v>
      </c>
      <c r="J1509">
        <v>2003</v>
      </c>
      <c r="K1509" t="s">
        <v>181</v>
      </c>
      <c r="L1509">
        <v>50</v>
      </c>
      <c r="M1509" t="s">
        <v>623</v>
      </c>
      <c r="N1509" t="s">
        <v>543</v>
      </c>
      <c r="O1509" t="s">
        <v>544</v>
      </c>
      <c r="P1509" t="s">
        <v>545</v>
      </c>
      <c r="R1509" t="s">
        <v>546</v>
      </c>
      <c r="T1509" t="s">
        <v>547</v>
      </c>
      <c r="U1509" t="s">
        <v>78</v>
      </c>
      <c r="V1509" t="s">
        <v>42</v>
      </c>
      <c r="W1509" t="s">
        <v>548</v>
      </c>
      <c r="X1509" t="s">
        <v>549</v>
      </c>
      <c r="Y1509" t="s">
        <v>36</v>
      </c>
    </row>
    <row r="1510" spans="1:25" x14ac:dyDescent="0.25">
      <c r="A1510">
        <v>10311</v>
      </c>
      <c r="B1510">
        <v>45</v>
      </c>
      <c r="C1510">
        <v>49.3</v>
      </c>
      <c r="D1510">
        <v>8</v>
      </c>
      <c r="E1510">
        <v>2218.5</v>
      </c>
      <c r="F1510" s="1">
        <v>38276</v>
      </c>
      <c r="G1510" t="s">
        <v>25</v>
      </c>
      <c r="H1510">
        <v>4</v>
      </c>
      <c r="I1510">
        <v>10</v>
      </c>
      <c r="J1510">
        <v>2004</v>
      </c>
      <c r="K1510" t="s">
        <v>181</v>
      </c>
      <c r="L1510">
        <v>50</v>
      </c>
      <c r="M1510" t="s">
        <v>623</v>
      </c>
      <c r="N1510" t="s">
        <v>174</v>
      </c>
      <c r="O1510" t="s">
        <v>175</v>
      </c>
      <c r="P1510" t="s">
        <v>176</v>
      </c>
      <c r="R1510" t="s">
        <v>177</v>
      </c>
      <c r="T1510">
        <v>28034</v>
      </c>
      <c r="U1510" t="s">
        <v>178</v>
      </c>
      <c r="V1510" t="s">
        <v>42</v>
      </c>
      <c r="W1510" t="s">
        <v>179</v>
      </c>
      <c r="X1510" t="s">
        <v>180</v>
      </c>
      <c r="Y1510" t="s">
        <v>36</v>
      </c>
    </row>
    <row r="1511" spans="1:25" x14ac:dyDescent="0.25">
      <c r="A1511">
        <v>10321</v>
      </c>
      <c r="B1511">
        <v>48</v>
      </c>
      <c r="C1511">
        <v>42.26</v>
      </c>
      <c r="D1511">
        <v>5</v>
      </c>
      <c r="E1511">
        <v>2028.48</v>
      </c>
      <c r="F1511" s="1">
        <v>38295</v>
      </c>
      <c r="G1511" t="s">
        <v>25</v>
      </c>
      <c r="H1511">
        <v>4</v>
      </c>
      <c r="I1511">
        <v>11</v>
      </c>
      <c r="J1511">
        <v>2004</v>
      </c>
      <c r="K1511" t="s">
        <v>181</v>
      </c>
      <c r="L1511">
        <v>50</v>
      </c>
      <c r="M1511" t="s">
        <v>623</v>
      </c>
      <c r="N1511" t="s">
        <v>160</v>
      </c>
      <c r="O1511">
        <v>5085552555</v>
      </c>
      <c r="P1511" t="s">
        <v>161</v>
      </c>
      <c r="R1511" t="s">
        <v>162</v>
      </c>
      <c r="S1511" t="s">
        <v>123</v>
      </c>
      <c r="T1511">
        <v>50553</v>
      </c>
      <c r="U1511" t="s">
        <v>32</v>
      </c>
      <c r="V1511" t="s">
        <v>33</v>
      </c>
      <c r="W1511" t="s">
        <v>163</v>
      </c>
      <c r="X1511" t="s">
        <v>164</v>
      </c>
      <c r="Y1511" t="s">
        <v>36</v>
      </c>
    </row>
    <row r="1512" spans="1:25" x14ac:dyDescent="0.25">
      <c r="A1512">
        <v>10332</v>
      </c>
      <c r="B1512">
        <v>20</v>
      </c>
      <c r="C1512">
        <v>87.96</v>
      </c>
      <c r="D1512">
        <v>5</v>
      </c>
      <c r="E1512">
        <v>1759.2</v>
      </c>
      <c r="F1512" s="1">
        <v>38308</v>
      </c>
      <c r="G1512" t="s">
        <v>25</v>
      </c>
      <c r="H1512">
        <v>4</v>
      </c>
      <c r="I1512">
        <v>11</v>
      </c>
      <c r="J1512">
        <v>2004</v>
      </c>
      <c r="K1512" t="s">
        <v>181</v>
      </c>
      <c r="L1512">
        <v>50</v>
      </c>
      <c r="M1512" t="s">
        <v>623</v>
      </c>
      <c r="N1512" t="s">
        <v>492</v>
      </c>
      <c r="O1512" t="s">
        <v>493</v>
      </c>
      <c r="P1512" t="s">
        <v>494</v>
      </c>
      <c r="R1512" t="s">
        <v>495</v>
      </c>
      <c r="T1512" t="s">
        <v>496</v>
      </c>
      <c r="U1512" t="s">
        <v>170</v>
      </c>
      <c r="V1512" t="s">
        <v>42</v>
      </c>
      <c r="W1512" t="s">
        <v>497</v>
      </c>
      <c r="X1512" t="s">
        <v>94</v>
      </c>
      <c r="Y1512" t="s">
        <v>36</v>
      </c>
    </row>
    <row r="1513" spans="1:25" x14ac:dyDescent="0.25">
      <c r="A1513">
        <v>10343</v>
      </c>
      <c r="B1513">
        <v>27</v>
      </c>
      <c r="C1513">
        <v>36.21</v>
      </c>
      <c r="D1513">
        <v>6</v>
      </c>
      <c r="E1513">
        <v>977.67</v>
      </c>
      <c r="F1513" s="1">
        <v>38315</v>
      </c>
      <c r="G1513" t="s">
        <v>25</v>
      </c>
      <c r="H1513">
        <v>4</v>
      </c>
      <c r="I1513">
        <v>11</v>
      </c>
      <c r="J1513">
        <v>2004</v>
      </c>
      <c r="K1513" t="s">
        <v>181</v>
      </c>
      <c r="L1513">
        <v>50</v>
      </c>
      <c r="M1513" t="s">
        <v>623</v>
      </c>
      <c r="N1513" t="s">
        <v>37</v>
      </c>
      <c r="O1513" t="s">
        <v>38</v>
      </c>
      <c r="P1513" t="s">
        <v>39</v>
      </c>
      <c r="R1513" t="s">
        <v>40</v>
      </c>
      <c r="T1513">
        <v>51100</v>
      </c>
      <c r="U1513" t="s">
        <v>41</v>
      </c>
      <c r="V1513" t="s">
        <v>42</v>
      </c>
      <c r="W1513" t="s">
        <v>43</v>
      </c>
      <c r="X1513" t="s">
        <v>44</v>
      </c>
      <c r="Y1513" t="s">
        <v>36</v>
      </c>
    </row>
    <row r="1514" spans="1:25" x14ac:dyDescent="0.25">
      <c r="A1514">
        <v>10367</v>
      </c>
      <c r="B1514">
        <v>38</v>
      </c>
      <c r="C1514">
        <v>38.5</v>
      </c>
      <c r="D1514">
        <v>11</v>
      </c>
      <c r="E1514">
        <v>1463</v>
      </c>
      <c r="F1514" s="1">
        <v>38364</v>
      </c>
      <c r="G1514" t="s">
        <v>408</v>
      </c>
      <c r="H1514">
        <v>1</v>
      </c>
      <c r="I1514">
        <v>1</v>
      </c>
      <c r="J1514">
        <v>2005</v>
      </c>
      <c r="K1514" t="s">
        <v>181</v>
      </c>
      <c r="L1514">
        <v>50</v>
      </c>
      <c r="M1514" t="s">
        <v>623</v>
      </c>
      <c r="N1514" t="s">
        <v>52</v>
      </c>
      <c r="O1514">
        <v>6265557265</v>
      </c>
      <c r="P1514" t="s">
        <v>53</v>
      </c>
      <c r="R1514" t="s">
        <v>54</v>
      </c>
      <c r="S1514" t="s">
        <v>55</v>
      </c>
      <c r="T1514">
        <v>90003</v>
      </c>
      <c r="U1514" t="s">
        <v>32</v>
      </c>
      <c r="V1514" t="s">
        <v>33</v>
      </c>
      <c r="W1514" t="s">
        <v>56</v>
      </c>
      <c r="X1514" t="s">
        <v>57</v>
      </c>
      <c r="Y1514" t="s">
        <v>36</v>
      </c>
    </row>
    <row r="1515" spans="1:25" x14ac:dyDescent="0.25">
      <c r="A1515">
        <v>10379</v>
      </c>
      <c r="B1515">
        <v>32</v>
      </c>
      <c r="C1515">
        <v>100</v>
      </c>
      <c r="D1515">
        <v>3</v>
      </c>
      <c r="E1515">
        <v>3970.56</v>
      </c>
      <c r="F1515" s="1">
        <v>38393</v>
      </c>
      <c r="G1515" t="s">
        <v>25</v>
      </c>
      <c r="H1515">
        <v>1</v>
      </c>
      <c r="I1515">
        <v>2</v>
      </c>
      <c r="J1515">
        <v>2005</v>
      </c>
      <c r="K1515" t="s">
        <v>181</v>
      </c>
      <c r="L1515">
        <v>50</v>
      </c>
      <c r="M1515" t="s">
        <v>623</v>
      </c>
      <c r="N1515" t="s">
        <v>174</v>
      </c>
      <c r="O1515" t="s">
        <v>175</v>
      </c>
      <c r="P1515" t="s">
        <v>176</v>
      </c>
      <c r="R1515" t="s">
        <v>177</v>
      </c>
      <c r="T1515">
        <v>28034</v>
      </c>
      <c r="U1515" t="s">
        <v>178</v>
      </c>
      <c r="V1515" t="s">
        <v>42</v>
      </c>
      <c r="W1515" t="s">
        <v>179</v>
      </c>
      <c r="X1515" t="s">
        <v>180</v>
      </c>
      <c r="Y1515" t="s">
        <v>51</v>
      </c>
    </row>
    <row r="1516" spans="1:25" x14ac:dyDescent="0.25">
      <c r="A1516">
        <v>10407</v>
      </c>
      <c r="B1516">
        <v>64</v>
      </c>
      <c r="C1516">
        <v>40.25</v>
      </c>
      <c r="D1516">
        <v>10</v>
      </c>
      <c r="E1516">
        <v>2576</v>
      </c>
      <c r="F1516" s="1">
        <v>38464</v>
      </c>
      <c r="G1516" t="s">
        <v>401</v>
      </c>
      <c r="H1516">
        <v>2</v>
      </c>
      <c r="I1516">
        <v>4</v>
      </c>
      <c r="J1516">
        <v>2005</v>
      </c>
      <c r="K1516" t="s">
        <v>181</v>
      </c>
      <c r="L1516">
        <v>50</v>
      </c>
      <c r="M1516" t="s">
        <v>623</v>
      </c>
      <c r="N1516" t="s">
        <v>397</v>
      </c>
      <c r="O1516">
        <v>4085553659</v>
      </c>
      <c r="P1516" t="s">
        <v>398</v>
      </c>
      <c r="R1516" t="s">
        <v>399</v>
      </c>
      <c r="S1516" t="s">
        <v>55</v>
      </c>
      <c r="T1516">
        <v>94217</v>
      </c>
      <c r="U1516" t="s">
        <v>32</v>
      </c>
      <c r="V1516" t="s">
        <v>33</v>
      </c>
      <c r="W1516" t="s">
        <v>102</v>
      </c>
      <c r="X1516" t="s">
        <v>400</v>
      </c>
      <c r="Y1516" t="s">
        <v>36</v>
      </c>
    </row>
    <row r="1517" spans="1:25" x14ac:dyDescent="0.25">
      <c r="A1517">
        <v>10420</v>
      </c>
      <c r="B1517">
        <v>37</v>
      </c>
      <c r="C1517">
        <v>60.37</v>
      </c>
      <c r="D1517">
        <v>13</v>
      </c>
      <c r="E1517">
        <v>2233.69</v>
      </c>
      <c r="F1517" s="1">
        <v>38501</v>
      </c>
      <c r="G1517" t="s">
        <v>300</v>
      </c>
      <c r="H1517">
        <v>2</v>
      </c>
      <c r="I1517">
        <v>5</v>
      </c>
      <c r="J1517">
        <v>2005</v>
      </c>
      <c r="K1517" t="s">
        <v>181</v>
      </c>
      <c r="L1517">
        <v>50</v>
      </c>
      <c r="M1517" t="s">
        <v>623</v>
      </c>
      <c r="N1517" t="s">
        <v>152</v>
      </c>
      <c r="O1517" t="s">
        <v>153</v>
      </c>
      <c r="P1517" t="s">
        <v>154</v>
      </c>
      <c r="Q1517" t="s">
        <v>155</v>
      </c>
      <c r="R1517" t="s">
        <v>156</v>
      </c>
      <c r="S1517" t="s">
        <v>157</v>
      </c>
      <c r="T1517">
        <v>2067</v>
      </c>
      <c r="U1517" t="s">
        <v>95</v>
      </c>
      <c r="V1517" t="s">
        <v>96</v>
      </c>
      <c r="W1517" t="s">
        <v>158</v>
      </c>
      <c r="X1517" t="s">
        <v>159</v>
      </c>
      <c r="Y1517" t="s">
        <v>36</v>
      </c>
    </row>
    <row r="1518" spans="1:25" x14ac:dyDescent="0.25">
      <c r="A1518">
        <v>10106</v>
      </c>
      <c r="B1518">
        <v>28</v>
      </c>
      <c r="C1518">
        <v>88.63</v>
      </c>
      <c r="D1518">
        <v>4</v>
      </c>
      <c r="E1518">
        <v>2481.64</v>
      </c>
      <c r="F1518" s="1">
        <v>37669</v>
      </c>
      <c r="G1518" t="s">
        <v>25</v>
      </c>
      <c r="H1518">
        <v>1</v>
      </c>
      <c r="I1518">
        <v>2</v>
      </c>
      <c r="J1518">
        <v>2003</v>
      </c>
      <c r="K1518" t="s">
        <v>566</v>
      </c>
      <c r="L1518">
        <v>109</v>
      </c>
      <c r="M1518" t="s">
        <v>624</v>
      </c>
      <c r="N1518" t="s">
        <v>552</v>
      </c>
      <c r="O1518" t="s">
        <v>553</v>
      </c>
      <c r="P1518" t="s">
        <v>554</v>
      </c>
      <c r="R1518" t="s">
        <v>555</v>
      </c>
      <c r="T1518">
        <v>24100</v>
      </c>
      <c r="U1518" t="s">
        <v>258</v>
      </c>
      <c r="V1518" t="s">
        <v>42</v>
      </c>
      <c r="W1518" t="s">
        <v>556</v>
      </c>
      <c r="X1518" t="s">
        <v>557</v>
      </c>
      <c r="Y1518" t="s">
        <v>36</v>
      </c>
    </row>
    <row r="1519" spans="1:25" x14ac:dyDescent="0.25">
      <c r="A1519">
        <v>10120</v>
      </c>
      <c r="B1519">
        <v>39</v>
      </c>
      <c r="C1519">
        <v>100</v>
      </c>
      <c r="D1519">
        <v>10</v>
      </c>
      <c r="E1519">
        <v>4651.53</v>
      </c>
      <c r="F1519" s="1">
        <v>37740</v>
      </c>
      <c r="G1519" t="s">
        <v>25</v>
      </c>
      <c r="H1519">
        <v>2</v>
      </c>
      <c r="I1519">
        <v>4</v>
      </c>
      <c r="J1519">
        <v>2003</v>
      </c>
      <c r="K1519" t="s">
        <v>566</v>
      </c>
      <c r="L1519">
        <v>109</v>
      </c>
      <c r="M1519" t="s">
        <v>624</v>
      </c>
      <c r="N1519" t="s">
        <v>89</v>
      </c>
      <c r="O1519" t="s">
        <v>90</v>
      </c>
      <c r="P1519" t="s">
        <v>91</v>
      </c>
      <c r="Q1519" t="s">
        <v>92</v>
      </c>
      <c r="R1519" t="s">
        <v>93</v>
      </c>
      <c r="S1519" t="s">
        <v>94</v>
      </c>
      <c r="T1519">
        <v>3004</v>
      </c>
      <c r="U1519" t="s">
        <v>95</v>
      </c>
      <c r="V1519" t="s">
        <v>96</v>
      </c>
      <c r="W1519" t="s">
        <v>97</v>
      </c>
      <c r="X1519" t="s">
        <v>98</v>
      </c>
      <c r="Y1519" t="s">
        <v>51</v>
      </c>
    </row>
    <row r="1520" spans="1:25" x14ac:dyDescent="0.25">
      <c r="A1520">
        <v>10133</v>
      </c>
      <c r="B1520">
        <v>41</v>
      </c>
      <c r="C1520">
        <v>94.1</v>
      </c>
      <c r="D1520">
        <v>5</v>
      </c>
      <c r="E1520">
        <v>3858.1</v>
      </c>
      <c r="F1520" s="1">
        <v>37799</v>
      </c>
      <c r="G1520" t="s">
        <v>25</v>
      </c>
      <c r="H1520">
        <v>2</v>
      </c>
      <c r="I1520">
        <v>6</v>
      </c>
      <c r="J1520">
        <v>2003</v>
      </c>
      <c r="K1520" t="s">
        <v>566</v>
      </c>
      <c r="L1520">
        <v>109</v>
      </c>
      <c r="M1520" t="s">
        <v>624</v>
      </c>
      <c r="N1520" t="s">
        <v>174</v>
      </c>
      <c r="O1520" t="s">
        <v>175</v>
      </c>
      <c r="P1520" t="s">
        <v>176</v>
      </c>
      <c r="R1520" t="s">
        <v>177</v>
      </c>
      <c r="T1520">
        <v>28034</v>
      </c>
      <c r="U1520" t="s">
        <v>178</v>
      </c>
      <c r="V1520" t="s">
        <v>42</v>
      </c>
      <c r="W1520" t="s">
        <v>179</v>
      </c>
      <c r="X1520" t="s">
        <v>180</v>
      </c>
      <c r="Y1520" t="s">
        <v>51</v>
      </c>
    </row>
    <row r="1521" spans="1:25" x14ac:dyDescent="0.25">
      <c r="A1521">
        <v>10145</v>
      </c>
      <c r="B1521">
        <v>40</v>
      </c>
      <c r="C1521">
        <v>87.54</v>
      </c>
      <c r="D1521">
        <v>16</v>
      </c>
      <c r="E1521">
        <v>3501.6</v>
      </c>
      <c r="F1521" s="1">
        <v>37858</v>
      </c>
      <c r="G1521" t="s">
        <v>25</v>
      </c>
      <c r="H1521">
        <v>3</v>
      </c>
      <c r="I1521">
        <v>8</v>
      </c>
      <c r="J1521">
        <v>2003</v>
      </c>
      <c r="K1521" t="s">
        <v>566</v>
      </c>
      <c r="L1521">
        <v>109</v>
      </c>
      <c r="M1521" t="s">
        <v>624</v>
      </c>
      <c r="N1521" t="s">
        <v>52</v>
      </c>
      <c r="O1521">
        <v>6265557265</v>
      </c>
      <c r="P1521" t="s">
        <v>53</v>
      </c>
      <c r="R1521" t="s">
        <v>54</v>
      </c>
      <c r="S1521" t="s">
        <v>55</v>
      </c>
      <c r="T1521">
        <v>90003</v>
      </c>
      <c r="U1521" t="s">
        <v>32</v>
      </c>
      <c r="V1521" t="s">
        <v>33</v>
      </c>
      <c r="W1521" t="s">
        <v>56</v>
      </c>
      <c r="X1521" t="s">
        <v>57</v>
      </c>
      <c r="Y1521" t="s">
        <v>51</v>
      </c>
    </row>
    <row r="1522" spans="1:25" x14ac:dyDescent="0.25">
      <c r="A1522">
        <v>10168</v>
      </c>
      <c r="B1522">
        <v>49</v>
      </c>
      <c r="C1522">
        <v>100</v>
      </c>
      <c r="D1522">
        <v>11</v>
      </c>
      <c r="E1522">
        <v>6433.7</v>
      </c>
      <c r="F1522" s="1">
        <v>37922</v>
      </c>
      <c r="G1522" t="s">
        <v>25</v>
      </c>
      <c r="H1522">
        <v>4</v>
      </c>
      <c r="I1522">
        <v>10</v>
      </c>
      <c r="J1522">
        <v>2003</v>
      </c>
      <c r="K1522" t="s">
        <v>566</v>
      </c>
      <c r="L1522">
        <v>109</v>
      </c>
      <c r="M1522" t="s">
        <v>624</v>
      </c>
      <c r="N1522" t="s">
        <v>62</v>
      </c>
      <c r="O1522">
        <v>6505556809</v>
      </c>
      <c r="P1522" t="s">
        <v>63</v>
      </c>
      <c r="R1522" t="s">
        <v>64</v>
      </c>
      <c r="S1522" t="s">
        <v>55</v>
      </c>
      <c r="T1522">
        <v>94217</v>
      </c>
      <c r="U1522" t="s">
        <v>32</v>
      </c>
      <c r="V1522" t="s">
        <v>33</v>
      </c>
      <c r="W1522" t="s">
        <v>65</v>
      </c>
      <c r="X1522" t="s">
        <v>66</v>
      </c>
      <c r="Y1522" t="s">
        <v>51</v>
      </c>
    </row>
    <row r="1523" spans="1:25" x14ac:dyDescent="0.25">
      <c r="A1523">
        <v>10210</v>
      </c>
      <c r="B1523">
        <v>27</v>
      </c>
      <c r="C1523">
        <v>98.48</v>
      </c>
      <c r="D1523">
        <v>9</v>
      </c>
      <c r="E1523">
        <v>2658.96</v>
      </c>
      <c r="F1523" s="1">
        <v>37998</v>
      </c>
      <c r="G1523" t="s">
        <v>25</v>
      </c>
      <c r="H1523">
        <v>1</v>
      </c>
      <c r="I1523">
        <v>1</v>
      </c>
      <c r="J1523">
        <v>2004</v>
      </c>
      <c r="K1523" t="s">
        <v>566</v>
      </c>
      <c r="L1523">
        <v>109</v>
      </c>
      <c r="M1523" t="s">
        <v>624</v>
      </c>
      <c r="N1523" t="s">
        <v>302</v>
      </c>
      <c r="O1523" t="s">
        <v>303</v>
      </c>
      <c r="P1523" t="s">
        <v>304</v>
      </c>
      <c r="R1523" t="s">
        <v>305</v>
      </c>
      <c r="S1523" t="s">
        <v>305</v>
      </c>
      <c r="T1523" t="s">
        <v>306</v>
      </c>
      <c r="U1523" t="s">
        <v>200</v>
      </c>
      <c r="V1523" t="s">
        <v>200</v>
      </c>
      <c r="W1523" t="s">
        <v>307</v>
      </c>
      <c r="X1523" t="s">
        <v>308</v>
      </c>
      <c r="Y1523" t="s">
        <v>36</v>
      </c>
    </row>
    <row r="1524" spans="1:25" x14ac:dyDescent="0.25">
      <c r="A1524">
        <v>10223</v>
      </c>
      <c r="B1524">
        <v>34</v>
      </c>
      <c r="C1524">
        <v>100</v>
      </c>
      <c r="D1524">
        <v>11</v>
      </c>
      <c r="E1524">
        <v>3608.76</v>
      </c>
      <c r="F1524" s="1">
        <v>38037</v>
      </c>
      <c r="G1524" t="s">
        <v>25</v>
      </c>
      <c r="H1524">
        <v>1</v>
      </c>
      <c r="I1524">
        <v>2</v>
      </c>
      <c r="J1524">
        <v>2004</v>
      </c>
      <c r="K1524" t="s">
        <v>566</v>
      </c>
      <c r="L1524">
        <v>109</v>
      </c>
      <c r="M1524" t="s">
        <v>624</v>
      </c>
      <c r="N1524" t="s">
        <v>89</v>
      </c>
      <c r="O1524" t="s">
        <v>90</v>
      </c>
      <c r="P1524" t="s">
        <v>91</v>
      </c>
      <c r="Q1524" t="s">
        <v>92</v>
      </c>
      <c r="R1524" t="s">
        <v>93</v>
      </c>
      <c r="S1524" t="s">
        <v>94</v>
      </c>
      <c r="T1524">
        <v>3004</v>
      </c>
      <c r="U1524" t="s">
        <v>95</v>
      </c>
      <c r="V1524" t="s">
        <v>96</v>
      </c>
      <c r="W1524" t="s">
        <v>97</v>
      </c>
      <c r="X1524" t="s">
        <v>98</v>
      </c>
      <c r="Y1524" t="s">
        <v>51</v>
      </c>
    </row>
    <row r="1525" spans="1:25" x14ac:dyDescent="0.25">
      <c r="A1525">
        <v>10235</v>
      </c>
      <c r="B1525">
        <v>23</v>
      </c>
      <c r="C1525">
        <v>96.29</v>
      </c>
      <c r="D1525">
        <v>5</v>
      </c>
      <c r="E1525">
        <v>2214.67</v>
      </c>
      <c r="F1525" s="1">
        <v>38079</v>
      </c>
      <c r="G1525" t="s">
        <v>25</v>
      </c>
      <c r="H1525">
        <v>2</v>
      </c>
      <c r="I1525">
        <v>4</v>
      </c>
      <c r="J1525">
        <v>2004</v>
      </c>
      <c r="K1525" t="s">
        <v>566</v>
      </c>
      <c r="L1525">
        <v>109</v>
      </c>
      <c r="M1525" t="s">
        <v>624</v>
      </c>
      <c r="N1525" t="s">
        <v>373</v>
      </c>
      <c r="O1525" t="s">
        <v>374</v>
      </c>
      <c r="P1525" t="s">
        <v>375</v>
      </c>
      <c r="R1525" t="s">
        <v>376</v>
      </c>
      <c r="S1525" t="s">
        <v>229</v>
      </c>
      <c r="T1525" t="s">
        <v>377</v>
      </c>
      <c r="U1525" t="s">
        <v>231</v>
      </c>
      <c r="V1525" t="s">
        <v>33</v>
      </c>
      <c r="W1525" t="s">
        <v>378</v>
      </c>
      <c r="X1525" t="s">
        <v>172</v>
      </c>
      <c r="Y1525" t="s">
        <v>36</v>
      </c>
    </row>
    <row r="1526" spans="1:25" x14ac:dyDescent="0.25">
      <c r="A1526">
        <v>10250</v>
      </c>
      <c r="B1526">
        <v>31</v>
      </c>
      <c r="C1526">
        <v>88.63</v>
      </c>
      <c r="D1526">
        <v>6</v>
      </c>
      <c r="E1526">
        <v>2747.53</v>
      </c>
      <c r="F1526" s="1">
        <v>38118</v>
      </c>
      <c r="G1526" t="s">
        <v>25</v>
      </c>
      <c r="H1526">
        <v>2</v>
      </c>
      <c r="I1526">
        <v>5</v>
      </c>
      <c r="J1526">
        <v>2004</v>
      </c>
      <c r="K1526" t="s">
        <v>566</v>
      </c>
      <c r="L1526">
        <v>109</v>
      </c>
      <c r="M1526" t="s">
        <v>624</v>
      </c>
      <c r="N1526" t="s">
        <v>397</v>
      </c>
      <c r="O1526">
        <v>4085553659</v>
      </c>
      <c r="P1526" t="s">
        <v>398</v>
      </c>
      <c r="R1526" t="s">
        <v>399</v>
      </c>
      <c r="S1526" t="s">
        <v>55</v>
      </c>
      <c r="T1526">
        <v>94217</v>
      </c>
      <c r="U1526" t="s">
        <v>32</v>
      </c>
      <c r="V1526" t="s">
        <v>33</v>
      </c>
      <c r="W1526" t="s">
        <v>102</v>
      </c>
      <c r="X1526" t="s">
        <v>400</v>
      </c>
      <c r="Y1526" t="s">
        <v>36</v>
      </c>
    </row>
    <row r="1527" spans="1:25" x14ac:dyDescent="0.25">
      <c r="A1527">
        <v>10262</v>
      </c>
      <c r="B1527">
        <v>34</v>
      </c>
      <c r="C1527">
        <v>97.38</v>
      </c>
      <c r="D1527">
        <v>1</v>
      </c>
      <c r="E1527">
        <v>3310.92</v>
      </c>
      <c r="F1527" s="1">
        <v>38162</v>
      </c>
      <c r="G1527" t="s">
        <v>339</v>
      </c>
      <c r="H1527">
        <v>2</v>
      </c>
      <c r="I1527">
        <v>6</v>
      </c>
      <c r="J1527">
        <v>2004</v>
      </c>
      <c r="K1527" t="s">
        <v>566</v>
      </c>
      <c r="L1527">
        <v>109</v>
      </c>
      <c r="M1527" t="s">
        <v>624</v>
      </c>
      <c r="N1527" t="s">
        <v>174</v>
      </c>
      <c r="O1527" t="s">
        <v>175</v>
      </c>
      <c r="P1527" t="s">
        <v>176</v>
      </c>
      <c r="R1527" t="s">
        <v>177</v>
      </c>
      <c r="T1527">
        <v>28034</v>
      </c>
      <c r="U1527" t="s">
        <v>178</v>
      </c>
      <c r="V1527" t="s">
        <v>42</v>
      </c>
      <c r="W1527" t="s">
        <v>179</v>
      </c>
      <c r="X1527" t="s">
        <v>180</v>
      </c>
      <c r="Y1527" t="s">
        <v>51</v>
      </c>
    </row>
    <row r="1528" spans="1:25" x14ac:dyDescent="0.25">
      <c r="A1528">
        <v>10275</v>
      </c>
      <c r="B1528">
        <v>25</v>
      </c>
      <c r="C1528">
        <v>95.2</v>
      </c>
      <c r="D1528">
        <v>11</v>
      </c>
      <c r="E1528">
        <v>2380</v>
      </c>
      <c r="F1528" s="1">
        <v>38191</v>
      </c>
      <c r="G1528" t="s">
        <v>25</v>
      </c>
      <c r="H1528">
        <v>3</v>
      </c>
      <c r="I1528">
        <v>7</v>
      </c>
      <c r="J1528">
        <v>2004</v>
      </c>
      <c r="K1528" t="s">
        <v>566</v>
      </c>
      <c r="L1528">
        <v>109</v>
      </c>
      <c r="M1528" t="s">
        <v>624</v>
      </c>
      <c r="N1528" t="s">
        <v>114</v>
      </c>
      <c r="O1528" t="s">
        <v>115</v>
      </c>
      <c r="P1528" t="s">
        <v>116</v>
      </c>
      <c r="R1528" t="s">
        <v>117</v>
      </c>
      <c r="T1528">
        <v>44000</v>
      </c>
      <c r="U1528" t="s">
        <v>41</v>
      </c>
      <c r="V1528" t="s">
        <v>42</v>
      </c>
      <c r="W1528" t="s">
        <v>118</v>
      </c>
      <c r="X1528" t="s">
        <v>119</v>
      </c>
      <c r="Y1528" t="s">
        <v>36</v>
      </c>
    </row>
    <row r="1529" spans="1:25" x14ac:dyDescent="0.25">
      <c r="A1529">
        <v>10284</v>
      </c>
      <c r="B1529">
        <v>22</v>
      </c>
      <c r="C1529">
        <v>100</v>
      </c>
      <c r="D1529">
        <v>3</v>
      </c>
      <c r="E1529">
        <v>2310.88</v>
      </c>
      <c r="F1529" s="1">
        <v>38220</v>
      </c>
      <c r="G1529" t="s">
        <v>25</v>
      </c>
      <c r="H1529">
        <v>3</v>
      </c>
      <c r="I1529">
        <v>8</v>
      </c>
      <c r="J1529">
        <v>2004</v>
      </c>
      <c r="K1529" t="s">
        <v>566</v>
      </c>
      <c r="L1529">
        <v>109</v>
      </c>
      <c r="M1529" t="s">
        <v>624</v>
      </c>
      <c r="N1529" t="s">
        <v>543</v>
      </c>
      <c r="O1529" t="s">
        <v>544</v>
      </c>
      <c r="P1529" t="s">
        <v>545</v>
      </c>
      <c r="R1529" t="s">
        <v>546</v>
      </c>
      <c r="T1529" t="s">
        <v>547</v>
      </c>
      <c r="U1529" t="s">
        <v>78</v>
      </c>
      <c r="V1529" t="s">
        <v>42</v>
      </c>
      <c r="W1529" t="s">
        <v>548</v>
      </c>
      <c r="X1529" t="s">
        <v>549</v>
      </c>
      <c r="Y1529" t="s">
        <v>36</v>
      </c>
    </row>
    <row r="1530" spans="1:25" x14ac:dyDescent="0.25">
      <c r="A1530">
        <v>10297</v>
      </c>
      <c r="B1530">
        <v>32</v>
      </c>
      <c r="C1530">
        <v>100</v>
      </c>
      <c r="D1530">
        <v>6</v>
      </c>
      <c r="E1530">
        <v>4061.76</v>
      </c>
      <c r="F1530" s="1">
        <v>38246</v>
      </c>
      <c r="G1530" t="s">
        <v>25</v>
      </c>
      <c r="H1530">
        <v>3</v>
      </c>
      <c r="I1530">
        <v>9</v>
      </c>
      <c r="J1530">
        <v>2004</v>
      </c>
      <c r="K1530" t="s">
        <v>566</v>
      </c>
      <c r="L1530">
        <v>109</v>
      </c>
      <c r="M1530" t="s">
        <v>624</v>
      </c>
      <c r="N1530" t="s">
        <v>479</v>
      </c>
      <c r="O1530" t="s">
        <v>480</v>
      </c>
      <c r="P1530" t="s">
        <v>481</v>
      </c>
      <c r="Q1530" t="s">
        <v>482</v>
      </c>
      <c r="R1530" t="s">
        <v>483</v>
      </c>
      <c r="T1530">
        <v>2</v>
      </c>
      <c r="U1530" t="s">
        <v>484</v>
      </c>
      <c r="V1530" t="s">
        <v>42</v>
      </c>
      <c r="W1530" t="s">
        <v>485</v>
      </c>
      <c r="X1530" t="s">
        <v>486</v>
      </c>
      <c r="Y1530" t="s">
        <v>51</v>
      </c>
    </row>
    <row r="1531" spans="1:25" x14ac:dyDescent="0.25">
      <c r="A1531">
        <v>10308</v>
      </c>
      <c r="B1531">
        <v>31</v>
      </c>
      <c r="C1531">
        <v>100</v>
      </c>
      <c r="D1531">
        <v>9</v>
      </c>
      <c r="E1531">
        <v>3493.7</v>
      </c>
      <c r="F1531" s="1">
        <v>38275</v>
      </c>
      <c r="G1531" t="s">
        <v>25</v>
      </c>
      <c r="H1531">
        <v>4</v>
      </c>
      <c r="I1531">
        <v>10</v>
      </c>
      <c r="J1531">
        <v>2004</v>
      </c>
      <c r="K1531" t="s">
        <v>566</v>
      </c>
      <c r="L1531">
        <v>109</v>
      </c>
      <c r="M1531" t="s">
        <v>624</v>
      </c>
      <c r="N1531" t="s">
        <v>317</v>
      </c>
      <c r="O1531">
        <v>9145554562</v>
      </c>
      <c r="P1531" t="s">
        <v>318</v>
      </c>
      <c r="R1531" t="s">
        <v>319</v>
      </c>
      <c r="S1531" t="s">
        <v>31</v>
      </c>
      <c r="T1531">
        <v>24067</v>
      </c>
      <c r="U1531" t="s">
        <v>32</v>
      </c>
      <c r="V1531" t="s">
        <v>33</v>
      </c>
      <c r="W1531" t="s">
        <v>102</v>
      </c>
      <c r="X1531" t="s">
        <v>238</v>
      </c>
      <c r="Y1531" t="s">
        <v>51</v>
      </c>
    </row>
    <row r="1532" spans="1:25" x14ac:dyDescent="0.25">
      <c r="A1532">
        <v>10316</v>
      </c>
      <c r="B1532">
        <v>25</v>
      </c>
      <c r="C1532">
        <v>100</v>
      </c>
      <c r="D1532">
        <v>1</v>
      </c>
      <c r="E1532">
        <v>2872.25</v>
      </c>
      <c r="F1532" s="1">
        <v>38292</v>
      </c>
      <c r="G1532" t="s">
        <v>25</v>
      </c>
      <c r="H1532">
        <v>4</v>
      </c>
      <c r="I1532">
        <v>11</v>
      </c>
      <c r="J1532">
        <v>2004</v>
      </c>
      <c r="K1532" t="s">
        <v>566</v>
      </c>
      <c r="L1532">
        <v>109</v>
      </c>
      <c r="M1532" t="s">
        <v>624</v>
      </c>
      <c r="N1532" t="s">
        <v>383</v>
      </c>
      <c r="O1532" t="s">
        <v>384</v>
      </c>
      <c r="P1532" t="s">
        <v>385</v>
      </c>
      <c r="R1532" t="s">
        <v>386</v>
      </c>
      <c r="S1532" t="s">
        <v>387</v>
      </c>
      <c r="T1532" t="s">
        <v>388</v>
      </c>
      <c r="U1532" t="s">
        <v>170</v>
      </c>
      <c r="V1532" t="s">
        <v>42</v>
      </c>
      <c r="W1532" t="s">
        <v>389</v>
      </c>
      <c r="X1532" t="s">
        <v>390</v>
      </c>
      <c r="Y1532" t="s">
        <v>36</v>
      </c>
    </row>
    <row r="1533" spans="1:25" x14ac:dyDescent="0.25">
      <c r="A1533">
        <v>10328</v>
      </c>
      <c r="B1533">
        <v>47</v>
      </c>
      <c r="C1533">
        <v>87.54</v>
      </c>
      <c r="D1533">
        <v>14</v>
      </c>
      <c r="E1533">
        <v>4114.38</v>
      </c>
      <c r="F1533" s="1">
        <v>38303</v>
      </c>
      <c r="G1533" t="s">
        <v>25</v>
      </c>
      <c r="H1533">
        <v>4</v>
      </c>
      <c r="I1533">
        <v>11</v>
      </c>
      <c r="J1533">
        <v>2004</v>
      </c>
      <c r="K1533" t="s">
        <v>566</v>
      </c>
      <c r="L1533">
        <v>109</v>
      </c>
      <c r="M1533" t="s">
        <v>624</v>
      </c>
      <c r="N1533" t="s">
        <v>552</v>
      </c>
      <c r="O1533" t="s">
        <v>553</v>
      </c>
      <c r="P1533" t="s">
        <v>554</v>
      </c>
      <c r="R1533" t="s">
        <v>555</v>
      </c>
      <c r="T1533">
        <v>24100</v>
      </c>
      <c r="U1533" t="s">
        <v>258</v>
      </c>
      <c r="V1533" t="s">
        <v>42</v>
      </c>
      <c r="W1533" t="s">
        <v>556</v>
      </c>
      <c r="X1533" t="s">
        <v>557</v>
      </c>
      <c r="Y1533" t="s">
        <v>51</v>
      </c>
    </row>
    <row r="1534" spans="1:25" x14ac:dyDescent="0.25">
      <c r="A1534">
        <v>10339</v>
      </c>
      <c r="B1534">
        <v>21</v>
      </c>
      <c r="C1534">
        <v>50.65</v>
      </c>
      <c r="D1534">
        <v>7</v>
      </c>
      <c r="E1534">
        <v>1063.6500000000001</v>
      </c>
      <c r="F1534" s="1">
        <v>38314</v>
      </c>
      <c r="G1534" t="s">
        <v>25</v>
      </c>
      <c r="H1534">
        <v>4</v>
      </c>
      <c r="I1534">
        <v>11</v>
      </c>
      <c r="J1534">
        <v>2004</v>
      </c>
      <c r="K1534" t="s">
        <v>566</v>
      </c>
      <c r="L1534">
        <v>109</v>
      </c>
      <c r="M1534" t="s">
        <v>624</v>
      </c>
      <c r="N1534" t="s">
        <v>246</v>
      </c>
      <c r="O1534" t="s">
        <v>247</v>
      </c>
      <c r="P1534" t="s">
        <v>248</v>
      </c>
      <c r="R1534" t="s">
        <v>249</v>
      </c>
      <c r="S1534" t="s">
        <v>250</v>
      </c>
      <c r="T1534" t="s">
        <v>251</v>
      </c>
      <c r="U1534" t="s">
        <v>200</v>
      </c>
      <c r="V1534" t="s">
        <v>200</v>
      </c>
      <c r="W1534" t="s">
        <v>252</v>
      </c>
      <c r="X1534" t="s">
        <v>253</v>
      </c>
      <c r="Y1534" t="s">
        <v>36</v>
      </c>
    </row>
    <row r="1535" spans="1:25" x14ac:dyDescent="0.25">
      <c r="A1535">
        <v>10353</v>
      </c>
      <c r="B1535">
        <v>28</v>
      </c>
      <c r="C1535">
        <v>71.73</v>
      </c>
      <c r="D1535">
        <v>2</v>
      </c>
      <c r="E1535">
        <v>2008.44</v>
      </c>
      <c r="F1535" s="1">
        <v>38325</v>
      </c>
      <c r="G1535" t="s">
        <v>25</v>
      </c>
      <c r="H1535">
        <v>4</v>
      </c>
      <c r="I1535">
        <v>12</v>
      </c>
      <c r="J1535">
        <v>2004</v>
      </c>
      <c r="K1535" t="s">
        <v>566</v>
      </c>
      <c r="L1535">
        <v>109</v>
      </c>
      <c r="M1535" t="s">
        <v>624</v>
      </c>
      <c r="N1535" t="s">
        <v>568</v>
      </c>
      <c r="O1535">
        <v>2035554407</v>
      </c>
      <c r="P1535" t="s">
        <v>569</v>
      </c>
      <c r="R1535" t="s">
        <v>516</v>
      </c>
      <c r="S1535" t="s">
        <v>112</v>
      </c>
      <c r="T1535">
        <v>97561</v>
      </c>
      <c r="U1535" t="s">
        <v>32</v>
      </c>
      <c r="V1535" t="s">
        <v>33</v>
      </c>
      <c r="W1535" t="s">
        <v>570</v>
      </c>
      <c r="X1535" t="s">
        <v>571</v>
      </c>
      <c r="Y1535" t="s">
        <v>36</v>
      </c>
    </row>
    <row r="1536" spans="1:25" x14ac:dyDescent="0.25">
      <c r="A1536">
        <v>10374</v>
      </c>
      <c r="B1536">
        <v>46</v>
      </c>
      <c r="C1536">
        <v>94.1</v>
      </c>
      <c r="D1536">
        <v>3</v>
      </c>
      <c r="E1536">
        <v>4328.6000000000004</v>
      </c>
      <c r="F1536" s="1">
        <v>38385</v>
      </c>
      <c r="G1536" t="s">
        <v>25</v>
      </c>
      <c r="H1536">
        <v>1</v>
      </c>
      <c r="I1536">
        <v>2</v>
      </c>
      <c r="J1536">
        <v>2005</v>
      </c>
      <c r="K1536" t="s">
        <v>566</v>
      </c>
      <c r="L1536">
        <v>109</v>
      </c>
      <c r="M1536" t="s">
        <v>624</v>
      </c>
      <c r="N1536" t="s">
        <v>207</v>
      </c>
      <c r="O1536" t="s">
        <v>208</v>
      </c>
      <c r="P1536" t="s">
        <v>209</v>
      </c>
      <c r="R1536" t="s">
        <v>210</v>
      </c>
      <c r="S1536" t="s">
        <v>211</v>
      </c>
      <c r="T1536">
        <v>4101</v>
      </c>
      <c r="U1536" t="s">
        <v>95</v>
      </c>
      <c r="V1536" t="s">
        <v>96</v>
      </c>
      <c r="W1536" t="s">
        <v>212</v>
      </c>
      <c r="X1536" t="s">
        <v>213</v>
      </c>
      <c r="Y1536" t="s">
        <v>51</v>
      </c>
    </row>
    <row r="1537" spans="1:25" x14ac:dyDescent="0.25">
      <c r="A1537">
        <v>10386</v>
      </c>
      <c r="B1537">
        <v>33</v>
      </c>
      <c r="C1537">
        <v>41.71</v>
      </c>
      <c r="D1537">
        <v>11</v>
      </c>
      <c r="E1537">
        <v>1376.43</v>
      </c>
      <c r="F1537" s="1">
        <v>38412</v>
      </c>
      <c r="G1537" t="s">
        <v>408</v>
      </c>
      <c r="H1537">
        <v>1</v>
      </c>
      <c r="I1537">
        <v>3</v>
      </c>
      <c r="J1537">
        <v>2005</v>
      </c>
      <c r="K1537" t="s">
        <v>566</v>
      </c>
      <c r="L1537">
        <v>109</v>
      </c>
      <c r="M1537" t="s">
        <v>624</v>
      </c>
      <c r="N1537" t="s">
        <v>174</v>
      </c>
      <c r="O1537" t="s">
        <v>175</v>
      </c>
      <c r="P1537" t="s">
        <v>176</v>
      </c>
      <c r="R1537" t="s">
        <v>177</v>
      </c>
      <c r="T1537">
        <v>28034</v>
      </c>
      <c r="U1537" t="s">
        <v>178</v>
      </c>
      <c r="V1537" t="s">
        <v>42</v>
      </c>
      <c r="W1537" t="s">
        <v>179</v>
      </c>
      <c r="X1537" t="s">
        <v>180</v>
      </c>
      <c r="Y1537" t="s">
        <v>36</v>
      </c>
    </row>
    <row r="1538" spans="1:25" x14ac:dyDescent="0.25">
      <c r="A1538">
        <v>10398</v>
      </c>
      <c r="B1538">
        <v>43</v>
      </c>
      <c r="C1538">
        <v>100</v>
      </c>
      <c r="D1538">
        <v>16</v>
      </c>
      <c r="E1538">
        <v>5552.16</v>
      </c>
      <c r="F1538" s="1">
        <v>38441</v>
      </c>
      <c r="G1538" t="s">
        <v>25</v>
      </c>
      <c r="H1538">
        <v>1</v>
      </c>
      <c r="I1538">
        <v>3</v>
      </c>
      <c r="J1538">
        <v>2005</v>
      </c>
      <c r="K1538" t="s">
        <v>566</v>
      </c>
      <c r="L1538">
        <v>109</v>
      </c>
      <c r="M1538" t="s">
        <v>624</v>
      </c>
      <c r="N1538" t="s">
        <v>37</v>
      </c>
      <c r="O1538" t="s">
        <v>38</v>
      </c>
      <c r="P1538" t="s">
        <v>39</v>
      </c>
      <c r="R1538" t="s">
        <v>40</v>
      </c>
      <c r="T1538">
        <v>51100</v>
      </c>
      <c r="U1538" t="s">
        <v>41</v>
      </c>
      <c r="V1538" t="s">
        <v>42</v>
      </c>
      <c r="W1538" t="s">
        <v>43</v>
      </c>
      <c r="X1538" t="s">
        <v>44</v>
      </c>
      <c r="Y1538" t="s">
        <v>51</v>
      </c>
    </row>
    <row r="1539" spans="1:25" x14ac:dyDescent="0.25">
      <c r="A1539">
        <v>10401</v>
      </c>
      <c r="B1539">
        <v>38</v>
      </c>
      <c r="C1539">
        <v>96.29</v>
      </c>
      <c r="D1539">
        <v>5</v>
      </c>
      <c r="E1539">
        <v>3659.02</v>
      </c>
      <c r="F1539" s="1">
        <v>38445</v>
      </c>
      <c r="G1539" t="s">
        <v>401</v>
      </c>
      <c r="H1539">
        <v>2</v>
      </c>
      <c r="I1539">
        <v>4</v>
      </c>
      <c r="J1539">
        <v>2005</v>
      </c>
      <c r="K1539" t="s">
        <v>566</v>
      </c>
      <c r="L1539">
        <v>109</v>
      </c>
      <c r="M1539" t="s">
        <v>624</v>
      </c>
      <c r="N1539" t="s">
        <v>104</v>
      </c>
      <c r="O1539">
        <v>2015559350</v>
      </c>
      <c r="P1539" t="s">
        <v>105</v>
      </c>
      <c r="R1539" t="s">
        <v>106</v>
      </c>
      <c r="S1539" t="s">
        <v>107</v>
      </c>
      <c r="T1539">
        <v>94019</v>
      </c>
      <c r="U1539" t="s">
        <v>32</v>
      </c>
      <c r="V1539" t="s">
        <v>33</v>
      </c>
      <c r="W1539" t="s">
        <v>61</v>
      </c>
      <c r="X1539" t="s">
        <v>108</v>
      </c>
      <c r="Y1539" t="s">
        <v>51</v>
      </c>
    </row>
    <row r="1540" spans="1:25" x14ac:dyDescent="0.25">
      <c r="A1540">
        <v>10416</v>
      </c>
      <c r="B1540">
        <v>47</v>
      </c>
      <c r="C1540">
        <v>88.63</v>
      </c>
      <c r="D1540">
        <v>6</v>
      </c>
      <c r="E1540">
        <v>4165.6099999999997</v>
      </c>
      <c r="F1540" s="1">
        <v>38482</v>
      </c>
      <c r="G1540" t="s">
        <v>25</v>
      </c>
      <c r="H1540">
        <v>2</v>
      </c>
      <c r="I1540">
        <v>5</v>
      </c>
      <c r="J1540">
        <v>2005</v>
      </c>
      <c r="K1540" t="s">
        <v>566</v>
      </c>
      <c r="L1540">
        <v>109</v>
      </c>
      <c r="M1540" t="s">
        <v>624</v>
      </c>
      <c r="N1540" t="s">
        <v>452</v>
      </c>
      <c r="O1540" t="s">
        <v>453</v>
      </c>
      <c r="P1540" t="s">
        <v>454</v>
      </c>
      <c r="R1540" t="s">
        <v>455</v>
      </c>
      <c r="T1540">
        <v>42100</v>
      </c>
      <c r="U1540" t="s">
        <v>258</v>
      </c>
      <c r="V1540" t="s">
        <v>42</v>
      </c>
      <c r="W1540" t="s">
        <v>456</v>
      </c>
      <c r="X1540" t="s">
        <v>457</v>
      </c>
      <c r="Y1540" t="s">
        <v>51</v>
      </c>
    </row>
    <row r="1541" spans="1:25" x14ac:dyDescent="0.25">
      <c r="A1541">
        <v>10101</v>
      </c>
      <c r="B1541">
        <v>45</v>
      </c>
      <c r="C1541">
        <v>31.2</v>
      </c>
      <c r="D1541">
        <v>3</v>
      </c>
      <c r="E1541">
        <v>1404</v>
      </c>
      <c r="F1541" s="1">
        <v>37630</v>
      </c>
      <c r="G1541" t="s">
        <v>25</v>
      </c>
      <c r="H1541">
        <v>1</v>
      </c>
      <c r="I1541">
        <v>1</v>
      </c>
      <c r="J1541">
        <v>2003</v>
      </c>
      <c r="K1541" t="s">
        <v>550</v>
      </c>
      <c r="L1541">
        <v>33</v>
      </c>
      <c r="M1541" t="s">
        <v>625</v>
      </c>
      <c r="N1541" t="s">
        <v>462</v>
      </c>
      <c r="O1541" t="s">
        <v>463</v>
      </c>
      <c r="P1541" t="s">
        <v>464</v>
      </c>
      <c r="R1541" t="s">
        <v>465</v>
      </c>
      <c r="T1541">
        <v>60528</v>
      </c>
      <c r="U1541" t="s">
        <v>443</v>
      </c>
      <c r="V1541" t="s">
        <v>42</v>
      </c>
      <c r="W1541" t="s">
        <v>466</v>
      </c>
      <c r="X1541" t="s">
        <v>414</v>
      </c>
      <c r="Y1541" t="s">
        <v>36</v>
      </c>
    </row>
    <row r="1542" spans="1:25" x14ac:dyDescent="0.25">
      <c r="A1542">
        <v>10110</v>
      </c>
      <c r="B1542">
        <v>20</v>
      </c>
      <c r="C1542">
        <v>35.51</v>
      </c>
      <c r="D1542">
        <v>3</v>
      </c>
      <c r="E1542">
        <v>710.2</v>
      </c>
      <c r="F1542" s="1">
        <v>37698</v>
      </c>
      <c r="G1542" t="s">
        <v>25</v>
      </c>
      <c r="H1542">
        <v>1</v>
      </c>
      <c r="I1542">
        <v>3</v>
      </c>
      <c r="J1542">
        <v>2003</v>
      </c>
      <c r="K1542" t="s">
        <v>550</v>
      </c>
      <c r="L1542">
        <v>33</v>
      </c>
      <c r="M1542" t="s">
        <v>625</v>
      </c>
      <c r="N1542" t="s">
        <v>492</v>
      </c>
      <c r="O1542" t="s">
        <v>493</v>
      </c>
      <c r="P1542" t="s">
        <v>494</v>
      </c>
      <c r="R1542" t="s">
        <v>495</v>
      </c>
      <c r="T1542" t="s">
        <v>496</v>
      </c>
      <c r="U1542" t="s">
        <v>170</v>
      </c>
      <c r="V1542" t="s">
        <v>42</v>
      </c>
      <c r="W1542" t="s">
        <v>497</v>
      </c>
      <c r="X1542" t="s">
        <v>94</v>
      </c>
      <c r="Y1542" t="s">
        <v>36</v>
      </c>
    </row>
    <row r="1543" spans="1:25" x14ac:dyDescent="0.25">
      <c r="A1543">
        <v>10124</v>
      </c>
      <c r="B1543">
        <v>45</v>
      </c>
      <c r="C1543">
        <v>37.840000000000003</v>
      </c>
      <c r="D1543">
        <v>2</v>
      </c>
      <c r="E1543">
        <v>1702.8</v>
      </c>
      <c r="F1543" s="1">
        <v>37762</v>
      </c>
      <c r="G1543" t="s">
        <v>25</v>
      </c>
      <c r="H1543">
        <v>2</v>
      </c>
      <c r="I1543">
        <v>5</v>
      </c>
      <c r="J1543">
        <v>2003</v>
      </c>
      <c r="K1543" t="s">
        <v>550</v>
      </c>
      <c r="L1543">
        <v>33</v>
      </c>
      <c r="M1543" t="s">
        <v>625</v>
      </c>
      <c r="N1543" t="s">
        <v>539</v>
      </c>
      <c r="O1543">
        <v>7025551838</v>
      </c>
      <c r="P1543" t="s">
        <v>540</v>
      </c>
      <c r="R1543" t="s">
        <v>541</v>
      </c>
      <c r="S1543" t="s">
        <v>542</v>
      </c>
      <c r="T1543">
        <v>83030</v>
      </c>
      <c r="U1543" t="s">
        <v>32</v>
      </c>
      <c r="V1543" t="s">
        <v>33</v>
      </c>
      <c r="W1543" t="s">
        <v>113</v>
      </c>
      <c r="X1543" t="s">
        <v>400</v>
      </c>
      <c r="Y1543" t="s">
        <v>36</v>
      </c>
    </row>
    <row r="1544" spans="1:25" x14ac:dyDescent="0.25">
      <c r="A1544">
        <v>10149</v>
      </c>
      <c r="B1544">
        <v>36</v>
      </c>
      <c r="C1544">
        <v>33.19</v>
      </c>
      <c r="D1544">
        <v>7</v>
      </c>
      <c r="E1544">
        <v>1194.8399999999999</v>
      </c>
      <c r="F1544" s="1">
        <v>37876</v>
      </c>
      <c r="G1544" t="s">
        <v>25</v>
      </c>
      <c r="H1544">
        <v>3</v>
      </c>
      <c r="I1544">
        <v>9</v>
      </c>
      <c r="J1544">
        <v>2003</v>
      </c>
      <c r="K1544" t="s">
        <v>550</v>
      </c>
      <c r="L1544">
        <v>33</v>
      </c>
      <c r="M1544" t="s">
        <v>625</v>
      </c>
      <c r="N1544" t="s">
        <v>526</v>
      </c>
      <c r="O1544">
        <v>4155554312</v>
      </c>
      <c r="P1544" t="s">
        <v>527</v>
      </c>
      <c r="R1544" t="s">
        <v>528</v>
      </c>
      <c r="S1544" t="s">
        <v>55</v>
      </c>
      <c r="T1544">
        <v>94217</v>
      </c>
      <c r="U1544" t="s">
        <v>32</v>
      </c>
      <c r="V1544" t="s">
        <v>33</v>
      </c>
      <c r="W1544" t="s">
        <v>529</v>
      </c>
      <c r="X1544" t="s">
        <v>400</v>
      </c>
      <c r="Y1544" t="s">
        <v>36</v>
      </c>
    </row>
    <row r="1545" spans="1:25" x14ac:dyDescent="0.25">
      <c r="A1545">
        <v>10162</v>
      </c>
      <c r="B1545">
        <v>37</v>
      </c>
      <c r="C1545">
        <v>27.22</v>
      </c>
      <c r="D1545">
        <v>5</v>
      </c>
      <c r="E1545">
        <v>1007.14</v>
      </c>
      <c r="F1545" s="1">
        <v>37912</v>
      </c>
      <c r="G1545" t="s">
        <v>25</v>
      </c>
      <c r="H1545">
        <v>4</v>
      </c>
      <c r="I1545">
        <v>10</v>
      </c>
      <c r="J1545">
        <v>2003</v>
      </c>
      <c r="K1545" t="s">
        <v>550</v>
      </c>
      <c r="L1545">
        <v>33</v>
      </c>
      <c r="M1545" t="s">
        <v>625</v>
      </c>
      <c r="N1545" t="s">
        <v>58</v>
      </c>
      <c r="O1545">
        <v>6505551386</v>
      </c>
      <c r="P1545" t="s">
        <v>59</v>
      </c>
      <c r="R1545" t="s">
        <v>60</v>
      </c>
      <c r="S1545" t="s">
        <v>55</v>
      </c>
      <c r="U1545" t="s">
        <v>32</v>
      </c>
      <c r="V1545" t="s">
        <v>33</v>
      </c>
      <c r="W1545" t="s">
        <v>61</v>
      </c>
      <c r="X1545" t="s">
        <v>57</v>
      </c>
      <c r="Y1545" t="s">
        <v>36</v>
      </c>
    </row>
    <row r="1546" spans="1:25" x14ac:dyDescent="0.25">
      <c r="A1546">
        <v>10173</v>
      </c>
      <c r="B1546">
        <v>31</v>
      </c>
      <c r="C1546">
        <v>31.53</v>
      </c>
      <c r="D1546">
        <v>9</v>
      </c>
      <c r="E1546">
        <v>977.43</v>
      </c>
      <c r="F1546" s="1">
        <v>37930</v>
      </c>
      <c r="G1546" t="s">
        <v>25</v>
      </c>
      <c r="H1546">
        <v>4</v>
      </c>
      <c r="I1546">
        <v>11</v>
      </c>
      <c r="J1546">
        <v>2003</v>
      </c>
      <c r="K1546" t="s">
        <v>550</v>
      </c>
      <c r="L1546">
        <v>33</v>
      </c>
      <c r="M1546" t="s">
        <v>625</v>
      </c>
      <c r="N1546" t="s">
        <v>552</v>
      </c>
      <c r="O1546" t="s">
        <v>553</v>
      </c>
      <c r="P1546" t="s">
        <v>554</v>
      </c>
      <c r="R1546" t="s">
        <v>555</v>
      </c>
      <c r="T1546">
        <v>24100</v>
      </c>
      <c r="U1546" t="s">
        <v>258</v>
      </c>
      <c r="V1546" t="s">
        <v>42</v>
      </c>
      <c r="W1546" t="s">
        <v>556</v>
      </c>
      <c r="X1546" t="s">
        <v>557</v>
      </c>
      <c r="Y1546" t="s">
        <v>36</v>
      </c>
    </row>
    <row r="1547" spans="1:25" x14ac:dyDescent="0.25">
      <c r="A1547">
        <v>10182</v>
      </c>
      <c r="B1547">
        <v>39</v>
      </c>
      <c r="C1547">
        <v>36.840000000000003</v>
      </c>
      <c r="D1547">
        <v>6</v>
      </c>
      <c r="E1547">
        <v>1436.76</v>
      </c>
      <c r="F1547" s="1">
        <v>37937</v>
      </c>
      <c r="G1547" t="s">
        <v>25</v>
      </c>
      <c r="H1547">
        <v>4</v>
      </c>
      <c r="I1547">
        <v>11</v>
      </c>
      <c r="J1547">
        <v>2003</v>
      </c>
      <c r="K1547" t="s">
        <v>550</v>
      </c>
      <c r="L1547">
        <v>33</v>
      </c>
      <c r="M1547" t="s">
        <v>625</v>
      </c>
      <c r="N1547" t="s">
        <v>272</v>
      </c>
      <c r="O1547">
        <v>4155551450</v>
      </c>
      <c r="P1547" t="s">
        <v>273</v>
      </c>
      <c r="R1547" t="s">
        <v>274</v>
      </c>
      <c r="S1547" t="s">
        <v>55</v>
      </c>
      <c r="T1547">
        <v>97562</v>
      </c>
      <c r="U1547" t="s">
        <v>32</v>
      </c>
      <c r="V1547" t="s">
        <v>33</v>
      </c>
      <c r="W1547" t="s">
        <v>275</v>
      </c>
      <c r="X1547" t="s">
        <v>276</v>
      </c>
      <c r="Y1547" t="s">
        <v>36</v>
      </c>
    </row>
    <row r="1548" spans="1:25" x14ac:dyDescent="0.25">
      <c r="A1548">
        <v>10193</v>
      </c>
      <c r="B1548">
        <v>26</v>
      </c>
      <c r="C1548">
        <v>29.21</v>
      </c>
      <c r="D1548">
        <v>10</v>
      </c>
      <c r="E1548">
        <v>759.46</v>
      </c>
      <c r="F1548" s="1">
        <v>37946</v>
      </c>
      <c r="G1548" t="s">
        <v>25</v>
      </c>
      <c r="H1548">
        <v>4</v>
      </c>
      <c r="I1548">
        <v>11</v>
      </c>
      <c r="J1548">
        <v>2003</v>
      </c>
      <c r="K1548" t="s">
        <v>550</v>
      </c>
      <c r="L1548">
        <v>33</v>
      </c>
      <c r="M1548" t="s">
        <v>625</v>
      </c>
      <c r="N1548" t="s">
        <v>558</v>
      </c>
      <c r="O1548" t="s">
        <v>559</v>
      </c>
      <c r="P1548" t="s">
        <v>560</v>
      </c>
      <c r="R1548" t="s">
        <v>561</v>
      </c>
      <c r="S1548" t="s">
        <v>94</v>
      </c>
      <c r="T1548">
        <v>3150</v>
      </c>
      <c r="U1548" t="s">
        <v>95</v>
      </c>
      <c r="V1548" t="s">
        <v>96</v>
      </c>
      <c r="W1548" t="s">
        <v>562</v>
      </c>
      <c r="X1548" t="s">
        <v>563</v>
      </c>
      <c r="Y1548" t="s">
        <v>36</v>
      </c>
    </row>
    <row r="1549" spans="1:25" x14ac:dyDescent="0.25">
      <c r="A1549">
        <v>10205</v>
      </c>
      <c r="B1549">
        <v>32</v>
      </c>
      <c r="C1549">
        <v>37.17</v>
      </c>
      <c r="D1549">
        <v>5</v>
      </c>
      <c r="E1549">
        <v>1189.44</v>
      </c>
      <c r="F1549" s="1">
        <v>37958</v>
      </c>
      <c r="G1549" t="s">
        <v>25</v>
      </c>
      <c r="H1549">
        <v>4</v>
      </c>
      <c r="I1549">
        <v>12</v>
      </c>
      <c r="J1549">
        <v>2003</v>
      </c>
      <c r="K1549" t="s">
        <v>550</v>
      </c>
      <c r="L1549">
        <v>33</v>
      </c>
      <c r="M1549" t="s">
        <v>625</v>
      </c>
      <c r="N1549" t="s">
        <v>174</v>
      </c>
      <c r="O1549" t="s">
        <v>175</v>
      </c>
      <c r="P1549" t="s">
        <v>176</v>
      </c>
      <c r="R1549" t="s">
        <v>177</v>
      </c>
      <c r="T1549">
        <v>28034</v>
      </c>
      <c r="U1549" t="s">
        <v>178</v>
      </c>
      <c r="V1549" t="s">
        <v>42</v>
      </c>
      <c r="W1549" t="s">
        <v>179</v>
      </c>
      <c r="X1549" t="s">
        <v>180</v>
      </c>
      <c r="Y1549" t="s">
        <v>36</v>
      </c>
    </row>
    <row r="1550" spans="1:25" x14ac:dyDescent="0.25">
      <c r="A1550">
        <v>10214</v>
      </c>
      <c r="B1550">
        <v>20</v>
      </c>
      <c r="C1550">
        <v>34.19</v>
      </c>
      <c r="D1550">
        <v>3</v>
      </c>
      <c r="E1550">
        <v>683.8</v>
      </c>
      <c r="F1550" s="1">
        <v>38012</v>
      </c>
      <c r="G1550" t="s">
        <v>25</v>
      </c>
      <c r="H1550">
        <v>1</v>
      </c>
      <c r="I1550">
        <v>1</v>
      </c>
      <c r="J1550">
        <v>2004</v>
      </c>
      <c r="K1550" t="s">
        <v>550</v>
      </c>
      <c r="L1550">
        <v>33</v>
      </c>
      <c r="M1550" t="s">
        <v>625</v>
      </c>
      <c r="N1550" t="s">
        <v>191</v>
      </c>
      <c r="O1550" t="s">
        <v>192</v>
      </c>
      <c r="P1550" t="s">
        <v>193</v>
      </c>
      <c r="R1550" t="s">
        <v>177</v>
      </c>
      <c r="T1550">
        <v>28023</v>
      </c>
      <c r="U1550" t="s">
        <v>178</v>
      </c>
      <c r="V1550" t="s">
        <v>42</v>
      </c>
      <c r="W1550" t="s">
        <v>194</v>
      </c>
      <c r="X1550" t="s">
        <v>195</v>
      </c>
      <c r="Y1550" t="s">
        <v>36</v>
      </c>
    </row>
    <row r="1551" spans="1:25" x14ac:dyDescent="0.25">
      <c r="A1551">
        <v>10227</v>
      </c>
      <c r="B1551">
        <v>42</v>
      </c>
      <c r="C1551">
        <v>29.21</v>
      </c>
      <c r="D1551">
        <v>6</v>
      </c>
      <c r="E1551">
        <v>1226.82</v>
      </c>
      <c r="F1551" s="1">
        <v>38048</v>
      </c>
      <c r="G1551" t="s">
        <v>25</v>
      </c>
      <c r="H1551">
        <v>1</v>
      </c>
      <c r="I1551">
        <v>3</v>
      </c>
      <c r="J1551">
        <v>2004</v>
      </c>
      <c r="K1551" t="s">
        <v>550</v>
      </c>
      <c r="L1551">
        <v>33</v>
      </c>
      <c r="M1551" t="s">
        <v>625</v>
      </c>
      <c r="N1551" t="s">
        <v>219</v>
      </c>
      <c r="O1551" t="s">
        <v>220</v>
      </c>
      <c r="P1551" t="s">
        <v>221</v>
      </c>
      <c r="R1551" t="s">
        <v>222</v>
      </c>
      <c r="T1551">
        <v>69004</v>
      </c>
      <c r="U1551" t="s">
        <v>41</v>
      </c>
      <c r="V1551" t="s">
        <v>42</v>
      </c>
      <c r="W1551" t="s">
        <v>223</v>
      </c>
      <c r="X1551" t="s">
        <v>224</v>
      </c>
      <c r="Y1551" t="s">
        <v>36</v>
      </c>
    </row>
    <row r="1552" spans="1:25" x14ac:dyDescent="0.25">
      <c r="A1552">
        <v>10243</v>
      </c>
      <c r="B1552">
        <v>33</v>
      </c>
      <c r="C1552">
        <v>29.54</v>
      </c>
      <c r="D1552">
        <v>1</v>
      </c>
      <c r="E1552">
        <v>974.82</v>
      </c>
      <c r="F1552" s="1">
        <v>38103</v>
      </c>
      <c r="G1552" t="s">
        <v>25</v>
      </c>
      <c r="H1552">
        <v>2</v>
      </c>
      <c r="I1552">
        <v>4</v>
      </c>
      <c r="J1552">
        <v>2004</v>
      </c>
      <c r="K1552" t="s">
        <v>550</v>
      </c>
      <c r="L1552">
        <v>33</v>
      </c>
      <c r="M1552" t="s">
        <v>625</v>
      </c>
      <c r="N1552" t="s">
        <v>415</v>
      </c>
      <c r="O1552">
        <v>6175552555</v>
      </c>
      <c r="P1552" t="s">
        <v>416</v>
      </c>
      <c r="R1552" t="s">
        <v>381</v>
      </c>
      <c r="S1552" t="s">
        <v>123</v>
      </c>
      <c r="T1552">
        <v>51003</v>
      </c>
      <c r="U1552" t="s">
        <v>32</v>
      </c>
      <c r="V1552" t="s">
        <v>33</v>
      </c>
      <c r="W1552" t="s">
        <v>417</v>
      </c>
      <c r="X1552" t="s">
        <v>276</v>
      </c>
      <c r="Y1552" t="s">
        <v>36</v>
      </c>
    </row>
    <row r="1553" spans="1:25" x14ac:dyDescent="0.25">
      <c r="A1553">
        <v>10280</v>
      </c>
      <c r="B1553">
        <v>20</v>
      </c>
      <c r="C1553">
        <v>28.88</v>
      </c>
      <c r="D1553">
        <v>12</v>
      </c>
      <c r="E1553">
        <v>577.6</v>
      </c>
      <c r="F1553" s="1">
        <v>38216</v>
      </c>
      <c r="G1553" t="s">
        <v>25</v>
      </c>
      <c r="H1553">
        <v>3</v>
      </c>
      <c r="I1553">
        <v>8</v>
      </c>
      <c r="J1553">
        <v>2004</v>
      </c>
      <c r="K1553" t="s">
        <v>550</v>
      </c>
      <c r="L1553">
        <v>33</v>
      </c>
      <c r="M1553" t="s">
        <v>625</v>
      </c>
      <c r="N1553" t="s">
        <v>254</v>
      </c>
      <c r="O1553" t="s">
        <v>255</v>
      </c>
      <c r="P1553" t="s">
        <v>256</v>
      </c>
      <c r="R1553" t="s">
        <v>257</v>
      </c>
      <c r="T1553">
        <v>10100</v>
      </c>
      <c r="U1553" t="s">
        <v>258</v>
      </c>
      <c r="V1553" t="s">
        <v>42</v>
      </c>
      <c r="W1553" t="s">
        <v>259</v>
      </c>
      <c r="X1553" t="s">
        <v>260</v>
      </c>
      <c r="Y1553" t="s">
        <v>36</v>
      </c>
    </row>
    <row r="1554" spans="1:25" x14ac:dyDescent="0.25">
      <c r="A1554">
        <v>10288</v>
      </c>
      <c r="B1554">
        <v>29</v>
      </c>
      <c r="C1554">
        <v>38.17</v>
      </c>
      <c r="D1554">
        <v>1</v>
      </c>
      <c r="E1554">
        <v>1106.93</v>
      </c>
      <c r="F1554" s="1">
        <v>38231</v>
      </c>
      <c r="G1554" t="s">
        <v>25</v>
      </c>
      <c r="H1554">
        <v>3</v>
      </c>
      <c r="I1554">
        <v>9</v>
      </c>
      <c r="J1554">
        <v>2004</v>
      </c>
      <c r="K1554" t="s">
        <v>550</v>
      </c>
      <c r="L1554">
        <v>33</v>
      </c>
      <c r="M1554" t="s">
        <v>625</v>
      </c>
      <c r="N1554" t="s">
        <v>418</v>
      </c>
      <c r="O1554" t="s">
        <v>419</v>
      </c>
      <c r="P1554" t="s">
        <v>420</v>
      </c>
      <c r="Q1554" t="s">
        <v>421</v>
      </c>
      <c r="R1554" t="s">
        <v>199</v>
      </c>
      <c r="T1554">
        <v>69045</v>
      </c>
      <c r="U1554" t="s">
        <v>199</v>
      </c>
      <c r="V1554" t="s">
        <v>96</v>
      </c>
      <c r="W1554" t="s">
        <v>422</v>
      </c>
      <c r="X1554" t="s">
        <v>423</v>
      </c>
      <c r="Y1554" t="s">
        <v>36</v>
      </c>
    </row>
    <row r="1555" spans="1:25" x14ac:dyDescent="0.25">
      <c r="A1555">
        <v>10304</v>
      </c>
      <c r="B1555">
        <v>23</v>
      </c>
      <c r="C1555">
        <v>30.2</v>
      </c>
      <c r="D1555">
        <v>16</v>
      </c>
      <c r="E1555">
        <v>694.6</v>
      </c>
      <c r="F1555" s="1">
        <v>38271</v>
      </c>
      <c r="G1555" t="s">
        <v>25</v>
      </c>
      <c r="H1555">
        <v>4</v>
      </c>
      <c r="I1555">
        <v>10</v>
      </c>
      <c r="J1555">
        <v>2004</v>
      </c>
      <c r="K1555" t="s">
        <v>550</v>
      </c>
      <c r="L1555">
        <v>33</v>
      </c>
      <c r="M1555" t="s">
        <v>625</v>
      </c>
      <c r="N1555" t="s">
        <v>267</v>
      </c>
      <c r="O1555" t="s">
        <v>268</v>
      </c>
      <c r="P1555" t="s">
        <v>269</v>
      </c>
      <c r="R1555" t="s">
        <v>270</v>
      </c>
      <c r="T1555">
        <v>78000</v>
      </c>
      <c r="U1555" t="s">
        <v>41</v>
      </c>
      <c r="V1555" t="s">
        <v>42</v>
      </c>
      <c r="W1555" t="s">
        <v>271</v>
      </c>
      <c r="X1555" t="s">
        <v>50</v>
      </c>
      <c r="Y1555" t="s">
        <v>36</v>
      </c>
    </row>
    <row r="1556" spans="1:25" x14ac:dyDescent="0.25">
      <c r="A1556">
        <v>10312</v>
      </c>
      <c r="B1556">
        <v>39</v>
      </c>
      <c r="C1556">
        <v>29.54</v>
      </c>
      <c r="D1556">
        <v>13</v>
      </c>
      <c r="E1556">
        <v>1152.06</v>
      </c>
      <c r="F1556" s="1">
        <v>38281</v>
      </c>
      <c r="G1556" t="s">
        <v>25</v>
      </c>
      <c r="H1556">
        <v>4</v>
      </c>
      <c r="I1556">
        <v>10</v>
      </c>
      <c r="J1556">
        <v>2004</v>
      </c>
      <c r="K1556" t="s">
        <v>550</v>
      </c>
      <c r="L1556">
        <v>33</v>
      </c>
      <c r="M1556" t="s">
        <v>625</v>
      </c>
      <c r="N1556" t="s">
        <v>272</v>
      </c>
      <c r="O1556">
        <v>4155551450</v>
      </c>
      <c r="P1556" t="s">
        <v>273</v>
      </c>
      <c r="R1556" t="s">
        <v>274</v>
      </c>
      <c r="S1556" t="s">
        <v>55</v>
      </c>
      <c r="T1556">
        <v>97562</v>
      </c>
      <c r="U1556" t="s">
        <v>32</v>
      </c>
      <c r="V1556" t="s">
        <v>33</v>
      </c>
      <c r="W1556" t="s">
        <v>275</v>
      </c>
      <c r="X1556" t="s">
        <v>276</v>
      </c>
      <c r="Y1556" t="s">
        <v>36</v>
      </c>
    </row>
    <row r="1557" spans="1:25" x14ac:dyDescent="0.25">
      <c r="A1557">
        <v>10322</v>
      </c>
      <c r="B1557">
        <v>20</v>
      </c>
      <c r="C1557">
        <v>100</v>
      </c>
      <c r="D1557">
        <v>3</v>
      </c>
      <c r="E1557">
        <v>2624</v>
      </c>
      <c r="F1557" s="1">
        <v>38295</v>
      </c>
      <c r="G1557" t="s">
        <v>25</v>
      </c>
      <c r="H1557">
        <v>4</v>
      </c>
      <c r="I1557">
        <v>11</v>
      </c>
      <c r="J1557">
        <v>2004</v>
      </c>
      <c r="K1557" t="s">
        <v>550</v>
      </c>
      <c r="L1557">
        <v>33</v>
      </c>
      <c r="M1557" t="s">
        <v>625</v>
      </c>
      <c r="N1557" t="s">
        <v>277</v>
      </c>
      <c r="O1557">
        <v>6035558647</v>
      </c>
      <c r="P1557" t="s">
        <v>278</v>
      </c>
      <c r="R1557" t="s">
        <v>279</v>
      </c>
      <c r="S1557" t="s">
        <v>280</v>
      </c>
      <c r="T1557">
        <v>62005</v>
      </c>
      <c r="U1557" t="s">
        <v>32</v>
      </c>
      <c r="V1557" t="s">
        <v>33</v>
      </c>
      <c r="W1557" t="s">
        <v>56</v>
      </c>
      <c r="X1557" t="s">
        <v>276</v>
      </c>
      <c r="Y1557" t="s">
        <v>36</v>
      </c>
    </row>
    <row r="1558" spans="1:25" x14ac:dyDescent="0.25">
      <c r="A1558">
        <v>10332</v>
      </c>
      <c r="B1558">
        <v>45</v>
      </c>
      <c r="C1558">
        <v>81.91</v>
      </c>
      <c r="D1558">
        <v>6</v>
      </c>
      <c r="E1558">
        <v>3685.95</v>
      </c>
      <c r="F1558" s="1">
        <v>38308</v>
      </c>
      <c r="G1558" t="s">
        <v>25</v>
      </c>
      <c r="H1558">
        <v>4</v>
      </c>
      <c r="I1558">
        <v>11</v>
      </c>
      <c r="J1558">
        <v>2004</v>
      </c>
      <c r="K1558" t="s">
        <v>550</v>
      </c>
      <c r="L1558">
        <v>33</v>
      </c>
      <c r="M1558" t="s">
        <v>625</v>
      </c>
      <c r="N1558" t="s">
        <v>492</v>
      </c>
      <c r="O1558" t="s">
        <v>493</v>
      </c>
      <c r="P1558" t="s">
        <v>494</v>
      </c>
      <c r="R1558" t="s">
        <v>495</v>
      </c>
      <c r="T1558" t="s">
        <v>496</v>
      </c>
      <c r="U1558" t="s">
        <v>170</v>
      </c>
      <c r="V1558" t="s">
        <v>42</v>
      </c>
      <c r="W1558" t="s">
        <v>497</v>
      </c>
      <c r="X1558" t="s">
        <v>94</v>
      </c>
      <c r="Y1558" t="s">
        <v>51</v>
      </c>
    </row>
    <row r="1559" spans="1:25" x14ac:dyDescent="0.25">
      <c r="A1559">
        <v>10344</v>
      </c>
      <c r="B1559">
        <v>20</v>
      </c>
      <c r="C1559">
        <v>35.18</v>
      </c>
      <c r="D1559">
        <v>6</v>
      </c>
      <c r="E1559">
        <v>703.6</v>
      </c>
      <c r="F1559" s="1">
        <v>38316</v>
      </c>
      <c r="G1559" t="s">
        <v>25</v>
      </c>
      <c r="H1559">
        <v>4</v>
      </c>
      <c r="I1559">
        <v>11</v>
      </c>
      <c r="J1559">
        <v>2004</v>
      </c>
      <c r="K1559" t="s">
        <v>550</v>
      </c>
      <c r="L1559">
        <v>33</v>
      </c>
      <c r="M1559" t="s">
        <v>625</v>
      </c>
      <c r="N1559" t="s">
        <v>433</v>
      </c>
      <c r="O1559" t="s">
        <v>434</v>
      </c>
      <c r="P1559" t="s">
        <v>435</v>
      </c>
      <c r="R1559" t="s">
        <v>436</v>
      </c>
      <c r="T1559">
        <v>13008</v>
      </c>
      <c r="U1559" t="s">
        <v>41</v>
      </c>
      <c r="V1559" t="s">
        <v>42</v>
      </c>
      <c r="W1559" t="s">
        <v>437</v>
      </c>
      <c r="X1559" t="s">
        <v>438</v>
      </c>
      <c r="Y1559" t="s">
        <v>36</v>
      </c>
    </row>
    <row r="1560" spans="1:25" x14ac:dyDescent="0.25">
      <c r="A1560">
        <v>10356</v>
      </c>
      <c r="B1560">
        <v>48</v>
      </c>
      <c r="C1560">
        <v>100</v>
      </c>
      <c r="D1560">
        <v>5</v>
      </c>
      <c r="E1560">
        <v>9720</v>
      </c>
      <c r="F1560" s="1">
        <v>38330</v>
      </c>
      <c r="G1560" t="s">
        <v>25</v>
      </c>
      <c r="H1560">
        <v>4</v>
      </c>
      <c r="I1560">
        <v>12</v>
      </c>
      <c r="J1560">
        <v>2004</v>
      </c>
      <c r="K1560" t="s">
        <v>550</v>
      </c>
      <c r="L1560">
        <v>33</v>
      </c>
      <c r="M1560" t="s">
        <v>625</v>
      </c>
      <c r="N1560" t="s">
        <v>45</v>
      </c>
      <c r="O1560" t="s">
        <v>46</v>
      </c>
      <c r="P1560" t="s">
        <v>47</v>
      </c>
      <c r="R1560" t="s">
        <v>48</v>
      </c>
      <c r="T1560">
        <v>75508</v>
      </c>
      <c r="U1560" t="s">
        <v>41</v>
      </c>
      <c r="V1560" t="s">
        <v>42</v>
      </c>
      <c r="W1560" t="s">
        <v>49</v>
      </c>
      <c r="X1560" t="s">
        <v>50</v>
      </c>
      <c r="Y1560" t="s">
        <v>151</v>
      </c>
    </row>
    <row r="1561" spans="1:25" x14ac:dyDescent="0.25">
      <c r="A1561">
        <v>10367</v>
      </c>
      <c r="B1561">
        <v>23</v>
      </c>
      <c r="C1561">
        <v>36.29</v>
      </c>
      <c r="D1561">
        <v>13</v>
      </c>
      <c r="E1561">
        <v>834.67</v>
      </c>
      <c r="F1561" s="1">
        <v>38364</v>
      </c>
      <c r="G1561" t="s">
        <v>408</v>
      </c>
      <c r="H1561">
        <v>1</v>
      </c>
      <c r="I1561">
        <v>1</v>
      </c>
      <c r="J1561">
        <v>2005</v>
      </c>
      <c r="K1561" t="s">
        <v>550</v>
      </c>
      <c r="L1561">
        <v>33</v>
      </c>
      <c r="M1561" t="s">
        <v>625</v>
      </c>
      <c r="N1561" t="s">
        <v>52</v>
      </c>
      <c r="O1561">
        <v>6265557265</v>
      </c>
      <c r="P1561" t="s">
        <v>53</v>
      </c>
      <c r="R1561" t="s">
        <v>54</v>
      </c>
      <c r="S1561" t="s">
        <v>55</v>
      </c>
      <c r="T1561">
        <v>90003</v>
      </c>
      <c r="U1561" t="s">
        <v>32</v>
      </c>
      <c r="V1561" t="s">
        <v>33</v>
      </c>
      <c r="W1561" t="s">
        <v>56</v>
      </c>
      <c r="X1561" t="s">
        <v>57</v>
      </c>
      <c r="Y1561" t="s">
        <v>36</v>
      </c>
    </row>
    <row r="1562" spans="1:25" x14ac:dyDescent="0.25">
      <c r="A1562">
        <v>10380</v>
      </c>
      <c r="B1562">
        <v>32</v>
      </c>
      <c r="C1562">
        <v>70.56</v>
      </c>
      <c r="D1562">
        <v>4</v>
      </c>
      <c r="E1562">
        <v>2257.92</v>
      </c>
      <c r="F1562" s="1">
        <v>38399</v>
      </c>
      <c r="G1562" t="s">
        <v>25</v>
      </c>
      <c r="H1562">
        <v>1</v>
      </c>
      <c r="I1562">
        <v>2</v>
      </c>
      <c r="J1562">
        <v>2005</v>
      </c>
      <c r="K1562" t="s">
        <v>550</v>
      </c>
      <c r="L1562">
        <v>33</v>
      </c>
      <c r="M1562" t="s">
        <v>625</v>
      </c>
      <c r="N1562" t="s">
        <v>174</v>
      </c>
      <c r="O1562" t="s">
        <v>175</v>
      </c>
      <c r="P1562" t="s">
        <v>176</v>
      </c>
      <c r="R1562" t="s">
        <v>177</v>
      </c>
      <c r="T1562">
        <v>28034</v>
      </c>
      <c r="U1562" t="s">
        <v>178</v>
      </c>
      <c r="V1562" t="s">
        <v>42</v>
      </c>
      <c r="W1562" t="s">
        <v>179</v>
      </c>
      <c r="X1562" t="s">
        <v>180</v>
      </c>
      <c r="Y1562" t="s">
        <v>36</v>
      </c>
    </row>
    <row r="1563" spans="1:25" x14ac:dyDescent="0.25">
      <c r="A1563">
        <v>10391</v>
      </c>
      <c r="B1563">
        <v>33</v>
      </c>
      <c r="C1563">
        <v>100</v>
      </c>
      <c r="D1563">
        <v>8</v>
      </c>
      <c r="E1563">
        <v>8344.7099999999991</v>
      </c>
      <c r="F1563" s="1">
        <v>38420</v>
      </c>
      <c r="G1563" t="s">
        <v>25</v>
      </c>
      <c r="H1563">
        <v>1</v>
      </c>
      <c r="I1563">
        <v>3</v>
      </c>
      <c r="J1563">
        <v>2005</v>
      </c>
      <c r="K1563" t="s">
        <v>550</v>
      </c>
      <c r="L1563">
        <v>33</v>
      </c>
      <c r="M1563" t="s">
        <v>625</v>
      </c>
      <c r="N1563" t="s">
        <v>285</v>
      </c>
      <c r="O1563" t="s">
        <v>286</v>
      </c>
      <c r="P1563" t="s">
        <v>287</v>
      </c>
      <c r="Q1563" t="s">
        <v>288</v>
      </c>
      <c r="R1563" t="s">
        <v>289</v>
      </c>
      <c r="S1563" t="s">
        <v>157</v>
      </c>
      <c r="T1563">
        <v>2060</v>
      </c>
      <c r="U1563" t="s">
        <v>95</v>
      </c>
      <c r="V1563" t="s">
        <v>96</v>
      </c>
      <c r="W1563" t="s">
        <v>290</v>
      </c>
      <c r="X1563" t="s">
        <v>291</v>
      </c>
      <c r="Y1563" t="s">
        <v>151</v>
      </c>
    </row>
    <row r="1564" spans="1:25" x14ac:dyDescent="0.25">
      <c r="A1564">
        <v>10409</v>
      </c>
      <c r="B1564">
        <v>61</v>
      </c>
      <c r="C1564">
        <v>29.54</v>
      </c>
      <c r="D1564">
        <v>1</v>
      </c>
      <c r="E1564">
        <v>1801.94</v>
      </c>
      <c r="F1564" s="1">
        <v>38465</v>
      </c>
      <c r="G1564" t="s">
        <v>25</v>
      </c>
      <c r="H1564">
        <v>2</v>
      </c>
      <c r="I1564">
        <v>4</v>
      </c>
      <c r="J1564">
        <v>2005</v>
      </c>
      <c r="K1564" t="s">
        <v>550</v>
      </c>
      <c r="L1564">
        <v>33</v>
      </c>
      <c r="M1564" t="s">
        <v>625</v>
      </c>
      <c r="N1564" t="s">
        <v>418</v>
      </c>
      <c r="O1564" t="s">
        <v>419</v>
      </c>
      <c r="P1564" t="s">
        <v>420</v>
      </c>
      <c r="Q1564" t="s">
        <v>421</v>
      </c>
      <c r="R1564" t="s">
        <v>199</v>
      </c>
      <c r="T1564">
        <v>69045</v>
      </c>
      <c r="U1564" t="s">
        <v>199</v>
      </c>
      <c r="V1564" t="s">
        <v>96</v>
      </c>
      <c r="W1564" t="s">
        <v>422</v>
      </c>
      <c r="X1564" t="s">
        <v>423</v>
      </c>
      <c r="Y1564" t="s">
        <v>36</v>
      </c>
    </row>
    <row r="1565" spans="1:25" x14ac:dyDescent="0.25">
      <c r="A1565">
        <v>10420</v>
      </c>
      <c r="B1565">
        <v>45</v>
      </c>
      <c r="C1565">
        <v>26.88</v>
      </c>
      <c r="D1565">
        <v>1</v>
      </c>
      <c r="E1565">
        <v>1209.5999999999999</v>
      </c>
      <c r="F1565" s="1">
        <v>38501</v>
      </c>
      <c r="G1565" t="s">
        <v>300</v>
      </c>
      <c r="H1565">
        <v>2</v>
      </c>
      <c r="I1565">
        <v>5</v>
      </c>
      <c r="J1565">
        <v>2005</v>
      </c>
      <c r="K1565" t="s">
        <v>550</v>
      </c>
      <c r="L1565">
        <v>33</v>
      </c>
      <c r="M1565" t="s">
        <v>625</v>
      </c>
      <c r="N1565" t="s">
        <v>152</v>
      </c>
      <c r="O1565" t="s">
        <v>153</v>
      </c>
      <c r="P1565" t="s">
        <v>154</v>
      </c>
      <c r="Q1565" t="s">
        <v>155</v>
      </c>
      <c r="R1565" t="s">
        <v>156</v>
      </c>
      <c r="S1565" t="s">
        <v>157</v>
      </c>
      <c r="T1565">
        <v>2067</v>
      </c>
      <c r="U1565" t="s">
        <v>95</v>
      </c>
      <c r="V1565" t="s">
        <v>96</v>
      </c>
      <c r="W1565" t="s">
        <v>158</v>
      </c>
      <c r="X1565" t="s">
        <v>159</v>
      </c>
      <c r="Y1565" t="s">
        <v>36</v>
      </c>
    </row>
    <row r="1566" spans="1:25" x14ac:dyDescent="0.25">
      <c r="A1566">
        <v>10107</v>
      </c>
      <c r="B1566">
        <v>38</v>
      </c>
      <c r="C1566">
        <v>83.03</v>
      </c>
      <c r="D1566">
        <v>7</v>
      </c>
      <c r="E1566">
        <v>3155.14</v>
      </c>
      <c r="F1566" s="1">
        <v>37676</v>
      </c>
      <c r="G1566" t="s">
        <v>25</v>
      </c>
      <c r="H1566">
        <v>1</v>
      </c>
      <c r="I1566">
        <v>2</v>
      </c>
      <c r="J1566">
        <v>2003</v>
      </c>
      <c r="K1566" t="s">
        <v>26</v>
      </c>
      <c r="L1566">
        <v>76</v>
      </c>
      <c r="M1566" t="s">
        <v>626</v>
      </c>
      <c r="N1566" t="s">
        <v>28</v>
      </c>
      <c r="O1566">
        <v>2125557818</v>
      </c>
      <c r="P1566" t="s">
        <v>29</v>
      </c>
      <c r="R1566" t="s">
        <v>30</v>
      </c>
      <c r="S1566" t="s">
        <v>31</v>
      </c>
      <c r="T1566">
        <v>10022</v>
      </c>
      <c r="U1566" t="s">
        <v>32</v>
      </c>
      <c r="V1566" t="s">
        <v>33</v>
      </c>
      <c r="W1566" t="s">
        <v>34</v>
      </c>
      <c r="X1566" t="s">
        <v>35</v>
      </c>
      <c r="Y1566" t="s">
        <v>51</v>
      </c>
    </row>
    <row r="1567" spans="1:25" x14ac:dyDescent="0.25">
      <c r="A1567">
        <v>10120</v>
      </c>
      <c r="B1567">
        <v>34</v>
      </c>
      <c r="C1567">
        <v>83.79</v>
      </c>
      <c r="D1567">
        <v>5</v>
      </c>
      <c r="E1567">
        <v>2848.86</v>
      </c>
      <c r="F1567" s="1">
        <v>37740</v>
      </c>
      <c r="G1567" t="s">
        <v>25</v>
      </c>
      <c r="H1567">
        <v>2</v>
      </c>
      <c r="I1567">
        <v>4</v>
      </c>
      <c r="J1567">
        <v>2003</v>
      </c>
      <c r="K1567" t="s">
        <v>26</v>
      </c>
      <c r="L1567">
        <v>76</v>
      </c>
      <c r="M1567" t="s">
        <v>626</v>
      </c>
      <c r="N1567" t="s">
        <v>89</v>
      </c>
      <c r="O1567" t="s">
        <v>90</v>
      </c>
      <c r="P1567" t="s">
        <v>91</v>
      </c>
      <c r="Q1567" t="s">
        <v>92</v>
      </c>
      <c r="R1567" t="s">
        <v>93</v>
      </c>
      <c r="S1567" t="s">
        <v>94</v>
      </c>
      <c r="T1567">
        <v>3004</v>
      </c>
      <c r="U1567" t="s">
        <v>95</v>
      </c>
      <c r="V1567" t="s">
        <v>96</v>
      </c>
      <c r="W1567" t="s">
        <v>97</v>
      </c>
      <c r="X1567" t="s">
        <v>98</v>
      </c>
      <c r="Y1567" t="s">
        <v>36</v>
      </c>
    </row>
    <row r="1568" spans="1:25" x14ac:dyDescent="0.25">
      <c r="A1568">
        <v>10134</v>
      </c>
      <c r="B1568">
        <v>43</v>
      </c>
      <c r="C1568">
        <v>83.03</v>
      </c>
      <c r="D1568">
        <v>7</v>
      </c>
      <c r="E1568">
        <v>3570.29</v>
      </c>
      <c r="F1568" s="1">
        <v>37803</v>
      </c>
      <c r="G1568" t="s">
        <v>25</v>
      </c>
      <c r="H1568">
        <v>3</v>
      </c>
      <c r="I1568">
        <v>7</v>
      </c>
      <c r="J1568">
        <v>2003</v>
      </c>
      <c r="K1568" t="s">
        <v>26</v>
      </c>
      <c r="L1568">
        <v>76</v>
      </c>
      <c r="M1568" t="s">
        <v>626</v>
      </c>
      <c r="N1568" t="s">
        <v>45</v>
      </c>
      <c r="O1568" t="s">
        <v>46</v>
      </c>
      <c r="P1568" t="s">
        <v>47</v>
      </c>
      <c r="R1568" t="s">
        <v>48</v>
      </c>
      <c r="T1568">
        <v>75508</v>
      </c>
      <c r="U1568" t="s">
        <v>41</v>
      </c>
      <c r="V1568" t="s">
        <v>42</v>
      </c>
      <c r="W1568" t="s">
        <v>49</v>
      </c>
      <c r="X1568" t="s">
        <v>50</v>
      </c>
      <c r="Y1568" t="s">
        <v>51</v>
      </c>
    </row>
    <row r="1569" spans="1:25" x14ac:dyDescent="0.25">
      <c r="A1569">
        <v>10145</v>
      </c>
      <c r="B1569">
        <v>47</v>
      </c>
      <c r="C1569">
        <v>83.03</v>
      </c>
      <c r="D1569">
        <v>11</v>
      </c>
      <c r="E1569">
        <v>3902.41</v>
      </c>
      <c r="F1569" s="1">
        <v>37858</v>
      </c>
      <c r="G1569" t="s">
        <v>25</v>
      </c>
      <c r="H1569">
        <v>3</v>
      </c>
      <c r="I1569">
        <v>8</v>
      </c>
      <c r="J1569">
        <v>2003</v>
      </c>
      <c r="K1569" t="s">
        <v>26</v>
      </c>
      <c r="L1569">
        <v>76</v>
      </c>
      <c r="M1569" t="s">
        <v>626</v>
      </c>
      <c r="N1569" t="s">
        <v>52</v>
      </c>
      <c r="O1569">
        <v>6265557265</v>
      </c>
      <c r="P1569" t="s">
        <v>53</v>
      </c>
      <c r="R1569" t="s">
        <v>54</v>
      </c>
      <c r="S1569" t="s">
        <v>55</v>
      </c>
      <c r="T1569">
        <v>90003</v>
      </c>
      <c r="U1569" t="s">
        <v>32</v>
      </c>
      <c r="V1569" t="s">
        <v>33</v>
      </c>
      <c r="W1569" t="s">
        <v>56</v>
      </c>
      <c r="X1569" t="s">
        <v>57</v>
      </c>
      <c r="Y1569" t="s">
        <v>51</v>
      </c>
    </row>
    <row r="1570" spans="1:25" x14ac:dyDescent="0.25">
      <c r="A1570">
        <v>10158</v>
      </c>
      <c r="B1570">
        <v>22</v>
      </c>
      <c r="C1570">
        <v>67.03</v>
      </c>
      <c r="D1570">
        <v>1</v>
      </c>
      <c r="E1570">
        <v>1474.66</v>
      </c>
      <c r="F1570" s="1">
        <v>37904</v>
      </c>
      <c r="G1570" t="s">
        <v>25</v>
      </c>
      <c r="H1570">
        <v>4</v>
      </c>
      <c r="I1570">
        <v>10</v>
      </c>
      <c r="J1570">
        <v>2003</v>
      </c>
      <c r="K1570" t="s">
        <v>26</v>
      </c>
      <c r="L1570">
        <v>76</v>
      </c>
      <c r="M1570" t="s">
        <v>626</v>
      </c>
      <c r="N1570" t="s">
        <v>133</v>
      </c>
      <c r="O1570" t="s">
        <v>134</v>
      </c>
      <c r="P1570" t="s">
        <v>135</v>
      </c>
      <c r="R1570" t="s">
        <v>136</v>
      </c>
      <c r="T1570">
        <v>4110</v>
      </c>
      <c r="U1570" t="s">
        <v>78</v>
      </c>
      <c r="V1570" t="s">
        <v>42</v>
      </c>
      <c r="W1570" t="s">
        <v>137</v>
      </c>
      <c r="X1570" t="s">
        <v>138</v>
      </c>
      <c r="Y1570" t="s">
        <v>36</v>
      </c>
    </row>
    <row r="1571" spans="1:25" x14ac:dyDescent="0.25">
      <c r="A1571">
        <v>10168</v>
      </c>
      <c r="B1571">
        <v>29</v>
      </c>
      <c r="C1571">
        <v>75.41</v>
      </c>
      <c r="D1571">
        <v>6</v>
      </c>
      <c r="E1571">
        <v>2186.89</v>
      </c>
      <c r="F1571" s="1">
        <v>37922</v>
      </c>
      <c r="G1571" t="s">
        <v>25</v>
      </c>
      <c r="H1571">
        <v>4</v>
      </c>
      <c r="I1571">
        <v>10</v>
      </c>
      <c r="J1571">
        <v>2003</v>
      </c>
      <c r="K1571" t="s">
        <v>26</v>
      </c>
      <c r="L1571">
        <v>76</v>
      </c>
      <c r="M1571" t="s">
        <v>626</v>
      </c>
      <c r="N1571" t="s">
        <v>62</v>
      </c>
      <c r="O1571">
        <v>6505556809</v>
      </c>
      <c r="P1571" t="s">
        <v>63</v>
      </c>
      <c r="R1571" t="s">
        <v>64</v>
      </c>
      <c r="S1571" t="s">
        <v>55</v>
      </c>
      <c r="T1571">
        <v>94217</v>
      </c>
      <c r="U1571" t="s">
        <v>32</v>
      </c>
      <c r="V1571" t="s">
        <v>33</v>
      </c>
      <c r="W1571" t="s">
        <v>65</v>
      </c>
      <c r="X1571" t="s">
        <v>66</v>
      </c>
      <c r="Y1571" t="s">
        <v>36</v>
      </c>
    </row>
    <row r="1572" spans="1:25" x14ac:dyDescent="0.25">
      <c r="A1572">
        <v>10180</v>
      </c>
      <c r="B1572">
        <v>28</v>
      </c>
      <c r="C1572">
        <v>68.55</v>
      </c>
      <c r="D1572">
        <v>14</v>
      </c>
      <c r="E1572">
        <v>1919.4</v>
      </c>
      <c r="F1572" s="1">
        <v>37936</v>
      </c>
      <c r="G1572" t="s">
        <v>25</v>
      </c>
      <c r="H1572">
        <v>4</v>
      </c>
      <c r="I1572">
        <v>11</v>
      </c>
      <c r="J1572">
        <v>2003</v>
      </c>
      <c r="K1572" t="s">
        <v>26</v>
      </c>
      <c r="L1572">
        <v>76</v>
      </c>
      <c r="M1572" t="s">
        <v>626</v>
      </c>
      <c r="N1572" t="s">
        <v>67</v>
      </c>
      <c r="O1572" t="s">
        <v>68</v>
      </c>
      <c r="P1572" t="s">
        <v>69</v>
      </c>
      <c r="R1572" t="s">
        <v>70</v>
      </c>
      <c r="T1572">
        <v>59000</v>
      </c>
      <c r="U1572" t="s">
        <v>41</v>
      </c>
      <c r="V1572" t="s">
        <v>42</v>
      </c>
      <c r="W1572" t="s">
        <v>71</v>
      </c>
      <c r="X1572" t="s">
        <v>72</v>
      </c>
      <c r="Y1572" t="s">
        <v>36</v>
      </c>
    </row>
    <row r="1573" spans="1:25" x14ac:dyDescent="0.25">
      <c r="A1573">
        <v>10188</v>
      </c>
      <c r="B1573">
        <v>40</v>
      </c>
      <c r="C1573">
        <v>91.4</v>
      </c>
      <c r="D1573">
        <v>6</v>
      </c>
      <c r="E1573">
        <v>3656</v>
      </c>
      <c r="F1573" s="1">
        <v>37943</v>
      </c>
      <c r="G1573" t="s">
        <v>25</v>
      </c>
      <c r="H1573">
        <v>4</v>
      </c>
      <c r="I1573">
        <v>11</v>
      </c>
      <c r="J1573">
        <v>2003</v>
      </c>
      <c r="K1573" t="s">
        <v>26</v>
      </c>
      <c r="L1573">
        <v>76</v>
      </c>
      <c r="M1573" t="s">
        <v>626</v>
      </c>
      <c r="N1573" t="s">
        <v>73</v>
      </c>
      <c r="O1573" t="s">
        <v>74</v>
      </c>
      <c r="P1573" t="s">
        <v>75</v>
      </c>
      <c r="R1573" t="s">
        <v>76</v>
      </c>
      <c r="T1573" t="s">
        <v>77</v>
      </c>
      <c r="U1573" t="s">
        <v>78</v>
      </c>
      <c r="V1573" t="s">
        <v>42</v>
      </c>
      <c r="W1573" t="s">
        <v>79</v>
      </c>
      <c r="X1573" t="s">
        <v>80</v>
      </c>
      <c r="Y1573" t="s">
        <v>51</v>
      </c>
    </row>
    <row r="1574" spans="1:25" x14ac:dyDescent="0.25">
      <c r="A1574">
        <v>10201</v>
      </c>
      <c r="B1574">
        <v>25</v>
      </c>
      <c r="C1574">
        <v>73.88</v>
      </c>
      <c r="D1574">
        <v>7</v>
      </c>
      <c r="E1574">
        <v>1847</v>
      </c>
      <c r="F1574" s="1">
        <v>37956</v>
      </c>
      <c r="G1574" t="s">
        <v>25</v>
      </c>
      <c r="H1574">
        <v>4</v>
      </c>
      <c r="I1574">
        <v>12</v>
      </c>
      <c r="J1574">
        <v>2003</v>
      </c>
      <c r="K1574" t="s">
        <v>26</v>
      </c>
      <c r="L1574">
        <v>76</v>
      </c>
      <c r="M1574" t="s">
        <v>626</v>
      </c>
      <c r="N1574" t="s">
        <v>81</v>
      </c>
      <c r="O1574">
        <v>6505555787</v>
      </c>
      <c r="P1574" t="s">
        <v>82</v>
      </c>
      <c r="R1574" t="s">
        <v>60</v>
      </c>
      <c r="S1574" t="s">
        <v>55</v>
      </c>
      <c r="U1574" t="s">
        <v>32</v>
      </c>
      <c r="V1574" t="s">
        <v>33</v>
      </c>
      <c r="W1574" t="s">
        <v>83</v>
      </c>
      <c r="X1574" t="s">
        <v>57</v>
      </c>
      <c r="Y1574" t="s">
        <v>36</v>
      </c>
    </row>
    <row r="1575" spans="1:25" x14ac:dyDescent="0.25">
      <c r="A1575">
        <v>10210</v>
      </c>
      <c r="B1575">
        <v>30</v>
      </c>
      <c r="C1575">
        <v>61.7</v>
      </c>
      <c r="D1575">
        <v>4</v>
      </c>
      <c r="E1575">
        <v>1851</v>
      </c>
      <c r="F1575" s="1">
        <v>37998</v>
      </c>
      <c r="G1575" t="s">
        <v>25</v>
      </c>
      <c r="H1575">
        <v>1</v>
      </c>
      <c r="I1575">
        <v>1</v>
      </c>
      <c r="J1575">
        <v>2004</v>
      </c>
      <c r="K1575" t="s">
        <v>26</v>
      </c>
      <c r="L1575">
        <v>76</v>
      </c>
      <c r="M1575" t="s">
        <v>626</v>
      </c>
      <c r="N1575" t="s">
        <v>302</v>
      </c>
      <c r="O1575" t="s">
        <v>303</v>
      </c>
      <c r="P1575" t="s">
        <v>304</v>
      </c>
      <c r="R1575" t="s">
        <v>305</v>
      </c>
      <c r="S1575" t="s">
        <v>305</v>
      </c>
      <c r="T1575" t="s">
        <v>306</v>
      </c>
      <c r="U1575" t="s">
        <v>200</v>
      </c>
      <c r="V1575" t="s">
        <v>200</v>
      </c>
      <c r="W1575" t="s">
        <v>307</v>
      </c>
      <c r="X1575" t="s">
        <v>308</v>
      </c>
      <c r="Y1575" t="s">
        <v>36</v>
      </c>
    </row>
    <row r="1576" spans="1:25" x14ac:dyDescent="0.25">
      <c r="A1576">
        <v>10223</v>
      </c>
      <c r="B1576">
        <v>38</v>
      </c>
      <c r="C1576">
        <v>69.31</v>
      </c>
      <c r="D1576">
        <v>6</v>
      </c>
      <c r="E1576">
        <v>2633.78</v>
      </c>
      <c r="F1576" s="1">
        <v>38037</v>
      </c>
      <c r="G1576" t="s">
        <v>25</v>
      </c>
      <c r="H1576">
        <v>1</v>
      </c>
      <c r="I1576">
        <v>2</v>
      </c>
      <c r="J1576">
        <v>2004</v>
      </c>
      <c r="K1576" t="s">
        <v>26</v>
      </c>
      <c r="L1576">
        <v>76</v>
      </c>
      <c r="M1576" t="s">
        <v>626</v>
      </c>
      <c r="N1576" t="s">
        <v>89</v>
      </c>
      <c r="O1576" t="s">
        <v>90</v>
      </c>
      <c r="P1576" t="s">
        <v>91</v>
      </c>
      <c r="Q1576" t="s">
        <v>92</v>
      </c>
      <c r="R1576" t="s">
        <v>93</v>
      </c>
      <c r="S1576" t="s">
        <v>94</v>
      </c>
      <c r="T1576">
        <v>3004</v>
      </c>
      <c r="U1576" t="s">
        <v>95</v>
      </c>
      <c r="V1576" t="s">
        <v>96</v>
      </c>
      <c r="W1576" t="s">
        <v>97</v>
      </c>
      <c r="X1576" t="s">
        <v>98</v>
      </c>
      <c r="Y1576" t="s">
        <v>36</v>
      </c>
    </row>
    <row r="1577" spans="1:25" x14ac:dyDescent="0.25">
      <c r="A1577">
        <v>10236</v>
      </c>
      <c r="B1577">
        <v>36</v>
      </c>
      <c r="C1577">
        <v>87.6</v>
      </c>
      <c r="D1577">
        <v>3</v>
      </c>
      <c r="E1577">
        <v>3153.6</v>
      </c>
      <c r="F1577" s="1">
        <v>38080</v>
      </c>
      <c r="G1577" t="s">
        <v>25</v>
      </c>
      <c r="H1577">
        <v>2</v>
      </c>
      <c r="I1577">
        <v>4</v>
      </c>
      <c r="J1577">
        <v>2004</v>
      </c>
      <c r="K1577" t="s">
        <v>26</v>
      </c>
      <c r="L1577">
        <v>76</v>
      </c>
      <c r="M1577" t="s">
        <v>626</v>
      </c>
      <c r="N1577" t="s">
        <v>309</v>
      </c>
      <c r="O1577">
        <v>2155559857</v>
      </c>
      <c r="P1577" t="s">
        <v>310</v>
      </c>
      <c r="R1577" t="s">
        <v>216</v>
      </c>
      <c r="S1577" t="s">
        <v>142</v>
      </c>
      <c r="T1577">
        <v>71270</v>
      </c>
      <c r="U1577" t="s">
        <v>32</v>
      </c>
      <c r="V1577" t="s">
        <v>33</v>
      </c>
      <c r="W1577" t="s">
        <v>124</v>
      </c>
      <c r="X1577" t="s">
        <v>311</v>
      </c>
      <c r="Y1577" t="s">
        <v>51</v>
      </c>
    </row>
    <row r="1578" spans="1:25" x14ac:dyDescent="0.25">
      <c r="A1578">
        <v>10250</v>
      </c>
      <c r="B1578">
        <v>32</v>
      </c>
      <c r="C1578">
        <v>87.6</v>
      </c>
      <c r="D1578">
        <v>1</v>
      </c>
      <c r="E1578">
        <v>2803.2</v>
      </c>
      <c r="F1578" s="1">
        <v>38118</v>
      </c>
      <c r="G1578" t="s">
        <v>25</v>
      </c>
      <c r="H1578">
        <v>2</v>
      </c>
      <c r="I1578">
        <v>5</v>
      </c>
      <c r="J1578">
        <v>2004</v>
      </c>
      <c r="K1578" t="s">
        <v>26</v>
      </c>
      <c r="L1578">
        <v>76</v>
      </c>
      <c r="M1578" t="s">
        <v>626</v>
      </c>
      <c r="N1578" t="s">
        <v>397</v>
      </c>
      <c r="O1578">
        <v>4085553659</v>
      </c>
      <c r="P1578" t="s">
        <v>398</v>
      </c>
      <c r="R1578" t="s">
        <v>399</v>
      </c>
      <c r="S1578" t="s">
        <v>55</v>
      </c>
      <c r="T1578">
        <v>94217</v>
      </c>
      <c r="U1578" t="s">
        <v>32</v>
      </c>
      <c r="V1578" t="s">
        <v>33</v>
      </c>
      <c r="W1578" t="s">
        <v>102</v>
      </c>
      <c r="X1578" t="s">
        <v>400</v>
      </c>
      <c r="Y1578" t="s">
        <v>36</v>
      </c>
    </row>
    <row r="1579" spans="1:25" x14ac:dyDescent="0.25">
      <c r="A1579">
        <v>10263</v>
      </c>
      <c r="B1579">
        <v>37</v>
      </c>
      <c r="C1579">
        <v>62.46</v>
      </c>
      <c r="D1579">
        <v>7</v>
      </c>
      <c r="E1579">
        <v>2311.02</v>
      </c>
      <c r="F1579" s="1">
        <v>38166</v>
      </c>
      <c r="G1579" t="s">
        <v>25</v>
      </c>
      <c r="H1579">
        <v>2</v>
      </c>
      <c r="I1579">
        <v>6</v>
      </c>
      <c r="J1579">
        <v>2004</v>
      </c>
      <c r="K1579" t="s">
        <v>26</v>
      </c>
      <c r="L1579">
        <v>76</v>
      </c>
      <c r="M1579" t="s">
        <v>626</v>
      </c>
      <c r="N1579" t="s">
        <v>109</v>
      </c>
      <c r="O1579">
        <v>2035552570</v>
      </c>
      <c r="P1579" t="s">
        <v>110</v>
      </c>
      <c r="R1579" t="s">
        <v>111</v>
      </c>
      <c r="S1579" t="s">
        <v>112</v>
      </c>
      <c r="T1579">
        <v>97562</v>
      </c>
      <c r="U1579" t="s">
        <v>32</v>
      </c>
      <c r="V1579" t="s">
        <v>33</v>
      </c>
      <c r="W1579" t="s">
        <v>113</v>
      </c>
      <c r="X1579" t="s">
        <v>57</v>
      </c>
      <c r="Y1579" t="s">
        <v>36</v>
      </c>
    </row>
    <row r="1580" spans="1:25" x14ac:dyDescent="0.25">
      <c r="A1580">
        <v>10275</v>
      </c>
      <c r="B1580">
        <v>30</v>
      </c>
      <c r="C1580">
        <v>79.98</v>
      </c>
      <c r="D1580">
        <v>6</v>
      </c>
      <c r="E1580">
        <v>2399.4</v>
      </c>
      <c r="F1580" s="1">
        <v>38191</v>
      </c>
      <c r="G1580" t="s">
        <v>25</v>
      </c>
      <c r="H1580">
        <v>3</v>
      </c>
      <c r="I1580">
        <v>7</v>
      </c>
      <c r="J1580">
        <v>2004</v>
      </c>
      <c r="K1580" t="s">
        <v>26</v>
      </c>
      <c r="L1580">
        <v>76</v>
      </c>
      <c r="M1580" t="s">
        <v>626</v>
      </c>
      <c r="N1580" t="s">
        <v>114</v>
      </c>
      <c r="O1580" t="s">
        <v>115</v>
      </c>
      <c r="P1580" t="s">
        <v>116</v>
      </c>
      <c r="R1580" t="s">
        <v>117</v>
      </c>
      <c r="T1580">
        <v>44000</v>
      </c>
      <c r="U1580" t="s">
        <v>41</v>
      </c>
      <c r="V1580" t="s">
        <v>42</v>
      </c>
      <c r="W1580" t="s">
        <v>118</v>
      </c>
      <c r="X1580" t="s">
        <v>119</v>
      </c>
      <c r="Y1580" t="s">
        <v>36</v>
      </c>
    </row>
    <row r="1581" spans="1:25" x14ac:dyDescent="0.25">
      <c r="A1581">
        <v>10285</v>
      </c>
      <c r="B1581">
        <v>39</v>
      </c>
      <c r="C1581">
        <v>70.08</v>
      </c>
      <c r="D1581">
        <v>11</v>
      </c>
      <c r="E1581">
        <v>2733.12</v>
      </c>
      <c r="F1581" s="1">
        <v>38226</v>
      </c>
      <c r="G1581" t="s">
        <v>25</v>
      </c>
      <c r="H1581">
        <v>3</v>
      </c>
      <c r="I1581">
        <v>8</v>
      </c>
      <c r="J1581">
        <v>2004</v>
      </c>
      <c r="K1581" t="s">
        <v>26</v>
      </c>
      <c r="L1581">
        <v>76</v>
      </c>
      <c r="M1581" t="s">
        <v>626</v>
      </c>
      <c r="N1581" t="s">
        <v>120</v>
      </c>
      <c r="O1581">
        <v>6175558555</v>
      </c>
      <c r="P1581" t="s">
        <v>121</v>
      </c>
      <c r="R1581" t="s">
        <v>122</v>
      </c>
      <c r="S1581" t="s">
        <v>123</v>
      </c>
      <c r="T1581">
        <v>51247</v>
      </c>
      <c r="U1581" t="s">
        <v>32</v>
      </c>
      <c r="V1581" t="s">
        <v>33</v>
      </c>
      <c r="W1581" t="s">
        <v>124</v>
      </c>
      <c r="X1581" t="s">
        <v>125</v>
      </c>
      <c r="Y1581" t="s">
        <v>36</v>
      </c>
    </row>
    <row r="1582" spans="1:25" x14ac:dyDescent="0.25">
      <c r="A1582">
        <v>10297</v>
      </c>
      <c r="B1582">
        <v>32</v>
      </c>
      <c r="C1582">
        <v>65.510000000000005</v>
      </c>
      <c r="D1582">
        <v>1</v>
      </c>
      <c r="E1582">
        <v>2096.3200000000002</v>
      </c>
      <c r="F1582" s="1">
        <v>38246</v>
      </c>
      <c r="G1582" t="s">
        <v>25</v>
      </c>
      <c r="H1582">
        <v>3</v>
      </c>
      <c r="I1582">
        <v>9</v>
      </c>
      <c r="J1582">
        <v>2004</v>
      </c>
      <c r="K1582" t="s">
        <v>26</v>
      </c>
      <c r="L1582">
        <v>76</v>
      </c>
      <c r="M1582" t="s">
        <v>626</v>
      </c>
      <c r="N1582" t="s">
        <v>479</v>
      </c>
      <c r="O1582" t="s">
        <v>480</v>
      </c>
      <c r="P1582" t="s">
        <v>481</v>
      </c>
      <c r="Q1582" t="s">
        <v>482</v>
      </c>
      <c r="R1582" t="s">
        <v>483</v>
      </c>
      <c r="T1582">
        <v>2</v>
      </c>
      <c r="U1582" t="s">
        <v>484</v>
      </c>
      <c r="V1582" t="s">
        <v>42</v>
      </c>
      <c r="W1582" t="s">
        <v>485</v>
      </c>
      <c r="X1582" t="s">
        <v>486</v>
      </c>
      <c r="Y1582" t="s">
        <v>36</v>
      </c>
    </row>
    <row r="1583" spans="1:25" x14ac:dyDescent="0.25">
      <c r="A1583">
        <v>10308</v>
      </c>
      <c r="B1583">
        <v>47</v>
      </c>
      <c r="C1583">
        <v>63.22</v>
      </c>
      <c r="D1583">
        <v>4</v>
      </c>
      <c r="E1583">
        <v>2971.34</v>
      </c>
      <c r="F1583" s="1">
        <v>38275</v>
      </c>
      <c r="G1583" t="s">
        <v>25</v>
      </c>
      <c r="H1583">
        <v>4</v>
      </c>
      <c r="I1583">
        <v>10</v>
      </c>
      <c r="J1583">
        <v>2004</v>
      </c>
      <c r="K1583" t="s">
        <v>26</v>
      </c>
      <c r="L1583">
        <v>76</v>
      </c>
      <c r="M1583" t="s">
        <v>626</v>
      </c>
      <c r="N1583" t="s">
        <v>317</v>
      </c>
      <c r="O1583">
        <v>9145554562</v>
      </c>
      <c r="P1583" t="s">
        <v>318</v>
      </c>
      <c r="R1583" t="s">
        <v>319</v>
      </c>
      <c r="S1583" t="s">
        <v>31</v>
      </c>
      <c r="T1583">
        <v>24067</v>
      </c>
      <c r="U1583" t="s">
        <v>32</v>
      </c>
      <c r="V1583" t="s">
        <v>33</v>
      </c>
      <c r="W1583" t="s">
        <v>102</v>
      </c>
      <c r="X1583" t="s">
        <v>238</v>
      </c>
      <c r="Y1583" t="s">
        <v>36</v>
      </c>
    </row>
    <row r="1584" spans="1:25" x14ac:dyDescent="0.25">
      <c r="A1584">
        <v>10318</v>
      </c>
      <c r="B1584">
        <v>26</v>
      </c>
      <c r="C1584">
        <v>86.83</v>
      </c>
      <c r="D1584">
        <v>6</v>
      </c>
      <c r="E1584">
        <v>2257.58</v>
      </c>
      <c r="F1584" s="1">
        <v>38293</v>
      </c>
      <c r="G1584" t="s">
        <v>25</v>
      </c>
      <c r="H1584">
        <v>4</v>
      </c>
      <c r="I1584">
        <v>11</v>
      </c>
      <c r="J1584">
        <v>2004</v>
      </c>
      <c r="K1584" t="s">
        <v>26</v>
      </c>
      <c r="L1584">
        <v>76</v>
      </c>
      <c r="M1584" t="s">
        <v>626</v>
      </c>
      <c r="N1584" t="s">
        <v>139</v>
      </c>
      <c r="O1584">
        <v>2155551555</v>
      </c>
      <c r="P1584" t="s">
        <v>140</v>
      </c>
      <c r="R1584" t="s">
        <v>141</v>
      </c>
      <c r="S1584" t="s">
        <v>142</v>
      </c>
      <c r="T1584">
        <v>70267</v>
      </c>
      <c r="U1584" t="s">
        <v>32</v>
      </c>
      <c r="V1584" t="s">
        <v>33</v>
      </c>
      <c r="W1584" t="s">
        <v>34</v>
      </c>
      <c r="X1584" t="s">
        <v>143</v>
      </c>
      <c r="Y1584" t="s">
        <v>36</v>
      </c>
    </row>
    <row r="1585" spans="1:25" x14ac:dyDescent="0.25">
      <c r="A1585">
        <v>10329</v>
      </c>
      <c r="B1585">
        <v>37</v>
      </c>
      <c r="C1585">
        <v>94.43</v>
      </c>
      <c r="D1585">
        <v>4</v>
      </c>
      <c r="E1585">
        <v>3493.91</v>
      </c>
      <c r="F1585" s="1">
        <v>38306</v>
      </c>
      <c r="G1585" t="s">
        <v>25</v>
      </c>
      <c r="H1585">
        <v>4</v>
      </c>
      <c r="I1585">
        <v>11</v>
      </c>
      <c r="J1585">
        <v>2004</v>
      </c>
      <c r="K1585" t="s">
        <v>26</v>
      </c>
      <c r="L1585">
        <v>76</v>
      </c>
      <c r="M1585" t="s">
        <v>626</v>
      </c>
      <c r="N1585" t="s">
        <v>28</v>
      </c>
      <c r="O1585">
        <v>2125557818</v>
      </c>
      <c r="P1585" t="s">
        <v>29</v>
      </c>
      <c r="R1585" t="s">
        <v>30</v>
      </c>
      <c r="S1585" t="s">
        <v>31</v>
      </c>
      <c r="T1585">
        <v>10022</v>
      </c>
      <c r="U1585" t="s">
        <v>32</v>
      </c>
      <c r="V1585" t="s">
        <v>33</v>
      </c>
      <c r="W1585" t="s">
        <v>34</v>
      </c>
      <c r="X1585" t="s">
        <v>35</v>
      </c>
      <c r="Y1585" t="s">
        <v>51</v>
      </c>
    </row>
    <row r="1586" spans="1:25" x14ac:dyDescent="0.25">
      <c r="A1586">
        <v>10340</v>
      </c>
      <c r="B1586">
        <v>55</v>
      </c>
      <c r="C1586">
        <v>79.98</v>
      </c>
      <c r="D1586">
        <v>8</v>
      </c>
      <c r="E1586">
        <v>4398.8999999999996</v>
      </c>
      <c r="F1586" s="1">
        <v>38315</v>
      </c>
      <c r="G1586" t="s">
        <v>25</v>
      </c>
      <c r="H1586">
        <v>4</v>
      </c>
      <c r="I1586">
        <v>11</v>
      </c>
      <c r="J1586">
        <v>2004</v>
      </c>
      <c r="K1586" t="s">
        <v>26</v>
      </c>
      <c r="L1586">
        <v>76</v>
      </c>
      <c r="M1586" t="s">
        <v>626</v>
      </c>
      <c r="N1586" t="s">
        <v>352</v>
      </c>
      <c r="O1586" t="s">
        <v>353</v>
      </c>
      <c r="P1586" t="s">
        <v>354</v>
      </c>
      <c r="R1586" t="s">
        <v>355</v>
      </c>
      <c r="T1586">
        <v>8022</v>
      </c>
      <c r="U1586" t="s">
        <v>178</v>
      </c>
      <c r="V1586" t="s">
        <v>42</v>
      </c>
      <c r="W1586" t="s">
        <v>356</v>
      </c>
      <c r="X1586" t="s">
        <v>357</v>
      </c>
      <c r="Y1586" t="s">
        <v>51</v>
      </c>
    </row>
    <row r="1587" spans="1:25" x14ac:dyDescent="0.25">
      <c r="A1587">
        <v>10363</v>
      </c>
      <c r="B1587">
        <v>21</v>
      </c>
      <c r="C1587">
        <v>100</v>
      </c>
      <c r="D1587">
        <v>8</v>
      </c>
      <c r="E1587">
        <v>3595.62</v>
      </c>
      <c r="F1587" s="1">
        <v>38358</v>
      </c>
      <c r="G1587" t="s">
        <v>25</v>
      </c>
      <c r="H1587">
        <v>1</v>
      </c>
      <c r="I1587">
        <v>1</v>
      </c>
      <c r="J1587">
        <v>2005</v>
      </c>
      <c r="K1587" t="s">
        <v>26</v>
      </c>
      <c r="L1587">
        <v>76</v>
      </c>
      <c r="M1587" t="s">
        <v>626</v>
      </c>
      <c r="N1587" t="s">
        <v>467</v>
      </c>
      <c r="O1587" t="s">
        <v>468</v>
      </c>
      <c r="P1587" t="s">
        <v>469</v>
      </c>
      <c r="R1587" t="s">
        <v>470</v>
      </c>
      <c r="T1587" t="s">
        <v>471</v>
      </c>
      <c r="U1587" t="s">
        <v>130</v>
      </c>
      <c r="V1587" t="s">
        <v>42</v>
      </c>
      <c r="W1587" t="s">
        <v>472</v>
      </c>
      <c r="X1587" t="s">
        <v>473</v>
      </c>
      <c r="Y1587" t="s">
        <v>51</v>
      </c>
    </row>
    <row r="1588" spans="1:25" x14ac:dyDescent="0.25">
      <c r="A1588">
        <v>10375</v>
      </c>
      <c r="B1588">
        <v>23</v>
      </c>
      <c r="C1588">
        <v>100</v>
      </c>
      <c r="D1588">
        <v>9</v>
      </c>
      <c r="E1588">
        <v>2443.29</v>
      </c>
      <c r="F1588" s="1">
        <v>38386</v>
      </c>
      <c r="G1588" t="s">
        <v>25</v>
      </c>
      <c r="H1588">
        <v>1</v>
      </c>
      <c r="I1588">
        <v>2</v>
      </c>
      <c r="J1588">
        <v>2005</v>
      </c>
      <c r="K1588" t="s">
        <v>26</v>
      </c>
      <c r="L1588">
        <v>76</v>
      </c>
      <c r="M1588" t="s">
        <v>626</v>
      </c>
      <c r="N1588" t="s">
        <v>114</v>
      </c>
      <c r="O1588" t="s">
        <v>115</v>
      </c>
      <c r="P1588" t="s">
        <v>116</v>
      </c>
      <c r="R1588" t="s">
        <v>117</v>
      </c>
      <c r="T1588">
        <v>44000</v>
      </c>
      <c r="U1588" t="s">
        <v>41</v>
      </c>
      <c r="V1588" t="s">
        <v>42</v>
      </c>
      <c r="W1588" t="s">
        <v>118</v>
      </c>
      <c r="X1588" t="s">
        <v>119</v>
      </c>
      <c r="Y1588" t="s">
        <v>36</v>
      </c>
    </row>
    <row r="1589" spans="1:25" x14ac:dyDescent="0.25">
      <c r="A1589">
        <v>10389</v>
      </c>
      <c r="B1589">
        <v>49</v>
      </c>
      <c r="C1589">
        <v>81.400000000000006</v>
      </c>
      <c r="D1589">
        <v>2</v>
      </c>
      <c r="E1589">
        <v>3988.6</v>
      </c>
      <c r="F1589" s="1">
        <v>38414</v>
      </c>
      <c r="G1589" t="s">
        <v>25</v>
      </c>
      <c r="H1589">
        <v>1</v>
      </c>
      <c r="I1589">
        <v>3</v>
      </c>
      <c r="J1589">
        <v>2005</v>
      </c>
      <c r="K1589" t="s">
        <v>26</v>
      </c>
      <c r="L1589">
        <v>76</v>
      </c>
      <c r="M1589" t="s">
        <v>626</v>
      </c>
      <c r="N1589" t="s">
        <v>261</v>
      </c>
      <c r="O1589" t="s">
        <v>262</v>
      </c>
      <c r="P1589" t="s">
        <v>263</v>
      </c>
      <c r="R1589" t="s">
        <v>264</v>
      </c>
      <c r="T1589" t="s">
        <v>265</v>
      </c>
      <c r="U1589" t="s">
        <v>188</v>
      </c>
      <c r="V1589" t="s">
        <v>42</v>
      </c>
      <c r="W1589" t="s">
        <v>266</v>
      </c>
      <c r="X1589" t="s">
        <v>206</v>
      </c>
      <c r="Y1589" t="s">
        <v>51</v>
      </c>
    </row>
    <row r="1590" spans="1:25" x14ac:dyDescent="0.25">
      <c r="A1590">
        <v>10402</v>
      </c>
      <c r="B1590">
        <v>59</v>
      </c>
      <c r="C1590">
        <v>87.6</v>
      </c>
      <c r="D1590">
        <v>3</v>
      </c>
      <c r="E1590">
        <v>5168.3999999999996</v>
      </c>
      <c r="F1590" s="1">
        <v>38449</v>
      </c>
      <c r="G1590" t="s">
        <v>25</v>
      </c>
      <c r="H1590">
        <v>2</v>
      </c>
      <c r="I1590">
        <v>4</v>
      </c>
      <c r="J1590">
        <v>2005</v>
      </c>
      <c r="K1590" t="s">
        <v>26</v>
      </c>
      <c r="L1590">
        <v>76</v>
      </c>
      <c r="M1590" t="s">
        <v>626</v>
      </c>
      <c r="N1590" t="s">
        <v>84</v>
      </c>
      <c r="O1590" t="s">
        <v>85</v>
      </c>
      <c r="P1590" t="s">
        <v>86</v>
      </c>
      <c r="R1590" t="s">
        <v>48</v>
      </c>
      <c r="T1590">
        <v>75016</v>
      </c>
      <c r="U1590" t="s">
        <v>41</v>
      </c>
      <c r="V1590" t="s">
        <v>42</v>
      </c>
      <c r="W1590" t="s">
        <v>87</v>
      </c>
      <c r="X1590" t="s">
        <v>88</v>
      </c>
      <c r="Y1590" t="s">
        <v>51</v>
      </c>
    </row>
    <row r="1591" spans="1:25" x14ac:dyDescent="0.25">
      <c r="A1591">
        <v>10416</v>
      </c>
      <c r="B1591">
        <v>32</v>
      </c>
      <c r="C1591">
        <v>87.6</v>
      </c>
      <c r="D1591">
        <v>1</v>
      </c>
      <c r="E1591">
        <v>2803.2</v>
      </c>
      <c r="F1591" s="1">
        <v>38482</v>
      </c>
      <c r="G1591" t="s">
        <v>25</v>
      </c>
      <c r="H1591">
        <v>2</v>
      </c>
      <c r="I1591">
        <v>5</v>
      </c>
      <c r="J1591">
        <v>2005</v>
      </c>
      <c r="K1591" t="s">
        <v>26</v>
      </c>
      <c r="L1591">
        <v>76</v>
      </c>
      <c r="M1591" t="s">
        <v>626</v>
      </c>
      <c r="N1591" t="s">
        <v>452</v>
      </c>
      <c r="O1591" t="s">
        <v>453</v>
      </c>
      <c r="P1591" t="s">
        <v>454</v>
      </c>
      <c r="R1591" t="s">
        <v>455</v>
      </c>
      <c r="T1591">
        <v>42100</v>
      </c>
      <c r="U1591" t="s">
        <v>258</v>
      </c>
      <c r="V1591" t="s">
        <v>42</v>
      </c>
      <c r="W1591" t="s">
        <v>456</v>
      </c>
      <c r="X1591" t="s">
        <v>457</v>
      </c>
      <c r="Y1591" t="s">
        <v>36</v>
      </c>
    </row>
    <row r="1592" spans="1:25" x14ac:dyDescent="0.25">
      <c r="A1592">
        <v>10105</v>
      </c>
      <c r="B1592">
        <v>43</v>
      </c>
      <c r="C1592">
        <v>100</v>
      </c>
      <c r="D1592">
        <v>9</v>
      </c>
      <c r="E1592">
        <v>6341.21</v>
      </c>
      <c r="F1592" s="1">
        <v>37663</v>
      </c>
      <c r="G1592" t="s">
        <v>25</v>
      </c>
      <c r="H1592">
        <v>1</v>
      </c>
      <c r="I1592">
        <v>2</v>
      </c>
      <c r="J1592">
        <v>2003</v>
      </c>
      <c r="K1592" t="s">
        <v>598</v>
      </c>
      <c r="L1592">
        <v>122</v>
      </c>
      <c r="M1592" t="s">
        <v>627</v>
      </c>
      <c r="N1592" t="s">
        <v>322</v>
      </c>
      <c r="O1592" t="s">
        <v>323</v>
      </c>
      <c r="P1592" t="s">
        <v>324</v>
      </c>
      <c r="R1592" t="s">
        <v>325</v>
      </c>
      <c r="T1592">
        <v>1734</v>
      </c>
      <c r="U1592" t="s">
        <v>326</v>
      </c>
      <c r="V1592" t="s">
        <v>42</v>
      </c>
      <c r="W1592" t="s">
        <v>327</v>
      </c>
      <c r="X1592" t="s">
        <v>328</v>
      </c>
      <c r="Y1592" t="s">
        <v>51</v>
      </c>
    </row>
    <row r="1593" spans="1:25" x14ac:dyDescent="0.25">
      <c r="A1593">
        <v>10117</v>
      </c>
      <c r="B1593">
        <v>41</v>
      </c>
      <c r="C1593">
        <v>100</v>
      </c>
      <c r="D1593">
        <v>3</v>
      </c>
      <c r="E1593">
        <v>5189.78</v>
      </c>
      <c r="F1593" s="1">
        <v>37727</v>
      </c>
      <c r="G1593" t="s">
        <v>25</v>
      </c>
      <c r="H1593">
        <v>2</v>
      </c>
      <c r="I1593">
        <v>4</v>
      </c>
      <c r="J1593">
        <v>2003</v>
      </c>
      <c r="K1593" t="s">
        <v>598</v>
      </c>
      <c r="L1593">
        <v>122</v>
      </c>
      <c r="M1593" t="s">
        <v>627</v>
      </c>
      <c r="N1593" t="s">
        <v>196</v>
      </c>
      <c r="O1593" t="s">
        <v>197</v>
      </c>
      <c r="P1593" t="s">
        <v>198</v>
      </c>
      <c r="R1593" t="s">
        <v>199</v>
      </c>
      <c r="T1593">
        <v>79903</v>
      </c>
      <c r="U1593" t="s">
        <v>199</v>
      </c>
      <c r="V1593" t="s">
        <v>200</v>
      </c>
      <c r="W1593" t="s">
        <v>201</v>
      </c>
      <c r="X1593" t="s">
        <v>202</v>
      </c>
      <c r="Y1593" t="s">
        <v>51</v>
      </c>
    </row>
    <row r="1594" spans="1:25" x14ac:dyDescent="0.25">
      <c r="A1594">
        <v>10129</v>
      </c>
      <c r="B1594">
        <v>45</v>
      </c>
      <c r="C1594">
        <v>100</v>
      </c>
      <c r="D1594">
        <v>9</v>
      </c>
      <c r="E1594">
        <v>6027.75</v>
      </c>
      <c r="F1594" s="1">
        <v>37784</v>
      </c>
      <c r="G1594" t="s">
        <v>25</v>
      </c>
      <c r="H1594">
        <v>2</v>
      </c>
      <c r="I1594">
        <v>6</v>
      </c>
      <c r="J1594">
        <v>2003</v>
      </c>
      <c r="K1594" t="s">
        <v>598</v>
      </c>
      <c r="L1594">
        <v>122</v>
      </c>
      <c r="M1594" t="s">
        <v>627</v>
      </c>
      <c r="N1594" t="s">
        <v>329</v>
      </c>
      <c r="O1594" t="s">
        <v>330</v>
      </c>
      <c r="P1594" t="s">
        <v>331</v>
      </c>
      <c r="R1594" t="s">
        <v>332</v>
      </c>
      <c r="T1594" t="s">
        <v>333</v>
      </c>
      <c r="U1594" t="s">
        <v>170</v>
      </c>
      <c r="V1594" t="s">
        <v>42</v>
      </c>
      <c r="W1594" t="s">
        <v>61</v>
      </c>
      <c r="X1594" t="s">
        <v>334</v>
      </c>
      <c r="Y1594" t="s">
        <v>51</v>
      </c>
    </row>
    <row r="1595" spans="1:25" x14ac:dyDescent="0.25">
      <c r="A1595">
        <v>10142</v>
      </c>
      <c r="B1595">
        <v>33</v>
      </c>
      <c r="C1595">
        <v>100</v>
      </c>
      <c r="D1595">
        <v>6</v>
      </c>
      <c r="E1595">
        <v>3366</v>
      </c>
      <c r="F1595" s="1">
        <v>37841</v>
      </c>
      <c r="G1595" t="s">
        <v>25</v>
      </c>
      <c r="H1595">
        <v>3</v>
      </c>
      <c r="I1595">
        <v>8</v>
      </c>
      <c r="J1595">
        <v>2003</v>
      </c>
      <c r="K1595" t="s">
        <v>598</v>
      </c>
      <c r="L1595">
        <v>122</v>
      </c>
      <c r="M1595" t="s">
        <v>627</v>
      </c>
      <c r="N1595" t="s">
        <v>272</v>
      </c>
      <c r="O1595">
        <v>4155551450</v>
      </c>
      <c r="P1595" t="s">
        <v>273</v>
      </c>
      <c r="R1595" t="s">
        <v>274</v>
      </c>
      <c r="S1595" t="s">
        <v>55</v>
      </c>
      <c r="T1595">
        <v>97562</v>
      </c>
      <c r="U1595" t="s">
        <v>32</v>
      </c>
      <c r="V1595" t="s">
        <v>33</v>
      </c>
      <c r="W1595" t="s">
        <v>275</v>
      </c>
      <c r="X1595" t="s">
        <v>276</v>
      </c>
      <c r="Y1595" t="s">
        <v>51</v>
      </c>
    </row>
    <row r="1596" spans="1:25" x14ac:dyDescent="0.25">
      <c r="A1596">
        <v>10153</v>
      </c>
      <c r="B1596">
        <v>40</v>
      </c>
      <c r="C1596">
        <v>100</v>
      </c>
      <c r="D1596">
        <v>5</v>
      </c>
      <c r="E1596">
        <v>5456.4</v>
      </c>
      <c r="F1596" s="1">
        <v>37892</v>
      </c>
      <c r="G1596" t="s">
        <v>25</v>
      </c>
      <c r="H1596">
        <v>3</v>
      </c>
      <c r="I1596">
        <v>9</v>
      </c>
      <c r="J1596">
        <v>2003</v>
      </c>
      <c r="K1596" t="s">
        <v>598</v>
      </c>
      <c r="L1596">
        <v>122</v>
      </c>
      <c r="M1596" t="s">
        <v>627</v>
      </c>
      <c r="N1596" t="s">
        <v>174</v>
      </c>
      <c r="O1596" t="s">
        <v>175</v>
      </c>
      <c r="P1596" t="s">
        <v>176</v>
      </c>
      <c r="R1596" t="s">
        <v>177</v>
      </c>
      <c r="T1596">
        <v>28034</v>
      </c>
      <c r="U1596" t="s">
        <v>178</v>
      </c>
      <c r="V1596" t="s">
        <v>42</v>
      </c>
      <c r="W1596" t="s">
        <v>179</v>
      </c>
      <c r="X1596" t="s">
        <v>180</v>
      </c>
      <c r="Y1596" t="s">
        <v>51</v>
      </c>
    </row>
    <row r="1597" spans="1:25" x14ac:dyDescent="0.25">
      <c r="A1597">
        <v>10167</v>
      </c>
      <c r="B1597">
        <v>33</v>
      </c>
      <c r="C1597">
        <v>100</v>
      </c>
      <c r="D1597">
        <v>16</v>
      </c>
      <c r="E1597">
        <v>3812.16</v>
      </c>
      <c r="F1597" s="1">
        <v>37917</v>
      </c>
      <c r="G1597" t="s">
        <v>339</v>
      </c>
      <c r="H1597">
        <v>4</v>
      </c>
      <c r="I1597">
        <v>10</v>
      </c>
      <c r="J1597">
        <v>2003</v>
      </c>
      <c r="K1597" t="s">
        <v>598</v>
      </c>
      <c r="L1597">
        <v>122</v>
      </c>
      <c r="M1597" t="s">
        <v>627</v>
      </c>
      <c r="N1597" t="s">
        <v>261</v>
      </c>
      <c r="O1597" t="s">
        <v>262</v>
      </c>
      <c r="P1597" t="s">
        <v>263</v>
      </c>
      <c r="R1597" t="s">
        <v>264</v>
      </c>
      <c r="T1597" t="s">
        <v>265</v>
      </c>
      <c r="U1597" t="s">
        <v>188</v>
      </c>
      <c r="V1597" t="s">
        <v>42</v>
      </c>
      <c r="W1597" t="s">
        <v>266</v>
      </c>
      <c r="X1597" t="s">
        <v>206</v>
      </c>
      <c r="Y1597" t="s">
        <v>51</v>
      </c>
    </row>
    <row r="1598" spans="1:25" x14ac:dyDescent="0.25">
      <c r="A1598">
        <v>10177</v>
      </c>
      <c r="B1598">
        <v>50</v>
      </c>
      <c r="C1598">
        <v>100</v>
      </c>
      <c r="D1598">
        <v>7</v>
      </c>
      <c r="E1598">
        <v>6083</v>
      </c>
      <c r="F1598" s="1">
        <v>37932</v>
      </c>
      <c r="G1598" t="s">
        <v>25</v>
      </c>
      <c r="H1598">
        <v>4</v>
      </c>
      <c r="I1598">
        <v>11</v>
      </c>
      <c r="J1598">
        <v>2003</v>
      </c>
      <c r="K1598" t="s">
        <v>598</v>
      </c>
      <c r="L1598">
        <v>122</v>
      </c>
      <c r="M1598" t="s">
        <v>627</v>
      </c>
      <c r="N1598" t="s">
        <v>487</v>
      </c>
      <c r="O1598" t="s">
        <v>488</v>
      </c>
      <c r="P1598" t="s">
        <v>489</v>
      </c>
      <c r="R1598" t="s">
        <v>177</v>
      </c>
      <c r="T1598">
        <v>28023</v>
      </c>
      <c r="U1598" t="s">
        <v>178</v>
      </c>
      <c r="V1598" t="s">
        <v>42</v>
      </c>
      <c r="W1598" t="s">
        <v>490</v>
      </c>
      <c r="X1598" t="s">
        <v>491</v>
      </c>
      <c r="Y1598" t="s">
        <v>51</v>
      </c>
    </row>
    <row r="1599" spans="1:25" x14ac:dyDescent="0.25">
      <c r="A1599">
        <v>10185</v>
      </c>
      <c r="B1599">
        <v>30</v>
      </c>
      <c r="C1599">
        <v>100</v>
      </c>
      <c r="D1599">
        <v>7</v>
      </c>
      <c r="E1599">
        <v>3170.7</v>
      </c>
      <c r="F1599" s="1">
        <v>37939</v>
      </c>
      <c r="G1599" t="s">
        <v>25</v>
      </c>
      <c r="H1599">
        <v>4</v>
      </c>
      <c r="I1599">
        <v>11</v>
      </c>
      <c r="J1599">
        <v>2003</v>
      </c>
      <c r="K1599" t="s">
        <v>598</v>
      </c>
      <c r="L1599">
        <v>122</v>
      </c>
      <c r="M1599" t="s">
        <v>627</v>
      </c>
      <c r="N1599" t="s">
        <v>335</v>
      </c>
      <c r="O1599">
        <v>5085559555</v>
      </c>
      <c r="P1599" t="s">
        <v>336</v>
      </c>
      <c r="R1599" t="s">
        <v>162</v>
      </c>
      <c r="S1599" t="s">
        <v>123</v>
      </c>
      <c r="T1599">
        <v>50553</v>
      </c>
      <c r="U1599" t="s">
        <v>32</v>
      </c>
      <c r="V1599" t="s">
        <v>33</v>
      </c>
      <c r="W1599" t="s">
        <v>337</v>
      </c>
      <c r="X1599" t="s">
        <v>338</v>
      </c>
      <c r="Y1599" t="s">
        <v>51</v>
      </c>
    </row>
    <row r="1600" spans="1:25" x14ac:dyDescent="0.25">
      <c r="A1600">
        <v>10197</v>
      </c>
      <c r="B1600">
        <v>41</v>
      </c>
      <c r="C1600">
        <v>100</v>
      </c>
      <c r="D1600">
        <v>13</v>
      </c>
      <c r="E1600">
        <v>4534.6000000000004</v>
      </c>
      <c r="F1600" s="1">
        <v>37951</v>
      </c>
      <c r="G1600" t="s">
        <v>25</v>
      </c>
      <c r="H1600">
        <v>4</v>
      </c>
      <c r="I1600">
        <v>11</v>
      </c>
      <c r="J1600">
        <v>2003</v>
      </c>
      <c r="K1600" t="s">
        <v>598</v>
      </c>
      <c r="L1600">
        <v>122</v>
      </c>
      <c r="M1600" t="s">
        <v>627</v>
      </c>
      <c r="N1600" t="s">
        <v>352</v>
      </c>
      <c r="O1600" t="s">
        <v>353</v>
      </c>
      <c r="P1600" t="s">
        <v>354</v>
      </c>
      <c r="R1600" t="s">
        <v>355</v>
      </c>
      <c r="T1600">
        <v>8022</v>
      </c>
      <c r="U1600" t="s">
        <v>178</v>
      </c>
      <c r="V1600" t="s">
        <v>42</v>
      </c>
      <c r="W1600" t="s">
        <v>356</v>
      </c>
      <c r="X1600" t="s">
        <v>357</v>
      </c>
      <c r="Y1600" t="s">
        <v>51</v>
      </c>
    </row>
    <row r="1601" spans="1:25" x14ac:dyDescent="0.25">
      <c r="A1601">
        <v>10208</v>
      </c>
      <c r="B1601">
        <v>35</v>
      </c>
      <c r="C1601">
        <v>100</v>
      </c>
      <c r="D1601">
        <v>7</v>
      </c>
      <c r="E1601">
        <v>4301.1499999999996</v>
      </c>
      <c r="F1601" s="1">
        <v>37988</v>
      </c>
      <c r="G1601" t="s">
        <v>25</v>
      </c>
      <c r="H1601">
        <v>1</v>
      </c>
      <c r="I1601">
        <v>1</v>
      </c>
      <c r="J1601">
        <v>2004</v>
      </c>
      <c r="K1601" t="s">
        <v>598</v>
      </c>
      <c r="L1601">
        <v>122</v>
      </c>
      <c r="M1601" t="s">
        <v>627</v>
      </c>
      <c r="N1601" t="s">
        <v>219</v>
      </c>
      <c r="O1601" t="s">
        <v>220</v>
      </c>
      <c r="P1601" t="s">
        <v>221</v>
      </c>
      <c r="R1601" t="s">
        <v>222</v>
      </c>
      <c r="T1601">
        <v>69004</v>
      </c>
      <c r="U1601" t="s">
        <v>41</v>
      </c>
      <c r="V1601" t="s">
        <v>42</v>
      </c>
      <c r="W1601" t="s">
        <v>223</v>
      </c>
      <c r="X1601" t="s">
        <v>224</v>
      </c>
      <c r="Y1601" t="s">
        <v>51</v>
      </c>
    </row>
    <row r="1602" spans="1:25" x14ac:dyDescent="0.25">
      <c r="A1602">
        <v>10221</v>
      </c>
      <c r="B1602">
        <v>49</v>
      </c>
      <c r="C1602">
        <v>100</v>
      </c>
      <c r="D1602">
        <v>1</v>
      </c>
      <c r="E1602">
        <v>6804.63</v>
      </c>
      <c r="F1602" s="1">
        <v>38035</v>
      </c>
      <c r="G1602" t="s">
        <v>25</v>
      </c>
      <c r="H1602">
        <v>1</v>
      </c>
      <c r="I1602">
        <v>2</v>
      </c>
      <c r="J1602">
        <v>2004</v>
      </c>
      <c r="K1602" t="s">
        <v>598</v>
      </c>
      <c r="L1602">
        <v>122</v>
      </c>
      <c r="M1602" t="s">
        <v>627</v>
      </c>
      <c r="N1602" t="s">
        <v>365</v>
      </c>
      <c r="O1602" t="s">
        <v>366</v>
      </c>
      <c r="P1602" t="s">
        <v>367</v>
      </c>
      <c r="R1602" t="s">
        <v>368</v>
      </c>
      <c r="T1602" t="s">
        <v>369</v>
      </c>
      <c r="U1602" t="s">
        <v>370</v>
      </c>
      <c r="V1602" t="s">
        <v>42</v>
      </c>
      <c r="W1602" t="s">
        <v>371</v>
      </c>
      <c r="X1602" t="s">
        <v>372</v>
      </c>
      <c r="Y1602" t="s">
        <v>51</v>
      </c>
    </row>
    <row r="1603" spans="1:25" x14ac:dyDescent="0.25">
      <c r="A1603">
        <v>10232</v>
      </c>
      <c r="B1603">
        <v>46</v>
      </c>
      <c r="C1603">
        <v>100</v>
      </c>
      <c r="D1603">
        <v>4</v>
      </c>
      <c r="E1603">
        <v>5652.94</v>
      </c>
      <c r="F1603" s="1">
        <v>38066</v>
      </c>
      <c r="G1603" t="s">
        <v>25</v>
      </c>
      <c r="H1603">
        <v>1</v>
      </c>
      <c r="I1603">
        <v>3</v>
      </c>
      <c r="J1603">
        <v>2004</v>
      </c>
      <c r="K1603" t="s">
        <v>598</v>
      </c>
      <c r="L1603">
        <v>122</v>
      </c>
      <c r="M1603" t="s">
        <v>627</v>
      </c>
      <c r="N1603" t="s">
        <v>383</v>
      </c>
      <c r="O1603" t="s">
        <v>384</v>
      </c>
      <c r="P1603" t="s">
        <v>385</v>
      </c>
      <c r="R1603" t="s">
        <v>386</v>
      </c>
      <c r="S1603" t="s">
        <v>387</v>
      </c>
      <c r="T1603" t="s">
        <v>388</v>
      </c>
      <c r="U1603" t="s">
        <v>170</v>
      </c>
      <c r="V1603" t="s">
        <v>42</v>
      </c>
      <c r="W1603" t="s">
        <v>389</v>
      </c>
      <c r="X1603" t="s">
        <v>390</v>
      </c>
      <c r="Y1603" t="s">
        <v>51</v>
      </c>
    </row>
    <row r="1604" spans="1:25" x14ac:dyDescent="0.25">
      <c r="A1604">
        <v>10248</v>
      </c>
      <c r="B1604">
        <v>48</v>
      </c>
      <c r="C1604">
        <v>100</v>
      </c>
      <c r="D1604">
        <v>10</v>
      </c>
      <c r="E1604">
        <v>6960.48</v>
      </c>
      <c r="F1604" s="1">
        <v>38114</v>
      </c>
      <c r="G1604" t="s">
        <v>339</v>
      </c>
      <c r="H1604">
        <v>2</v>
      </c>
      <c r="I1604">
        <v>5</v>
      </c>
      <c r="J1604">
        <v>2004</v>
      </c>
      <c r="K1604" t="s">
        <v>598</v>
      </c>
      <c r="L1604">
        <v>122</v>
      </c>
      <c r="M1604" t="s">
        <v>627</v>
      </c>
      <c r="N1604" t="s">
        <v>28</v>
      </c>
      <c r="O1604">
        <v>2125557818</v>
      </c>
      <c r="P1604" t="s">
        <v>29</v>
      </c>
      <c r="R1604" t="s">
        <v>30</v>
      </c>
      <c r="S1604" t="s">
        <v>31</v>
      </c>
      <c r="T1604">
        <v>10022</v>
      </c>
      <c r="U1604" t="s">
        <v>32</v>
      </c>
      <c r="V1604" t="s">
        <v>33</v>
      </c>
      <c r="W1604" t="s">
        <v>34</v>
      </c>
      <c r="X1604" t="s">
        <v>35</v>
      </c>
      <c r="Y1604" t="s">
        <v>51</v>
      </c>
    </row>
    <row r="1605" spans="1:25" x14ac:dyDescent="0.25">
      <c r="A1605">
        <v>10261</v>
      </c>
      <c r="B1605">
        <v>36</v>
      </c>
      <c r="C1605">
        <v>100</v>
      </c>
      <c r="D1605">
        <v>8</v>
      </c>
      <c r="E1605">
        <v>4512.6000000000004</v>
      </c>
      <c r="F1605" s="1">
        <v>38155</v>
      </c>
      <c r="G1605" t="s">
        <v>25</v>
      </c>
      <c r="H1605">
        <v>2</v>
      </c>
      <c r="I1605">
        <v>6</v>
      </c>
      <c r="J1605">
        <v>2004</v>
      </c>
      <c r="K1605" t="s">
        <v>598</v>
      </c>
      <c r="L1605">
        <v>122</v>
      </c>
      <c r="M1605" t="s">
        <v>627</v>
      </c>
      <c r="N1605" t="s">
        <v>292</v>
      </c>
      <c r="O1605" t="s">
        <v>293</v>
      </c>
      <c r="P1605" t="s">
        <v>294</v>
      </c>
      <c r="R1605" t="s">
        <v>295</v>
      </c>
      <c r="S1605" t="s">
        <v>296</v>
      </c>
      <c r="T1605" t="s">
        <v>297</v>
      </c>
      <c r="U1605" t="s">
        <v>231</v>
      </c>
      <c r="V1605" t="s">
        <v>33</v>
      </c>
      <c r="W1605" t="s">
        <v>298</v>
      </c>
      <c r="X1605" t="s">
        <v>299</v>
      </c>
      <c r="Y1605" t="s">
        <v>51</v>
      </c>
    </row>
    <row r="1606" spans="1:25" x14ac:dyDescent="0.25">
      <c r="A1606">
        <v>10273</v>
      </c>
      <c r="B1606">
        <v>22</v>
      </c>
      <c r="C1606">
        <v>100</v>
      </c>
      <c r="D1606">
        <v>11</v>
      </c>
      <c r="E1606">
        <v>2784.76</v>
      </c>
      <c r="F1606" s="1">
        <v>38189</v>
      </c>
      <c r="G1606" t="s">
        <v>25</v>
      </c>
      <c r="H1606">
        <v>3</v>
      </c>
      <c r="I1606">
        <v>7</v>
      </c>
      <c r="J1606">
        <v>2004</v>
      </c>
      <c r="K1606" t="s">
        <v>598</v>
      </c>
      <c r="L1606">
        <v>122</v>
      </c>
      <c r="M1606" t="s">
        <v>627</v>
      </c>
      <c r="N1606" t="s">
        <v>365</v>
      </c>
      <c r="O1606" t="s">
        <v>366</v>
      </c>
      <c r="P1606" t="s">
        <v>367</v>
      </c>
      <c r="R1606" t="s">
        <v>368</v>
      </c>
      <c r="T1606" t="s">
        <v>369</v>
      </c>
      <c r="U1606" t="s">
        <v>370</v>
      </c>
      <c r="V1606" t="s">
        <v>42</v>
      </c>
      <c r="W1606" t="s">
        <v>371</v>
      </c>
      <c r="X1606" t="s">
        <v>372</v>
      </c>
      <c r="Y1606" t="s">
        <v>36</v>
      </c>
    </row>
    <row r="1607" spans="1:25" x14ac:dyDescent="0.25">
      <c r="A1607">
        <v>10283</v>
      </c>
      <c r="B1607">
        <v>42</v>
      </c>
      <c r="C1607">
        <v>100</v>
      </c>
      <c r="D1607">
        <v>13</v>
      </c>
      <c r="E1607">
        <v>5316.36</v>
      </c>
      <c r="F1607" s="1">
        <v>38219</v>
      </c>
      <c r="G1607" t="s">
        <v>25</v>
      </c>
      <c r="H1607">
        <v>3</v>
      </c>
      <c r="I1607">
        <v>8</v>
      </c>
      <c r="J1607">
        <v>2004</v>
      </c>
      <c r="K1607" t="s">
        <v>598</v>
      </c>
      <c r="L1607">
        <v>122</v>
      </c>
      <c r="M1607" t="s">
        <v>627</v>
      </c>
      <c r="N1607" t="s">
        <v>373</v>
      </c>
      <c r="O1607" t="s">
        <v>374</v>
      </c>
      <c r="P1607" t="s">
        <v>375</v>
      </c>
      <c r="R1607" t="s">
        <v>376</v>
      </c>
      <c r="S1607" t="s">
        <v>229</v>
      </c>
      <c r="T1607" t="s">
        <v>377</v>
      </c>
      <c r="U1607" t="s">
        <v>231</v>
      </c>
      <c r="V1607" t="s">
        <v>33</v>
      </c>
      <c r="W1607" t="s">
        <v>378</v>
      </c>
      <c r="X1607" t="s">
        <v>172</v>
      </c>
      <c r="Y1607" t="s">
        <v>51</v>
      </c>
    </row>
    <row r="1608" spans="1:25" x14ac:dyDescent="0.25">
      <c r="A1608">
        <v>10293</v>
      </c>
      <c r="B1608">
        <v>21</v>
      </c>
      <c r="C1608">
        <v>100</v>
      </c>
      <c r="D1608">
        <v>2</v>
      </c>
      <c r="E1608">
        <v>2941.89</v>
      </c>
      <c r="F1608" s="1">
        <v>38239</v>
      </c>
      <c r="G1608" t="s">
        <v>25</v>
      </c>
      <c r="H1608">
        <v>3</v>
      </c>
      <c r="I1608">
        <v>9</v>
      </c>
      <c r="J1608">
        <v>2004</v>
      </c>
      <c r="K1608" t="s">
        <v>598</v>
      </c>
      <c r="L1608">
        <v>122</v>
      </c>
      <c r="M1608" t="s">
        <v>627</v>
      </c>
      <c r="N1608" t="s">
        <v>254</v>
      </c>
      <c r="O1608" t="s">
        <v>255</v>
      </c>
      <c r="P1608" t="s">
        <v>256</v>
      </c>
      <c r="R1608" t="s">
        <v>257</v>
      </c>
      <c r="T1608">
        <v>10100</v>
      </c>
      <c r="U1608" t="s">
        <v>258</v>
      </c>
      <c r="V1608" t="s">
        <v>42</v>
      </c>
      <c r="W1608" t="s">
        <v>259</v>
      </c>
      <c r="X1608" t="s">
        <v>260</v>
      </c>
      <c r="Y1608" t="s">
        <v>36</v>
      </c>
    </row>
    <row r="1609" spans="1:25" x14ac:dyDescent="0.25">
      <c r="A1609">
        <v>10306</v>
      </c>
      <c r="B1609">
        <v>29</v>
      </c>
      <c r="C1609">
        <v>100</v>
      </c>
      <c r="D1609">
        <v>7</v>
      </c>
      <c r="E1609">
        <v>3207.4</v>
      </c>
      <c r="F1609" s="1">
        <v>38274</v>
      </c>
      <c r="G1609" t="s">
        <v>25</v>
      </c>
      <c r="H1609">
        <v>4</v>
      </c>
      <c r="I1609">
        <v>10</v>
      </c>
      <c r="J1609">
        <v>2004</v>
      </c>
      <c r="K1609" t="s">
        <v>598</v>
      </c>
      <c r="L1609">
        <v>122</v>
      </c>
      <c r="M1609" t="s">
        <v>627</v>
      </c>
      <c r="N1609" t="s">
        <v>492</v>
      </c>
      <c r="O1609" t="s">
        <v>493</v>
      </c>
      <c r="P1609" t="s">
        <v>494</v>
      </c>
      <c r="R1609" t="s">
        <v>495</v>
      </c>
      <c r="T1609" t="s">
        <v>496</v>
      </c>
      <c r="U1609" t="s">
        <v>170</v>
      </c>
      <c r="V1609" t="s">
        <v>42</v>
      </c>
      <c r="W1609" t="s">
        <v>497</v>
      </c>
      <c r="X1609" t="s">
        <v>94</v>
      </c>
      <c r="Y1609" t="s">
        <v>51</v>
      </c>
    </row>
    <row r="1610" spans="1:25" x14ac:dyDescent="0.25">
      <c r="A1610">
        <v>10315</v>
      </c>
      <c r="B1610">
        <v>35</v>
      </c>
      <c r="C1610">
        <v>100</v>
      </c>
      <c r="D1610">
        <v>6</v>
      </c>
      <c r="E1610">
        <v>4215.05</v>
      </c>
      <c r="F1610" s="1">
        <v>38289</v>
      </c>
      <c r="G1610" t="s">
        <v>25</v>
      </c>
      <c r="H1610">
        <v>4</v>
      </c>
      <c r="I1610">
        <v>10</v>
      </c>
      <c r="J1610">
        <v>2004</v>
      </c>
      <c r="K1610" t="s">
        <v>598</v>
      </c>
      <c r="L1610">
        <v>122</v>
      </c>
      <c r="M1610" t="s">
        <v>627</v>
      </c>
      <c r="N1610" t="s">
        <v>114</v>
      </c>
      <c r="O1610" t="s">
        <v>115</v>
      </c>
      <c r="P1610" t="s">
        <v>116</v>
      </c>
      <c r="R1610" t="s">
        <v>117</v>
      </c>
      <c r="T1610">
        <v>44000</v>
      </c>
      <c r="U1610" t="s">
        <v>41</v>
      </c>
      <c r="V1610" t="s">
        <v>42</v>
      </c>
      <c r="W1610" t="s">
        <v>118</v>
      </c>
      <c r="X1610" t="s">
        <v>119</v>
      </c>
      <c r="Y1610" t="s">
        <v>51</v>
      </c>
    </row>
    <row r="1611" spans="1:25" x14ac:dyDescent="0.25">
      <c r="A1611">
        <v>10326</v>
      </c>
      <c r="B1611">
        <v>41</v>
      </c>
      <c r="C1611">
        <v>100</v>
      </c>
      <c r="D1611">
        <v>4</v>
      </c>
      <c r="E1611">
        <v>4333.29</v>
      </c>
      <c r="F1611" s="1">
        <v>38300</v>
      </c>
      <c r="G1611" t="s">
        <v>25</v>
      </c>
      <c r="H1611">
        <v>4</v>
      </c>
      <c r="I1611">
        <v>11</v>
      </c>
      <c r="J1611">
        <v>2004</v>
      </c>
      <c r="K1611" t="s">
        <v>598</v>
      </c>
      <c r="L1611">
        <v>122</v>
      </c>
      <c r="M1611" t="s">
        <v>627</v>
      </c>
      <c r="N1611" t="s">
        <v>183</v>
      </c>
      <c r="O1611" t="s">
        <v>184</v>
      </c>
      <c r="P1611" t="s">
        <v>185</v>
      </c>
      <c r="R1611" t="s">
        <v>186</v>
      </c>
      <c r="T1611" t="s">
        <v>187</v>
      </c>
      <c r="U1611" t="s">
        <v>188</v>
      </c>
      <c r="V1611" t="s">
        <v>42</v>
      </c>
      <c r="W1611" t="s">
        <v>189</v>
      </c>
      <c r="X1611" t="s">
        <v>190</v>
      </c>
      <c r="Y1611" t="s">
        <v>51</v>
      </c>
    </row>
    <row r="1612" spans="1:25" x14ac:dyDescent="0.25">
      <c r="A1612">
        <v>10337</v>
      </c>
      <c r="B1612">
        <v>29</v>
      </c>
      <c r="C1612">
        <v>71.97</v>
      </c>
      <c r="D1612">
        <v>4</v>
      </c>
      <c r="E1612">
        <v>2087.13</v>
      </c>
      <c r="F1612" s="1">
        <v>38312</v>
      </c>
      <c r="G1612" t="s">
        <v>25</v>
      </c>
      <c r="H1612">
        <v>4</v>
      </c>
      <c r="I1612">
        <v>11</v>
      </c>
      <c r="J1612">
        <v>2004</v>
      </c>
      <c r="K1612" t="s">
        <v>598</v>
      </c>
      <c r="L1612">
        <v>122</v>
      </c>
      <c r="M1612" t="s">
        <v>627</v>
      </c>
      <c r="N1612" t="s">
        <v>203</v>
      </c>
      <c r="O1612">
        <v>2125558493</v>
      </c>
      <c r="P1612" t="s">
        <v>204</v>
      </c>
      <c r="Q1612" t="s">
        <v>205</v>
      </c>
      <c r="R1612" t="s">
        <v>30</v>
      </c>
      <c r="S1612" t="s">
        <v>31</v>
      </c>
      <c r="T1612">
        <v>10022</v>
      </c>
      <c r="U1612" t="s">
        <v>32</v>
      </c>
      <c r="V1612" t="s">
        <v>33</v>
      </c>
      <c r="W1612" t="s">
        <v>124</v>
      </c>
      <c r="X1612" t="s">
        <v>206</v>
      </c>
      <c r="Y1612" t="s">
        <v>36</v>
      </c>
    </row>
    <row r="1613" spans="1:25" x14ac:dyDescent="0.25">
      <c r="A1613">
        <v>10350</v>
      </c>
      <c r="B1613">
        <v>34</v>
      </c>
      <c r="C1613">
        <v>50.33</v>
      </c>
      <c r="D1613">
        <v>7</v>
      </c>
      <c r="E1613">
        <v>1711.22</v>
      </c>
      <c r="F1613" s="1">
        <v>38323</v>
      </c>
      <c r="G1613" t="s">
        <v>25</v>
      </c>
      <c r="H1613">
        <v>4</v>
      </c>
      <c r="I1613">
        <v>12</v>
      </c>
      <c r="J1613">
        <v>2004</v>
      </c>
      <c r="K1613" t="s">
        <v>598</v>
      </c>
      <c r="L1613">
        <v>122</v>
      </c>
      <c r="M1613" t="s">
        <v>627</v>
      </c>
      <c r="N1613" t="s">
        <v>174</v>
      </c>
      <c r="O1613" t="s">
        <v>175</v>
      </c>
      <c r="P1613" t="s">
        <v>176</v>
      </c>
      <c r="R1613" t="s">
        <v>177</v>
      </c>
      <c r="T1613">
        <v>28034</v>
      </c>
      <c r="U1613" t="s">
        <v>178</v>
      </c>
      <c r="V1613" t="s">
        <v>42</v>
      </c>
      <c r="W1613" t="s">
        <v>179</v>
      </c>
      <c r="X1613" t="s">
        <v>180</v>
      </c>
      <c r="Y1613" t="s">
        <v>36</v>
      </c>
    </row>
    <row r="1614" spans="1:25" x14ac:dyDescent="0.25">
      <c r="A1614">
        <v>10372</v>
      </c>
      <c r="B1614">
        <v>37</v>
      </c>
      <c r="C1614">
        <v>100</v>
      </c>
      <c r="D1614">
        <v>8</v>
      </c>
      <c r="E1614">
        <v>3910.53</v>
      </c>
      <c r="F1614" s="1">
        <v>38378</v>
      </c>
      <c r="G1614" t="s">
        <v>25</v>
      </c>
      <c r="H1614">
        <v>1</v>
      </c>
      <c r="I1614">
        <v>1</v>
      </c>
      <c r="J1614">
        <v>2005</v>
      </c>
      <c r="K1614" t="s">
        <v>598</v>
      </c>
      <c r="L1614">
        <v>122</v>
      </c>
      <c r="M1614" t="s">
        <v>627</v>
      </c>
      <c r="N1614" t="s">
        <v>246</v>
      </c>
      <c r="O1614" t="s">
        <v>247</v>
      </c>
      <c r="P1614" t="s">
        <v>248</v>
      </c>
      <c r="R1614" t="s">
        <v>249</v>
      </c>
      <c r="S1614" t="s">
        <v>250</v>
      </c>
      <c r="T1614" t="s">
        <v>251</v>
      </c>
      <c r="U1614" t="s">
        <v>200</v>
      </c>
      <c r="V1614" t="s">
        <v>200</v>
      </c>
      <c r="W1614" t="s">
        <v>252</v>
      </c>
      <c r="X1614" t="s">
        <v>253</v>
      </c>
      <c r="Y1614" t="s">
        <v>51</v>
      </c>
    </row>
    <row r="1615" spans="1:25" x14ac:dyDescent="0.25">
      <c r="A1615">
        <v>10384</v>
      </c>
      <c r="B1615">
        <v>28</v>
      </c>
      <c r="C1615">
        <v>80.540000000000006</v>
      </c>
      <c r="D1615">
        <v>3</v>
      </c>
      <c r="E1615">
        <v>2255.12</v>
      </c>
      <c r="F1615" s="1">
        <v>38406</v>
      </c>
      <c r="G1615" t="s">
        <v>25</v>
      </c>
      <c r="H1615">
        <v>1</v>
      </c>
      <c r="I1615">
        <v>2</v>
      </c>
      <c r="J1615">
        <v>2005</v>
      </c>
      <c r="K1615" t="s">
        <v>598</v>
      </c>
      <c r="L1615">
        <v>122</v>
      </c>
      <c r="M1615" t="s">
        <v>627</v>
      </c>
      <c r="N1615" t="s">
        <v>58</v>
      </c>
      <c r="O1615">
        <v>6505551386</v>
      </c>
      <c r="P1615" t="s">
        <v>59</v>
      </c>
      <c r="R1615" t="s">
        <v>60</v>
      </c>
      <c r="S1615" t="s">
        <v>55</v>
      </c>
      <c r="U1615" t="s">
        <v>32</v>
      </c>
      <c r="V1615" t="s">
        <v>33</v>
      </c>
      <c r="W1615" t="s">
        <v>61</v>
      </c>
      <c r="X1615" t="s">
        <v>57</v>
      </c>
      <c r="Y1615" t="s">
        <v>36</v>
      </c>
    </row>
    <row r="1616" spans="1:25" x14ac:dyDescent="0.25">
      <c r="A1616">
        <v>10396</v>
      </c>
      <c r="B1616">
        <v>49</v>
      </c>
      <c r="C1616">
        <v>100</v>
      </c>
      <c r="D1616">
        <v>6</v>
      </c>
      <c r="E1616">
        <v>5720.75</v>
      </c>
      <c r="F1616" s="1">
        <v>38434</v>
      </c>
      <c r="G1616" t="s">
        <v>25</v>
      </c>
      <c r="H1616">
        <v>1</v>
      </c>
      <c r="I1616">
        <v>3</v>
      </c>
      <c r="J1616">
        <v>2005</v>
      </c>
      <c r="K1616" t="s">
        <v>598</v>
      </c>
      <c r="L1616">
        <v>122</v>
      </c>
      <c r="M1616" t="s">
        <v>627</v>
      </c>
      <c r="N1616" t="s">
        <v>272</v>
      </c>
      <c r="O1616">
        <v>4155551450</v>
      </c>
      <c r="P1616" t="s">
        <v>273</v>
      </c>
      <c r="R1616" t="s">
        <v>274</v>
      </c>
      <c r="S1616" t="s">
        <v>55</v>
      </c>
      <c r="T1616">
        <v>97562</v>
      </c>
      <c r="U1616" t="s">
        <v>32</v>
      </c>
      <c r="V1616" t="s">
        <v>33</v>
      </c>
      <c r="W1616" t="s">
        <v>275</v>
      </c>
      <c r="X1616" t="s">
        <v>276</v>
      </c>
      <c r="Y1616" t="s">
        <v>51</v>
      </c>
    </row>
    <row r="1617" spans="1:25" x14ac:dyDescent="0.25">
      <c r="A1617">
        <v>10414</v>
      </c>
      <c r="B1617">
        <v>23</v>
      </c>
      <c r="C1617">
        <v>100</v>
      </c>
      <c r="D1617">
        <v>10</v>
      </c>
      <c r="E1617">
        <v>3335.23</v>
      </c>
      <c r="F1617" s="1">
        <v>38478</v>
      </c>
      <c r="G1617" t="s">
        <v>401</v>
      </c>
      <c r="H1617">
        <v>2</v>
      </c>
      <c r="I1617">
        <v>5</v>
      </c>
      <c r="J1617">
        <v>2005</v>
      </c>
      <c r="K1617" t="s">
        <v>598</v>
      </c>
      <c r="L1617">
        <v>122</v>
      </c>
      <c r="M1617" t="s">
        <v>627</v>
      </c>
      <c r="N1617" t="s">
        <v>379</v>
      </c>
      <c r="O1617">
        <v>6175559555</v>
      </c>
      <c r="P1617" t="s">
        <v>380</v>
      </c>
      <c r="R1617" t="s">
        <v>381</v>
      </c>
      <c r="S1617" t="s">
        <v>123</v>
      </c>
      <c r="T1617">
        <v>51003</v>
      </c>
      <c r="U1617" t="s">
        <v>32</v>
      </c>
      <c r="V1617" t="s">
        <v>33</v>
      </c>
      <c r="W1617" t="s">
        <v>382</v>
      </c>
      <c r="X1617" t="s">
        <v>66</v>
      </c>
      <c r="Y1617" t="s">
        <v>51</v>
      </c>
    </row>
    <row r="1618" spans="1:25" x14ac:dyDescent="0.25">
      <c r="A1618">
        <v>10101</v>
      </c>
      <c r="B1618">
        <v>46</v>
      </c>
      <c r="C1618">
        <v>53.76</v>
      </c>
      <c r="D1618">
        <v>2</v>
      </c>
      <c r="E1618">
        <v>2472.96</v>
      </c>
      <c r="F1618" s="1">
        <v>37630</v>
      </c>
      <c r="G1618" t="s">
        <v>25</v>
      </c>
      <c r="H1618">
        <v>1</v>
      </c>
      <c r="I1618">
        <v>1</v>
      </c>
      <c r="J1618">
        <v>2003</v>
      </c>
      <c r="K1618" t="s">
        <v>550</v>
      </c>
      <c r="L1618">
        <v>44</v>
      </c>
      <c r="M1618" t="s">
        <v>628</v>
      </c>
      <c r="N1618" t="s">
        <v>462</v>
      </c>
      <c r="O1618" t="s">
        <v>463</v>
      </c>
      <c r="P1618" t="s">
        <v>464</v>
      </c>
      <c r="R1618" t="s">
        <v>465</v>
      </c>
      <c r="T1618">
        <v>60528</v>
      </c>
      <c r="U1618" t="s">
        <v>443</v>
      </c>
      <c r="V1618" t="s">
        <v>42</v>
      </c>
      <c r="W1618" t="s">
        <v>466</v>
      </c>
      <c r="X1618" t="s">
        <v>414</v>
      </c>
      <c r="Y1618" t="s">
        <v>36</v>
      </c>
    </row>
    <row r="1619" spans="1:25" x14ac:dyDescent="0.25">
      <c r="A1619">
        <v>10110</v>
      </c>
      <c r="B1619">
        <v>39</v>
      </c>
      <c r="C1619">
        <v>44.35</v>
      </c>
      <c r="D1619">
        <v>2</v>
      </c>
      <c r="E1619">
        <v>1729.65</v>
      </c>
      <c r="F1619" s="1">
        <v>37698</v>
      </c>
      <c r="G1619" t="s">
        <v>25</v>
      </c>
      <c r="H1619">
        <v>1</v>
      </c>
      <c r="I1619">
        <v>3</v>
      </c>
      <c r="J1619">
        <v>2003</v>
      </c>
      <c r="K1619" t="s">
        <v>550</v>
      </c>
      <c r="L1619">
        <v>44</v>
      </c>
      <c r="M1619" t="s">
        <v>628</v>
      </c>
      <c r="N1619" t="s">
        <v>492</v>
      </c>
      <c r="O1619" t="s">
        <v>493</v>
      </c>
      <c r="P1619" t="s">
        <v>494</v>
      </c>
      <c r="R1619" t="s">
        <v>495</v>
      </c>
      <c r="T1619" t="s">
        <v>496</v>
      </c>
      <c r="U1619" t="s">
        <v>170</v>
      </c>
      <c r="V1619" t="s">
        <v>42</v>
      </c>
      <c r="W1619" t="s">
        <v>497</v>
      </c>
      <c r="X1619" t="s">
        <v>94</v>
      </c>
      <c r="Y1619" t="s">
        <v>36</v>
      </c>
    </row>
    <row r="1620" spans="1:25" x14ac:dyDescent="0.25">
      <c r="A1620">
        <v>10124</v>
      </c>
      <c r="B1620">
        <v>22</v>
      </c>
      <c r="C1620">
        <v>45.25</v>
      </c>
      <c r="D1620">
        <v>1</v>
      </c>
      <c r="E1620">
        <v>995.5</v>
      </c>
      <c r="F1620" s="1">
        <v>37762</v>
      </c>
      <c r="G1620" t="s">
        <v>25</v>
      </c>
      <c r="H1620">
        <v>2</v>
      </c>
      <c r="I1620">
        <v>5</v>
      </c>
      <c r="J1620">
        <v>2003</v>
      </c>
      <c r="K1620" t="s">
        <v>550</v>
      </c>
      <c r="L1620">
        <v>44</v>
      </c>
      <c r="M1620" t="s">
        <v>628</v>
      </c>
      <c r="N1620" t="s">
        <v>539</v>
      </c>
      <c r="O1620">
        <v>7025551838</v>
      </c>
      <c r="P1620" t="s">
        <v>540</v>
      </c>
      <c r="R1620" t="s">
        <v>541</v>
      </c>
      <c r="S1620" t="s">
        <v>542</v>
      </c>
      <c r="T1620">
        <v>83030</v>
      </c>
      <c r="U1620" t="s">
        <v>32</v>
      </c>
      <c r="V1620" t="s">
        <v>33</v>
      </c>
      <c r="W1620" t="s">
        <v>113</v>
      </c>
      <c r="X1620" t="s">
        <v>400</v>
      </c>
      <c r="Y1620" t="s">
        <v>36</v>
      </c>
    </row>
    <row r="1621" spans="1:25" x14ac:dyDescent="0.25">
      <c r="A1621">
        <v>10149</v>
      </c>
      <c r="B1621">
        <v>49</v>
      </c>
      <c r="C1621">
        <v>49.28</v>
      </c>
      <c r="D1621">
        <v>6</v>
      </c>
      <c r="E1621">
        <v>2414.7199999999998</v>
      </c>
      <c r="F1621" s="1">
        <v>37876</v>
      </c>
      <c r="G1621" t="s">
        <v>25</v>
      </c>
      <c r="H1621">
        <v>3</v>
      </c>
      <c r="I1621">
        <v>9</v>
      </c>
      <c r="J1621">
        <v>2003</v>
      </c>
      <c r="K1621" t="s">
        <v>550</v>
      </c>
      <c r="L1621">
        <v>44</v>
      </c>
      <c r="M1621" t="s">
        <v>628</v>
      </c>
      <c r="N1621" t="s">
        <v>526</v>
      </c>
      <c r="O1621">
        <v>4155554312</v>
      </c>
      <c r="P1621" t="s">
        <v>527</v>
      </c>
      <c r="R1621" t="s">
        <v>528</v>
      </c>
      <c r="S1621" t="s">
        <v>55</v>
      </c>
      <c r="T1621">
        <v>94217</v>
      </c>
      <c r="U1621" t="s">
        <v>32</v>
      </c>
      <c r="V1621" t="s">
        <v>33</v>
      </c>
      <c r="W1621" t="s">
        <v>529</v>
      </c>
      <c r="X1621" t="s">
        <v>400</v>
      </c>
      <c r="Y1621" t="s">
        <v>36</v>
      </c>
    </row>
    <row r="1622" spans="1:25" x14ac:dyDescent="0.25">
      <c r="A1622">
        <v>10162</v>
      </c>
      <c r="B1622">
        <v>43</v>
      </c>
      <c r="C1622">
        <v>36.29</v>
      </c>
      <c r="D1622">
        <v>4</v>
      </c>
      <c r="E1622">
        <v>1560.47</v>
      </c>
      <c r="F1622" s="1">
        <v>37912</v>
      </c>
      <c r="G1622" t="s">
        <v>25</v>
      </c>
      <c r="H1622">
        <v>4</v>
      </c>
      <c r="I1622">
        <v>10</v>
      </c>
      <c r="J1622">
        <v>2003</v>
      </c>
      <c r="K1622" t="s">
        <v>550</v>
      </c>
      <c r="L1622">
        <v>44</v>
      </c>
      <c r="M1622" t="s">
        <v>628</v>
      </c>
      <c r="N1622" t="s">
        <v>58</v>
      </c>
      <c r="O1622">
        <v>6505551386</v>
      </c>
      <c r="P1622" t="s">
        <v>59</v>
      </c>
      <c r="R1622" t="s">
        <v>60</v>
      </c>
      <c r="S1622" t="s">
        <v>55</v>
      </c>
      <c r="U1622" t="s">
        <v>32</v>
      </c>
      <c r="V1622" t="s">
        <v>33</v>
      </c>
      <c r="W1622" t="s">
        <v>61</v>
      </c>
      <c r="X1622" t="s">
        <v>57</v>
      </c>
      <c r="Y1622" t="s">
        <v>36</v>
      </c>
    </row>
    <row r="1623" spans="1:25" x14ac:dyDescent="0.25">
      <c r="A1623">
        <v>10173</v>
      </c>
      <c r="B1623">
        <v>27</v>
      </c>
      <c r="C1623">
        <v>41.22</v>
      </c>
      <c r="D1623">
        <v>8</v>
      </c>
      <c r="E1623">
        <v>1112.94</v>
      </c>
      <c r="F1623" s="1">
        <v>37930</v>
      </c>
      <c r="G1623" t="s">
        <v>25</v>
      </c>
      <c r="H1623">
        <v>4</v>
      </c>
      <c r="I1623">
        <v>11</v>
      </c>
      <c r="J1623">
        <v>2003</v>
      </c>
      <c r="K1623" t="s">
        <v>550</v>
      </c>
      <c r="L1623">
        <v>44</v>
      </c>
      <c r="M1623" t="s">
        <v>628</v>
      </c>
      <c r="N1623" t="s">
        <v>552</v>
      </c>
      <c r="O1623" t="s">
        <v>553</v>
      </c>
      <c r="P1623" t="s">
        <v>554</v>
      </c>
      <c r="R1623" t="s">
        <v>555</v>
      </c>
      <c r="T1623">
        <v>24100</v>
      </c>
      <c r="U1623" t="s">
        <v>258</v>
      </c>
      <c r="V1623" t="s">
        <v>42</v>
      </c>
      <c r="W1623" t="s">
        <v>556</v>
      </c>
      <c r="X1623" t="s">
        <v>557</v>
      </c>
      <c r="Y1623" t="s">
        <v>36</v>
      </c>
    </row>
    <row r="1624" spans="1:25" x14ac:dyDescent="0.25">
      <c r="A1624">
        <v>10182</v>
      </c>
      <c r="B1624">
        <v>31</v>
      </c>
      <c r="C1624">
        <v>36.74</v>
      </c>
      <c r="D1624">
        <v>5</v>
      </c>
      <c r="E1624">
        <v>1138.94</v>
      </c>
      <c r="F1624" s="1">
        <v>37937</v>
      </c>
      <c r="G1624" t="s">
        <v>25</v>
      </c>
      <c r="H1624">
        <v>4</v>
      </c>
      <c r="I1624">
        <v>11</v>
      </c>
      <c r="J1624">
        <v>2003</v>
      </c>
      <c r="K1624" t="s">
        <v>550</v>
      </c>
      <c r="L1624">
        <v>44</v>
      </c>
      <c r="M1624" t="s">
        <v>628</v>
      </c>
      <c r="N1624" t="s">
        <v>272</v>
      </c>
      <c r="O1624">
        <v>4155551450</v>
      </c>
      <c r="P1624" t="s">
        <v>273</v>
      </c>
      <c r="R1624" t="s">
        <v>274</v>
      </c>
      <c r="S1624" t="s">
        <v>55</v>
      </c>
      <c r="T1624">
        <v>97562</v>
      </c>
      <c r="U1624" t="s">
        <v>32</v>
      </c>
      <c r="V1624" t="s">
        <v>33</v>
      </c>
      <c r="W1624" t="s">
        <v>275</v>
      </c>
      <c r="X1624" t="s">
        <v>276</v>
      </c>
      <c r="Y1624" t="s">
        <v>36</v>
      </c>
    </row>
    <row r="1625" spans="1:25" x14ac:dyDescent="0.25">
      <c r="A1625">
        <v>10193</v>
      </c>
      <c r="B1625">
        <v>20</v>
      </c>
      <c r="C1625">
        <v>50.62</v>
      </c>
      <c r="D1625">
        <v>9</v>
      </c>
      <c r="E1625">
        <v>1012.4</v>
      </c>
      <c r="F1625" s="1">
        <v>37946</v>
      </c>
      <c r="G1625" t="s">
        <v>25</v>
      </c>
      <c r="H1625">
        <v>4</v>
      </c>
      <c r="I1625">
        <v>11</v>
      </c>
      <c r="J1625">
        <v>2003</v>
      </c>
      <c r="K1625" t="s">
        <v>550</v>
      </c>
      <c r="L1625">
        <v>44</v>
      </c>
      <c r="M1625" t="s">
        <v>628</v>
      </c>
      <c r="N1625" t="s">
        <v>558</v>
      </c>
      <c r="O1625" t="s">
        <v>559</v>
      </c>
      <c r="P1625" t="s">
        <v>560</v>
      </c>
      <c r="R1625" t="s">
        <v>561</v>
      </c>
      <c r="S1625" t="s">
        <v>94</v>
      </c>
      <c r="T1625">
        <v>3150</v>
      </c>
      <c r="U1625" t="s">
        <v>95</v>
      </c>
      <c r="V1625" t="s">
        <v>96</v>
      </c>
      <c r="W1625" t="s">
        <v>562</v>
      </c>
      <c r="X1625" t="s">
        <v>563</v>
      </c>
      <c r="Y1625" t="s">
        <v>36</v>
      </c>
    </row>
    <row r="1626" spans="1:25" x14ac:dyDescent="0.25">
      <c r="A1626">
        <v>10205</v>
      </c>
      <c r="B1626">
        <v>24</v>
      </c>
      <c r="C1626">
        <v>38.08</v>
      </c>
      <c r="D1626">
        <v>4</v>
      </c>
      <c r="E1626">
        <v>913.92</v>
      </c>
      <c r="F1626" s="1">
        <v>37958</v>
      </c>
      <c r="G1626" t="s">
        <v>25</v>
      </c>
      <c r="H1626">
        <v>4</v>
      </c>
      <c r="I1626">
        <v>12</v>
      </c>
      <c r="J1626">
        <v>2003</v>
      </c>
      <c r="K1626" t="s">
        <v>550</v>
      </c>
      <c r="L1626">
        <v>44</v>
      </c>
      <c r="M1626" t="s">
        <v>628</v>
      </c>
      <c r="N1626" t="s">
        <v>174</v>
      </c>
      <c r="O1626" t="s">
        <v>175</v>
      </c>
      <c r="P1626" t="s">
        <v>176</v>
      </c>
      <c r="R1626" t="s">
        <v>177</v>
      </c>
      <c r="T1626">
        <v>28034</v>
      </c>
      <c r="U1626" t="s">
        <v>178</v>
      </c>
      <c r="V1626" t="s">
        <v>42</v>
      </c>
      <c r="W1626" t="s">
        <v>179</v>
      </c>
      <c r="X1626" t="s">
        <v>180</v>
      </c>
      <c r="Y1626" t="s">
        <v>36</v>
      </c>
    </row>
    <row r="1627" spans="1:25" x14ac:dyDescent="0.25">
      <c r="A1627">
        <v>10214</v>
      </c>
      <c r="B1627">
        <v>49</v>
      </c>
      <c r="C1627">
        <v>47.94</v>
      </c>
      <c r="D1627">
        <v>2</v>
      </c>
      <c r="E1627">
        <v>2349.06</v>
      </c>
      <c r="F1627" s="1">
        <v>38012</v>
      </c>
      <c r="G1627" t="s">
        <v>25</v>
      </c>
      <c r="H1627">
        <v>1</v>
      </c>
      <c r="I1627">
        <v>1</v>
      </c>
      <c r="J1627">
        <v>2004</v>
      </c>
      <c r="K1627" t="s">
        <v>550</v>
      </c>
      <c r="L1627">
        <v>44</v>
      </c>
      <c r="M1627" t="s">
        <v>628</v>
      </c>
      <c r="N1627" t="s">
        <v>191</v>
      </c>
      <c r="O1627" t="s">
        <v>192</v>
      </c>
      <c r="P1627" t="s">
        <v>193</v>
      </c>
      <c r="R1627" t="s">
        <v>177</v>
      </c>
      <c r="T1627">
        <v>28023</v>
      </c>
      <c r="U1627" t="s">
        <v>178</v>
      </c>
      <c r="V1627" t="s">
        <v>42</v>
      </c>
      <c r="W1627" t="s">
        <v>194</v>
      </c>
      <c r="X1627" t="s">
        <v>195</v>
      </c>
      <c r="Y1627" t="s">
        <v>36</v>
      </c>
    </row>
    <row r="1628" spans="1:25" x14ac:dyDescent="0.25">
      <c r="A1628">
        <v>10227</v>
      </c>
      <c r="B1628">
        <v>24</v>
      </c>
      <c r="C1628">
        <v>48.38</v>
      </c>
      <c r="D1628">
        <v>5</v>
      </c>
      <c r="E1628">
        <v>1161.1199999999999</v>
      </c>
      <c r="F1628" s="1">
        <v>38048</v>
      </c>
      <c r="G1628" t="s">
        <v>25</v>
      </c>
      <c r="H1628">
        <v>1</v>
      </c>
      <c r="I1628">
        <v>3</v>
      </c>
      <c r="J1628">
        <v>2004</v>
      </c>
      <c r="K1628" t="s">
        <v>550</v>
      </c>
      <c r="L1628">
        <v>44</v>
      </c>
      <c r="M1628" t="s">
        <v>628</v>
      </c>
      <c r="N1628" t="s">
        <v>219</v>
      </c>
      <c r="O1628" t="s">
        <v>220</v>
      </c>
      <c r="P1628" t="s">
        <v>221</v>
      </c>
      <c r="R1628" t="s">
        <v>222</v>
      </c>
      <c r="T1628">
        <v>69004</v>
      </c>
      <c r="U1628" t="s">
        <v>41</v>
      </c>
      <c r="V1628" t="s">
        <v>42</v>
      </c>
      <c r="W1628" t="s">
        <v>223</v>
      </c>
      <c r="X1628" t="s">
        <v>224</v>
      </c>
      <c r="Y1628" t="s">
        <v>36</v>
      </c>
    </row>
    <row r="1629" spans="1:25" x14ac:dyDescent="0.25">
      <c r="A1629">
        <v>10244</v>
      </c>
      <c r="B1629">
        <v>39</v>
      </c>
      <c r="C1629">
        <v>45.25</v>
      </c>
      <c r="D1629">
        <v>9</v>
      </c>
      <c r="E1629">
        <v>1764.75</v>
      </c>
      <c r="F1629" s="1">
        <v>38106</v>
      </c>
      <c r="G1629" t="s">
        <v>25</v>
      </c>
      <c r="H1629">
        <v>2</v>
      </c>
      <c r="I1629">
        <v>4</v>
      </c>
      <c r="J1629">
        <v>2004</v>
      </c>
      <c r="K1629" t="s">
        <v>550</v>
      </c>
      <c r="L1629">
        <v>44</v>
      </c>
      <c r="M1629" t="s">
        <v>628</v>
      </c>
      <c r="N1629" t="s">
        <v>174</v>
      </c>
      <c r="O1629" t="s">
        <v>175</v>
      </c>
      <c r="P1629" t="s">
        <v>176</v>
      </c>
      <c r="R1629" t="s">
        <v>177</v>
      </c>
      <c r="T1629">
        <v>28034</v>
      </c>
      <c r="U1629" t="s">
        <v>178</v>
      </c>
      <c r="V1629" t="s">
        <v>42</v>
      </c>
      <c r="W1629" t="s">
        <v>179</v>
      </c>
      <c r="X1629" t="s">
        <v>180</v>
      </c>
      <c r="Y1629" t="s">
        <v>36</v>
      </c>
    </row>
    <row r="1630" spans="1:25" x14ac:dyDescent="0.25">
      <c r="A1630">
        <v>10255</v>
      </c>
      <c r="B1630">
        <v>37</v>
      </c>
      <c r="C1630">
        <v>45.7</v>
      </c>
      <c r="D1630">
        <v>2</v>
      </c>
      <c r="E1630">
        <v>1690.9</v>
      </c>
      <c r="F1630" s="1">
        <v>38142</v>
      </c>
      <c r="G1630" t="s">
        <v>25</v>
      </c>
      <c r="H1630">
        <v>2</v>
      </c>
      <c r="I1630">
        <v>6</v>
      </c>
      <c r="J1630">
        <v>2004</v>
      </c>
      <c r="K1630" t="s">
        <v>550</v>
      </c>
      <c r="L1630">
        <v>44</v>
      </c>
      <c r="M1630" t="s">
        <v>628</v>
      </c>
      <c r="N1630" t="s">
        <v>531</v>
      </c>
      <c r="O1630" t="s">
        <v>532</v>
      </c>
      <c r="P1630" t="s">
        <v>533</v>
      </c>
      <c r="R1630" t="s">
        <v>534</v>
      </c>
      <c r="T1630">
        <v>67000</v>
      </c>
      <c r="U1630" t="s">
        <v>41</v>
      </c>
      <c r="V1630" t="s">
        <v>42</v>
      </c>
      <c r="W1630" t="s">
        <v>535</v>
      </c>
      <c r="X1630" t="s">
        <v>536</v>
      </c>
      <c r="Y1630" t="s">
        <v>36</v>
      </c>
    </row>
    <row r="1631" spans="1:25" x14ac:dyDescent="0.25">
      <c r="A1631">
        <v>10280</v>
      </c>
      <c r="B1631">
        <v>45</v>
      </c>
      <c r="C1631">
        <v>47.49</v>
      </c>
      <c r="D1631">
        <v>11</v>
      </c>
      <c r="E1631">
        <v>2137.0500000000002</v>
      </c>
      <c r="F1631" s="1">
        <v>38216</v>
      </c>
      <c r="G1631" t="s">
        <v>25</v>
      </c>
      <c r="H1631">
        <v>3</v>
      </c>
      <c r="I1631">
        <v>8</v>
      </c>
      <c r="J1631">
        <v>2004</v>
      </c>
      <c r="K1631" t="s">
        <v>550</v>
      </c>
      <c r="L1631">
        <v>44</v>
      </c>
      <c r="M1631" t="s">
        <v>628</v>
      </c>
      <c r="N1631" t="s">
        <v>254</v>
      </c>
      <c r="O1631" t="s">
        <v>255</v>
      </c>
      <c r="P1631" t="s">
        <v>256</v>
      </c>
      <c r="R1631" t="s">
        <v>257</v>
      </c>
      <c r="T1631">
        <v>10100</v>
      </c>
      <c r="U1631" t="s">
        <v>258</v>
      </c>
      <c r="V1631" t="s">
        <v>42</v>
      </c>
      <c r="W1631" t="s">
        <v>259</v>
      </c>
      <c r="X1631" t="s">
        <v>260</v>
      </c>
      <c r="Y1631" t="s">
        <v>36</v>
      </c>
    </row>
    <row r="1632" spans="1:25" x14ac:dyDescent="0.25">
      <c r="A1632">
        <v>10289</v>
      </c>
      <c r="B1632">
        <v>45</v>
      </c>
      <c r="C1632">
        <v>48.38</v>
      </c>
      <c r="D1632">
        <v>4</v>
      </c>
      <c r="E1632">
        <v>2177.1</v>
      </c>
      <c r="F1632" s="1">
        <v>38233</v>
      </c>
      <c r="G1632" t="s">
        <v>25</v>
      </c>
      <c r="H1632">
        <v>3</v>
      </c>
      <c r="I1632">
        <v>9</v>
      </c>
      <c r="J1632">
        <v>2004</v>
      </c>
      <c r="K1632" t="s">
        <v>550</v>
      </c>
      <c r="L1632">
        <v>44</v>
      </c>
      <c r="M1632" t="s">
        <v>628</v>
      </c>
      <c r="N1632" t="s">
        <v>73</v>
      </c>
      <c r="O1632" t="s">
        <v>74</v>
      </c>
      <c r="P1632" t="s">
        <v>75</v>
      </c>
      <c r="R1632" t="s">
        <v>76</v>
      </c>
      <c r="T1632" t="s">
        <v>77</v>
      </c>
      <c r="U1632" t="s">
        <v>78</v>
      </c>
      <c r="V1632" t="s">
        <v>42</v>
      </c>
      <c r="W1632" t="s">
        <v>79</v>
      </c>
      <c r="X1632" t="s">
        <v>80</v>
      </c>
      <c r="Y1632" t="s">
        <v>36</v>
      </c>
    </row>
    <row r="1633" spans="1:25" x14ac:dyDescent="0.25">
      <c r="A1633">
        <v>10304</v>
      </c>
      <c r="B1633">
        <v>44</v>
      </c>
      <c r="C1633">
        <v>39.42</v>
      </c>
      <c r="D1633">
        <v>15</v>
      </c>
      <c r="E1633">
        <v>1734.48</v>
      </c>
      <c r="F1633" s="1">
        <v>38271</v>
      </c>
      <c r="G1633" t="s">
        <v>25</v>
      </c>
      <c r="H1633">
        <v>4</v>
      </c>
      <c r="I1633">
        <v>10</v>
      </c>
      <c r="J1633">
        <v>2004</v>
      </c>
      <c r="K1633" t="s">
        <v>550</v>
      </c>
      <c r="L1633">
        <v>44</v>
      </c>
      <c r="M1633" t="s">
        <v>628</v>
      </c>
      <c r="N1633" t="s">
        <v>267</v>
      </c>
      <c r="O1633" t="s">
        <v>268</v>
      </c>
      <c r="P1633" t="s">
        <v>269</v>
      </c>
      <c r="R1633" t="s">
        <v>270</v>
      </c>
      <c r="T1633">
        <v>78000</v>
      </c>
      <c r="U1633" t="s">
        <v>41</v>
      </c>
      <c r="V1633" t="s">
        <v>42</v>
      </c>
      <c r="W1633" t="s">
        <v>271</v>
      </c>
      <c r="X1633" t="s">
        <v>50</v>
      </c>
      <c r="Y1633" t="s">
        <v>36</v>
      </c>
    </row>
    <row r="1634" spans="1:25" x14ac:dyDescent="0.25">
      <c r="A1634">
        <v>10312</v>
      </c>
      <c r="B1634">
        <v>23</v>
      </c>
      <c r="C1634">
        <v>37.630000000000003</v>
      </c>
      <c r="D1634">
        <v>12</v>
      </c>
      <c r="E1634">
        <v>865.49</v>
      </c>
      <c r="F1634" s="1">
        <v>38281</v>
      </c>
      <c r="G1634" t="s">
        <v>25</v>
      </c>
      <c r="H1634">
        <v>4</v>
      </c>
      <c r="I1634">
        <v>10</v>
      </c>
      <c r="J1634">
        <v>2004</v>
      </c>
      <c r="K1634" t="s">
        <v>550</v>
      </c>
      <c r="L1634">
        <v>44</v>
      </c>
      <c r="M1634" t="s">
        <v>628</v>
      </c>
      <c r="N1634" t="s">
        <v>272</v>
      </c>
      <c r="O1634">
        <v>4155551450</v>
      </c>
      <c r="P1634" t="s">
        <v>273</v>
      </c>
      <c r="R1634" t="s">
        <v>274</v>
      </c>
      <c r="S1634" t="s">
        <v>55</v>
      </c>
      <c r="T1634">
        <v>97562</v>
      </c>
      <c r="U1634" t="s">
        <v>32</v>
      </c>
      <c r="V1634" t="s">
        <v>33</v>
      </c>
      <c r="W1634" t="s">
        <v>275</v>
      </c>
      <c r="X1634" t="s">
        <v>276</v>
      </c>
      <c r="Y1634" t="s">
        <v>36</v>
      </c>
    </row>
    <row r="1635" spans="1:25" x14ac:dyDescent="0.25">
      <c r="A1635">
        <v>10322</v>
      </c>
      <c r="B1635">
        <v>30</v>
      </c>
      <c r="C1635">
        <v>100</v>
      </c>
      <c r="D1635">
        <v>4</v>
      </c>
      <c r="E1635">
        <v>3500.1</v>
      </c>
      <c r="F1635" s="1">
        <v>38295</v>
      </c>
      <c r="G1635" t="s">
        <v>25</v>
      </c>
      <c r="H1635">
        <v>4</v>
      </c>
      <c r="I1635">
        <v>11</v>
      </c>
      <c r="J1635">
        <v>2004</v>
      </c>
      <c r="K1635" t="s">
        <v>550</v>
      </c>
      <c r="L1635">
        <v>44</v>
      </c>
      <c r="M1635" t="s">
        <v>628</v>
      </c>
      <c r="N1635" t="s">
        <v>277</v>
      </c>
      <c r="O1635">
        <v>6035558647</v>
      </c>
      <c r="P1635" t="s">
        <v>278</v>
      </c>
      <c r="R1635" t="s">
        <v>279</v>
      </c>
      <c r="S1635" t="s">
        <v>280</v>
      </c>
      <c r="T1635">
        <v>62005</v>
      </c>
      <c r="U1635" t="s">
        <v>32</v>
      </c>
      <c r="V1635" t="s">
        <v>33</v>
      </c>
      <c r="W1635" t="s">
        <v>56</v>
      </c>
      <c r="X1635" t="s">
        <v>276</v>
      </c>
      <c r="Y1635" t="s">
        <v>51</v>
      </c>
    </row>
    <row r="1636" spans="1:25" x14ac:dyDescent="0.25">
      <c r="A1636">
        <v>10332</v>
      </c>
      <c r="B1636">
        <v>26</v>
      </c>
      <c r="C1636">
        <v>85.52</v>
      </c>
      <c r="D1636">
        <v>10</v>
      </c>
      <c r="E1636">
        <v>2223.52</v>
      </c>
      <c r="F1636" s="1">
        <v>38308</v>
      </c>
      <c r="G1636" t="s">
        <v>25</v>
      </c>
      <c r="H1636">
        <v>4</v>
      </c>
      <c r="I1636">
        <v>11</v>
      </c>
      <c r="J1636">
        <v>2004</v>
      </c>
      <c r="K1636" t="s">
        <v>550</v>
      </c>
      <c r="L1636">
        <v>44</v>
      </c>
      <c r="M1636" t="s">
        <v>628</v>
      </c>
      <c r="N1636" t="s">
        <v>492</v>
      </c>
      <c r="O1636" t="s">
        <v>493</v>
      </c>
      <c r="P1636" t="s">
        <v>494</v>
      </c>
      <c r="R1636" t="s">
        <v>495</v>
      </c>
      <c r="T1636" t="s">
        <v>496</v>
      </c>
      <c r="U1636" t="s">
        <v>170</v>
      </c>
      <c r="V1636" t="s">
        <v>42</v>
      </c>
      <c r="W1636" t="s">
        <v>497</v>
      </c>
      <c r="X1636" t="s">
        <v>94</v>
      </c>
      <c r="Y1636" t="s">
        <v>36</v>
      </c>
    </row>
    <row r="1637" spans="1:25" x14ac:dyDescent="0.25">
      <c r="A1637">
        <v>10345</v>
      </c>
      <c r="B1637">
        <v>43</v>
      </c>
      <c r="C1637">
        <v>53.76</v>
      </c>
      <c r="D1637">
        <v>1</v>
      </c>
      <c r="E1637">
        <v>2311.6799999999998</v>
      </c>
      <c r="F1637" s="1">
        <v>38316</v>
      </c>
      <c r="G1637" t="s">
        <v>25</v>
      </c>
      <c r="H1637">
        <v>4</v>
      </c>
      <c r="I1637">
        <v>11</v>
      </c>
      <c r="J1637">
        <v>2004</v>
      </c>
      <c r="K1637" t="s">
        <v>550</v>
      </c>
      <c r="L1637">
        <v>44</v>
      </c>
      <c r="M1637" t="s">
        <v>628</v>
      </c>
      <c r="N1637" t="s">
        <v>312</v>
      </c>
      <c r="O1637" t="s">
        <v>313</v>
      </c>
      <c r="P1637" t="s">
        <v>314</v>
      </c>
      <c r="R1637" t="s">
        <v>117</v>
      </c>
      <c r="T1637">
        <v>44000</v>
      </c>
      <c r="U1637" t="s">
        <v>41</v>
      </c>
      <c r="V1637" t="s">
        <v>42</v>
      </c>
      <c r="W1637" t="s">
        <v>315</v>
      </c>
      <c r="X1637" t="s">
        <v>316</v>
      </c>
      <c r="Y1637" t="s">
        <v>36</v>
      </c>
    </row>
    <row r="1638" spans="1:25" x14ac:dyDescent="0.25">
      <c r="A1638">
        <v>10356</v>
      </c>
      <c r="B1638">
        <v>26</v>
      </c>
      <c r="C1638">
        <v>31.86</v>
      </c>
      <c r="D1638">
        <v>7</v>
      </c>
      <c r="E1638">
        <v>828.36</v>
      </c>
      <c r="F1638" s="1">
        <v>38330</v>
      </c>
      <c r="G1638" t="s">
        <v>25</v>
      </c>
      <c r="H1638">
        <v>4</v>
      </c>
      <c r="I1638">
        <v>12</v>
      </c>
      <c r="J1638">
        <v>2004</v>
      </c>
      <c r="K1638" t="s">
        <v>550</v>
      </c>
      <c r="L1638">
        <v>44</v>
      </c>
      <c r="M1638" t="s">
        <v>628</v>
      </c>
      <c r="N1638" t="s">
        <v>45</v>
      </c>
      <c r="O1638" t="s">
        <v>46</v>
      </c>
      <c r="P1638" t="s">
        <v>47</v>
      </c>
      <c r="R1638" t="s">
        <v>48</v>
      </c>
      <c r="T1638">
        <v>75508</v>
      </c>
      <c r="U1638" t="s">
        <v>41</v>
      </c>
      <c r="V1638" t="s">
        <v>42</v>
      </c>
      <c r="W1638" t="s">
        <v>49</v>
      </c>
      <c r="X1638" t="s">
        <v>50</v>
      </c>
      <c r="Y1638" t="s">
        <v>36</v>
      </c>
    </row>
    <row r="1639" spans="1:25" x14ac:dyDescent="0.25">
      <c r="A1639">
        <v>10367</v>
      </c>
      <c r="B1639">
        <v>28</v>
      </c>
      <c r="C1639">
        <v>30.59</v>
      </c>
      <c r="D1639">
        <v>12</v>
      </c>
      <c r="E1639">
        <v>856.52</v>
      </c>
      <c r="F1639" s="1">
        <v>38364</v>
      </c>
      <c r="G1639" t="s">
        <v>408</v>
      </c>
      <c r="H1639">
        <v>1</v>
      </c>
      <c r="I1639">
        <v>1</v>
      </c>
      <c r="J1639">
        <v>2005</v>
      </c>
      <c r="K1639" t="s">
        <v>550</v>
      </c>
      <c r="L1639">
        <v>44</v>
      </c>
      <c r="M1639" t="s">
        <v>628</v>
      </c>
      <c r="N1639" t="s">
        <v>52</v>
      </c>
      <c r="O1639">
        <v>6265557265</v>
      </c>
      <c r="P1639" t="s">
        <v>53</v>
      </c>
      <c r="R1639" t="s">
        <v>54</v>
      </c>
      <c r="S1639" t="s">
        <v>55</v>
      </c>
      <c r="T1639">
        <v>90003</v>
      </c>
      <c r="U1639" t="s">
        <v>32</v>
      </c>
      <c r="V1639" t="s">
        <v>33</v>
      </c>
      <c r="W1639" t="s">
        <v>56</v>
      </c>
      <c r="X1639" t="s">
        <v>57</v>
      </c>
      <c r="Y1639" t="s">
        <v>36</v>
      </c>
    </row>
    <row r="1640" spans="1:25" x14ac:dyDescent="0.25">
      <c r="A1640">
        <v>10380</v>
      </c>
      <c r="B1640">
        <v>27</v>
      </c>
      <c r="C1640">
        <v>68.349999999999994</v>
      </c>
      <c r="D1640">
        <v>5</v>
      </c>
      <c r="E1640">
        <v>1845.45</v>
      </c>
      <c r="F1640" s="1">
        <v>38399</v>
      </c>
      <c r="G1640" t="s">
        <v>25</v>
      </c>
      <c r="H1640">
        <v>1</v>
      </c>
      <c r="I1640">
        <v>2</v>
      </c>
      <c r="J1640">
        <v>2005</v>
      </c>
      <c r="K1640" t="s">
        <v>550</v>
      </c>
      <c r="L1640">
        <v>44</v>
      </c>
      <c r="M1640" t="s">
        <v>628</v>
      </c>
      <c r="N1640" t="s">
        <v>174</v>
      </c>
      <c r="O1640" t="s">
        <v>175</v>
      </c>
      <c r="P1640" t="s">
        <v>176</v>
      </c>
      <c r="R1640" t="s">
        <v>177</v>
      </c>
      <c r="T1640">
        <v>28034</v>
      </c>
      <c r="U1640" t="s">
        <v>178</v>
      </c>
      <c r="V1640" t="s">
        <v>42</v>
      </c>
      <c r="W1640" t="s">
        <v>179</v>
      </c>
      <c r="X1640" t="s">
        <v>180</v>
      </c>
      <c r="Y1640" t="s">
        <v>36</v>
      </c>
    </row>
    <row r="1641" spans="1:25" x14ac:dyDescent="0.25">
      <c r="A1641">
        <v>10391</v>
      </c>
      <c r="B1641">
        <v>24</v>
      </c>
      <c r="C1641">
        <v>100</v>
      </c>
      <c r="D1641">
        <v>1</v>
      </c>
      <c r="E1641">
        <v>4042.08</v>
      </c>
      <c r="F1641" s="1">
        <v>38420</v>
      </c>
      <c r="G1641" t="s">
        <v>25</v>
      </c>
      <c r="H1641">
        <v>1</v>
      </c>
      <c r="I1641">
        <v>3</v>
      </c>
      <c r="J1641">
        <v>2005</v>
      </c>
      <c r="K1641" t="s">
        <v>550</v>
      </c>
      <c r="L1641">
        <v>44</v>
      </c>
      <c r="M1641" t="s">
        <v>628</v>
      </c>
      <c r="N1641" t="s">
        <v>285</v>
      </c>
      <c r="O1641" t="s">
        <v>286</v>
      </c>
      <c r="P1641" t="s">
        <v>287</v>
      </c>
      <c r="Q1641" t="s">
        <v>288</v>
      </c>
      <c r="R1641" t="s">
        <v>289</v>
      </c>
      <c r="S1641" t="s">
        <v>157</v>
      </c>
      <c r="T1641">
        <v>2060</v>
      </c>
      <c r="U1641" t="s">
        <v>95</v>
      </c>
      <c r="V1641" t="s">
        <v>96</v>
      </c>
      <c r="W1641" t="s">
        <v>290</v>
      </c>
      <c r="X1641" t="s">
        <v>291</v>
      </c>
      <c r="Y1641" t="s">
        <v>51</v>
      </c>
    </row>
    <row r="1642" spans="1:25" x14ac:dyDescent="0.25">
      <c r="A1642">
        <v>10421</v>
      </c>
      <c r="B1642">
        <v>40</v>
      </c>
      <c r="C1642">
        <v>45.7</v>
      </c>
      <c r="D1642">
        <v>2</v>
      </c>
      <c r="E1642">
        <v>1828</v>
      </c>
      <c r="F1642" s="1">
        <v>38501</v>
      </c>
      <c r="G1642" t="s">
        <v>300</v>
      </c>
      <c r="H1642">
        <v>2</v>
      </c>
      <c r="I1642">
        <v>5</v>
      </c>
      <c r="J1642">
        <v>2005</v>
      </c>
      <c r="K1642" t="s">
        <v>550</v>
      </c>
      <c r="L1642">
        <v>44</v>
      </c>
      <c r="M1642" t="s">
        <v>628</v>
      </c>
      <c r="N1642" t="s">
        <v>272</v>
      </c>
      <c r="O1642">
        <v>4155551450</v>
      </c>
      <c r="P1642" t="s">
        <v>273</v>
      </c>
      <c r="R1642" t="s">
        <v>274</v>
      </c>
      <c r="S1642" t="s">
        <v>55</v>
      </c>
      <c r="T1642">
        <v>97562</v>
      </c>
      <c r="U1642" t="s">
        <v>32</v>
      </c>
      <c r="V1642" t="s">
        <v>33</v>
      </c>
      <c r="W1642" t="s">
        <v>275</v>
      </c>
      <c r="X1642" t="s">
        <v>276</v>
      </c>
      <c r="Y1642" t="s">
        <v>36</v>
      </c>
    </row>
    <row r="1643" spans="1:25" x14ac:dyDescent="0.25">
      <c r="A1643">
        <v>10103</v>
      </c>
      <c r="B1643">
        <v>36</v>
      </c>
      <c r="C1643">
        <v>100</v>
      </c>
      <c r="D1643">
        <v>1</v>
      </c>
      <c r="E1643">
        <v>3680.28</v>
      </c>
      <c r="F1643" s="1">
        <v>37650</v>
      </c>
      <c r="G1643" t="s">
        <v>25</v>
      </c>
      <c r="H1643">
        <v>1</v>
      </c>
      <c r="I1643">
        <v>1</v>
      </c>
      <c r="J1643">
        <v>2003</v>
      </c>
      <c r="K1643" t="s">
        <v>504</v>
      </c>
      <c r="L1643">
        <v>127</v>
      </c>
      <c r="M1643" t="s">
        <v>629</v>
      </c>
      <c r="N1643" t="s">
        <v>133</v>
      </c>
      <c r="O1643" t="s">
        <v>134</v>
      </c>
      <c r="P1643" t="s">
        <v>135</v>
      </c>
      <c r="R1643" t="s">
        <v>136</v>
      </c>
      <c r="T1643">
        <v>4110</v>
      </c>
      <c r="U1643" t="s">
        <v>78</v>
      </c>
      <c r="V1643" t="s">
        <v>42</v>
      </c>
      <c r="W1643" t="s">
        <v>137</v>
      </c>
      <c r="X1643" t="s">
        <v>138</v>
      </c>
      <c r="Y1643" t="s">
        <v>51</v>
      </c>
    </row>
    <row r="1644" spans="1:25" x14ac:dyDescent="0.25">
      <c r="A1644">
        <v>10114</v>
      </c>
      <c r="B1644">
        <v>21</v>
      </c>
      <c r="C1644">
        <v>100</v>
      </c>
      <c r="D1644">
        <v>5</v>
      </c>
      <c r="E1644">
        <v>2925.09</v>
      </c>
      <c r="F1644" s="1">
        <v>37712</v>
      </c>
      <c r="G1644" t="s">
        <v>25</v>
      </c>
      <c r="H1644">
        <v>2</v>
      </c>
      <c r="I1644">
        <v>4</v>
      </c>
      <c r="J1644">
        <v>2003</v>
      </c>
      <c r="K1644" t="s">
        <v>504</v>
      </c>
      <c r="L1644">
        <v>127</v>
      </c>
      <c r="M1644" t="s">
        <v>629</v>
      </c>
      <c r="N1644" t="s">
        <v>403</v>
      </c>
      <c r="O1644" t="s">
        <v>404</v>
      </c>
      <c r="P1644" t="s">
        <v>405</v>
      </c>
      <c r="R1644" t="s">
        <v>48</v>
      </c>
      <c r="T1644">
        <v>75012</v>
      </c>
      <c r="U1644" t="s">
        <v>41</v>
      </c>
      <c r="V1644" t="s">
        <v>42</v>
      </c>
      <c r="W1644" t="s">
        <v>406</v>
      </c>
      <c r="X1644" t="s">
        <v>407</v>
      </c>
      <c r="Y1644" t="s">
        <v>36</v>
      </c>
    </row>
    <row r="1645" spans="1:25" x14ac:dyDescent="0.25">
      <c r="A1645">
        <v>10126</v>
      </c>
      <c r="B1645">
        <v>27</v>
      </c>
      <c r="C1645">
        <v>100</v>
      </c>
      <c r="D1645">
        <v>1</v>
      </c>
      <c r="E1645">
        <v>3415.77</v>
      </c>
      <c r="F1645" s="1">
        <v>37769</v>
      </c>
      <c r="G1645" t="s">
        <v>25</v>
      </c>
      <c r="H1645">
        <v>2</v>
      </c>
      <c r="I1645">
        <v>5</v>
      </c>
      <c r="J1645">
        <v>2003</v>
      </c>
      <c r="K1645" t="s">
        <v>504</v>
      </c>
      <c r="L1645">
        <v>127</v>
      </c>
      <c r="M1645" t="s">
        <v>629</v>
      </c>
      <c r="N1645" t="s">
        <v>191</v>
      </c>
      <c r="O1645" t="s">
        <v>192</v>
      </c>
      <c r="P1645" t="s">
        <v>193</v>
      </c>
      <c r="R1645" t="s">
        <v>177</v>
      </c>
      <c r="T1645">
        <v>28023</v>
      </c>
      <c r="U1645" t="s">
        <v>178</v>
      </c>
      <c r="V1645" t="s">
        <v>42</v>
      </c>
      <c r="W1645" t="s">
        <v>194</v>
      </c>
      <c r="X1645" t="s">
        <v>195</v>
      </c>
      <c r="Y1645" t="s">
        <v>51</v>
      </c>
    </row>
    <row r="1646" spans="1:25" x14ac:dyDescent="0.25">
      <c r="A1646">
        <v>10140</v>
      </c>
      <c r="B1646">
        <v>47</v>
      </c>
      <c r="C1646">
        <v>100</v>
      </c>
      <c r="D1646">
        <v>1</v>
      </c>
      <c r="E1646">
        <v>5105.1400000000003</v>
      </c>
      <c r="F1646" s="1">
        <v>37826</v>
      </c>
      <c r="G1646" t="s">
        <v>25</v>
      </c>
      <c r="H1646">
        <v>3</v>
      </c>
      <c r="I1646">
        <v>7</v>
      </c>
      <c r="J1646">
        <v>2003</v>
      </c>
      <c r="K1646" t="s">
        <v>504</v>
      </c>
      <c r="L1646">
        <v>127</v>
      </c>
      <c r="M1646" t="s">
        <v>629</v>
      </c>
      <c r="N1646" t="s">
        <v>62</v>
      </c>
      <c r="O1646">
        <v>6505556809</v>
      </c>
      <c r="P1646" t="s">
        <v>63</v>
      </c>
      <c r="R1646" t="s">
        <v>64</v>
      </c>
      <c r="S1646" t="s">
        <v>55</v>
      </c>
      <c r="T1646">
        <v>94217</v>
      </c>
      <c r="U1646" t="s">
        <v>32</v>
      </c>
      <c r="V1646" t="s">
        <v>33</v>
      </c>
      <c r="W1646" t="s">
        <v>65</v>
      </c>
      <c r="X1646" t="s">
        <v>66</v>
      </c>
      <c r="Y1646" t="s">
        <v>51</v>
      </c>
    </row>
    <row r="1647" spans="1:25" x14ac:dyDescent="0.25">
      <c r="A1647">
        <v>10151</v>
      </c>
      <c r="B1647">
        <v>42</v>
      </c>
      <c r="C1647">
        <v>100</v>
      </c>
      <c r="D1647">
        <v>8</v>
      </c>
      <c r="E1647">
        <v>5098.8</v>
      </c>
      <c r="F1647" s="1">
        <v>37885</v>
      </c>
      <c r="G1647" t="s">
        <v>25</v>
      </c>
      <c r="H1647">
        <v>3</v>
      </c>
      <c r="I1647">
        <v>9</v>
      </c>
      <c r="J1647">
        <v>2003</v>
      </c>
      <c r="K1647" t="s">
        <v>504</v>
      </c>
      <c r="L1647">
        <v>127</v>
      </c>
      <c r="M1647" t="s">
        <v>629</v>
      </c>
      <c r="N1647" t="s">
        <v>391</v>
      </c>
      <c r="O1647" t="s">
        <v>392</v>
      </c>
      <c r="P1647" t="s">
        <v>393</v>
      </c>
      <c r="R1647" t="s">
        <v>394</v>
      </c>
      <c r="T1647">
        <v>90110</v>
      </c>
      <c r="U1647" t="s">
        <v>130</v>
      </c>
      <c r="V1647" t="s">
        <v>42</v>
      </c>
      <c r="W1647" t="s">
        <v>395</v>
      </c>
      <c r="X1647" t="s">
        <v>396</v>
      </c>
      <c r="Y1647" t="s">
        <v>51</v>
      </c>
    </row>
    <row r="1648" spans="1:25" x14ac:dyDescent="0.25">
      <c r="A1648">
        <v>10165</v>
      </c>
      <c r="B1648">
        <v>32</v>
      </c>
      <c r="C1648">
        <v>100</v>
      </c>
      <c r="D1648">
        <v>17</v>
      </c>
      <c r="E1648">
        <v>4661.76</v>
      </c>
      <c r="F1648" s="1">
        <v>37916</v>
      </c>
      <c r="G1648" t="s">
        <v>25</v>
      </c>
      <c r="H1648">
        <v>4</v>
      </c>
      <c r="I1648">
        <v>10</v>
      </c>
      <c r="J1648">
        <v>2003</v>
      </c>
      <c r="K1648" t="s">
        <v>504</v>
      </c>
      <c r="L1648">
        <v>127</v>
      </c>
      <c r="M1648" t="s">
        <v>629</v>
      </c>
      <c r="N1648" t="s">
        <v>196</v>
      </c>
      <c r="O1648" t="s">
        <v>197</v>
      </c>
      <c r="P1648" t="s">
        <v>198</v>
      </c>
      <c r="R1648" t="s">
        <v>199</v>
      </c>
      <c r="T1648">
        <v>79903</v>
      </c>
      <c r="U1648" t="s">
        <v>199</v>
      </c>
      <c r="V1648" t="s">
        <v>200</v>
      </c>
      <c r="W1648" t="s">
        <v>201</v>
      </c>
      <c r="X1648" t="s">
        <v>202</v>
      </c>
      <c r="Y1648" t="s">
        <v>51</v>
      </c>
    </row>
    <row r="1649" spans="1:25" x14ac:dyDescent="0.25">
      <c r="A1649">
        <v>10175</v>
      </c>
      <c r="B1649">
        <v>28</v>
      </c>
      <c r="C1649">
        <v>100</v>
      </c>
      <c r="D1649">
        <v>6</v>
      </c>
      <c r="E1649">
        <v>2969.96</v>
      </c>
      <c r="F1649" s="1">
        <v>37931</v>
      </c>
      <c r="G1649" t="s">
        <v>25</v>
      </c>
      <c r="H1649">
        <v>4</v>
      </c>
      <c r="I1649">
        <v>11</v>
      </c>
      <c r="J1649">
        <v>2003</v>
      </c>
      <c r="K1649" t="s">
        <v>504</v>
      </c>
      <c r="L1649">
        <v>127</v>
      </c>
      <c r="M1649" t="s">
        <v>629</v>
      </c>
      <c r="N1649" t="s">
        <v>329</v>
      </c>
      <c r="O1649" t="s">
        <v>330</v>
      </c>
      <c r="P1649" t="s">
        <v>331</v>
      </c>
      <c r="R1649" t="s">
        <v>332</v>
      </c>
      <c r="T1649" t="s">
        <v>333</v>
      </c>
      <c r="U1649" t="s">
        <v>170</v>
      </c>
      <c r="V1649" t="s">
        <v>42</v>
      </c>
      <c r="W1649" t="s">
        <v>61</v>
      </c>
      <c r="X1649" t="s">
        <v>334</v>
      </c>
      <c r="Y1649" t="s">
        <v>36</v>
      </c>
    </row>
    <row r="1650" spans="1:25" x14ac:dyDescent="0.25">
      <c r="A1650">
        <v>10184</v>
      </c>
      <c r="B1650">
        <v>24</v>
      </c>
      <c r="C1650">
        <v>100</v>
      </c>
      <c r="D1650">
        <v>11</v>
      </c>
      <c r="E1650">
        <v>3496.32</v>
      </c>
      <c r="F1650" s="1">
        <v>37939</v>
      </c>
      <c r="G1650" t="s">
        <v>25</v>
      </c>
      <c r="H1650">
        <v>4</v>
      </c>
      <c r="I1650">
        <v>11</v>
      </c>
      <c r="J1650">
        <v>2003</v>
      </c>
      <c r="K1650" t="s">
        <v>504</v>
      </c>
      <c r="L1650">
        <v>127</v>
      </c>
      <c r="M1650" t="s">
        <v>629</v>
      </c>
      <c r="N1650" t="s">
        <v>520</v>
      </c>
      <c r="O1650" t="s">
        <v>521</v>
      </c>
      <c r="P1650" t="s">
        <v>522</v>
      </c>
      <c r="R1650" t="s">
        <v>523</v>
      </c>
      <c r="T1650">
        <v>41101</v>
      </c>
      <c r="U1650" t="s">
        <v>178</v>
      </c>
      <c r="V1650" t="s">
        <v>42</v>
      </c>
      <c r="W1650" t="s">
        <v>524</v>
      </c>
      <c r="X1650" t="s">
        <v>525</v>
      </c>
      <c r="Y1650" t="s">
        <v>51</v>
      </c>
    </row>
    <row r="1651" spans="1:25" x14ac:dyDescent="0.25">
      <c r="A1651">
        <v>10194</v>
      </c>
      <c r="B1651">
        <v>49</v>
      </c>
      <c r="C1651">
        <v>100</v>
      </c>
      <c r="D1651">
        <v>1</v>
      </c>
      <c r="E1651">
        <v>5760.93</v>
      </c>
      <c r="F1651" s="1">
        <v>37950</v>
      </c>
      <c r="G1651" t="s">
        <v>25</v>
      </c>
      <c r="H1651">
        <v>4</v>
      </c>
      <c r="I1651">
        <v>11</v>
      </c>
      <c r="J1651">
        <v>2003</v>
      </c>
      <c r="K1651" t="s">
        <v>504</v>
      </c>
      <c r="L1651">
        <v>127</v>
      </c>
      <c r="M1651" t="s">
        <v>629</v>
      </c>
      <c r="N1651" t="s">
        <v>219</v>
      </c>
      <c r="O1651" t="s">
        <v>220</v>
      </c>
      <c r="P1651" t="s">
        <v>221</v>
      </c>
      <c r="R1651" t="s">
        <v>222</v>
      </c>
      <c r="T1651">
        <v>69004</v>
      </c>
      <c r="U1651" t="s">
        <v>41</v>
      </c>
      <c r="V1651" t="s">
        <v>42</v>
      </c>
      <c r="W1651" t="s">
        <v>223</v>
      </c>
      <c r="X1651" t="s">
        <v>224</v>
      </c>
      <c r="Y1651" t="s">
        <v>51</v>
      </c>
    </row>
    <row r="1652" spans="1:25" x14ac:dyDescent="0.25">
      <c r="A1652">
        <v>10207</v>
      </c>
      <c r="B1652">
        <v>46</v>
      </c>
      <c r="C1652">
        <v>100</v>
      </c>
      <c r="D1652">
        <v>12</v>
      </c>
      <c r="E1652">
        <v>6819.04</v>
      </c>
      <c r="F1652" s="1">
        <v>37964</v>
      </c>
      <c r="G1652" t="s">
        <v>25</v>
      </c>
      <c r="H1652">
        <v>4</v>
      </c>
      <c r="I1652">
        <v>12</v>
      </c>
      <c r="J1652">
        <v>2003</v>
      </c>
      <c r="K1652" t="s">
        <v>504</v>
      </c>
      <c r="L1652">
        <v>127</v>
      </c>
      <c r="M1652" t="s">
        <v>629</v>
      </c>
      <c r="N1652" t="s">
        <v>415</v>
      </c>
      <c r="O1652">
        <v>6175552555</v>
      </c>
      <c r="P1652" t="s">
        <v>416</v>
      </c>
      <c r="R1652" t="s">
        <v>381</v>
      </c>
      <c r="S1652" t="s">
        <v>123</v>
      </c>
      <c r="T1652">
        <v>51003</v>
      </c>
      <c r="U1652" t="s">
        <v>32</v>
      </c>
      <c r="V1652" t="s">
        <v>33</v>
      </c>
      <c r="W1652" t="s">
        <v>417</v>
      </c>
      <c r="X1652" t="s">
        <v>276</v>
      </c>
      <c r="Y1652" t="s">
        <v>51</v>
      </c>
    </row>
    <row r="1653" spans="1:25" x14ac:dyDescent="0.25">
      <c r="A1653">
        <v>10217</v>
      </c>
      <c r="B1653">
        <v>28</v>
      </c>
      <c r="C1653">
        <v>100</v>
      </c>
      <c r="D1653">
        <v>1</v>
      </c>
      <c r="E1653">
        <v>3148.88</v>
      </c>
      <c r="F1653" s="1">
        <v>38021</v>
      </c>
      <c r="G1653" t="s">
        <v>25</v>
      </c>
      <c r="H1653">
        <v>1</v>
      </c>
      <c r="I1653">
        <v>2</v>
      </c>
      <c r="J1653">
        <v>2004</v>
      </c>
      <c r="K1653" t="s">
        <v>504</v>
      </c>
      <c r="L1653">
        <v>127</v>
      </c>
      <c r="M1653" t="s">
        <v>629</v>
      </c>
      <c r="N1653" t="s">
        <v>418</v>
      </c>
      <c r="O1653" t="s">
        <v>419</v>
      </c>
      <c r="P1653" t="s">
        <v>420</v>
      </c>
      <c r="Q1653" t="s">
        <v>421</v>
      </c>
      <c r="R1653" t="s">
        <v>199</v>
      </c>
      <c r="T1653">
        <v>69045</v>
      </c>
      <c r="U1653" t="s">
        <v>199</v>
      </c>
      <c r="V1653" t="s">
        <v>96</v>
      </c>
      <c r="W1653" t="s">
        <v>422</v>
      </c>
      <c r="X1653" t="s">
        <v>423</v>
      </c>
      <c r="Y1653" t="s">
        <v>51</v>
      </c>
    </row>
    <row r="1654" spans="1:25" x14ac:dyDescent="0.25">
      <c r="A1654">
        <v>10229</v>
      </c>
      <c r="B1654">
        <v>48</v>
      </c>
      <c r="C1654">
        <v>100</v>
      </c>
      <c r="D1654">
        <v>6</v>
      </c>
      <c r="E1654">
        <v>5704.32</v>
      </c>
      <c r="F1654" s="1">
        <v>38057</v>
      </c>
      <c r="G1654" t="s">
        <v>25</v>
      </c>
      <c r="H1654">
        <v>1</v>
      </c>
      <c r="I1654">
        <v>3</v>
      </c>
      <c r="J1654">
        <v>2004</v>
      </c>
      <c r="K1654" t="s">
        <v>504</v>
      </c>
      <c r="L1654">
        <v>127</v>
      </c>
      <c r="M1654" t="s">
        <v>629</v>
      </c>
      <c r="N1654" t="s">
        <v>272</v>
      </c>
      <c r="O1654">
        <v>4155551450</v>
      </c>
      <c r="P1654" t="s">
        <v>273</v>
      </c>
      <c r="R1654" t="s">
        <v>274</v>
      </c>
      <c r="S1654" t="s">
        <v>55</v>
      </c>
      <c r="T1654">
        <v>97562</v>
      </c>
      <c r="U1654" t="s">
        <v>32</v>
      </c>
      <c r="V1654" t="s">
        <v>33</v>
      </c>
      <c r="W1654" t="s">
        <v>275</v>
      </c>
      <c r="X1654" t="s">
        <v>276</v>
      </c>
      <c r="Y1654" t="s">
        <v>51</v>
      </c>
    </row>
    <row r="1655" spans="1:25" x14ac:dyDescent="0.25">
      <c r="A1655">
        <v>10246</v>
      </c>
      <c r="B1655">
        <v>29</v>
      </c>
      <c r="C1655">
        <v>100</v>
      </c>
      <c r="D1655">
        <v>10</v>
      </c>
      <c r="E1655">
        <v>3520.6</v>
      </c>
      <c r="F1655" s="1">
        <v>38112</v>
      </c>
      <c r="G1655" t="s">
        <v>25</v>
      </c>
      <c r="H1655">
        <v>2</v>
      </c>
      <c r="I1655">
        <v>5</v>
      </c>
      <c r="J1655">
        <v>2004</v>
      </c>
      <c r="K1655" t="s">
        <v>504</v>
      </c>
      <c r="L1655">
        <v>127</v>
      </c>
      <c r="M1655" t="s">
        <v>629</v>
      </c>
      <c r="N1655" t="s">
        <v>174</v>
      </c>
      <c r="O1655" t="s">
        <v>175</v>
      </c>
      <c r="P1655" t="s">
        <v>176</v>
      </c>
      <c r="R1655" t="s">
        <v>177</v>
      </c>
      <c r="T1655">
        <v>28034</v>
      </c>
      <c r="U1655" t="s">
        <v>178</v>
      </c>
      <c r="V1655" t="s">
        <v>42</v>
      </c>
      <c r="W1655" t="s">
        <v>179</v>
      </c>
      <c r="X1655" t="s">
        <v>180</v>
      </c>
      <c r="Y1655" t="s">
        <v>51</v>
      </c>
    </row>
    <row r="1656" spans="1:25" x14ac:dyDescent="0.25">
      <c r="A1656">
        <v>10259</v>
      </c>
      <c r="B1656">
        <v>47</v>
      </c>
      <c r="C1656">
        <v>100</v>
      </c>
      <c r="D1656">
        <v>9</v>
      </c>
      <c r="E1656">
        <v>5285.62</v>
      </c>
      <c r="F1656" s="1">
        <v>38153</v>
      </c>
      <c r="G1656" t="s">
        <v>25</v>
      </c>
      <c r="H1656">
        <v>2</v>
      </c>
      <c r="I1656">
        <v>6</v>
      </c>
      <c r="J1656">
        <v>2004</v>
      </c>
      <c r="K1656" t="s">
        <v>504</v>
      </c>
      <c r="L1656">
        <v>127</v>
      </c>
      <c r="M1656" t="s">
        <v>629</v>
      </c>
      <c r="N1656" t="s">
        <v>418</v>
      </c>
      <c r="O1656" t="s">
        <v>419</v>
      </c>
      <c r="P1656" t="s">
        <v>420</v>
      </c>
      <c r="Q1656" t="s">
        <v>421</v>
      </c>
      <c r="R1656" t="s">
        <v>199</v>
      </c>
      <c r="T1656">
        <v>69045</v>
      </c>
      <c r="U1656" t="s">
        <v>199</v>
      </c>
      <c r="V1656" t="s">
        <v>96</v>
      </c>
      <c r="W1656" t="s">
        <v>422</v>
      </c>
      <c r="X1656" t="s">
        <v>423</v>
      </c>
      <c r="Y1656" t="s">
        <v>51</v>
      </c>
    </row>
    <row r="1657" spans="1:25" x14ac:dyDescent="0.25">
      <c r="A1657">
        <v>10271</v>
      </c>
      <c r="B1657">
        <v>43</v>
      </c>
      <c r="C1657">
        <v>100</v>
      </c>
      <c r="D1657">
        <v>10</v>
      </c>
      <c r="E1657">
        <v>5605.05</v>
      </c>
      <c r="F1657" s="1">
        <v>38188</v>
      </c>
      <c r="G1657" t="s">
        <v>25</v>
      </c>
      <c r="H1657">
        <v>3</v>
      </c>
      <c r="I1657">
        <v>7</v>
      </c>
      <c r="J1657">
        <v>2004</v>
      </c>
      <c r="K1657" t="s">
        <v>504</v>
      </c>
      <c r="L1657">
        <v>127</v>
      </c>
      <c r="M1657" t="s">
        <v>629</v>
      </c>
      <c r="N1657" t="s">
        <v>272</v>
      </c>
      <c r="O1657">
        <v>4155551450</v>
      </c>
      <c r="P1657" t="s">
        <v>273</v>
      </c>
      <c r="R1657" t="s">
        <v>274</v>
      </c>
      <c r="S1657" t="s">
        <v>55</v>
      </c>
      <c r="T1657">
        <v>97562</v>
      </c>
      <c r="U1657" t="s">
        <v>32</v>
      </c>
      <c r="V1657" t="s">
        <v>33</v>
      </c>
      <c r="W1657" t="s">
        <v>275</v>
      </c>
      <c r="X1657" t="s">
        <v>276</v>
      </c>
      <c r="Y1657" t="s">
        <v>51</v>
      </c>
    </row>
    <row r="1658" spans="1:25" x14ac:dyDescent="0.25">
      <c r="A1658">
        <v>10281</v>
      </c>
      <c r="B1658">
        <v>25</v>
      </c>
      <c r="C1658">
        <v>100</v>
      </c>
      <c r="D1658">
        <v>6</v>
      </c>
      <c r="E1658">
        <v>2779.5</v>
      </c>
      <c r="F1658" s="1">
        <v>38218</v>
      </c>
      <c r="G1658" t="s">
        <v>25</v>
      </c>
      <c r="H1658">
        <v>3</v>
      </c>
      <c r="I1658">
        <v>8</v>
      </c>
      <c r="J1658">
        <v>2004</v>
      </c>
      <c r="K1658" t="s">
        <v>504</v>
      </c>
      <c r="L1658">
        <v>127</v>
      </c>
      <c r="M1658" t="s">
        <v>629</v>
      </c>
      <c r="N1658" t="s">
        <v>139</v>
      </c>
      <c r="O1658">
        <v>2155551555</v>
      </c>
      <c r="P1658" t="s">
        <v>140</v>
      </c>
      <c r="R1658" t="s">
        <v>141</v>
      </c>
      <c r="S1658" t="s">
        <v>142</v>
      </c>
      <c r="T1658">
        <v>70267</v>
      </c>
      <c r="U1658" t="s">
        <v>32</v>
      </c>
      <c r="V1658" t="s">
        <v>33</v>
      </c>
      <c r="W1658" t="s">
        <v>34</v>
      </c>
      <c r="X1658" t="s">
        <v>143</v>
      </c>
      <c r="Y1658" t="s">
        <v>36</v>
      </c>
    </row>
    <row r="1659" spans="1:25" x14ac:dyDescent="0.25">
      <c r="A1659">
        <v>10291</v>
      </c>
      <c r="B1659">
        <v>48</v>
      </c>
      <c r="C1659">
        <v>100</v>
      </c>
      <c r="D1659">
        <v>1</v>
      </c>
      <c r="E1659">
        <v>5398.08</v>
      </c>
      <c r="F1659" s="1">
        <v>38238</v>
      </c>
      <c r="G1659" t="s">
        <v>25</v>
      </c>
      <c r="H1659">
        <v>3</v>
      </c>
      <c r="I1659">
        <v>9</v>
      </c>
      <c r="J1659">
        <v>2004</v>
      </c>
      <c r="K1659" t="s">
        <v>504</v>
      </c>
      <c r="L1659">
        <v>127</v>
      </c>
      <c r="M1659" t="s">
        <v>629</v>
      </c>
      <c r="N1659" t="s">
        <v>261</v>
      </c>
      <c r="O1659" t="s">
        <v>262</v>
      </c>
      <c r="P1659" t="s">
        <v>263</v>
      </c>
      <c r="R1659" t="s">
        <v>264</v>
      </c>
      <c r="T1659" t="s">
        <v>265</v>
      </c>
      <c r="U1659" t="s">
        <v>188</v>
      </c>
      <c r="V1659" t="s">
        <v>42</v>
      </c>
      <c r="W1659" t="s">
        <v>266</v>
      </c>
      <c r="X1659" t="s">
        <v>206</v>
      </c>
      <c r="Y1659" t="s">
        <v>51</v>
      </c>
    </row>
    <row r="1660" spans="1:25" x14ac:dyDescent="0.25">
      <c r="A1660">
        <v>10305</v>
      </c>
      <c r="B1660">
        <v>24</v>
      </c>
      <c r="C1660">
        <v>100</v>
      </c>
      <c r="D1660">
        <v>10</v>
      </c>
      <c r="E1660">
        <v>3189.6</v>
      </c>
      <c r="F1660" s="1">
        <v>38273</v>
      </c>
      <c r="G1660" t="s">
        <v>25</v>
      </c>
      <c r="H1660">
        <v>4</v>
      </c>
      <c r="I1660">
        <v>10</v>
      </c>
      <c r="J1660">
        <v>2004</v>
      </c>
      <c r="K1660" t="s">
        <v>504</v>
      </c>
      <c r="L1660">
        <v>127</v>
      </c>
      <c r="M1660" t="s">
        <v>629</v>
      </c>
      <c r="N1660" t="s">
        <v>120</v>
      </c>
      <c r="O1660">
        <v>6175558555</v>
      </c>
      <c r="P1660" t="s">
        <v>121</v>
      </c>
      <c r="R1660" t="s">
        <v>122</v>
      </c>
      <c r="S1660" t="s">
        <v>123</v>
      </c>
      <c r="T1660">
        <v>51247</v>
      </c>
      <c r="U1660" t="s">
        <v>32</v>
      </c>
      <c r="V1660" t="s">
        <v>33</v>
      </c>
      <c r="W1660" t="s">
        <v>124</v>
      </c>
      <c r="X1660" t="s">
        <v>125</v>
      </c>
      <c r="Y1660" t="s">
        <v>51</v>
      </c>
    </row>
    <row r="1661" spans="1:25" x14ac:dyDescent="0.25">
      <c r="A1661">
        <v>10313</v>
      </c>
      <c r="B1661">
        <v>42</v>
      </c>
      <c r="C1661">
        <v>100</v>
      </c>
      <c r="D1661">
        <v>4</v>
      </c>
      <c r="E1661">
        <v>5581.8</v>
      </c>
      <c r="F1661" s="1">
        <v>38282</v>
      </c>
      <c r="G1661" t="s">
        <v>25</v>
      </c>
      <c r="H1661">
        <v>4</v>
      </c>
      <c r="I1661">
        <v>10</v>
      </c>
      <c r="J1661">
        <v>2004</v>
      </c>
      <c r="K1661" t="s">
        <v>504</v>
      </c>
      <c r="L1661">
        <v>127</v>
      </c>
      <c r="M1661" t="s">
        <v>629</v>
      </c>
      <c r="N1661" t="s">
        <v>225</v>
      </c>
      <c r="O1661" t="s">
        <v>226</v>
      </c>
      <c r="P1661" t="s">
        <v>227</v>
      </c>
      <c r="R1661" t="s">
        <v>228</v>
      </c>
      <c r="S1661" t="s">
        <v>229</v>
      </c>
      <c r="T1661" t="s">
        <v>230</v>
      </c>
      <c r="U1661" t="s">
        <v>231</v>
      </c>
      <c r="V1661" t="s">
        <v>33</v>
      </c>
      <c r="W1661" t="s">
        <v>232</v>
      </c>
      <c r="X1661" t="s">
        <v>233</v>
      </c>
      <c r="Y1661" t="s">
        <v>51</v>
      </c>
    </row>
    <row r="1662" spans="1:25" x14ac:dyDescent="0.25">
      <c r="A1662">
        <v>10324</v>
      </c>
      <c r="B1662">
        <v>31</v>
      </c>
      <c r="C1662">
        <v>100</v>
      </c>
      <c r="D1662">
        <v>2</v>
      </c>
      <c r="E1662">
        <v>3820.44</v>
      </c>
      <c r="F1662" s="1">
        <v>38296</v>
      </c>
      <c r="G1662" t="s">
        <v>25</v>
      </c>
      <c r="H1662">
        <v>4</v>
      </c>
      <c r="I1662">
        <v>11</v>
      </c>
      <c r="J1662">
        <v>2004</v>
      </c>
      <c r="K1662" t="s">
        <v>504</v>
      </c>
      <c r="L1662">
        <v>127</v>
      </c>
      <c r="M1662" t="s">
        <v>629</v>
      </c>
      <c r="N1662" t="s">
        <v>99</v>
      </c>
      <c r="O1662">
        <v>2125551500</v>
      </c>
      <c r="P1662" t="s">
        <v>100</v>
      </c>
      <c r="Q1662" t="s">
        <v>101</v>
      </c>
      <c r="R1662" t="s">
        <v>30</v>
      </c>
      <c r="S1662" t="s">
        <v>31</v>
      </c>
      <c r="T1662">
        <v>10022</v>
      </c>
      <c r="U1662" t="s">
        <v>32</v>
      </c>
      <c r="V1662" t="s">
        <v>33</v>
      </c>
      <c r="W1662" t="s">
        <v>102</v>
      </c>
      <c r="X1662" t="s">
        <v>103</v>
      </c>
      <c r="Y1662" t="s">
        <v>51</v>
      </c>
    </row>
    <row r="1663" spans="1:25" x14ac:dyDescent="0.25">
      <c r="A1663">
        <v>10334</v>
      </c>
      <c r="B1663">
        <v>42</v>
      </c>
      <c r="C1663">
        <v>100</v>
      </c>
      <c r="D1663">
        <v>5</v>
      </c>
      <c r="E1663">
        <v>5528.04</v>
      </c>
      <c r="F1663" s="1">
        <v>38310</v>
      </c>
      <c r="G1663" t="s">
        <v>401</v>
      </c>
      <c r="H1663">
        <v>4</v>
      </c>
      <c r="I1663">
        <v>11</v>
      </c>
      <c r="J1663">
        <v>2004</v>
      </c>
      <c r="K1663" t="s">
        <v>504</v>
      </c>
      <c r="L1663">
        <v>127</v>
      </c>
      <c r="M1663" t="s">
        <v>629</v>
      </c>
      <c r="N1663" t="s">
        <v>183</v>
      </c>
      <c r="O1663" t="s">
        <v>184</v>
      </c>
      <c r="P1663" t="s">
        <v>185</v>
      </c>
      <c r="R1663" t="s">
        <v>186</v>
      </c>
      <c r="T1663" t="s">
        <v>187</v>
      </c>
      <c r="U1663" t="s">
        <v>188</v>
      </c>
      <c r="V1663" t="s">
        <v>42</v>
      </c>
      <c r="W1663" t="s">
        <v>189</v>
      </c>
      <c r="X1663" t="s">
        <v>190</v>
      </c>
      <c r="Y1663" t="s">
        <v>51</v>
      </c>
    </row>
    <row r="1664" spans="1:25" x14ac:dyDescent="0.25">
      <c r="A1664">
        <v>10348</v>
      </c>
      <c r="B1664">
        <v>37</v>
      </c>
      <c r="C1664">
        <v>100</v>
      </c>
      <c r="D1664">
        <v>1</v>
      </c>
      <c r="E1664">
        <v>5981.42</v>
      </c>
      <c r="F1664" s="1">
        <v>38292</v>
      </c>
      <c r="G1664" t="s">
        <v>25</v>
      </c>
      <c r="H1664">
        <v>4</v>
      </c>
      <c r="I1664">
        <v>11</v>
      </c>
      <c r="J1664">
        <v>2004</v>
      </c>
      <c r="K1664" t="s">
        <v>504</v>
      </c>
      <c r="L1664">
        <v>127</v>
      </c>
      <c r="M1664" t="s">
        <v>629</v>
      </c>
      <c r="N1664" t="s">
        <v>191</v>
      </c>
      <c r="O1664" t="s">
        <v>192</v>
      </c>
      <c r="P1664" t="s">
        <v>193</v>
      </c>
      <c r="R1664" t="s">
        <v>177</v>
      </c>
      <c r="T1664">
        <v>28023</v>
      </c>
      <c r="U1664" t="s">
        <v>178</v>
      </c>
      <c r="V1664" t="s">
        <v>42</v>
      </c>
      <c r="W1664" t="s">
        <v>194</v>
      </c>
      <c r="X1664" t="s">
        <v>195</v>
      </c>
      <c r="Y1664" t="s">
        <v>51</v>
      </c>
    </row>
    <row r="1665" spans="1:25" x14ac:dyDescent="0.25">
      <c r="A1665">
        <v>10358</v>
      </c>
      <c r="B1665">
        <v>41</v>
      </c>
      <c r="C1665">
        <v>100</v>
      </c>
      <c r="D1665">
        <v>7</v>
      </c>
      <c r="E1665">
        <v>5684.65</v>
      </c>
      <c r="F1665" s="1">
        <v>38331</v>
      </c>
      <c r="G1665" t="s">
        <v>25</v>
      </c>
      <c r="H1665">
        <v>4</v>
      </c>
      <c r="I1665">
        <v>12</v>
      </c>
      <c r="J1665">
        <v>2004</v>
      </c>
      <c r="K1665" t="s">
        <v>504</v>
      </c>
      <c r="L1665">
        <v>127</v>
      </c>
      <c r="M1665" t="s">
        <v>629</v>
      </c>
      <c r="N1665" t="s">
        <v>174</v>
      </c>
      <c r="O1665" t="s">
        <v>175</v>
      </c>
      <c r="P1665" t="s">
        <v>176</v>
      </c>
      <c r="R1665" t="s">
        <v>177</v>
      </c>
      <c r="T1665">
        <v>28034</v>
      </c>
      <c r="U1665" t="s">
        <v>178</v>
      </c>
      <c r="V1665" t="s">
        <v>42</v>
      </c>
      <c r="W1665" t="s">
        <v>179</v>
      </c>
      <c r="X1665" t="s">
        <v>180</v>
      </c>
      <c r="Y1665" t="s">
        <v>51</v>
      </c>
    </row>
    <row r="1666" spans="1:25" x14ac:dyDescent="0.25">
      <c r="A1666">
        <v>10371</v>
      </c>
      <c r="B1666">
        <v>20</v>
      </c>
      <c r="C1666">
        <v>100</v>
      </c>
      <c r="D1666">
        <v>5</v>
      </c>
      <c r="E1666">
        <v>3449.4</v>
      </c>
      <c r="F1666" s="1">
        <v>38375</v>
      </c>
      <c r="G1666" t="s">
        <v>25</v>
      </c>
      <c r="H1666">
        <v>1</v>
      </c>
      <c r="I1666">
        <v>1</v>
      </c>
      <c r="J1666">
        <v>2005</v>
      </c>
      <c r="K1666" t="s">
        <v>504</v>
      </c>
      <c r="L1666">
        <v>127</v>
      </c>
      <c r="M1666" t="s">
        <v>629</v>
      </c>
      <c r="N1666" t="s">
        <v>272</v>
      </c>
      <c r="O1666">
        <v>4155551450</v>
      </c>
      <c r="P1666" t="s">
        <v>273</v>
      </c>
      <c r="R1666" t="s">
        <v>274</v>
      </c>
      <c r="S1666" t="s">
        <v>55</v>
      </c>
      <c r="T1666">
        <v>97562</v>
      </c>
      <c r="U1666" t="s">
        <v>32</v>
      </c>
      <c r="V1666" t="s">
        <v>33</v>
      </c>
      <c r="W1666" t="s">
        <v>275</v>
      </c>
      <c r="X1666" t="s">
        <v>276</v>
      </c>
      <c r="Y1666" t="s">
        <v>51</v>
      </c>
    </row>
    <row r="1667" spans="1:25" x14ac:dyDescent="0.25">
      <c r="A1667">
        <v>10382</v>
      </c>
      <c r="B1667">
        <v>20</v>
      </c>
      <c r="C1667">
        <v>100</v>
      </c>
      <c r="D1667">
        <v>3</v>
      </c>
      <c r="E1667">
        <v>2654.4</v>
      </c>
      <c r="F1667" s="1">
        <v>38400</v>
      </c>
      <c r="G1667" t="s">
        <v>25</v>
      </c>
      <c r="H1667">
        <v>1</v>
      </c>
      <c r="I1667">
        <v>2</v>
      </c>
      <c r="J1667">
        <v>2005</v>
      </c>
      <c r="K1667" t="s">
        <v>504</v>
      </c>
      <c r="L1667">
        <v>127</v>
      </c>
      <c r="M1667" t="s">
        <v>629</v>
      </c>
      <c r="N1667" t="s">
        <v>272</v>
      </c>
      <c r="O1667">
        <v>4155551450</v>
      </c>
      <c r="P1667" t="s">
        <v>273</v>
      </c>
      <c r="R1667" t="s">
        <v>274</v>
      </c>
      <c r="S1667" t="s">
        <v>55</v>
      </c>
      <c r="T1667">
        <v>97562</v>
      </c>
      <c r="U1667" t="s">
        <v>32</v>
      </c>
      <c r="V1667" t="s">
        <v>33</v>
      </c>
      <c r="W1667" t="s">
        <v>275</v>
      </c>
      <c r="X1667" t="s">
        <v>276</v>
      </c>
      <c r="Y1667" t="s">
        <v>36</v>
      </c>
    </row>
    <row r="1668" spans="1:25" x14ac:dyDescent="0.25">
      <c r="A1668">
        <v>10412</v>
      </c>
      <c r="B1668">
        <v>70</v>
      </c>
      <c r="C1668">
        <v>100</v>
      </c>
      <c r="D1668">
        <v>10</v>
      </c>
      <c r="E1668">
        <v>8498</v>
      </c>
      <c r="F1668" s="1">
        <v>38475</v>
      </c>
      <c r="G1668" t="s">
        <v>25</v>
      </c>
      <c r="H1668">
        <v>2</v>
      </c>
      <c r="I1668">
        <v>5</v>
      </c>
      <c r="J1668">
        <v>2005</v>
      </c>
      <c r="K1668" t="s">
        <v>504</v>
      </c>
      <c r="L1668">
        <v>127</v>
      </c>
      <c r="M1668" t="s">
        <v>629</v>
      </c>
      <c r="N1668" t="s">
        <v>174</v>
      </c>
      <c r="O1668" t="s">
        <v>175</v>
      </c>
      <c r="P1668" t="s">
        <v>176</v>
      </c>
      <c r="R1668" t="s">
        <v>177</v>
      </c>
      <c r="T1668">
        <v>28034</v>
      </c>
      <c r="U1668" t="s">
        <v>178</v>
      </c>
      <c r="V1668" t="s">
        <v>42</v>
      </c>
      <c r="W1668" t="s">
        <v>179</v>
      </c>
      <c r="X1668" t="s">
        <v>180</v>
      </c>
      <c r="Y1668" t="s">
        <v>151</v>
      </c>
    </row>
    <row r="1669" spans="1:25" x14ac:dyDescent="0.25">
      <c r="A1669">
        <v>10425</v>
      </c>
      <c r="B1669">
        <v>49</v>
      </c>
      <c r="C1669">
        <v>100</v>
      </c>
      <c r="D1669">
        <v>9</v>
      </c>
      <c r="E1669">
        <v>5510.54</v>
      </c>
      <c r="F1669" s="1">
        <v>38503</v>
      </c>
      <c r="G1669" t="s">
        <v>300</v>
      </c>
      <c r="H1669">
        <v>2</v>
      </c>
      <c r="I1669">
        <v>5</v>
      </c>
      <c r="J1669">
        <v>2005</v>
      </c>
      <c r="K1669" t="s">
        <v>504</v>
      </c>
      <c r="L1669">
        <v>127</v>
      </c>
      <c r="M1669" t="s">
        <v>629</v>
      </c>
      <c r="N1669" t="s">
        <v>114</v>
      </c>
      <c r="O1669" t="s">
        <v>115</v>
      </c>
      <c r="P1669" t="s">
        <v>116</v>
      </c>
      <c r="R1669" t="s">
        <v>117</v>
      </c>
      <c r="T1669">
        <v>44000</v>
      </c>
      <c r="U1669" t="s">
        <v>41</v>
      </c>
      <c r="V1669" t="s">
        <v>42</v>
      </c>
      <c r="W1669" t="s">
        <v>118</v>
      </c>
      <c r="X1669" t="s">
        <v>119</v>
      </c>
      <c r="Y1669" t="s">
        <v>51</v>
      </c>
    </row>
    <row r="1670" spans="1:25" x14ac:dyDescent="0.25">
      <c r="A1670">
        <v>10108</v>
      </c>
      <c r="B1670">
        <v>35</v>
      </c>
      <c r="C1670">
        <v>58.87</v>
      </c>
      <c r="D1670">
        <v>15</v>
      </c>
      <c r="E1670">
        <v>2060.4499999999998</v>
      </c>
      <c r="F1670" s="1">
        <v>37683</v>
      </c>
      <c r="G1670" t="s">
        <v>25</v>
      </c>
      <c r="H1670">
        <v>1</v>
      </c>
      <c r="I1670">
        <v>3</v>
      </c>
      <c r="J1670">
        <v>2003</v>
      </c>
      <c r="K1670" t="s">
        <v>26</v>
      </c>
      <c r="L1670">
        <v>69</v>
      </c>
      <c r="M1670" t="s">
        <v>630</v>
      </c>
      <c r="N1670" t="s">
        <v>425</v>
      </c>
      <c r="O1670" t="s">
        <v>426</v>
      </c>
      <c r="P1670" t="s">
        <v>427</v>
      </c>
      <c r="R1670" t="s">
        <v>428</v>
      </c>
      <c r="T1670" t="s">
        <v>429</v>
      </c>
      <c r="U1670" t="s">
        <v>430</v>
      </c>
      <c r="V1670" t="s">
        <v>200</v>
      </c>
      <c r="W1670" t="s">
        <v>431</v>
      </c>
      <c r="X1670" t="s">
        <v>432</v>
      </c>
      <c r="Y1670" t="s">
        <v>36</v>
      </c>
    </row>
    <row r="1671" spans="1:25" x14ac:dyDescent="0.25">
      <c r="A1671">
        <v>10121</v>
      </c>
      <c r="B1671">
        <v>32</v>
      </c>
      <c r="C1671">
        <v>76.88</v>
      </c>
      <c r="D1671">
        <v>2</v>
      </c>
      <c r="E1671">
        <v>2460.16</v>
      </c>
      <c r="F1671" s="1">
        <v>37748</v>
      </c>
      <c r="G1671" t="s">
        <v>25</v>
      </c>
      <c r="H1671">
        <v>2</v>
      </c>
      <c r="I1671">
        <v>5</v>
      </c>
      <c r="J1671">
        <v>2003</v>
      </c>
      <c r="K1671" t="s">
        <v>26</v>
      </c>
      <c r="L1671">
        <v>69</v>
      </c>
      <c r="M1671" t="s">
        <v>630</v>
      </c>
      <c r="N1671" t="s">
        <v>37</v>
      </c>
      <c r="O1671" t="s">
        <v>38</v>
      </c>
      <c r="P1671" t="s">
        <v>39</v>
      </c>
      <c r="R1671" t="s">
        <v>40</v>
      </c>
      <c r="T1671">
        <v>51100</v>
      </c>
      <c r="U1671" t="s">
        <v>41</v>
      </c>
      <c r="V1671" t="s">
        <v>42</v>
      </c>
      <c r="W1671" t="s">
        <v>43</v>
      </c>
      <c r="X1671" t="s">
        <v>44</v>
      </c>
      <c r="Y1671" t="s">
        <v>36</v>
      </c>
    </row>
    <row r="1672" spans="1:25" x14ac:dyDescent="0.25">
      <c r="A1672">
        <v>10135</v>
      </c>
      <c r="B1672">
        <v>29</v>
      </c>
      <c r="C1672">
        <v>61.64</v>
      </c>
      <c r="D1672">
        <v>16</v>
      </c>
      <c r="E1672">
        <v>1787.56</v>
      </c>
      <c r="F1672" s="1">
        <v>37804</v>
      </c>
      <c r="G1672" t="s">
        <v>25</v>
      </c>
      <c r="H1672">
        <v>3</v>
      </c>
      <c r="I1672">
        <v>7</v>
      </c>
      <c r="J1672">
        <v>2003</v>
      </c>
      <c r="K1672" t="s">
        <v>26</v>
      </c>
      <c r="L1672">
        <v>69</v>
      </c>
      <c r="M1672" t="s">
        <v>630</v>
      </c>
      <c r="N1672" t="s">
        <v>272</v>
      </c>
      <c r="O1672">
        <v>4155551450</v>
      </c>
      <c r="P1672" t="s">
        <v>273</v>
      </c>
      <c r="R1672" t="s">
        <v>274</v>
      </c>
      <c r="S1672" t="s">
        <v>55</v>
      </c>
      <c r="T1672">
        <v>97562</v>
      </c>
      <c r="U1672" t="s">
        <v>32</v>
      </c>
      <c r="V1672" t="s">
        <v>33</v>
      </c>
      <c r="W1672" t="s">
        <v>275</v>
      </c>
      <c r="X1672" t="s">
        <v>276</v>
      </c>
      <c r="Y1672" t="s">
        <v>36</v>
      </c>
    </row>
    <row r="1673" spans="1:25" x14ac:dyDescent="0.25">
      <c r="A1673">
        <v>10145</v>
      </c>
      <c r="B1673">
        <v>27</v>
      </c>
      <c r="C1673">
        <v>60.95</v>
      </c>
      <c r="D1673">
        <v>3</v>
      </c>
      <c r="E1673">
        <v>1645.65</v>
      </c>
      <c r="F1673" s="1">
        <v>37858</v>
      </c>
      <c r="G1673" t="s">
        <v>25</v>
      </c>
      <c r="H1673">
        <v>3</v>
      </c>
      <c r="I1673">
        <v>8</v>
      </c>
      <c r="J1673">
        <v>2003</v>
      </c>
      <c r="K1673" t="s">
        <v>26</v>
      </c>
      <c r="L1673">
        <v>69</v>
      </c>
      <c r="M1673" t="s">
        <v>630</v>
      </c>
      <c r="N1673" t="s">
        <v>52</v>
      </c>
      <c r="O1673">
        <v>6265557265</v>
      </c>
      <c r="P1673" t="s">
        <v>53</v>
      </c>
      <c r="R1673" t="s">
        <v>54</v>
      </c>
      <c r="S1673" t="s">
        <v>55</v>
      </c>
      <c r="T1673">
        <v>90003</v>
      </c>
      <c r="U1673" t="s">
        <v>32</v>
      </c>
      <c r="V1673" t="s">
        <v>33</v>
      </c>
      <c r="W1673" t="s">
        <v>56</v>
      </c>
      <c r="X1673" t="s">
        <v>57</v>
      </c>
      <c r="Y1673" t="s">
        <v>36</v>
      </c>
    </row>
    <row r="1674" spans="1:25" x14ac:dyDescent="0.25">
      <c r="A1674">
        <v>10159</v>
      </c>
      <c r="B1674">
        <v>27</v>
      </c>
      <c r="C1674">
        <v>80.34</v>
      </c>
      <c r="D1674">
        <v>11</v>
      </c>
      <c r="E1674">
        <v>2169.1799999999998</v>
      </c>
      <c r="F1674" s="1">
        <v>37904</v>
      </c>
      <c r="G1674" t="s">
        <v>25</v>
      </c>
      <c r="H1674">
        <v>4</v>
      </c>
      <c r="I1674">
        <v>10</v>
      </c>
      <c r="J1674">
        <v>2003</v>
      </c>
      <c r="K1674" t="s">
        <v>26</v>
      </c>
      <c r="L1674">
        <v>69</v>
      </c>
      <c r="M1674" t="s">
        <v>630</v>
      </c>
      <c r="N1674" t="s">
        <v>58</v>
      </c>
      <c r="O1674">
        <v>6505551386</v>
      </c>
      <c r="P1674" t="s">
        <v>59</v>
      </c>
      <c r="R1674" t="s">
        <v>60</v>
      </c>
      <c r="S1674" t="s">
        <v>55</v>
      </c>
      <c r="U1674" t="s">
        <v>32</v>
      </c>
      <c r="V1674" t="s">
        <v>33</v>
      </c>
      <c r="W1674" t="s">
        <v>61</v>
      </c>
      <c r="X1674" t="s">
        <v>57</v>
      </c>
      <c r="Y1674" t="s">
        <v>36</v>
      </c>
    </row>
    <row r="1675" spans="1:25" x14ac:dyDescent="0.25">
      <c r="A1675">
        <v>10169</v>
      </c>
      <c r="B1675">
        <v>38</v>
      </c>
      <c r="C1675">
        <v>74.11</v>
      </c>
      <c r="D1675">
        <v>11</v>
      </c>
      <c r="E1675">
        <v>2816.18</v>
      </c>
      <c r="F1675" s="1">
        <v>37929</v>
      </c>
      <c r="G1675" t="s">
        <v>25</v>
      </c>
      <c r="H1675">
        <v>4</v>
      </c>
      <c r="I1675">
        <v>11</v>
      </c>
      <c r="J1675">
        <v>2003</v>
      </c>
      <c r="K1675" t="s">
        <v>26</v>
      </c>
      <c r="L1675">
        <v>69</v>
      </c>
      <c r="M1675" t="s">
        <v>630</v>
      </c>
      <c r="N1675" t="s">
        <v>285</v>
      </c>
      <c r="O1675" t="s">
        <v>286</v>
      </c>
      <c r="P1675" t="s">
        <v>287</v>
      </c>
      <c r="Q1675" t="s">
        <v>288</v>
      </c>
      <c r="R1675" t="s">
        <v>289</v>
      </c>
      <c r="S1675" t="s">
        <v>157</v>
      </c>
      <c r="T1675">
        <v>2060</v>
      </c>
      <c r="U1675" t="s">
        <v>95</v>
      </c>
      <c r="V1675" t="s">
        <v>96</v>
      </c>
      <c r="W1675" t="s">
        <v>290</v>
      </c>
      <c r="X1675" t="s">
        <v>291</v>
      </c>
      <c r="Y1675" t="s">
        <v>36</v>
      </c>
    </row>
    <row r="1676" spans="1:25" x14ac:dyDescent="0.25">
      <c r="A1676">
        <v>10180</v>
      </c>
      <c r="B1676">
        <v>35</v>
      </c>
      <c r="C1676">
        <v>72.03</v>
      </c>
      <c r="D1676">
        <v>6</v>
      </c>
      <c r="E1676">
        <v>2521.0500000000002</v>
      </c>
      <c r="F1676" s="1">
        <v>37936</v>
      </c>
      <c r="G1676" t="s">
        <v>25</v>
      </c>
      <c r="H1676">
        <v>4</v>
      </c>
      <c r="I1676">
        <v>11</v>
      </c>
      <c r="J1676">
        <v>2003</v>
      </c>
      <c r="K1676" t="s">
        <v>26</v>
      </c>
      <c r="L1676">
        <v>69</v>
      </c>
      <c r="M1676" t="s">
        <v>630</v>
      </c>
      <c r="N1676" t="s">
        <v>67</v>
      </c>
      <c r="O1676" t="s">
        <v>68</v>
      </c>
      <c r="P1676" t="s">
        <v>69</v>
      </c>
      <c r="R1676" t="s">
        <v>70</v>
      </c>
      <c r="T1676">
        <v>59000</v>
      </c>
      <c r="U1676" t="s">
        <v>41</v>
      </c>
      <c r="V1676" t="s">
        <v>42</v>
      </c>
      <c r="W1676" t="s">
        <v>71</v>
      </c>
      <c r="X1676" t="s">
        <v>72</v>
      </c>
      <c r="Y1676" t="s">
        <v>36</v>
      </c>
    </row>
    <row r="1677" spans="1:25" x14ac:dyDescent="0.25">
      <c r="A1677">
        <v>10190</v>
      </c>
      <c r="B1677">
        <v>42</v>
      </c>
      <c r="C1677">
        <v>76.19</v>
      </c>
      <c r="D1677">
        <v>3</v>
      </c>
      <c r="E1677">
        <v>3199.98</v>
      </c>
      <c r="F1677" s="1">
        <v>37944</v>
      </c>
      <c r="G1677" t="s">
        <v>25</v>
      </c>
      <c r="H1677">
        <v>4</v>
      </c>
      <c r="I1677">
        <v>11</v>
      </c>
      <c r="J1677">
        <v>2003</v>
      </c>
      <c r="K1677" t="s">
        <v>26</v>
      </c>
      <c r="L1677">
        <v>69</v>
      </c>
      <c r="M1677" t="s">
        <v>630</v>
      </c>
      <c r="N1677" t="s">
        <v>174</v>
      </c>
      <c r="O1677" t="s">
        <v>175</v>
      </c>
      <c r="P1677" t="s">
        <v>176</v>
      </c>
      <c r="R1677" t="s">
        <v>177</v>
      </c>
      <c r="T1677">
        <v>28034</v>
      </c>
      <c r="U1677" t="s">
        <v>178</v>
      </c>
      <c r="V1677" t="s">
        <v>42</v>
      </c>
      <c r="W1677" t="s">
        <v>179</v>
      </c>
      <c r="X1677" t="s">
        <v>180</v>
      </c>
      <c r="Y1677" t="s">
        <v>51</v>
      </c>
    </row>
    <row r="1678" spans="1:25" x14ac:dyDescent="0.25">
      <c r="A1678">
        <v>10211</v>
      </c>
      <c r="B1678">
        <v>21</v>
      </c>
      <c r="C1678">
        <v>63.72</v>
      </c>
      <c r="D1678">
        <v>11</v>
      </c>
      <c r="E1678">
        <v>1338.12</v>
      </c>
      <c r="F1678" s="1">
        <v>38001</v>
      </c>
      <c r="G1678" t="s">
        <v>25</v>
      </c>
      <c r="H1678">
        <v>1</v>
      </c>
      <c r="I1678">
        <v>1</v>
      </c>
      <c r="J1678">
        <v>2004</v>
      </c>
      <c r="K1678" t="s">
        <v>26</v>
      </c>
      <c r="L1678">
        <v>69</v>
      </c>
      <c r="M1678" t="s">
        <v>630</v>
      </c>
      <c r="N1678" t="s">
        <v>84</v>
      </c>
      <c r="O1678" t="s">
        <v>85</v>
      </c>
      <c r="P1678" t="s">
        <v>86</v>
      </c>
      <c r="R1678" t="s">
        <v>48</v>
      </c>
      <c r="T1678">
        <v>75016</v>
      </c>
      <c r="U1678" t="s">
        <v>41</v>
      </c>
      <c r="V1678" t="s">
        <v>42</v>
      </c>
      <c r="W1678" t="s">
        <v>87</v>
      </c>
      <c r="X1678" t="s">
        <v>88</v>
      </c>
      <c r="Y1678" t="s">
        <v>36</v>
      </c>
    </row>
    <row r="1679" spans="1:25" x14ac:dyDescent="0.25">
      <c r="A1679">
        <v>10224</v>
      </c>
      <c r="B1679">
        <v>37</v>
      </c>
      <c r="C1679">
        <v>80.34</v>
      </c>
      <c r="D1679">
        <v>4</v>
      </c>
      <c r="E1679">
        <v>2972.58</v>
      </c>
      <c r="F1679" s="1">
        <v>38038</v>
      </c>
      <c r="G1679" t="s">
        <v>25</v>
      </c>
      <c r="H1679">
        <v>1</v>
      </c>
      <c r="I1679">
        <v>2</v>
      </c>
      <c r="J1679">
        <v>2004</v>
      </c>
      <c r="K1679" t="s">
        <v>26</v>
      </c>
      <c r="L1679">
        <v>69</v>
      </c>
      <c r="M1679" t="s">
        <v>630</v>
      </c>
      <c r="N1679" t="s">
        <v>67</v>
      </c>
      <c r="O1679" t="s">
        <v>68</v>
      </c>
      <c r="P1679" t="s">
        <v>69</v>
      </c>
      <c r="R1679" t="s">
        <v>70</v>
      </c>
      <c r="T1679">
        <v>59000</v>
      </c>
      <c r="U1679" t="s">
        <v>41</v>
      </c>
      <c r="V1679" t="s">
        <v>42</v>
      </c>
      <c r="W1679" t="s">
        <v>71</v>
      </c>
      <c r="X1679" t="s">
        <v>72</v>
      </c>
      <c r="Y1679" t="s">
        <v>36</v>
      </c>
    </row>
    <row r="1680" spans="1:25" x14ac:dyDescent="0.25">
      <c r="A1680">
        <v>10237</v>
      </c>
      <c r="B1680">
        <v>26</v>
      </c>
      <c r="C1680">
        <v>79.650000000000006</v>
      </c>
      <c r="D1680">
        <v>4</v>
      </c>
      <c r="E1680">
        <v>2070.9</v>
      </c>
      <c r="F1680" s="1">
        <v>38082</v>
      </c>
      <c r="G1680" t="s">
        <v>25</v>
      </c>
      <c r="H1680">
        <v>2</v>
      </c>
      <c r="I1680">
        <v>4</v>
      </c>
      <c r="J1680">
        <v>2004</v>
      </c>
      <c r="K1680" t="s">
        <v>26</v>
      </c>
      <c r="L1680">
        <v>69</v>
      </c>
      <c r="M1680" t="s">
        <v>630</v>
      </c>
      <c r="N1680" t="s">
        <v>99</v>
      </c>
      <c r="O1680">
        <v>2125551500</v>
      </c>
      <c r="P1680" t="s">
        <v>100</v>
      </c>
      <c r="Q1680" t="s">
        <v>101</v>
      </c>
      <c r="R1680" t="s">
        <v>30</v>
      </c>
      <c r="S1680" t="s">
        <v>31</v>
      </c>
      <c r="T1680">
        <v>10022</v>
      </c>
      <c r="U1680" t="s">
        <v>32</v>
      </c>
      <c r="V1680" t="s">
        <v>33</v>
      </c>
      <c r="W1680" t="s">
        <v>102</v>
      </c>
      <c r="X1680" t="s">
        <v>103</v>
      </c>
      <c r="Y1680" t="s">
        <v>36</v>
      </c>
    </row>
    <row r="1681" spans="1:25" x14ac:dyDescent="0.25">
      <c r="A1681">
        <v>10252</v>
      </c>
      <c r="B1681">
        <v>47</v>
      </c>
      <c r="C1681">
        <v>65.8</v>
      </c>
      <c r="D1681">
        <v>8</v>
      </c>
      <c r="E1681">
        <v>3092.6</v>
      </c>
      <c r="F1681" s="1">
        <v>38133</v>
      </c>
      <c r="G1681" t="s">
        <v>25</v>
      </c>
      <c r="H1681">
        <v>2</v>
      </c>
      <c r="I1681">
        <v>5</v>
      </c>
      <c r="J1681">
        <v>2004</v>
      </c>
      <c r="K1681" t="s">
        <v>26</v>
      </c>
      <c r="L1681">
        <v>69</v>
      </c>
      <c r="M1681" t="s">
        <v>630</v>
      </c>
      <c r="N1681" t="s">
        <v>84</v>
      </c>
      <c r="O1681" t="s">
        <v>85</v>
      </c>
      <c r="P1681" t="s">
        <v>86</v>
      </c>
      <c r="R1681" t="s">
        <v>48</v>
      </c>
      <c r="T1681">
        <v>75016</v>
      </c>
      <c r="U1681" t="s">
        <v>41</v>
      </c>
      <c r="V1681" t="s">
        <v>42</v>
      </c>
      <c r="W1681" t="s">
        <v>87</v>
      </c>
      <c r="X1681" t="s">
        <v>88</v>
      </c>
      <c r="Y1681" t="s">
        <v>51</v>
      </c>
    </row>
    <row r="1682" spans="1:25" x14ac:dyDescent="0.25">
      <c r="A1682">
        <v>10264</v>
      </c>
      <c r="B1682">
        <v>37</v>
      </c>
      <c r="C1682">
        <v>65.099999999999994</v>
      </c>
      <c r="D1682">
        <v>6</v>
      </c>
      <c r="E1682">
        <v>2408.6999999999998</v>
      </c>
      <c r="F1682" s="1">
        <v>38168</v>
      </c>
      <c r="G1682" t="s">
        <v>25</v>
      </c>
      <c r="H1682">
        <v>2</v>
      </c>
      <c r="I1682">
        <v>6</v>
      </c>
      <c r="J1682">
        <v>2004</v>
      </c>
      <c r="K1682" t="s">
        <v>26</v>
      </c>
      <c r="L1682">
        <v>69</v>
      </c>
      <c r="M1682" t="s">
        <v>630</v>
      </c>
      <c r="N1682" t="s">
        <v>379</v>
      </c>
      <c r="O1682">
        <v>6175559555</v>
      </c>
      <c r="P1682" t="s">
        <v>380</v>
      </c>
      <c r="R1682" t="s">
        <v>381</v>
      </c>
      <c r="S1682" t="s">
        <v>123</v>
      </c>
      <c r="T1682">
        <v>51003</v>
      </c>
      <c r="U1682" t="s">
        <v>32</v>
      </c>
      <c r="V1682" t="s">
        <v>33</v>
      </c>
      <c r="W1682" t="s">
        <v>382</v>
      </c>
      <c r="X1682" t="s">
        <v>66</v>
      </c>
      <c r="Y1682" t="s">
        <v>36</v>
      </c>
    </row>
    <row r="1683" spans="1:25" x14ac:dyDescent="0.25">
      <c r="A1683">
        <v>10276</v>
      </c>
      <c r="B1683">
        <v>46</v>
      </c>
      <c r="C1683">
        <v>75.489999999999995</v>
      </c>
      <c r="D1683">
        <v>12</v>
      </c>
      <c r="E1683">
        <v>3472.54</v>
      </c>
      <c r="F1683" s="1">
        <v>38201</v>
      </c>
      <c r="G1683" t="s">
        <v>25</v>
      </c>
      <c r="H1683">
        <v>3</v>
      </c>
      <c r="I1683">
        <v>8</v>
      </c>
      <c r="J1683">
        <v>2004</v>
      </c>
      <c r="K1683" t="s">
        <v>26</v>
      </c>
      <c r="L1683">
        <v>69</v>
      </c>
      <c r="M1683" t="s">
        <v>630</v>
      </c>
      <c r="N1683" t="s">
        <v>458</v>
      </c>
      <c r="O1683">
        <v>6175557555</v>
      </c>
      <c r="P1683" t="s">
        <v>459</v>
      </c>
      <c r="R1683" t="s">
        <v>283</v>
      </c>
      <c r="S1683" t="s">
        <v>123</v>
      </c>
      <c r="T1683">
        <v>58339</v>
      </c>
      <c r="U1683" t="s">
        <v>32</v>
      </c>
      <c r="V1683" t="s">
        <v>33</v>
      </c>
      <c r="W1683" t="s">
        <v>460</v>
      </c>
      <c r="X1683" t="s">
        <v>461</v>
      </c>
      <c r="Y1683" t="s">
        <v>51</v>
      </c>
    </row>
    <row r="1684" spans="1:25" x14ac:dyDescent="0.25">
      <c r="A1684">
        <v>10285</v>
      </c>
      <c r="B1684">
        <v>38</v>
      </c>
      <c r="C1684">
        <v>59.56</v>
      </c>
      <c r="D1684">
        <v>3</v>
      </c>
      <c r="E1684">
        <v>2263.2800000000002</v>
      </c>
      <c r="F1684" s="1">
        <v>38226</v>
      </c>
      <c r="G1684" t="s">
        <v>25</v>
      </c>
      <c r="H1684">
        <v>3</v>
      </c>
      <c r="I1684">
        <v>8</v>
      </c>
      <c r="J1684">
        <v>2004</v>
      </c>
      <c r="K1684" t="s">
        <v>26</v>
      </c>
      <c r="L1684">
        <v>69</v>
      </c>
      <c r="M1684" t="s">
        <v>630</v>
      </c>
      <c r="N1684" t="s">
        <v>120</v>
      </c>
      <c r="O1684">
        <v>6175558555</v>
      </c>
      <c r="P1684" t="s">
        <v>121</v>
      </c>
      <c r="R1684" t="s">
        <v>122</v>
      </c>
      <c r="S1684" t="s">
        <v>123</v>
      </c>
      <c r="T1684">
        <v>51247</v>
      </c>
      <c r="U1684" t="s">
        <v>32</v>
      </c>
      <c r="V1684" t="s">
        <v>33</v>
      </c>
      <c r="W1684" t="s">
        <v>124</v>
      </c>
      <c r="X1684" t="s">
        <v>125</v>
      </c>
      <c r="Y1684" t="s">
        <v>36</v>
      </c>
    </row>
    <row r="1685" spans="1:25" x14ac:dyDescent="0.25">
      <c r="A1685">
        <v>10299</v>
      </c>
      <c r="B1685">
        <v>33</v>
      </c>
      <c r="C1685">
        <v>66.489999999999995</v>
      </c>
      <c r="D1685">
        <v>6</v>
      </c>
      <c r="E1685">
        <v>2194.17</v>
      </c>
      <c r="F1685" s="1">
        <v>38260</v>
      </c>
      <c r="G1685" t="s">
        <v>25</v>
      </c>
      <c r="H1685">
        <v>3</v>
      </c>
      <c r="I1685">
        <v>9</v>
      </c>
      <c r="J1685">
        <v>2004</v>
      </c>
      <c r="K1685" t="s">
        <v>26</v>
      </c>
      <c r="L1685">
        <v>69</v>
      </c>
      <c r="M1685" t="s">
        <v>630</v>
      </c>
      <c r="N1685" t="s">
        <v>126</v>
      </c>
      <c r="O1685" t="s">
        <v>127</v>
      </c>
      <c r="P1685" t="s">
        <v>128</v>
      </c>
      <c r="R1685" t="s">
        <v>129</v>
      </c>
      <c r="T1685">
        <v>21240</v>
      </c>
      <c r="U1685" t="s">
        <v>130</v>
      </c>
      <c r="V1685" t="s">
        <v>42</v>
      </c>
      <c r="W1685" t="s">
        <v>131</v>
      </c>
      <c r="X1685" t="s">
        <v>132</v>
      </c>
      <c r="Y1685" t="s">
        <v>36</v>
      </c>
    </row>
    <row r="1686" spans="1:25" x14ac:dyDescent="0.25">
      <c r="A1686">
        <v>10309</v>
      </c>
      <c r="B1686">
        <v>24</v>
      </c>
      <c r="C1686">
        <v>56.1</v>
      </c>
      <c r="D1686">
        <v>2</v>
      </c>
      <c r="E1686">
        <v>1346.4</v>
      </c>
      <c r="F1686" s="1">
        <v>38275</v>
      </c>
      <c r="G1686" t="s">
        <v>25</v>
      </c>
      <c r="H1686">
        <v>4</v>
      </c>
      <c r="I1686">
        <v>10</v>
      </c>
      <c r="J1686">
        <v>2004</v>
      </c>
      <c r="K1686" t="s">
        <v>26</v>
      </c>
      <c r="L1686">
        <v>69</v>
      </c>
      <c r="M1686" t="s">
        <v>630</v>
      </c>
      <c r="N1686" t="s">
        <v>133</v>
      </c>
      <c r="O1686" t="s">
        <v>134</v>
      </c>
      <c r="P1686" t="s">
        <v>135</v>
      </c>
      <c r="R1686" t="s">
        <v>136</v>
      </c>
      <c r="T1686">
        <v>4110</v>
      </c>
      <c r="U1686" t="s">
        <v>78</v>
      </c>
      <c r="V1686" t="s">
        <v>42</v>
      </c>
      <c r="W1686" t="s">
        <v>137</v>
      </c>
      <c r="X1686" t="s">
        <v>138</v>
      </c>
      <c r="Y1686" t="s">
        <v>36</v>
      </c>
    </row>
    <row r="1687" spans="1:25" x14ac:dyDescent="0.25">
      <c r="A1687">
        <v>10319</v>
      </c>
      <c r="B1687">
        <v>31</v>
      </c>
      <c r="C1687">
        <v>81.73</v>
      </c>
      <c r="D1687">
        <v>7</v>
      </c>
      <c r="E1687">
        <v>2533.63</v>
      </c>
      <c r="F1687" s="1">
        <v>38294</v>
      </c>
      <c r="G1687" t="s">
        <v>25</v>
      </c>
      <c r="H1687">
        <v>4</v>
      </c>
      <c r="I1687">
        <v>11</v>
      </c>
      <c r="J1687">
        <v>2004</v>
      </c>
      <c r="K1687" t="s">
        <v>26</v>
      </c>
      <c r="L1687">
        <v>69</v>
      </c>
      <c r="M1687" t="s">
        <v>630</v>
      </c>
      <c r="N1687" t="s">
        <v>507</v>
      </c>
      <c r="O1687">
        <v>2125551957</v>
      </c>
      <c r="P1687" t="s">
        <v>508</v>
      </c>
      <c r="Q1687" t="s">
        <v>509</v>
      </c>
      <c r="R1687" t="s">
        <v>30</v>
      </c>
      <c r="S1687" t="s">
        <v>31</v>
      </c>
      <c r="T1687">
        <v>10022</v>
      </c>
      <c r="U1687" t="s">
        <v>32</v>
      </c>
      <c r="V1687" t="s">
        <v>33</v>
      </c>
      <c r="W1687" t="s">
        <v>510</v>
      </c>
      <c r="X1687" t="s">
        <v>511</v>
      </c>
      <c r="Y1687" t="s">
        <v>36</v>
      </c>
    </row>
    <row r="1688" spans="1:25" x14ac:dyDescent="0.25">
      <c r="A1688">
        <v>10330</v>
      </c>
      <c r="B1688">
        <v>42</v>
      </c>
      <c r="C1688">
        <v>81.03</v>
      </c>
      <c r="D1688">
        <v>1</v>
      </c>
      <c r="E1688">
        <v>3403.26</v>
      </c>
      <c r="F1688" s="1">
        <v>38307</v>
      </c>
      <c r="G1688" t="s">
        <v>25</v>
      </c>
      <c r="H1688">
        <v>4</v>
      </c>
      <c r="I1688">
        <v>11</v>
      </c>
      <c r="J1688">
        <v>2004</v>
      </c>
      <c r="K1688" t="s">
        <v>26</v>
      </c>
      <c r="L1688">
        <v>69</v>
      </c>
      <c r="M1688" t="s">
        <v>630</v>
      </c>
      <c r="N1688" t="s">
        <v>425</v>
      </c>
      <c r="O1688" t="s">
        <v>426</v>
      </c>
      <c r="P1688" t="s">
        <v>427</v>
      </c>
      <c r="R1688" t="s">
        <v>428</v>
      </c>
      <c r="T1688" t="s">
        <v>429</v>
      </c>
      <c r="U1688" t="s">
        <v>430</v>
      </c>
      <c r="V1688" t="s">
        <v>200</v>
      </c>
      <c r="W1688" t="s">
        <v>431</v>
      </c>
      <c r="X1688" t="s">
        <v>432</v>
      </c>
      <c r="Y1688" t="s">
        <v>51</v>
      </c>
    </row>
    <row r="1689" spans="1:25" x14ac:dyDescent="0.25">
      <c r="A1689">
        <v>10341</v>
      </c>
      <c r="B1689">
        <v>32</v>
      </c>
      <c r="C1689">
        <v>100</v>
      </c>
      <c r="D1689">
        <v>6</v>
      </c>
      <c r="E1689">
        <v>3307.2</v>
      </c>
      <c r="F1689" s="1">
        <v>38315</v>
      </c>
      <c r="G1689" t="s">
        <v>25</v>
      </c>
      <c r="H1689">
        <v>4</v>
      </c>
      <c r="I1689">
        <v>11</v>
      </c>
      <c r="J1689">
        <v>2004</v>
      </c>
      <c r="K1689" t="s">
        <v>26</v>
      </c>
      <c r="L1689">
        <v>69</v>
      </c>
      <c r="M1689" t="s">
        <v>630</v>
      </c>
      <c r="N1689" t="s">
        <v>144</v>
      </c>
      <c r="O1689" t="s">
        <v>145</v>
      </c>
      <c r="P1689" t="s">
        <v>146</v>
      </c>
      <c r="R1689" t="s">
        <v>147</v>
      </c>
      <c r="T1689">
        <v>5020</v>
      </c>
      <c r="U1689" t="s">
        <v>148</v>
      </c>
      <c r="V1689" t="s">
        <v>42</v>
      </c>
      <c r="W1689" t="s">
        <v>149</v>
      </c>
      <c r="X1689" t="s">
        <v>150</v>
      </c>
      <c r="Y1689" t="s">
        <v>51</v>
      </c>
    </row>
    <row r="1690" spans="1:25" x14ac:dyDescent="0.25">
      <c r="A1690">
        <v>10355</v>
      </c>
      <c r="B1690">
        <v>41</v>
      </c>
      <c r="C1690">
        <v>70.650000000000006</v>
      </c>
      <c r="D1690">
        <v>3</v>
      </c>
      <c r="E1690">
        <v>2896.65</v>
      </c>
      <c r="F1690" s="1">
        <v>38328</v>
      </c>
      <c r="G1690" t="s">
        <v>25</v>
      </c>
      <c r="H1690">
        <v>4</v>
      </c>
      <c r="I1690">
        <v>12</v>
      </c>
      <c r="J1690">
        <v>2004</v>
      </c>
      <c r="K1690" t="s">
        <v>26</v>
      </c>
      <c r="L1690">
        <v>69</v>
      </c>
      <c r="M1690" t="s">
        <v>630</v>
      </c>
      <c r="N1690" t="s">
        <v>174</v>
      </c>
      <c r="O1690" t="s">
        <v>175</v>
      </c>
      <c r="P1690" t="s">
        <v>176</v>
      </c>
      <c r="R1690" t="s">
        <v>177</v>
      </c>
      <c r="T1690">
        <v>28034</v>
      </c>
      <c r="U1690" t="s">
        <v>178</v>
      </c>
      <c r="V1690" t="s">
        <v>42</v>
      </c>
      <c r="W1690" t="s">
        <v>179</v>
      </c>
      <c r="X1690" t="s">
        <v>180</v>
      </c>
      <c r="Y1690" t="s">
        <v>36</v>
      </c>
    </row>
    <row r="1691" spans="1:25" x14ac:dyDescent="0.25">
      <c r="A1691">
        <v>10363</v>
      </c>
      <c r="B1691">
        <v>43</v>
      </c>
      <c r="C1691">
        <v>61.23</v>
      </c>
      <c r="D1691">
        <v>14</v>
      </c>
      <c r="E1691">
        <v>2632.89</v>
      </c>
      <c r="F1691" s="1">
        <v>38358</v>
      </c>
      <c r="G1691" t="s">
        <v>25</v>
      </c>
      <c r="H1691">
        <v>1</v>
      </c>
      <c r="I1691">
        <v>1</v>
      </c>
      <c r="J1691">
        <v>2005</v>
      </c>
      <c r="K1691" t="s">
        <v>26</v>
      </c>
      <c r="L1691">
        <v>69</v>
      </c>
      <c r="M1691" t="s">
        <v>630</v>
      </c>
      <c r="N1691" t="s">
        <v>467</v>
      </c>
      <c r="O1691" t="s">
        <v>468</v>
      </c>
      <c r="P1691" t="s">
        <v>469</v>
      </c>
      <c r="R1691" t="s">
        <v>470</v>
      </c>
      <c r="T1691" t="s">
        <v>471</v>
      </c>
      <c r="U1691" t="s">
        <v>130</v>
      </c>
      <c r="V1691" t="s">
        <v>42</v>
      </c>
      <c r="W1691" t="s">
        <v>472</v>
      </c>
      <c r="X1691" t="s">
        <v>473</v>
      </c>
      <c r="Y1691" t="s">
        <v>36</v>
      </c>
    </row>
    <row r="1692" spans="1:25" x14ac:dyDescent="0.25">
      <c r="A1692">
        <v>10375</v>
      </c>
      <c r="B1692">
        <v>20</v>
      </c>
      <c r="C1692">
        <v>100</v>
      </c>
      <c r="D1692">
        <v>14</v>
      </c>
      <c r="E1692">
        <v>2046</v>
      </c>
      <c r="F1692" s="1">
        <v>38386</v>
      </c>
      <c r="G1692" t="s">
        <v>25</v>
      </c>
      <c r="H1692">
        <v>1</v>
      </c>
      <c r="I1692">
        <v>2</v>
      </c>
      <c r="J1692">
        <v>2005</v>
      </c>
      <c r="K1692" t="s">
        <v>26</v>
      </c>
      <c r="L1692">
        <v>69</v>
      </c>
      <c r="M1692" t="s">
        <v>630</v>
      </c>
      <c r="N1692" t="s">
        <v>114</v>
      </c>
      <c r="O1692" t="s">
        <v>115</v>
      </c>
      <c r="P1692" t="s">
        <v>116</v>
      </c>
      <c r="R1692" t="s">
        <v>117</v>
      </c>
      <c r="T1692">
        <v>44000</v>
      </c>
      <c r="U1692" t="s">
        <v>41</v>
      </c>
      <c r="V1692" t="s">
        <v>42</v>
      </c>
      <c r="W1692" t="s">
        <v>118</v>
      </c>
      <c r="X1692" t="s">
        <v>119</v>
      </c>
      <c r="Y1692" t="s">
        <v>36</v>
      </c>
    </row>
    <row r="1693" spans="1:25" x14ac:dyDescent="0.25">
      <c r="A1693">
        <v>10390</v>
      </c>
      <c r="B1693">
        <v>35</v>
      </c>
      <c r="C1693">
        <v>65.13</v>
      </c>
      <c r="D1693">
        <v>4</v>
      </c>
      <c r="E1693">
        <v>2279.5500000000002</v>
      </c>
      <c r="F1693" s="1">
        <v>38415</v>
      </c>
      <c r="G1693" t="s">
        <v>25</v>
      </c>
      <c r="H1693">
        <v>1</v>
      </c>
      <c r="I1693">
        <v>3</v>
      </c>
      <c r="J1693">
        <v>2005</v>
      </c>
      <c r="K1693" t="s">
        <v>26</v>
      </c>
      <c r="L1693">
        <v>69</v>
      </c>
      <c r="M1693" t="s">
        <v>630</v>
      </c>
      <c r="N1693" t="s">
        <v>272</v>
      </c>
      <c r="O1693">
        <v>4155551450</v>
      </c>
      <c r="P1693" t="s">
        <v>273</v>
      </c>
      <c r="R1693" t="s">
        <v>274</v>
      </c>
      <c r="S1693" t="s">
        <v>55</v>
      </c>
      <c r="T1693">
        <v>97562</v>
      </c>
      <c r="U1693" t="s">
        <v>32</v>
      </c>
      <c r="V1693" t="s">
        <v>33</v>
      </c>
      <c r="W1693" t="s">
        <v>275</v>
      </c>
      <c r="X1693" t="s">
        <v>276</v>
      </c>
      <c r="Y1693" t="s">
        <v>36</v>
      </c>
    </row>
    <row r="1694" spans="1:25" x14ac:dyDescent="0.25">
      <c r="A1694">
        <v>10403</v>
      </c>
      <c r="B1694">
        <v>27</v>
      </c>
      <c r="C1694">
        <v>79.650000000000006</v>
      </c>
      <c r="D1694">
        <v>4</v>
      </c>
      <c r="E1694">
        <v>2150.5500000000002</v>
      </c>
      <c r="F1694" s="1">
        <v>38450</v>
      </c>
      <c r="G1694" t="s">
        <v>25</v>
      </c>
      <c r="H1694">
        <v>2</v>
      </c>
      <c r="I1694">
        <v>4</v>
      </c>
      <c r="J1694">
        <v>2005</v>
      </c>
      <c r="K1694" t="s">
        <v>26</v>
      </c>
      <c r="L1694">
        <v>69</v>
      </c>
      <c r="M1694" t="s">
        <v>630</v>
      </c>
      <c r="N1694" t="s">
        <v>165</v>
      </c>
      <c r="O1694" t="s">
        <v>166</v>
      </c>
      <c r="P1694" t="s">
        <v>167</v>
      </c>
      <c r="R1694" t="s">
        <v>168</v>
      </c>
      <c r="T1694" t="s">
        <v>169</v>
      </c>
      <c r="U1694" t="s">
        <v>170</v>
      </c>
      <c r="V1694" t="s">
        <v>42</v>
      </c>
      <c r="W1694" t="s">
        <v>171</v>
      </c>
      <c r="X1694" t="s">
        <v>172</v>
      </c>
      <c r="Y1694" t="s">
        <v>36</v>
      </c>
    </row>
    <row r="1695" spans="1:25" x14ac:dyDescent="0.25">
      <c r="A1695">
        <v>10110</v>
      </c>
      <c r="B1695">
        <v>43</v>
      </c>
      <c r="C1695">
        <v>78.150000000000006</v>
      </c>
      <c r="D1695">
        <v>11</v>
      </c>
      <c r="E1695">
        <v>3360.45</v>
      </c>
      <c r="F1695" s="1">
        <v>37698</v>
      </c>
      <c r="G1695" t="s">
        <v>25</v>
      </c>
      <c r="H1695">
        <v>1</v>
      </c>
      <c r="I1695">
        <v>3</v>
      </c>
      <c r="J1695">
        <v>2003</v>
      </c>
      <c r="K1695" t="s">
        <v>181</v>
      </c>
      <c r="L1695">
        <v>90</v>
      </c>
      <c r="M1695" t="s">
        <v>631</v>
      </c>
      <c r="N1695" t="s">
        <v>492</v>
      </c>
      <c r="O1695" t="s">
        <v>493</v>
      </c>
      <c r="P1695" t="s">
        <v>494</v>
      </c>
      <c r="R1695" t="s">
        <v>495</v>
      </c>
      <c r="T1695" t="s">
        <v>496</v>
      </c>
      <c r="U1695" t="s">
        <v>170</v>
      </c>
      <c r="V1695" t="s">
        <v>42</v>
      </c>
      <c r="W1695" t="s">
        <v>497</v>
      </c>
      <c r="X1695" t="s">
        <v>94</v>
      </c>
      <c r="Y1695" t="s">
        <v>51</v>
      </c>
    </row>
    <row r="1696" spans="1:25" x14ac:dyDescent="0.25">
      <c r="A1696">
        <v>10124</v>
      </c>
      <c r="B1696">
        <v>32</v>
      </c>
      <c r="C1696">
        <v>72.7</v>
      </c>
      <c r="D1696">
        <v>10</v>
      </c>
      <c r="E1696">
        <v>2326.4</v>
      </c>
      <c r="F1696" s="1">
        <v>37762</v>
      </c>
      <c r="G1696" t="s">
        <v>25</v>
      </c>
      <c r="H1696">
        <v>2</v>
      </c>
      <c r="I1696">
        <v>5</v>
      </c>
      <c r="J1696">
        <v>2003</v>
      </c>
      <c r="K1696" t="s">
        <v>181</v>
      </c>
      <c r="L1696">
        <v>90</v>
      </c>
      <c r="M1696" t="s">
        <v>631</v>
      </c>
      <c r="N1696" t="s">
        <v>539</v>
      </c>
      <c r="O1696">
        <v>7025551838</v>
      </c>
      <c r="P1696" t="s">
        <v>540</v>
      </c>
      <c r="R1696" t="s">
        <v>541</v>
      </c>
      <c r="S1696" t="s">
        <v>542</v>
      </c>
      <c r="T1696">
        <v>83030</v>
      </c>
      <c r="U1696" t="s">
        <v>32</v>
      </c>
      <c r="V1696" t="s">
        <v>33</v>
      </c>
      <c r="W1696" t="s">
        <v>113</v>
      </c>
      <c r="X1696" t="s">
        <v>400</v>
      </c>
      <c r="Y1696" t="s">
        <v>36</v>
      </c>
    </row>
    <row r="1697" spans="1:25" x14ac:dyDescent="0.25">
      <c r="A1697">
        <v>10148</v>
      </c>
      <c r="B1697">
        <v>21</v>
      </c>
      <c r="C1697">
        <v>73.599999999999994</v>
      </c>
      <c r="D1697">
        <v>4</v>
      </c>
      <c r="E1697">
        <v>1545.6</v>
      </c>
      <c r="F1697" s="1">
        <v>37875</v>
      </c>
      <c r="G1697" t="s">
        <v>25</v>
      </c>
      <c r="H1697">
        <v>3</v>
      </c>
      <c r="I1697">
        <v>9</v>
      </c>
      <c r="J1697">
        <v>2003</v>
      </c>
      <c r="K1697" t="s">
        <v>181</v>
      </c>
      <c r="L1697">
        <v>90</v>
      </c>
      <c r="M1697" t="s">
        <v>631</v>
      </c>
      <c r="N1697" t="s">
        <v>285</v>
      </c>
      <c r="O1697" t="s">
        <v>286</v>
      </c>
      <c r="P1697" t="s">
        <v>287</v>
      </c>
      <c r="Q1697" t="s">
        <v>288</v>
      </c>
      <c r="R1697" t="s">
        <v>289</v>
      </c>
      <c r="S1697" t="s">
        <v>157</v>
      </c>
      <c r="T1697">
        <v>2060</v>
      </c>
      <c r="U1697" t="s">
        <v>95</v>
      </c>
      <c r="V1697" t="s">
        <v>96</v>
      </c>
      <c r="W1697" t="s">
        <v>290</v>
      </c>
      <c r="X1697" t="s">
        <v>291</v>
      </c>
      <c r="Y1697" t="s">
        <v>36</v>
      </c>
    </row>
    <row r="1698" spans="1:25" x14ac:dyDescent="0.25">
      <c r="A1698">
        <v>10161</v>
      </c>
      <c r="B1698">
        <v>20</v>
      </c>
      <c r="C1698">
        <v>100</v>
      </c>
      <c r="D1698">
        <v>3</v>
      </c>
      <c r="E1698">
        <v>2144.6</v>
      </c>
      <c r="F1698" s="1">
        <v>37911</v>
      </c>
      <c r="G1698" t="s">
        <v>25</v>
      </c>
      <c r="H1698">
        <v>4</v>
      </c>
      <c r="I1698">
        <v>10</v>
      </c>
      <c r="J1698">
        <v>2003</v>
      </c>
      <c r="K1698" t="s">
        <v>181</v>
      </c>
      <c r="L1698">
        <v>90</v>
      </c>
      <c r="M1698" t="s">
        <v>631</v>
      </c>
      <c r="N1698" t="s">
        <v>498</v>
      </c>
      <c r="O1698" t="s">
        <v>499</v>
      </c>
      <c r="P1698" t="s">
        <v>500</v>
      </c>
      <c r="R1698" t="s">
        <v>501</v>
      </c>
      <c r="T1698">
        <v>8200</v>
      </c>
      <c r="U1698" t="s">
        <v>326</v>
      </c>
      <c r="V1698" t="s">
        <v>42</v>
      </c>
      <c r="W1698" t="s">
        <v>502</v>
      </c>
      <c r="X1698" t="s">
        <v>503</v>
      </c>
      <c r="Y1698" t="s">
        <v>36</v>
      </c>
    </row>
    <row r="1699" spans="1:25" x14ac:dyDescent="0.25">
      <c r="A1699">
        <v>10172</v>
      </c>
      <c r="B1699">
        <v>22</v>
      </c>
      <c r="C1699">
        <v>74.510000000000005</v>
      </c>
      <c r="D1699">
        <v>1</v>
      </c>
      <c r="E1699">
        <v>1639.22</v>
      </c>
      <c r="F1699" s="1">
        <v>37930</v>
      </c>
      <c r="G1699" t="s">
        <v>25</v>
      </c>
      <c r="H1699">
        <v>4</v>
      </c>
      <c r="I1699">
        <v>11</v>
      </c>
      <c r="J1699">
        <v>2003</v>
      </c>
      <c r="K1699" t="s">
        <v>181</v>
      </c>
      <c r="L1699">
        <v>90</v>
      </c>
      <c r="M1699" t="s">
        <v>631</v>
      </c>
      <c r="N1699" t="s">
        <v>109</v>
      </c>
      <c r="O1699">
        <v>2035552570</v>
      </c>
      <c r="P1699" t="s">
        <v>110</v>
      </c>
      <c r="R1699" t="s">
        <v>111</v>
      </c>
      <c r="S1699" t="s">
        <v>112</v>
      </c>
      <c r="T1699">
        <v>97562</v>
      </c>
      <c r="U1699" t="s">
        <v>32</v>
      </c>
      <c r="V1699" t="s">
        <v>33</v>
      </c>
      <c r="W1699" t="s">
        <v>113</v>
      </c>
      <c r="X1699" t="s">
        <v>57</v>
      </c>
      <c r="Y1699" t="s">
        <v>36</v>
      </c>
    </row>
    <row r="1700" spans="1:25" x14ac:dyDescent="0.25">
      <c r="A1700">
        <v>10182</v>
      </c>
      <c r="B1700">
        <v>36</v>
      </c>
      <c r="C1700">
        <v>73.599999999999994</v>
      </c>
      <c r="D1700">
        <v>14</v>
      </c>
      <c r="E1700">
        <v>2649.6</v>
      </c>
      <c r="F1700" s="1">
        <v>37937</v>
      </c>
      <c r="G1700" t="s">
        <v>25</v>
      </c>
      <c r="H1700">
        <v>4</v>
      </c>
      <c r="I1700">
        <v>11</v>
      </c>
      <c r="J1700">
        <v>2003</v>
      </c>
      <c r="K1700" t="s">
        <v>181</v>
      </c>
      <c r="L1700">
        <v>90</v>
      </c>
      <c r="M1700" t="s">
        <v>631</v>
      </c>
      <c r="N1700" t="s">
        <v>272</v>
      </c>
      <c r="O1700">
        <v>4155551450</v>
      </c>
      <c r="P1700" t="s">
        <v>273</v>
      </c>
      <c r="R1700" t="s">
        <v>274</v>
      </c>
      <c r="S1700" t="s">
        <v>55</v>
      </c>
      <c r="T1700">
        <v>97562</v>
      </c>
      <c r="U1700" t="s">
        <v>32</v>
      </c>
      <c r="V1700" t="s">
        <v>33</v>
      </c>
      <c r="W1700" t="s">
        <v>275</v>
      </c>
      <c r="X1700" t="s">
        <v>276</v>
      </c>
      <c r="Y1700" t="s">
        <v>36</v>
      </c>
    </row>
    <row r="1701" spans="1:25" x14ac:dyDescent="0.25">
      <c r="A1701">
        <v>10192</v>
      </c>
      <c r="B1701">
        <v>46</v>
      </c>
      <c r="C1701">
        <v>83.6</v>
      </c>
      <c r="D1701">
        <v>2</v>
      </c>
      <c r="E1701">
        <v>3845.6</v>
      </c>
      <c r="F1701" s="1">
        <v>37945</v>
      </c>
      <c r="G1701" t="s">
        <v>25</v>
      </c>
      <c r="H1701">
        <v>4</v>
      </c>
      <c r="I1701">
        <v>11</v>
      </c>
      <c r="J1701">
        <v>2003</v>
      </c>
      <c r="K1701" t="s">
        <v>181</v>
      </c>
      <c r="L1701">
        <v>90</v>
      </c>
      <c r="M1701" t="s">
        <v>631</v>
      </c>
      <c r="N1701" t="s">
        <v>277</v>
      </c>
      <c r="O1701">
        <v>6035558647</v>
      </c>
      <c r="P1701" t="s">
        <v>278</v>
      </c>
      <c r="R1701" t="s">
        <v>279</v>
      </c>
      <c r="S1701" t="s">
        <v>280</v>
      </c>
      <c r="T1701">
        <v>62005</v>
      </c>
      <c r="U1701" t="s">
        <v>32</v>
      </c>
      <c r="V1701" t="s">
        <v>33</v>
      </c>
      <c r="W1701" t="s">
        <v>56</v>
      </c>
      <c r="X1701" t="s">
        <v>276</v>
      </c>
      <c r="Y1701" t="s">
        <v>51</v>
      </c>
    </row>
    <row r="1702" spans="1:25" x14ac:dyDescent="0.25">
      <c r="A1702">
        <v>10204</v>
      </c>
      <c r="B1702">
        <v>47</v>
      </c>
      <c r="C1702">
        <v>96.32</v>
      </c>
      <c r="D1702">
        <v>8</v>
      </c>
      <c r="E1702">
        <v>4527.04</v>
      </c>
      <c r="F1702" s="1">
        <v>37957</v>
      </c>
      <c r="G1702" t="s">
        <v>25</v>
      </c>
      <c r="H1702">
        <v>4</v>
      </c>
      <c r="I1702">
        <v>12</v>
      </c>
      <c r="J1702">
        <v>2003</v>
      </c>
      <c r="K1702" t="s">
        <v>181</v>
      </c>
      <c r="L1702">
        <v>90</v>
      </c>
      <c r="M1702" t="s">
        <v>631</v>
      </c>
      <c r="N1702" t="s">
        <v>475</v>
      </c>
      <c r="O1702">
        <v>2125557413</v>
      </c>
      <c r="P1702" t="s">
        <v>476</v>
      </c>
      <c r="Q1702" t="s">
        <v>477</v>
      </c>
      <c r="R1702" t="s">
        <v>30</v>
      </c>
      <c r="S1702" t="s">
        <v>31</v>
      </c>
      <c r="T1702">
        <v>10022</v>
      </c>
      <c r="U1702" t="s">
        <v>32</v>
      </c>
      <c r="V1702" t="s">
        <v>33</v>
      </c>
      <c r="W1702" t="s">
        <v>56</v>
      </c>
      <c r="X1702" t="s">
        <v>478</v>
      </c>
      <c r="Y1702" t="s">
        <v>51</v>
      </c>
    </row>
    <row r="1703" spans="1:25" x14ac:dyDescent="0.25">
      <c r="A1703">
        <v>10212</v>
      </c>
      <c r="B1703">
        <v>45</v>
      </c>
      <c r="C1703">
        <v>88.14</v>
      </c>
      <c r="D1703">
        <v>1</v>
      </c>
      <c r="E1703">
        <v>3966.3</v>
      </c>
      <c r="F1703" s="1">
        <v>38002</v>
      </c>
      <c r="G1703" t="s">
        <v>25</v>
      </c>
      <c r="H1703">
        <v>1</v>
      </c>
      <c r="I1703">
        <v>1</v>
      </c>
      <c r="J1703">
        <v>2004</v>
      </c>
      <c r="K1703" t="s">
        <v>181</v>
      </c>
      <c r="L1703">
        <v>90</v>
      </c>
      <c r="M1703" t="s">
        <v>631</v>
      </c>
      <c r="N1703" t="s">
        <v>174</v>
      </c>
      <c r="O1703" t="s">
        <v>175</v>
      </c>
      <c r="P1703" t="s">
        <v>176</v>
      </c>
      <c r="R1703" t="s">
        <v>177</v>
      </c>
      <c r="T1703">
        <v>28034</v>
      </c>
      <c r="U1703" t="s">
        <v>178</v>
      </c>
      <c r="V1703" t="s">
        <v>42</v>
      </c>
      <c r="W1703" t="s">
        <v>179</v>
      </c>
      <c r="X1703" t="s">
        <v>180</v>
      </c>
      <c r="Y1703" t="s">
        <v>51</v>
      </c>
    </row>
    <row r="1704" spans="1:25" x14ac:dyDescent="0.25">
      <c r="A1704">
        <v>10227</v>
      </c>
      <c r="B1704">
        <v>47</v>
      </c>
      <c r="C1704">
        <v>88.14</v>
      </c>
      <c r="D1704">
        <v>14</v>
      </c>
      <c r="E1704">
        <v>4142.58</v>
      </c>
      <c r="F1704" s="1">
        <v>38048</v>
      </c>
      <c r="G1704" t="s">
        <v>25</v>
      </c>
      <c r="H1704">
        <v>1</v>
      </c>
      <c r="I1704">
        <v>3</v>
      </c>
      <c r="J1704">
        <v>2004</v>
      </c>
      <c r="K1704" t="s">
        <v>181</v>
      </c>
      <c r="L1704">
        <v>90</v>
      </c>
      <c r="M1704" t="s">
        <v>631</v>
      </c>
      <c r="N1704" t="s">
        <v>219</v>
      </c>
      <c r="O1704" t="s">
        <v>220</v>
      </c>
      <c r="P1704" t="s">
        <v>221</v>
      </c>
      <c r="R1704" t="s">
        <v>222</v>
      </c>
      <c r="T1704">
        <v>69004</v>
      </c>
      <c r="U1704" t="s">
        <v>41</v>
      </c>
      <c r="V1704" t="s">
        <v>42</v>
      </c>
      <c r="W1704" t="s">
        <v>223</v>
      </c>
      <c r="X1704" t="s">
        <v>224</v>
      </c>
      <c r="Y1704" t="s">
        <v>51</v>
      </c>
    </row>
    <row r="1705" spans="1:25" x14ac:dyDescent="0.25">
      <c r="A1705">
        <v>10241</v>
      </c>
      <c r="B1705">
        <v>47</v>
      </c>
      <c r="C1705">
        <v>94.5</v>
      </c>
      <c r="D1705">
        <v>6</v>
      </c>
      <c r="E1705">
        <v>4441.5</v>
      </c>
      <c r="F1705" s="1">
        <v>38090</v>
      </c>
      <c r="G1705" t="s">
        <v>25</v>
      </c>
      <c r="H1705">
        <v>2</v>
      </c>
      <c r="I1705">
        <v>4</v>
      </c>
      <c r="J1705">
        <v>2004</v>
      </c>
      <c r="K1705" t="s">
        <v>181</v>
      </c>
      <c r="L1705">
        <v>90</v>
      </c>
      <c r="M1705" t="s">
        <v>631</v>
      </c>
      <c r="N1705" t="s">
        <v>531</v>
      </c>
      <c r="O1705" t="s">
        <v>532</v>
      </c>
      <c r="P1705" t="s">
        <v>533</v>
      </c>
      <c r="R1705" t="s">
        <v>534</v>
      </c>
      <c r="T1705">
        <v>67000</v>
      </c>
      <c r="U1705" t="s">
        <v>41</v>
      </c>
      <c r="V1705" t="s">
        <v>42</v>
      </c>
      <c r="W1705" t="s">
        <v>535</v>
      </c>
      <c r="X1705" t="s">
        <v>536</v>
      </c>
      <c r="Y1705" t="s">
        <v>51</v>
      </c>
    </row>
    <row r="1706" spans="1:25" x14ac:dyDescent="0.25">
      <c r="A1706">
        <v>10267</v>
      </c>
      <c r="B1706">
        <v>38</v>
      </c>
      <c r="C1706">
        <v>87.24</v>
      </c>
      <c r="D1706">
        <v>3</v>
      </c>
      <c r="E1706">
        <v>3315.12</v>
      </c>
      <c r="F1706" s="1">
        <v>38175</v>
      </c>
      <c r="G1706" t="s">
        <v>25</v>
      </c>
      <c r="H1706">
        <v>3</v>
      </c>
      <c r="I1706">
        <v>7</v>
      </c>
      <c r="J1706">
        <v>2004</v>
      </c>
      <c r="K1706" t="s">
        <v>181</v>
      </c>
      <c r="L1706">
        <v>90</v>
      </c>
      <c r="M1706" t="s">
        <v>631</v>
      </c>
      <c r="N1706" t="s">
        <v>475</v>
      </c>
      <c r="O1706">
        <v>2125557413</v>
      </c>
      <c r="P1706" t="s">
        <v>476</v>
      </c>
      <c r="Q1706" t="s">
        <v>477</v>
      </c>
      <c r="R1706" t="s">
        <v>30</v>
      </c>
      <c r="S1706" t="s">
        <v>31</v>
      </c>
      <c r="T1706">
        <v>10022</v>
      </c>
      <c r="U1706" t="s">
        <v>32</v>
      </c>
      <c r="V1706" t="s">
        <v>33</v>
      </c>
      <c r="W1706" t="s">
        <v>56</v>
      </c>
      <c r="X1706" t="s">
        <v>478</v>
      </c>
      <c r="Y1706" t="s">
        <v>51</v>
      </c>
    </row>
    <row r="1707" spans="1:25" x14ac:dyDescent="0.25">
      <c r="A1707">
        <v>10279</v>
      </c>
      <c r="B1707">
        <v>49</v>
      </c>
      <c r="C1707">
        <v>79.97</v>
      </c>
      <c r="D1707">
        <v>3</v>
      </c>
      <c r="E1707">
        <v>3918.53</v>
      </c>
      <c r="F1707" s="1">
        <v>38208</v>
      </c>
      <c r="G1707" t="s">
        <v>25</v>
      </c>
      <c r="H1707">
        <v>3</v>
      </c>
      <c r="I1707">
        <v>8</v>
      </c>
      <c r="J1707">
        <v>2004</v>
      </c>
      <c r="K1707" t="s">
        <v>181</v>
      </c>
      <c r="L1707">
        <v>90</v>
      </c>
      <c r="M1707" t="s">
        <v>631</v>
      </c>
      <c r="N1707" t="s">
        <v>174</v>
      </c>
      <c r="O1707" t="s">
        <v>175</v>
      </c>
      <c r="P1707" t="s">
        <v>176</v>
      </c>
      <c r="R1707" t="s">
        <v>177</v>
      </c>
      <c r="T1707">
        <v>28034</v>
      </c>
      <c r="U1707" t="s">
        <v>178</v>
      </c>
      <c r="V1707" t="s">
        <v>42</v>
      </c>
      <c r="W1707" t="s">
        <v>179</v>
      </c>
      <c r="X1707" t="s">
        <v>180</v>
      </c>
      <c r="Y1707" t="s">
        <v>51</v>
      </c>
    </row>
    <row r="1708" spans="1:25" x14ac:dyDescent="0.25">
      <c r="A1708">
        <v>10288</v>
      </c>
      <c r="B1708">
        <v>35</v>
      </c>
      <c r="C1708">
        <v>80.87</v>
      </c>
      <c r="D1708">
        <v>9</v>
      </c>
      <c r="E1708">
        <v>2830.45</v>
      </c>
      <c r="F1708" s="1">
        <v>38231</v>
      </c>
      <c r="G1708" t="s">
        <v>25</v>
      </c>
      <c r="H1708">
        <v>3</v>
      </c>
      <c r="I1708">
        <v>9</v>
      </c>
      <c r="J1708">
        <v>2004</v>
      </c>
      <c r="K1708" t="s">
        <v>181</v>
      </c>
      <c r="L1708">
        <v>90</v>
      </c>
      <c r="M1708" t="s">
        <v>631</v>
      </c>
      <c r="N1708" t="s">
        <v>418</v>
      </c>
      <c r="O1708" t="s">
        <v>419</v>
      </c>
      <c r="P1708" t="s">
        <v>420</v>
      </c>
      <c r="Q1708" t="s">
        <v>421</v>
      </c>
      <c r="R1708" t="s">
        <v>199</v>
      </c>
      <c r="T1708">
        <v>69045</v>
      </c>
      <c r="U1708" t="s">
        <v>199</v>
      </c>
      <c r="V1708" t="s">
        <v>96</v>
      </c>
      <c r="W1708" t="s">
        <v>422</v>
      </c>
      <c r="X1708" t="s">
        <v>423</v>
      </c>
      <c r="Y1708" t="s">
        <v>36</v>
      </c>
    </row>
    <row r="1709" spans="1:25" x14ac:dyDescent="0.25">
      <c r="A1709">
        <v>10302</v>
      </c>
      <c r="B1709">
        <v>49</v>
      </c>
      <c r="C1709">
        <v>100</v>
      </c>
      <c r="D1709">
        <v>5</v>
      </c>
      <c r="E1709">
        <v>5298.86</v>
      </c>
      <c r="F1709" s="1">
        <v>37900</v>
      </c>
      <c r="G1709" t="s">
        <v>25</v>
      </c>
      <c r="H1709">
        <v>4</v>
      </c>
      <c r="I1709">
        <v>10</v>
      </c>
      <c r="J1709">
        <v>2003</v>
      </c>
      <c r="K1709" t="s">
        <v>181</v>
      </c>
      <c r="L1709">
        <v>90</v>
      </c>
      <c r="M1709" t="s">
        <v>631</v>
      </c>
      <c r="N1709" t="s">
        <v>165</v>
      </c>
      <c r="O1709" t="s">
        <v>166</v>
      </c>
      <c r="P1709" t="s">
        <v>167</v>
      </c>
      <c r="R1709" t="s">
        <v>168</v>
      </c>
      <c r="T1709" t="s">
        <v>169</v>
      </c>
      <c r="U1709" t="s">
        <v>170</v>
      </c>
      <c r="V1709" t="s">
        <v>42</v>
      </c>
      <c r="W1709" t="s">
        <v>171</v>
      </c>
      <c r="X1709" t="s">
        <v>172</v>
      </c>
      <c r="Y1709" t="s">
        <v>51</v>
      </c>
    </row>
    <row r="1710" spans="1:25" x14ac:dyDescent="0.25">
      <c r="A1710">
        <v>10311</v>
      </c>
      <c r="B1710">
        <v>28</v>
      </c>
      <c r="C1710">
        <v>93.6</v>
      </c>
      <c r="D1710">
        <v>4</v>
      </c>
      <c r="E1710">
        <v>2620.8000000000002</v>
      </c>
      <c r="F1710" s="1">
        <v>38276</v>
      </c>
      <c r="G1710" t="s">
        <v>25</v>
      </c>
      <c r="H1710">
        <v>4</v>
      </c>
      <c r="I1710">
        <v>10</v>
      </c>
      <c r="J1710">
        <v>2004</v>
      </c>
      <c r="K1710" t="s">
        <v>181</v>
      </c>
      <c r="L1710">
        <v>90</v>
      </c>
      <c r="M1710" t="s">
        <v>631</v>
      </c>
      <c r="N1710" t="s">
        <v>174</v>
      </c>
      <c r="O1710" t="s">
        <v>175</v>
      </c>
      <c r="P1710" t="s">
        <v>176</v>
      </c>
      <c r="R1710" t="s">
        <v>177</v>
      </c>
      <c r="T1710">
        <v>28034</v>
      </c>
      <c r="U1710" t="s">
        <v>178</v>
      </c>
      <c r="V1710" t="s">
        <v>42</v>
      </c>
      <c r="W1710" t="s">
        <v>179</v>
      </c>
      <c r="X1710" t="s">
        <v>180</v>
      </c>
      <c r="Y1710" t="s">
        <v>36</v>
      </c>
    </row>
    <row r="1711" spans="1:25" x14ac:dyDescent="0.25">
      <c r="A1711">
        <v>10321</v>
      </c>
      <c r="B1711">
        <v>30</v>
      </c>
      <c r="C1711">
        <v>72.7</v>
      </c>
      <c r="D1711">
        <v>1</v>
      </c>
      <c r="E1711">
        <v>2181</v>
      </c>
      <c r="F1711" s="1">
        <v>38295</v>
      </c>
      <c r="G1711" t="s">
        <v>25</v>
      </c>
      <c r="H1711">
        <v>4</v>
      </c>
      <c r="I1711">
        <v>11</v>
      </c>
      <c r="J1711">
        <v>2004</v>
      </c>
      <c r="K1711" t="s">
        <v>181</v>
      </c>
      <c r="L1711">
        <v>90</v>
      </c>
      <c r="M1711" t="s">
        <v>631</v>
      </c>
      <c r="N1711" t="s">
        <v>160</v>
      </c>
      <c r="O1711">
        <v>5085552555</v>
      </c>
      <c r="P1711" t="s">
        <v>161</v>
      </c>
      <c r="R1711" t="s">
        <v>162</v>
      </c>
      <c r="S1711" t="s">
        <v>123</v>
      </c>
      <c r="T1711">
        <v>50553</v>
      </c>
      <c r="U1711" t="s">
        <v>32</v>
      </c>
      <c r="V1711" t="s">
        <v>33</v>
      </c>
      <c r="W1711" t="s">
        <v>163</v>
      </c>
      <c r="X1711" t="s">
        <v>164</v>
      </c>
      <c r="Y1711" t="s">
        <v>36</v>
      </c>
    </row>
    <row r="1712" spans="1:25" x14ac:dyDescent="0.25">
      <c r="A1712">
        <v>10332</v>
      </c>
      <c r="B1712">
        <v>39</v>
      </c>
      <c r="C1712">
        <v>86.72</v>
      </c>
      <c r="D1712">
        <v>7</v>
      </c>
      <c r="E1712">
        <v>3382.08</v>
      </c>
      <c r="F1712" s="1">
        <v>38308</v>
      </c>
      <c r="G1712" t="s">
        <v>25</v>
      </c>
      <c r="H1712">
        <v>4</v>
      </c>
      <c r="I1712">
        <v>11</v>
      </c>
      <c r="J1712">
        <v>2004</v>
      </c>
      <c r="K1712" t="s">
        <v>181</v>
      </c>
      <c r="L1712">
        <v>90</v>
      </c>
      <c r="M1712" t="s">
        <v>631</v>
      </c>
      <c r="N1712" t="s">
        <v>492</v>
      </c>
      <c r="O1712" t="s">
        <v>493</v>
      </c>
      <c r="P1712" t="s">
        <v>494</v>
      </c>
      <c r="R1712" t="s">
        <v>495</v>
      </c>
      <c r="T1712" t="s">
        <v>496</v>
      </c>
      <c r="U1712" t="s">
        <v>170</v>
      </c>
      <c r="V1712" t="s">
        <v>42</v>
      </c>
      <c r="W1712" t="s">
        <v>497</v>
      </c>
      <c r="X1712" t="s">
        <v>94</v>
      </c>
      <c r="Y1712" t="s">
        <v>51</v>
      </c>
    </row>
    <row r="1713" spans="1:25" x14ac:dyDescent="0.25">
      <c r="A1713">
        <v>10346</v>
      </c>
      <c r="B1713">
        <v>25</v>
      </c>
      <c r="C1713">
        <v>100</v>
      </c>
      <c r="D1713">
        <v>1</v>
      </c>
      <c r="E1713">
        <v>2876.75</v>
      </c>
      <c r="F1713" s="1">
        <v>38320</v>
      </c>
      <c r="G1713" t="s">
        <v>25</v>
      </c>
      <c r="H1713">
        <v>4</v>
      </c>
      <c r="I1713">
        <v>11</v>
      </c>
      <c r="J1713">
        <v>2004</v>
      </c>
      <c r="K1713" t="s">
        <v>181</v>
      </c>
      <c r="L1713">
        <v>90</v>
      </c>
      <c r="M1713" t="s">
        <v>631</v>
      </c>
      <c r="N1713" t="s">
        <v>539</v>
      </c>
      <c r="O1713">
        <v>7025551838</v>
      </c>
      <c r="P1713" t="s">
        <v>540</v>
      </c>
      <c r="R1713" t="s">
        <v>541</v>
      </c>
      <c r="S1713" t="s">
        <v>542</v>
      </c>
      <c r="T1713">
        <v>83030</v>
      </c>
      <c r="U1713" t="s">
        <v>32</v>
      </c>
      <c r="V1713" t="s">
        <v>33</v>
      </c>
      <c r="W1713" t="s">
        <v>113</v>
      </c>
      <c r="X1713" t="s">
        <v>400</v>
      </c>
      <c r="Y1713" t="s">
        <v>36</v>
      </c>
    </row>
    <row r="1714" spans="1:25" x14ac:dyDescent="0.25">
      <c r="A1714">
        <v>10368</v>
      </c>
      <c r="B1714">
        <v>40</v>
      </c>
      <c r="C1714">
        <v>100</v>
      </c>
      <c r="D1714">
        <v>2</v>
      </c>
      <c r="E1714">
        <v>4107.2</v>
      </c>
      <c r="F1714" s="1">
        <v>38371</v>
      </c>
      <c r="G1714" t="s">
        <v>25</v>
      </c>
      <c r="H1714">
        <v>1</v>
      </c>
      <c r="I1714">
        <v>1</v>
      </c>
      <c r="J1714">
        <v>2005</v>
      </c>
      <c r="K1714" t="s">
        <v>181</v>
      </c>
      <c r="L1714">
        <v>90</v>
      </c>
      <c r="M1714" t="s">
        <v>631</v>
      </c>
      <c r="N1714" t="s">
        <v>272</v>
      </c>
      <c r="O1714">
        <v>4155551450</v>
      </c>
      <c r="P1714" t="s">
        <v>273</v>
      </c>
      <c r="R1714" t="s">
        <v>274</v>
      </c>
      <c r="S1714" t="s">
        <v>55</v>
      </c>
      <c r="T1714">
        <v>97562</v>
      </c>
      <c r="U1714" t="s">
        <v>32</v>
      </c>
      <c r="V1714" t="s">
        <v>33</v>
      </c>
      <c r="W1714" t="s">
        <v>275</v>
      </c>
      <c r="X1714" t="s">
        <v>276</v>
      </c>
      <c r="Y1714" t="s">
        <v>51</v>
      </c>
    </row>
    <row r="1715" spans="1:25" x14ac:dyDescent="0.25">
      <c r="A1715">
        <v>10380</v>
      </c>
      <c r="B1715">
        <v>36</v>
      </c>
      <c r="C1715">
        <v>37.5</v>
      </c>
      <c r="D1715">
        <v>6</v>
      </c>
      <c r="E1715">
        <v>1350</v>
      </c>
      <c r="F1715" s="1">
        <v>38399</v>
      </c>
      <c r="G1715" t="s">
        <v>25</v>
      </c>
      <c r="H1715">
        <v>1</v>
      </c>
      <c r="I1715">
        <v>2</v>
      </c>
      <c r="J1715">
        <v>2005</v>
      </c>
      <c r="K1715" t="s">
        <v>181</v>
      </c>
      <c r="L1715">
        <v>90</v>
      </c>
      <c r="M1715" t="s">
        <v>631</v>
      </c>
      <c r="N1715" t="s">
        <v>174</v>
      </c>
      <c r="O1715" t="s">
        <v>175</v>
      </c>
      <c r="P1715" t="s">
        <v>176</v>
      </c>
      <c r="R1715" t="s">
        <v>177</v>
      </c>
      <c r="T1715">
        <v>28034</v>
      </c>
      <c r="U1715" t="s">
        <v>178</v>
      </c>
      <c r="V1715" t="s">
        <v>42</v>
      </c>
      <c r="W1715" t="s">
        <v>179</v>
      </c>
      <c r="X1715" t="s">
        <v>180</v>
      </c>
      <c r="Y1715" t="s">
        <v>36</v>
      </c>
    </row>
    <row r="1716" spans="1:25" x14ac:dyDescent="0.25">
      <c r="A1716">
        <v>10407</v>
      </c>
      <c r="B1716">
        <v>76</v>
      </c>
      <c r="C1716">
        <v>94.5</v>
      </c>
      <c r="D1716">
        <v>6</v>
      </c>
      <c r="E1716">
        <v>7182</v>
      </c>
      <c r="F1716" s="1">
        <v>38464</v>
      </c>
      <c r="G1716" t="s">
        <v>401</v>
      </c>
      <c r="H1716">
        <v>2</v>
      </c>
      <c r="I1716">
        <v>4</v>
      </c>
      <c r="J1716">
        <v>2005</v>
      </c>
      <c r="K1716" t="s">
        <v>181</v>
      </c>
      <c r="L1716">
        <v>90</v>
      </c>
      <c r="M1716" t="s">
        <v>631</v>
      </c>
      <c r="N1716" t="s">
        <v>397</v>
      </c>
      <c r="O1716">
        <v>4085553659</v>
      </c>
      <c r="P1716" t="s">
        <v>398</v>
      </c>
      <c r="R1716" t="s">
        <v>399</v>
      </c>
      <c r="S1716" t="s">
        <v>55</v>
      </c>
      <c r="T1716">
        <v>94217</v>
      </c>
      <c r="U1716" t="s">
        <v>32</v>
      </c>
      <c r="V1716" t="s">
        <v>33</v>
      </c>
      <c r="W1716" t="s">
        <v>102</v>
      </c>
      <c r="X1716" t="s">
        <v>400</v>
      </c>
      <c r="Y1716" t="s">
        <v>151</v>
      </c>
    </row>
    <row r="1717" spans="1:25" x14ac:dyDescent="0.25">
      <c r="A1717">
        <v>10420</v>
      </c>
      <c r="B1717">
        <v>39</v>
      </c>
      <c r="C1717">
        <v>100</v>
      </c>
      <c r="D1717">
        <v>9</v>
      </c>
      <c r="E1717">
        <v>3933.93</v>
      </c>
      <c r="F1717" s="1">
        <v>38501</v>
      </c>
      <c r="G1717" t="s">
        <v>300</v>
      </c>
      <c r="H1717">
        <v>2</v>
      </c>
      <c r="I1717">
        <v>5</v>
      </c>
      <c r="J1717">
        <v>2005</v>
      </c>
      <c r="K1717" t="s">
        <v>181</v>
      </c>
      <c r="L1717">
        <v>90</v>
      </c>
      <c r="M1717" t="s">
        <v>631</v>
      </c>
      <c r="N1717" t="s">
        <v>152</v>
      </c>
      <c r="O1717" t="s">
        <v>153</v>
      </c>
      <c r="P1717" t="s">
        <v>154</v>
      </c>
      <c r="Q1717" t="s">
        <v>155</v>
      </c>
      <c r="R1717" t="s">
        <v>156</v>
      </c>
      <c r="S1717" t="s">
        <v>157</v>
      </c>
      <c r="T1717">
        <v>2067</v>
      </c>
      <c r="U1717" t="s">
        <v>95</v>
      </c>
      <c r="V1717" t="s">
        <v>96</v>
      </c>
      <c r="W1717" t="s">
        <v>158</v>
      </c>
      <c r="X1717" t="s">
        <v>159</v>
      </c>
      <c r="Y1717" t="s">
        <v>51</v>
      </c>
    </row>
    <row r="1718" spans="1:25" x14ac:dyDescent="0.25">
      <c r="A1718">
        <v>10104</v>
      </c>
      <c r="B1718">
        <v>44</v>
      </c>
      <c r="C1718">
        <v>39.6</v>
      </c>
      <c r="D1718">
        <v>10</v>
      </c>
      <c r="E1718">
        <v>1742.4</v>
      </c>
      <c r="F1718" s="1">
        <v>37652</v>
      </c>
      <c r="G1718" t="s">
        <v>25</v>
      </c>
      <c r="H1718">
        <v>1</v>
      </c>
      <c r="I1718">
        <v>1</v>
      </c>
      <c r="J1718">
        <v>2003</v>
      </c>
      <c r="K1718" t="s">
        <v>181</v>
      </c>
      <c r="L1718">
        <v>35</v>
      </c>
      <c r="M1718" t="s">
        <v>632</v>
      </c>
      <c r="N1718" t="s">
        <v>174</v>
      </c>
      <c r="O1718" t="s">
        <v>175</v>
      </c>
      <c r="P1718" t="s">
        <v>176</v>
      </c>
      <c r="R1718" t="s">
        <v>177</v>
      </c>
      <c r="T1718">
        <v>28034</v>
      </c>
      <c r="U1718" t="s">
        <v>178</v>
      </c>
      <c r="V1718" t="s">
        <v>42</v>
      </c>
      <c r="W1718" t="s">
        <v>179</v>
      </c>
      <c r="X1718" t="s">
        <v>180</v>
      </c>
      <c r="Y1718" t="s">
        <v>36</v>
      </c>
    </row>
    <row r="1719" spans="1:25" x14ac:dyDescent="0.25">
      <c r="A1719">
        <v>10114</v>
      </c>
      <c r="B1719">
        <v>24</v>
      </c>
      <c r="C1719">
        <v>30.06</v>
      </c>
      <c r="D1719">
        <v>1</v>
      </c>
      <c r="E1719">
        <v>721.44</v>
      </c>
      <c r="F1719" s="1">
        <v>37712</v>
      </c>
      <c r="G1719" t="s">
        <v>25</v>
      </c>
      <c r="H1719">
        <v>2</v>
      </c>
      <c r="I1719">
        <v>4</v>
      </c>
      <c r="J1719">
        <v>2003</v>
      </c>
      <c r="K1719" t="s">
        <v>181</v>
      </c>
      <c r="L1719">
        <v>35</v>
      </c>
      <c r="M1719" t="s">
        <v>632</v>
      </c>
      <c r="N1719" t="s">
        <v>403</v>
      </c>
      <c r="O1719" t="s">
        <v>404</v>
      </c>
      <c r="P1719" t="s">
        <v>405</v>
      </c>
      <c r="R1719" t="s">
        <v>48</v>
      </c>
      <c r="T1719">
        <v>75012</v>
      </c>
      <c r="U1719" t="s">
        <v>41</v>
      </c>
      <c r="V1719" t="s">
        <v>42</v>
      </c>
      <c r="W1719" t="s">
        <v>406</v>
      </c>
      <c r="X1719" t="s">
        <v>407</v>
      </c>
      <c r="Y1719" t="s">
        <v>36</v>
      </c>
    </row>
    <row r="1720" spans="1:25" x14ac:dyDescent="0.25">
      <c r="A1720">
        <v>10127</v>
      </c>
      <c r="B1720">
        <v>39</v>
      </c>
      <c r="C1720">
        <v>38.19</v>
      </c>
      <c r="D1720">
        <v>12</v>
      </c>
      <c r="E1720">
        <v>1489.41</v>
      </c>
      <c r="F1720" s="1">
        <v>37775</v>
      </c>
      <c r="G1720" t="s">
        <v>25</v>
      </c>
      <c r="H1720">
        <v>2</v>
      </c>
      <c r="I1720">
        <v>6</v>
      </c>
      <c r="J1720">
        <v>2003</v>
      </c>
      <c r="K1720" t="s">
        <v>181</v>
      </c>
      <c r="L1720">
        <v>35</v>
      </c>
      <c r="M1720" t="s">
        <v>632</v>
      </c>
      <c r="N1720" t="s">
        <v>475</v>
      </c>
      <c r="O1720">
        <v>2125557413</v>
      </c>
      <c r="P1720" t="s">
        <v>476</v>
      </c>
      <c r="Q1720" t="s">
        <v>477</v>
      </c>
      <c r="R1720" t="s">
        <v>30</v>
      </c>
      <c r="S1720" t="s">
        <v>31</v>
      </c>
      <c r="T1720">
        <v>10022</v>
      </c>
      <c r="U1720" t="s">
        <v>32</v>
      </c>
      <c r="V1720" t="s">
        <v>33</v>
      </c>
      <c r="W1720" t="s">
        <v>56</v>
      </c>
      <c r="X1720" t="s">
        <v>478</v>
      </c>
      <c r="Y1720" t="s">
        <v>36</v>
      </c>
    </row>
    <row r="1721" spans="1:25" x14ac:dyDescent="0.25">
      <c r="A1721">
        <v>10141</v>
      </c>
      <c r="B1721">
        <v>21</v>
      </c>
      <c r="C1721">
        <v>42.43</v>
      </c>
      <c r="D1721">
        <v>6</v>
      </c>
      <c r="E1721">
        <v>891.03</v>
      </c>
      <c r="F1721" s="1">
        <v>37834</v>
      </c>
      <c r="G1721" t="s">
        <v>25</v>
      </c>
      <c r="H1721">
        <v>3</v>
      </c>
      <c r="I1721">
        <v>8</v>
      </c>
      <c r="J1721">
        <v>2003</v>
      </c>
      <c r="K1721" t="s">
        <v>181</v>
      </c>
      <c r="L1721">
        <v>35</v>
      </c>
      <c r="M1721" t="s">
        <v>632</v>
      </c>
      <c r="N1721" t="s">
        <v>467</v>
      </c>
      <c r="O1721" t="s">
        <v>468</v>
      </c>
      <c r="P1721" t="s">
        <v>469</v>
      </c>
      <c r="R1721" t="s">
        <v>470</v>
      </c>
      <c r="T1721" t="s">
        <v>471</v>
      </c>
      <c r="U1721" t="s">
        <v>130</v>
      </c>
      <c r="V1721" t="s">
        <v>42</v>
      </c>
      <c r="W1721" t="s">
        <v>472</v>
      </c>
      <c r="X1721" t="s">
        <v>473</v>
      </c>
      <c r="Y1721" t="s">
        <v>36</v>
      </c>
    </row>
    <row r="1722" spans="1:25" x14ac:dyDescent="0.25">
      <c r="A1722">
        <v>10151</v>
      </c>
      <c r="B1722">
        <v>30</v>
      </c>
      <c r="C1722">
        <v>40.31</v>
      </c>
      <c r="D1722">
        <v>4</v>
      </c>
      <c r="E1722">
        <v>1209.3</v>
      </c>
      <c r="F1722" s="1">
        <v>37885</v>
      </c>
      <c r="G1722" t="s">
        <v>25</v>
      </c>
      <c r="H1722">
        <v>3</v>
      </c>
      <c r="I1722">
        <v>9</v>
      </c>
      <c r="J1722">
        <v>2003</v>
      </c>
      <c r="K1722" t="s">
        <v>181</v>
      </c>
      <c r="L1722">
        <v>35</v>
      </c>
      <c r="M1722" t="s">
        <v>632</v>
      </c>
      <c r="N1722" t="s">
        <v>391</v>
      </c>
      <c r="O1722" t="s">
        <v>392</v>
      </c>
      <c r="P1722" t="s">
        <v>393</v>
      </c>
      <c r="R1722" t="s">
        <v>394</v>
      </c>
      <c r="T1722">
        <v>90110</v>
      </c>
      <c r="U1722" t="s">
        <v>130</v>
      </c>
      <c r="V1722" t="s">
        <v>42</v>
      </c>
      <c r="W1722" t="s">
        <v>395</v>
      </c>
      <c r="X1722" t="s">
        <v>396</v>
      </c>
      <c r="Y1722" t="s">
        <v>36</v>
      </c>
    </row>
    <row r="1723" spans="1:25" x14ac:dyDescent="0.25">
      <c r="A1723">
        <v>10165</v>
      </c>
      <c r="B1723">
        <v>27</v>
      </c>
      <c r="C1723">
        <v>31.82</v>
      </c>
      <c r="D1723">
        <v>13</v>
      </c>
      <c r="E1723">
        <v>859.14</v>
      </c>
      <c r="F1723" s="1">
        <v>37916</v>
      </c>
      <c r="G1723" t="s">
        <v>25</v>
      </c>
      <c r="H1723">
        <v>4</v>
      </c>
      <c r="I1723">
        <v>10</v>
      </c>
      <c r="J1723">
        <v>2003</v>
      </c>
      <c r="K1723" t="s">
        <v>181</v>
      </c>
      <c r="L1723">
        <v>35</v>
      </c>
      <c r="M1723" t="s">
        <v>632</v>
      </c>
      <c r="N1723" t="s">
        <v>196</v>
      </c>
      <c r="O1723" t="s">
        <v>197</v>
      </c>
      <c r="P1723" t="s">
        <v>198</v>
      </c>
      <c r="R1723" t="s">
        <v>199</v>
      </c>
      <c r="T1723">
        <v>79903</v>
      </c>
      <c r="U1723" t="s">
        <v>199</v>
      </c>
      <c r="V1723" t="s">
        <v>200</v>
      </c>
      <c r="W1723" t="s">
        <v>201</v>
      </c>
      <c r="X1723" t="s">
        <v>202</v>
      </c>
      <c r="Y1723" t="s">
        <v>36</v>
      </c>
    </row>
    <row r="1724" spans="1:25" x14ac:dyDescent="0.25">
      <c r="A1724">
        <v>10175</v>
      </c>
      <c r="B1724">
        <v>37</v>
      </c>
      <c r="C1724">
        <v>31.12</v>
      </c>
      <c r="D1724">
        <v>2</v>
      </c>
      <c r="E1724">
        <v>1151.44</v>
      </c>
      <c r="F1724" s="1">
        <v>37931</v>
      </c>
      <c r="G1724" t="s">
        <v>25</v>
      </c>
      <c r="H1724">
        <v>4</v>
      </c>
      <c r="I1724">
        <v>11</v>
      </c>
      <c r="J1724">
        <v>2003</v>
      </c>
      <c r="K1724" t="s">
        <v>181</v>
      </c>
      <c r="L1724">
        <v>35</v>
      </c>
      <c r="M1724" t="s">
        <v>632</v>
      </c>
      <c r="N1724" t="s">
        <v>329</v>
      </c>
      <c r="O1724" t="s">
        <v>330</v>
      </c>
      <c r="P1724" t="s">
        <v>331</v>
      </c>
      <c r="R1724" t="s">
        <v>332</v>
      </c>
      <c r="T1724" t="s">
        <v>333</v>
      </c>
      <c r="U1724" t="s">
        <v>170</v>
      </c>
      <c r="V1724" t="s">
        <v>42</v>
      </c>
      <c r="W1724" t="s">
        <v>61</v>
      </c>
      <c r="X1724" t="s">
        <v>334</v>
      </c>
      <c r="Y1724" t="s">
        <v>36</v>
      </c>
    </row>
    <row r="1725" spans="1:25" x14ac:dyDescent="0.25">
      <c r="A1725">
        <v>10184</v>
      </c>
      <c r="B1725">
        <v>42</v>
      </c>
      <c r="C1725">
        <v>31.82</v>
      </c>
      <c r="D1725">
        <v>7</v>
      </c>
      <c r="E1725">
        <v>1336.44</v>
      </c>
      <c r="F1725" s="1">
        <v>37939</v>
      </c>
      <c r="G1725" t="s">
        <v>25</v>
      </c>
      <c r="H1725">
        <v>4</v>
      </c>
      <c r="I1725">
        <v>11</v>
      </c>
      <c r="J1725">
        <v>2003</v>
      </c>
      <c r="K1725" t="s">
        <v>181</v>
      </c>
      <c r="L1725">
        <v>35</v>
      </c>
      <c r="M1725" t="s">
        <v>632</v>
      </c>
      <c r="N1725" t="s">
        <v>520</v>
      </c>
      <c r="O1725" t="s">
        <v>521</v>
      </c>
      <c r="P1725" t="s">
        <v>522</v>
      </c>
      <c r="R1725" t="s">
        <v>523</v>
      </c>
      <c r="T1725">
        <v>41101</v>
      </c>
      <c r="U1725" t="s">
        <v>178</v>
      </c>
      <c r="V1725" t="s">
        <v>42</v>
      </c>
      <c r="W1725" t="s">
        <v>524</v>
      </c>
      <c r="X1725" t="s">
        <v>525</v>
      </c>
      <c r="Y1725" t="s">
        <v>36</v>
      </c>
    </row>
    <row r="1726" spans="1:25" x14ac:dyDescent="0.25">
      <c r="A1726">
        <v>10195</v>
      </c>
      <c r="B1726">
        <v>32</v>
      </c>
      <c r="C1726">
        <v>28.29</v>
      </c>
      <c r="D1726">
        <v>7</v>
      </c>
      <c r="E1726">
        <v>905.28</v>
      </c>
      <c r="F1726" s="1">
        <v>37950</v>
      </c>
      <c r="G1726" t="s">
        <v>25</v>
      </c>
      <c r="H1726">
        <v>4</v>
      </c>
      <c r="I1726">
        <v>11</v>
      </c>
      <c r="J1726">
        <v>2003</v>
      </c>
      <c r="K1726" t="s">
        <v>181</v>
      </c>
      <c r="L1726">
        <v>35</v>
      </c>
      <c r="M1726" t="s">
        <v>632</v>
      </c>
      <c r="N1726" t="s">
        <v>317</v>
      </c>
      <c r="O1726">
        <v>9145554562</v>
      </c>
      <c r="P1726" t="s">
        <v>318</v>
      </c>
      <c r="R1726" t="s">
        <v>319</v>
      </c>
      <c r="S1726" t="s">
        <v>31</v>
      </c>
      <c r="T1726">
        <v>24067</v>
      </c>
      <c r="U1726" t="s">
        <v>32</v>
      </c>
      <c r="V1726" t="s">
        <v>33</v>
      </c>
      <c r="W1726" t="s">
        <v>102</v>
      </c>
      <c r="X1726" t="s">
        <v>238</v>
      </c>
      <c r="Y1726" t="s">
        <v>36</v>
      </c>
    </row>
    <row r="1727" spans="1:25" x14ac:dyDescent="0.25">
      <c r="A1727">
        <v>10207</v>
      </c>
      <c r="B1727">
        <v>42</v>
      </c>
      <c r="C1727">
        <v>29.7</v>
      </c>
      <c r="D1727">
        <v>8</v>
      </c>
      <c r="E1727">
        <v>1247.4000000000001</v>
      </c>
      <c r="F1727" s="1">
        <v>37964</v>
      </c>
      <c r="G1727" t="s">
        <v>25</v>
      </c>
      <c r="H1727">
        <v>4</v>
      </c>
      <c r="I1727">
        <v>12</v>
      </c>
      <c r="J1727">
        <v>2003</v>
      </c>
      <c r="K1727" t="s">
        <v>181</v>
      </c>
      <c r="L1727">
        <v>35</v>
      </c>
      <c r="M1727" t="s">
        <v>632</v>
      </c>
      <c r="N1727" t="s">
        <v>415</v>
      </c>
      <c r="O1727">
        <v>6175552555</v>
      </c>
      <c r="P1727" t="s">
        <v>416</v>
      </c>
      <c r="R1727" t="s">
        <v>381</v>
      </c>
      <c r="S1727" t="s">
        <v>123</v>
      </c>
      <c r="T1727">
        <v>51003</v>
      </c>
      <c r="U1727" t="s">
        <v>32</v>
      </c>
      <c r="V1727" t="s">
        <v>33</v>
      </c>
      <c r="W1727" t="s">
        <v>417</v>
      </c>
      <c r="X1727" t="s">
        <v>276</v>
      </c>
      <c r="Y1727" t="s">
        <v>36</v>
      </c>
    </row>
    <row r="1728" spans="1:25" x14ac:dyDescent="0.25">
      <c r="A1728">
        <v>10219</v>
      </c>
      <c r="B1728">
        <v>21</v>
      </c>
      <c r="C1728">
        <v>40.31</v>
      </c>
      <c r="D1728">
        <v>3</v>
      </c>
      <c r="E1728">
        <v>846.51</v>
      </c>
      <c r="F1728" s="1">
        <v>38027</v>
      </c>
      <c r="G1728" t="s">
        <v>25</v>
      </c>
      <c r="H1728">
        <v>1</v>
      </c>
      <c r="I1728">
        <v>2</v>
      </c>
      <c r="J1728">
        <v>2004</v>
      </c>
      <c r="K1728" t="s">
        <v>181</v>
      </c>
      <c r="L1728">
        <v>35</v>
      </c>
      <c r="M1728" t="s">
        <v>632</v>
      </c>
      <c r="N1728" t="s">
        <v>526</v>
      </c>
      <c r="O1728">
        <v>4155554312</v>
      </c>
      <c r="P1728" t="s">
        <v>527</v>
      </c>
      <c r="R1728" t="s">
        <v>528</v>
      </c>
      <c r="S1728" t="s">
        <v>55</v>
      </c>
      <c r="T1728">
        <v>94217</v>
      </c>
      <c r="U1728" t="s">
        <v>32</v>
      </c>
      <c r="V1728" t="s">
        <v>33</v>
      </c>
      <c r="W1728" t="s">
        <v>529</v>
      </c>
      <c r="X1728" t="s">
        <v>400</v>
      </c>
      <c r="Y1728" t="s">
        <v>36</v>
      </c>
    </row>
    <row r="1729" spans="1:25" x14ac:dyDescent="0.25">
      <c r="A1729">
        <v>10229</v>
      </c>
      <c r="B1729">
        <v>33</v>
      </c>
      <c r="C1729">
        <v>32.880000000000003</v>
      </c>
      <c r="D1729">
        <v>2</v>
      </c>
      <c r="E1729">
        <v>1085.04</v>
      </c>
      <c r="F1729" s="1">
        <v>38057</v>
      </c>
      <c r="G1729" t="s">
        <v>25</v>
      </c>
      <c r="H1729">
        <v>1</v>
      </c>
      <c r="I1729">
        <v>3</v>
      </c>
      <c r="J1729">
        <v>2004</v>
      </c>
      <c r="K1729" t="s">
        <v>181</v>
      </c>
      <c r="L1729">
        <v>35</v>
      </c>
      <c r="M1729" t="s">
        <v>632</v>
      </c>
      <c r="N1729" t="s">
        <v>272</v>
      </c>
      <c r="O1729">
        <v>4155551450</v>
      </c>
      <c r="P1729" t="s">
        <v>273</v>
      </c>
      <c r="R1729" t="s">
        <v>274</v>
      </c>
      <c r="S1729" t="s">
        <v>55</v>
      </c>
      <c r="T1729">
        <v>97562</v>
      </c>
      <c r="U1729" t="s">
        <v>32</v>
      </c>
      <c r="V1729" t="s">
        <v>33</v>
      </c>
      <c r="W1729" t="s">
        <v>275</v>
      </c>
      <c r="X1729" t="s">
        <v>276</v>
      </c>
      <c r="Y1729" t="s">
        <v>36</v>
      </c>
    </row>
    <row r="1730" spans="1:25" x14ac:dyDescent="0.25">
      <c r="A1730">
        <v>10246</v>
      </c>
      <c r="B1730">
        <v>49</v>
      </c>
      <c r="C1730">
        <v>36.07</v>
      </c>
      <c r="D1730">
        <v>6</v>
      </c>
      <c r="E1730">
        <v>1767.43</v>
      </c>
      <c r="F1730" s="1">
        <v>38112</v>
      </c>
      <c r="G1730" t="s">
        <v>25</v>
      </c>
      <c r="H1730">
        <v>2</v>
      </c>
      <c r="I1730">
        <v>5</v>
      </c>
      <c r="J1730">
        <v>2004</v>
      </c>
      <c r="K1730" t="s">
        <v>181</v>
      </c>
      <c r="L1730">
        <v>35</v>
      </c>
      <c r="M1730" t="s">
        <v>632</v>
      </c>
      <c r="N1730" t="s">
        <v>174</v>
      </c>
      <c r="O1730" t="s">
        <v>175</v>
      </c>
      <c r="P1730" t="s">
        <v>176</v>
      </c>
      <c r="R1730" t="s">
        <v>177</v>
      </c>
      <c r="T1730">
        <v>28034</v>
      </c>
      <c r="U1730" t="s">
        <v>178</v>
      </c>
      <c r="V1730" t="s">
        <v>42</v>
      </c>
      <c r="W1730" t="s">
        <v>179</v>
      </c>
      <c r="X1730" t="s">
        <v>180</v>
      </c>
      <c r="Y1730" t="s">
        <v>36</v>
      </c>
    </row>
    <row r="1731" spans="1:25" x14ac:dyDescent="0.25">
      <c r="A1731">
        <v>10259</v>
      </c>
      <c r="B1731">
        <v>31</v>
      </c>
      <c r="C1731">
        <v>33.24</v>
      </c>
      <c r="D1731">
        <v>5</v>
      </c>
      <c r="E1731">
        <v>1030.44</v>
      </c>
      <c r="F1731" s="1">
        <v>38153</v>
      </c>
      <c r="G1731" t="s">
        <v>25</v>
      </c>
      <c r="H1731">
        <v>2</v>
      </c>
      <c r="I1731">
        <v>6</v>
      </c>
      <c r="J1731">
        <v>2004</v>
      </c>
      <c r="K1731" t="s">
        <v>181</v>
      </c>
      <c r="L1731">
        <v>35</v>
      </c>
      <c r="M1731" t="s">
        <v>632</v>
      </c>
      <c r="N1731" t="s">
        <v>418</v>
      </c>
      <c r="O1731" t="s">
        <v>419</v>
      </c>
      <c r="P1731" t="s">
        <v>420</v>
      </c>
      <c r="Q1731" t="s">
        <v>421</v>
      </c>
      <c r="R1731" t="s">
        <v>199</v>
      </c>
      <c r="T1731">
        <v>69045</v>
      </c>
      <c r="U1731" t="s">
        <v>199</v>
      </c>
      <c r="V1731" t="s">
        <v>96</v>
      </c>
      <c r="W1731" t="s">
        <v>422</v>
      </c>
      <c r="X1731" t="s">
        <v>423</v>
      </c>
      <c r="Y1731" t="s">
        <v>36</v>
      </c>
    </row>
    <row r="1732" spans="1:25" x14ac:dyDescent="0.25">
      <c r="A1732">
        <v>10271</v>
      </c>
      <c r="B1732">
        <v>38</v>
      </c>
      <c r="C1732">
        <v>41.72</v>
      </c>
      <c r="D1732">
        <v>6</v>
      </c>
      <c r="E1732">
        <v>1585.36</v>
      </c>
      <c r="F1732" s="1">
        <v>38188</v>
      </c>
      <c r="G1732" t="s">
        <v>25</v>
      </c>
      <c r="H1732">
        <v>3</v>
      </c>
      <c r="I1732">
        <v>7</v>
      </c>
      <c r="J1732">
        <v>2004</v>
      </c>
      <c r="K1732" t="s">
        <v>181</v>
      </c>
      <c r="L1732">
        <v>35</v>
      </c>
      <c r="M1732" t="s">
        <v>632</v>
      </c>
      <c r="N1732" t="s">
        <v>272</v>
      </c>
      <c r="O1732">
        <v>4155551450</v>
      </c>
      <c r="P1732" t="s">
        <v>273</v>
      </c>
      <c r="R1732" t="s">
        <v>274</v>
      </c>
      <c r="S1732" t="s">
        <v>55</v>
      </c>
      <c r="T1732">
        <v>97562</v>
      </c>
      <c r="U1732" t="s">
        <v>32</v>
      </c>
      <c r="V1732" t="s">
        <v>33</v>
      </c>
      <c r="W1732" t="s">
        <v>275</v>
      </c>
      <c r="X1732" t="s">
        <v>276</v>
      </c>
      <c r="Y1732" t="s">
        <v>36</v>
      </c>
    </row>
    <row r="1733" spans="1:25" x14ac:dyDescent="0.25">
      <c r="A1733">
        <v>10281</v>
      </c>
      <c r="B1733">
        <v>20</v>
      </c>
      <c r="C1733">
        <v>40.659999999999997</v>
      </c>
      <c r="D1733">
        <v>2</v>
      </c>
      <c r="E1733">
        <v>813.2</v>
      </c>
      <c r="F1733" s="1">
        <v>38218</v>
      </c>
      <c r="G1733" t="s">
        <v>25</v>
      </c>
      <c r="H1733">
        <v>3</v>
      </c>
      <c r="I1733">
        <v>8</v>
      </c>
      <c r="J1733">
        <v>2004</v>
      </c>
      <c r="K1733" t="s">
        <v>181</v>
      </c>
      <c r="L1733">
        <v>35</v>
      </c>
      <c r="M1733" t="s">
        <v>632</v>
      </c>
      <c r="N1733" t="s">
        <v>139</v>
      </c>
      <c r="O1733">
        <v>2155551555</v>
      </c>
      <c r="P1733" t="s">
        <v>140</v>
      </c>
      <c r="R1733" t="s">
        <v>141</v>
      </c>
      <c r="S1733" t="s">
        <v>142</v>
      </c>
      <c r="T1733">
        <v>70267</v>
      </c>
      <c r="U1733" t="s">
        <v>32</v>
      </c>
      <c r="V1733" t="s">
        <v>33</v>
      </c>
      <c r="W1733" t="s">
        <v>34</v>
      </c>
      <c r="X1733" t="s">
        <v>143</v>
      </c>
      <c r="Y1733" t="s">
        <v>36</v>
      </c>
    </row>
    <row r="1734" spans="1:25" x14ac:dyDescent="0.25">
      <c r="A1734">
        <v>10292</v>
      </c>
      <c r="B1734">
        <v>39</v>
      </c>
      <c r="C1734">
        <v>30.06</v>
      </c>
      <c r="D1734">
        <v>9</v>
      </c>
      <c r="E1734">
        <v>1172.3399999999999</v>
      </c>
      <c r="F1734" s="1">
        <v>38238</v>
      </c>
      <c r="G1734" t="s">
        <v>25</v>
      </c>
      <c r="H1734">
        <v>3</v>
      </c>
      <c r="I1734">
        <v>9</v>
      </c>
      <c r="J1734">
        <v>2004</v>
      </c>
      <c r="K1734" t="s">
        <v>181</v>
      </c>
      <c r="L1734">
        <v>35</v>
      </c>
      <c r="M1734" t="s">
        <v>632</v>
      </c>
      <c r="N1734" t="s">
        <v>28</v>
      </c>
      <c r="O1734">
        <v>2125557818</v>
      </c>
      <c r="P1734" t="s">
        <v>29</v>
      </c>
      <c r="R1734" t="s">
        <v>30</v>
      </c>
      <c r="S1734" t="s">
        <v>31</v>
      </c>
      <c r="T1734">
        <v>10022</v>
      </c>
      <c r="U1734" t="s">
        <v>32</v>
      </c>
      <c r="V1734" t="s">
        <v>33</v>
      </c>
      <c r="W1734" t="s">
        <v>34</v>
      </c>
      <c r="X1734" t="s">
        <v>35</v>
      </c>
      <c r="Y1734" t="s">
        <v>36</v>
      </c>
    </row>
    <row r="1735" spans="1:25" x14ac:dyDescent="0.25">
      <c r="A1735">
        <v>10305</v>
      </c>
      <c r="B1735">
        <v>48</v>
      </c>
      <c r="C1735">
        <v>31.47</v>
      </c>
      <c r="D1735">
        <v>6</v>
      </c>
      <c r="E1735">
        <v>1510.56</v>
      </c>
      <c r="F1735" s="1">
        <v>38273</v>
      </c>
      <c r="G1735" t="s">
        <v>25</v>
      </c>
      <c r="H1735">
        <v>4</v>
      </c>
      <c r="I1735">
        <v>10</v>
      </c>
      <c r="J1735">
        <v>2004</v>
      </c>
      <c r="K1735" t="s">
        <v>181</v>
      </c>
      <c r="L1735">
        <v>35</v>
      </c>
      <c r="M1735" t="s">
        <v>632</v>
      </c>
      <c r="N1735" t="s">
        <v>120</v>
      </c>
      <c r="O1735">
        <v>6175558555</v>
      </c>
      <c r="P1735" t="s">
        <v>121</v>
      </c>
      <c r="R1735" t="s">
        <v>122</v>
      </c>
      <c r="S1735" t="s">
        <v>123</v>
      </c>
      <c r="T1735">
        <v>51247</v>
      </c>
      <c r="U1735" t="s">
        <v>32</v>
      </c>
      <c r="V1735" t="s">
        <v>33</v>
      </c>
      <c r="W1735" t="s">
        <v>124</v>
      </c>
      <c r="X1735" t="s">
        <v>125</v>
      </c>
      <c r="Y1735" t="s">
        <v>36</v>
      </c>
    </row>
    <row r="1736" spans="1:25" x14ac:dyDescent="0.25">
      <c r="A1736">
        <v>10314</v>
      </c>
      <c r="B1736">
        <v>39</v>
      </c>
      <c r="C1736">
        <v>37.130000000000003</v>
      </c>
      <c r="D1736">
        <v>15</v>
      </c>
      <c r="E1736">
        <v>1448.07</v>
      </c>
      <c r="F1736" s="1">
        <v>38282</v>
      </c>
      <c r="G1736" t="s">
        <v>25</v>
      </c>
      <c r="H1736">
        <v>4</v>
      </c>
      <c r="I1736">
        <v>10</v>
      </c>
      <c r="J1736">
        <v>2004</v>
      </c>
      <c r="K1736" t="s">
        <v>181</v>
      </c>
      <c r="L1736">
        <v>35</v>
      </c>
      <c r="M1736" t="s">
        <v>632</v>
      </c>
      <c r="N1736" t="s">
        <v>498</v>
      </c>
      <c r="O1736" t="s">
        <v>499</v>
      </c>
      <c r="P1736" t="s">
        <v>500</v>
      </c>
      <c r="R1736" t="s">
        <v>501</v>
      </c>
      <c r="T1736">
        <v>8200</v>
      </c>
      <c r="U1736" t="s">
        <v>326</v>
      </c>
      <c r="V1736" t="s">
        <v>42</v>
      </c>
      <c r="W1736" t="s">
        <v>502</v>
      </c>
      <c r="X1736" t="s">
        <v>503</v>
      </c>
      <c r="Y1736" t="s">
        <v>36</v>
      </c>
    </row>
    <row r="1737" spans="1:25" x14ac:dyDescent="0.25">
      <c r="A1737">
        <v>10324</v>
      </c>
      <c r="B1737">
        <v>30</v>
      </c>
      <c r="C1737">
        <v>100</v>
      </c>
      <c r="D1737">
        <v>9</v>
      </c>
      <c r="E1737">
        <v>3338.1</v>
      </c>
      <c r="F1737" s="1">
        <v>38296</v>
      </c>
      <c r="G1737" t="s">
        <v>25</v>
      </c>
      <c r="H1737">
        <v>4</v>
      </c>
      <c r="I1737">
        <v>11</v>
      </c>
      <c r="J1737">
        <v>2004</v>
      </c>
      <c r="K1737" t="s">
        <v>181</v>
      </c>
      <c r="L1737">
        <v>35</v>
      </c>
      <c r="M1737" t="s">
        <v>632</v>
      </c>
      <c r="N1737" t="s">
        <v>99</v>
      </c>
      <c r="O1737">
        <v>2125551500</v>
      </c>
      <c r="P1737" t="s">
        <v>100</v>
      </c>
      <c r="Q1737" t="s">
        <v>101</v>
      </c>
      <c r="R1737" t="s">
        <v>30</v>
      </c>
      <c r="S1737" t="s">
        <v>31</v>
      </c>
      <c r="T1737">
        <v>10022</v>
      </c>
      <c r="U1737" t="s">
        <v>32</v>
      </c>
      <c r="V1737" t="s">
        <v>33</v>
      </c>
      <c r="W1737" t="s">
        <v>102</v>
      </c>
      <c r="X1737" t="s">
        <v>103</v>
      </c>
      <c r="Y1737" t="s">
        <v>51</v>
      </c>
    </row>
    <row r="1738" spans="1:25" x14ac:dyDescent="0.25">
      <c r="A1738">
        <v>10335</v>
      </c>
      <c r="B1738">
        <v>33</v>
      </c>
      <c r="C1738">
        <v>37.130000000000003</v>
      </c>
      <c r="D1738">
        <v>2</v>
      </c>
      <c r="E1738">
        <v>1225.29</v>
      </c>
      <c r="F1738" s="1">
        <v>38310</v>
      </c>
      <c r="G1738" t="s">
        <v>25</v>
      </c>
      <c r="H1738">
        <v>4</v>
      </c>
      <c r="I1738">
        <v>11</v>
      </c>
      <c r="J1738">
        <v>2004</v>
      </c>
      <c r="K1738" t="s">
        <v>181</v>
      </c>
      <c r="L1738">
        <v>35</v>
      </c>
      <c r="M1738" t="s">
        <v>632</v>
      </c>
      <c r="N1738" t="s">
        <v>272</v>
      </c>
      <c r="O1738">
        <v>4155551450</v>
      </c>
      <c r="P1738" t="s">
        <v>273</v>
      </c>
      <c r="R1738" t="s">
        <v>274</v>
      </c>
      <c r="S1738" t="s">
        <v>55</v>
      </c>
      <c r="T1738">
        <v>97562</v>
      </c>
      <c r="U1738" t="s">
        <v>32</v>
      </c>
      <c r="V1738" t="s">
        <v>33</v>
      </c>
      <c r="W1738" t="s">
        <v>275</v>
      </c>
      <c r="X1738" t="s">
        <v>276</v>
      </c>
      <c r="Y1738" t="s">
        <v>36</v>
      </c>
    </row>
    <row r="1739" spans="1:25" x14ac:dyDescent="0.25">
      <c r="A1739">
        <v>10349</v>
      </c>
      <c r="B1739">
        <v>36</v>
      </c>
      <c r="C1739">
        <v>37.130000000000003</v>
      </c>
      <c r="D1739">
        <v>3</v>
      </c>
      <c r="E1739">
        <v>1336.68</v>
      </c>
      <c r="F1739" s="1">
        <v>38322</v>
      </c>
      <c r="G1739" t="s">
        <v>25</v>
      </c>
      <c r="H1739">
        <v>4</v>
      </c>
      <c r="I1739">
        <v>12</v>
      </c>
      <c r="J1739">
        <v>2004</v>
      </c>
      <c r="K1739" t="s">
        <v>181</v>
      </c>
      <c r="L1739">
        <v>35</v>
      </c>
      <c r="M1739" t="s">
        <v>632</v>
      </c>
      <c r="N1739" t="s">
        <v>475</v>
      </c>
      <c r="O1739">
        <v>2125557413</v>
      </c>
      <c r="P1739" t="s">
        <v>476</v>
      </c>
      <c r="Q1739" t="s">
        <v>477</v>
      </c>
      <c r="R1739" t="s">
        <v>30</v>
      </c>
      <c r="S1739" t="s">
        <v>31</v>
      </c>
      <c r="T1739">
        <v>10022</v>
      </c>
      <c r="U1739" t="s">
        <v>32</v>
      </c>
      <c r="V1739" t="s">
        <v>33</v>
      </c>
      <c r="W1739" t="s">
        <v>56</v>
      </c>
      <c r="X1739" t="s">
        <v>478</v>
      </c>
      <c r="Y1739" t="s">
        <v>36</v>
      </c>
    </row>
    <row r="1740" spans="1:25" x14ac:dyDescent="0.25">
      <c r="A1740">
        <v>10358</v>
      </c>
      <c r="B1740">
        <v>36</v>
      </c>
      <c r="C1740">
        <v>82.94</v>
      </c>
      <c r="D1740">
        <v>4</v>
      </c>
      <c r="E1740">
        <v>2985.84</v>
      </c>
      <c r="F1740" s="1">
        <v>38331</v>
      </c>
      <c r="G1740" t="s">
        <v>25</v>
      </c>
      <c r="H1740">
        <v>4</v>
      </c>
      <c r="I1740">
        <v>12</v>
      </c>
      <c r="J1740">
        <v>2004</v>
      </c>
      <c r="K1740" t="s">
        <v>181</v>
      </c>
      <c r="L1740">
        <v>35</v>
      </c>
      <c r="M1740" t="s">
        <v>632</v>
      </c>
      <c r="N1740" t="s">
        <v>174</v>
      </c>
      <c r="O1740" t="s">
        <v>175</v>
      </c>
      <c r="P1740" t="s">
        <v>176</v>
      </c>
      <c r="R1740" t="s">
        <v>177</v>
      </c>
      <c r="T1740">
        <v>28034</v>
      </c>
      <c r="U1740" t="s">
        <v>178</v>
      </c>
      <c r="V1740" t="s">
        <v>42</v>
      </c>
      <c r="W1740" t="s">
        <v>179</v>
      </c>
      <c r="X1740" t="s">
        <v>180</v>
      </c>
      <c r="Y1740" t="s">
        <v>36</v>
      </c>
    </row>
    <row r="1741" spans="1:25" x14ac:dyDescent="0.25">
      <c r="A1741">
        <v>10371</v>
      </c>
      <c r="B1741">
        <v>45</v>
      </c>
      <c r="C1741">
        <v>100</v>
      </c>
      <c r="D1741">
        <v>8</v>
      </c>
      <c r="E1741">
        <v>5545.8</v>
      </c>
      <c r="F1741" s="1">
        <v>38375</v>
      </c>
      <c r="G1741" t="s">
        <v>25</v>
      </c>
      <c r="H1741">
        <v>1</v>
      </c>
      <c r="I1741">
        <v>1</v>
      </c>
      <c r="J1741">
        <v>2005</v>
      </c>
      <c r="K1741" t="s">
        <v>181</v>
      </c>
      <c r="L1741">
        <v>35</v>
      </c>
      <c r="M1741" t="s">
        <v>632</v>
      </c>
      <c r="N1741" t="s">
        <v>272</v>
      </c>
      <c r="O1741">
        <v>4155551450</v>
      </c>
      <c r="P1741" t="s">
        <v>273</v>
      </c>
      <c r="R1741" t="s">
        <v>274</v>
      </c>
      <c r="S1741" t="s">
        <v>55</v>
      </c>
      <c r="T1741">
        <v>97562</v>
      </c>
      <c r="U1741" t="s">
        <v>32</v>
      </c>
      <c r="V1741" t="s">
        <v>33</v>
      </c>
      <c r="W1741" t="s">
        <v>275</v>
      </c>
      <c r="X1741" t="s">
        <v>276</v>
      </c>
      <c r="Y1741" t="s">
        <v>51</v>
      </c>
    </row>
    <row r="1742" spans="1:25" x14ac:dyDescent="0.25">
      <c r="A1742">
        <v>10383</v>
      </c>
      <c r="B1742">
        <v>40</v>
      </c>
      <c r="C1742">
        <v>100</v>
      </c>
      <c r="D1742">
        <v>3</v>
      </c>
      <c r="E1742">
        <v>6089.6</v>
      </c>
      <c r="F1742" s="1">
        <v>38405</v>
      </c>
      <c r="G1742" t="s">
        <v>25</v>
      </c>
      <c r="H1742">
        <v>1</v>
      </c>
      <c r="I1742">
        <v>2</v>
      </c>
      <c r="J1742">
        <v>2005</v>
      </c>
      <c r="K1742" t="s">
        <v>181</v>
      </c>
      <c r="L1742">
        <v>35</v>
      </c>
      <c r="M1742" t="s">
        <v>632</v>
      </c>
      <c r="N1742" t="s">
        <v>174</v>
      </c>
      <c r="O1742" t="s">
        <v>175</v>
      </c>
      <c r="P1742" t="s">
        <v>176</v>
      </c>
      <c r="R1742" t="s">
        <v>177</v>
      </c>
      <c r="T1742">
        <v>28034</v>
      </c>
      <c r="U1742" t="s">
        <v>178</v>
      </c>
      <c r="V1742" t="s">
        <v>42</v>
      </c>
      <c r="W1742" t="s">
        <v>179</v>
      </c>
      <c r="X1742" t="s">
        <v>180</v>
      </c>
      <c r="Y1742" t="s">
        <v>51</v>
      </c>
    </row>
    <row r="1743" spans="1:25" x14ac:dyDescent="0.25">
      <c r="A1743">
        <v>10394</v>
      </c>
      <c r="B1743">
        <v>46</v>
      </c>
      <c r="C1743">
        <v>38.9</v>
      </c>
      <c r="D1743">
        <v>6</v>
      </c>
      <c r="E1743">
        <v>1789.4</v>
      </c>
      <c r="F1743" s="1">
        <v>38426</v>
      </c>
      <c r="G1743" t="s">
        <v>25</v>
      </c>
      <c r="H1743">
        <v>1</v>
      </c>
      <c r="I1743">
        <v>3</v>
      </c>
      <c r="J1743">
        <v>2005</v>
      </c>
      <c r="K1743" t="s">
        <v>181</v>
      </c>
      <c r="L1743">
        <v>35</v>
      </c>
      <c r="M1743" t="s">
        <v>632</v>
      </c>
      <c r="N1743" t="s">
        <v>174</v>
      </c>
      <c r="O1743" t="s">
        <v>175</v>
      </c>
      <c r="P1743" t="s">
        <v>176</v>
      </c>
      <c r="R1743" t="s">
        <v>177</v>
      </c>
      <c r="T1743">
        <v>28034</v>
      </c>
      <c r="U1743" t="s">
        <v>178</v>
      </c>
      <c r="V1743" t="s">
        <v>42</v>
      </c>
      <c r="W1743" t="s">
        <v>179</v>
      </c>
      <c r="X1743" t="s">
        <v>180</v>
      </c>
      <c r="Y1743" t="s">
        <v>36</v>
      </c>
    </row>
    <row r="1744" spans="1:25" x14ac:dyDescent="0.25">
      <c r="A1744">
        <v>10412</v>
      </c>
      <c r="B1744">
        <v>30</v>
      </c>
      <c r="C1744">
        <v>36.07</v>
      </c>
      <c r="D1744">
        <v>6</v>
      </c>
      <c r="E1744">
        <v>1082.0999999999999</v>
      </c>
      <c r="F1744" s="1">
        <v>38475</v>
      </c>
      <c r="G1744" t="s">
        <v>25</v>
      </c>
      <c r="H1744">
        <v>2</v>
      </c>
      <c r="I1744">
        <v>5</v>
      </c>
      <c r="J1744">
        <v>2005</v>
      </c>
      <c r="K1744" t="s">
        <v>181</v>
      </c>
      <c r="L1744">
        <v>35</v>
      </c>
      <c r="M1744" t="s">
        <v>632</v>
      </c>
      <c r="N1744" t="s">
        <v>174</v>
      </c>
      <c r="O1744" t="s">
        <v>175</v>
      </c>
      <c r="P1744" t="s">
        <v>176</v>
      </c>
      <c r="R1744" t="s">
        <v>177</v>
      </c>
      <c r="T1744">
        <v>28034</v>
      </c>
      <c r="U1744" t="s">
        <v>178</v>
      </c>
      <c r="V1744" t="s">
        <v>42</v>
      </c>
      <c r="W1744" t="s">
        <v>179</v>
      </c>
      <c r="X1744" t="s">
        <v>180</v>
      </c>
      <c r="Y1744" t="s">
        <v>36</v>
      </c>
    </row>
    <row r="1745" spans="1:25" x14ac:dyDescent="0.25">
      <c r="A1745">
        <v>10425</v>
      </c>
      <c r="B1745">
        <v>31</v>
      </c>
      <c r="C1745">
        <v>33.24</v>
      </c>
      <c r="D1745">
        <v>5</v>
      </c>
      <c r="E1745">
        <v>1030.44</v>
      </c>
      <c r="F1745" s="1">
        <v>38503</v>
      </c>
      <c r="G1745" t="s">
        <v>300</v>
      </c>
      <c r="H1745">
        <v>2</v>
      </c>
      <c r="I1745">
        <v>5</v>
      </c>
      <c r="J1745">
        <v>2005</v>
      </c>
      <c r="K1745" t="s">
        <v>181</v>
      </c>
      <c r="L1745">
        <v>35</v>
      </c>
      <c r="M1745" t="s">
        <v>632</v>
      </c>
      <c r="N1745" t="s">
        <v>114</v>
      </c>
      <c r="O1745" t="s">
        <v>115</v>
      </c>
      <c r="P1745" t="s">
        <v>116</v>
      </c>
      <c r="R1745" t="s">
        <v>117</v>
      </c>
      <c r="T1745">
        <v>44000</v>
      </c>
      <c r="U1745" t="s">
        <v>41</v>
      </c>
      <c r="V1745" t="s">
        <v>42</v>
      </c>
      <c r="W1745" t="s">
        <v>118</v>
      </c>
      <c r="X1745" t="s">
        <v>119</v>
      </c>
      <c r="Y1745" t="s">
        <v>36</v>
      </c>
    </row>
    <row r="1746" spans="1:25" x14ac:dyDescent="0.25">
      <c r="A1746">
        <v>10106</v>
      </c>
      <c r="B1746">
        <v>49</v>
      </c>
      <c r="C1746">
        <v>74.680000000000007</v>
      </c>
      <c r="D1746">
        <v>13</v>
      </c>
      <c r="E1746">
        <v>3659.32</v>
      </c>
      <c r="F1746" s="1">
        <v>37669</v>
      </c>
      <c r="G1746" t="s">
        <v>25</v>
      </c>
      <c r="H1746">
        <v>1</v>
      </c>
      <c r="I1746">
        <v>2</v>
      </c>
      <c r="J1746">
        <v>2003</v>
      </c>
      <c r="K1746" t="s">
        <v>566</v>
      </c>
      <c r="L1746">
        <v>68</v>
      </c>
      <c r="M1746" t="s">
        <v>633</v>
      </c>
      <c r="N1746" t="s">
        <v>552</v>
      </c>
      <c r="O1746" t="s">
        <v>553</v>
      </c>
      <c r="P1746" t="s">
        <v>554</v>
      </c>
      <c r="R1746" t="s">
        <v>555</v>
      </c>
      <c r="T1746">
        <v>24100</v>
      </c>
      <c r="U1746" t="s">
        <v>258</v>
      </c>
      <c r="V1746" t="s">
        <v>42</v>
      </c>
      <c r="W1746" t="s">
        <v>556</v>
      </c>
      <c r="X1746" t="s">
        <v>557</v>
      </c>
      <c r="Y1746" t="s">
        <v>51</v>
      </c>
    </row>
    <row r="1747" spans="1:25" x14ac:dyDescent="0.25">
      <c r="A1747">
        <v>10119</v>
      </c>
      <c r="B1747">
        <v>41</v>
      </c>
      <c r="C1747">
        <v>59.6</v>
      </c>
      <c r="D1747">
        <v>4</v>
      </c>
      <c r="E1747">
        <v>2443.6</v>
      </c>
      <c r="F1747" s="1">
        <v>37739</v>
      </c>
      <c r="G1747" t="s">
        <v>25</v>
      </c>
      <c r="H1747">
        <v>2</v>
      </c>
      <c r="I1747">
        <v>4</v>
      </c>
      <c r="J1747">
        <v>2003</v>
      </c>
      <c r="K1747" t="s">
        <v>566</v>
      </c>
      <c r="L1747">
        <v>68</v>
      </c>
      <c r="M1747" t="s">
        <v>633</v>
      </c>
      <c r="N1747" t="s">
        <v>144</v>
      </c>
      <c r="O1747" t="s">
        <v>145</v>
      </c>
      <c r="P1747" t="s">
        <v>146</v>
      </c>
      <c r="R1747" t="s">
        <v>147</v>
      </c>
      <c r="T1747">
        <v>5020</v>
      </c>
      <c r="U1747" t="s">
        <v>148</v>
      </c>
      <c r="V1747" t="s">
        <v>42</v>
      </c>
      <c r="W1747" t="s">
        <v>149</v>
      </c>
      <c r="X1747" t="s">
        <v>150</v>
      </c>
      <c r="Y1747" t="s">
        <v>36</v>
      </c>
    </row>
    <row r="1748" spans="1:25" x14ac:dyDescent="0.25">
      <c r="A1748">
        <v>10131</v>
      </c>
      <c r="B1748">
        <v>35</v>
      </c>
      <c r="C1748">
        <v>67.14</v>
      </c>
      <c r="D1748">
        <v>5</v>
      </c>
      <c r="E1748">
        <v>2349.9</v>
      </c>
      <c r="F1748" s="1">
        <v>37788</v>
      </c>
      <c r="G1748" t="s">
        <v>25</v>
      </c>
      <c r="H1748">
        <v>2</v>
      </c>
      <c r="I1748">
        <v>6</v>
      </c>
      <c r="J1748">
        <v>2003</v>
      </c>
      <c r="K1748" t="s">
        <v>566</v>
      </c>
      <c r="L1748">
        <v>68</v>
      </c>
      <c r="M1748" t="s">
        <v>633</v>
      </c>
      <c r="N1748" t="s">
        <v>568</v>
      </c>
      <c r="O1748">
        <v>2035554407</v>
      </c>
      <c r="P1748" t="s">
        <v>569</v>
      </c>
      <c r="R1748" t="s">
        <v>516</v>
      </c>
      <c r="S1748" t="s">
        <v>112</v>
      </c>
      <c r="T1748">
        <v>97561</v>
      </c>
      <c r="U1748" t="s">
        <v>32</v>
      </c>
      <c r="V1748" t="s">
        <v>33</v>
      </c>
      <c r="W1748" t="s">
        <v>570</v>
      </c>
      <c r="X1748" t="s">
        <v>571</v>
      </c>
      <c r="Y1748" t="s">
        <v>36</v>
      </c>
    </row>
    <row r="1749" spans="1:25" x14ac:dyDescent="0.25">
      <c r="A1749">
        <v>10143</v>
      </c>
      <c r="B1749">
        <v>27</v>
      </c>
      <c r="C1749">
        <v>60.97</v>
      </c>
      <c r="D1749">
        <v>8</v>
      </c>
      <c r="E1749">
        <v>1646.19</v>
      </c>
      <c r="F1749" s="1">
        <v>37843</v>
      </c>
      <c r="G1749" t="s">
        <v>25</v>
      </c>
      <c r="H1749">
        <v>3</v>
      </c>
      <c r="I1749">
        <v>8</v>
      </c>
      <c r="J1749">
        <v>2003</v>
      </c>
      <c r="K1749" t="s">
        <v>566</v>
      </c>
      <c r="L1749">
        <v>68</v>
      </c>
      <c r="M1749" t="s">
        <v>633</v>
      </c>
      <c r="N1749" t="s">
        <v>335</v>
      </c>
      <c r="O1749">
        <v>5085559555</v>
      </c>
      <c r="P1749" t="s">
        <v>336</v>
      </c>
      <c r="R1749" t="s">
        <v>162</v>
      </c>
      <c r="S1749" t="s">
        <v>123</v>
      </c>
      <c r="T1749">
        <v>50553</v>
      </c>
      <c r="U1749" t="s">
        <v>32</v>
      </c>
      <c r="V1749" t="s">
        <v>33</v>
      </c>
      <c r="W1749" t="s">
        <v>337</v>
      </c>
      <c r="X1749" t="s">
        <v>338</v>
      </c>
      <c r="Y1749" t="s">
        <v>36</v>
      </c>
    </row>
    <row r="1750" spans="1:25" x14ac:dyDescent="0.25">
      <c r="A1750">
        <v>10155</v>
      </c>
      <c r="B1750">
        <v>23</v>
      </c>
      <c r="C1750">
        <v>72.62</v>
      </c>
      <c r="D1750">
        <v>6</v>
      </c>
      <c r="E1750">
        <v>1670.26</v>
      </c>
      <c r="F1750" s="1">
        <v>37900</v>
      </c>
      <c r="G1750" t="s">
        <v>25</v>
      </c>
      <c r="H1750">
        <v>4</v>
      </c>
      <c r="I1750">
        <v>10</v>
      </c>
      <c r="J1750">
        <v>2003</v>
      </c>
      <c r="K1750" t="s">
        <v>566</v>
      </c>
      <c r="L1750">
        <v>68</v>
      </c>
      <c r="M1750" t="s">
        <v>633</v>
      </c>
      <c r="N1750" t="s">
        <v>126</v>
      </c>
      <c r="O1750" t="s">
        <v>127</v>
      </c>
      <c r="P1750" t="s">
        <v>128</v>
      </c>
      <c r="R1750" t="s">
        <v>129</v>
      </c>
      <c r="T1750">
        <v>21240</v>
      </c>
      <c r="U1750" t="s">
        <v>130</v>
      </c>
      <c r="V1750" t="s">
        <v>42</v>
      </c>
      <c r="W1750" t="s">
        <v>131</v>
      </c>
      <c r="X1750" t="s">
        <v>132</v>
      </c>
      <c r="Y1750" t="s">
        <v>36</v>
      </c>
    </row>
    <row r="1751" spans="1:25" x14ac:dyDescent="0.25">
      <c r="A1751">
        <v>10167</v>
      </c>
      <c r="B1751">
        <v>21</v>
      </c>
      <c r="C1751">
        <v>69.88</v>
      </c>
      <c r="D1751">
        <v>2</v>
      </c>
      <c r="E1751">
        <v>1467.48</v>
      </c>
      <c r="F1751" s="1">
        <v>37917</v>
      </c>
      <c r="G1751" t="s">
        <v>339</v>
      </c>
      <c r="H1751">
        <v>4</v>
      </c>
      <c r="I1751">
        <v>10</v>
      </c>
      <c r="J1751">
        <v>2003</v>
      </c>
      <c r="K1751" t="s">
        <v>566</v>
      </c>
      <c r="L1751">
        <v>68</v>
      </c>
      <c r="M1751" t="s">
        <v>633</v>
      </c>
      <c r="N1751" t="s">
        <v>261</v>
      </c>
      <c r="O1751" t="s">
        <v>262</v>
      </c>
      <c r="P1751" t="s">
        <v>263</v>
      </c>
      <c r="R1751" t="s">
        <v>264</v>
      </c>
      <c r="T1751" t="s">
        <v>265</v>
      </c>
      <c r="U1751" t="s">
        <v>188</v>
      </c>
      <c r="V1751" t="s">
        <v>42</v>
      </c>
      <c r="W1751" t="s">
        <v>266</v>
      </c>
      <c r="X1751" t="s">
        <v>206</v>
      </c>
      <c r="Y1751" t="s">
        <v>36</v>
      </c>
    </row>
    <row r="1752" spans="1:25" x14ac:dyDescent="0.25">
      <c r="A1752">
        <v>10178</v>
      </c>
      <c r="B1752">
        <v>34</v>
      </c>
      <c r="C1752">
        <v>80.84</v>
      </c>
      <c r="D1752">
        <v>5</v>
      </c>
      <c r="E1752">
        <v>2748.56</v>
      </c>
      <c r="F1752" s="1">
        <v>37933</v>
      </c>
      <c r="G1752" t="s">
        <v>25</v>
      </c>
      <c r="H1752">
        <v>4</v>
      </c>
      <c r="I1752">
        <v>11</v>
      </c>
      <c r="J1752">
        <v>2003</v>
      </c>
      <c r="K1752" t="s">
        <v>566</v>
      </c>
      <c r="L1752">
        <v>68</v>
      </c>
      <c r="M1752" t="s">
        <v>633</v>
      </c>
      <c r="N1752" t="s">
        <v>340</v>
      </c>
      <c r="O1752" t="s">
        <v>341</v>
      </c>
      <c r="P1752" t="s">
        <v>342</v>
      </c>
      <c r="R1752" t="s">
        <v>343</v>
      </c>
      <c r="T1752">
        <v>31000</v>
      </c>
      <c r="U1752" t="s">
        <v>41</v>
      </c>
      <c r="V1752" t="s">
        <v>42</v>
      </c>
      <c r="W1752" t="s">
        <v>344</v>
      </c>
      <c r="X1752" t="s">
        <v>345</v>
      </c>
      <c r="Y1752" t="s">
        <v>36</v>
      </c>
    </row>
    <row r="1753" spans="1:25" x14ac:dyDescent="0.25">
      <c r="A1753">
        <v>10186</v>
      </c>
      <c r="B1753">
        <v>22</v>
      </c>
      <c r="C1753">
        <v>69.2</v>
      </c>
      <c r="D1753">
        <v>2</v>
      </c>
      <c r="E1753">
        <v>1522.4</v>
      </c>
      <c r="F1753" s="1">
        <v>37939</v>
      </c>
      <c r="G1753" t="s">
        <v>25</v>
      </c>
      <c r="H1753">
        <v>4</v>
      </c>
      <c r="I1753">
        <v>11</v>
      </c>
      <c r="J1753">
        <v>2003</v>
      </c>
      <c r="K1753" t="s">
        <v>566</v>
      </c>
      <c r="L1753">
        <v>68</v>
      </c>
      <c r="M1753" t="s">
        <v>633</v>
      </c>
      <c r="N1753" t="s">
        <v>346</v>
      </c>
      <c r="O1753" t="s">
        <v>347</v>
      </c>
      <c r="P1753" t="s">
        <v>348</v>
      </c>
      <c r="R1753" t="s">
        <v>332</v>
      </c>
      <c r="T1753" t="s">
        <v>349</v>
      </c>
      <c r="U1753" t="s">
        <v>170</v>
      </c>
      <c r="V1753" t="s">
        <v>42</v>
      </c>
      <c r="W1753" t="s">
        <v>350</v>
      </c>
      <c r="X1753" t="s">
        <v>351</v>
      </c>
      <c r="Y1753" t="s">
        <v>36</v>
      </c>
    </row>
    <row r="1754" spans="1:25" x14ac:dyDescent="0.25">
      <c r="A1754">
        <v>10198</v>
      </c>
      <c r="B1754">
        <v>48</v>
      </c>
      <c r="C1754">
        <v>67.819999999999993</v>
      </c>
      <c r="D1754">
        <v>5</v>
      </c>
      <c r="E1754">
        <v>3255.36</v>
      </c>
      <c r="F1754" s="1">
        <v>37952</v>
      </c>
      <c r="G1754" t="s">
        <v>25</v>
      </c>
      <c r="H1754">
        <v>4</v>
      </c>
      <c r="I1754">
        <v>11</v>
      </c>
      <c r="J1754">
        <v>2003</v>
      </c>
      <c r="K1754" t="s">
        <v>566</v>
      </c>
      <c r="L1754">
        <v>68</v>
      </c>
      <c r="M1754" t="s">
        <v>633</v>
      </c>
      <c r="N1754" t="s">
        <v>425</v>
      </c>
      <c r="O1754" t="s">
        <v>426</v>
      </c>
      <c r="P1754" t="s">
        <v>427</v>
      </c>
      <c r="R1754" t="s">
        <v>428</v>
      </c>
      <c r="T1754" t="s">
        <v>429</v>
      </c>
      <c r="U1754" t="s">
        <v>430</v>
      </c>
      <c r="V1754" t="s">
        <v>200</v>
      </c>
      <c r="W1754" t="s">
        <v>431</v>
      </c>
      <c r="X1754" t="s">
        <v>432</v>
      </c>
      <c r="Y1754" t="s">
        <v>51</v>
      </c>
    </row>
    <row r="1755" spans="1:25" x14ac:dyDescent="0.25">
      <c r="A1755">
        <v>10209</v>
      </c>
      <c r="B1755">
        <v>43</v>
      </c>
      <c r="C1755">
        <v>82.21</v>
      </c>
      <c r="D1755">
        <v>1</v>
      </c>
      <c r="E1755">
        <v>3535.03</v>
      </c>
      <c r="F1755" s="1">
        <v>37995</v>
      </c>
      <c r="G1755" t="s">
        <v>25</v>
      </c>
      <c r="H1755">
        <v>1</v>
      </c>
      <c r="I1755">
        <v>1</v>
      </c>
      <c r="J1755">
        <v>2004</v>
      </c>
      <c r="K1755" t="s">
        <v>566</v>
      </c>
      <c r="L1755">
        <v>68</v>
      </c>
      <c r="M1755" t="s">
        <v>633</v>
      </c>
      <c r="N1755" t="s">
        <v>358</v>
      </c>
      <c r="O1755">
        <v>2155554369</v>
      </c>
      <c r="P1755" t="s">
        <v>359</v>
      </c>
      <c r="R1755" t="s">
        <v>360</v>
      </c>
      <c r="S1755" t="s">
        <v>55</v>
      </c>
      <c r="U1755" t="s">
        <v>32</v>
      </c>
      <c r="V1755" t="s">
        <v>33</v>
      </c>
      <c r="W1755" t="s">
        <v>361</v>
      </c>
      <c r="X1755" t="s">
        <v>103</v>
      </c>
      <c r="Y1755" t="s">
        <v>51</v>
      </c>
    </row>
    <row r="1756" spans="1:25" x14ac:dyDescent="0.25">
      <c r="A1756">
        <v>10222</v>
      </c>
      <c r="B1756">
        <v>32</v>
      </c>
      <c r="C1756">
        <v>81.53</v>
      </c>
      <c r="D1756">
        <v>5</v>
      </c>
      <c r="E1756">
        <v>2608.96</v>
      </c>
      <c r="F1756" s="1">
        <v>38036</v>
      </c>
      <c r="G1756" t="s">
        <v>25</v>
      </c>
      <c r="H1756">
        <v>1</v>
      </c>
      <c r="I1756">
        <v>2</v>
      </c>
      <c r="J1756">
        <v>2004</v>
      </c>
      <c r="K1756" t="s">
        <v>566</v>
      </c>
      <c r="L1756">
        <v>68</v>
      </c>
      <c r="M1756" t="s">
        <v>633</v>
      </c>
      <c r="N1756" t="s">
        <v>362</v>
      </c>
      <c r="O1756">
        <v>7605558146</v>
      </c>
      <c r="P1756" t="s">
        <v>363</v>
      </c>
      <c r="R1756" t="s">
        <v>364</v>
      </c>
      <c r="S1756" t="s">
        <v>55</v>
      </c>
      <c r="T1756">
        <v>91217</v>
      </c>
      <c r="U1756" t="s">
        <v>32</v>
      </c>
      <c r="V1756" t="s">
        <v>33</v>
      </c>
      <c r="W1756" t="s">
        <v>237</v>
      </c>
      <c r="X1756" t="s">
        <v>276</v>
      </c>
      <c r="Y1756" t="s">
        <v>36</v>
      </c>
    </row>
    <row r="1757" spans="1:25" x14ac:dyDescent="0.25">
      <c r="A1757">
        <v>10249</v>
      </c>
      <c r="B1757">
        <v>20</v>
      </c>
      <c r="C1757">
        <v>67.819999999999993</v>
      </c>
      <c r="D1757">
        <v>1</v>
      </c>
      <c r="E1757">
        <v>1356.4</v>
      </c>
      <c r="F1757" s="1">
        <v>38115</v>
      </c>
      <c r="G1757" t="s">
        <v>25</v>
      </c>
      <c r="H1757">
        <v>2</v>
      </c>
      <c r="I1757">
        <v>5</v>
      </c>
      <c r="J1757">
        <v>2004</v>
      </c>
      <c r="K1757" t="s">
        <v>566</v>
      </c>
      <c r="L1757">
        <v>68</v>
      </c>
      <c r="M1757" t="s">
        <v>633</v>
      </c>
      <c r="N1757" t="s">
        <v>239</v>
      </c>
      <c r="O1757">
        <v>6175555555</v>
      </c>
      <c r="P1757" t="s">
        <v>240</v>
      </c>
      <c r="R1757" t="s">
        <v>122</v>
      </c>
      <c r="S1757" t="s">
        <v>123</v>
      </c>
      <c r="T1757">
        <v>51247</v>
      </c>
      <c r="U1757" t="s">
        <v>32</v>
      </c>
      <c r="V1757" t="s">
        <v>33</v>
      </c>
      <c r="W1757" t="s">
        <v>241</v>
      </c>
      <c r="X1757" t="s">
        <v>143</v>
      </c>
      <c r="Y1757" t="s">
        <v>36</v>
      </c>
    </row>
    <row r="1758" spans="1:25" x14ac:dyDescent="0.25">
      <c r="A1758">
        <v>10262</v>
      </c>
      <c r="B1758">
        <v>24</v>
      </c>
      <c r="C1758">
        <v>67.14</v>
      </c>
      <c r="D1758">
        <v>10</v>
      </c>
      <c r="E1758">
        <v>1611.36</v>
      </c>
      <c r="F1758" s="1">
        <v>38162</v>
      </c>
      <c r="G1758" t="s">
        <v>339</v>
      </c>
      <c r="H1758">
        <v>2</v>
      </c>
      <c r="I1758">
        <v>6</v>
      </c>
      <c r="J1758">
        <v>2004</v>
      </c>
      <c r="K1758" t="s">
        <v>566</v>
      </c>
      <c r="L1758">
        <v>68</v>
      </c>
      <c r="M1758" t="s">
        <v>633</v>
      </c>
      <c r="N1758" t="s">
        <v>174</v>
      </c>
      <c r="O1758" t="s">
        <v>175</v>
      </c>
      <c r="P1758" t="s">
        <v>176</v>
      </c>
      <c r="R1758" t="s">
        <v>177</v>
      </c>
      <c r="T1758">
        <v>28034</v>
      </c>
      <c r="U1758" t="s">
        <v>178</v>
      </c>
      <c r="V1758" t="s">
        <v>42</v>
      </c>
      <c r="W1758" t="s">
        <v>179</v>
      </c>
      <c r="X1758" t="s">
        <v>180</v>
      </c>
      <c r="Y1758" t="s">
        <v>36</v>
      </c>
    </row>
    <row r="1759" spans="1:25" x14ac:dyDescent="0.25">
      <c r="A1759">
        <v>10274</v>
      </c>
      <c r="B1759">
        <v>40</v>
      </c>
      <c r="C1759">
        <v>65.08</v>
      </c>
      <c r="D1759">
        <v>2</v>
      </c>
      <c r="E1759">
        <v>2603.1999999999998</v>
      </c>
      <c r="F1759" s="1">
        <v>38189</v>
      </c>
      <c r="G1759" t="s">
        <v>25</v>
      </c>
      <c r="H1759">
        <v>3</v>
      </c>
      <c r="I1759">
        <v>7</v>
      </c>
      <c r="J1759">
        <v>2004</v>
      </c>
      <c r="K1759" t="s">
        <v>566</v>
      </c>
      <c r="L1759">
        <v>68</v>
      </c>
      <c r="M1759" t="s">
        <v>633</v>
      </c>
      <c r="N1759" t="s">
        <v>281</v>
      </c>
      <c r="O1759">
        <v>6175558555</v>
      </c>
      <c r="P1759" t="s">
        <v>282</v>
      </c>
      <c r="R1759" t="s">
        <v>283</v>
      </c>
      <c r="S1759" t="s">
        <v>123</v>
      </c>
      <c r="T1759">
        <v>58339</v>
      </c>
      <c r="U1759" t="s">
        <v>32</v>
      </c>
      <c r="V1759" t="s">
        <v>33</v>
      </c>
      <c r="W1759" t="s">
        <v>275</v>
      </c>
      <c r="X1759" t="s">
        <v>284</v>
      </c>
      <c r="Y1759" t="s">
        <v>36</v>
      </c>
    </row>
    <row r="1760" spans="1:25" x14ac:dyDescent="0.25">
      <c r="A1760">
        <v>10284</v>
      </c>
      <c r="B1760">
        <v>30</v>
      </c>
      <c r="C1760">
        <v>73.989999999999995</v>
      </c>
      <c r="D1760">
        <v>12</v>
      </c>
      <c r="E1760">
        <v>2219.6999999999998</v>
      </c>
      <c r="F1760" s="1">
        <v>38220</v>
      </c>
      <c r="G1760" t="s">
        <v>25</v>
      </c>
      <c r="H1760">
        <v>3</v>
      </c>
      <c r="I1760">
        <v>8</v>
      </c>
      <c r="J1760">
        <v>2004</v>
      </c>
      <c r="K1760" t="s">
        <v>566</v>
      </c>
      <c r="L1760">
        <v>68</v>
      </c>
      <c r="M1760" t="s">
        <v>633</v>
      </c>
      <c r="N1760" t="s">
        <v>543</v>
      </c>
      <c r="O1760" t="s">
        <v>544</v>
      </c>
      <c r="P1760" t="s">
        <v>545</v>
      </c>
      <c r="R1760" t="s">
        <v>546</v>
      </c>
      <c r="T1760" t="s">
        <v>547</v>
      </c>
      <c r="U1760" t="s">
        <v>78</v>
      </c>
      <c r="V1760" t="s">
        <v>42</v>
      </c>
      <c r="W1760" t="s">
        <v>548</v>
      </c>
      <c r="X1760" t="s">
        <v>549</v>
      </c>
      <c r="Y1760" t="s">
        <v>36</v>
      </c>
    </row>
    <row r="1761" spans="1:25" x14ac:dyDescent="0.25">
      <c r="A1761">
        <v>10296</v>
      </c>
      <c r="B1761">
        <v>21</v>
      </c>
      <c r="C1761">
        <v>71.25</v>
      </c>
      <c r="D1761">
        <v>8</v>
      </c>
      <c r="E1761">
        <v>1496.25</v>
      </c>
      <c r="F1761" s="1">
        <v>38245</v>
      </c>
      <c r="G1761" t="s">
        <v>25</v>
      </c>
      <c r="H1761">
        <v>3</v>
      </c>
      <c r="I1761">
        <v>9</v>
      </c>
      <c r="J1761">
        <v>2004</v>
      </c>
      <c r="K1761" t="s">
        <v>566</v>
      </c>
      <c r="L1761">
        <v>68</v>
      </c>
      <c r="M1761" t="s">
        <v>633</v>
      </c>
      <c r="N1761" t="s">
        <v>572</v>
      </c>
      <c r="O1761" t="s">
        <v>573</v>
      </c>
      <c r="P1761" t="s">
        <v>574</v>
      </c>
      <c r="R1761" t="s">
        <v>575</v>
      </c>
      <c r="T1761">
        <v>80686</v>
      </c>
      <c r="U1761" t="s">
        <v>443</v>
      </c>
      <c r="V1761" t="s">
        <v>42</v>
      </c>
      <c r="W1761" t="s">
        <v>576</v>
      </c>
      <c r="X1761" t="s">
        <v>103</v>
      </c>
      <c r="Y1761" t="s">
        <v>36</v>
      </c>
    </row>
    <row r="1762" spans="1:25" x14ac:dyDescent="0.25">
      <c r="A1762">
        <v>10307</v>
      </c>
      <c r="B1762">
        <v>25</v>
      </c>
      <c r="C1762">
        <v>75.36</v>
      </c>
      <c r="D1762">
        <v>2</v>
      </c>
      <c r="E1762">
        <v>1884</v>
      </c>
      <c r="F1762" s="1">
        <v>38274</v>
      </c>
      <c r="G1762" t="s">
        <v>25</v>
      </c>
      <c r="H1762">
        <v>4</v>
      </c>
      <c r="I1762">
        <v>10</v>
      </c>
      <c r="J1762">
        <v>2004</v>
      </c>
      <c r="K1762" t="s">
        <v>566</v>
      </c>
      <c r="L1762">
        <v>68</v>
      </c>
      <c r="M1762" t="s">
        <v>633</v>
      </c>
      <c r="N1762" t="s">
        <v>214</v>
      </c>
      <c r="O1762">
        <v>2155554695</v>
      </c>
      <c r="P1762" t="s">
        <v>215</v>
      </c>
      <c r="R1762" t="s">
        <v>216</v>
      </c>
      <c r="S1762" t="s">
        <v>142</v>
      </c>
      <c r="T1762">
        <v>71270</v>
      </c>
      <c r="U1762" t="s">
        <v>32</v>
      </c>
      <c r="V1762" t="s">
        <v>33</v>
      </c>
      <c r="W1762" t="s">
        <v>217</v>
      </c>
      <c r="X1762" t="s">
        <v>218</v>
      </c>
      <c r="Y1762" t="s">
        <v>36</v>
      </c>
    </row>
    <row r="1763" spans="1:25" x14ac:dyDescent="0.25">
      <c r="A1763">
        <v>10316</v>
      </c>
      <c r="B1763">
        <v>34</v>
      </c>
      <c r="C1763">
        <v>63.71</v>
      </c>
      <c r="D1763">
        <v>10</v>
      </c>
      <c r="E1763">
        <v>2166.14</v>
      </c>
      <c r="F1763" s="1">
        <v>38292</v>
      </c>
      <c r="G1763" t="s">
        <v>25</v>
      </c>
      <c r="H1763">
        <v>4</v>
      </c>
      <c r="I1763">
        <v>11</v>
      </c>
      <c r="J1763">
        <v>2004</v>
      </c>
      <c r="K1763" t="s">
        <v>566</v>
      </c>
      <c r="L1763">
        <v>68</v>
      </c>
      <c r="M1763" t="s">
        <v>633</v>
      </c>
      <c r="N1763" t="s">
        <v>383</v>
      </c>
      <c r="O1763" t="s">
        <v>384</v>
      </c>
      <c r="P1763" t="s">
        <v>385</v>
      </c>
      <c r="R1763" t="s">
        <v>386</v>
      </c>
      <c r="S1763" t="s">
        <v>387</v>
      </c>
      <c r="T1763" t="s">
        <v>388</v>
      </c>
      <c r="U1763" t="s">
        <v>170</v>
      </c>
      <c r="V1763" t="s">
        <v>42</v>
      </c>
      <c r="W1763" t="s">
        <v>389</v>
      </c>
      <c r="X1763" t="s">
        <v>390</v>
      </c>
      <c r="Y1763" t="s">
        <v>36</v>
      </c>
    </row>
    <row r="1764" spans="1:25" x14ac:dyDescent="0.25">
      <c r="A1764">
        <v>10328</v>
      </c>
      <c r="B1764">
        <v>48</v>
      </c>
      <c r="C1764">
        <v>58.92</v>
      </c>
      <c r="D1764">
        <v>1</v>
      </c>
      <c r="E1764">
        <v>2828.16</v>
      </c>
      <c r="F1764" s="1">
        <v>38303</v>
      </c>
      <c r="G1764" t="s">
        <v>25</v>
      </c>
      <c r="H1764">
        <v>4</v>
      </c>
      <c r="I1764">
        <v>11</v>
      </c>
      <c r="J1764">
        <v>2004</v>
      </c>
      <c r="K1764" t="s">
        <v>566</v>
      </c>
      <c r="L1764">
        <v>68</v>
      </c>
      <c r="M1764" t="s">
        <v>633</v>
      </c>
      <c r="N1764" t="s">
        <v>552</v>
      </c>
      <c r="O1764" t="s">
        <v>553</v>
      </c>
      <c r="P1764" t="s">
        <v>554</v>
      </c>
      <c r="R1764" t="s">
        <v>555</v>
      </c>
      <c r="T1764">
        <v>24100</v>
      </c>
      <c r="U1764" t="s">
        <v>258</v>
      </c>
      <c r="V1764" t="s">
        <v>42</v>
      </c>
      <c r="W1764" t="s">
        <v>556</v>
      </c>
      <c r="X1764" t="s">
        <v>557</v>
      </c>
      <c r="Y1764" t="s">
        <v>36</v>
      </c>
    </row>
    <row r="1765" spans="1:25" x14ac:dyDescent="0.25">
      <c r="A1765">
        <v>10339</v>
      </c>
      <c r="B1765">
        <v>55</v>
      </c>
      <c r="C1765">
        <v>100</v>
      </c>
      <c r="D1765">
        <v>12</v>
      </c>
      <c r="E1765">
        <v>6214.45</v>
      </c>
      <c r="F1765" s="1">
        <v>38314</v>
      </c>
      <c r="G1765" t="s">
        <v>25</v>
      </c>
      <c r="H1765">
        <v>4</v>
      </c>
      <c r="I1765">
        <v>11</v>
      </c>
      <c r="J1765">
        <v>2004</v>
      </c>
      <c r="K1765" t="s">
        <v>566</v>
      </c>
      <c r="L1765">
        <v>68</v>
      </c>
      <c r="M1765" t="s">
        <v>633</v>
      </c>
      <c r="N1765" t="s">
        <v>246</v>
      </c>
      <c r="O1765" t="s">
        <v>247</v>
      </c>
      <c r="P1765" t="s">
        <v>248</v>
      </c>
      <c r="R1765" t="s">
        <v>249</v>
      </c>
      <c r="S1765" t="s">
        <v>250</v>
      </c>
      <c r="T1765" t="s">
        <v>251</v>
      </c>
      <c r="U1765" t="s">
        <v>200</v>
      </c>
      <c r="V1765" t="s">
        <v>200</v>
      </c>
      <c r="W1765" t="s">
        <v>252</v>
      </c>
      <c r="X1765" t="s">
        <v>253</v>
      </c>
      <c r="Y1765" t="s">
        <v>51</v>
      </c>
    </row>
    <row r="1766" spans="1:25" x14ac:dyDescent="0.25">
      <c r="A1766">
        <v>10351</v>
      </c>
      <c r="B1766">
        <v>25</v>
      </c>
      <c r="C1766">
        <v>74.680000000000007</v>
      </c>
      <c r="D1766">
        <v>5</v>
      </c>
      <c r="E1766">
        <v>1867</v>
      </c>
      <c r="F1766" s="1">
        <v>38324</v>
      </c>
      <c r="G1766" t="s">
        <v>25</v>
      </c>
      <c r="H1766">
        <v>4</v>
      </c>
      <c r="I1766">
        <v>12</v>
      </c>
      <c r="J1766">
        <v>2004</v>
      </c>
      <c r="K1766" t="s">
        <v>566</v>
      </c>
      <c r="L1766">
        <v>68</v>
      </c>
      <c r="M1766" t="s">
        <v>633</v>
      </c>
      <c r="N1766" t="s">
        <v>329</v>
      </c>
      <c r="O1766" t="s">
        <v>330</v>
      </c>
      <c r="P1766" t="s">
        <v>331</v>
      </c>
      <c r="R1766" t="s">
        <v>332</v>
      </c>
      <c r="T1766" t="s">
        <v>333</v>
      </c>
      <c r="U1766" t="s">
        <v>170</v>
      </c>
      <c r="V1766" t="s">
        <v>42</v>
      </c>
      <c r="W1766" t="s">
        <v>61</v>
      </c>
      <c r="X1766" t="s">
        <v>334</v>
      </c>
      <c r="Y1766" t="s">
        <v>36</v>
      </c>
    </row>
    <row r="1767" spans="1:25" x14ac:dyDescent="0.25">
      <c r="A1767">
        <v>10373</v>
      </c>
      <c r="B1767">
        <v>38</v>
      </c>
      <c r="C1767">
        <v>70.44</v>
      </c>
      <c r="D1767">
        <v>7</v>
      </c>
      <c r="E1767">
        <v>2676.72</v>
      </c>
      <c r="F1767" s="1">
        <v>38383</v>
      </c>
      <c r="G1767" t="s">
        <v>25</v>
      </c>
      <c r="H1767">
        <v>1</v>
      </c>
      <c r="I1767">
        <v>1</v>
      </c>
      <c r="J1767">
        <v>2005</v>
      </c>
      <c r="K1767" t="s">
        <v>566</v>
      </c>
      <c r="L1767">
        <v>68</v>
      </c>
      <c r="M1767" t="s">
        <v>633</v>
      </c>
      <c r="N1767" t="s">
        <v>391</v>
      </c>
      <c r="O1767" t="s">
        <v>392</v>
      </c>
      <c r="P1767" t="s">
        <v>393</v>
      </c>
      <c r="R1767" t="s">
        <v>394</v>
      </c>
      <c r="T1767">
        <v>90110</v>
      </c>
      <c r="U1767" t="s">
        <v>130</v>
      </c>
      <c r="V1767" t="s">
        <v>42</v>
      </c>
      <c r="W1767" t="s">
        <v>395</v>
      </c>
      <c r="X1767" t="s">
        <v>396</v>
      </c>
      <c r="Y1767" t="s">
        <v>36</v>
      </c>
    </row>
    <row r="1768" spans="1:25" x14ac:dyDescent="0.25">
      <c r="A1768">
        <v>10386</v>
      </c>
      <c r="B1768">
        <v>39</v>
      </c>
      <c r="C1768">
        <v>55.96</v>
      </c>
      <c r="D1768">
        <v>1</v>
      </c>
      <c r="E1768">
        <v>2182.44</v>
      </c>
      <c r="F1768" s="1">
        <v>38412</v>
      </c>
      <c r="G1768" t="s">
        <v>408</v>
      </c>
      <c r="H1768">
        <v>1</v>
      </c>
      <c r="I1768">
        <v>3</v>
      </c>
      <c r="J1768">
        <v>2005</v>
      </c>
      <c r="K1768" t="s">
        <v>566</v>
      </c>
      <c r="L1768">
        <v>68</v>
      </c>
      <c r="M1768" t="s">
        <v>633</v>
      </c>
      <c r="N1768" t="s">
        <v>174</v>
      </c>
      <c r="O1768" t="s">
        <v>175</v>
      </c>
      <c r="P1768" t="s">
        <v>176</v>
      </c>
      <c r="R1768" t="s">
        <v>177</v>
      </c>
      <c r="T1768">
        <v>28034</v>
      </c>
      <c r="U1768" t="s">
        <v>178</v>
      </c>
      <c r="V1768" t="s">
        <v>42</v>
      </c>
      <c r="W1768" t="s">
        <v>179</v>
      </c>
      <c r="X1768" t="s">
        <v>180</v>
      </c>
      <c r="Y1768" t="s">
        <v>36</v>
      </c>
    </row>
    <row r="1769" spans="1:25" x14ac:dyDescent="0.25">
      <c r="A1769">
        <v>10398</v>
      </c>
      <c r="B1769">
        <v>28</v>
      </c>
      <c r="C1769">
        <v>57.55</v>
      </c>
      <c r="D1769">
        <v>3</v>
      </c>
      <c r="E1769">
        <v>1611.4</v>
      </c>
      <c r="F1769" s="1">
        <v>38441</v>
      </c>
      <c r="G1769" t="s">
        <v>25</v>
      </c>
      <c r="H1769">
        <v>1</v>
      </c>
      <c r="I1769">
        <v>3</v>
      </c>
      <c r="J1769">
        <v>2005</v>
      </c>
      <c r="K1769" t="s">
        <v>566</v>
      </c>
      <c r="L1769">
        <v>68</v>
      </c>
      <c r="M1769" t="s">
        <v>633</v>
      </c>
      <c r="N1769" t="s">
        <v>37</v>
      </c>
      <c r="O1769" t="s">
        <v>38</v>
      </c>
      <c r="P1769" t="s">
        <v>39</v>
      </c>
      <c r="R1769" t="s">
        <v>40</v>
      </c>
      <c r="T1769">
        <v>51100</v>
      </c>
      <c r="U1769" t="s">
        <v>41</v>
      </c>
      <c r="V1769" t="s">
        <v>42</v>
      </c>
      <c r="W1769" t="s">
        <v>43</v>
      </c>
      <c r="X1769" t="s">
        <v>44</v>
      </c>
      <c r="Y1769" t="s">
        <v>36</v>
      </c>
    </row>
    <row r="1770" spans="1:25" x14ac:dyDescent="0.25">
      <c r="A1770">
        <v>10400</v>
      </c>
      <c r="B1770">
        <v>24</v>
      </c>
      <c r="C1770">
        <v>61.66</v>
      </c>
      <c r="D1770">
        <v>2</v>
      </c>
      <c r="E1770">
        <v>1479.84</v>
      </c>
      <c r="F1770" s="1">
        <v>38443</v>
      </c>
      <c r="G1770" t="s">
        <v>25</v>
      </c>
      <c r="H1770">
        <v>2</v>
      </c>
      <c r="I1770">
        <v>4</v>
      </c>
      <c r="J1770">
        <v>2005</v>
      </c>
      <c r="K1770" t="s">
        <v>566</v>
      </c>
      <c r="L1770">
        <v>68</v>
      </c>
      <c r="M1770" t="s">
        <v>633</v>
      </c>
      <c r="N1770" t="s">
        <v>397</v>
      </c>
      <c r="O1770">
        <v>4085553659</v>
      </c>
      <c r="P1770" t="s">
        <v>398</v>
      </c>
      <c r="R1770" t="s">
        <v>399</v>
      </c>
      <c r="S1770" t="s">
        <v>55</v>
      </c>
      <c r="T1770">
        <v>94217</v>
      </c>
      <c r="U1770" t="s">
        <v>32</v>
      </c>
      <c r="V1770" t="s">
        <v>33</v>
      </c>
      <c r="W1770" t="s">
        <v>102</v>
      </c>
      <c r="X1770" t="s">
        <v>400</v>
      </c>
      <c r="Y1770" t="s">
        <v>36</v>
      </c>
    </row>
    <row r="1771" spans="1:25" x14ac:dyDescent="0.25">
      <c r="A1771">
        <v>10415</v>
      </c>
      <c r="B1771">
        <v>21</v>
      </c>
      <c r="C1771">
        <v>67.819999999999993</v>
      </c>
      <c r="D1771">
        <v>1</v>
      </c>
      <c r="E1771">
        <v>1424.22</v>
      </c>
      <c r="F1771" s="1">
        <v>38481</v>
      </c>
      <c r="G1771" t="s">
        <v>173</v>
      </c>
      <c r="H1771">
        <v>2</v>
      </c>
      <c r="I1771">
        <v>5</v>
      </c>
      <c r="J1771">
        <v>2005</v>
      </c>
      <c r="K1771" t="s">
        <v>566</v>
      </c>
      <c r="L1771">
        <v>68</v>
      </c>
      <c r="M1771" t="s">
        <v>633</v>
      </c>
      <c r="N1771" t="s">
        <v>558</v>
      </c>
      <c r="O1771" t="s">
        <v>559</v>
      </c>
      <c r="P1771" t="s">
        <v>560</v>
      </c>
      <c r="R1771" t="s">
        <v>561</v>
      </c>
      <c r="S1771" t="s">
        <v>94</v>
      </c>
      <c r="T1771">
        <v>3150</v>
      </c>
      <c r="U1771" t="s">
        <v>95</v>
      </c>
      <c r="V1771" t="s">
        <v>96</v>
      </c>
      <c r="W1771" t="s">
        <v>562</v>
      </c>
      <c r="X1771" t="s">
        <v>563</v>
      </c>
      <c r="Y1771" t="s">
        <v>36</v>
      </c>
    </row>
    <row r="1772" spans="1:25" x14ac:dyDescent="0.25">
      <c r="A1772">
        <v>10110</v>
      </c>
      <c r="B1772">
        <v>46</v>
      </c>
      <c r="C1772">
        <v>100</v>
      </c>
      <c r="D1772">
        <v>10</v>
      </c>
      <c r="E1772">
        <v>5942.28</v>
      </c>
      <c r="F1772" s="1">
        <v>37698</v>
      </c>
      <c r="G1772" t="s">
        <v>25</v>
      </c>
      <c r="H1772">
        <v>1</v>
      </c>
      <c r="I1772">
        <v>3</v>
      </c>
      <c r="J1772">
        <v>2003</v>
      </c>
      <c r="K1772" t="s">
        <v>181</v>
      </c>
      <c r="L1772">
        <v>117</v>
      </c>
      <c r="M1772" t="s">
        <v>634</v>
      </c>
      <c r="N1772" t="s">
        <v>492</v>
      </c>
      <c r="O1772" t="s">
        <v>493</v>
      </c>
      <c r="P1772" t="s">
        <v>494</v>
      </c>
      <c r="R1772" t="s">
        <v>495</v>
      </c>
      <c r="T1772" t="s">
        <v>496</v>
      </c>
      <c r="U1772" t="s">
        <v>170</v>
      </c>
      <c r="V1772" t="s">
        <v>42</v>
      </c>
      <c r="W1772" t="s">
        <v>497</v>
      </c>
      <c r="X1772" t="s">
        <v>94</v>
      </c>
      <c r="Y1772" t="s">
        <v>51</v>
      </c>
    </row>
    <row r="1773" spans="1:25" x14ac:dyDescent="0.25">
      <c r="A1773">
        <v>10124</v>
      </c>
      <c r="B1773">
        <v>25</v>
      </c>
      <c r="C1773">
        <v>93.95</v>
      </c>
      <c r="D1773">
        <v>9</v>
      </c>
      <c r="E1773">
        <v>2348.75</v>
      </c>
      <c r="F1773" s="1">
        <v>37762</v>
      </c>
      <c r="G1773" t="s">
        <v>25</v>
      </c>
      <c r="H1773">
        <v>2</v>
      </c>
      <c r="I1773">
        <v>5</v>
      </c>
      <c r="J1773">
        <v>2003</v>
      </c>
      <c r="K1773" t="s">
        <v>181</v>
      </c>
      <c r="L1773">
        <v>117</v>
      </c>
      <c r="M1773" t="s">
        <v>634</v>
      </c>
      <c r="N1773" t="s">
        <v>539</v>
      </c>
      <c r="O1773">
        <v>7025551838</v>
      </c>
      <c r="P1773" t="s">
        <v>540</v>
      </c>
      <c r="R1773" t="s">
        <v>541</v>
      </c>
      <c r="S1773" t="s">
        <v>542</v>
      </c>
      <c r="T1773">
        <v>83030</v>
      </c>
      <c r="U1773" t="s">
        <v>32</v>
      </c>
      <c r="V1773" t="s">
        <v>33</v>
      </c>
      <c r="W1773" t="s">
        <v>113</v>
      </c>
      <c r="X1773" t="s">
        <v>400</v>
      </c>
      <c r="Y1773" t="s">
        <v>36</v>
      </c>
    </row>
    <row r="1774" spans="1:25" x14ac:dyDescent="0.25">
      <c r="A1774">
        <v>10148</v>
      </c>
      <c r="B1774">
        <v>34</v>
      </c>
      <c r="C1774">
        <v>100</v>
      </c>
      <c r="D1774">
        <v>3</v>
      </c>
      <c r="E1774">
        <v>4392.12</v>
      </c>
      <c r="F1774" s="1">
        <v>37875</v>
      </c>
      <c r="G1774" t="s">
        <v>25</v>
      </c>
      <c r="H1774">
        <v>3</v>
      </c>
      <c r="I1774">
        <v>9</v>
      </c>
      <c r="J1774">
        <v>2003</v>
      </c>
      <c r="K1774" t="s">
        <v>181</v>
      </c>
      <c r="L1774">
        <v>117</v>
      </c>
      <c r="M1774" t="s">
        <v>634</v>
      </c>
      <c r="N1774" t="s">
        <v>285</v>
      </c>
      <c r="O1774" t="s">
        <v>286</v>
      </c>
      <c r="P1774" t="s">
        <v>287</v>
      </c>
      <c r="Q1774" t="s">
        <v>288</v>
      </c>
      <c r="R1774" t="s">
        <v>289</v>
      </c>
      <c r="S1774" t="s">
        <v>157</v>
      </c>
      <c r="T1774">
        <v>2060</v>
      </c>
      <c r="U1774" t="s">
        <v>95</v>
      </c>
      <c r="V1774" t="s">
        <v>96</v>
      </c>
      <c r="W1774" t="s">
        <v>290</v>
      </c>
      <c r="X1774" t="s">
        <v>291</v>
      </c>
      <c r="Y1774" t="s">
        <v>51</v>
      </c>
    </row>
    <row r="1775" spans="1:25" x14ac:dyDescent="0.25">
      <c r="A1775">
        <v>10161</v>
      </c>
      <c r="B1775">
        <v>25</v>
      </c>
      <c r="C1775">
        <v>100</v>
      </c>
      <c r="D1775">
        <v>2</v>
      </c>
      <c r="E1775">
        <v>2759.75</v>
      </c>
      <c r="F1775" s="1">
        <v>37911</v>
      </c>
      <c r="G1775" t="s">
        <v>25</v>
      </c>
      <c r="H1775">
        <v>4</v>
      </c>
      <c r="I1775">
        <v>10</v>
      </c>
      <c r="J1775">
        <v>2003</v>
      </c>
      <c r="K1775" t="s">
        <v>181</v>
      </c>
      <c r="L1775">
        <v>117</v>
      </c>
      <c r="M1775" t="s">
        <v>634</v>
      </c>
      <c r="N1775" t="s">
        <v>498</v>
      </c>
      <c r="O1775" t="s">
        <v>499</v>
      </c>
      <c r="P1775" t="s">
        <v>500</v>
      </c>
      <c r="R1775" t="s">
        <v>501</v>
      </c>
      <c r="T1775">
        <v>8200</v>
      </c>
      <c r="U1775" t="s">
        <v>326</v>
      </c>
      <c r="V1775" t="s">
        <v>42</v>
      </c>
      <c r="W1775" t="s">
        <v>502</v>
      </c>
      <c r="X1775" t="s">
        <v>503</v>
      </c>
      <c r="Y1775" t="s">
        <v>36</v>
      </c>
    </row>
    <row r="1776" spans="1:25" x14ac:dyDescent="0.25">
      <c r="A1776">
        <v>10173</v>
      </c>
      <c r="B1776">
        <v>23</v>
      </c>
      <c r="C1776">
        <v>100</v>
      </c>
      <c r="D1776">
        <v>16</v>
      </c>
      <c r="E1776">
        <v>2728.03</v>
      </c>
      <c r="F1776" s="1">
        <v>37930</v>
      </c>
      <c r="G1776" t="s">
        <v>25</v>
      </c>
      <c r="H1776">
        <v>4</v>
      </c>
      <c r="I1776">
        <v>11</v>
      </c>
      <c r="J1776">
        <v>2003</v>
      </c>
      <c r="K1776" t="s">
        <v>181</v>
      </c>
      <c r="L1776">
        <v>117</v>
      </c>
      <c r="M1776" t="s">
        <v>634</v>
      </c>
      <c r="N1776" t="s">
        <v>552</v>
      </c>
      <c r="O1776" t="s">
        <v>553</v>
      </c>
      <c r="P1776" t="s">
        <v>554</v>
      </c>
      <c r="R1776" t="s">
        <v>555</v>
      </c>
      <c r="T1776">
        <v>24100</v>
      </c>
      <c r="U1776" t="s">
        <v>258</v>
      </c>
      <c r="V1776" t="s">
        <v>42</v>
      </c>
      <c r="W1776" t="s">
        <v>556</v>
      </c>
      <c r="X1776" t="s">
        <v>557</v>
      </c>
      <c r="Y1776" t="s">
        <v>36</v>
      </c>
    </row>
    <row r="1777" spans="1:25" x14ac:dyDescent="0.25">
      <c r="A1777">
        <v>10182</v>
      </c>
      <c r="B1777">
        <v>20</v>
      </c>
      <c r="C1777">
        <v>100</v>
      </c>
      <c r="D1777">
        <v>13</v>
      </c>
      <c r="E1777">
        <v>2395.8000000000002</v>
      </c>
      <c r="F1777" s="1">
        <v>37937</v>
      </c>
      <c r="G1777" t="s">
        <v>25</v>
      </c>
      <c r="H1777">
        <v>4</v>
      </c>
      <c r="I1777">
        <v>11</v>
      </c>
      <c r="J1777">
        <v>2003</v>
      </c>
      <c r="K1777" t="s">
        <v>181</v>
      </c>
      <c r="L1777">
        <v>117</v>
      </c>
      <c r="M1777" t="s">
        <v>634</v>
      </c>
      <c r="N1777" t="s">
        <v>272</v>
      </c>
      <c r="O1777">
        <v>4155551450</v>
      </c>
      <c r="P1777" t="s">
        <v>273</v>
      </c>
      <c r="R1777" t="s">
        <v>274</v>
      </c>
      <c r="S1777" t="s">
        <v>55</v>
      </c>
      <c r="T1777">
        <v>97562</v>
      </c>
      <c r="U1777" t="s">
        <v>32</v>
      </c>
      <c r="V1777" t="s">
        <v>33</v>
      </c>
      <c r="W1777" t="s">
        <v>275</v>
      </c>
      <c r="X1777" t="s">
        <v>276</v>
      </c>
      <c r="Y1777" t="s">
        <v>36</v>
      </c>
    </row>
    <row r="1778" spans="1:25" x14ac:dyDescent="0.25">
      <c r="A1778">
        <v>10192</v>
      </c>
      <c r="B1778">
        <v>23</v>
      </c>
      <c r="C1778">
        <v>100</v>
      </c>
      <c r="D1778">
        <v>1</v>
      </c>
      <c r="E1778">
        <v>3052.33</v>
      </c>
      <c r="F1778" s="1">
        <v>37945</v>
      </c>
      <c r="G1778" t="s">
        <v>25</v>
      </c>
      <c r="H1778">
        <v>4</v>
      </c>
      <c r="I1778">
        <v>11</v>
      </c>
      <c r="J1778">
        <v>2003</v>
      </c>
      <c r="K1778" t="s">
        <v>181</v>
      </c>
      <c r="L1778">
        <v>117</v>
      </c>
      <c r="M1778" t="s">
        <v>634</v>
      </c>
      <c r="N1778" t="s">
        <v>277</v>
      </c>
      <c r="O1778">
        <v>6035558647</v>
      </c>
      <c r="P1778" t="s">
        <v>278</v>
      </c>
      <c r="R1778" t="s">
        <v>279</v>
      </c>
      <c r="S1778" t="s">
        <v>280</v>
      </c>
      <c r="T1778">
        <v>62005</v>
      </c>
      <c r="U1778" t="s">
        <v>32</v>
      </c>
      <c r="V1778" t="s">
        <v>33</v>
      </c>
      <c r="W1778" t="s">
        <v>56</v>
      </c>
      <c r="X1778" t="s">
        <v>276</v>
      </c>
      <c r="Y1778" t="s">
        <v>51</v>
      </c>
    </row>
    <row r="1779" spans="1:25" x14ac:dyDescent="0.25">
      <c r="A1779">
        <v>10204</v>
      </c>
      <c r="B1779">
        <v>42</v>
      </c>
      <c r="C1779">
        <v>100</v>
      </c>
      <c r="D1779">
        <v>7</v>
      </c>
      <c r="E1779">
        <v>4242</v>
      </c>
      <c r="F1779" s="1">
        <v>37957</v>
      </c>
      <c r="G1779" t="s">
        <v>25</v>
      </c>
      <c r="H1779">
        <v>4</v>
      </c>
      <c r="I1779">
        <v>12</v>
      </c>
      <c r="J1779">
        <v>2003</v>
      </c>
      <c r="K1779" t="s">
        <v>181</v>
      </c>
      <c r="L1779">
        <v>117</v>
      </c>
      <c r="M1779" t="s">
        <v>634</v>
      </c>
      <c r="N1779" t="s">
        <v>475</v>
      </c>
      <c r="O1779">
        <v>2125557413</v>
      </c>
      <c r="P1779" t="s">
        <v>476</v>
      </c>
      <c r="Q1779" t="s">
        <v>477</v>
      </c>
      <c r="R1779" t="s">
        <v>30</v>
      </c>
      <c r="S1779" t="s">
        <v>31</v>
      </c>
      <c r="T1779">
        <v>10022</v>
      </c>
      <c r="U1779" t="s">
        <v>32</v>
      </c>
      <c r="V1779" t="s">
        <v>33</v>
      </c>
      <c r="W1779" t="s">
        <v>56</v>
      </c>
      <c r="X1779" t="s">
        <v>478</v>
      </c>
      <c r="Y1779" t="s">
        <v>51</v>
      </c>
    </row>
    <row r="1780" spans="1:25" x14ac:dyDescent="0.25">
      <c r="A1780">
        <v>10213</v>
      </c>
      <c r="B1780">
        <v>27</v>
      </c>
      <c r="C1780">
        <v>100</v>
      </c>
      <c r="D1780">
        <v>3</v>
      </c>
      <c r="E1780">
        <v>2790.45</v>
      </c>
      <c r="F1780" s="1">
        <v>38008</v>
      </c>
      <c r="G1780" t="s">
        <v>25</v>
      </c>
      <c r="H1780">
        <v>1</v>
      </c>
      <c r="I1780">
        <v>1</v>
      </c>
      <c r="J1780">
        <v>2004</v>
      </c>
      <c r="K1780" t="s">
        <v>181</v>
      </c>
      <c r="L1780">
        <v>117</v>
      </c>
      <c r="M1780" t="s">
        <v>634</v>
      </c>
      <c r="N1780" t="s">
        <v>346</v>
      </c>
      <c r="O1780" t="s">
        <v>347</v>
      </c>
      <c r="P1780" t="s">
        <v>348</v>
      </c>
      <c r="R1780" t="s">
        <v>332</v>
      </c>
      <c r="T1780" t="s">
        <v>349</v>
      </c>
      <c r="U1780" t="s">
        <v>170</v>
      </c>
      <c r="V1780" t="s">
        <v>42</v>
      </c>
      <c r="W1780" t="s">
        <v>350</v>
      </c>
      <c r="X1780" t="s">
        <v>351</v>
      </c>
      <c r="Y1780" t="s">
        <v>36</v>
      </c>
    </row>
    <row r="1781" spans="1:25" x14ac:dyDescent="0.25">
      <c r="A1781">
        <v>10227</v>
      </c>
      <c r="B1781">
        <v>33</v>
      </c>
      <c r="C1781">
        <v>100</v>
      </c>
      <c r="D1781">
        <v>13</v>
      </c>
      <c r="E1781">
        <v>4340.49</v>
      </c>
      <c r="F1781" s="1">
        <v>38048</v>
      </c>
      <c r="G1781" t="s">
        <v>25</v>
      </c>
      <c r="H1781">
        <v>1</v>
      </c>
      <c r="I1781">
        <v>3</v>
      </c>
      <c r="J1781">
        <v>2004</v>
      </c>
      <c r="K1781" t="s">
        <v>181</v>
      </c>
      <c r="L1781">
        <v>117</v>
      </c>
      <c r="M1781" t="s">
        <v>634</v>
      </c>
      <c r="N1781" t="s">
        <v>219</v>
      </c>
      <c r="O1781" t="s">
        <v>220</v>
      </c>
      <c r="P1781" t="s">
        <v>221</v>
      </c>
      <c r="R1781" t="s">
        <v>222</v>
      </c>
      <c r="T1781">
        <v>69004</v>
      </c>
      <c r="U1781" t="s">
        <v>41</v>
      </c>
      <c r="V1781" t="s">
        <v>42</v>
      </c>
      <c r="W1781" t="s">
        <v>223</v>
      </c>
      <c r="X1781" t="s">
        <v>224</v>
      </c>
      <c r="Y1781" t="s">
        <v>51</v>
      </c>
    </row>
    <row r="1782" spans="1:25" x14ac:dyDescent="0.25">
      <c r="A1782">
        <v>10241</v>
      </c>
      <c r="B1782">
        <v>28</v>
      </c>
      <c r="C1782">
        <v>98.65</v>
      </c>
      <c r="D1782">
        <v>5</v>
      </c>
      <c r="E1782">
        <v>2762.2</v>
      </c>
      <c r="F1782" s="1">
        <v>38090</v>
      </c>
      <c r="G1782" t="s">
        <v>25</v>
      </c>
      <c r="H1782">
        <v>2</v>
      </c>
      <c r="I1782">
        <v>4</v>
      </c>
      <c r="J1782">
        <v>2004</v>
      </c>
      <c r="K1782" t="s">
        <v>181</v>
      </c>
      <c r="L1782">
        <v>117</v>
      </c>
      <c r="M1782" t="s">
        <v>634</v>
      </c>
      <c r="N1782" t="s">
        <v>531</v>
      </c>
      <c r="O1782" t="s">
        <v>532</v>
      </c>
      <c r="P1782" t="s">
        <v>533</v>
      </c>
      <c r="R1782" t="s">
        <v>534</v>
      </c>
      <c r="T1782">
        <v>67000</v>
      </c>
      <c r="U1782" t="s">
        <v>41</v>
      </c>
      <c r="V1782" t="s">
        <v>42</v>
      </c>
      <c r="W1782" t="s">
        <v>535</v>
      </c>
      <c r="X1782" t="s">
        <v>536</v>
      </c>
      <c r="Y1782" t="s">
        <v>36</v>
      </c>
    </row>
    <row r="1783" spans="1:25" x14ac:dyDescent="0.25">
      <c r="A1783">
        <v>10267</v>
      </c>
      <c r="B1783">
        <v>43</v>
      </c>
      <c r="C1783">
        <v>100</v>
      </c>
      <c r="D1783">
        <v>2</v>
      </c>
      <c r="E1783">
        <v>4645.72</v>
      </c>
      <c r="F1783" s="1">
        <v>38175</v>
      </c>
      <c r="G1783" t="s">
        <v>25</v>
      </c>
      <c r="H1783">
        <v>3</v>
      </c>
      <c r="I1783">
        <v>7</v>
      </c>
      <c r="J1783">
        <v>2004</v>
      </c>
      <c r="K1783" t="s">
        <v>181</v>
      </c>
      <c r="L1783">
        <v>117</v>
      </c>
      <c r="M1783" t="s">
        <v>634</v>
      </c>
      <c r="N1783" t="s">
        <v>475</v>
      </c>
      <c r="O1783">
        <v>2125557413</v>
      </c>
      <c r="P1783" t="s">
        <v>476</v>
      </c>
      <c r="Q1783" t="s">
        <v>477</v>
      </c>
      <c r="R1783" t="s">
        <v>30</v>
      </c>
      <c r="S1783" t="s">
        <v>31</v>
      </c>
      <c r="T1783">
        <v>10022</v>
      </c>
      <c r="U1783" t="s">
        <v>32</v>
      </c>
      <c r="V1783" t="s">
        <v>33</v>
      </c>
      <c r="W1783" t="s">
        <v>56</v>
      </c>
      <c r="X1783" t="s">
        <v>478</v>
      </c>
      <c r="Y1783" t="s">
        <v>51</v>
      </c>
    </row>
    <row r="1784" spans="1:25" x14ac:dyDescent="0.25">
      <c r="A1784">
        <v>10279</v>
      </c>
      <c r="B1784">
        <v>48</v>
      </c>
      <c r="C1784">
        <v>100</v>
      </c>
      <c r="D1784">
        <v>2</v>
      </c>
      <c r="E1784">
        <v>5580.96</v>
      </c>
      <c r="F1784" s="1">
        <v>38208</v>
      </c>
      <c r="G1784" t="s">
        <v>25</v>
      </c>
      <c r="H1784">
        <v>3</v>
      </c>
      <c r="I1784">
        <v>8</v>
      </c>
      <c r="J1784">
        <v>2004</v>
      </c>
      <c r="K1784" t="s">
        <v>181</v>
      </c>
      <c r="L1784">
        <v>117</v>
      </c>
      <c r="M1784" t="s">
        <v>634</v>
      </c>
      <c r="N1784" t="s">
        <v>174</v>
      </c>
      <c r="O1784" t="s">
        <v>175</v>
      </c>
      <c r="P1784" t="s">
        <v>176</v>
      </c>
      <c r="R1784" t="s">
        <v>177</v>
      </c>
      <c r="T1784">
        <v>28034</v>
      </c>
      <c r="U1784" t="s">
        <v>178</v>
      </c>
      <c r="V1784" t="s">
        <v>42</v>
      </c>
      <c r="W1784" t="s">
        <v>179</v>
      </c>
      <c r="X1784" t="s">
        <v>180</v>
      </c>
      <c r="Y1784" t="s">
        <v>51</v>
      </c>
    </row>
    <row r="1785" spans="1:25" x14ac:dyDescent="0.25">
      <c r="A1785">
        <v>10288</v>
      </c>
      <c r="B1785">
        <v>48</v>
      </c>
      <c r="C1785">
        <v>100</v>
      </c>
      <c r="D1785">
        <v>8</v>
      </c>
      <c r="E1785">
        <v>6539.04</v>
      </c>
      <c r="F1785" s="1">
        <v>38231</v>
      </c>
      <c r="G1785" t="s">
        <v>25</v>
      </c>
      <c r="H1785">
        <v>3</v>
      </c>
      <c r="I1785">
        <v>9</v>
      </c>
      <c r="J1785">
        <v>2004</v>
      </c>
      <c r="K1785" t="s">
        <v>181</v>
      </c>
      <c r="L1785">
        <v>117</v>
      </c>
      <c r="M1785" t="s">
        <v>634</v>
      </c>
      <c r="N1785" t="s">
        <v>418</v>
      </c>
      <c r="O1785" t="s">
        <v>419</v>
      </c>
      <c r="P1785" t="s">
        <v>420</v>
      </c>
      <c r="Q1785" t="s">
        <v>421</v>
      </c>
      <c r="R1785" t="s">
        <v>199</v>
      </c>
      <c r="T1785">
        <v>69045</v>
      </c>
      <c r="U1785" t="s">
        <v>199</v>
      </c>
      <c r="V1785" t="s">
        <v>96</v>
      </c>
      <c r="W1785" t="s">
        <v>422</v>
      </c>
      <c r="X1785" t="s">
        <v>423</v>
      </c>
      <c r="Y1785" t="s">
        <v>51</v>
      </c>
    </row>
    <row r="1786" spans="1:25" x14ac:dyDescent="0.25">
      <c r="A1786">
        <v>10302</v>
      </c>
      <c r="B1786">
        <v>45</v>
      </c>
      <c r="C1786">
        <v>100</v>
      </c>
      <c r="D1786">
        <v>4</v>
      </c>
      <c r="E1786">
        <v>5548.95</v>
      </c>
      <c r="F1786" s="1">
        <v>37900</v>
      </c>
      <c r="G1786" t="s">
        <v>25</v>
      </c>
      <c r="H1786">
        <v>4</v>
      </c>
      <c r="I1786">
        <v>10</v>
      </c>
      <c r="J1786">
        <v>2003</v>
      </c>
      <c r="K1786" t="s">
        <v>181</v>
      </c>
      <c r="L1786">
        <v>117</v>
      </c>
      <c r="M1786" t="s">
        <v>634</v>
      </c>
      <c r="N1786" t="s">
        <v>165</v>
      </c>
      <c r="O1786" t="s">
        <v>166</v>
      </c>
      <c r="P1786" t="s">
        <v>167</v>
      </c>
      <c r="R1786" t="s">
        <v>168</v>
      </c>
      <c r="T1786" t="s">
        <v>169</v>
      </c>
      <c r="U1786" t="s">
        <v>170</v>
      </c>
      <c r="V1786" t="s">
        <v>42</v>
      </c>
      <c r="W1786" t="s">
        <v>171</v>
      </c>
      <c r="X1786" t="s">
        <v>172</v>
      </c>
      <c r="Y1786" t="s">
        <v>51</v>
      </c>
    </row>
    <row r="1787" spans="1:25" x14ac:dyDescent="0.25">
      <c r="A1787">
        <v>10311</v>
      </c>
      <c r="B1787">
        <v>43</v>
      </c>
      <c r="C1787">
        <v>100</v>
      </c>
      <c r="D1787">
        <v>3</v>
      </c>
      <c r="E1787">
        <v>4595.41</v>
      </c>
      <c r="F1787" s="1">
        <v>38276</v>
      </c>
      <c r="G1787" t="s">
        <v>25</v>
      </c>
      <c r="H1787">
        <v>4</v>
      </c>
      <c r="I1787">
        <v>10</v>
      </c>
      <c r="J1787">
        <v>2004</v>
      </c>
      <c r="K1787" t="s">
        <v>181</v>
      </c>
      <c r="L1787">
        <v>117</v>
      </c>
      <c r="M1787" t="s">
        <v>634</v>
      </c>
      <c r="N1787" t="s">
        <v>174</v>
      </c>
      <c r="O1787" t="s">
        <v>175</v>
      </c>
      <c r="P1787" t="s">
        <v>176</v>
      </c>
      <c r="R1787" t="s">
        <v>177</v>
      </c>
      <c r="T1787">
        <v>28034</v>
      </c>
      <c r="U1787" t="s">
        <v>178</v>
      </c>
      <c r="V1787" t="s">
        <v>42</v>
      </c>
      <c r="W1787" t="s">
        <v>179</v>
      </c>
      <c r="X1787" t="s">
        <v>180</v>
      </c>
      <c r="Y1787" t="s">
        <v>51</v>
      </c>
    </row>
    <row r="1788" spans="1:25" x14ac:dyDescent="0.25">
      <c r="A1788">
        <v>10332</v>
      </c>
      <c r="B1788">
        <v>44</v>
      </c>
      <c r="C1788">
        <v>42.26</v>
      </c>
      <c r="D1788">
        <v>11</v>
      </c>
      <c r="E1788">
        <v>1859.44</v>
      </c>
      <c r="F1788" s="1">
        <v>38308</v>
      </c>
      <c r="G1788" t="s">
        <v>25</v>
      </c>
      <c r="H1788">
        <v>4</v>
      </c>
      <c r="I1788">
        <v>11</v>
      </c>
      <c r="J1788">
        <v>2004</v>
      </c>
      <c r="K1788" t="s">
        <v>181</v>
      </c>
      <c r="L1788">
        <v>117</v>
      </c>
      <c r="M1788" t="s">
        <v>634</v>
      </c>
      <c r="N1788" t="s">
        <v>492</v>
      </c>
      <c r="O1788" t="s">
        <v>493</v>
      </c>
      <c r="P1788" t="s">
        <v>494</v>
      </c>
      <c r="R1788" t="s">
        <v>495</v>
      </c>
      <c r="T1788" t="s">
        <v>496</v>
      </c>
      <c r="U1788" t="s">
        <v>170</v>
      </c>
      <c r="V1788" t="s">
        <v>42</v>
      </c>
      <c r="W1788" t="s">
        <v>497</v>
      </c>
      <c r="X1788" t="s">
        <v>94</v>
      </c>
      <c r="Y1788" t="s">
        <v>36</v>
      </c>
    </row>
    <row r="1789" spans="1:25" x14ac:dyDescent="0.25">
      <c r="A1789">
        <v>10346</v>
      </c>
      <c r="B1789">
        <v>24</v>
      </c>
      <c r="C1789">
        <v>87.24</v>
      </c>
      <c r="D1789">
        <v>5</v>
      </c>
      <c r="E1789">
        <v>2093.7600000000002</v>
      </c>
      <c r="F1789" s="1">
        <v>38320</v>
      </c>
      <c r="G1789" t="s">
        <v>25</v>
      </c>
      <c r="H1789">
        <v>4</v>
      </c>
      <c r="I1789">
        <v>11</v>
      </c>
      <c r="J1789">
        <v>2004</v>
      </c>
      <c r="K1789" t="s">
        <v>181</v>
      </c>
      <c r="L1789">
        <v>117</v>
      </c>
      <c r="M1789" t="s">
        <v>634</v>
      </c>
      <c r="N1789" t="s">
        <v>539</v>
      </c>
      <c r="O1789">
        <v>7025551838</v>
      </c>
      <c r="P1789" t="s">
        <v>540</v>
      </c>
      <c r="R1789" t="s">
        <v>541</v>
      </c>
      <c r="S1789" t="s">
        <v>542</v>
      </c>
      <c r="T1789">
        <v>83030</v>
      </c>
      <c r="U1789" t="s">
        <v>32</v>
      </c>
      <c r="V1789" t="s">
        <v>33</v>
      </c>
      <c r="W1789" t="s">
        <v>113</v>
      </c>
      <c r="X1789" t="s">
        <v>400</v>
      </c>
      <c r="Y1789" t="s">
        <v>36</v>
      </c>
    </row>
    <row r="1790" spans="1:25" x14ac:dyDescent="0.25">
      <c r="A1790">
        <v>10368</v>
      </c>
      <c r="B1790">
        <v>31</v>
      </c>
      <c r="C1790">
        <v>100</v>
      </c>
      <c r="D1790">
        <v>5</v>
      </c>
      <c r="E1790">
        <v>4223.13</v>
      </c>
      <c r="F1790" s="1">
        <v>38371</v>
      </c>
      <c r="G1790" t="s">
        <v>25</v>
      </c>
      <c r="H1790">
        <v>1</v>
      </c>
      <c r="I1790">
        <v>1</v>
      </c>
      <c r="J1790">
        <v>2005</v>
      </c>
      <c r="K1790" t="s">
        <v>181</v>
      </c>
      <c r="L1790">
        <v>117</v>
      </c>
      <c r="M1790" t="s">
        <v>634</v>
      </c>
      <c r="N1790" t="s">
        <v>272</v>
      </c>
      <c r="O1790">
        <v>4155551450</v>
      </c>
      <c r="P1790" t="s">
        <v>273</v>
      </c>
      <c r="R1790" t="s">
        <v>274</v>
      </c>
      <c r="S1790" t="s">
        <v>55</v>
      </c>
      <c r="T1790">
        <v>97562</v>
      </c>
      <c r="U1790" t="s">
        <v>32</v>
      </c>
      <c r="V1790" t="s">
        <v>33</v>
      </c>
      <c r="W1790" t="s">
        <v>275</v>
      </c>
      <c r="X1790" t="s">
        <v>276</v>
      </c>
      <c r="Y1790" t="s">
        <v>51</v>
      </c>
    </row>
    <row r="1791" spans="1:25" x14ac:dyDescent="0.25">
      <c r="A1791">
        <v>10380</v>
      </c>
      <c r="B1791">
        <v>44</v>
      </c>
      <c r="C1791">
        <v>36.29</v>
      </c>
      <c r="D1791">
        <v>7</v>
      </c>
      <c r="E1791">
        <v>1596.76</v>
      </c>
      <c r="F1791" s="1">
        <v>38399</v>
      </c>
      <c r="G1791" t="s">
        <v>25</v>
      </c>
      <c r="H1791">
        <v>1</v>
      </c>
      <c r="I1791">
        <v>2</v>
      </c>
      <c r="J1791">
        <v>2005</v>
      </c>
      <c r="K1791" t="s">
        <v>181</v>
      </c>
      <c r="L1791">
        <v>117</v>
      </c>
      <c r="M1791" t="s">
        <v>634</v>
      </c>
      <c r="N1791" t="s">
        <v>174</v>
      </c>
      <c r="O1791" t="s">
        <v>175</v>
      </c>
      <c r="P1791" t="s">
        <v>176</v>
      </c>
      <c r="R1791" t="s">
        <v>177</v>
      </c>
      <c r="T1791">
        <v>28034</v>
      </c>
      <c r="U1791" t="s">
        <v>178</v>
      </c>
      <c r="V1791" t="s">
        <v>42</v>
      </c>
      <c r="W1791" t="s">
        <v>179</v>
      </c>
      <c r="X1791" t="s">
        <v>180</v>
      </c>
      <c r="Y1791" t="s">
        <v>36</v>
      </c>
    </row>
    <row r="1792" spans="1:25" x14ac:dyDescent="0.25">
      <c r="A1792">
        <v>10407</v>
      </c>
      <c r="B1792">
        <v>59</v>
      </c>
      <c r="C1792">
        <v>98.65</v>
      </c>
      <c r="D1792">
        <v>5</v>
      </c>
      <c r="E1792">
        <v>5820.35</v>
      </c>
      <c r="F1792" s="1">
        <v>38464</v>
      </c>
      <c r="G1792" t="s">
        <v>401</v>
      </c>
      <c r="H1792">
        <v>2</v>
      </c>
      <c r="I1792">
        <v>4</v>
      </c>
      <c r="J1792">
        <v>2005</v>
      </c>
      <c r="K1792" t="s">
        <v>181</v>
      </c>
      <c r="L1792">
        <v>117</v>
      </c>
      <c r="M1792" t="s">
        <v>634</v>
      </c>
      <c r="N1792" t="s">
        <v>397</v>
      </c>
      <c r="O1792">
        <v>4085553659</v>
      </c>
      <c r="P1792" t="s">
        <v>398</v>
      </c>
      <c r="R1792" t="s">
        <v>399</v>
      </c>
      <c r="S1792" t="s">
        <v>55</v>
      </c>
      <c r="T1792">
        <v>94217</v>
      </c>
      <c r="U1792" t="s">
        <v>32</v>
      </c>
      <c r="V1792" t="s">
        <v>33</v>
      </c>
      <c r="W1792" t="s">
        <v>102</v>
      </c>
      <c r="X1792" t="s">
        <v>400</v>
      </c>
      <c r="Y1792" t="s">
        <v>51</v>
      </c>
    </row>
    <row r="1793" spans="1:25" x14ac:dyDescent="0.25">
      <c r="A1793">
        <v>10420</v>
      </c>
      <c r="B1793">
        <v>55</v>
      </c>
      <c r="C1793">
        <v>96.3</v>
      </c>
      <c r="D1793">
        <v>8</v>
      </c>
      <c r="E1793">
        <v>5296.5</v>
      </c>
      <c r="F1793" s="1">
        <v>38501</v>
      </c>
      <c r="G1793" t="s">
        <v>300</v>
      </c>
      <c r="H1793">
        <v>2</v>
      </c>
      <c r="I1793">
        <v>5</v>
      </c>
      <c r="J1793">
        <v>2005</v>
      </c>
      <c r="K1793" t="s">
        <v>181</v>
      </c>
      <c r="L1793">
        <v>117</v>
      </c>
      <c r="M1793" t="s">
        <v>634</v>
      </c>
      <c r="N1793" t="s">
        <v>152</v>
      </c>
      <c r="O1793" t="s">
        <v>153</v>
      </c>
      <c r="P1793" t="s">
        <v>154</v>
      </c>
      <c r="Q1793" t="s">
        <v>155</v>
      </c>
      <c r="R1793" t="s">
        <v>156</v>
      </c>
      <c r="S1793" t="s">
        <v>157</v>
      </c>
      <c r="T1793">
        <v>2067</v>
      </c>
      <c r="U1793" t="s">
        <v>95</v>
      </c>
      <c r="V1793" t="s">
        <v>96</v>
      </c>
      <c r="W1793" t="s">
        <v>158</v>
      </c>
      <c r="X1793" t="s">
        <v>159</v>
      </c>
      <c r="Y1793" t="s">
        <v>51</v>
      </c>
    </row>
    <row r="1794" spans="1:25" x14ac:dyDescent="0.25">
      <c r="A1794">
        <v>10109</v>
      </c>
      <c r="B1794">
        <v>29</v>
      </c>
      <c r="C1794">
        <v>32.1</v>
      </c>
      <c r="D1794">
        <v>6</v>
      </c>
      <c r="E1794">
        <v>930.9</v>
      </c>
      <c r="F1794" s="1">
        <v>37690</v>
      </c>
      <c r="G1794" t="s">
        <v>25</v>
      </c>
      <c r="H1794">
        <v>1</v>
      </c>
      <c r="I1794">
        <v>3</v>
      </c>
      <c r="J1794">
        <v>2003</v>
      </c>
      <c r="K1794" t="s">
        <v>181</v>
      </c>
      <c r="L1794">
        <v>37</v>
      </c>
      <c r="M1794" t="s">
        <v>635</v>
      </c>
      <c r="N1794" t="s">
        <v>309</v>
      </c>
      <c r="O1794">
        <v>2155559857</v>
      </c>
      <c r="P1794" t="s">
        <v>310</v>
      </c>
      <c r="R1794" t="s">
        <v>216</v>
      </c>
      <c r="S1794" t="s">
        <v>142</v>
      </c>
      <c r="T1794">
        <v>71270</v>
      </c>
      <c r="U1794" t="s">
        <v>32</v>
      </c>
      <c r="V1794" t="s">
        <v>33</v>
      </c>
      <c r="W1794" t="s">
        <v>124</v>
      </c>
      <c r="X1794" t="s">
        <v>311</v>
      </c>
      <c r="Y1794" t="s">
        <v>36</v>
      </c>
    </row>
    <row r="1795" spans="1:25" x14ac:dyDescent="0.25">
      <c r="A1795">
        <v>10122</v>
      </c>
      <c r="B1795">
        <v>39</v>
      </c>
      <c r="C1795">
        <v>30.96</v>
      </c>
      <c r="D1795">
        <v>4</v>
      </c>
      <c r="E1795">
        <v>1207.44</v>
      </c>
      <c r="F1795" s="1">
        <v>37749</v>
      </c>
      <c r="G1795" t="s">
        <v>25</v>
      </c>
      <c r="H1795">
        <v>2</v>
      </c>
      <c r="I1795">
        <v>5</v>
      </c>
      <c r="J1795">
        <v>2003</v>
      </c>
      <c r="K1795" t="s">
        <v>181</v>
      </c>
      <c r="L1795">
        <v>37</v>
      </c>
      <c r="M1795" t="s">
        <v>635</v>
      </c>
      <c r="N1795" t="s">
        <v>433</v>
      </c>
      <c r="O1795" t="s">
        <v>434</v>
      </c>
      <c r="P1795" t="s">
        <v>435</v>
      </c>
      <c r="R1795" t="s">
        <v>436</v>
      </c>
      <c r="T1795">
        <v>13008</v>
      </c>
      <c r="U1795" t="s">
        <v>41</v>
      </c>
      <c r="V1795" t="s">
        <v>42</v>
      </c>
      <c r="W1795" t="s">
        <v>437</v>
      </c>
      <c r="X1795" t="s">
        <v>438</v>
      </c>
      <c r="Y1795" t="s">
        <v>36</v>
      </c>
    </row>
    <row r="1796" spans="1:25" x14ac:dyDescent="0.25">
      <c r="A1796">
        <v>10135</v>
      </c>
      <c r="B1796">
        <v>20</v>
      </c>
      <c r="C1796">
        <v>35.869999999999997</v>
      </c>
      <c r="D1796">
        <v>1</v>
      </c>
      <c r="E1796">
        <v>717.4</v>
      </c>
      <c r="F1796" s="1">
        <v>37804</v>
      </c>
      <c r="G1796" t="s">
        <v>25</v>
      </c>
      <c r="H1796">
        <v>3</v>
      </c>
      <c r="I1796">
        <v>7</v>
      </c>
      <c r="J1796">
        <v>2003</v>
      </c>
      <c r="K1796" t="s">
        <v>181</v>
      </c>
      <c r="L1796">
        <v>37</v>
      </c>
      <c r="M1796" t="s">
        <v>635</v>
      </c>
      <c r="N1796" t="s">
        <v>272</v>
      </c>
      <c r="O1796">
        <v>4155551450</v>
      </c>
      <c r="P1796" t="s">
        <v>273</v>
      </c>
      <c r="R1796" t="s">
        <v>274</v>
      </c>
      <c r="S1796" t="s">
        <v>55</v>
      </c>
      <c r="T1796">
        <v>97562</v>
      </c>
      <c r="U1796" t="s">
        <v>32</v>
      </c>
      <c r="V1796" t="s">
        <v>33</v>
      </c>
      <c r="W1796" t="s">
        <v>275</v>
      </c>
      <c r="X1796" t="s">
        <v>276</v>
      </c>
      <c r="Y1796" t="s">
        <v>36</v>
      </c>
    </row>
    <row r="1797" spans="1:25" x14ac:dyDescent="0.25">
      <c r="A1797">
        <v>10147</v>
      </c>
      <c r="B1797">
        <v>25</v>
      </c>
      <c r="C1797">
        <v>42.67</v>
      </c>
      <c r="D1797">
        <v>1</v>
      </c>
      <c r="E1797">
        <v>1066.75</v>
      </c>
      <c r="F1797" s="1">
        <v>37869</v>
      </c>
      <c r="G1797" t="s">
        <v>25</v>
      </c>
      <c r="H1797">
        <v>3</v>
      </c>
      <c r="I1797">
        <v>9</v>
      </c>
      <c r="J1797">
        <v>2003</v>
      </c>
      <c r="K1797" t="s">
        <v>181</v>
      </c>
      <c r="L1797">
        <v>37</v>
      </c>
      <c r="M1797" t="s">
        <v>635</v>
      </c>
      <c r="N1797" t="s">
        <v>281</v>
      </c>
      <c r="O1797">
        <v>6175558555</v>
      </c>
      <c r="P1797" t="s">
        <v>282</v>
      </c>
      <c r="R1797" t="s">
        <v>283</v>
      </c>
      <c r="S1797" t="s">
        <v>123</v>
      </c>
      <c r="T1797">
        <v>58339</v>
      </c>
      <c r="U1797" t="s">
        <v>32</v>
      </c>
      <c r="V1797" t="s">
        <v>33</v>
      </c>
      <c r="W1797" t="s">
        <v>275</v>
      </c>
      <c r="X1797" t="s">
        <v>284</v>
      </c>
      <c r="Y1797" t="s">
        <v>36</v>
      </c>
    </row>
    <row r="1798" spans="1:25" x14ac:dyDescent="0.25">
      <c r="A1798">
        <v>10160</v>
      </c>
      <c r="B1798">
        <v>42</v>
      </c>
      <c r="C1798">
        <v>37</v>
      </c>
      <c r="D1798">
        <v>2</v>
      </c>
      <c r="E1798">
        <v>1554</v>
      </c>
      <c r="F1798" s="1">
        <v>37905</v>
      </c>
      <c r="G1798" t="s">
        <v>25</v>
      </c>
      <c r="H1798">
        <v>4</v>
      </c>
      <c r="I1798">
        <v>10</v>
      </c>
      <c r="J1798">
        <v>2003</v>
      </c>
      <c r="K1798" t="s">
        <v>181</v>
      </c>
      <c r="L1798">
        <v>37</v>
      </c>
      <c r="M1798" t="s">
        <v>635</v>
      </c>
      <c r="N1798" t="s">
        <v>358</v>
      </c>
      <c r="O1798">
        <v>2155554369</v>
      </c>
      <c r="P1798" t="s">
        <v>359</v>
      </c>
      <c r="R1798" t="s">
        <v>360</v>
      </c>
      <c r="S1798" t="s">
        <v>55</v>
      </c>
      <c r="U1798" t="s">
        <v>32</v>
      </c>
      <c r="V1798" t="s">
        <v>33</v>
      </c>
      <c r="W1798" t="s">
        <v>361</v>
      </c>
      <c r="X1798" t="s">
        <v>103</v>
      </c>
      <c r="Y1798" t="s">
        <v>36</v>
      </c>
    </row>
    <row r="1799" spans="1:25" x14ac:dyDescent="0.25">
      <c r="A1799">
        <v>10171</v>
      </c>
      <c r="B1799">
        <v>36</v>
      </c>
      <c r="C1799">
        <v>35.49</v>
      </c>
      <c r="D1799">
        <v>4</v>
      </c>
      <c r="E1799">
        <v>1277.6400000000001</v>
      </c>
      <c r="F1799" s="1">
        <v>37930</v>
      </c>
      <c r="G1799" t="s">
        <v>25</v>
      </c>
      <c r="H1799">
        <v>4</v>
      </c>
      <c r="I1799">
        <v>11</v>
      </c>
      <c r="J1799">
        <v>2003</v>
      </c>
      <c r="K1799" t="s">
        <v>181</v>
      </c>
      <c r="L1799">
        <v>37</v>
      </c>
      <c r="M1799" t="s">
        <v>635</v>
      </c>
      <c r="N1799" t="s">
        <v>292</v>
      </c>
      <c r="O1799" t="s">
        <v>293</v>
      </c>
      <c r="P1799" t="s">
        <v>294</v>
      </c>
      <c r="R1799" t="s">
        <v>295</v>
      </c>
      <c r="S1799" t="s">
        <v>296</v>
      </c>
      <c r="T1799" t="s">
        <v>297</v>
      </c>
      <c r="U1799" t="s">
        <v>231</v>
      </c>
      <c r="V1799" t="s">
        <v>33</v>
      </c>
      <c r="W1799" t="s">
        <v>298</v>
      </c>
      <c r="X1799" t="s">
        <v>299</v>
      </c>
      <c r="Y1799" t="s">
        <v>36</v>
      </c>
    </row>
    <row r="1800" spans="1:25" x14ac:dyDescent="0.25">
      <c r="A1800">
        <v>10181</v>
      </c>
      <c r="B1800">
        <v>37</v>
      </c>
      <c r="C1800">
        <v>42.67</v>
      </c>
      <c r="D1800">
        <v>8</v>
      </c>
      <c r="E1800">
        <v>1578.79</v>
      </c>
      <c r="F1800" s="1">
        <v>37937</v>
      </c>
      <c r="G1800" t="s">
        <v>25</v>
      </c>
      <c r="H1800">
        <v>4</v>
      </c>
      <c r="I1800">
        <v>11</v>
      </c>
      <c r="J1800">
        <v>2003</v>
      </c>
      <c r="K1800" t="s">
        <v>181</v>
      </c>
      <c r="L1800">
        <v>37</v>
      </c>
      <c r="M1800" t="s">
        <v>635</v>
      </c>
      <c r="N1800" t="s">
        <v>73</v>
      </c>
      <c r="O1800" t="s">
        <v>74</v>
      </c>
      <c r="P1800" t="s">
        <v>75</v>
      </c>
      <c r="R1800" t="s">
        <v>76</v>
      </c>
      <c r="T1800" t="s">
        <v>77</v>
      </c>
      <c r="U1800" t="s">
        <v>78</v>
      </c>
      <c r="V1800" t="s">
        <v>42</v>
      </c>
      <c r="W1800" t="s">
        <v>79</v>
      </c>
      <c r="X1800" t="s">
        <v>80</v>
      </c>
      <c r="Y1800" t="s">
        <v>36</v>
      </c>
    </row>
    <row r="1801" spans="1:25" x14ac:dyDescent="0.25">
      <c r="A1801">
        <v>10192</v>
      </c>
      <c r="B1801">
        <v>30</v>
      </c>
      <c r="C1801">
        <v>30.59</v>
      </c>
      <c r="D1801">
        <v>13</v>
      </c>
      <c r="E1801">
        <v>917.7</v>
      </c>
      <c r="F1801" s="1">
        <v>37945</v>
      </c>
      <c r="G1801" t="s">
        <v>25</v>
      </c>
      <c r="H1801">
        <v>4</v>
      </c>
      <c r="I1801">
        <v>11</v>
      </c>
      <c r="J1801">
        <v>2003</v>
      </c>
      <c r="K1801" t="s">
        <v>181</v>
      </c>
      <c r="L1801">
        <v>37</v>
      </c>
      <c r="M1801" t="s">
        <v>635</v>
      </c>
      <c r="N1801" t="s">
        <v>277</v>
      </c>
      <c r="O1801">
        <v>6035558647</v>
      </c>
      <c r="P1801" t="s">
        <v>278</v>
      </c>
      <c r="R1801" t="s">
        <v>279</v>
      </c>
      <c r="S1801" t="s">
        <v>280</v>
      </c>
      <c r="T1801">
        <v>62005</v>
      </c>
      <c r="U1801" t="s">
        <v>32</v>
      </c>
      <c r="V1801" t="s">
        <v>33</v>
      </c>
      <c r="W1801" t="s">
        <v>56</v>
      </c>
      <c r="X1801" t="s">
        <v>276</v>
      </c>
      <c r="Y1801" t="s">
        <v>36</v>
      </c>
    </row>
    <row r="1802" spans="1:25" x14ac:dyDescent="0.25">
      <c r="A1802">
        <v>10203</v>
      </c>
      <c r="B1802">
        <v>21</v>
      </c>
      <c r="C1802">
        <v>37</v>
      </c>
      <c r="D1802">
        <v>2</v>
      </c>
      <c r="E1802">
        <v>777</v>
      </c>
      <c r="F1802" s="1">
        <v>37957</v>
      </c>
      <c r="G1802" t="s">
        <v>25</v>
      </c>
      <c r="H1802">
        <v>4</v>
      </c>
      <c r="I1802">
        <v>12</v>
      </c>
      <c r="J1802">
        <v>2003</v>
      </c>
      <c r="K1802" t="s">
        <v>181</v>
      </c>
      <c r="L1802">
        <v>37</v>
      </c>
      <c r="M1802" t="s">
        <v>635</v>
      </c>
      <c r="N1802" t="s">
        <v>174</v>
      </c>
      <c r="O1802" t="s">
        <v>175</v>
      </c>
      <c r="P1802" t="s">
        <v>176</v>
      </c>
      <c r="R1802" t="s">
        <v>177</v>
      </c>
      <c r="T1802">
        <v>28034</v>
      </c>
      <c r="U1802" t="s">
        <v>178</v>
      </c>
      <c r="V1802" t="s">
        <v>42</v>
      </c>
      <c r="W1802" t="s">
        <v>179</v>
      </c>
      <c r="X1802" t="s">
        <v>180</v>
      </c>
      <c r="Y1802" t="s">
        <v>36</v>
      </c>
    </row>
    <row r="1803" spans="1:25" x14ac:dyDescent="0.25">
      <c r="A1803">
        <v>10212</v>
      </c>
      <c r="B1803">
        <v>34</v>
      </c>
      <c r="C1803">
        <v>43.42</v>
      </c>
      <c r="D1803">
        <v>12</v>
      </c>
      <c r="E1803">
        <v>1476.28</v>
      </c>
      <c r="F1803" s="1">
        <v>38002</v>
      </c>
      <c r="G1803" t="s">
        <v>25</v>
      </c>
      <c r="H1803">
        <v>1</v>
      </c>
      <c r="I1803">
        <v>1</v>
      </c>
      <c r="J1803">
        <v>2004</v>
      </c>
      <c r="K1803" t="s">
        <v>181</v>
      </c>
      <c r="L1803">
        <v>37</v>
      </c>
      <c r="M1803" t="s">
        <v>635</v>
      </c>
      <c r="N1803" t="s">
        <v>174</v>
      </c>
      <c r="O1803" t="s">
        <v>175</v>
      </c>
      <c r="P1803" t="s">
        <v>176</v>
      </c>
      <c r="R1803" t="s">
        <v>177</v>
      </c>
      <c r="T1803">
        <v>28034</v>
      </c>
      <c r="U1803" t="s">
        <v>178</v>
      </c>
      <c r="V1803" t="s">
        <v>42</v>
      </c>
      <c r="W1803" t="s">
        <v>179</v>
      </c>
      <c r="X1803" t="s">
        <v>180</v>
      </c>
      <c r="Y1803" t="s">
        <v>36</v>
      </c>
    </row>
    <row r="1804" spans="1:25" x14ac:dyDescent="0.25">
      <c r="A1804">
        <v>10225</v>
      </c>
      <c r="B1804">
        <v>42</v>
      </c>
      <c r="C1804">
        <v>36.630000000000003</v>
      </c>
      <c r="D1804">
        <v>3</v>
      </c>
      <c r="E1804">
        <v>1538.46</v>
      </c>
      <c r="F1804" s="1">
        <v>38039</v>
      </c>
      <c r="G1804" t="s">
        <v>25</v>
      </c>
      <c r="H1804">
        <v>1</v>
      </c>
      <c r="I1804">
        <v>2</v>
      </c>
      <c r="J1804">
        <v>2004</v>
      </c>
      <c r="K1804" t="s">
        <v>181</v>
      </c>
      <c r="L1804">
        <v>37</v>
      </c>
      <c r="M1804" t="s">
        <v>635</v>
      </c>
      <c r="N1804" t="s">
        <v>446</v>
      </c>
      <c r="O1804" t="s">
        <v>447</v>
      </c>
      <c r="P1804" t="s">
        <v>448</v>
      </c>
      <c r="R1804" t="s">
        <v>449</v>
      </c>
      <c r="T1804">
        <v>1203</v>
      </c>
      <c r="U1804" t="s">
        <v>450</v>
      </c>
      <c r="V1804" t="s">
        <v>42</v>
      </c>
      <c r="W1804" t="s">
        <v>451</v>
      </c>
      <c r="X1804" t="s">
        <v>103</v>
      </c>
      <c r="Y1804" t="s">
        <v>36</v>
      </c>
    </row>
    <row r="1805" spans="1:25" x14ac:dyDescent="0.25">
      <c r="A1805">
        <v>10239</v>
      </c>
      <c r="B1805">
        <v>20</v>
      </c>
      <c r="C1805">
        <v>44.56</v>
      </c>
      <c r="D1805">
        <v>2</v>
      </c>
      <c r="E1805">
        <v>891.2</v>
      </c>
      <c r="F1805" s="1">
        <v>38089</v>
      </c>
      <c r="G1805" t="s">
        <v>25</v>
      </c>
      <c r="H1805">
        <v>2</v>
      </c>
      <c r="I1805">
        <v>4</v>
      </c>
      <c r="J1805">
        <v>2004</v>
      </c>
      <c r="K1805" t="s">
        <v>181</v>
      </c>
      <c r="L1805">
        <v>37</v>
      </c>
      <c r="M1805" t="s">
        <v>635</v>
      </c>
      <c r="N1805" t="s">
        <v>391</v>
      </c>
      <c r="O1805" t="s">
        <v>392</v>
      </c>
      <c r="P1805" t="s">
        <v>393</v>
      </c>
      <c r="R1805" t="s">
        <v>394</v>
      </c>
      <c r="T1805">
        <v>90110</v>
      </c>
      <c r="U1805" t="s">
        <v>130</v>
      </c>
      <c r="V1805" t="s">
        <v>42</v>
      </c>
      <c r="W1805" t="s">
        <v>395</v>
      </c>
      <c r="X1805" t="s">
        <v>396</v>
      </c>
      <c r="Y1805" t="s">
        <v>36</v>
      </c>
    </row>
    <row r="1806" spans="1:25" x14ac:dyDescent="0.25">
      <c r="A1806">
        <v>10253</v>
      </c>
      <c r="B1806">
        <v>40</v>
      </c>
      <c r="C1806">
        <v>42.67</v>
      </c>
      <c r="D1806">
        <v>7</v>
      </c>
      <c r="E1806">
        <v>1706.8</v>
      </c>
      <c r="F1806" s="1">
        <v>38139</v>
      </c>
      <c r="G1806" t="s">
        <v>339</v>
      </c>
      <c r="H1806">
        <v>2</v>
      </c>
      <c r="I1806">
        <v>6</v>
      </c>
      <c r="J1806">
        <v>2004</v>
      </c>
      <c r="K1806" t="s">
        <v>181</v>
      </c>
      <c r="L1806">
        <v>37</v>
      </c>
      <c r="M1806" t="s">
        <v>635</v>
      </c>
      <c r="N1806" t="s">
        <v>165</v>
      </c>
      <c r="O1806" t="s">
        <v>166</v>
      </c>
      <c r="P1806" t="s">
        <v>167</v>
      </c>
      <c r="R1806" t="s">
        <v>168</v>
      </c>
      <c r="T1806" t="s">
        <v>169</v>
      </c>
      <c r="U1806" t="s">
        <v>170</v>
      </c>
      <c r="V1806" t="s">
        <v>42</v>
      </c>
      <c r="W1806" t="s">
        <v>171</v>
      </c>
      <c r="X1806" t="s">
        <v>172</v>
      </c>
      <c r="Y1806" t="s">
        <v>36</v>
      </c>
    </row>
    <row r="1807" spans="1:25" x14ac:dyDescent="0.25">
      <c r="A1807">
        <v>10266</v>
      </c>
      <c r="B1807">
        <v>34</v>
      </c>
      <c r="C1807">
        <v>40.4</v>
      </c>
      <c r="D1807">
        <v>8</v>
      </c>
      <c r="E1807">
        <v>1373.6</v>
      </c>
      <c r="F1807" s="1">
        <v>38174</v>
      </c>
      <c r="G1807" t="s">
        <v>25</v>
      </c>
      <c r="H1807">
        <v>3</v>
      </c>
      <c r="I1807">
        <v>7</v>
      </c>
      <c r="J1807">
        <v>2004</v>
      </c>
      <c r="K1807" t="s">
        <v>181</v>
      </c>
      <c r="L1807">
        <v>37</v>
      </c>
      <c r="M1807" t="s">
        <v>635</v>
      </c>
      <c r="N1807" t="s">
        <v>452</v>
      </c>
      <c r="O1807" t="s">
        <v>453</v>
      </c>
      <c r="P1807" t="s">
        <v>454</v>
      </c>
      <c r="R1807" t="s">
        <v>455</v>
      </c>
      <c r="T1807">
        <v>42100</v>
      </c>
      <c r="U1807" t="s">
        <v>258</v>
      </c>
      <c r="V1807" t="s">
        <v>42</v>
      </c>
      <c r="W1807" t="s">
        <v>456</v>
      </c>
      <c r="X1807" t="s">
        <v>457</v>
      </c>
      <c r="Y1807" t="s">
        <v>36</v>
      </c>
    </row>
    <row r="1808" spans="1:25" x14ac:dyDescent="0.25">
      <c r="A1808">
        <v>10278</v>
      </c>
      <c r="B1808">
        <v>31</v>
      </c>
      <c r="C1808">
        <v>38.89</v>
      </c>
      <c r="D1808">
        <v>8</v>
      </c>
      <c r="E1808">
        <v>1205.5899999999999</v>
      </c>
      <c r="F1808" s="1">
        <v>38205</v>
      </c>
      <c r="G1808" t="s">
        <v>25</v>
      </c>
      <c r="H1808">
        <v>3</v>
      </c>
      <c r="I1808">
        <v>8</v>
      </c>
      <c r="J1808">
        <v>2004</v>
      </c>
      <c r="K1808" t="s">
        <v>181</v>
      </c>
      <c r="L1808">
        <v>37</v>
      </c>
      <c r="M1808" t="s">
        <v>635</v>
      </c>
      <c r="N1808" t="s">
        <v>539</v>
      </c>
      <c r="O1808">
        <v>7025551838</v>
      </c>
      <c r="P1808" t="s">
        <v>540</v>
      </c>
      <c r="R1808" t="s">
        <v>541</v>
      </c>
      <c r="S1808" t="s">
        <v>542</v>
      </c>
      <c r="T1808">
        <v>83030</v>
      </c>
      <c r="U1808" t="s">
        <v>32</v>
      </c>
      <c r="V1808" t="s">
        <v>33</v>
      </c>
      <c r="W1808" t="s">
        <v>113</v>
      </c>
      <c r="X1808" t="s">
        <v>400</v>
      </c>
      <c r="Y1808" t="s">
        <v>36</v>
      </c>
    </row>
    <row r="1809" spans="1:25" x14ac:dyDescent="0.25">
      <c r="A1809">
        <v>10287</v>
      </c>
      <c r="B1809">
        <v>36</v>
      </c>
      <c r="C1809">
        <v>39.65</v>
      </c>
      <c r="D1809">
        <v>6</v>
      </c>
      <c r="E1809">
        <v>1427.4</v>
      </c>
      <c r="F1809" s="1">
        <v>38229</v>
      </c>
      <c r="G1809" t="s">
        <v>25</v>
      </c>
      <c r="H1809">
        <v>3</v>
      </c>
      <c r="I1809">
        <v>8</v>
      </c>
      <c r="J1809">
        <v>2004</v>
      </c>
      <c r="K1809" t="s">
        <v>181</v>
      </c>
      <c r="L1809">
        <v>37</v>
      </c>
      <c r="M1809" t="s">
        <v>635</v>
      </c>
      <c r="N1809" t="s">
        <v>446</v>
      </c>
      <c r="O1809" t="s">
        <v>447</v>
      </c>
      <c r="P1809" t="s">
        <v>448</v>
      </c>
      <c r="R1809" t="s">
        <v>449</v>
      </c>
      <c r="T1809">
        <v>1203</v>
      </c>
      <c r="U1809" t="s">
        <v>450</v>
      </c>
      <c r="V1809" t="s">
        <v>42</v>
      </c>
      <c r="W1809" t="s">
        <v>451</v>
      </c>
      <c r="X1809" t="s">
        <v>103</v>
      </c>
      <c r="Y1809" t="s">
        <v>36</v>
      </c>
    </row>
    <row r="1810" spans="1:25" x14ac:dyDescent="0.25">
      <c r="A1810">
        <v>10301</v>
      </c>
      <c r="B1810">
        <v>48</v>
      </c>
      <c r="C1810">
        <v>34.36</v>
      </c>
      <c r="D1810">
        <v>10</v>
      </c>
      <c r="E1810">
        <v>1649.28</v>
      </c>
      <c r="F1810" s="1">
        <v>37899</v>
      </c>
      <c r="G1810" t="s">
        <v>25</v>
      </c>
      <c r="H1810">
        <v>4</v>
      </c>
      <c r="I1810">
        <v>10</v>
      </c>
      <c r="J1810">
        <v>2003</v>
      </c>
      <c r="K1810" t="s">
        <v>181</v>
      </c>
      <c r="L1810">
        <v>37</v>
      </c>
      <c r="M1810" t="s">
        <v>635</v>
      </c>
      <c r="N1810" t="s">
        <v>543</v>
      </c>
      <c r="O1810" t="s">
        <v>544</v>
      </c>
      <c r="P1810" t="s">
        <v>545</v>
      </c>
      <c r="R1810" t="s">
        <v>546</v>
      </c>
      <c r="T1810" t="s">
        <v>547</v>
      </c>
      <c r="U1810" t="s">
        <v>78</v>
      </c>
      <c r="V1810" t="s">
        <v>42</v>
      </c>
      <c r="W1810" t="s">
        <v>548</v>
      </c>
      <c r="X1810" t="s">
        <v>549</v>
      </c>
      <c r="Y1810" t="s">
        <v>36</v>
      </c>
    </row>
    <row r="1811" spans="1:25" x14ac:dyDescent="0.25">
      <c r="A1811">
        <v>10310</v>
      </c>
      <c r="B1811">
        <v>33</v>
      </c>
      <c r="C1811">
        <v>41.91</v>
      </c>
      <c r="D1811">
        <v>4</v>
      </c>
      <c r="E1811">
        <v>1383.03</v>
      </c>
      <c r="F1811" s="1">
        <v>38276</v>
      </c>
      <c r="G1811" t="s">
        <v>25</v>
      </c>
      <c r="H1811">
        <v>4</v>
      </c>
      <c r="I1811">
        <v>10</v>
      </c>
      <c r="J1811">
        <v>2004</v>
      </c>
      <c r="K1811" t="s">
        <v>181</v>
      </c>
      <c r="L1811">
        <v>37</v>
      </c>
      <c r="M1811" t="s">
        <v>635</v>
      </c>
      <c r="N1811" t="s">
        <v>439</v>
      </c>
      <c r="O1811" t="s">
        <v>440</v>
      </c>
      <c r="P1811" t="s">
        <v>441</v>
      </c>
      <c r="R1811" t="s">
        <v>442</v>
      </c>
      <c r="T1811">
        <v>50739</v>
      </c>
      <c r="U1811" t="s">
        <v>443</v>
      </c>
      <c r="V1811" t="s">
        <v>42</v>
      </c>
      <c r="W1811" t="s">
        <v>444</v>
      </c>
      <c r="X1811" t="s">
        <v>445</v>
      </c>
      <c r="Y1811" t="s">
        <v>36</v>
      </c>
    </row>
    <row r="1812" spans="1:25" x14ac:dyDescent="0.25">
      <c r="A1812">
        <v>10321</v>
      </c>
      <c r="B1812">
        <v>37</v>
      </c>
      <c r="C1812">
        <v>33.229999999999997</v>
      </c>
      <c r="D1812">
        <v>12</v>
      </c>
      <c r="E1812">
        <v>1229.51</v>
      </c>
      <c r="F1812" s="1">
        <v>38295</v>
      </c>
      <c r="G1812" t="s">
        <v>25</v>
      </c>
      <c r="H1812">
        <v>4</v>
      </c>
      <c r="I1812">
        <v>11</v>
      </c>
      <c r="J1812">
        <v>2004</v>
      </c>
      <c r="K1812" t="s">
        <v>181</v>
      </c>
      <c r="L1812">
        <v>37</v>
      </c>
      <c r="M1812" t="s">
        <v>635</v>
      </c>
      <c r="N1812" t="s">
        <v>160</v>
      </c>
      <c r="O1812">
        <v>5085552555</v>
      </c>
      <c r="P1812" t="s">
        <v>161</v>
      </c>
      <c r="R1812" t="s">
        <v>162</v>
      </c>
      <c r="S1812" t="s">
        <v>123</v>
      </c>
      <c r="T1812">
        <v>50553</v>
      </c>
      <c r="U1812" t="s">
        <v>32</v>
      </c>
      <c r="V1812" t="s">
        <v>33</v>
      </c>
      <c r="W1812" t="s">
        <v>163</v>
      </c>
      <c r="X1812" t="s">
        <v>164</v>
      </c>
      <c r="Y1812" t="s">
        <v>36</v>
      </c>
    </row>
    <row r="1813" spans="1:25" x14ac:dyDescent="0.25">
      <c r="A1813">
        <v>10331</v>
      </c>
      <c r="B1813">
        <v>27</v>
      </c>
      <c r="C1813">
        <v>42.24</v>
      </c>
      <c r="D1813">
        <v>13</v>
      </c>
      <c r="E1813">
        <v>1140.48</v>
      </c>
      <c r="F1813" s="1">
        <v>38308</v>
      </c>
      <c r="G1813" t="s">
        <v>25</v>
      </c>
      <c r="H1813">
        <v>4</v>
      </c>
      <c r="I1813">
        <v>11</v>
      </c>
      <c r="J1813">
        <v>2004</v>
      </c>
      <c r="K1813" t="s">
        <v>181</v>
      </c>
      <c r="L1813">
        <v>37</v>
      </c>
      <c r="M1813" t="s">
        <v>635</v>
      </c>
      <c r="N1813" t="s">
        <v>309</v>
      </c>
      <c r="O1813">
        <v>2155559857</v>
      </c>
      <c r="P1813" t="s">
        <v>310</v>
      </c>
      <c r="R1813" t="s">
        <v>216</v>
      </c>
      <c r="S1813" t="s">
        <v>142</v>
      </c>
      <c r="T1813">
        <v>71270</v>
      </c>
      <c r="U1813" t="s">
        <v>32</v>
      </c>
      <c r="V1813" t="s">
        <v>33</v>
      </c>
      <c r="W1813" t="s">
        <v>124</v>
      </c>
      <c r="X1813" t="s">
        <v>311</v>
      </c>
      <c r="Y1813" t="s">
        <v>36</v>
      </c>
    </row>
    <row r="1814" spans="1:25" x14ac:dyDescent="0.25">
      <c r="A1814">
        <v>10342</v>
      </c>
      <c r="B1814">
        <v>39</v>
      </c>
      <c r="C1814">
        <v>40.4</v>
      </c>
      <c r="D1814">
        <v>9</v>
      </c>
      <c r="E1814">
        <v>1575.6</v>
      </c>
      <c r="F1814" s="1">
        <v>38315</v>
      </c>
      <c r="G1814" t="s">
        <v>25</v>
      </c>
      <c r="H1814">
        <v>4</v>
      </c>
      <c r="I1814">
        <v>11</v>
      </c>
      <c r="J1814">
        <v>2004</v>
      </c>
      <c r="K1814" t="s">
        <v>181</v>
      </c>
      <c r="L1814">
        <v>37</v>
      </c>
      <c r="M1814" t="s">
        <v>635</v>
      </c>
      <c r="N1814" t="s">
        <v>89</v>
      </c>
      <c r="O1814" t="s">
        <v>90</v>
      </c>
      <c r="P1814" t="s">
        <v>91</v>
      </c>
      <c r="Q1814" t="s">
        <v>92</v>
      </c>
      <c r="R1814" t="s">
        <v>93</v>
      </c>
      <c r="S1814" t="s">
        <v>94</v>
      </c>
      <c r="T1814">
        <v>3004</v>
      </c>
      <c r="U1814" t="s">
        <v>95</v>
      </c>
      <c r="V1814" t="s">
        <v>96</v>
      </c>
      <c r="W1814" t="s">
        <v>97</v>
      </c>
      <c r="X1814" t="s">
        <v>98</v>
      </c>
      <c r="Y1814" t="s">
        <v>36</v>
      </c>
    </row>
    <row r="1815" spans="1:25" x14ac:dyDescent="0.25">
      <c r="A1815">
        <v>10355</v>
      </c>
      <c r="B1815">
        <v>36</v>
      </c>
      <c r="C1815">
        <v>38.520000000000003</v>
      </c>
      <c r="D1815">
        <v>4</v>
      </c>
      <c r="E1815">
        <v>1386.72</v>
      </c>
      <c r="F1815" s="1">
        <v>38328</v>
      </c>
      <c r="G1815" t="s">
        <v>25</v>
      </c>
      <c r="H1815">
        <v>4</v>
      </c>
      <c r="I1815">
        <v>12</v>
      </c>
      <c r="J1815">
        <v>2004</v>
      </c>
      <c r="K1815" t="s">
        <v>181</v>
      </c>
      <c r="L1815">
        <v>37</v>
      </c>
      <c r="M1815" t="s">
        <v>635</v>
      </c>
      <c r="N1815" t="s">
        <v>174</v>
      </c>
      <c r="O1815" t="s">
        <v>175</v>
      </c>
      <c r="P1815" t="s">
        <v>176</v>
      </c>
      <c r="R1815" t="s">
        <v>177</v>
      </c>
      <c r="T1815">
        <v>28034</v>
      </c>
      <c r="U1815" t="s">
        <v>178</v>
      </c>
      <c r="V1815" t="s">
        <v>42</v>
      </c>
      <c r="W1815" t="s">
        <v>179</v>
      </c>
      <c r="X1815" t="s">
        <v>180</v>
      </c>
      <c r="Y1815" t="s">
        <v>36</v>
      </c>
    </row>
    <row r="1816" spans="1:25" x14ac:dyDescent="0.25">
      <c r="A1816">
        <v>10367</v>
      </c>
      <c r="B1816">
        <v>36</v>
      </c>
      <c r="C1816">
        <v>100</v>
      </c>
      <c r="D1816">
        <v>2</v>
      </c>
      <c r="E1816">
        <v>5018.3999999999996</v>
      </c>
      <c r="F1816" s="1">
        <v>38364</v>
      </c>
      <c r="G1816" t="s">
        <v>408</v>
      </c>
      <c r="H1816">
        <v>1</v>
      </c>
      <c r="I1816">
        <v>1</v>
      </c>
      <c r="J1816">
        <v>2005</v>
      </c>
      <c r="K1816" t="s">
        <v>181</v>
      </c>
      <c r="L1816">
        <v>37</v>
      </c>
      <c r="M1816" t="s">
        <v>635</v>
      </c>
      <c r="N1816" t="s">
        <v>52</v>
      </c>
      <c r="O1816">
        <v>6265557265</v>
      </c>
      <c r="P1816" t="s">
        <v>53</v>
      </c>
      <c r="R1816" t="s">
        <v>54</v>
      </c>
      <c r="S1816" t="s">
        <v>55</v>
      </c>
      <c r="T1816">
        <v>90003</v>
      </c>
      <c r="U1816" t="s">
        <v>32</v>
      </c>
      <c r="V1816" t="s">
        <v>33</v>
      </c>
      <c r="W1816" t="s">
        <v>56</v>
      </c>
      <c r="X1816" t="s">
        <v>57</v>
      </c>
      <c r="Y1816" t="s">
        <v>51</v>
      </c>
    </row>
    <row r="1817" spans="1:25" x14ac:dyDescent="0.25">
      <c r="A1817">
        <v>10378</v>
      </c>
      <c r="B1817">
        <v>41</v>
      </c>
      <c r="C1817">
        <v>100</v>
      </c>
      <c r="D1817">
        <v>7</v>
      </c>
      <c r="E1817">
        <v>5856.85</v>
      </c>
      <c r="F1817" s="1">
        <v>38393</v>
      </c>
      <c r="G1817" t="s">
        <v>25</v>
      </c>
      <c r="H1817">
        <v>1</v>
      </c>
      <c r="I1817">
        <v>2</v>
      </c>
      <c r="J1817">
        <v>2005</v>
      </c>
      <c r="K1817" t="s">
        <v>181</v>
      </c>
      <c r="L1817">
        <v>37</v>
      </c>
      <c r="M1817" t="s">
        <v>635</v>
      </c>
      <c r="N1817" t="s">
        <v>174</v>
      </c>
      <c r="O1817" t="s">
        <v>175</v>
      </c>
      <c r="P1817" t="s">
        <v>176</v>
      </c>
      <c r="R1817" t="s">
        <v>177</v>
      </c>
      <c r="T1817">
        <v>28034</v>
      </c>
      <c r="U1817" t="s">
        <v>178</v>
      </c>
      <c r="V1817" t="s">
        <v>42</v>
      </c>
      <c r="W1817" t="s">
        <v>179</v>
      </c>
      <c r="X1817" t="s">
        <v>180</v>
      </c>
      <c r="Y1817" t="s">
        <v>51</v>
      </c>
    </row>
    <row r="1818" spans="1:25" x14ac:dyDescent="0.25">
      <c r="A1818">
        <v>10390</v>
      </c>
      <c r="B1818">
        <v>37</v>
      </c>
      <c r="C1818">
        <v>100</v>
      </c>
      <c r="D1818">
        <v>5</v>
      </c>
      <c r="E1818">
        <v>4894.7299999999996</v>
      </c>
      <c r="F1818" s="1">
        <v>38415</v>
      </c>
      <c r="G1818" t="s">
        <v>25</v>
      </c>
      <c r="H1818">
        <v>1</v>
      </c>
      <c r="I1818">
        <v>3</v>
      </c>
      <c r="J1818">
        <v>2005</v>
      </c>
      <c r="K1818" t="s">
        <v>181</v>
      </c>
      <c r="L1818">
        <v>37</v>
      </c>
      <c r="M1818" t="s">
        <v>635</v>
      </c>
      <c r="N1818" t="s">
        <v>272</v>
      </c>
      <c r="O1818">
        <v>4155551450</v>
      </c>
      <c r="P1818" t="s">
        <v>273</v>
      </c>
      <c r="R1818" t="s">
        <v>274</v>
      </c>
      <c r="S1818" t="s">
        <v>55</v>
      </c>
      <c r="T1818">
        <v>97562</v>
      </c>
      <c r="U1818" t="s">
        <v>32</v>
      </c>
      <c r="V1818" t="s">
        <v>33</v>
      </c>
      <c r="W1818" t="s">
        <v>275</v>
      </c>
      <c r="X1818" t="s">
        <v>276</v>
      </c>
      <c r="Y1818" t="s">
        <v>51</v>
      </c>
    </row>
    <row r="1819" spans="1:25" x14ac:dyDescent="0.25">
      <c r="A1819">
        <v>10405</v>
      </c>
      <c r="B1819">
        <v>47</v>
      </c>
      <c r="C1819">
        <v>44.56</v>
      </c>
      <c r="D1819">
        <v>2</v>
      </c>
      <c r="E1819">
        <v>2094.3200000000002</v>
      </c>
      <c r="F1819" s="1">
        <v>38456</v>
      </c>
      <c r="G1819" t="s">
        <v>25</v>
      </c>
      <c r="H1819">
        <v>2</v>
      </c>
      <c r="I1819">
        <v>4</v>
      </c>
      <c r="J1819">
        <v>2005</v>
      </c>
      <c r="K1819" t="s">
        <v>181</v>
      </c>
      <c r="L1819">
        <v>37</v>
      </c>
      <c r="M1819" t="s">
        <v>635</v>
      </c>
      <c r="N1819" t="s">
        <v>531</v>
      </c>
      <c r="O1819" t="s">
        <v>532</v>
      </c>
      <c r="P1819" t="s">
        <v>533</v>
      </c>
      <c r="R1819" t="s">
        <v>534</v>
      </c>
      <c r="T1819">
        <v>67000</v>
      </c>
      <c r="U1819" t="s">
        <v>41</v>
      </c>
      <c r="V1819" t="s">
        <v>42</v>
      </c>
      <c r="W1819" t="s">
        <v>535</v>
      </c>
      <c r="X1819" t="s">
        <v>536</v>
      </c>
      <c r="Y1819" t="s">
        <v>36</v>
      </c>
    </row>
    <row r="1820" spans="1:25" x14ac:dyDescent="0.25">
      <c r="A1820">
        <v>10419</v>
      </c>
      <c r="B1820">
        <v>15</v>
      </c>
      <c r="C1820">
        <v>42.67</v>
      </c>
      <c r="D1820">
        <v>7</v>
      </c>
      <c r="E1820">
        <v>640.04999999999995</v>
      </c>
      <c r="F1820" s="1">
        <v>38489</v>
      </c>
      <c r="G1820" t="s">
        <v>25</v>
      </c>
      <c r="H1820">
        <v>2</v>
      </c>
      <c r="I1820">
        <v>5</v>
      </c>
      <c r="J1820">
        <v>2005</v>
      </c>
      <c r="K1820" t="s">
        <v>181</v>
      </c>
      <c r="L1820">
        <v>37</v>
      </c>
      <c r="M1820" t="s">
        <v>635</v>
      </c>
      <c r="N1820" t="s">
        <v>144</v>
      </c>
      <c r="O1820" t="s">
        <v>145</v>
      </c>
      <c r="P1820" t="s">
        <v>146</v>
      </c>
      <c r="R1820" t="s">
        <v>147</v>
      </c>
      <c r="T1820">
        <v>5020</v>
      </c>
      <c r="U1820" t="s">
        <v>148</v>
      </c>
      <c r="V1820" t="s">
        <v>42</v>
      </c>
      <c r="W1820" t="s">
        <v>149</v>
      </c>
      <c r="X1820" t="s">
        <v>150</v>
      </c>
      <c r="Y1820" t="s">
        <v>36</v>
      </c>
    </row>
    <row r="1821" spans="1:25" x14ac:dyDescent="0.25">
      <c r="A1821">
        <v>10105</v>
      </c>
      <c r="B1821">
        <v>44</v>
      </c>
      <c r="C1821">
        <v>72.58</v>
      </c>
      <c r="D1821">
        <v>4</v>
      </c>
      <c r="E1821">
        <v>3193.52</v>
      </c>
      <c r="F1821" s="1">
        <v>37663</v>
      </c>
      <c r="G1821" t="s">
        <v>25</v>
      </c>
      <c r="H1821">
        <v>1</v>
      </c>
      <c r="I1821">
        <v>2</v>
      </c>
      <c r="J1821">
        <v>2003</v>
      </c>
      <c r="K1821" t="s">
        <v>550</v>
      </c>
      <c r="L1821">
        <v>88</v>
      </c>
      <c r="M1821" t="s">
        <v>636</v>
      </c>
      <c r="N1821" t="s">
        <v>322</v>
      </c>
      <c r="O1821" t="s">
        <v>323</v>
      </c>
      <c r="P1821" t="s">
        <v>324</v>
      </c>
      <c r="R1821" t="s">
        <v>325</v>
      </c>
      <c r="T1821">
        <v>1734</v>
      </c>
      <c r="U1821" t="s">
        <v>326</v>
      </c>
      <c r="V1821" t="s">
        <v>42</v>
      </c>
      <c r="W1821" t="s">
        <v>327</v>
      </c>
      <c r="X1821" t="s">
        <v>328</v>
      </c>
      <c r="Y1821" t="s">
        <v>51</v>
      </c>
    </row>
    <row r="1822" spans="1:25" x14ac:dyDescent="0.25">
      <c r="A1822">
        <v>10119</v>
      </c>
      <c r="B1822">
        <v>35</v>
      </c>
      <c r="C1822">
        <v>87.62</v>
      </c>
      <c r="D1822">
        <v>13</v>
      </c>
      <c r="E1822">
        <v>3066.7</v>
      </c>
      <c r="F1822" s="1">
        <v>37739</v>
      </c>
      <c r="G1822" t="s">
        <v>25</v>
      </c>
      <c r="H1822">
        <v>2</v>
      </c>
      <c r="I1822">
        <v>4</v>
      </c>
      <c r="J1822">
        <v>2003</v>
      </c>
      <c r="K1822" t="s">
        <v>550</v>
      </c>
      <c r="L1822">
        <v>88</v>
      </c>
      <c r="M1822" t="s">
        <v>636</v>
      </c>
      <c r="N1822" t="s">
        <v>144</v>
      </c>
      <c r="O1822" t="s">
        <v>145</v>
      </c>
      <c r="P1822" t="s">
        <v>146</v>
      </c>
      <c r="R1822" t="s">
        <v>147</v>
      </c>
      <c r="T1822">
        <v>5020</v>
      </c>
      <c r="U1822" t="s">
        <v>148</v>
      </c>
      <c r="V1822" t="s">
        <v>42</v>
      </c>
      <c r="W1822" t="s">
        <v>149</v>
      </c>
      <c r="X1822" t="s">
        <v>150</v>
      </c>
      <c r="Y1822" t="s">
        <v>51</v>
      </c>
    </row>
    <row r="1823" spans="1:25" x14ac:dyDescent="0.25">
      <c r="A1823">
        <v>10129</v>
      </c>
      <c r="B1823">
        <v>41</v>
      </c>
      <c r="C1823">
        <v>94.71</v>
      </c>
      <c r="D1823">
        <v>4</v>
      </c>
      <c r="E1823">
        <v>3883.11</v>
      </c>
      <c r="F1823" s="1">
        <v>37784</v>
      </c>
      <c r="G1823" t="s">
        <v>25</v>
      </c>
      <c r="H1823">
        <v>2</v>
      </c>
      <c r="I1823">
        <v>6</v>
      </c>
      <c r="J1823">
        <v>2003</v>
      </c>
      <c r="K1823" t="s">
        <v>550</v>
      </c>
      <c r="L1823">
        <v>88</v>
      </c>
      <c r="M1823" t="s">
        <v>636</v>
      </c>
      <c r="N1823" t="s">
        <v>329</v>
      </c>
      <c r="O1823" t="s">
        <v>330</v>
      </c>
      <c r="P1823" t="s">
        <v>331</v>
      </c>
      <c r="R1823" t="s">
        <v>332</v>
      </c>
      <c r="T1823" t="s">
        <v>333</v>
      </c>
      <c r="U1823" t="s">
        <v>170</v>
      </c>
      <c r="V1823" t="s">
        <v>42</v>
      </c>
      <c r="W1823" t="s">
        <v>61</v>
      </c>
      <c r="X1823" t="s">
        <v>334</v>
      </c>
      <c r="Y1823" t="s">
        <v>51</v>
      </c>
    </row>
    <row r="1824" spans="1:25" x14ac:dyDescent="0.25">
      <c r="A1824">
        <v>10142</v>
      </c>
      <c r="B1824">
        <v>49</v>
      </c>
      <c r="C1824">
        <v>98.25</v>
      </c>
      <c r="D1824">
        <v>1</v>
      </c>
      <c r="E1824">
        <v>4814.25</v>
      </c>
      <c r="F1824" s="1">
        <v>37841</v>
      </c>
      <c r="G1824" t="s">
        <v>25</v>
      </c>
      <c r="H1824">
        <v>3</v>
      </c>
      <c r="I1824">
        <v>8</v>
      </c>
      <c r="J1824">
        <v>2003</v>
      </c>
      <c r="K1824" t="s">
        <v>550</v>
      </c>
      <c r="L1824">
        <v>88</v>
      </c>
      <c r="M1824" t="s">
        <v>636</v>
      </c>
      <c r="N1824" t="s">
        <v>272</v>
      </c>
      <c r="O1824">
        <v>4155551450</v>
      </c>
      <c r="P1824" t="s">
        <v>273</v>
      </c>
      <c r="R1824" t="s">
        <v>274</v>
      </c>
      <c r="S1824" t="s">
        <v>55</v>
      </c>
      <c r="T1824">
        <v>97562</v>
      </c>
      <c r="U1824" t="s">
        <v>32</v>
      </c>
      <c r="V1824" t="s">
        <v>33</v>
      </c>
      <c r="W1824" t="s">
        <v>275</v>
      </c>
      <c r="X1824" t="s">
        <v>276</v>
      </c>
      <c r="Y1824" t="s">
        <v>51</v>
      </c>
    </row>
    <row r="1825" spans="1:25" x14ac:dyDescent="0.25">
      <c r="A1825">
        <v>10154</v>
      </c>
      <c r="B1825">
        <v>31</v>
      </c>
      <c r="C1825">
        <v>91.17</v>
      </c>
      <c r="D1825">
        <v>2</v>
      </c>
      <c r="E1825">
        <v>2826.27</v>
      </c>
      <c r="F1825" s="1">
        <v>37896</v>
      </c>
      <c r="G1825" t="s">
        <v>25</v>
      </c>
      <c r="H1825">
        <v>4</v>
      </c>
      <c r="I1825">
        <v>10</v>
      </c>
      <c r="J1825">
        <v>2003</v>
      </c>
      <c r="K1825" t="s">
        <v>550</v>
      </c>
      <c r="L1825">
        <v>88</v>
      </c>
      <c r="M1825" t="s">
        <v>636</v>
      </c>
      <c r="N1825" t="s">
        <v>514</v>
      </c>
      <c r="O1825">
        <v>3105552373</v>
      </c>
      <c r="P1825" t="s">
        <v>515</v>
      </c>
      <c r="R1825" t="s">
        <v>516</v>
      </c>
      <c r="S1825" t="s">
        <v>55</v>
      </c>
      <c r="T1825">
        <v>92561</v>
      </c>
      <c r="U1825" t="s">
        <v>32</v>
      </c>
      <c r="V1825" t="s">
        <v>33</v>
      </c>
      <c r="W1825" t="s">
        <v>56</v>
      </c>
      <c r="X1825" t="s">
        <v>245</v>
      </c>
      <c r="Y1825" t="s">
        <v>36</v>
      </c>
    </row>
    <row r="1826" spans="1:25" x14ac:dyDescent="0.25">
      <c r="A1826">
        <v>10167</v>
      </c>
      <c r="B1826">
        <v>20</v>
      </c>
      <c r="C1826">
        <v>79.66</v>
      </c>
      <c r="D1826">
        <v>11</v>
      </c>
      <c r="E1826">
        <v>1593.2</v>
      </c>
      <c r="F1826" s="1">
        <v>37917</v>
      </c>
      <c r="G1826" t="s">
        <v>339</v>
      </c>
      <c r="H1826">
        <v>4</v>
      </c>
      <c r="I1826">
        <v>10</v>
      </c>
      <c r="J1826">
        <v>2003</v>
      </c>
      <c r="K1826" t="s">
        <v>550</v>
      </c>
      <c r="L1826">
        <v>88</v>
      </c>
      <c r="M1826" t="s">
        <v>636</v>
      </c>
      <c r="N1826" t="s">
        <v>261</v>
      </c>
      <c r="O1826" t="s">
        <v>262</v>
      </c>
      <c r="P1826" t="s">
        <v>263</v>
      </c>
      <c r="R1826" t="s">
        <v>264</v>
      </c>
      <c r="T1826" t="s">
        <v>265</v>
      </c>
      <c r="U1826" t="s">
        <v>188</v>
      </c>
      <c r="V1826" t="s">
        <v>42</v>
      </c>
      <c r="W1826" t="s">
        <v>266</v>
      </c>
      <c r="X1826" t="s">
        <v>206</v>
      </c>
      <c r="Y1826" t="s">
        <v>36</v>
      </c>
    </row>
    <row r="1827" spans="1:25" x14ac:dyDescent="0.25">
      <c r="A1827">
        <v>10177</v>
      </c>
      <c r="B1827">
        <v>45</v>
      </c>
      <c r="C1827">
        <v>72.58</v>
      </c>
      <c r="D1827">
        <v>2</v>
      </c>
      <c r="E1827">
        <v>3266.1</v>
      </c>
      <c r="F1827" s="1">
        <v>37932</v>
      </c>
      <c r="G1827" t="s">
        <v>25</v>
      </c>
      <c r="H1827">
        <v>4</v>
      </c>
      <c r="I1827">
        <v>11</v>
      </c>
      <c r="J1827">
        <v>2003</v>
      </c>
      <c r="K1827" t="s">
        <v>550</v>
      </c>
      <c r="L1827">
        <v>88</v>
      </c>
      <c r="M1827" t="s">
        <v>636</v>
      </c>
      <c r="N1827" t="s">
        <v>487</v>
      </c>
      <c r="O1827" t="s">
        <v>488</v>
      </c>
      <c r="P1827" t="s">
        <v>489</v>
      </c>
      <c r="R1827" t="s">
        <v>177</v>
      </c>
      <c r="T1827">
        <v>28023</v>
      </c>
      <c r="U1827" t="s">
        <v>178</v>
      </c>
      <c r="V1827" t="s">
        <v>42</v>
      </c>
      <c r="W1827" t="s">
        <v>490</v>
      </c>
      <c r="X1827" t="s">
        <v>491</v>
      </c>
      <c r="Y1827" t="s">
        <v>51</v>
      </c>
    </row>
    <row r="1828" spans="1:25" x14ac:dyDescent="0.25">
      <c r="A1828">
        <v>10185</v>
      </c>
      <c r="B1828">
        <v>33</v>
      </c>
      <c r="C1828">
        <v>74.349999999999994</v>
      </c>
      <c r="D1828">
        <v>2</v>
      </c>
      <c r="E1828">
        <v>2453.5500000000002</v>
      </c>
      <c r="F1828" s="1">
        <v>37939</v>
      </c>
      <c r="G1828" t="s">
        <v>25</v>
      </c>
      <c r="H1828">
        <v>4</v>
      </c>
      <c r="I1828">
        <v>11</v>
      </c>
      <c r="J1828">
        <v>2003</v>
      </c>
      <c r="K1828" t="s">
        <v>550</v>
      </c>
      <c r="L1828">
        <v>88</v>
      </c>
      <c r="M1828" t="s">
        <v>636</v>
      </c>
      <c r="N1828" t="s">
        <v>335</v>
      </c>
      <c r="O1828">
        <v>5085559555</v>
      </c>
      <c r="P1828" t="s">
        <v>336</v>
      </c>
      <c r="R1828" t="s">
        <v>162</v>
      </c>
      <c r="S1828" t="s">
        <v>123</v>
      </c>
      <c r="T1828">
        <v>50553</v>
      </c>
      <c r="U1828" t="s">
        <v>32</v>
      </c>
      <c r="V1828" t="s">
        <v>33</v>
      </c>
      <c r="W1828" t="s">
        <v>337</v>
      </c>
      <c r="X1828" t="s">
        <v>338</v>
      </c>
      <c r="Y1828" t="s">
        <v>36</v>
      </c>
    </row>
    <row r="1829" spans="1:25" x14ac:dyDescent="0.25">
      <c r="A1829">
        <v>10197</v>
      </c>
      <c r="B1829">
        <v>47</v>
      </c>
      <c r="C1829">
        <v>83.2</v>
      </c>
      <c r="D1829">
        <v>8</v>
      </c>
      <c r="E1829">
        <v>3910.4</v>
      </c>
      <c r="F1829" s="1">
        <v>37951</v>
      </c>
      <c r="G1829" t="s">
        <v>25</v>
      </c>
      <c r="H1829">
        <v>4</v>
      </c>
      <c r="I1829">
        <v>11</v>
      </c>
      <c r="J1829">
        <v>2003</v>
      </c>
      <c r="K1829" t="s">
        <v>550</v>
      </c>
      <c r="L1829">
        <v>88</v>
      </c>
      <c r="M1829" t="s">
        <v>636</v>
      </c>
      <c r="N1829" t="s">
        <v>352</v>
      </c>
      <c r="O1829" t="s">
        <v>353</v>
      </c>
      <c r="P1829" t="s">
        <v>354</v>
      </c>
      <c r="R1829" t="s">
        <v>355</v>
      </c>
      <c r="T1829">
        <v>8022</v>
      </c>
      <c r="U1829" t="s">
        <v>178</v>
      </c>
      <c r="V1829" t="s">
        <v>42</v>
      </c>
      <c r="W1829" t="s">
        <v>356</v>
      </c>
      <c r="X1829" t="s">
        <v>357</v>
      </c>
      <c r="Y1829" t="s">
        <v>51</v>
      </c>
    </row>
    <row r="1830" spans="1:25" x14ac:dyDescent="0.25">
      <c r="A1830">
        <v>10208</v>
      </c>
      <c r="B1830">
        <v>20</v>
      </c>
      <c r="C1830">
        <v>89.4</v>
      </c>
      <c r="D1830">
        <v>2</v>
      </c>
      <c r="E1830">
        <v>1788</v>
      </c>
      <c r="F1830" s="1">
        <v>37988</v>
      </c>
      <c r="G1830" t="s">
        <v>25</v>
      </c>
      <c r="H1830">
        <v>1</v>
      </c>
      <c r="I1830">
        <v>1</v>
      </c>
      <c r="J1830">
        <v>2004</v>
      </c>
      <c r="K1830" t="s">
        <v>550</v>
      </c>
      <c r="L1830">
        <v>88</v>
      </c>
      <c r="M1830" t="s">
        <v>636</v>
      </c>
      <c r="N1830" t="s">
        <v>219</v>
      </c>
      <c r="O1830" t="s">
        <v>220</v>
      </c>
      <c r="P1830" t="s">
        <v>221</v>
      </c>
      <c r="R1830" t="s">
        <v>222</v>
      </c>
      <c r="T1830">
        <v>69004</v>
      </c>
      <c r="U1830" t="s">
        <v>41</v>
      </c>
      <c r="V1830" t="s">
        <v>42</v>
      </c>
      <c r="W1830" t="s">
        <v>223</v>
      </c>
      <c r="X1830" t="s">
        <v>224</v>
      </c>
      <c r="Y1830" t="s">
        <v>36</v>
      </c>
    </row>
    <row r="1831" spans="1:25" x14ac:dyDescent="0.25">
      <c r="A1831">
        <v>10222</v>
      </c>
      <c r="B1831">
        <v>47</v>
      </c>
      <c r="C1831">
        <v>70.81</v>
      </c>
      <c r="D1831">
        <v>14</v>
      </c>
      <c r="E1831">
        <v>3328.07</v>
      </c>
      <c r="F1831" s="1">
        <v>38036</v>
      </c>
      <c r="G1831" t="s">
        <v>25</v>
      </c>
      <c r="H1831">
        <v>1</v>
      </c>
      <c r="I1831">
        <v>2</v>
      </c>
      <c r="J1831">
        <v>2004</v>
      </c>
      <c r="K1831" t="s">
        <v>550</v>
      </c>
      <c r="L1831">
        <v>88</v>
      </c>
      <c r="M1831" t="s">
        <v>636</v>
      </c>
      <c r="N1831" t="s">
        <v>362</v>
      </c>
      <c r="O1831">
        <v>7605558146</v>
      </c>
      <c r="P1831" t="s">
        <v>363</v>
      </c>
      <c r="R1831" t="s">
        <v>364</v>
      </c>
      <c r="S1831" t="s">
        <v>55</v>
      </c>
      <c r="T1831">
        <v>91217</v>
      </c>
      <c r="U1831" t="s">
        <v>32</v>
      </c>
      <c r="V1831" t="s">
        <v>33</v>
      </c>
      <c r="W1831" t="s">
        <v>237</v>
      </c>
      <c r="X1831" t="s">
        <v>276</v>
      </c>
      <c r="Y1831" t="s">
        <v>51</v>
      </c>
    </row>
    <row r="1832" spans="1:25" x14ac:dyDescent="0.25">
      <c r="A1832">
        <v>10233</v>
      </c>
      <c r="B1832">
        <v>40</v>
      </c>
      <c r="C1832">
        <v>94.71</v>
      </c>
      <c r="D1832">
        <v>2</v>
      </c>
      <c r="E1832">
        <v>3788.4</v>
      </c>
      <c r="F1832" s="1">
        <v>38075</v>
      </c>
      <c r="G1832" t="s">
        <v>25</v>
      </c>
      <c r="H1832">
        <v>1</v>
      </c>
      <c r="I1832">
        <v>3</v>
      </c>
      <c r="J1832">
        <v>2004</v>
      </c>
      <c r="K1832" t="s">
        <v>550</v>
      </c>
      <c r="L1832">
        <v>88</v>
      </c>
      <c r="M1832" t="s">
        <v>636</v>
      </c>
      <c r="N1832" t="s">
        <v>104</v>
      </c>
      <c r="O1832">
        <v>2015559350</v>
      </c>
      <c r="P1832" t="s">
        <v>105</v>
      </c>
      <c r="R1832" t="s">
        <v>106</v>
      </c>
      <c r="S1832" t="s">
        <v>107</v>
      </c>
      <c r="T1832">
        <v>94019</v>
      </c>
      <c r="U1832" t="s">
        <v>32</v>
      </c>
      <c r="V1832" t="s">
        <v>33</v>
      </c>
      <c r="W1832" t="s">
        <v>61</v>
      </c>
      <c r="X1832" t="s">
        <v>108</v>
      </c>
      <c r="Y1832" t="s">
        <v>51</v>
      </c>
    </row>
    <row r="1833" spans="1:25" x14ac:dyDescent="0.25">
      <c r="A1833">
        <v>10248</v>
      </c>
      <c r="B1833">
        <v>30</v>
      </c>
      <c r="C1833">
        <v>100</v>
      </c>
      <c r="D1833">
        <v>5</v>
      </c>
      <c r="E1833">
        <v>3053.7</v>
      </c>
      <c r="F1833" s="1">
        <v>38114</v>
      </c>
      <c r="G1833" t="s">
        <v>339</v>
      </c>
      <c r="H1833">
        <v>2</v>
      </c>
      <c r="I1833">
        <v>5</v>
      </c>
      <c r="J1833">
        <v>2004</v>
      </c>
      <c r="K1833" t="s">
        <v>550</v>
      </c>
      <c r="L1833">
        <v>88</v>
      </c>
      <c r="M1833" t="s">
        <v>636</v>
      </c>
      <c r="N1833" t="s">
        <v>28</v>
      </c>
      <c r="O1833">
        <v>2125557818</v>
      </c>
      <c r="P1833" t="s">
        <v>29</v>
      </c>
      <c r="R1833" t="s">
        <v>30</v>
      </c>
      <c r="S1833" t="s">
        <v>31</v>
      </c>
      <c r="T1833">
        <v>10022</v>
      </c>
      <c r="U1833" t="s">
        <v>32</v>
      </c>
      <c r="V1833" t="s">
        <v>33</v>
      </c>
      <c r="W1833" t="s">
        <v>34</v>
      </c>
      <c r="X1833" t="s">
        <v>35</v>
      </c>
      <c r="Y1833" t="s">
        <v>51</v>
      </c>
    </row>
    <row r="1834" spans="1:25" x14ac:dyDescent="0.25">
      <c r="A1834">
        <v>10261</v>
      </c>
      <c r="B1834">
        <v>22</v>
      </c>
      <c r="C1834">
        <v>91.17</v>
      </c>
      <c r="D1834">
        <v>3</v>
      </c>
      <c r="E1834">
        <v>2005.74</v>
      </c>
      <c r="F1834" s="1">
        <v>38155</v>
      </c>
      <c r="G1834" t="s">
        <v>25</v>
      </c>
      <c r="H1834">
        <v>2</v>
      </c>
      <c r="I1834">
        <v>6</v>
      </c>
      <c r="J1834">
        <v>2004</v>
      </c>
      <c r="K1834" t="s">
        <v>550</v>
      </c>
      <c r="L1834">
        <v>88</v>
      </c>
      <c r="M1834" t="s">
        <v>636</v>
      </c>
      <c r="N1834" t="s">
        <v>292</v>
      </c>
      <c r="O1834" t="s">
        <v>293</v>
      </c>
      <c r="P1834" t="s">
        <v>294</v>
      </c>
      <c r="R1834" t="s">
        <v>295</v>
      </c>
      <c r="S1834" t="s">
        <v>296</v>
      </c>
      <c r="T1834" t="s">
        <v>297</v>
      </c>
      <c r="U1834" t="s">
        <v>231</v>
      </c>
      <c r="V1834" t="s">
        <v>33</v>
      </c>
      <c r="W1834" t="s">
        <v>298</v>
      </c>
      <c r="X1834" t="s">
        <v>299</v>
      </c>
      <c r="Y1834" t="s">
        <v>36</v>
      </c>
    </row>
    <row r="1835" spans="1:25" x14ac:dyDescent="0.25">
      <c r="A1835">
        <v>10273</v>
      </c>
      <c r="B1835">
        <v>27</v>
      </c>
      <c r="C1835">
        <v>100</v>
      </c>
      <c r="D1835">
        <v>6</v>
      </c>
      <c r="E1835">
        <v>2796.12</v>
      </c>
      <c r="F1835" s="1">
        <v>38189</v>
      </c>
      <c r="G1835" t="s">
        <v>25</v>
      </c>
      <c r="H1835">
        <v>3</v>
      </c>
      <c r="I1835">
        <v>7</v>
      </c>
      <c r="J1835">
        <v>2004</v>
      </c>
      <c r="K1835" t="s">
        <v>550</v>
      </c>
      <c r="L1835">
        <v>88</v>
      </c>
      <c r="M1835" t="s">
        <v>636</v>
      </c>
      <c r="N1835" t="s">
        <v>365</v>
      </c>
      <c r="O1835" t="s">
        <v>366</v>
      </c>
      <c r="P1835" t="s">
        <v>367</v>
      </c>
      <c r="R1835" t="s">
        <v>368</v>
      </c>
      <c r="T1835" t="s">
        <v>369</v>
      </c>
      <c r="U1835" t="s">
        <v>370</v>
      </c>
      <c r="V1835" t="s">
        <v>42</v>
      </c>
      <c r="W1835" t="s">
        <v>371</v>
      </c>
      <c r="X1835" t="s">
        <v>372</v>
      </c>
      <c r="Y1835" t="s">
        <v>36</v>
      </c>
    </row>
    <row r="1836" spans="1:25" x14ac:dyDescent="0.25">
      <c r="A1836">
        <v>10283</v>
      </c>
      <c r="B1836">
        <v>34</v>
      </c>
      <c r="C1836">
        <v>92.94</v>
      </c>
      <c r="D1836">
        <v>8</v>
      </c>
      <c r="E1836">
        <v>3159.96</v>
      </c>
      <c r="F1836" s="1">
        <v>38219</v>
      </c>
      <c r="G1836" t="s">
        <v>25</v>
      </c>
      <c r="H1836">
        <v>3</v>
      </c>
      <c r="I1836">
        <v>8</v>
      </c>
      <c r="J1836">
        <v>2004</v>
      </c>
      <c r="K1836" t="s">
        <v>550</v>
      </c>
      <c r="L1836">
        <v>88</v>
      </c>
      <c r="M1836" t="s">
        <v>636</v>
      </c>
      <c r="N1836" t="s">
        <v>373</v>
      </c>
      <c r="O1836" t="s">
        <v>374</v>
      </c>
      <c r="P1836" t="s">
        <v>375</v>
      </c>
      <c r="R1836" t="s">
        <v>376</v>
      </c>
      <c r="S1836" t="s">
        <v>229</v>
      </c>
      <c r="T1836" t="s">
        <v>377</v>
      </c>
      <c r="U1836" t="s">
        <v>231</v>
      </c>
      <c r="V1836" t="s">
        <v>33</v>
      </c>
      <c r="W1836" t="s">
        <v>378</v>
      </c>
      <c r="X1836" t="s">
        <v>172</v>
      </c>
      <c r="Y1836" t="s">
        <v>51</v>
      </c>
    </row>
    <row r="1837" spans="1:25" x14ac:dyDescent="0.25">
      <c r="A1837">
        <v>10295</v>
      </c>
      <c r="B1837">
        <v>46</v>
      </c>
      <c r="C1837">
        <v>84.97</v>
      </c>
      <c r="D1837">
        <v>3</v>
      </c>
      <c r="E1837">
        <v>3908.62</v>
      </c>
      <c r="F1837" s="1">
        <v>38240</v>
      </c>
      <c r="G1837" t="s">
        <v>25</v>
      </c>
      <c r="H1837">
        <v>3</v>
      </c>
      <c r="I1837">
        <v>9</v>
      </c>
      <c r="J1837">
        <v>2004</v>
      </c>
      <c r="K1837" t="s">
        <v>550</v>
      </c>
      <c r="L1837">
        <v>88</v>
      </c>
      <c r="M1837" t="s">
        <v>636</v>
      </c>
      <c r="N1837" t="s">
        <v>379</v>
      </c>
      <c r="O1837">
        <v>6175559555</v>
      </c>
      <c r="P1837" t="s">
        <v>380</v>
      </c>
      <c r="R1837" t="s">
        <v>381</v>
      </c>
      <c r="S1837" t="s">
        <v>123</v>
      </c>
      <c r="T1837">
        <v>51003</v>
      </c>
      <c r="U1837" t="s">
        <v>32</v>
      </c>
      <c r="V1837" t="s">
        <v>33</v>
      </c>
      <c r="W1837" t="s">
        <v>382</v>
      </c>
      <c r="X1837" t="s">
        <v>66</v>
      </c>
      <c r="Y1837" t="s">
        <v>51</v>
      </c>
    </row>
    <row r="1838" spans="1:25" x14ac:dyDescent="0.25">
      <c r="A1838">
        <v>10306</v>
      </c>
      <c r="B1838">
        <v>31</v>
      </c>
      <c r="C1838">
        <v>84.08</v>
      </c>
      <c r="D1838">
        <v>2</v>
      </c>
      <c r="E1838">
        <v>2606.48</v>
      </c>
      <c r="F1838" s="1">
        <v>38274</v>
      </c>
      <c r="G1838" t="s">
        <v>25</v>
      </c>
      <c r="H1838">
        <v>4</v>
      </c>
      <c r="I1838">
        <v>10</v>
      </c>
      <c r="J1838">
        <v>2004</v>
      </c>
      <c r="K1838" t="s">
        <v>550</v>
      </c>
      <c r="L1838">
        <v>88</v>
      </c>
      <c r="M1838" t="s">
        <v>636</v>
      </c>
      <c r="N1838" t="s">
        <v>492</v>
      </c>
      <c r="O1838" t="s">
        <v>493</v>
      </c>
      <c r="P1838" t="s">
        <v>494</v>
      </c>
      <c r="R1838" t="s">
        <v>495</v>
      </c>
      <c r="T1838" t="s">
        <v>496</v>
      </c>
      <c r="U1838" t="s">
        <v>170</v>
      </c>
      <c r="V1838" t="s">
        <v>42</v>
      </c>
      <c r="W1838" t="s">
        <v>497</v>
      </c>
      <c r="X1838" t="s">
        <v>94</v>
      </c>
      <c r="Y1838" t="s">
        <v>36</v>
      </c>
    </row>
    <row r="1839" spans="1:25" x14ac:dyDescent="0.25">
      <c r="A1839">
        <v>10315</v>
      </c>
      <c r="B1839">
        <v>24</v>
      </c>
      <c r="C1839">
        <v>86.74</v>
      </c>
      <c r="D1839">
        <v>1</v>
      </c>
      <c r="E1839">
        <v>2081.7600000000002</v>
      </c>
      <c r="F1839" s="1">
        <v>38289</v>
      </c>
      <c r="G1839" t="s">
        <v>25</v>
      </c>
      <c r="H1839">
        <v>4</v>
      </c>
      <c r="I1839">
        <v>10</v>
      </c>
      <c r="J1839">
        <v>2004</v>
      </c>
      <c r="K1839" t="s">
        <v>550</v>
      </c>
      <c r="L1839">
        <v>88</v>
      </c>
      <c r="M1839" t="s">
        <v>636</v>
      </c>
      <c r="N1839" t="s">
        <v>114</v>
      </c>
      <c r="O1839" t="s">
        <v>115</v>
      </c>
      <c r="P1839" t="s">
        <v>116</v>
      </c>
      <c r="R1839" t="s">
        <v>117</v>
      </c>
      <c r="T1839">
        <v>44000</v>
      </c>
      <c r="U1839" t="s">
        <v>41</v>
      </c>
      <c r="V1839" t="s">
        <v>42</v>
      </c>
      <c r="W1839" t="s">
        <v>118</v>
      </c>
      <c r="X1839" t="s">
        <v>119</v>
      </c>
      <c r="Y1839" t="s">
        <v>36</v>
      </c>
    </row>
    <row r="1840" spans="1:25" x14ac:dyDescent="0.25">
      <c r="A1840">
        <v>10326</v>
      </c>
      <c r="B1840">
        <v>41</v>
      </c>
      <c r="C1840">
        <v>85.85</v>
      </c>
      <c r="D1840">
        <v>3</v>
      </c>
      <c r="E1840">
        <v>3519.85</v>
      </c>
      <c r="F1840" s="1">
        <v>38300</v>
      </c>
      <c r="G1840" t="s">
        <v>25</v>
      </c>
      <c r="H1840">
        <v>4</v>
      </c>
      <c r="I1840">
        <v>11</v>
      </c>
      <c r="J1840">
        <v>2004</v>
      </c>
      <c r="K1840" t="s">
        <v>550</v>
      </c>
      <c r="L1840">
        <v>88</v>
      </c>
      <c r="M1840" t="s">
        <v>636</v>
      </c>
      <c r="N1840" t="s">
        <v>183</v>
      </c>
      <c r="O1840" t="s">
        <v>184</v>
      </c>
      <c r="P1840" t="s">
        <v>185</v>
      </c>
      <c r="R1840" t="s">
        <v>186</v>
      </c>
      <c r="T1840" t="s">
        <v>187</v>
      </c>
      <c r="U1840" t="s">
        <v>188</v>
      </c>
      <c r="V1840" t="s">
        <v>42</v>
      </c>
      <c r="W1840" t="s">
        <v>189</v>
      </c>
      <c r="X1840" t="s">
        <v>190</v>
      </c>
      <c r="Y1840" t="s">
        <v>51</v>
      </c>
    </row>
    <row r="1841" spans="1:25" x14ac:dyDescent="0.25">
      <c r="A1841">
        <v>10339</v>
      </c>
      <c r="B1841">
        <v>55</v>
      </c>
      <c r="C1841">
        <v>100</v>
      </c>
      <c r="D1841">
        <v>13</v>
      </c>
      <c r="E1841">
        <v>10758</v>
      </c>
      <c r="F1841" s="1">
        <v>38314</v>
      </c>
      <c r="G1841" t="s">
        <v>25</v>
      </c>
      <c r="H1841">
        <v>4</v>
      </c>
      <c r="I1841">
        <v>11</v>
      </c>
      <c r="J1841">
        <v>2004</v>
      </c>
      <c r="K1841" t="s">
        <v>550</v>
      </c>
      <c r="L1841">
        <v>88</v>
      </c>
      <c r="M1841" t="s">
        <v>636</v>
      </c>
      <c r="N1841" t="s">
        <v>246</v>
      </c>
      <c r="O1841" t="s">
        <v>247</v>
      </c>
      <c r="P1841" t="s">
        <v>248</v>
      </c>
      <c r="R1841" t="s">
        <v>249</v>
      </c>
      <c r="S1841" t="s">
        <v>250</v>
      </c>
      <c r="T1841" t="s">
        <v>251</v>
      </c>
      <c r="U1841" t="s">
        <v>200</v>
      </c>
      <c r="V1841" t="s">
        <v>200</v>
      </c>
      <c r="W1841" t="s">
        <v>252</v>
      </c>
      <c r="X1841" t="s">
        <v>253</v>
      </c>
      <c r="Y1841" t="s">
        <v>151</v>
      </c>
    </row>
    <row r="1842" spans="1:25" x14ac:dyDescent="0.25">
      <c r="A1842">
        <v>10350</v>
      </c>
      <c r="B1842">
        <v>30</v>
      </c>
      <c r="C1842">
        <v>100</v>
      </c>
      <c r="D1842">
        <v>9</v>
      </c>
      <c r="E1842">
        <v>3021</v>
      </c>
      <c r="F1842" s="1">
        <v>38323</v>
      </c>
      <c r="G1842" t="s">
        <v>25</v>
      </c>
      <c r="H1842">
        <v>4</v>
      </c>
      <c r="I1842">
        <v>12</v>
      </c>
      <c r="J1842">
        <v>2004</v>
      </c>
      <c r="K1842" t="s">
        <v>550</v>
      </c>
      <c r="L1842">
        <v>88</v>
      </c>
      <c r="M1842" t="s">
        <v>636</v>
      </c>
      <c r="N1842" t="s">
        <v>174</v>
      </c>
      <c r="O1842" t="s">
        <v>175</v>
      </c>
      <c r="P1842" t="s">
        <v>176</v>
      </c>
      <c r="R1842" t="s">
        <v>177</v>
      </c>
      <c r="T1842">
        <v>28034</v>
      </c>
      <c r="U1842" t="s">
        <v>178</v>
      </c>
      <c r="V1842" t="s">
        <v>42</v>
      </c>
      <c r="W1842" t="s">
        <v>179</v>
      </c>
      <c r="X1842" t="s">
        <v>180</v>
      </c>
      <c r="Y1842" t="s">
        <v>51</v>
      </c>
    </row>
    <row r="1843" spans="1:25" x14ac:dyDescent="0.25">
      <c r="A1843">
        <v>10373</v>
      </c>
      <c r="B1843">
        <v>33</v>
      </c>
      <c r="C1843">
        <v>57.32</v>
      </c>
      <c r="D1843">
        <v>12</v>
      </c>
      <c r="E1843">
        <v>1891.56</v>
      </c>
      <c r="F1843" s="1">
        <v>38383</v>
      </c>
      <c r="G1843" t="s">
        <v>25</v>
      </c>
      <c r="H1843">
        <v>1</v>
      </c>
      <c r="I1843">
        <v>1</v>
      </c>
      <c r="J1843">
        <v>2005</v>
      </c>
      <c r="K1843" t="s">
        <v>550</v>
      </c>
      <c r="L1843">
        <v>88</v>
      </c>
      <c r="M1843" t="s">
        <v>636</v>
      </c>
      <c r="N1843" t="s">
        <v>391</v>
      </c>
      <c r="O1843" t="s">
        <v>392</v>
      </c>
      <c r="P1843" t="s">
        <v>393</v>
      </c>
      <c r="R1843" t="s">
        <v>394</v>
      </c>
      <c r="T1843">
        <v>90110</v>
      </c>
      <c r="U1843" t="s">
        <v>130</v>
      </c>
      <c r="V1843" t="s">
        <v>42</v>
      </c>
      <c r="W1843" t="s">
        <v>395</v>
      </c>
      <c r="X1843" t="s">
        <v>396</v>
      </c>
      <c r="Y1843" t="s">
        <v>36</v>
      </c>
    </row>
    <row r="1844" spans="1:25" x14ac:dyDescent="0.25">
      <c r="A1844">
        <v>10384</v>
      </c>
      <c r="B1844">
        <v>43</v>
      </c>
      <c r="C1844">
        <v>97.87</v>
      </c>
      <c r="D1844">
        <v>2</v>
      </c>
      <c r="E1844">
        <v>4208.41</v>
      </c>
      <c r="F1844" s="1">
        <v>38406</v>
      </c>
      <c r="G1844" t="s">
        <v>25</v>
      </c>
      <c r="H1844">
        <v>1</v>
      </c>
      <c r="I1844">
        <v>2</v>
      </c>
      <c r="J1844">
        <v>2005</v>
      </c>
      <c r="K1844" t="s">
        <v>550</v>
      </c>
      <c r="L1844">
        <v>88</v>
      </c>
      <c r="M1844" t="s">
        <v>636</v>
      </c>
      <c r="N1844" t="s">
        <v>58</v>
      </c>
      <c r="O1844">
        <v>6505551386</v>
      </c>
      <c r="P1844" t="s">
        <v>59</v>
      </c>
      <c r="R1844" t="s">
        <v>60</v>
      </c>
      <c r="S1844" t="s">
        <v>55</v>
      </c>
      <c r="U1844" t="s">
        <v>32</v>
      </c>
      <c r="V1844" t="s">
        <v>33</v>
      </c>
      <c r="W1844" t="s">
        <v>61</v>
      </c>
      <c r="X1844" t="s">
        <v>57</v>
      </c>
      <c r="Y1844" t="s">
        <v>51</v>
      </c>
    </row>
    <row r="1845" spans="1:25" x14ac:dyDescent="0.25">
      <c r="A1845">
        <v>10396</v>
      </c>
      <c r="B1845">
        <v>27</v>
      </c>
      <c r="C1845">
        <v>83.2</v>
      </c>
      <c r="D1845">
        <v>7</v>
      </c>
      <c r="E1845">
        <v>2246.4</v>
      </c>
      <c r="F1845" s="1">
        <v>38434</v>
      </c>
      <c r="G1845" t="s">
        <v>25</v>
      </c>
      <c r="H1845">
        <v>1</v>
      </c>
      <c r="I1845">
        <v>3</v>
      </c>
      <c r="J1845">
        <v>2005</v>
      </c>
      <c r="K1845" t="s">
        <v>550</v>
      </c>
      <c r="L1845">
        <v>88</v>
      </c>
      <c r="M1845" t="s">
        <v>636</v>
      </c>
      <c r="N1845" t="s">
        <v>272</v>
      </c>
      <c r="O1845">
        <v>4155551450</v>
      </c>
      <c r="P1845" t="s">
        <v>273</v>
      </c>
      <c r="R1845" t="s">
        <v>274</v>
      </c>
      <c r="S1845" t="s">
        <v>55</v>
      </c>
      <c r="T1845">
        <v>97562</v>
      </c>
      <c r="U1845" t="s">
        <v>32</v>
      </c>
      <c r="V1845" t="s">
        <v>33</v>
      </c>
      <c r="W1845" t="s">
        <v>275</v>
      </c>
      <c r="X1845" t="s">
        <v>276</v>
      </c>
      <c r="Y1845" t="s">
        <v>36</v>
      </c>
    </row>
    <row r="1846" spans="1:25" x14ac:dyDescent="0.25">
      <c r="A1846">
        <v>10414</v>
      </c>
      <c r="B1846">
        <v>60</v>
      </c>
      <c r="C1846">
        <v>100</v>
      </c>
      <c r="D1846">
        <v>5</v>
      </c>
      <c r="E1846">
        <v>6107.4</v>
      </c>
      <c r="F1846" s="1">
        <v>38478</v>
      </c>
      <c r="G1846" t="s">
        <v>401</v>
      </c>
      <c r="H1846">
        <v>2</v>
      </c>
      <c r="I1846">
        <v>5</v>
      </c>
      <c r="J1846">
        <v>2005</v>
      </c>
      <c r="K1846" t="s">
        <v>550</v>
      </c>
      <c r="L1846">
        <v>88</v>
      </c>
      <c r="M1846" t="s">
        <v>636</v>
      </c>
      <c r="N1846" t="s">
        <v>379</v>
      </c>
      <c r="O1846">
        <v>6175559555</v>
      </c>
      <c r="P1846" t="s">
        <v>380</v>
      </c>
      <c r="R1846" t="s">
        <v>381</v>
      </c>
      <c r="S1846" t="s">
        <v>123</v>
      </c>
      <c r="T1846">
        <v>51003</v>
      </c>
      <c r="U1846" t="s">
        <v>32</v>
      </c>
      <c r="V1846" t="s">
        <v>33</v>
      </c>
      <c r="W1846" t="s">
        <v>382</v>
      </c>
      <c r="X1846" t="s">
        <v>66</v>
      </c>
      <c r="Y1846" t="s">
        <v>51</v>
      </c>
    </row>
    <row r="1847" spans="1:25" x14ac:dyDescent="0.25">
      <c r="A1847">
        <v>10110</v>
      </c>
      <c r="B1847">
        <v>27</v>
      </c>
      <c r="C1847">
        <v>73.62</v>
      </c>
      <c r="D1847">
        <v>12</v>
      </c>
      <c r="E1847">
        <v>1987.74</v>
      </c>
      <c r="F1847" s="1">
        <v>37698</v>
      </c>
      <c r="G1847" t="s">
        <v>25</v>
      </c>
      <c r="H1847">
        <v>1</v>
      </c>
      <c r="I1847">
        <v>3</v>
      </c>
      <c r="J1847">
        <v>2003</v>
      </c>
      <c r="K1847" t="s">
        <v>181</v>
      </c>
      <c r="L1847">
        <v>85</v>
      </c>
      <c r="M1847" t="s">
        <v>637</v>
      </c>
      <c r="N1847" t="s">
        <v>492</v>
      </c>
      <c r="O1847" t="s">
        <v>493</v>
      </c>
      <c r="P1847" t="s">
        <v>494</v>
      </c>
      <c r="R1847" t="s">
        <v>495</v>
      </c>
      <c r="T1847" t="s">
        <v>496</v>
      </c>
      <c r="U1847" t="s">
        <v>170</v>
      </c>
      <c r="V1847" t="s">
        <v>42</v>
      </c>
      <c r="W1847" t="s">
        <v>497</v>
      </c>
      <c r="X1847" t="s">
        <v>94</v>
      </c>
      <c r="Y1847" t="s">
        <v>36</v>
      </c>
    </row>
    <row r="1848" spans="1:25" x14ac:dyDescent="0.25">
      <c r="A1848">
        <v>10124</v>
      </c>
      <c r="B1848">
        <v>49</v>
      </c>
      <c r="C1848">
        <v>83.04</v>
      </c>
      <c r="D1848">
        <v>11</v>
      </c>
      <c r="E1848">
        <v>4068.96</v>
      </c>
      <c r="F1848" s="1">
        <v>37762</v>
      </c>
      <c r="G1848" t="s">
        <v>25</v>
      </c>
      <c r="H1848">
        <v>2</v>
      </c>
      <c r="I1848">
        <v>5</v>
      </c>
      <c r="J1848">
        <v>2003</v>
      </c>
      <c r="K1848" t="s">
        <v>181</v>
      </c>
      <c r="L1848">
        <v>85</v>
      </c>
      <c r="M1848" t="s">
        <v>637</v>
      </c>
      <c r="N1848" t="s">
        <v>539</v>
      </c>
      <c r="O1848">
        <v>7025551838</v>
      </c>
      <c r="P1848" t="s">
        <v>540</v>
      </c>
      <c r="R1848" t="s">
        <v>541</v>
      </c>
      <c r="S1848" t="s">
        <v>542</v>
      </c>
      <c r="T1848">
        <v>83030</v>
      </c>
      <c r="U1848" t="s">
        <v>32</v>
      </c>
      <c r="V1848" t="s">
        <v>33</v>
      </c>
      <c r="W1848" t="s">
        <v>113</v>
      </c>
      <c r="X1848" t="s">
        <v>400</v>
      </c>
      <c r="Y1848" t="s">
        <v>51</v>
      </c>
    </row>
    <row r="1849" spans="1:25" x14ac:dyDescent="0.25">
      <c r="A1849">
        <v>10148</v>
      </c>
      <c r="B1849">
        <v>31</v>
      </c>
      <c r="C1849">
        <v>73.62</v>
      </c>
      <c r="D1849">
        <v>5</v>
      </c>
      <c r="E1849">
        <v>2282.2199999999998</v>
      </c>
      <c r="F1849" s="1">
        <v>37875</v>
      </c>
      <c r="G1849" t="s">
        <v>25</v>
      </c>
      <c r="H1849">
        <v>3</v>
      </c>
      <c r="I1849">
        <v>9</v>
      </c>
      <c r="J1849">
        <v>2003</v>
      </c>
      <c r="K1849" t="s">
        <v>181</v>
      </c>
      <c r="L1849">
        <v>85</v>
      </c>
      <c r="M1849" t="s">
        <v>637</v>
      </c>
      <c r="N1849" t="s">
        <v>285</v>
      </c>
      <c r="O1849" t="s">
        <v>286</v>
      </c>
      <c r="P1849" t="s">
        <v>287</v>
      </c>
      <c r="Q1849" t="s">
        <v>288</v>
      </c>
      <c r="R1849" t="s">
        <v>289</v>
      </c>
      <c r="S1849" t="s">
        <v>157</v>
      </c>
      <c r="T1849">
        <v>2060</v>
      </c>
      <c r="U1849" t="s">
        <v>95</v>
      </c>
      <c r="V1849" t="s">
        <v>96</v>
      </c>
      <c r="W1849" t="s">
        <v>290</v>
      </c>
      <c r="X1849" t="s">
        <v>291</v>
      </c>
      <c r="Y1849" t="s">
        <v>36</v>
      </c>
    </row>
    <row r="1850" spans="1:25" x14ac:dyDescent="0.25">
      <c r="A1850">
        <v>10161</v>
      </c>
      <c r="B1850">
        <v>20</v>
      </c>
      <c r="C1850">
        <v>77.05</v>
      </c>
      <c r="D1850">
        <v>4</v>
      </c>
      <c r="E1850">
        <v>1541</v>
      </c>
      <c r="F1850" s="1">
        <v>37911</v>
      </c>
      <c r="G1850" t="s">
        <v>25</v>
      </c>
      <c r="H1850">
        <v>4</v>
      </c>
      <c r="I1850">
        <v>10</v>
      </c>
      <c r="J1850">
        <v>2003</v>
      </c>
      <c r="K1850" t="s">
        <v>181</v>
      </c>
      <c r="L1850">
        <v>85</v>
      </c>
      <c r="M1850" t="s">
        <v>637</v>
      </c>
      <c r="N1850" t="s">
        <v>498</v>
      </c>
      <c r="O1850" t="s">
        <v>499</v>
      </c>
      <c r="P1850" t="s">
        <v>500</v>
      </c>
      <c r="R1850" t="s">
        <v>501</v>
      </c>
      <c r="T1850">
        <v>8200</v>
      </c>
      <c r="U1850" t="s">
        <v>326</v>
      </c>
      <c r="V1850" t="s">
        <v>42</v>
      </c>
      <c r="W1850" t="s">
        <v>502</v>
      </c>
      <c r="X1850" t="s">
        <v>503</v>
      </c>
      <c r="Y1850" t="s">
        <v>36</v>
      </c>
    </row>
    <row r="1851" spans="1:25" x14ac:dyDescent="0.25">
      <c r="A1851">
        <v>10172</v>
      </c>
      <c r="B1851">
        <v>24</v>
      </c>
      <c r="C1851">
        <v>81.33</v>
      </c>
      <c r="D1851">
        <v>2</v>
      </c>
      <c r="E1851">
        <v>1951.92</v>
      </c>
      <c r="F1851" s="1">
        <v>37930</v>
      </c>
      <c r="G1851" t="s">
        <v>25</v>
      </c>
      <c r="H1851">
        <v>4</v>
      </c>
      <c r="I1851">
        <v>11</v>
      </c>
      <c r="J1851">
        <v>2003</v>
      </c>
      <c r="K1851" t="s">
        <v>181</v>
      </c>
      <c r="L1851">
        <v>85</v>
      </c>
      <c r="M1851" t="s">
        <v>637</v>
      </c>
      <c r="N1851" t="s">
        <v>109</v>
      </c>
      <c r="O1851">
        <v>2035552570</v>
      </c>
      <c r="P1851" t="s">
        <v>110</v>
      </c>
      <c r="R1851" t="s">
        <v>111</v>
      </c>
      <c r="S1851" t="s">
        <v>112</v>
      </c>
      <c r="T1851">
        <v>97562</v>
      </c>
      <c r="U1851" t="s">
        <v>32</v>
      </c>
      <c r="V1851" t="s">
        <v>33</v>
      </c>
      <c r="W1851" t="s">
        <v>113</v>
      </c>
      <c r="X1851" t="s">
        <v>57</v>
      </c>
      <c r="Y1851" t="s">
        <v>36</v>
      </c>
    </row>
    <row r="1852" spans="1:25" x14ac:dyDescent="0.25">
      <c r="A1852">
        <v>10182</v>
      </c>
      <c r="B1852">
        <v>33</v>
      </c>
      <c r="C1852">
        <v>94.17</v>
      </c>
      <c r="D1852">
        <v>15</v>
      </c>
      <c r="E1852">
        <v>3107.61</v>
      </c>
      <c r="F1852" s="1">
        <v>37937</v>
      </c>
      <c r="G1852" t="s">
        <v>25</v>
      </c>
      <c r="H1852">
        <v>4</v>
      </c>
      <c r="I1852">
        <v>11</v>
      </c>
      <c r="J1852">
        <v>2003</v>
      </c>
      <c r="K1852" t="s">
        <v>181</v>
      </c>
      <c r="L1852">
        <v>85</v>
      </c>
      <c r="M1852" t="s">
        <v>637</v>
      </c>
      <c r="N1852" t="s">
        <v>272</v>
      </c>
      <c r="O1852">
        <v>4155551450</v>
      </c>
      <c r="P1852" t="s">
        <v>273</v>
      </c>
      <c r="R1852" t="s">
        <v>274</v>
      </c>
      <c r="S1852" t="s">
        <v>55</v>
      </c>
      <c r="T1852">
        <v>97562</v>
      </c>
      <c r="U1852" t="s">
        <v>32</v>
      </c>
      <c r="V1852" t="s">
        <v>33</v>
      </c>
      <c r="W1852" t="s">
        <v>275</v>
      </c>
      <c r="X1852" t="s">
        <v>276</v>
      </c>
      <c r="Y1852" t="s">
        <v>51</v>
      </c>
    </row>
    <row r="1853" spans="1:25" x14ac:dyDescent="0.25">
      <c r="A1853">
        <v>10192</v>
      </c>
      <c r="B1853">
        <v>32</v>
      </c>
      <c r="C1853">
        <v>72.77</v>
      </c>
      <c r="D1853">
        <v>3</v>
      </c>
      <c r="E1853">
        <v>2328.64</v>
      </c>
      <c r="F1853" s="1">
        <v>37945</v>
      </c>
      <c r="G1853" t="s">
        <v>25</v>
      </c>
      <c r="H1853">
        <v>4</v>
      </c>
      <c r="I1853">
        <v>11</v>
      </c>
      <c r="J1853">
        <v>2003</v>
      </c>
      <c r="K1853" t="s">
        <v>181</v>
      </c>
      <c r="L1853">
        <v>85</v>
      </c>
      <c r="M1853" t="s">
        <v>637</v>
      </c>
      <c r="N1853" t="s">
        <v>277</v>
      </c>
      <c r="O1853">
        <v>6035558647</v>
      </c>
      <c r="P1853" t="s">
        <v>278</v>
      </c>
      <c r="R1853" t="s">
        <v>279</v>
      </c>
      <c r="S1853" t="s">
        <v>280</v>
      </c>
      <c r="T1853">
        <v>62005</v>
      </c>
      <c r="U1853" t="s">
        <v>32</v>
      </c>
      <c r="V1853" t="s">
        <v>33</v>
      </c>
      <c r="W1853" t="s">
        <v>56</v>
      </c>
      <c r="X1853" t="s">
        <v>276</v>
      </c>
      <c r="Y1853" t="s">
        <v>36</v>
      </c>
    </row>
    <row r="1854" spans="1:25" x14ac:dyDescent="0.25">
      <c r="A1854">
        <v>10204</v>
      </c>
      <c r="B1854">
        <v>40</v>
      </c>
      <c r="C1854">
        <v>79.62</v>
      </c>
      <c r="D1854">
        <v>9</v>
      </c>
      <c r="E1854">
        <v>3184.8</v>
      </c>
      <c r="F1854" s="1">
        <v>37957</v>
      </c>
      <c r="G1854" t="s">
        <v>25</v>
      </c>
      <c r="H1854">
        <v>4</v>
      </c>
      <c r="I1854">
        <v>12</v>
      </c>
      <c r="J1854">
        <v>2003</v>
      </c>
      <c r="K1854" t="s">
        <v>181</v>
      </c>
      <c r="L1854">
        <v>85</v>
      </c>
      <c r="M1854" t="s">
        <v>637</v>
      </c>
      <c r="N1854" t="s">
        <v>475</v>
      </c>
      <c r="O1854">
        <v>2125557413</v>
      </c>
      <c r="P1854" t="s">
        <v>476</v>
      </c>
      <c r="Q1854" t="s">
        <v>477</v>
      </c>
      <c r="R1854" t="s">
        <v>30</v>
      </c>
      <c r="S1854" t="s">
        <v>31</v>
      </c>
      <c r="T1854">
        <v>10022</v>
      </c>
      <c r="U1854" t="s">
        <v>32</v>
      </c>
      <c r="V1854" t="s">
        <v>33</v>
      </c>
      <c r="W1854" t="s">
        <v>56</v>
      </c>
      <c r="X1854" t="s">
        <v>478</v>
      </c>
      <c r="Y1854" t="s">
        <v>51</v>
      </c>
    </row>
    <row r="1855" spans="1:25" x14ac:dyDescent="0.25">
      <c r="A1855">
        <v>10212</v>
      </c>
      <c r="B1855">
        <v>27</v>
      </c>
      <c r="C1855">
        <v>79.62</v>
      </c>
      <c r="D1855">
        <v>2</v>
      </c>
      <c r="E1855">
        <v>2149.7399999999998</v>
      </c>
      <c r="F1855" s="1">
        <v>38002</v>
      </c>
      <c r="G1855" t="s">
        <v>25</v>
      </c>
      <c r="H1855">
        <v>1</v>
      </c>
      <c r="I1855">
        <v>1</v>
      </c>
      <c r="J1855">
        <v>2004</v>
      </c>
      <c r="K1855" t="s">
        <v>181</v>
      </c>
      <c r="L1855">
        <v>85</v>
      </c>
      <c r="M1855" t="s">
        <v>637</v>
      </c>
      <c r="N1855" t="s">
        <v>174</v>
      </c>
      <c r="O1855" t="s">
        <v>175</v>
      </c>
      <c r="P1855" t="s">
        <v>176</v>
      </c>
      <c r="R1855" t="s">
        <v>177</v>
      </c>
      <c r="T1855">
        <v>28034</v>
      </c>
      <c r="U1855" t="s">
        <v>178</v>
      </c>
      <c r="V1855" t="s">
        <v>42</v>
      </c>
      <c r="W1855" t="s">
        <v>179</v>
      </c>
      <c r="X1855" t="s">
        <v>180</v>
      </c>
      <c r="Y1855" t="s">
        <v>36</v>
      </c>
    </row>
    <row r="1856" spans="1:25" x14ac:dyDescent="0.25">
      <c r="A1856">
        <v>10227</v>
      </c>
      <c r="B1856">
        <v>40</v>
      </c>
      <c r="C1856">
        <v>79.62</v>
      </c>
      <c r="D1856">
        <v>15</v>
      </c>
      <c r="E1856">
        <v>3184.8</v>
      </c>
      <c r="F1856" s="1">
        <v>38048</v>
      </c>
      <c r="G1856" t="s">
        <v>25</v>
      </c>
      <c r="H1856">
        <v>1</v>
      </c>
      <c r="I1856">
        <v>3</v>
      </c>
      <c r="J1856">
        <v>2004</v>
      </c>
      <c r="K1856" t="s">
        <v>181</v>
      </c>
      <c r="L1856">
        <v>85</v>
      </c>
      <c r="M1856" t="s">
        <v>637</v>
      </c>
      <c r="N1856" t="s">
        <v>219</v>
      </c>
      <c r="O1856" t="s">
        <v>220</v>
      </c>
      <c r="P1856" t="s">
        <v>221</v>
      </c>
      <c r="R1856" t="s">
        <v>222</v>
      </c>
      <c r="T1856">
        <v>69004</v>
      </c>
      <c r="U1856" t="s">
        <v>41</v>
      </c>
      <c r="V1856" t="s">
        <v>42</v>
      </c>
      <c r="W1856" t="s">
        <v>223</v>
      </c>
      <c r="X1856" t="s">
        <v>224</v>
      </c>
      <c r="Y1856" t="s">
        <v>51</v>
      </c>
    </row>
    <row r="1857" spans="1:25" x14ac:dyDescent="0.25">
      <c r="A1857">
        <v>10241</v>
      </c>
      <c r="B1857">
        <v>26</v>
      </c>
      <c r="C1857">
        <v>81.33</v>
      </c>
      <c r="D1857">
        <v>7</v>
      </c>
      <c r="E1857">
        <v>2114.58</v>
      </c>
      <c r="F1857" s="1">
        <v>38090</v>
      </c>
      <c r="G1857" t="s">
        <v>25</v>
      </c>
      <c r="H1857">
        <v>2</v>
      </c>
      <c r="I1857">
        <v>4</v>
      </c>
      <c r="J1857">
        <v>2004</v>
      </c>
      <c r="K1857" t="s">
        <v>181</v>
      </c>
      <c r="L1857">
        <v>85</v>
      </c>
      <c r="M1857" t="s">
        <v>637</v>
      </c>
      <c r="N1857" t="s">
        <v>531</v>
      </c>
      <c r="O1857" t="s">
        <v>532</v>
      </c>
      <c r="P1857" t="s">
        <v>533</v>
      </c>
      <c r="R1857" t="s">
        <v>534</v>
      </c>
      <c r="T1857">
        <v>67000</v>
      </c>
      <c r="U1857" t="s">
        <v>41</v>
      </c>
      <c r="V1857" t="s">
        <v>42</v>
      </c>
      <c r="W1857" t="s">
        <v>535</v>
      </c>
      <c r="X1857" t="s">
        <v>536</v>
      </c>
      <c r="Y1857" t="s">
        <v>36</v>
      </c>
    </row>
    <row r="1858" spans="1:25" x14ac:dyDescent="0.25">
      <c r="A1858">
        <v>10267</v>
      </c>
      <c r="B1858">
        <v>44</v>
      </c>
      <c r="C1858">
        <v>96.74</v>
      </c>
      <c r="D1858">
        <v>4</v>
      </c>
      <c r="E1858">
        <v>4256.5600000000004</v>
      </c>
      <c r="F1858" s="1">
        <v>38175</v>
      </c>
      <c r="G1858" t="s">
        <v>25</v>
      </c>
      <c r="H1858">
        <v>3</v>
      </c>
      <c r="I1858">
        <v>7</v>
      </c>
      <c r="J1858">
        <v>2004</v>
      </c>
      <c r="K1858" t="s">
        <v>181</v>
      </c>
      <c r="L1858">
        <v>85</v>
      </c>
      <c r="M1858" t="s">
        <v>637</v>
      </c>
      <c r="N1858" t="s">
        <v>475</v>
      </c>
      <c r="O1858">
        <v>2125557413</v>
      </c>
      <c r="P1858" t="s">
        <v>476</v>
      </c>
      <c r="Q1858" t="s">
        <v>477</v>
      </c>
      <c r="R1858" t="s">
        <v>30</v>
      </c>
      <c r="S1858" t="s">
        <v>31</v>
      </c>
      <c r="T1858">
        <v>10022</v>
      </c>
      <c r="U1858" t="s">
        <v>32</v>
      </c>
      <c r="V1858" t="s">
        <v>33</v>
      </c>
      <c r="W1858" t="s">
        <v>56</v>
      </c>
      <c r="X1858" t="s">
        <v>478</v>
      </c>
      <c r="Y1858" t="s">
        <v>51</v>
      </c>
    </row>
    <row r="1859" spans="1:25" x14ac:dyDescent="0.25">
      <c r="A1859">
        <v>10279</v>
      </c>
      <c r="B1859">
        <v>33</v>
      </c>
      <c r="C1859">
        <v>71.06</v>
      </c>
      <c r="D1859">
        <v>4</v>
      </c>
      <c r="E1859">
        <v>2344.98</v>
      </c>
      <c r="F1859" s="1">
        <v>38208</v>
      </c>
      <c r="G1859" t="s">
        <v>25</v>
      </c>
      <c r="H1859">
        <v>3</v>
      </c>
      <c r="I1859">
        <v>8</v>
      </c>
      <c r="J1859">
        <v>2004</v>
      </c>
      <c r="K1859" t="s">
        <v>181</v>
      </c>
      <c r="L1859">
        <v>85</v>
      </c>
      <c r="M1859" t="s">
        <v>637</v>
      </c>
      <c r="N1859" t="s">
        <v>174</v>
      </c>
      <c r="O1859" t="s">
        <v>175</v>
      </c>
      <c r="P1859" t="s">
        <v>176</v>
      </c>
      <c r="R1859" t="s">
        <v>177</v>
      </c>
      <c r="T1859">
        <v>28034</v>
      </c>
      <c r="U1859" t="s">
        <v>178</v>
      </c>
      <c r="V1859" t="s">
        <v>42</v>
      </c>
      <c r="W1859" t="s">
        <v>179</v>
      </c>
      <c r="X1859" t="s">
        <v>180</v>
      </c>
      <c r="Y1859" t="s">
        <v>36</v>
      </c>
    </row>
    <row r="1860" spans="1:25" x14ac:dyDescent="0.25">
      <c r="A1860">
        <v>10288</v>
      </c>
      <c r="B1860">
        <v>34</v>
      </c>
      <c r="C1860">
        <v>68.489999999999995</v>
      </c>
      <c r="D1860">
        <v>10</v>
      </c>
      <c r="E1860">
        <v>2328.66</v>
      </c>
      <c r="F1860" s="1">
        <v>38231</v>
      </c>
      <c r="G1860" t="s">
        <v>25</v>
      </c>
      <c r="H1860">
        <v>3</v>
      </c>
      <c r="I1860">
        <v>9</v>
      </c>
      <c r="J1860">
        <v>2004</v>
      </c>
      <c r="K1860" t="s">
        <v>181</v>
      </c>
      <c r="L1860">
        <v>85</v>
      </c>
      <c r="M1860" t="s">
        <v>637</v>
      </c>
      <c r="N1860" t="s">
        <v>418</v>
      </c>
      <c r="O1860" t="s">
        <v>419</v>
      </c>
      <c r="P1860" t="s">
        <v>420</v>
      </c>
      <c r="Q1860" t="s">
        <v>421</v>
      </c>
      <c r="R1860" t="s">
        <v>199</v>
      </c>
      <c r="T1860">
        <v>69045</v>
      </c>
      <c r="U1860" t="s">
        <v>199</v>
      </c>
      <c r="V1860" t="s">
        <v>96</v>
      </c>
      <c r="W1860" t="s">
        <v>422</v>
      </c>
      <c r="X1860" t="s">
        <v>423</v>
      </c>
      <c r="Y1860" t="s">
        <v>36</v>
      </c>
    </row>
    <row r="1861" spans="1:25" x14ac:dyDescent="0.25">
      <c r="A1861">
        <v>10302</v>
      </c>
      <c r="B1861">
        <v>48</v>
      </c>
      <c r="C1861">
        <v>74.48</v>
      </c>
      <c r="D1861">
        <v>6</v>
      </c>
      <c r="E1861">
        <v>3575.04</v>
      </c>
      <c r="F1861" s="1">
        <v>37900</v>
      </c>
      <c r="G1861" t="s">
        <v>25</v>
      </c>
      <c r="H1861">
        <v>4</v>
      </c>
      <c r="I1861">
        <v>10</v>
      </c>
      <c r="J1861">
        <v>2003</v>
      </c>
      <c r="K1861" t="s">
        <v>181</v>
      </c>
      <c r="L1861">
        <v>85</v>
      </c>
      <c r="M1861" t="s">
        <v>637</v>
      </c>
      <c r="N1861" t="s">
        <v>165</v>
      </c>
      <c r="O1861" t="s">
        <v>166</v>
      </c>
      <c r="P1861" t="s">
        <v>167</v>
      </c>
      <c r="R1861" t="s">
        <v>168</v>
      </c>
      <c r="T1861" t="s">
        <v>169</v>
      </c>
      <c r="U1861" t="s">
        <v>170</v>
      </c>
      <c r="V1861" t="s">
        <v>42</v>
      </c>
      <c r="W1861" t="s">
        <v>171</v>
      </c>
      <c r="X1861" t="s">
        <v>172</v>
      </c>
      <c r="Y1861" t="s">
        <v>51</v>
      </c>
    </row>
    <row r="1862" spans="1:25" x14ac:dyDescent="0.25">
      <c r="A1862">
        <v>10311</v>
      </c>
      <c r="B1862">
        <v>25</v>
      </c>
      <c r="C1862">
        <v>83.04</v>
      </c>
      <c r="D1862">
        <v>5</v>
      </c>
      <c r="E1862">
        <v>2076</v>
      </c>
      <c r="F1862" s="1">
        <v>38276</v>
      </c>
      <c r="G1862" t="s">
        <v>25</v>
      </c>
      <c r="H1862">
        <v>4</v>
      </c>
      <c r="I1862">
        <v>10</v>
      </c>
      <c r="J1862">
        <v>2004</v>
      </c>
      <c r="K1862" t="s">
        <v>181</v>
      </c>
      <c r="L1862">
        <v>85</v>
      </c>
      <c r="M1862" t="s">
        <v>637</v>
      </c>
      <c r="N1862" t="s">
        <v>174</v>
      </c>
      <c r="O1862" t="s">
        <v>175</v>
      </c>
      <c r="P1862" t="s">
        <v>176</v>
      </c>
      <c r="R1862" t="s">
        <v>177</v>
      </c>
      <c r="T1862">
        <v>28034</v>
      </c>
      <c r="U1862" t="s">
        <v>178</v>
      </c>
      <c r="V1862" t="s">
        <v>42</v>
      </c>
      <c r="W1862" t="s">
        <v>179</v>
      </c>
      <c r="X1862" t="s">
        <v>180</v>
      </c>
      <c r="Y1862" t="s">
        <v>36</v>
      </c>
    </row>
    <row r="1863" spans="1:25" x14ac:dyDescent="0.25">
      <c r="A1863">
        <v>10321</v>
      </c>
      <c r="B1863">
        <v>39</v>
      </c>
      <c r="C1863">
        <v>84.75</v>
      </c>
      <c r="D1863">
        <v>2</v>
      </c>
      <c r="E1863">
        <v>3305.25</v>
      </c>
      <c r="F1863" s="1">
        <v>38295</v>
      </c>
      <c r="G1863" t="s">
        <v>25</v>
      </c>
      <c r="H1863">
        <v>4</v>
      </c>
      <c r="I1863">
        <v>11</v>
      </c>
      <c r="J1863">
        <v>2004</v>
      </c>
      <c r="K1863" t="s">
        <v>181</v>
      </c>
      <c r="L1863">
        <v>85</v>
      </c>
      <c r="M1863" t="s">
        <v>637</v>
      </c>
      <c r="N1863" t="s">
        <v>160</v>
      </c>
      <c r="O1863">
        <v>5085552555</v>
      </c>
      <c r="P1863" t="s">
        <v>161</v>
      </c>
      <c r="R1863" t="s">
        <v>162</v>
      </c>
      <c r="S1863" t="s">
        <v>123</v>
      </c>
      <c r="T1863">
        <v>50553</v>
      </c>
      <c r="U1863" t="s">
        <v>32</v>
      </c>
      <c r="V1863" t="s">
        <v>33</v>
      </c>
      <c r="W1863" t="s">
        <v>163</v>
      </c>
      <c r="X1863" t="s">
        <v>164</v>
      </c>
      <c r="Y1863" t="s">
        <v>51</v>
      </c>
    </row>
    <row r="1864" spans="1:25" x14ac:dyDescent="0.25">
      <c r="A1864">
        <v>10332</v>
      </c>
      <c r="B1864">
        <v>45</v>
      </c>
      <c r="C1864">
        <v>34.19</v>
      </c>
      <c r="D1864">
        <v>12</v>
      </c>
      <c r="E1864">
        <v>1538.55</v>
      </c>
      <c r="F1864" s="1">
        <v>38308</v>
      </c>
      <c r="G1864" t="s">
        <v>25</v>
      </c>
      <c r="H1864">
        <v>4</v>
      </c>
      <c r="I1864">
        <v>11</v>
      </c>
      <c r="J1864">
        <v>2004</v>
      </c>
      <c r="K1864" t="s">
        <v>181</v>
      </c>
      <c r="L1864">
        <v>85</v>
      </c>
      <c r="M1864" t="s">
        <v>637</v>
      </c>
      <c r="N1864" t="s">
        <v>492</v>
      </c>
      <c r="O1864" t="s">
        <v>493</v>
      </c>
      <c r="P1864" t="s">
        <v>494</v>
      </c>
      <c r="R1864" t="s">
        <v>495</v>
      </c>
      <c r="T1864" t="s">
        <v>496</v>
      </c>
      <c r="U1864" t="s">
        <v>170</v>
      </c>
      <c r="V1864" t="s">
        <v>42</v>
      </c>
      <c r="W1864" t="s">
        <v>497</v>
      </c>
      <c r="X1864" t="s">
        <v>94</v>
      </c>
      <c r="Y1864" t="s">
        <v>36</v>
      </c>
    </row>
    <row r="1865" spans="1:25" x14ac:dyDescent="0.25">
      <c r="A1865">
        <v>10346</v>
      </c>
      <c r="B1865">
        <v>24</v>
      </c>
      <c r="C1865">
        <v>100</v>
      </c>
      <c r="D1865">
        <v>2</v>
      </c>
      <c r="E1865">
        <v>3325.92</v>
      </c>
      <c r="F1865" s="1">
        <v>38320</v>
      </c>
      <c r="G1865" t="s">
        <v>25</v>
      </c>
      <c r="H1865">
        <v>4</v>
      </c>
      <c r="I1865">
        <v>11</v>
      </c>
      <c r="J1865">
        <v>2004</v>
      </c>
      <c r="K1865" t="s">
        <v>181</v>
      </c>
      <c r="L1865">
        <v>85</v>
      </c>
      <c r="M1865" t="s">
        <v>637</v>
      </c>
      <c r="N1865" t="s">
        <v>539</v>
      </c>
      <c r="O1865">
        <v>7025551838</v>
      </c>
      <c r="P1865" t="s">
        <v>540</v>
      </c>
      <c r="R1865" t="s">
        <v>541</v>
      </c>
      <c r="S1865" t="s">
        <v>542</v>
      </c>
      <c r="T1865">
        <v>83030</v>
      </c>
      <c r="U1865" t="s">
        <v>32</v>
      </c>
      <c r="V1865" t="s">
        <v>33</v>
      </c>
      <c r="W1865" t="s">
        <v>113</v>
      </c>
      <c r="X1865" t="s">
        <v>400</v>
      </c>
      <c r="Y1865" t="s">
        <v>51</v>
      </c>
    </row>
    <row r="1866" spans="1:25" x14ac:dyDescent="0.25">
      <c r="A1866">
        <v>10368</v>
      </c>
      <c r="B1866">
        <v>46</v>
      </c>
      <c r="C1866">
        <v>79.62</v>
      </c>
      <c r="D1866">
        <v>1</v>
      </c>
      <c r="E1866">
        <v>3662.52</v>
      </c>
      <c r="F1866" s="1">
        <v>38371</v>
      </c>
      <c r="G1866" t="s">
        <v>25</v>
      </c>
      <c r="H1866">
        <v>1</v>
      </c>
      <c r="I1866">
        <v>1</v>
      </c>
      <c r="J1866">
        <v>2005</v>
      </c>
      <c r="K1866" t="s">
        <v>181</v>
      </c>
      <c r="L1866">
        <v>85</v>
      </c>
      <c r="M1866" t="s">
        <v>637</v>
      </c>
      <c r="N1866" t="s">
        <v>272</v>
      </c>
      <c r="O1866">
        <v>4155551450</v>
      </c>
      <c r="P1866" t="s">
        <v>273</v>
      </c>
      <c r="R1866" t="s">
        <v>274</v>
      </c>
      <c r="S1866" t="s">
        <v>55</v>
      </c>
      <c r="T1866">
        <v>97562</v>
      </c>
      <c r="U1866" t="s">
        <v>32</v>
      </c>
      <c r="V1866" t="s">
        <v>33</v>
      </c>
      <c r="W1866" t="s">
        <v>275</v>
      </c>
      <c r="X1866" t="s">
        <v>276</v>
      </c>
      <c r="Y1866" t="s">
        <v>51</v>
      </c>
    </row>
    <row r="1867" spans="1:25" x14ac:dyDescent="0.25">
      <c r="A1867">
        <v>10380</v>
      </c>
      <c r="B1867">
        <v>44</v>
      </c>
      <c r="C1867">
        <v>79.06</v>
      </c>
      <c r="D1867">
        <v>9</v>
      </c>
      <c r="E1867">
        <v>3478.64</v>
      </c>
      <c r="F1867" s="1">
        <v>38399</v>
      </c>
      <c r="G1867" t="s">
        <v>25</v>
      </c>
      <c r="H1867">
        <v>1</v>
      </c>
      <c r="I1867">
        <v>2</v>
      </c>
      <c r="J1867">
        <v>2005</v>
      </c>
      <c r="K1867" t="s">
        <v>181</v>
      </c>
      <c r="L1867">
        <v>85</v>
      </c>
      <c r="M1867" t="s">
        <v>637</v>
      </c>
      <c r="N1867" t="s">
        <v>174</v>
      </c>
      <c r="O1867" t="s">
        <v>175</v>
      </c>
      <c r="P1867" t="s">
        <v>176</v>
      </c>
      <c r="R1867" t="s">
        <v>177</v>
      </c>
      <c r="T1867">
        <v>28034</v>
      </c>
      <c r="U1867" t="s">
        <v>178</v>
      </c>
      <c r="V1867" t="s">
        <v>42</v>
      </c>
      <c r="W1867" t="s">
        <v>179</v>
      </c>
      <c r="X1867" t="s">
        <v>180</v>
      </c>
      <c r="Y1867" t="s">
        <v>51</v>
      </c>
    </row>
    <row r="1868" spans="1:25" x14ac:dyDescent="0.25">
      <c r="A1868">
        <v>10407</v>
      </c>
      <c r="B1868">
        <v>13</v>
      </c>
      <c r="C1868">
        <v>81.33</v>
      </c>
      <c r="D1868">
        <v>7</v>
      </c>
      <c r="E1868">
        <v>1057.29</v>
      </c>
      <c r="F1868" s="1">
        <v>38464</v>
      </c>
      <c r="G1868" t="s">
        <v>401</v>
      </c>
      <c r="H1868">
        <v>2</v>
      </c>
      <c r="I1868">
        <v>4</v>
      </c>
      <c r="J1868">
        <v>2005</v>
      </c>
      <c r="K1868" t="s">
        <v>181</v>
      </c>
      <c r="L1868">
        <v>85</v>
      </c>
      <c r="M1868" t="s">
        <v>637</v>
      </c>
      <c r="N1868" t="s">
        <v>397</v>
      </c>
      <c r="O1868">
        <v>4085553659</v>
      </c>
      <c r="P1868" t="s">
        <v>398</v>
      </c>
      <c r="R1868" t="s">
        <v>399</v>
      </c>
      <c r="S1868" t="s">
        <v>55</v>
      </c>
      <c r="T1868">
        <v>94217</v>
      </c>
      <c r="U1868" t="s">
        <v>32</v>
      </c>
      <c r="V1868" t="s">
        <v>33</v>
      </c>
      <c r="W1868" t="s">
        <v>102</v>
      </c>
      <c r="X1868" t="s">
        <v>400</v>
      </c>
      <c r="Y1868" t="s">
        <v>36</v>
      </c>
    </row>
    <row r="1869" spans="1:25" x14ac:dyDescent="0.25">
      <c r="A1869">
        <v>10420</v>
      </c>
      <c r="B1869">
        <v>35</v>
      </c>
      <c r="C1869">
        <v>96.74</v>
      </c>
      <c r="D1869">
        <v>10</v>
      </c>
      <c r="E1869">
        <v>3385.9</v>
      </c>
      <c r="F1869" s="1">
        <v>38501</v>
      </c>
      <c r="G1869" t="s">
        <v>300</v>
      </c>
      <c r="H1869">
        <v>2</v>
      </c>
      <c r="I1869">
        <v>5</v>
      </c>
      <c r="J1869">
        <v>2005</v>
      </c>
      <c r="K1869" t="s">
        <v>181</v>
      </c>
      <c r="L1869">
        <v>85</v>
      </c>
      <c r="M1869" t="s">
        <v>637</v>
      </c>
      <c r="N1869" t="s">
        <v>152</v>
      </c>
      <c r="O1869" t="s">
        <v>153</v>
      </c>
      <c r="P1869" t="s">
        <v>154</v>
      </c>
      <c r="Q1869" t="s">
        <v>155</v>
      </c>
      <c r="R1869" t="s">
        <v>156</v>
      </c>
      <c r="S1869" t="s">
        <v>157</v>
      </c>
      <c r="T1869">
        <v>2067</v>
      </c>
      <c r="U1869" t="s">
        <v>95</v>
      </c>
      <c r="V1869" t="s">
        <v>96</v>
      </c>
      <c r="W1869" t="s">
        <v>158</v>
      </c>
      <c r="X1869" t="s">
        <v>159</v>
      </c>
      <c r="Y1869" t="s">
        <v>51</v>
      </c>
    </row>
    <row r="1870" spans="1:25" x14ac:dyDescent="0.25">
      <c r="A1870">
        <v>10108</v>
      </c>
      <c r="B1870">
        <v>30</v>
      </c>
      <c r="C1870">
        <v>63.07</v>
      </c>
      <c r="D1870">
        <v>5</v>
      </c>
      <c r="E1870">
        <v>1892.1</v>
      </c>
      <c r="F1870" s="1">
        <v>37683</v>
      </c>
      <c r="G1870" t="s">
        <v>25</v>
      </c>
      <c r="H1870">
        <v>1</v>
      </c>
      <c r="I1870">
        <v>3</v>
      </c>
      <c r="J1870">
        <v>2003</v>
      </c>
      <c r="K1870" t="s">
        <v>181</v>
      </c>
      <c r="L1870">
        <v>61</v>
      </c>
      <c r="M1870" t="s">
        <v>638</v>
      </c>
      <c r="N1870" t="s">
        <v>425</v>
      </c>
      <c r="O1870" t="s">
        <v>426</v>
      </c>
      <c r="P1870" t="s">
        <v>427</v>
      </c>
      <c r="R1870" t="s">
        <v>428</v>
      </c>
      <c r="T1870" t="s">
        <v>429</v>
      </c>
      <c r="U1870" t="s">
        <v>430</v>
      </c>
      <c r="V1870" t="s">
        <v>200</v>
      </c>
      <c r="W1870" t="s">
        <v>431</v>
      </c>
      <c r="X1870" t="s">
        <v>432</v>
      </c>
      <c r="Y1870" t="s">
        <v>36</v>
      </c>
    </row>
    <row r="1871" spans="1:25" x14ac:dyDescent="0.25">
      <c r="A1871">
        <v>10122</v>
      </c>
      <c r="B1871">
        <v>34</v>
      </c>
      <c r="C1871">
        <v>50.21</v>
      </c>
      <c r="D1871">
        <v>9</v>
      </c>
      <c r="E1871">
        <v>1707.14</v>
      </c>
      <c r="F1871" s="1">
        <v>37749</v>
      </c>
      <c r="G1871" t="s">
        <v>25</v>
      </c>
      <c r="H1871">
        <v>2</v>
      </c>
      <c r="I1871">
        <v>5</v>
      </c>
      <c r="J1871">
        <v>2003</v>
      </c>
      <c r="K1871" t="s">
        <v>181</v>
      </c>
      <c r="L1871">
        <v>61</v>
      </c>
      <c r="M1871" t="s">
        <v>638</v>
      </c>
      <c r="N1871" t="s">
        <v>433</v>
      </c>
      <c r="O1871" t="s">
        <v>434</v>
      </c>
      <c r="P1871" t="s">
        <v>435</v>
      </c>
      <c r="R1871" t="s">
        <v>436</v>
      </c>
      <c r="T1871">
        <v>13008</v>
      </c>
      <c r="U1871" t="s">
        <v>41</v>
      </c>
      <c r="V1871" t="s">
        <v>42</v>
      </c>
      <c r="W1871" t="s">
        <v>437</v>
      </c>
      <c r="X1871" t="s">
        <v>438</v>
      </c>
      <c r="Y1871" t="s">
        <v>36</v>
      </c>
    </row>
    <row r="1872" spans="1:25" x14ac:dyDescent="0.25">
      <c r="A1872">
        <v>10135</v>
      </c>
      <c r="B1872">
        <v>27</v>
      </c>
      <c r="C1872">
        <v>66.13</v>
      </c>
      <c r="D1872">
        <v>6</v>
      </c>
      <c r="E1872">
        <v>1785.51</v>
      </c>
      <c r="F1872" s="1">
        <v>37804</v>
      </c>
      <c r="G1872" t="s">
        <v>25</v>
      </c>
      <c r="H1872">
        <v>3</v>
      </c>
      <c r="I1872">
        <v>7</v>
      </c>
      <c r="J1872">
        <v>2003</v>
      </c>
      <c r="K1872" t="s">
        <v>181</v>
      </c>
      <c r="L1872">
        <v>61</v>
      </c>
      <c r="M1872" t="s">
        <v>638</v>
      </c>
      <c r="N1872" t="s">
        <v>272</v>
      </c>
      <c r="O1872">
        <v>4155551450</v>
      </c>
      <c r="P1872" t="s">
        <v>273</v>
      </c>
      <c r="R1872" t="s">
        <v>274</v>
      </c>
      <c r="S1872" t="s">
        <v>55</v>
      </c>
      <c r="T1872">
        <v>97562</v>
      </c>
      <c r="U1872" t="s">
        <v>32</v>
      </c>
      <c r="V1872" t="s">
        <v>33</v>
      </c>
      <c r="W1872" t="s">
        <v>275</v>
      </c>
      <c r="X1872" t="s">
        <v>276</v>
      </c>
      <c r="Y1872" t="s">
        <v>36</v>
      </c>
    </row>
    <row r="1873" spans="1:25" x14ac:dyDescent="0.25">
      <c r="A1873">
        <v>10147</v>
      </c>
      <c r="B1873">
        <v>30</v>
      </c>
      <c r="C1873">
        <v>68.58</v>
      </c>
      <c r="D1873">
        <v>6</v>
      </c>
      <c r="E1873">
        <v>2057.4</v>
      </c>
      <c r="F1873" s="1">
        <v>37869</v>
      </c>
      <c r="G1873" t="s">
        <v>25</v>
      </c>
      <c r="H1873">
        <v>3</v>
      </c>
      <c r="I1873">
        <v>9</v>
      </c>
      <c r="J1873">
        <v>2003</v>
      </c>
      <c r="K1873" t="s">
        <v>181</v>
      </c>
      <c r="L1873">
        <v>61</v>
      </c>
      <c r="M1873" t="s">
        <v>638</v>
      </c>
      <c r="N1873" t="s">
        <v>281</v>
      </c>
      <c r="O1873">
        <v>6175558555</v>
      </c>
      <c r="P1873" t="s">
        <v>282</v>
      </c>
      <c r="R1873" t="s">
        <v>283</v>
      </c>
      <c r="S1873" t="s">
        <v>123</v>
      </c>
      <c r="T1873">
        <v>58339</v>
      </c>
      <c r="U1873" t="s">
        <v>32</v>
      </c>
      <c r="V1873" t="s">
        <v>33</v>
      </c>
      <c r="W1873" t="s">
        <v>275</v>
      </c>
      <c r="X1873" t="s">
        <v>284</v>
      </c>
      <c r="Y1873" t="s">
        <v>36</v>
      </c>
    </row>
    <row r="1874" spans="1:25" x14ac:dyDescent="0.25">
      <c r="A1874">
        <v>10159</v>
      </c>
      <c r="B1874">
        <v>50</v>
      </c>
      <c r="C1874">
        <v>69.8</v>
      </c>
      <c r="D1874">
        <v>1</v>
      </c>
      <c r="E1874">
        <v>3490</v>
      </c>
      <c r="F1874" s="1">
        <v>37904</v>
      </c>
      <c r="G1874" t="s">
        <v>25</v>
      </c>
      <c r="H1874">
        <v>4</v>
      </c>
      <c r="I1874">
        <v>10</v>
      </c>
      <c r="J1874">
        <v>2003</v>
      </c>
      <c r="K1874" t="s">
        <v>181</v>
      </c>
      <c r="L1874">
        <v>61</v>
      </c>
      <c r="M1874" t="s">
        <v>638</v>
      </c>
      <c r="N1874" t="s">
        <v>58</v>
      </c>
      <c r="O1874">
        <v>6505551386</v>
      </c>
      <c r="P1874" t="s">
        <v>59</v>
      </c>
      <c r="R1874" t="s">
        <v>60</v>
      </c>
      <c r="S1874" t="s">
        <v>55</v>
      </c>
      <c r="U1874" t="s">
        <v>32</v>
      </c>
      <c r="V1874" t="s">
        <v>33</v>
      </c>
      <c r="W1874" t="s">
        <v>61</v>
      </c>
      <c r="X1874" t="s">
        <v>57</v>
      </c>
      <c r="Y1874" t="s">
        <v>51</v>
      </c>
    </row>
    <row r="1875" spans="1:25" x14ac:dyDescent="0.25">
      <c r="A1875">
        <v>10169</v>
      </c>
      <c r="B1875">
        <v>34</v>
      </c>
      <c r="C1875">
        <v>50.21</v>
      </c>
      <c r="D1875">
        <v>1</v>
      </c>
      <c r="E1875">
        <v>1707.14</v>
      </c>
      <c r="F1875" s="1">
        <v>37929</v>
      </c>
      <c r="G1875" t="s">
        <v>25</v>
      </c>
      <c r="H1875">
        <v>4</v>
      </c>
      <c r="I1875">
        <v>11</v>
      </c>
      <c r="J1875">
        <v>2003</v>
      </c>
      <c r="K1875" t="s">
        <v>181</v>
      </c>
      <c r="L1875">
        <v>61</v>
      </c>
      <c r="M1875" t="s">
        <v>638</v>
      </c>
      <c r="N1875" t="s">
        <v>285</v>
      </c>
      <c r="O1875" t="s">
        <v>286</v>
      </c>
      <c r="P1875" t="s">
        <v>287</v>
      </c>
      <c r="Q1875" t="s">
        <v>288</v>
      </c>
      <c r="R1875" t="s">
        <v>289</v>
      </c>
      <c r="S1875" t="s">
        <v>157</v>
      </c>
      <c r="T1875">
        <v>2060</v>
      </c>
      <c r="U1875" t="s">
        <v>95</v>
      </c>
      <c r="V1875" t="s">
        <v>96</v>
      </c>
      <c r="W1875" t="s">
        <v>290</v>
      </c>
      <c r="X1875" t="s">
        <v>291</v>
      </c>
      <c r="Y1875" t="s">
        <v>36</v>
      </c>
    </row>
    <row r="1876" spans="1:25" x14ac:dyDescent="0.25">
      <c r="A1876">
        <v>10181</v>
      </c>
      <c r="B1876">
        <v>23</v>
      </c>
      <c r="C1876">
        <v>65.52</v>
      </c>
      <c r="D1876">
        <v>13</v>
      </c>
      <c r="E1876">
        <v>1506.96</v>
      </c>
      <c r="F1876" s="1">
        <v>37937</v>
      </c>
      <c r="G1876" t="s">
        <v>25</v>
      </c>
      <c r="H1876">
        <v>4</v>
      </c>
      <c r="I1876">
        <v>11</v>
      </c>
      <c r="J1876">
        <v>2003</v>
      </c>
      <c r="K1876" t="s">
        <v>181</v>
      </c>
      <c r="L1876">
        <v>61</v>
      </c>
      <c r="M1876" t="s">
        <v>638</v>
      </c>
      <c r="N1876" t="s">
        <v>73</v>
      </c>
      <c r="O1876" t="s">
        <v>74</v>
      </c>
      <c r="P1876" t="s">
        <v>75</v>
      </c>
      <c r="R1876" t="s">
        <v>76</v>
      </c>
      <c r="T1876" t="s">
        <v>77</v>
      </c>
      <c r="U1876" t="s">
        <v>78</v>
      </c>
      <c r="V1876" t="s">
        <v>42</v>
      </c>
      <c r="W1876" t="s">
        <v>79</v>
      </c>
      <c r="X1876" t="s">
        <v>80</v>
      </c>
      <c r="Y1876" t="s">
        <v>36</v>
      </c>
    </row>
    <row r="1877" spans="1:25" x14ac:dyDescent="0.25">
      <c r="A1877">
        <v>10191</v>
      </c>
      <c r="B1877">
        <v>48</v>
      </c>
      <c r="C1877">
        <v>60.01</v>
      </c>
      <c r="D1877">
        <v>2</v>
      </c>
      <c r="E1877">
        <v>2880.48</v>
      </c>
      <c r="F1877" s="1">
        <v>37945</v>
      </c>
      <c r="G1877" t="s">
        <v>25</v>
      </c>
      <c r="H1877">
        <v>4</v>
      </c>
      <c r="I1877">
        <v>11</v>
      </c>
      <c r="J1877">
        <v>2003</v>
      </c>
      <c r="K1877" t="s">
        <v>181</v>
      </c>
      <c r="L1877">
        <v>61</v>
      </c>
      <c r="M1877" t="s">
        <v>638</v>
      </c>
      <c r="N1877" t="s">
        <v>439</v>
      </c>
      <c r="O1877" t="s">
        <v>440</v>
      </c>
      <c r="P1877" t="s">
        <v>441</v>
      </c>
      <c r="R1877" t="s">
        <v>442</v>
      </c>
      <c r="T1877">
        <v>50739</v>
      </c>
      <c r="U1877" t="s">
        <v>443</v>
      </c>
      <c r="V1877" t="s">
        <v>42</v>
      </c>
      <c r="W1877" t="s">
        <v>444</v>
      </c>
      <c r="X1877" t="s">
        <v>445</v>
      </c>
      <c r="Y1877" t="s">
        <v>36</v>
      </c>
    </row>
    <row r="1878" spans="1:25" x14ac:dyDescent="0.25">
      <c r="A1878">
        <v>10203</v>
      </c>
      <c r="B1878">
        <v>34</v>
      </c>
      <c r="C1878">
        <v>64.900000000000006</v>
      </c>
      <c r="D1878">
        <v>7</v>
      </c>
      <c r="E1878">
        <v>2206.6</v>
      </c>
      <c r="F1878" s="1">
        <v>37957</v>
      </c>
      <c r="G1878" t="s">
        <v>25</v>
      </c>
      <c r="H1878">
        <v>4</v>
      </c>
      <c r="I1878">
        <v>12</v>
      </c>
      <c r="J1878">
        <v>2003</v>
      </c>
      <c r="K1878" t="s">
        <v>181</v>
      </c>
      <c r="L1878">
        <v>61</v>
      </c>
      <c r="M1878" t="s">
        <v>638</v>
      </c>
      <c r="N1878" t="s">
        <v>174</v>
      </c>
      <c r="O1878" t="s">
        <v>175</v>
      </c>
      <c r="P1878" t="s">
        <v>176</v>
      </c>
      <c r="R1878" t="s">
        <v>177</v>
      </c>
      <c r="T1878">
        <v>28034</v>
      </c>
      <c r="U1878" t="s">
        <v>178</v>
      </c>
      <c r="V1878" t="s">
        <v>42</v>
      </c>
      <c r="W1878" t="s">
        <v>179</v>
      </c>
      <c r="X1878" t="s">
        <v>180</v>
      </c>
      <c r="Y1878" t="s">
        <v>36</v>
      </c>
    </row>
    <row r="1879" spans="1:25" x14ac:dyDescent="0.25">
      <c r="A1879">
        <v>10211</v>
      </c>
      <c r="B1879">
        <v>48</v>
      </c>
      <c r="C1879">
        <v>48.98</v>
      </c>
      <c r="D1879">
        <v>1</v>
      </c>
      <c r="E1879">
        <v>2351.04</v>
      </c>
      <c r="F1879" s="1">
        <v>38001</v>
      </c>
      <c r="G1879" t="s">
        <v>25</v>
      </c>
      <c r="H1879">
        <v>1</v>
      </c>
      <c r="I1879">
        <v>1</v>
      </c>
      <c r="J1879">
        <v>2004</v>
      </c>
      <c r="K1879" t="s">
        <v>181</v>
      </c>
      <c r="L1879">
        <v>61</v>
      </c>
      <c r="M1879" t="s">
        <v>638</v>
      </c>
      <c r="N1879" t="s">
        <v>84</v>
      </c>
      <c r="O1879" t="s">
        <v>85</v>
      </c>
      <c r="P1879" t="s">
        <v>86</v>
      </c>
      <c r="R1879" t="s">
        <v>48</v>
      </c>
      <c r="T1879">
        <v>75016</v>
      </c>
      <c r="U1879" t="s">
        <v>41</v>
      </c>
      <c r="V1879" t="s">
        <v>42</v>
      </c>
      <c r="W1879" t="s">
        <v>87</v>
      </c>
      <c r="X1879" t="s">
        <v>88</v>
      </c>
      <c r="Y1879" t="s">
        <v>36</v>
      </c>
    </row>
    <row r="1880" spans="1:25" x14ac:dyDescent="0.25">
      <c r="A1880">
        <v>10225</v>
      </c>
      <c r="B1880">
        <v>24</v>
      </c>
      <c r="C1880">
        <v>50.21</v>
      </c>
      <c r="D1880">
        <v>8</v>
      </c>
      <c r="E1880">
        <v>1205.04</v>
      </c>
      <c r="F1880" s="1">
        <v>38039</v>
      </c>
      <c r="G1880" t="s">
        <v>25</v>
      </c>
      <c r="H1880">
        <v>1</v>
      </c>
      <c r="I1880">
        <v>2</v>
      </c>
      <c r="J1880">
        <v>2004</v>
      </c>
      <c r="K1880" t="s">
        <v>181</v>
      </c>
      <c r="L1880">
        <v>61</v>
      </c>
      <c r="M1880" t="s">
        <v>638</v>
      </c>
      <c r="N1880" t="s">
        <v>446</v>
      </c>
      <c r="O1880" t="s">
        <v>447</v>
      </c>
      <c r="P1880" t="s">
        <v>448</v>
      </c>
      <c r="R1880" t="s">
        <v>449</v>
      </c>
      <c r="T1880">
        <v>1203</v>
      </c>
      <c r="U1880" t="s">
        <v>450</v>
      </c>
      <c r="V1880" t="s">
        <v>42</v>
      </c>
      <c r="W1880" t="s">
        <v>451</v>
      </c>
      <c r="X1880" t="s">
        <v>103</v>
      </c>
      <c r="Y1880" t="s">
        <v>36</v>
      </c>
    </row>
    <row r="1881" spans="1:25" x14ac:dyDescent="0.25">
      <c r="A1881">
        <v>10238</v>
      </c>
      <c r="B1881">
        <v>47</v>
      </c>
      <c r="C1881">
        <v>62.45</v>
      </c>
      <c r="D1881">
        <v>2</v>
      </c>
      <c r="E1881">
        <v>2935.15</v>
      </c>
      <c r="F1881" s="1">
        <v>38086</v>
      </c>
      <c r="G1881" t="s">
        <v>25</v>
      </c>
      <c r="H1881">
        <v>2</v>
      </c>
      <c r="I1881">
        <v>4</v>
      </c>
      <c r="J1881">
        <v>2004</v>
      </c>
      <c r="K1881" t="s">
        <v>181</v>
      </c>
      <c r="L1881">
        <v>61</v>
      </c>
      <c r="M1881" t="s">
        <v>638</v>
      </c>
      <c r="N1881" t="s">
        <v>322</v>
      </c>
      <c r="O1881" t="s">
        <v>323</v>
      </c>
      <c r="P1881" t="s">
        <v>324</v>
      </c>
      <c r="R1881" t="s">
        <v>325</v>
      </c>
      <c r="T1881">
        <v>1734</v>
      </c>
      <c r="U1881" t="s">
        <v>326</v>
      </c>
      <c r="V1881" t="s">
        <v>42</v>
      </c>
      <c r="W1881" t="s">
        <v>327</v>
      </c>
      <c r="X1881" t="s">
        <v>328</v>
      </c>
      <c r="Y1881" t="s">
        <v>36</v>
      </c>
    </row>
    <row r="1882" spans="1:25" x14ac:dyDescent="0.25">
      <c r="A1882">
        <v>10253</v>
      </c>
      <c r="B1882">
        <v>24</v>
      </c>
      <c r="C1882">
        <v>52.66</v>
      </c>
      <c r="D1882">
        <v>12</v>
      </c>
      <c r="E1882">
        <v>1263.8399999999999</v>
      </c>
      <c r="F1882" s="1">
        <v>38139</v>
      </c>
      <c r="G1882" t="s">
        <v>339</v>
      </c>
      <c r="H1882">
        <v>2</v>
      </c>
      <c r="I1882">
        <v>6</v>
      </c>
      <c r="J1882">
        <v>2004</v>
      </c>
      <c r="K1882" t="s">
        <v>181</v>
      </c>
      <c r="L1882">
        <v>61</v>
      </c>
      <c r="M1882" t="s">
        <v>638</v>
      </c>
      <c r="N1882" t="s">
        <v>165</v>
      </c>
      <c r="O1882" t="s">
        <v>166</v>
      </c>
      <c r="P1882" t="s">
        <v>167</v>
      </c>
      <c r="R1882" t="s">
        <v>168</v>
      </c>
      <c r="T1882" t="s">
        <v>169</v>
      </c>
      <c r="U1882" t="s">
        <v>170</v>
      </c>
      <c r="V1882" t="s">
        <v>42</v>
      </c>
      <c r="W1882" t="s">
        <v>171</v>
      </c>
      <c r="X1882" t="s">
        <v>172</v>
      </c>
      <c r="Y1882" t="s">
        <v>36</v>
      </c>
    </row>
    <row r="1883" spans="1:25" x14ac:dyDescent="0.25">
      <c r="A1883">
        <v>10266</v>
      </c>
      <c r="B1883">
        <v>47</v>
      </c>
      <c r="C1883">
        <v>62.45</v>
      </c>
      <c r="D1883">
        <v>13</v>
      </c>
      <c r="E1883">
        <v>2935.15</v>
      </c>
      <c r="F1883" s="1">
        <v>38174</v>
      </c>
      <c r="G1883" t="s">
        <v>25</v>
      </c>
      <c r="H1883">
        <v>3</v>
      </c>
      <c r="I1883">
        <v>7</v>
      </c>
      <c r="J1883">
        <v>2004</v>
      </c>
      <c r="K1883" t="s">
        <v>181</v>
      </c>
      <c r="L1883">
        <v>61</v>
      </c>
      <c r="M1883" t="s">
        <v>638</v>
      </c>
      <c r="N1883" t="s">
        <v>452</v>
      </c>
      <c r="O1883" t="s">
        <v>453</v>
      </c>
      <c r="P1883" t="s">
        <v>454</v>
      </c>
      <c r="R1883" t="s">
        <v>455</v>
      </c>
      <c r="T1883">
        <v>42100</v>
      </c>
      <c r="U1883" t="s">
        <v>258</v>
      </c>
      <c r="V1883" t="s">
        <v>42</v>
      </c>
      <c r="W1883" t="s">
        <v>456</v>
      </c>
      <c r="X1883" t="s">
        <v>457</v>
      </c>
      <c r="Y1883" t="s">
        <v>36</v>
      </c>
    </row>
    <row r="1884" spans="1:25" x14ac:dyDescent="0.25">
      <c r="A1884">
        <v>10276</v>
      </c>
      <c r="B1884">
        <v>20</v>
      </c>
      <c r="C1884">
        <v>61.23</v>
      </c>
      <c r="D1884">
        <v>2</v>
      </c>
      <c r="E1884">
        <v>1224.5999999999999</v>
      </c>
      <c r="F1884" s="1">
        <v>38201</v>
      </c>
      <c r="G1884" t="s">
        <v>25</v>
      </c>
      <c r="H1884">
        <v>3</v>
      </c>
      <c r="I1884">
        <v>8</v>
      </c>
      <c r="J1884">
        <v>2004</v>
      </c>
      <c r="K1884" t="s">
        <v>181</v>
      </c>
      <c r="L1884">
        <v>61</v>
      </c>
      <c r="M1884" t="s">
        <v>638</v>
      </c>
      <c r="N1884" t="s">
        <v>458</v>
      </c>
      <c r="O1884">
        <v>6175557555</v>
      </c>
      <c r="P1884" t="s">
        <v>459</v>
      </c>
      <c r="R1884" t="s">
        <v>283</v>
      </c>
      <c r="S1884" t="s">
        <v>123</v>
      </c>
      <c r="T1884">
        <v>58339</v>
      </c>
      <c r="U1884" t="s">
        <v>32</v>
      </c>
      <c r="V1884" t="s">
        <v>33</v>
      </c>
      <c r="W1884" t="s">
        <v>460</v>
      </c>
      <c r="X1884" t="s">
        <v>461</v>
      </c>
      <c r="Y1884" t="s">
        <v>36</v>
      </c>
    </row>
    <row r="1885" spans="1:25" x14ac:dyDescent="0.25">
      <c r="A1885">
        <v>10287</v>
      </c>
      <c r="B1885">
        <v>20</v>
      </c>
      <c r="C1885">
        <v>67.97</v>
      </c>
      <c r="D1885">
        <v>11</v>
      </c>
      <c r="E1885">
        <v>1359.4</v>
      </c>
      <c r="F1885" s="1">
        <v>38229</v>
      </c>
      <c r="G1885" t="s">
        <v>25</v>
      </c>
      <c r="H1885">
        <v>3</v>
      </c>
      <c r="I1885">
        <v>8</v>
      </c>
      <c r="J1885">
        <v>2004</v>
      </c>
      <c r="K1885" t="s">
        <v>181</v>
      </c>
      <c r="L1885">
        <v>61</v>
      </c>
      <c r="M1885" t="s">
        <v>638</v>
      </c>
      <c r="N1885" t="s">
        <v>446</v>
      </c>
      <c r="O1885" t="s">
        <v>447</v>
      </c>
      <c r="P1885" t="s">
        <v>448</v>
      </c>
      <c r="R1885" t="s">
        <v>449</v>
      </c>
      <c r="T1885">
        <v>1203</v>
      </c>
      <c r="U1885" t="s">
        <v>450</v>
      </c>
      <c r="V1885" t="s">
        <v>42</v>
      </c>
      <c r="W1885" t="s">
        <v>451</v>
      </c>
      <c r="X1885" t="s">
        <v>103</v>
      </c>
      <c r="Y1885" t="s">
        <v>36</v>
      </c>
    </row>
    <row r="1886" spans="1:25" x14ac:dyDescent="0.25">
      <c r="A1886">
        <v>10300</v>
      </c>
      <c r="B1886">
        <v>31</v>
      </c>
      <c r="C1886">
        <v>58.78</v>
      </c>
      <c r="D1886">
        <v>4</v>
      </c>
      <c r="E1886">
        <v>1822.18</v>
      </c>
      <c r="F1886" s="1">
        <v>37898</v>
      </c>
      <c r="G1886" t="s">
        <v>25</v>
      </c>
      <c r="H1886">
        <v>4</v>
      </c>
      <c r="I1886">
        <v>10</v>
      </c>
      <c r="J1886">
        <v>2003</v>
      </c>
      <c r="K1886" t="s">
        <v>181</v>
      </c>
      <c r="L1886">
        <v>61</v>
      </c>
      <c r="M1886" t="s">
        <v>638</v>
      </c>
      <c r="N1886" t="s">
        <v>462</v>
      </c>
      <c r="O1886" t="s">
        <v>463</v>
      </c>
      <c r="P1886" t="s">
        <v>464</v>
      </c>
      <c r="R1886" t="s">
        <v>465</v>
      </c>
      <c r="T1886">
        <v>60528</v>
      </c>
      <c r="U1886" t="s">
        <v>443</v>
      </c>
      <c r="V1886" t="s">
        <v>42</v>
      </c>
      <c r="W1886" t="s">
        <v>466</v>
      </c>
      <c r="X1886" t="s">
        <v>414</v>
      </c>
      <c r="Y1886" t="s">
        <v>36</v>
      </c>
    </row>
    <row r="1887" spans="1:25" x14ac:dyDescent="0.25">
      <c r="A1887">
        <v>10310</v>
      </c>
      <c r="B1887">
        <v>38</v>
      </c>
      <c r="C1887">
        <v>56.94</v>
      </c>
      <c r="D1887">
        <v>9</v>
      </c>
      <c r="E1887">
        <v>2163.7199999999998</v>
      </c>
      <c r="F1887" s="1">
        <v>38276</v>
      </c>
      <c r="G1887" t="s">
        <v>25</v>
      </c>
      <c r="H1887">
        <v>4</v>
      </c>
      <c r="I1887">
        <v>10</v>
      </c>
      <c r="J1887">
        <v>2004</v>
      </c>
      <c r="K1887" t="s">
        <v>181</v>
      </c>
      <c r="L1887">
        <v>61</v>
      </c>
      <c r="M1887" t="s">
        <v>638</v>
      </c>
      <c r="N1887" t="s">
        <v>439</v>
      </c>
      <c r="O1887" t="s">
        <v>440</v>
      </c>
      <c r="P1887" t="s">
        <v>441</v>
      </c>
      <c r="R1887" t="s">
        <v>442</v>
      </c>
      <c r="T1887">
        <v>50739</v>
      </c>
      <c r="U1887" t="s">
        <v>443</v>
      </c>
      <c r="V1887" t="s">
        <v>42</v>
      </c>
      <c r="W1887" t="s">
        <v>444</v>
      </c>
      <c r="X1887" t="s">
        <v>445</v>
      </c>
      <c r="Y1887" t="s">
        <v>36</v>
      </c>
    </row>
    <row r="1888" spans="1:25" x14ac:dyDescent="0.25">
      <c r="A1888">
        <v>10320</v>
      </c>
      <c r="B1888">
        <v>26</v>
      </c>
      <c r="C1888">
        <v>61.23</v>
      </c>
      <c r="D1888">
        <v>2</v>
      </c>
      <c r="E1888">
        <v>1591.98</v>
      </c>
      <c r="F1888" s="1">
        <v>38294</v>
      </c>
      <c r="G1888" t="s">
        <v>25</v>
      </c>
      <c r="H1888">
        <v>4</v>
      </c>
      <c r="I1888">
        <v>11</v>
      </c>
      <c r="J1888">
        <v>2004</v>
      </c>
      <c r="K1888" t="s">
        <v>181</v>
      </c>
      <c r="L1888">
        <v>61</v>
      </c>
      <c r="M1888" t="s">
        <v>638</v>
      </c>
      <c r="N1888" t="s">
        <v>183</v>
      </c>
      <c r="O1888" t="s">
        <v>184</v>
      </c>
      <c r="P1888" t="s">
        <v>185</v>
      </c>
      <c r="R1888" t="s">
        <v>186</v>
      </c>
      <c r="T1888" t="s">
        <v>187</v>
      </c>
      <c r="U1888" t="s">
        <v>188</v>
      </c>
      <c r="V1888" t="s">
        <v>42</v>
      </c>
      <c r="W1888" t="s">
        <v>189</v>
      </c>
      <c r="X1888" t="s">
        <v>190</v>
      </c>
      <c r="Y1888" t="s">
        <v>36</v>
      </c>
    </row>
    <row r="1889" spans="1:25" x14ac:dyDescent="0.25">
      <c r="A1889">
        <v>10331</v>
      </c>
      <c r="B1889">
        <v>25</v>
      </c>
      <c r="C1889">
        <v>100</v>
      </c>
      <c r="D1889">
        <v>9</v>
      </c>
      <c r="E1889">
        <v>3078.5</v>
      </c>
      <c r="F1889" s="1">
        <v>38308</v>
      </c>
      <c r="G1889" t="s">
        <v>25</v>
      </c>
      <c r="H1889">
        <v>4</v>
      </c>
      <c r="I1889">
        <v>11</v>
      </c>
      <c r="J1889">
        <v>2004</v>
      </c>
      <c r="K1889" t="s">
        <v>181</v>
      </c>
      <c r="L1889">
        <v>61</v>
      </c>
      <c r="M1889" t="s">
        <v>638</v>
      </c>
      <c r="N1889" t="s">
        <v>309</v>
      </c>
      <c r="O1889">
        <v>2155559857</v>
      </c>
      <c r="P1889" t="s">
        <v>310</v>
      </c>
      <c r="R1889" t="s">
        <v>216</v>
      </c>
      <c r="S1889" t="s">
        <v>142</v>
      </c>
      <c r="T1889">
        <v>71270</v>
      </c>
      <c r="U1889" t="s">
        <v>32</v>
      </c>
      <c r="V1889" t="s">
        <v>33</v>
      </c>
      <c r="W1889" t="s">
        <v>124</v>
      </c>
      <c r="X1889" t="s">
        <v>311</v>
      </c>
      <c r="Y1889" t="s">
        <v>51</v>
      </c>
    </row>
    <row r="1890" spans="1:25" x14ac:dyDescent="0.25">
      <c r="A1890">
        <v>10342</v>
      </c>
      <c r="B1890">
        <v>48</v>
      </c>
      <c r="C1890">
        <v>62.45</v>
      </c>
      <c r="D1890">
        <v>10</v>
      </c>
      <c r="E1890">
        <v>2997.6</v>
      </c>
      <c r="F1890" s="1">
        <v>38315</v>
      </c>
      <c r="G1890" t="s">
        <v>25</v>
      </c>
      <c r="H1890">
        <v>4</v>
      </c>
      <c r="I1890">
        <v>11</v>
      </c>
      <c r="J1890">
        <v>2004</v>
      </c>
      <c r="K1890" t="s">
        <v>181</v>
      </c>
      <c r="L1890">
        <v>61</v>
      </c>
      <c r="M1890" t="s">
        <v>638</v>
      </c>
      <c r="N1890" t="s">
        <v>89</v>
      </c>
      <c r="O1890" t="s">
        <v>90</v>
      </c>
      <c r="P1890" t="s">
        <v>91</v>
      </c>
      <c r="Q1890" t="s">
        <v>92</v>
      </c>
      <c r="R1890" t="s">
        <v>93</v>
      </c>
      <c r="S1890" t="s">
        <v>94</v>
      </c>
      <c r="T1890">
        <v>3004</v>
      </c>
      <c r="U1890" t="s">
        <v>95</v>
      </c>
      <c r="V1890" t="s">
        <v>96</v>
      </c>
      <c r="W1890" t="s">
        <v>97</v>
      </c>
      <c r="X1890" t="s">
        <v>98</v>
      </c>
      <c r="Y1890" t="s">
        <v>36</v>
      </c>
    </row>
    <row r="1891" spans="1:25" x14ac:dyDescent="0.25">
      <c r="A1891">
        <v>10355</v>
      </c>
      <c r="B1891">
        <v>44</v>
      </c>
      <c r="C1891">
        <v>62.45</v>
      </c>
      <c r="D1891">
        <v>6</v>
      </c>
      <c r="E1891">
        <v>2747.8</v>
      </c>
      <c r="F1891" s="1">
        <v>38328</v>
      </c>
      <c r="G1891" t="s">
        <v>25</v>
      </c>
      <c r="H1891">
        <v>4</v>
      </c>
      <c r="I1891">
        <v>12</v>
      </c>
      <c r="J1891">
        <v>2004</v>
      </c>
      <c r="K1891" t="s">
        <v>181</v>
      </c>
      <c r="L1891">
        <v>61</v>
      </c>
      <c r="M1891" t="s">
        <v>638</v>
      </c>
      <c r="N1891" t="s">
        <v>174</v>
      </c>
      <c r="O1891" t="s">
        <v>175</v>
      </c>
      <c r="P1891" t="s">
        <v>176</v>
      </c>
      <c r="R1891" t="s">
        <v>177</v>
      </c>
      <c r="T1891">
        <v>28034</v>
      </c>
      <c r="U1891" t="s">
        <v>178</v>
      </c>
      <c r="V1891" t="s">
        <v>42</v>
      </c>
      <c r="W1891" t="s">
        <v>179</v>
      </c>
      <c r="X1891" t="s">
        <v>180</v>
      </c>
      <c r="Y1891" t="s">
        <v>36</v>
      </c>
    </row>
    <row r="1892" spans="1:25" x14ac:dyDescent="0.25">
      <c r="A1892">
        <v>10363</v>
      </c>
      <c r="B1892">
        <v>21</v>
      </c>
      <c r="C1892">
        <v>100</v>
      </c>
      <c r="D1892">
        <v>15</v>
      </c>
      <c r="E1892">
        <v>2447.7600000000002</v>
      </c>
      <c r="F1892" s="1">
        <v>38358</v>
      </c>
      <c r="G1892" t="s">
        <v>25</v>
      </c>
      <c r="H1892">
        <v>1</v>
      </c>
      <c r="I1892">
        <v>1</v>
      </c>
      <c r="J1892">
        <v>2005</v>
      </c>
      <c r="K1892" t="s">
        <v>181</v>
      </c>
      <c r="L1892">
        <v>61</v>
      </c>
      <c r="M1892" t="s">
        <v>638</v>
      </c>
      <c r="N1892" t="s">
        <v>467</v>
      </c>
      <c r="O1892" t="s">
        <v>468</v>
      </c>
      <c r="P1892" t="s">
        <v>469</v>
      </c>
      <c r="R1892" t="s">
        <v>470</v>
      </c>
      <c r="T1892" t="s">
        <v>471</v>
      </c>
      <c r="U1892" t="s">
        <v>130</v>
      </c>
      <c r="V1892" t="s">
        <v>42</v>
      </c>
      <c r="W1892" t="s">
        <v>472</v>
      </c>
      <c r="X1892" t="s">
        <v>473</v>
      </c>
      <c r="Y1892" t="s">
        <v>36</v>
      </c>
    </row>
    <row r="1893" spans="1:25" x14ac:dyDescent="0.25">
      <c r="A1893">
        <v>10378</v>
      </c>
      <c r="B1893">
        <v>46</v>
      </c>
      <c r="C1893">
        <v>41.54</v>
      </c>
      <c r="D1893">
        <v>6</v>
      </c>
      <c r="E1893">
        <v>1910.84</v>
      </c>
      <c r="F1893" s="1">
        <v>38393</v>
      </c>
      <c r="G1893" t="s">
        <v>25</v>
      </c>
      <c r="H1893">
        <v>1</v>
      </c>
      <c r="I1893">
        <v>2</v>
      </c>
      <c r="J1893">
        <v>2005</v>
      </c>
      <c r="K1893" t="s">
        <v>181</v>
      </c>
      <c r="L1893">
        <v>61</v>
      </c>
      <c r="M1893" t="s">
        <v>638</v>
      </c>
      <c r="N1893" t="s">
        <v>174</v>
      </c>
      <c r="O1893" t="s">
        <v>175</v>
      </c>
      <c r="P1893" t="s">
        <v>176</v>
      </c>
      <c r="R1893" t="s">
        <v>177</v>
      </c>
      <c r="T1893">
        <v>28034</v>
      </c>
      <c r="U1893" t="s">
        <v>178</v>
      </c>
      <c r="V1893" t="s">
        <v>42</v>
      </c>
      <c r="W1893" t="s">
        <v>179</v>
      </c>
      <c r="X1893" t="s">
        <v>180</v>
      </c>
      <c r="Y1893" t="s">
        <v>36</v>
      </c>
    </row>
    <row r="1894" spans="1:25" x14ac:dyDescent="0.25">
      <c r="A1894">
        <v>10390</v>
      </c>
      <c r="B1894">
        <v>46</v>
      </c>
      <c r="C1894">
        <v>52.84</v>
      </c>
      <c r="D1894">
        <v>6</v>
      </c>
      <c r="E1894">
        <v>2430.64</v>
      </c>
      <c r="F1894" s="1">
        <v>38415</v>
      </c>
      <c r="G1894" t="s">
        <v>25</v>
      </c>
      <c r="H1894">
        <v>1</v>
      </c>
      <c r="I1894">
        <v>3</v>
      </c>
      <c r="J1894">
        <v>2005</v>
      </c>
      <c r="K1894" t="s">
        <v>181</v>
      </c>
      <c r="L1894">
        <v>61</v>
      </c>
      <c r="M1894" t="s">
        <v>638</v>
      </c>
      <c r="N1894" t="s">
        <v>272</v>
      </c>
      <c r="O1894">
        <v>4155551450</v>
      </c>
      <c r="P1894" t="s">
        <v>273</v>
      </c>
      <c r="R1894" t="s">
        <v>274</v>
      </c>
      <c r="S1894" t="s">
        <v>55</v>
      </c>
      <c r="T1894">
        <v>97562</v>
      </c>
      <c r="U1894" t="s">
        <v>32</v>
      </c>
      <c r="V1894" t="s">
        <v>33</v>
      </c>
      <c r="W1894" t="s">
        <v>275</v>
      </c>
      <c r="X1894" t="s">
        <v>276</v>
      </c>
      <c r="Y1894" t="s">
        <v>36</v>
      </c>
    </row>
    <row r="1895" spans="1:25" x14ac:dyDescent="0.25">
      <c r="A1895">
        <v>10419</v>
      </c>
      <c r="B1895">
        <v>55</v>
      </c>
      <c r="C1895">
        <v>52.66</v>
      </c>
      <c r="D1895">
        <v>12</v>
      </c>
      <c r="E1895">
        <v>2896.3</v>
      </c>
      <c r="F1895" s="1">
        <v>38489</v>
      </c>
      <c r="G1895" t="s">
        <v>25</v>
      </c>
      <c r="H1895">
        <v>2</v>
      </c>
      <c r="I1895">
        <v>5</v>
      </c>
      <c r="J1895">
        <v>2005</v>
      </c>
      <c r="K1895" t="s">
        <v>181</v>
      </c>
      <c r="L1895">
        <v>61</v>
      </c>
      <c r="M1895" t="s">
        <v>638</v>
      </c>
      <c r="N1895" t="s">
        <v>144</v>
      </c>
      <c r="O1895" t="s">
        <v>145</v>
      </c>
      <c r="P1895" t="s">
        <v>146</v>
      </c>
      <c r="R1895" t="s">
        <v>147</v>
      </c>
      <c r="T1895">
        <v>5020</v>
      </c>
      <c r="U1895" t="s">
        <v>148</v>
      </c>
      <c r="V1895" t="s">
        <v>42</v>
      </c>
      <c r="W1895" t="s">
        <v>149</v>
      </c>
      <c r="X1895" t="s">
        <v>150</v>
      </c>
      <c r="Y1895" t="s">
        <v>36</v>
      </c>
    </row>
    <row r="1896" spans="1:25" x14ac:dyDescent="0.25">
      <c r="A1896">
        <v>10106</v>
      </c>
      <c r="B1896">
        <v>31</v>
      </c>
      <c r="C1896">
        <v>52.6</v>
      </c>
      <c r="D1896">
        <v>14</v>
      </c>
      <c r="E1896">
        <v>1630.6</v>
      </c>
      <c r="F1896" s="1">
        <v>37669</v>
      </c>
      <c r="G1896" t="s">
        <v>25</v>
      </c>
      <c r="H1896">
        <v>1</v>
      </c>
      <c r="I1896">
        <v>2</v>
      </c>
      <c r="J1896">
        <v>2003</v>
      </c>
      <c r="K1896" t="s">
        <v>550</v>
      </c>
      <c r="L1896">
        <v>65</v>
      </c>
      <c r="M1896" t="s">
        <v>639</v>
      </c>
      <c r="N1896" t="s">
        <v>552</v>
      </c>
      <c r="O1896" t="s">
        <v>553</v>
      </c>
      <c r="P1896" t="s">
        <v>554</v>
      </c>
      <c r="R1896" t="s">
        <v>555</v>
      </c>
      <c r="T1896">
        <v>24100</v>
      </c>
      <c r="U1896" t="s">
        <v>258</v>
      </c>
      <c r="V1896" t="s">
        <v>42</v>
      </c>
      <c r="W1896" t="s">
        <v>556</v>
      </c>
      <c r="X1896" t="s">
        <v>557</v>
      </c>
      <c r="Y1896" t="s">
        <v>36</v>
      </c>
    </row>
    <row r="1897" spans="1:25" x14ac:dyDescent="0.25">
      <c r="A1897">
        <v>10119</v>
      </c>
      <c r="B1897">
        <v>20</v>
      </c>
      <c r="C1897">
        <v>72.98</v>
      </c>
      <c r="D1897">
        <v>5</v>
      </c>
      <c r="E1897">
        <v>1459.6</v>
      </c>
      <c r="F1897" s="1">
        <v>37739</v>
      </c>
      <c r="G1897" t="s">
        <v>25</v>
      </c>
      <c r="H1897">
        <v>2</v>
      </c>
      <c r="I1897">
        <v>4</v>
      </c>
      <c r="J1897">
        <v>2003</v>
      </c>
      <c r="K1897" t="s">
        <v>550</v>
      </c>
      <c r="L1897">
        <v>65</v>
      </c>
      <c r="M1897" t="s">
        <v>639</v>
      </c>
      <c r="N1897" t="s">
        <v>144</v>
      </c>
      <c r="O1897" t="s">
        <v>145</v>
      </c>
      <c r="P1897" t="s">
        <v>146</v>
      </c>
      <c r="R1897" t="s">
        <v>147</v>
      </c>
      <c r="T1897">
        <v>5020</v>
      </c>
      <c r="U1897" t="s">
        <v>148</v>
      </c>
      <c r="V1897" t="s">
        <v>42</v>
      </c>
      <c r="W1897" t="s">
        <v>149</v>
      </c>
      <c r="X1897" t="s">
        <v>150</v>
      </c>
      <c r="Y1897" t="s">
        <v>36</v>
      </c>
    </row>
    <row r="1898" spans="1:25" x14ac:dyDescent="0.25">
      <c r="A1898">
        <v>10131</v>
      </c>
      <c r="B1898">
        <v>29</v>
      </c>
      <c r="C1898">
        <v>59.18</v>
      </c>
      <c r="D1898">
        <v>6</v>
      </c>
      <c r="E1898">
        <v>1716.22</v>
      </c>
      <c r="F1898" s="1">
        <v>37788</v>
      </c>
      <c r="G1898" t="s">
        <v>25</v>
      </c>
      <c r="H1898">
        <v>2</v>
      </c>
      <c r="I1898">
        <v>6</v>
      </c>
      <c r="J1898">
        <v>2003</v>
      </c>
      <c r="K1898" t="s">
        <v>550</v>
      </c>
      <c r="L1898">
        <v>65</v>
      </c>
      <c r="M1898" t="s">
        <v>639</v>
      </c>
      <c r="N1898" t="s">
        <v>568</v>
      </c>
      <c r="O1898">
        <v>2035554407</v>
      </c>
      <c r="P1898" t="s">
        <v>569</v>
      </c>
      <c r="R1898" t="s">
        <v>516</v>
      </c>
      <c r="S1898" t="s">
        <v>112</v>
      </c>
      <c r="T1898">
        <v>97561</v>
      </c>
      <c r="U1898" t="s">
        <v>32</v>
      </c>
      <c r="V1898" t="s">
        <v>33</v>
      </c>
      <c r="W1898" t="s">
        <v>570</v>
      </c>
      <c r="X1898" t="s">
        <v>571</v>
      </c>
      <c r="Y1898" t="s">
        <v>36</v>
      </c>
    </row>
    <row r="1899" spans="1:25" x14ac:dyDescent="0.25">
      <c r="A1899">
        <v>10143</v>
      </c>
      <c r="B1899">
        <v>33</v>
      </c>
      <c r="C1899">
        <v>77.59</v>
      </c>
      <c r="D1899">
        <v>9</v>
      </c>
      <c r="E1899">
        <v>2560.4699999999998</v>
      </c>
      <c r="F1899" s="1">
        <v>37843</v>
      </c>
      <c r="G1899" t="s">
        <v>25</v>
      </c>
      <c r="H1899">
        <v>3</v>
      </c>
      <c r="I1899">
        <v>8</v>
      </c>
      <c r="J1899">
        <v>2003</v>
      </c>
      <c r="K1899" t="s">
        <v>550</v>
      </c>
      <c r="L1899">
        <v>65</v>
      </c>
      <c r="M1899" t="s">
        <v>639</v>
      </c>
      <c r="N1899" t="s">
        <v>335</v>
      </c>
      <c r="O1899">
        <v>5085559555</v>
      </c>
      <c r="P1899" t="s">
        <v>336</v>
      </c>
      <c r="R1899" t="s">
        <v>162</v>
      </c>
      <c r="S1899" t="s">
        <v>123</v>
      </c>
      <c r="T1899">
        <v>50553</v>
      </c>
      <c r="U1899" t="s">
        <v>32</v>
      </c>
      <c r="V1899" t="s">
        <v>33</v>
      </c>
      <c r="W1899" t="s">
        <v>337</v>
      </c>
      <c r="X1899" t="s">
        <v>338</v>
      </c>
      <c r="Y1899" t="s">
        <v>36</v>
      </c>
    </row>
    <row r="1900" spans="1:25" x14ac:dyDescent="0.25">
      <c r="A1900">
        <v>10155</v>
      </c>
      <c r="B1900">
        <v>34</v>
      </c>
      <c r="C1900">
        <v>55.89</v>
      </c>
      <c r="D1900">
        <v>7</v>
      </c>
      <c r="E1900">
        <v>1900.26</v>
      </c>
      <c r="F1900" s="1">
        <v>37900</v>
      </c>
      <c r="G1900" t="s">
        <v>25</v>
      </c>
      <c r="H1900">
        <v>4</v>
      </c>
      <c r="I1900">
        <v>10</v>
      </c>
      <c r="J1900">
        <v>2003</v>
      </c>
      <c r="K1900" t="s">
        <v>550</v>
      </c>
      <c r="L1900">
        <v>65</v>
      </c>
      <c r="M1900" t="s">
        <v>639</v>
      </c>
      <c r="N1900" t="s">
        <v>126</v>
      </c>
      <c r="O1900" t="s">
        <v>127</v>
      </c>
      <c r="P1900" t="s">
        <v>128</v>
      </c>
      <c r="R1900" t="s">
        <v>129</v>
      </c>
      <c r="T1900">
        <v>21240</v>
      </c>
      <c r="U1900" t="s">
        <v>130</v>
      </c>
      <c r="V1900" t="s">
        <v>42</v>
      </c>
      <c r="W1900" t="s">
        <v>131</v>
      </c>
      <c r="X1900" t="s">
        <v>132</v>
      </c>
      <c r="Y1900" t="s">
        <v>36</v>
      </c>
    </row>
    <row r="1901" spans="1:25" x14ac:dyDescent="0.25">
      <c r="A1901">
        <v>10167</v>
      </c>
      <c r="B1901">
        <v>32</v>
      </c>
      <c r="C1901">
        <v>63.12</v>
      </c>
      <c r="D1901">
        <v>3</v>
      </c>
      <c r="E1901">
        <v>2019.84</v>
      </c>
      <c r="F1901" s="1">
        <v>37917</v>
      </c>
      <c r="G1901" t="s">
        <v>339</v>
      </c>
      <c r="H1901">
        <v>4</v>
      </c>
      <c r="I1901">
        <v>10</v>
      </c>
      <c r="J1901">
        <v>2003</v>
      </c>
      <c r="K1901" t="s">
        <v>550</v>
      </c>
      <c r="L1901">
        <v>65</v>
      </c>
      <c r="M1901" t="s">
        <v>639</v>
      </c>
      <c r="N1901" t="s">
        <v>261</v>
      </c>
      <c r="O1901" t="s">
        <v>262</v>
      </c>
      <c r="P1901" t="s">
        <v>263</v>
      </c>
      <c r="R1901" t="s">
        <v>264</v>
      </c>
      <c r="T1901" t="s">
        <v>265</v>
      </c>
      <c r="U1901" t="s">
        <v>188</v>
      </c>
      <c r="V1901" t="s">
        <v>42</v>
      </c>
      <c r="W1901" t="s">
        <v>266</v>
      </c>
      <c r="X1901" t="s">
        <v>206</v>
      </c>
      <c r="Y1901" t="s">
        <v>36</v>
      </c>
    </row>
    <row r="1902" spans="1:25" x14ac:dyDescent="0.25">
      <c r="A1902">
        <v>10178</v>
      </c>
      <c r="B1902">
        <v>27</v>
      </c>
      <c r="C1902">
        <v>73.64</v>
      </c>
      <c r="D1902">
        <v>6</v>
      </c>
      <c r="E1902">
        <v>1988.28</v>
      </c>
      <c r="F1902" s="1">
        <v>37933</v>
      </c>
      <c r="G1902" t="s">
        <v>25</v>
      </c>
      <c r="H1902">
        <v>4</v>
      </c>
      <c r="I1902">
        <v>11</v>
      </c>
      <c r="J1902">
        <v>2003</v>
      </c>
      <c r="K1902" t="s">
        <v>550</v>
      </c>
      <c r="L1902">
        <v>65</v>
      </c>
      <c r="M1902" t="s">
        <v>639</v>
      </c>
      <c r="N1902" t="s">
        <v>340</v>
      </c>
      <c r="O1902" t="s">
        <v>341</v>
      </c>
      <c r="P1902" t="s">
        <v>342</v>
      </c>
      <c r="R1902" t="s">
        <v>343</v>
      </c>
      <c r="T1902">
        <v>31000</v>
      </c>
      <c r="U1902" t="s">
        <v>41</v>
      </c>
      <c r="V1902" t="s">
        <v>42</v>
      </c>
      <c r="W1902" t="s">
        <v>344</v>
      </c>
      <c r="X1902" t="s">
        <v>345</v>
      </c>
      <c r="Y1902" t="s">
        <v>36</v>
      </c>
    </row>
    <row r="1903" spans="1:25" x14ac:dyDescent="0.25">
      <c r="A1903">
        <v>10186</v>
      </c>
      <c r="B1903">
        <v>21</v>
      </c>
      <c r="C1903">
        <v>69.040000000000006</v>
      </c>
      <c r="D1903">
        <v>3</v>
      </c>
      <c r="E1903">
        <v>1449.84</v>
      </c>
      <c r="F1903" s="1">
        <v>37939</v>
      </c>
      <c r="G1903" t="s">
        <v>25</v>
      </c>
      <c r="H1903">
        <v>4</v>
      </c>
      <c r="I1903">
        <v>11</v>
      </c>
      <c r="J1903">
        <v>2003</v>
      </c>
      <c r="K1903" t="s">
        <v>550</v>
      </c>
      <c r="L1903">
        <v>65</v>
      </c>
      <c r="M1903" t="s">
        <v>639</v>
      </c>
      <c r="N1903" t="s">
        <v>346</v>
      </c>
      <c r="O1903" t="s">
        <v>347</v>
      </c>
      <c r="P1903" t="s">
        <v>348</v>
      </c>
      <c r="R1903" t="s">
        <v>332</v>
      </c>
      <c r="T1903" t="s">
        <v>349</v>
      </c>
      <c r="U1903" t="s">
        <v>170</v>
      </c>
      <c r="V1903" t="s">
        <v>42</v>
      </c>
      <c r="W1903" t="s">
        <v>350</v>
      </c>
      <c r="X1903" t="s">
        <v>351</v>
      </c>
      <c r="Y1903" t="s">
        <v>36</v>
      </c>
    </row>
    <row r="1904" spans="1:25" x14ac:dyDescent="0.25">
      <c r="A1904">
        <v>10198</v>
      </c>
      <c r="B1904">
        <v>27</v>
      </c>
      <c r="C1904">
        <v>71.67</v>
      </c>
      <c r="D1904">
        <v>6</v>
      </c>
      <c r="E1904">
        <v>1935.09</v>
      </c>
      <c r="F1904" s="1">
        <v>37952</v>
      </c>
      <c r="G1904" t="s">
        <v>25</v>
      </c>
      <c r="H1904">
        <v>4</v>
      </c>
      <c r="I1904">
        <v>11</v>
      </c>
      <c r="J1904">
        <v>2003</v>
      </c>
      <c r="K1904" t="s">
        <v>550</v>
      </c>
      <c r="L1904">
        <v>65</v>
      </c>
      <c r="M1904" t="s">
        <v>639</v>
      </c>
      <c r="N1904" t="s">
        <v>425</v>
      </c>
      <c r="O1904" t="s">
        <v>426</v>
      </c>
      <c r="P1904" t="s">
        <v>427</v>
      </c>
      <c r="R1904" t="s">
        <v>428</v>
      </c>
      <c r="T1904" t="s">
        <v>429</v>
      </c>
      <c r="U1904" t="s">
        <v>430</v>
      </c>
      <c r="V1904" t="s">
        <v>200</v>
      </c>
      <c r="W1904" t="s">
        <v>431</v>
      </c>
      <c r="X1904" t="s">
        <v>432</v>
      </c>
      <c r="Y1904" t="s">
        <v>36</v>
      </c>
    </row>
    <row r="1905" spans="1:25" x14ac:dyDescent="0.25">
      <c r="A1905">
        <v>10209</v>
      </c>
      <c r="B1905">
        <v>36</v>
      </c>
      <c r="C1905">
        <v>77.59</v>
      </c>
      <c r="D1905">
        <v>2</v>
      </c>
      <c r="E1905">
        <v>2793.24</v>
      </c>
      <c r="F1905" s="1">
        <v>37995</v>
      </c>
      <c r="G1905" t="s">
        <v>25</v>
      </c>
      <c r="H1905">
        <v>1</v>
      </c>
      <c r="I1905">
        <v>1</v>
      </c>
      <c r="J1905">
        <v>2004</v>
      </c>
      <c r="K1905" t="s">
        <v>550</v>
      </c>
      <c r="L1905">
        <v>65</v>
      </c>
      <c r="M1905" t="s">
        <v>639</v>
      </c>
      <c r="N1905" t="s">
        <v>358</v>
      </c>
      <c r="O1905">
        <v>2155554369</v>
      </c>
      <c r="P1905" t="s">
        <v>359</v>
      </c>
      <c r="R1905" t="s">
        <v>360</v>
      </c>
      <c r="S1905" t="s">
        <v>55</v>
      </c>
      <c r="U1905" t="s">
        <v>32</v>
      </c>
      <c r="V1905" t="s">
        <v>33</v>
      </c>
      <c r="W1905" t="s">
        <v>361</v>
      </c>
      <c r="X1905" t="s">
        <v>103</v>
      </c>
      <c r="Y1905" t="s">
        <v>36</v>
      </c>
    </row>
    <row r="1906" spans="1:25" x14ac:dyDescent="0.25">
      <c r="A1906">
        <v>10222</v>
      </c>
      <c r="B1906">
        <v>43</v>
      </c>
      <c r="C1906">
        <v>70.349999999999994</v>
      </c>
      <c r="D1906">
        <v>6</v>
      </c>
      <c r="E1906">
        <v>3025.05</v>
      </c>
      <c r="F1906" s="1">
        <v>38036</v>
      </c>
      <c r="G1906" t="s">
        <v>25</v>
      </c>
      <c r="H1906">
        <v>1</v>
      </c>
      <c r="I1906">
        <v>2</v>
      </c>
      <c r="J1906">
        <v>2004</v>
      </c>
      <c r="K1906" t="s">
        <v>550</v>
      </c>
      <c r="L1906">
        <v>65</v>
      </c>
      <c r="M1906" t="s">
        <v>639</v>
      </c>
      <c r="N1906" t="s">
        <v>362</v>
      </c>
      <c r="O1906">
        <v>7605558146</v>
      </c>
      <c r="P1906" t="s">
        <v>363</v>
      </c>
      <c r="R1906" t="s">
        <v>364</v>
      </c>
      <c r="S1906" t="s">
        <v>55</v>
      </c>
      <c r="T1906">
        <v>91217</v>
      </c>
      <c r="U1906" t="s">
        <v>32</v>
      </c>
      <c r="V1906" t="s">
        <v>33</v>
      </c>
      <c r="W1906" t="s">
        <v>237</v>
      </c>
      <c r="X1906" t="s">
        <v>276</v>
      </c>
      <c r="Y1906" t="s">
        <v>51</v>
      </c>
    </row>
    <row r="1907" spans="1:25" x14ac:dyDescent="0.25">
      <c r="A1907">
        <v>10249</v>
      </c>
      <c r="B1907">
        <v>25</v>
      </c>
      <c r="C1907">
        <v>69.7</v>
      </c>
      <c r="D1907">
        <v>2</v>
      </c>
      <c r="E1907">
        <v>1742.5</v>
      </c>
      <c r="F1907" s="1">
        <v>38115</v>
      </c>
      <c r="G1907" t="s">
        <v>25</v>
      </c>
      <c r="H1907">
        <v>2</v>
      </c>
      <c r="I1907">
        <v>5</v>
      </c>
      <c r="J1907">
        <v>2004</v>
      </c>
      <c r="K1907" t="s">
        <v>550</v>
      </c>
      <c r="L1907">
        <v>65</v>
      </c>
      <c r="M1907" t="s">
        <v>639</v>
      </c>
      <c r="N1907" t="s">
        <v>239</v>
      </c>
      <c r="O1907">
        <v>6175555555</v>
      </c>
      <c r="P1907" t="s">
        <v>240</v>
      </c>
      <c r="R1907" t="s">
        <v>122</v>
      </c>
      <c r="S1907" t="s">
        <v>123</v>
      </c>
      <c r="T1907">
        <v>51247</v>
      </c>
      <c r="U1907" t="s">
        <v>32</v>
      </c>
      <c r="V1907" t="s">
        <v>33</v>
      </c>
      <c r="W1907" t="s">
        <v>241</v>
      </c>
      <c r="X1907" t="s">
        <v>143</v>
      </c>
      <c r="Y1907" t="s">
        <v>36</v>
      </c>
    </row>
    <row r="1908" spans="1:25" x14ac:dyDescent="0.25">
      <c r="A1908">
        <v>10262</v>
      </c>
      <c r="B1908">
        <v>46</v>
      </c>
      <c r="C1908">
        <v>70.349999999999994</v>
      </c>
      <c r="D1908">
        <v>11</v>
      </c>
      <c r="E1908">
        <v>3236.1</v>
      </c>
      <c r="F1908" s="1">
        <v>38162</v>
      </c>
      <c r="G1908" t="s">
        <v>339</v>
      </c>
      <c r="H1908">
        <v>2</v>
      </c>
      <c r="I1908">
        <v>6</v>
      </c>
      <c r="J1908">
        <v>2004</v>
      </c>
      <c r="K1908" t="s">
        <v>550</v>
      </c>
      <c r="L1908">
        <v>65</v>
      </c>
      <c r="M1908" t="s">
        <v>639</v>
      </c>
      <c r="N1908" t="s">
        <v>174</v>
      </c>
      <c r="O1908" t="s">
        <v>175</v>
      </c>
      <c r="P1908" t="s">
        <v>176</v>
      </c>
      <c r="R1908" t="s">
        <v>177</v>
      </c>
      <c r="T1908">
        <v>28034</v>
      </c>
      <c r="U1908" t="s">
        <v>178</v>
      </c>
      <c r="V1908" t="s">
        <v>42</v>
      </c>
      <c r="W1908" t="s">
        <v>179</v>
      </c>
      <c r="X1908" t="s">
        <v>180</v>
      </c>
      <c r="Y1908" t="s">
        <v>51</v>
      </c>
    </row>
    <row r="1909" spans="1:25" x14ac:dyDescent="0.25">
      <c r="A1909">
        <v>10274</v>
      </c>
      <c r="B1909">
        <v>24</v>
      </c>
      <c r="C1909">
        <v>72.33</v>
      </c>
      <c r="D1909">
        <v>3</v>
      </c>
      <c r="E1909">
        <v>1735.92</v>
      </c>
      <c r="F1909" s="1">
        <v>38189</v>
      </c>
      <c r="G1909" t="s">
        <v>25</v>
      </c>
      <c r="H1909">
        <v>3</v>
      </c>
      <c r="I1909">
        <v>7</v>
      </c>
      <c r="J1909">
        <v>2004</v>
      </c>
      <c r="K1909" t="s">
        <v>550</v>
      </c>
      <c r="L1909">
        <v>65</v>
      </c>
      <c r="M1909" t="s">
        <v>639</v>
      </c>
      <c r="N1909" t="s">
        <v>281</v>
      </c>
      <c r="O1909">
        <v>6175558555</v>
      </c>
      <c r="P1909" t="s">
        <v>282</v>
      </c>
      <c r="R1909" t="s">
        <v>283</v>
      </c>
      <c r="S1909" t="s">
        <v>123</v>
      </c>
      <c r="T1909">
        <v>58339</v>
      </c>
      <c r="U1909" t="s">
        <v>32</v>
      </c>
      <c r="V1909" t="s">
        <v>33</v>
      </c>
      <c r="W1909" t="s">
        <v>275</v>
      </c>
      <c r="X1909" t="s">
        <v>284</v>
      </c>
      <c r="Y1909" t="s">
        <v>36</v>
      </c>
    </row>
    <row r="1910" spans="1:25" x14ac:dyDescent="0.25">
      <c r="A1910">
        <v>10284</v>
      </c>
      <c r="B1910">
        <v>39</v>
      </c>
      <c r="C1910">
        <v>71.67</v>
      </c>
      <c r="D1910">
        <v>13</v>
      </c>
      <c r="E1910">
        <v>2795.13</v>
      </c>
      <c r="F1910" s="1">
        <v>38220</v>
      </c>
      <c r="G1910" t="s">
        <v>25</v>
      </c>
      <c r="H1910">
        <v>3</v>
      </c>
      <c r="I1910">
        <v>8</v>
      </c>
      <c r="J1910">
        <v>2004</v>
      </c>
      <c r="K1910" t="s">
        <v>550</v>
      </c>
      <c r="L1910">
        <v>65</v>
      </c>
      <c r="M1910" t="s">
        <v>639</v>
      </c>
      <c r="N1910" t="s">
        <v>543</v>
      </c>
      <c r="O1910" t="s">
        <v>544</v>
      </c>
      <c r="P1910" t="s">
        <v>545</v>
      </c>
      <c r="R1910" t="s">
        <v>546</v>
      </c>
      <c r="T1910" t="s">
        <v>547</v>
      </c>
      <c r="U1910" t="s">
        <v>78</v>
      </c>
      <c r="V1910" t="s">
        <v>42</v>
      </c>
      <c r="W1910" t="s">
        <v>548</v>
      </c>
      <c r="X1910" t="s">
        <v>549</v>
      </c>
      <c r="Y1910" t="s">
        <v>36</v>
      </c>
    </row>
    <row r="1911" spans="1:25" x14ac:dyDescent="0.25">
      <c r="A1911">
        <v>10296</v>
      </c>
      <c r="B1911">
        <v>31</v>
      </c>
      <c r="C1911">
        <v>53.92</v>
      </c>
      <c r="D1911">
        <v>9</v>
      </c>
      <c r="E1911">
        <v>1671.52</v>
      </c>
      <c r="F1911" s="1">
        <v>38245</v>
      </c>
      <c r="G1911" t="s">
        <v>25</v>
      </c>
      <c r="H1911">
        <v>3</v>
      </c>
      <c r="I1911">
        <v>9</v>
      </c>
      <c r="J1911">
        <v>2004</v>
      </c>
      <c r="K1911" t="s">
        <v>550</v>
      </c>
      <c r="L1911">
        <v>65</v>
      </c>
      <c r="M1911" t="s">
        <v>639</v>
      </c>
      <c r="N1911" t="s">
        <v>572</v>
      </c>
      <c r="O1911" t="s">
        <v>573</v>
      </c>
      <c r="P1911" t="s">
        <v>574</v>
      </c>
      <c r="R1911" t="s">
        <v>575</v>
      </c>
      <c r="T1911">
        <v>80686</v>
      </c>
      <c r="U1911" t="s">
        <v>443</v>
      </c>
      <c r="V1911" t="s">
        <v>42</v>
      </c>
      <c r="W1911" t="s">
        <v>576</v>
      </c>
      <c r="X1911" t="s">
        <v>103</v>
      </c>
      <c r="Y1911" t="s">
        <v>36</v>
      </c>
    </row>
    <row r="1912" spans="1:25" x14ac:dyDescent="0.25">
      <c r="A1912">
        <v>10307</v>
      </c>
      <c r="B1912">
        <v>22</v>
      </c>
      <c r="C1912">
        <v>71.67</v>
      </c>
      <c r="D1912">
        <v>3</v>
      </c>
      <c r="E1912">
        <v>1576.74</v>
      </c>
      <c r="F1912" s="1">
        <v>38274</v>
      </c>
      <c r="G1912" t="s">
        <v>25</v>
      </c>
      <c r="H1912">
        <v>4</v>
      </c>
      <c r="I1912">
        <v>10</v>
      </c>
      <c r="J1912">
        <v>2004</v>
      </c>
      <c r="K1912" t="s">
        <v>550</v>
      </c>
      <c r="L1912">
        <v>65</v>
      </c>
      <c r="M1912" t="s">
        <v>639</v>
      </c>
      <c r="N1912" t="s">
        <v>214</v>
      </c>
      <c r="O1912">
        <v>2155554695</v>
      </c>
      <c r="P1912" t="s">
        <v>215</v>
      </c>
      <c r="R1912" t="s">
        <v>216</v>
      </c>
      <c r="S1912" t="s">
        <v>142</v>
      </c>
      <c r="T1912">
        <v>71270</v>
      </c>
      <c r="U1912" t="s">
        <v>32</v>
      </c>
      <c r="V1912" t="s">
        <v>33</v>
      </c>
      <c r="W1912" t="s">
        <v>217</v>
      </c>
      <c r="X1912" t="s">
        <v>218</v>
      </c>
      <c r="Y1912" t="s">
        <v>36</v>
      </c>
    </row>
    <row r="1913" spans="1:25" x14ac:dyDescent="0.25">
      <c r="A1913">
        <v>10316</v>
      </c>
      <c r="B1913">
        <v>47</v>
      </c>
      <c r="C1913">
        <v>76.930000000000007</v>
      </c>
      <c r="D1913">
        <v>11</v>
      </c>
      <c r="E1913">
        <v>3615.71</v>
      </c>
      <c r="F1913" s="1">
        <v>38292</v>
      </c>
      <c r="G1913" t="s">
        <v>25</v>
      </c>
      <c r="H1913">
        <v>4</v>
      </c>
      <c r="I1913">
        <v>11</v>
      </c>
      <c r="J1913">
        <v>2004</v>
      </c>
      <c r="K1913" t="s">
        <v>550</v>
      </c>
      <c r="L1913">
        <v>65</v>
      </c>
      <c r="M1913" t="s">
        <v>639</v>
      </c>
      <c r="N1913" t="s">
        <v>383</v>
      </c>
      <c r="O1913" t="s">
        <v>384</v>
      </c>
      <c r="P1913" t="s">
        <v>385</v>
      </c>
      <c r="R1913" t="s">
        <v>386</v>
      </c>
      <c r="S1913" t="s">
        <v>387</v>
      </c>
      <c r="T1913" t="s">
        <v>388</v>
      </c>
      <c r="U1913" t="s">
        <v>170</v>
      </c>
      <c r="V1913" t="s">
        <v>42</v>
      </c>
      <c r="W1913" t="s">
        <v>389</v>
      </c>
      <c r="X1913" t="s">
        <v>390</v>
      </c>
      <c r="Y1913" t="s">
        <v>51</v>
      </c>
    </row>
    <row r="1914" spans="1:25" x14ac:dyDescent="0.25">
      <c r="A1914">
        <v>10328</v>
      </c>
      <c r="B1914">
        <v>20</v>
      </c>
      <c r="C1914">
        <v>72.98</v>
      </c>
      <c r="D1914">
        <v>2</v>
      </c>
      <c r="E1914">
        <v>1459.6</v>
      </c>
      <c r="F1914" s="1">
        <v>38303</v>
      </c>
      <c r="G1914" t="s">
        <v>25</v>
      </c>
      <c r="H1914">
        <v>4</v>
      </c>
      <c r="I1914">
        <v>11</v>
      </c>
      <c r="J1914">
        <v>2004</v>
      </c>
      <c r="K1914" t="s">
        <v>550</v>
      </c>
      <c r="L1914">
        <v>65</v>
      </c>
      <c r="M1914" t="s">
        <v>639</v>
      </c>
      <c r="N1914" t="s">
        <v>552</v>
      </c>
      <c r="O1914" t="s">
        <v>553</v>
      </c>
      <c r="P1914" t="s">
        <v>554</v>
      </c>
      <c r="R1914" t="s">
        <v>555</v>
      </c>
      <c r="T1914">
        <v>24100</v>
      </c>
      <c r="U1914" t="s">
        <v>258</v>
      </c>
      <c r="V1914" t="s">
        <v>42</v>
      </c>
      <c r="W1914" t="s">
        <v>556</v>
      </c>
      <c r="X1914" t="s">
        <v>557</v>
      </c>
      <c r="Y1914" t="s">
        <v>36</v>
      </c>
    </row>
    <row r="1915" spans="1:25" x14ac:dyDescent="0.25">
      <c r="A1915">
        <v>10339</v>
      </c>
      <c r="B1915">
        <v>29</v>
      </c>
      <c r="C1915">
        <v>99.69</v>
      </c>
      <c r="D1915">
        <v>14</v>
      </c>
      <c r="E1915">
        <v>2891.01</v>
      </c>
      <c r="F1915" s="1">
        <v>38314</v>
      </c>
      <c r="G1915" t="s">
        <v>25</v>
      </c>
      <c r="H1915">
        <v>4</v>
      </c>
      <c r="I1915">
        <v>11</v>
      </c>
      <c r="J1915">
        <v>2004</v>
      </c>
      <c r="K1915" t="s">
        <v>550</v>
      </c>
      <c r="L1915">
        <v>65</v>
      </c>
      <c r="M1915" t="s">
        <v>639</v>
      </c>
      <c r="N1915" t="s">
        <v>246</v>
      </c>
      <c r="O1915" t="s">
        <v>247</v>
      </c>
      <c r="P1915" t="s">
        <v>248</v>
      </c>
      <c r="R1915" t="s">
        <v>249</v>
      </c>
      <c r="S1915" t="s">
        <v>250</v>
      </c>
      <c r="T1915" t="s">
        <v>251</v>
      </c>
      <c r="U1915" t="s">
        <v>200</v>
      </c>
      <c r="V1915" t="s">
        <v>200</v>
      </c>
      <c r="W1915" t="s">
        <v>252</v>
      </c>
      <c r="X1915" t="s">
        <v>253</v>
      </c>
      <c r="Y1915" t="s">
        <v>36</v>
      </c>
    </row>
    <row r="1916" spans="1:25" x14ac:dyDescent="0.25">
      <c r="A1916">
        <v>10351</v>
      </c>
      <c r="B1916">
        <v>38</v>
      </c>
      <c r="C1916">
        <v>68.38</v>
      </c>
      <c r="D1916">
        <v>4</v>
      </c>
      <c r="E1916">
        <v>2598.44</v>
      </c>
      <c r="F1916" s="1">
        <v>38324</v>
      </c>
      <c r="G1916" t="s">
        <v>25</v>
      </c>
      <c r="H1916">
        <v>4</v>
      </c>
      <c r="I1916">
        <v>12</v>
      </c>
      <c r="J1916">
        <v>2004</v>
      </c>
      <c r="K1916" t="s">
        <v>550</v>
      </c>
      <c r="L1916">
        <v>65</v>
      </c>
      <c r="M1916" t="s">
        <v>639</v>
      </c>
      <c r="N1916" t="s">
        <v>329</v>
      </c>
      <c r="O1916" t="s">
        <v>330</v>
      </c>
      <c r="P1916" t="s">
        <v>331</v>
      </c>
      <c r="R1916" t="s">
        <v>332</v>
      </c>
      <c r="T1916" t="s">
        <v>333</v>
      </c>
      <c r="U1916" t="s">
        <v>170</v>
      </c>
      <c r="V1916" t="s">
        <v>42</v>
      </c>
      <c r="W1916" t="s">
        <v>61</v>
      </c>
      <c r="X1916" t="s">
        <v>334</v>
      </c>
      <c r="Y1916" t="s">
        <v>36</v>
      </c>
    </row>
    <row r="1917" spans="1:25" x14ac:dyDescent="0.25">
      <c r="A1917">
        <v>10361</v>
      </c>
      <c r="B1917">
        <v>34</v>
      </c>
      <c r="C1917">
        <v>100</v>
      </c>
      <c r="D1917">
        <v>6</v>
      </c>
      <c r="E1917">
        <v>3871.92</v>
      </c>
      <c r="F1917" s="1">
        <v>38338</v>
      </c>
      <c r="G1917" t="s">
        <v>25</v>
      </c>
      <c r="H1917">
        <v>4</v>
      </c>
      <c r="I1917">
        <v>12</v>
      </c>
      <c r="J1917">
        <v>2004</v>
      </c>
      <c r="K1917" t="s">
        <v>550</v>
      </c>
      <c r="L1917">
        <v>65</v>
      </c>
      <c r="M1917" t="s">
        <v>639</v>
      </c>
      <c r="N1917" t="s">
        <v>152</v>
      </c>
      <c r="O1917" t="s">
        <v>153</v>
      </c>
      <c r="P1917" t="s">
        <v>154</v>
      </c>
      <c r="Q1917" t="s">
        <v>155</v>
      </c>
      <c r="R1917" t="s">
        <v>156</v>
      </c>
      <c r="S1917" t="s">
        <v>157</v>
      </c>
      <c r="T1917">
        <v>2067</v>
      </c>
      <c r="U1917" t="s">
        <v>95</v>
      </c>
      <c r="V1917" t="s">
        <v>96</v>
      </c>
      <c r="W1917" t="s">
        <v>158</v>
      </c>
      <c r="X1917" t="s">
        <v>159</v>
      </c>
      <c r="Y1917" t="s">
        <v>51</v>
      </c>
    </row>
    <row r="1918" spans="1:25" x14ac:dyDescent="0.25">
      <c r="A1918">
        <v>10373</v>
      </c>
      <c r="B1918">
        <v>46</v>
      </c>
      <c r="C1918">
        <v>66</v>
      </c>
      <c r="D1918">
        <v>11</v>
      </c>
      <c r="E1918">
        <v>3036</v>
      </c>
      <c r="F1918" s="1">
        <v>38383</v>
      </c>
      <c r="G1918" t="s">
        <v>25</v>
      </c>
      <c r="H1918">
        <v>1</v>
      </c>
      <c r="I1918">
        <v>1</v>
      </c>
      <c r="J1918">
        <v>2005</v>
      </c>
      <c r="K1918" t="s">
        <v>550</v>
      </c>
      <c r="L1918">
        <v>65</v>
      </c>
      <c r="M1918" t="s">
        <v>639</v>
      </c>
      <c r="N1918" t="s">
        <v>391</v>
      </c>
      <c r="O1918" t="s">
        <v>392</v>
      </c>
      <c r="P1918" t="s">
        <v>393</v>
      </c>
      <c r="R1918" t="s">
        <v>394</v>
      </c>
      <c r="T1918">
        <v>90110</v>
      </c>
      <c r="U1918" t="s">
        <v>130</v>
      </c>
      <c r="V1918" t="s">
        <v>42</v>
      </c>
      <c r="W1918" t="s">
        <v>395</v>
      </c>
      <c r="X1918" t="s">
        <v>396</v>
      </c>
      <c r="Y1918" t="s">
        <v>51</v>
      </c>
    </row>
    <row r="1919" spans="1:25" x14ac:dyDescent="0.25">
      <c r="A1919">
        <v>10386</v>
      </c>
      <c r="B1919">
        <v>35</v>
      </c>
      <c r="C1919">
        <v>63.76</v>
      </c>
      <c r="D1919">
        <v>9</v>
      </c>
      <c r="E1919">
        <v>2231.6</v>
      </c>
      <c r="F1919" s="1">
        <v>38412</v>
      </c>
      <c r="G1919" t="s">
        <v>408</v>
      </c>
      <c r="H1919">
        <v>1</v>
      </c>
      <c r="I1919">
        <v>3</v>
      </c>
      <c r="J1919">
        <v>2005</v>
      </c>
      <c r="K1919" t="s">
        <v>550</v>
      </c>
      <c r="L1919">
        <v>65</v>
      </c>
      <c r="M1919" t="s">
        <v>639</v>
      </c>
      <c r="N1919" t="s">
        <v>174</v>
      </c>
      <c r="O1919" t="s">
        <v>175</v>
      </c>
      <c r="P1919" t="s">
        <v>176</v>
      </c>
      <c r="R1919" t="s">
        <v>177</v>
      </c>
      <c r="T1919">
        <v>28034</v>
      </c>
      <c r="U1919" t="s">
        <v>178</v>
      </c>
      <c r="V1919" t="s">
        <v>42</v>
      </c>
      <c r="W1919" t="s">
        <v>179</v>
      </c>
      <c r="X1919" t="s">
        <v>180</v>
      </c>
      <c r="Y1919" t="s">
        <v>36</v>
      </c>
    </row>
    <row r="1920" spans="1:25" x14ac:dyDescent="0.25">
      <c r="A1920">
        <v>10398</v>
      </c>
      <c r="B1920">
        <v>34</v>
      </c>
      <c r="C1920">
        <v>71.67</v>
      </c>
      <c r="D1920">
        <v>13</v>
      </c>
      <c r="E1920">
        <v>2436.7800000000002</v>
      </c>
      <c r="F1920" s="1">
        <v>38441</v>
      </c>
      <c r="G1920" t="s">
        <v>25</v>
      </c>
      <c r="H1920">
        <v>1</v>
      </c>
      <c r="I1920">
        <v>3</v>
      </c>
      <c r="J1920">
        <v>2005</v>
      </c>
      <c r="K1920" t="s">
        <v>550</v>
      </c>
      <c r="L1920">
        <v>65</v>
      </c>
      <c r="M1920" t="s">
        <v>639</v>
      </c>
      <c r="N1920" t="s">
        <v>37</v>
      </c>
      <c r="O1920" t="s">
        <v>38</v>
      </c>
      <c r="P1920" t="s">
        <v>39</v>
      </c>
      <c r="R1920" t="s">
        <v>40</v>
      </c>
      <c r="T1920">
        <v>51100</v>
      </c>
      <c r="U1920" t="s">
        <v>41</v>
      </c>
      <c r="V1920" t="s">
        <v>42</v>
      </c>
      <c r="W1920" t="s">
        <v>43</v>
      </c>
      <c r="X1920" t="s">
        <v>44</v>
      </c>
      <c r="Y1920" t="s">
        <v>36</v>
      </c>
    </row>
    <row r="1921" spans="1:25" x14ac:dyDescent="0.25">
      <c r="A1921">
        <v>10400</v>
      </c>
      <c r="B1921">
        <v>38</v>
      </c>
      <c r="C1921">
        <v>57.2</v>
      </c>
      <c r="D1921">
        <v>3</v>
      </c>
      <c r="E1921">
        <v>2173.6</v>
      </c>
      <c r="F1921" s="1">
        <v>38443</v>
      </c>
      <c r="G1921" t="s">
        <v>25</v>
      </c>
      <c r="H1921">
        <v>2</v>
      </c>
      <c r="I1921">
        <v>4</v>
      </c>
      <c r="J1921">
        <v>2005</v>
      </c>
      <c r="K1921" t="s">
        <v>550</v>
      </c>
      <c r="L1921">
        <v>65</v>
      </c>
      <c r="M1921" t="s">
        <v>639</v>
      </c>
      <c r="N1921" t="s">
        <v>397</v>
      </c>
      <c r="O1921">
        <v>4085553659</v>
      </c>
      <c r="P1921" t="s">
        <v>398</v>
      </c>
      <c r="R1921" t="s">
        <v>399</v>
      </c>
      <c r="S1921" t="s">
        <v>55</v>
      </c>
      <c r="T1921">
        <v>94217</v>
      </c>
      <c r="U1921" t="s">
        <v>32</v>
      </c>
      <c r="V1921" t="s">
        <v>33</v>
      </c>
      <c r="W1921" t="s">
        <v>102</v>
      </c>
      <c r="X1921" t="s">
        <v>400</v>
      </c>
      <c r="Y1921" t="s">
        <v>36</v>
      </c>
    </row>
    <row r="1922" spans="1:25" x14ac:dyDescent="0.25">
      <c r="A1922">
        <v>10415</v>
      </c>
      <c r="B1922">
        <v>18</v>
      </c>
      <c r="C1922">
        <v>69.7</v>
      </c>
      <c r="D1922">
        <v>2</v>
      </c>
      <c r="E1922">
        <v>1254.5999999999999</v>
      </c>
      <c r="F1922" s="1">
        <v>38481</v>
      </c>
      <c r="G1922" t="s">
        <v>173</v>
      </c>
      <c r="H1922">
        <v>2</v>
      </c>
      <c r="I1922">
        <v>5</v>
      </c>
      <c r="J1922">
        <v>2005</v>
      </c>
      <c r="K1922" t="s">
        <v>550</v>
      </c>
      <c r="L1922">
        <v>65</v>
      </c>
      <c r="M1922" t="s">
        <v>639</v>
      </c>
      <c r="N1922" t="s">
        <v>558</v>
      </c>
      <c r="O1922" t="s">
        <v>559</v>
      </c>
      <c r="P1922" t="s">
        <v>560</v>
      </c>
      <c r="R1922" t="s">
        <v>561</v>
      </c>
      <c r="S1922" t="s">
        <v>94</v>
      </c>
      <c r="T1922">
        <v>3150</v>
      </c>
      <c r="U1922" t="s">
        <v>95</v>
      </c>
      <c r="V1922" t="s">
        <v>96</v>
      </c>
      <c r="W1922" t="s">
        <v>562</v>
      </c>
      <c r="X1922" t="s">
        <v>563</v>
      </c>
      <c r="Y1922" t="s">
        <v>36</v>
      </c>
    </row>
    <row r="1923" spans="1:25" x14ac:dyDescent="0.25">
      <c r="A1923">
        <v>10110</v>
      </c>
      <c r="B1923">
        <v>37</v>
      </c>
      <c r="C1923">
        <v>100</v>
      </c>
      <c r="D1923">
        <v>14</v>
      </c>
      <c r="E1923">
        <v>3724.42</v>
      </c>
      <c r="F1923" s="1">
        <v>37698</v>
      </c>
      <c r="G1923" t="s">
        <v>25</v>
      </c>
      <c r="H1923">
        <v>1</v>
      </c>
      <c r="I1923">
        <v>3</v>
      </c>
      <c r="J1923">
        <v>2003</v>
      </c>
      <c r="K1923" t="s">
        <v>181</v>
      </c>
      <c r="L1923">
        <v>107</v>
      </c>
      <c r="M1923" t="s">
        <v>640</v>
      </c>
      <c r="N1923" t="s">
        <v>492</v>
      </c>
      <c r="O1923" t="s">
        <v>493</v>
      </c>
      <c r="P1923" t="s">
        <v>494</v>
      </c>
      <c r="R1923" t="s">
        <v>495</v>
      </c>
      <c r="T1923" t="s">
        <v>496</v>
      </c>
      <c r="U1923" t="s">
        <v>170</v>
      </c>
      <c r="V1923" t="s">
        <v>42</v>
      </c>
      <c r="W1923" t="s">
        <v>497</v>
      </c>
      <c r="X1923" t="s">
        <v>94</v>
      </c>
      <c r="Y1923" t="s">
        <v>51</v>
      </c>
    </row>
    <row r="1924" spans="1:25" x14ac:dyDescent="0.25">
      <c r="A1924">
        <v>10124</v>
      </c>
      <c r="B1924">
        <v>43</v>
      </c>
      <c r="C1924">
        <v>100</v>
      </c>
      <c r="D1924">
        <v>13</v>
      </c>
      <c r="E1924">
        <v>5203</v>
      </c>
      <c r="F1924" s="1">
        <v>37762</v>
      </c>
      <c r="G1924" t="s">
        <v>25</v>
      </c>
      <c r="H1924">
        <v>2</v>
      </c>
      <c r="I1924">
        <v>5</v>
      </c>
      <c r="J1924">
        <v>2003</v>
      </c>
      <c r="K1924" t="s">
        <v>181</v>
      </c>
      <c r="L1924">
        <v>107</v>
      </c>
      <c r="M1924" t="s">
        <v>640</v>
      </c>
      <c r="N1924" t="s">
        <v>539</v>
      </c>
      <c r="O1924">
        <v>7025551838</v>
      </c>
      <c r="P1924" t="s">
        <v>540</v>
      </c>
      <c r="R1924" t="s">
        <v>541</v>
      </c>
      <c r="S1924" t="s">
        <v>542</v>
      </c>
      <c r="T1924">
        <v>83030</v>
      </c>
      <c r="U1924" t="s">
        <v>32</v>
      </c>
      <c r="V1924" t="s">
        <v>33</v>
      </c>
      <c r="W1924" t="s">
        <v>113</v>
      </c>
      <c r="X1924" t="s">
        <v>400</v>
      </c>
      <c r="Y1924" t="s">
        <v>51</v>
      </c>
    </row>
    <row r="1925" spans="1:25" x14ac:dyDescent="0.25">
      <c r="A1925">
        <v>10148</v>
      </c>
      <c r="B1925">
        <v>27</v>
      </c>
      <c r="C1925">
        <v>100</v>
      </c>
      <c r="D1925">
        <v>7</v>
      </c>
      <c r="E1925">
        <v>3469.5</v>
      </c>
      <c r="F1925" s="1">
        <v>37875</v>
      </c>
      <c r="G1925" t="s">
        <v>25</v>
      </c>
      <c r="H1925">
        <v>3</v>
      </c>
      <c r="I1925">
        <v>9</v>
      </c>
      <c r="J1925">
        <v>2003</v>
      </c>
      <c r="K1925" t="s">
        <v>181</v>
      </c>
      <c r="L1925">
        <v>107</v>
      </c>
      <c r="M1925" t="s">
        <v>640</v>
      </c>
      <c r="N1925" t="s">
        <v>285</v>
      </c>
      <c r="O1925" t="s">
        <v>286</v>
      </c>
      <c r="P1925" t="s">
        <v>287</v>
      </c>
      <c r="Q1925" t="s">
        <v>288</v>
      </c>
      <c r="R1925" t="s">
        <v>289</v>
      </c>
      <c r="S1925" t="s">
        <v>157</v>
      </c>
      <c r="T1925">
        <v>2060</v>
      </c>
      <c r="U1925" t="s">
        <v>95</v>
      </c>
      <c r="V1925" t="s">
        <v>96</v>
      </c>
      <c r="W1925" t="s">
        <v>290</v>
      </c>
      <c r="X1925" t="s">
        <v>291</v>
      </c>
      <c r="Y1925" t="s">
        <v>51</v>
      </c>
    </row>
    <row r="1926" spans="1:25" x14ac:dyDescent="0.25">
      <c r="A1926">
        <v>10161</v>
      </c>
      <c r="B1926">
        <v>30</v>
      </c>
      <c r="C1926">
        <v>100</v>
      </c>
      <c r="D1926">
        <v>6</v>
      </c>
      <c r="E1926">
        <v>3148.2</v>
      </c>
      <c r="F1926" s="1">
        <v>37911</v>
      </c>
      <c r="G1926" t="s">
        <v>25</v>
      </c>
      <c r="H1926">
        <v>4</v>
      </c>
      <c r="I1926">
        <v>10</v>
      </c>
      <c r="J1926">
        <v>2003</v>
      </c>
      <c r="K1926" t="s">
        <v>181</v>
      </c>
      <c r="L1926">
        <v>107</v>
      </c>
      <c r="M1926" t="s">
        <v>640</v>
      </c>
      <c r="N1926" t="s">
        <v>498</v>
      </c>
      <c r="O1926" t="s">
        <v>499</v>
      </c>
      <c r="P1926" t="s">
        <v>500</v>
      </c>
      <c r="R1926" t="s">
        <v>501</v>
      </c>
      <c r="T1926">
        <v>8200</v>
      </c>
      <c r="U1926" t="s">
        <v>326</v>
      </c>
      <c r="V1926" t="s">
        <v>42</v>
      </c>
      <c r="W1926" t="s">
        <v>502</v>
      </c>
      <c r="X1926" t="s">
        <v>503</v>
      </c>
      <c r="Y1926" t="s">
        <v>51</v>
      </c>
    </row>
    <row r="1927" spans="1:25" x14ac:dyDescent="0.25">
      <c r="A1927">
        <v>10172</v>
      </c>
      <c r="B1927">
        <v>22</v>
      </c>
      <c r="C1927">
        <v>98.51</v>
      </c>
      <c r="D1927">
        <v>4</v>
      </c>
      <c r="E1927">
        <v>2167.2199999999998</v>
      </c>
      <c r="F1927" s="1">
        <v>37930</v>
      </c>
      <c r="G1927" t="s">
        <v>25</v>
      </c>
      <c r="H1927">
        <v>4</v>
      </c>
      <c r="I1927">
        <v>11</v>
      </c>
      <c r="J1927">
        <v>2003</v>
      </c>
      <c r="K1927" t="s">
        <v>181</v>
      </c>
      <c r="L1927">
        <v>107</v>
      </c>
      <c r="M1927" t="s">
        <v>640</v>
      </c>
      <c r="N1927" t="s">
        <v>109</v>
      </c>
      <c r="O1927">
        <v>2035552570</v>
      </c>
      <c r="P1927" t="s">
        <v>110</v>
      </c>
      <c r="R1927" t="s">
        <v>111</v>
      </c>
      <c r="S1927" t="s">
        <v>112</v>
      </c>
      <c r="T1927">
        <v>97562</v>
      </c>
      <c r="U1927" t="s">
        <v>32</v>
      </c>
      <c r="V1927" t="s">
        <v>33</v>
      </c>
      <c r="W1927" t="s">
        <v>113</v>
      </c>
      <c r="X1927" t="s">
        <v>57</v>
      </c>
      <c r="Y1927" t="s">
        <v>36</v>
      </c>
    </row>
    <row r="1928" spans="1:25" x14ac:dyDescent="0.25">
      <c r="A1928">
        <v>10182</v>
      </c>
      <c r="B1928">
        <v>49</v>
      </c>
      <c r="C1928">
        <v>100</v>
      </c>
      <c r="D1928">
        <v>17</v>
      </c>
      <c r="E1928">
        <v>6244.07</v>
      </c>
      <c r="F1928" s="1">
        <v>37937</v>
      </c>
      <c r="G1928" t="s">
        <v>25</v>
      </c>
      <c r="H1928">
        <v>4</v>
      </c>
      <c r="I1928">
        <v>11</v>
      </c>
      <c r="J1928">
        <v>2003</v>
      </c>
      <c r="K1928" t="s">
        <v>181</v>
      </c>
      <c r="L1928">
        <v>107</v>
      </c>
      <c r="M1928" t="s">
        <v>640</v>
      </c>
      <c r="N1928" t="s">
        <v>272</v>
      </c>
      <c r="O1928">
        <v>4155551450</v>
      </c>
      <c r="P1928" t="s">
        <v>273</v>
      </c>
      <c r="R1928" t="s">
        <v>274</v>
      </c>
      <c r="S1928" t="s">
        <v>55</v>
      </c>
      <c r="T1928">
        <v>97562</v>
      </c>
      <c r="U1928" t="s">
        <v>32</v>
      </c>
      <c r="V1928" t="s">
        <v>33</v>
      </c>
      <c r="W1928" t="s">
        <v>275</v>
      </c>
      <c r="X1928" t="s">
        <v>276</v>
      </c>
      <c r="Y1928" t="s">
        <v>51</v>
      </c>
    </row>
    <row r="1929" spans="1:25" x14ac:dyDescent="0.25">
      <c r="A1929">
        <v>10192</v>
      </c>
      <c r="B1929">
        <v>46</v>
      </c>
      <c r="C1929">
        <v>100</v>
      </c>
      <c r="D1929">
        <v>5</v>
      </c>
      <c r="E1929">
        <v>5566</v>
      </c>
      <c r="F1929" s="1">
        <v>37945</v>
      </c>
      <c r="G1929" t="s">
        <v>25</v>
      </c>
      <c r="H1929">
        <v>4</v>
      </c>
      <c r="I1929">
        <v>11</v>
      </c>
      <c r="J1929">
        <v>2003</v>
      </c>
      <c r="K1929" t="s">
        <v>181</v>
      </c>
      <c r="L1929">
        <v>107</v>
      </c>
      <c r="M1929" t="s">
        <v>640</v>
      </c>
      <c r="N1929" t="s">
        <v>277</v>
      </c>
      <c r="O1929">
        <v>6035558647</v>
      </c>
      <c r="P1929" t="s">
        <v>278</v>
      </c>
      <c r="R1929" t="s">
        <v>279</v>
      </c>
      <c r="S1929" t="s">
        <v>280</v>
      </c>
      <c r="T1929">
        <v>62005</v>
      </c>
      <c r="U1929" t="s">
        <v>32</v>
      </c>
      <c r="V1929" t="s">
        <v>33</v>
      </c>
      <c r="W1929" t="s">
        <v>56</v>
      </c>
      <c r="X1929" t="s">
        <v>276</v>
      </c>
      <c r="Y1929" t="s">
        <v>51</v>
      </c>
    </row>
    <row r="1930" spans="1:25" x14ac:dyDescent="0.25">
      <c r="A1930">
        <v>10204</v>
      </c>
      <c r="B1930">
        <v>48</v>
      </c>
      <c r="C1930">
        <v>91.02</v>
      </c>
      <c r="D1930">
        <v>11</v>
      </c>
      <c r="E1930">
        <v>4368.96</v>
      </c>
      <c r="F1930" s="1">
        <v>37957</v>
      </c>
      <c r="G1930" t="s">
        <v>25</v>
      </c>
      <c r="H1930">
        <v>4</v>
      </c>
      <c r="I1930">
        <v>12</v>
      </c>
      <c r="J1930">
        <v>2003</v>
      </c>
      <c r="K1930" t="s">
        <v>181</v>
      </c>
      <c r="L1930">
        <v>107</v>
      </c>
      <c r="M1930" t="s">
        <v>640</v>
      </c>
      <c r="N1930" t="s">
        <v>475</v>
      </c>
      <c r="O1930">
        <v>2125557413</v>
      </c>
      <c r="P1930" t="s">
        <v>476</v>
      </c>
      <c r="Q1930" t="s">
        <v>477</v>
      </c>
      <c r="R1930" t="s">
        <v>30</v>
      </c>
      <c r="S1930" t="s">
        <v>31</v>
      </c>
      <c r="T1930">
        <v>10022</v>
      </c>
      <c r="U1930" t="s">
        <v>32</v>
      </c>
      <c r="V1930" t="s">
        <v>33</v>
      </c>
      <c r="W1930" t="s">
        <v>56</v>
      </c>
      <c r="X1930" t="s">
        <v>478</v>
      </c>
      <c r="Y1930" t="s">
        <v>51</v>
      </c>
    </row>
    <row r="1931" spans="1:25" x14ac:dyDescent="0.25">
      <c r="A1931">
        <v>10212</v>
      </c>
      <c r="B1931">
        <v>46</v>
      </c>
      <c r="C1931">
        <v>87.81</v>
      </c>
      <c r="D1931">
        <v>4</v>
      </c>
      <c r="E1931">
        <v>4039.26</v>
      </c>
      <c r="F1931" s="1">
        <v>38002</v>
      </c>
      <c r="G1931" t="s">
        <v>25</v>
      </c>
      <c r="H1931">
        <v>1</v>
      </c>
      <c r="I1931">
        <v>1</v>
      </c>
      <c r="J1931">
        <v>2004</v>
      </c>
      <c r="K1931" t="s">
        <v>181</v>
      </c>
      <c r="L1931">
        <v>107</v>
      </c>
      <c r="M1931" t="s">
        <v>640</v>
      </c>
      <c r="N1931" t="s">
        <v>174</v>
      </c>
      <c r="O1931" t="s">
        <v>175</v>
      </c>
      <c r="P1931" t="s">
        <v>176</v>
      </c>
      <c r="R1931" t="s">
        <v>177</v>
      </c>
      <c r="T1931">
        <v>28034</v>
      </c>
      <c r="U1931" t="s">
        <v>178</v>
      </c>
      <c r="V1931" t="s">
        <v>42</v>
      </c>
      <c r="W1931" t="s">
        <v>179</v>
      </c>
      <c r="X1931" t="s">
        <v>180</v>
      </c>
      <c r="Y1931" t="s">
        <v>51</v>
      </c>
    </row>
    <row r="1932" spans="1:25" x14ac:dyDescent="0.25">
      <c r="A1932">
        <v>10226</v>
      </c>
      <c r="B1932">
        <v>48</v>
      </c>
      <c r="C1932">
        <v>92.09</v>
      </c>
      <c r="D1932">
        <v>2</v>
      </c>
      <c r="E1932">
        <v>4420.32</v>
      </c>
      <c r="F1932" s="1">
        <v>38043</v>
      </c>
      <c r="G1932" t="s">
        <v>25</v>
      </c>
      <c r="H1932">
        <v>1</v>
      </c>
      <c r="I1932">
        <v>2</v>
      </c>
      <c r="J1932">
        <v>2004</v>
      </c>
      <c r="K1932" t="s">
        <v>181</v>
      </c>
      <c r="L1932">
        <v>107</v>
      </c>
      <c r="M1932" t="s">
        <v>640</v>
      </c>
      <c r="N1932" t="s">
        <v>362</v>
      </c>
      <c r="O1932">
        <v>7605558146</v>
      </c>
      <c r="P1932" t="s">
        <v>363</v>
      </c>
      <c r="R1932" t="s">
        <v>364</v>
      </c>
      <c r="S1932" t="s">
        <v>55</v>
      </c>
      <c r="T1932">
        <v>91217</v>
      </c>
      <c r="U1932" t="s">
        <v>32</v>
      </c>
      <c r="V1932" t="s">
        <v>33</v>
      </c>
      <c r="W1932" t="s">
        <v>237</v>
      </c>
      <c r="X1932" t="s">
        <v>276</v>
      </c>
      <c r="Y1932" t="s">
        <v>51</v>
      </c>
    </row>
    <row r="1933" spans="1:25" x14ac:dyDescent="0.25">
      <c r="A1933">
        <v>10241</v>
      </c>
      <c r="B1933">
        <v>27</v>
      </c>
      <c r="C1933">
        <v>86.73</v>
      </c>
      <c r="D1933">
        <v>9</v>
      </c>
      <c r="E1933">
        <v>2341.71</v>
      </c>
      <c r="F1933" s="1">
        <v>38090</v>
      </c>
      <c r="G1933" t="s">
        <v>25</v>
      </c>
      <c r="H1933">
        <v>2</v>
      </c>
      <c r="I1933">
        <v>4</v>
      </c>
      <c r="J1933">
        <v>2004</v>
      </c>
      <c r="K1933" t="s">
        <v>181</v>
      </c>
      <c r="L1933">
        <v>107</v>
      </c>
      <c r="M1933" t="s">
        <v>640</v>
      </c>
      <c r="N1933" t="s">
        <v>531</v>
      </c>
      <c r="O1933" t="s">
        <v>532</v>
      </c>
      <c r="P1933" t="s">
        <v>533</v>
      </c>
      <c r="R1933" t="s">
        <v>534</v>
      </c>
      <c r="T1933">
        <v>67000</v>
      </c>
      <c r="U1933" t="s">
        <v>41</v>
      </c>
      <c r="V1933" t="s">
        <v>42</v>
      </c>
      <c r="W1933" t="s">
        <v>535</v>
      </c>
      <c r="X1933" t="s">
        <v>536</v>
      </c>
      <c r="Y1933" t="s">
        <v>36</v>
      </c>
    </row>
    <row r="1934" spans="1:25" x14ac:dyDescent="0.25">
      <c r="A1934">
        <v>10267</v>
      </c>
      <c r="B1934">
        <v>43</v>
      </c>
      <c r="C1934">
        <v>100</v>
      </c>
      <c r="D1934">
        <v>6</v>
      </c>
      <c r="E1934">
        <v>5110.9799999999996</v>
      </c>
      <c r="F1934" s="1">
        <v>38175</v>
      </c>
      <c r="G1934" t="s">
        <v>25</v>
      </c>
      <c r="H1934">
        <v>3</v>
      </c>
      <c r="I1934">
        <v>7</v>
      </c>
      <c r="J1934">
        <v>2004</v>
      </c>
      <c r="K1934" t="s">
        <v>181</v>
      </c>
      <c r="L1934">
        <v>107</v>
      </c>
      <c r="M1934" t="s">
        <v>640</v>
      </c>
      <c r="N1934" t="s">
        <v>475</v>
      </c>
      <c r="O1934">
        <v>2125557413</v>
      </c>
      <c r="P1934" t="s">
        <v>476</v>
      </c>
      <c r="Q1934" t="s">
        <v>477</v>
      </c>
      <c r="R1934" t="s">
        <v>30</v>
      </c>
      <c r="S1934" t="s">
        <v>31</v>
      </c>
      <c r="T1934">
        <v>10022</v>
      </c>
      <c r="U1934" t="s">
        <v>32</v>
      </c>
      <c r="V1934" t="s">
        <v>33</v>
      </c>
      <c r="W1934" t="s">
        <v>56</v>
      </c>
      <c r="X1934" t="s">
        <v>478</v>
      </c>
      <c r="Y1934" t="s">
        <v>51</v>
      </c>
    </row>
    <row r="1935" spans="1:25" x14ac:dyDescent="0.25">
      <c r="A1935">
        <v>10279</v>
      </c>
      <c r="B1935">
        <v>48</v>
      </c>
      <c r="C1935">
        <v>100</v>
      </c>
      <c r="D1935">
        <v>6</v>
      </c>
      <c r="E1935">
        <v>6168</v>
      </c>
      <c r="F1935" s="1">
        <v>38208</v>
      </c>
      <c r="G1935" t="s">
        <v>25</v>
      </c>
      <c r="H1935">
        <v>3</v>
      </c>
      <c r="I1935">
        <v>8</v>
      </c>
      <c r="J1935">
        <v>2004</v>
      </c>
      <c r="K1935" t="s">
        <v>181</v>
      </c>
      <c r="L1935">
        <v>107</v>
      </c>
      <c r="M1935" t="s">
        <v>640</v>
      </c>
      <c r="N1935" t="s">
        <v>174</v>
      </c>
      <c r="O1935" t="s">
        <v>175</v>
      </c>
      <c r="P1935" t="s">
        <v>176</v>
      </c>
      <c r="R1935" t="s">
        <v>177</v>
      </c>
      <c r="T1935">
        <v>28034</v>
      </c>
      <c r="U1935" t="s">
        <v>178</v>
      </c>
      <c r="V1935" t="s">
        <v>42</v>
      </c>
      <c r="W1935" t="s">
        <v>179</v>
      </c>
      <c r="X1935" t="s">
        <v>180</v>
      </c>
      <c r="Y1935" t="s">
        <v>51</v>
      </c>
    </row>
    <row r="1936" spans="1:25" x14ac:dyDescent="0.25">
      <c r="A1936">
        <v>10288</v>
      </c>
      <c r="B1936">
        <v>41</v>
      </c>
      <c r="C1936">
        <v>100</v>
      </c>
      <c r="D1936">
        <v>12</v>
      </c>
      <c r="E1936">
        <v>4873.26</v>
      </c>
      <c r="F1936" s="1">
        <v>38231</v>
      </c>
      <c r="G1936" t="s">
        <v>25</v>
      </c>
      <c r="H1936">
        <v>3</v>
      </c>
      <c r="I1936">
        <v>9</v>
      </c>
      <c r="J1936">
        <v>2004</v>
      </c>
      <c r="K1936" t="s">
        <v>181</v>
      </c>
      <c r="L1936">
        <v>107</v>
      </c>
      <c r="M1936" t="s">
        <v>640</v>
      </c>
      <c r="N1936" t="s">
        <v>418</v>
      </c>
      <c r="O1936" t="s">
        <v>419</v>
      </c>
      <c r="P1936" t="s">
        <v>420</v>
      </c>
      <c r="Q1936" t="s">
        <v>421</v>
      </c>
      <c r="R1936" t="s">
        <v>199</v>
      </c>
      <c r="T1936">
        <v>69045</v>
      </c>
      <c r="U1936" t="s">
        <v>199</v>
      </c>
      <c r="V1936" t="s">
        <v>96</v>
      </c>
      <c r="W1936" t="s">
        <v>422</v>
      </c>
      <c r="X1936" t="s">
        <v>423</v>
      </c>
      <c r="Y1936" t="s">
        <v>51</v>
      </c>
    </row>
    <row r="1937" spans="1:25" x14ac:dyDescent="0.25">
      <c r="A1937">
        <v>10301</v>
      </c>
      <c r="B1937">
        <v>22</v>
      </c>
      <c r="C1937">
        <v>96.37</v>
      </c>
      <c r="D1937">
        <v>2</v>
      </c>
      <c r="E1937">
        <v>2120.14</v>
      </c>
      <c r="F1937" s="1">
        <v>37899</v>
      </c>
      <c r="G1937" t="s">
        <v>25</v>
      </c>
      <c r="H1937">
        <v>4</v>
      </c>
      <c r="I1937">
        <v>10</v>
      </c>
      <c r="J1937">
        <v>2003</v>
      </c>
      <c r="K1937" t="s">
        <v>181</v>
      </c>
      <c r="L1937">
        <v>107</v>
      </c>
      <c r="M1937" t="s">
        <v>640</v>
      </c>
      <c r="N1937" t="s">
        <v>543</v>
      </c>
      <c r="O1937" t="s">
        <v>544</v>
      </c>
      <c r="P1937" t="s">
        <v>545</v>
      </c>
      <c r="R1937" t="s">
        <v>546</v>
      </c>
      <c r="T1937" t="s">
        <v>547</v>
      </c>
      <c r="U1937" t="s">
        <v>78</v>
      </c>
      <c r="V1937" t="s">
        <v>42</v>
      </c>
      <c r="W1937" t="s">
        <v>548</v>
      </c>
      <c r="X1937" t="s">
        <v>549</v>
      </c>
      <c r="Y1937" t="s">
        <v>36</v>
      </c>
    </row>
    <row r="1938" spans="1:25" x14ac:dyDescent="0.25">
      <c r="A1938">
        <v>10311</v>
      </c>
      <c r="B1938">
        <v>46</v>
      </c>
      <c r="C1938">
        <v>92.09</v>
      </c>
      <c r="D1938">
        <v>7</v>
      </c>
      <c r="E1938">
        <v>4236.1400000000003</v>
      </c>
      <c r="F1938" s="1">
        <v>38276</v>
      </c>
      <c r="G1938" t="s">
        <v>25</v>
      </c>
      <c r="H1938">
        <v>4</v>
      </c>
      <c r="I1938">
        <v>10</v>
      </c>
      <c r="J1938">
        <v>2004</v>
      </c>
      <c r="K1938" t="s">
        <v>181</v>
      </c>
      <c r="L1938">
        <v>107</v>
      </c>
      <c r="M1938" t="s">
        <v>640</v>
      </c>
      <c r="N1938" t="s">
        <v>174</v>
      </c>
      <c r="O1938" t="s">
        <v>175</v>
      </c>
      <c r="P1938" t="s">
        <v>176</v>
      </c>
      <c r="R1938" t="s">
        <v>177</v>
      </c>
      <c r="T1938">
        <v>28034</v>
      </c>
      <c r="U1938" t="s">
        <v>178</v>
      </c>
      <c r="V1938" t="s">
        <v>42</v>
      </c>
      <c r="W1938" t="s">
        <v>179</v>
      </c>
      <c r="X1938" t="s">
        <v>180</v>
      </c>
      <c r="Y1938" t="s">
        <v>51</v>
      </c>
    </row>
    <row r="1939" spans="1:25" x14ac:dyDescent="0.25">
      <c r="A1939">
        <v>10321</v>
      </c>
      <c r="B1939">
        <v>21</v>
      </c>
      <c r="C1939">
        <v>89.95</v>
      </c>
      <c r="D1939">
        <v>4</v>
      </c>
      <c r="E1939">
        <v>1888.95</v>
      </c>
      <c r="F1939" s="1">
        <v>38295</v>
      </c>
      <c r="G1939" t="s">
        <v>25</v>
      </c>
      <c r="H1939">
        <v>4</v>
      </c>
      <c r="I1939">
        <v>11</v>
      </c>
      <c r="J1939">
        <v>2004</v>
      </c>
      <c r="K1939" t="s">
        <v>181</v>
      </c>
      <c r="L1939">
        <v>107</v>
      </c>
      <c r="M1939" t="s">
        <v>640</v>
      </c>
      <c r="N1939" t="s">
        <v>160</v>
      </c>
      <c r="O1939">
        <v>5085552555</v>
      </c>
      <c r="P1939" t="s">
        <v>161</v>
      </c>
      <c r="R1939" t="s">
        <v>162</v>
      </c>
      <c r="S1939" t="s">
        <v>123</v>
      </c>
      <c r="T1939">
        <v>50553</v>
      </c>
      <c r="U1939" t="s">
        <v>32</v>
      </c>
      <c r="V1939" t="s">
        <v>33</v>
      </c>
      <c r="W1939" t="s">
        <v>163</v>
      </c>
      <c r="X1939" t="s">
        <v>164</v>
      </c>
      <c r="Y1939" t="s">
        <v>36</v>
      </c>
    </row>
    <row r="1940" spans="1:25" x14ac:dyDescent="0.25">
      <c r="A1940">
        <v>10332</v>
      </c>
      <c r="B1940">
        <v>31</v>
      </c>
      <c r="C1940">
        <v>37.18</v>
      </c>
      <c r="D1940">
        <v>13</v>
      </c>
      <c r="E1940">
        <v>1152.58</v>
      </c>
      <c r="F1940" s="1">
        <v>38308</v>
      </c>
      <c r="G1940" t="s">
        <v>25</v>
      </c>
      <c r="H1940">
        <v>4</v>
      </c>
      <c r="I1940">
        <v>11</v>
      </c>
      <c r="J1940">
        <v>2004</v>
      </c>
      <c r="K1940" t="s">
        <v>181</v>
      </c>
      <c r="L1940">
        <v>107</v>
      </c>
      <c r="M1940" t="s">
        <v>640</v>
      </c>
      <c r="N1940" t="s">
        <v>492</v>
      </c>
      <c r="O1940" t="s">
        <v>493</v>
      </c>
      <c r="P1940" t="s">
        <v>494</v>
      </c>
      <c r="R1940" t="s">
        <v>495</v>
      </c>
      <c r="T1940" t="s">
        <v>496</v>
      </c>
      <c r="U1940" t="s">
        <v>170</v>
      </c>
      <c r="V1940" t="s">
        <v>42</v>
      </c>
      <c r="W1940" t="s">
        <v>497</v>
      </c>
      <c r="X1940" t="s">
        <v>94</v>
      </c>
      <c r="Y1940" t="s">
        <v>36</v>
      </c>
    </row>
    <row r="1941" spans="1:25" x14ac:dyDescent="0.25">
      <c r="A1941">
        <v>10346</v>
      </c>
      <c r="B1941">
        <v>26</v>
      </c>
      <c r="C1941">
        <v>95.88</v>
      </c>
      <c r="D1941">
        <v>6</v>
      </c>
      <c r="E1941">
        <v>2492.88</v>
      </c>
      <c r="F1941" s="1">
        <v>38320</v>
      </c>
      <c r="G1941" t="s">
        <v>25</v>
      </c>
      <c r="H1941">
        <v>4</v>
      </c>
      <c r="I1941">
        <v>11</v>
      </c>
      <c r="J1941">
        <v>2004</v>
      </c>
      <c r="K1941" t="s">
        <v>181</v>
      </c>
      <c r="L1941">
        <v>107</v>
      </c>
      <c r="M1941" t="s">
        <v>640</v>
      </c>
      <c r="N1941" t="s">
        <v>539</v>
      </c>
      <c r="O1941">
        <v>7025551838</v>
      </c>
      <c r="P1941" t="s">
        <v>540</v>
      </c>
      <c r="R1941" t="s">
        <v>541</v>
      </c>
      <c r="S1941" t="s">
        <v>542</v>
      </c>
      <c r="T1941">
        <v>83030</v>
      </c>
      <c r="U1941" t="s">
        <v>32</v>
      </c>
      <c r="V1941" t="s">
        <v>33</v>
      </c>
      <c r="W1941" t="s">
        <v>113</v>
      </c>
      <c r="X1941" t="s">
        <v>400</v>
      </c>
      <c r="Y1941" t="s">
        <v>36</v>
      </c>
    </row>
    <row r="1942" spans="1:25" x14ac:dyDescent="0.25">
      <c r="A1942">
        <v>10368</v>
      </c>
      <c r="B1942">
        <v>20</v>
      </c>
      <c r="C1942">
        <v>99.58</v>
      </c>
      <c r="D1942">
        <v>4</v>
      </c>
      <c r="E1942">
        <v>1991.6</v>
      </c>
      <c r="F1942" s="1">
        <v>38371</v>
      </c>
      <c r="G1942" t="s">
        <v>25</v>
      </c>
      <c r="H1942">
        <v>1</v>
      </c>
      <c r="I1942">
        <v>1</v>
      </c>
      <c r="J1942">
        <v>2005</v>
      </c>
      <c r="K1942" t="s">
        <v>181</v>
      </c>
      <c r="L1942">
        <v>107</v>
      </c>
      <c r="M1942" t="s">
        <v>640</v>
      </c>
      <c r="N1942" t="s">
        <v>272</v>
      </c>
      <c r="O1942">
        <v>4155551450</v>
      </c>
      <c r="P1942" t="s">
        <v>273</v>
      </c>
      <c r="R1942" t="s">
        <v>274</v>
      </c>
      <c r="S1942" t="s">
        <v>55</v>
      </c>
      <c r="T1942">
        <v>97562</v>
      </c>
      <c r="U1942" t="s">
        <v>32</v>
      </c>
      <c r="V1942" t="s">
        <v>33</v>
      </c>
      <c r="W1942" t="s">
        <v>275</v>
      </c>
      <c r="X1942" t="s">
        <v>276</v>
      </c>
      <c r="Y1942" t="s">
        <v>36</v>
      </c>
    </row>
    <row r="1943" spans="1:25" x14ac:dyDescent="0.25">
      <c r="A1943">
        <v>10380</v>
      </c>
      <c r="B1943">
        <v>34</v>
      </c>
      <c r="C1943">
        <v>100</v>
      </c>
      <c r="D1943">
        <v>11</v>
      </c>
      <c r="E1943">
        <v>3953.18</v>
      </c>
      <c r="F1943" s="1">
        <v>38399</v>
      </c>
      <c r="G1943" t="s">
        <v>25</v>
      </c>
      <c r="H1943">
        <v>1</v>
      </c>
      <c r="I1943">
        <v>2</v>
      </c>
      <c r="J1943">
        <v>2005</v>
      </c>
      <c r="K1943" t="s">
        <v>181</v>
      </c>
      <c r="L1943">
        <v>107</v>
      </c>
      <c r="M1943" t="s">
        <v>640</v>
      </c>
      <c r="N1943" t="s">
        <v>174</v>
      </c>
      <c r="O1943" t="s">
        <v>175</v>
      </c>
      <c r="P1943" t="s">
        <v>176</v>
      </c>
      <c r="R1943" t="s">
        <v>177</v>
      </c>
      <c r="T1943">
        <v>28034</v>
      </c>
      <c r="U1943" t="s">
        <v>178</v>
      </c>
      <c r="V1943" t="s">
        <v>42</v>
      </c>
      <c r="W1943" t="s">
        <v>179</v>
      </c>
      <c r="X1943" t="s">
        <v>180</v>
      </c>
      <c r="Y1943" t="s">
        <v>51</v>
      </c>
    </row>
    <row r="1944" spans="1:25" x14ac:dyDescent="0.25">
      <c r="A1944">
        <v>10407</v>
      </c>
      <c r="B1944">
        <v>43</v>
      </c>
      <c r="C1944">
        <v>86.73</v>
      </c>
      <c r="D1944">
        <v>9</v>
      </c>
      <c r="E1944">
        <v>3729.39</v>
      </c>
      <c r="F1944" s="1">
        <v>38464</v>
      </c>
      <c r="G1944" t="s">
        <v>401</v>
      </c>
      <c r="H1944">
        <v>2</v>
      </c>
      <c r="I1944">
        <v>4</v>
      </c>
      <c r="J1944">
        <v>2005</v>
      </c>
      <c r="K1944" t="s">
        <v>181</v>
      </c>
      <c r="L1944">
        <v>107</v>
      </c>
      <c r="M1944" t="s">
        <v>640</v>
      </c>
      <c r="N1944" t="s">
        <v>397</v>
      </c>
      <c r="O1944">
        <v>4085553659</v>
      </c>
      <c r="P1944" t="s">
        <v>398</v>
      </c>
      <c r="R1944" t="s">
        <v>399</v>
      </c>
      <c r="S1944" t="s">
        <v>55</v>
      </c>
      <c r="T1944">
        <v>94217</v>
      </c>
      <c r="U1944" t="s">
        <v>32</v>
      </c>
      <c r="V1944" t="s">
        <v>33</v>
      </c>
      <c r="W1944" t="s">
        <v>102</v>
      </c>
      <c r="X1944" t="s">
        <v>400</v>
      </c>
      <c r="Y1944" t="s">
        <v>51</v>
      </c>
    </row>
    <row r="1945" spans="1:25" x14ac:dyDescent="0.25">
      <c r="A1945">
        <v>10420</v>
      </c>
      <c r="B1945">
        <v>26</v>
      </c>
      <c r="C1945">
        <v>100</v>
      </c>
      <c r="D1945">
        <v>12</v>
      </c>
      <c r="E1945">
        <v>2617.16</v>
      </c>
      <c r="F1945" s="1">
        <v>38501</v>
      </c>
      <c r="G1945" t="s">
        <v>300</v>
      </c>
      <c r="H1945">
        <v>2</v>
      </c>
      <c r="I1945">
        <v>5</v>
      </c>
      <c r="J1945">
        <v>2005</v>
      </c>
      <c r="K1945" t="s">
        <v>181</v>
      </c>
      <c r="L1945">
        <v>107</v>
      </c>
      <c r="M1945" t="s">
        <v>640</v>
      </c>
      <c r="N1945" t="s">
        <v>152</v>
      </c>
      <c r="O1945" t="s">
        <v>153</v>
      </c>
      <c r="P1945" t="s">
        <v>154</v>
      </c>
      <c r="Q1945" t="s">
        <v>155</v>
      </c>
      <c r="R1945" t="s">
        <v>156</v>
      </c>
      <c r="S1945" t="s">
        <v>157</v>
      </c>
      <c r="T1945">
        <v>2067</v>
      </c>
      <c r="U1945" t="s">
        <v>95</v>
      </c>
      <c r="V1945" t="s">
        <v>96</v>
      </c>
      <c r="W1945" t="s">
        <v>158</v>
      </c>
      <c r="X1945" t="s">
        <v>159</v>
      </c>
      <c r="Y1945" t="s">
        <v>36</v>
      </c>
    </row>
    <row r="1946" spans="1:25" x14ac:dyDescent="0.25">
      <c r="A1946">
        <v>10105</v>
      </c>
      <c r="B1946">
        <v>50</v>
      </c>
      <c r="C1946">
        <v>79.67</v>
      </c>
      <c r="D1946">
        <v>1</v>
      </c>
      <c r="E1946">
        <v>3983.5</v>
      </c>
      <c r="F1946" s="1">
        <v>37663</v>
      </c>
      <c r="G1946" t="s">
        <v>25</v>
      </c>
      <c r="H1946">
        <v>1</v>
      </c>
      <c r="I1946">
        <v>2</v>
      </c>
      <c r="J1946">
        <v>2003</v>
      </c>
      <c r="K1946" t="s">
        <v>550</v>
      </c>
      <c r="L1946">
        <v>83</v>
      </c>
      <c r="M1946" t="s">
        <v>641</v>
      </c>
      <c r="N1946" t="s">
        <v>322</v>
      </c>
      <c r="O1946" t="s">
        <v>323</v>
      </c>
      <c r="P1946" t="s">
        <v>324</v>
      </c>
      <c r="R1946" t="s">
        <v>325</v>
      </c>
      <c r="T1946">
        <v>1734</v>
      </c>
      <c r="U1946" t="s">
        <v>326</v>
      </c>
      <c r="V1946" t="s">
        <v>42</v>
      </c>
      <c r="W1946" t="s">
        <v>327</v>
      </c>
      <c r="X1946" t="s">
        <v>328</v>
      </c>
      <c r="Y1946" t="s">
        <v>51</v>
      </c>
    </row>
    <row r="1947" spans="1:25" x14ac:dyDescent="0.25">
      <c r="A1947">
        <v>10119</v>
      </c>
      <c r="B1947">
        <v>35</v>
      </c>
      <c r="C1947">
        <v>90.57</v>
      </c>
      <c r="D1947">
        <v>10</v>
      </c>
      <c r="E1947">
        <v>3169.95</v>
      </c>
      <c r="F1947" s="1">
        <v>37739</v>
      </c>
      <c r="G1947" t="s">
        <v>25</v>
      </c>
      <c r="H1947">
        <v>2</v>
      </c>
      <c r="I1947">
        <v>4</v>
      </c>
      <c r="J1947">
        <v>2003</v>
      </c>
      <c r="K1947" t="s">
        <v>550</v>
      </c>
      <c r="L1947">
        <v>83</v>
      </c>
      <c r="M1947" t="s">
        <v>641</v>
      </c>
      <c r="N1947" t="s">
        <v>144</v>
      </c>
      <c r="O1947" t="s">
        <v>145</v>
      </c>
      <c r="P1947" t="s">
        <v>146</v>
      </c>
      <c r="R1947" t="s">
        <v>147</v>
      </c>
      <c r="T1947">
        <v>5020</v>
      </c>
      <c r="U1947" t="s">
        <v>148</v>
      </c>
      <c r="V1947" t="s">
        <v>42</v>
      </c>
      <c r="W1947" t="s">
        <v>149</v>
      </c>
      <c r="X1947" t="s">
        <v>150</v>
      </c>
      <c r="Y1947" t="s">
        <v>51</v>
      </c>
    </row>
    <row r="1948" spans="1:25" x14ac:dyDescent="0.25">
      <c r="A1948">
        <v>10129</v>
      </c>
      <c r="B1948">
        <v>50</v>
      </c>
      <c r="C1948">
        <v>77.989999999999995</v>
      </c>
      <c r="D1948">
        <v>1</v>
      </c>
      <c r="E1948">
        <v>3899.5</v>
      </c>
      <c r="F1948" s="1">
        <v>37784</v>
      </c>
      <c r="G1948" t="s">
        <v>25</v>
      </c>
      <c r="H1948">
        <v>2</v>
      </c>
      <c r="I1948">
        <v>6</v>
      </c>
      <c r="J1948">
        <v>2003</v>
      </c>
      <c r="K1948" t="s">
        <v>550</v>
      </c>
      <c r="L1948">
        <v>83</v>
      </c>
      <c r="M1948" t="s">
        <v>641</v>
      </c>
      <c r="N1948" t="s">
        <v>329</v>
      </c>
      <c r="O1948" t="s">
        <v>330</v>
      </c>
      <c r="P1948" t="s">
        <v>331</v>
      </c>
      <c r="R1948" t="s">
        <v>332</v>
      </c>
      <c r="T1948" t="s">
        <v>333</v>
      </c>
      <c r="U1948" t="s">
        <v>170</v>
      </c>
      <c r="V1948" t="s">
        <v>42</v>
      </c>
      <c r="W1948" t="s">
        <v>61</v>
      </c>
      <c r="X1948" t="s">
        <v>334</v>
      </c>
      <c r="Y1948" t="s">
        <v>51</v>
      </c>
    </row>
    <row r="1949" spans="1:25" x14ac:dyDescent="0.25">
      <c r="A1949">
        <v>10143</v>
      </c>
      <c r="B1949">
        <v>23</v>
      </c>
      <c r="C1949">
        <v>80.510000000000005</v>
      </c>
      <c r="D1949">
        <v>14</v>
      </c>
      <c r="E1949">
        <v>1851.73</v>
      </c>
      <c r="F1949" s="1">
        <v>37843</v>
      </c>
      <c r="G1949" t="s">
        <v>25</v>
      </c>
      <c r="H1949">
        <v>3</v>
      </c>
      <c r="I1949">
        <v>8</v>
      </c>
      <c r="J1949">
        <v>2003</v>
      </c>
      <c r="K1949" t="s">
        <v>550</v>
      </c>
      <c r="L1949">
        <v>83</v>
      </c>
      <c r="M1949" t="s">
        <v>641</v>
      </c>
      <c r="N1949" t="s">
        <v>335</v>
      </c>
      <c r="O1949">
        <v>5085559555</v>
      </c>
      <c r="P1949" t="s">
        <v>336</v>
      </c>
      <c r="R1949" t="s">
        <v>162</v>
      </c>
      <c r="S1949" t="s">
        <v>123</v>
      </c>
      <c r="T1949">
        <v>50553</v>
      </c>
      <c r="U1949" t="s">
        <v>32</v>
      </c>
      <c r="V1949" t="s">
        <v>33</v>
      </c>
      <c r="W1949" t="s">
        <v>337</v>
      </c>
      <c r="X1949" t="s">
        <v>338</v>
      </c>
      <c r="Y1949" t="s">
        <v>36</v>
      </c>
    </row>
    <row r="1950" spans="1:25" x14ac:dyDescent="0.25">
      <c r="A1950">
        <v>10155</v>
      </c>
      <c r="B1950">
        <v>37</v>
      </c>
      <c r="C1950">
        <v>67.930000000000007</v>
      </c>
      <c r="D1950">
        <v>12</v>
      </c>
      <c r="E1950">
        <v>2513.41</v>
      </c>
      <c r="F1950" s="1">
        <v>37900</v>
      </c>
      <c r="G1950" t="s">
        <v>25</v>
      </c>
      <c r="H1950">
        <v>4</v>
      </c>
      <c r="I1950">
        <v>10</v>
      </c>
      <c r="J1950">
        <v>2003</v>
      </c>
      <c r="K1950" t="s">
        <v>550</v>
      </c>
      <c r="L1950">
        <v>83</v>
      </c>
      <c r="M1950" t="s">
        <v>641</v>
      </c>
      <c r="N1950" t="s">
        <v>126</v>
      </c>
      <c r="O1950" t="s">
        <v>127</v>
      </c>
      <c r="P1950" t="s">
        <v>128</v>
      </c>
      <c r="R1950" t="s">
        <v>129</v>
      </c>
      <c r="T1950">
        <v>21240</v>
      </c>
      <c r="U1950" t="s">
        <v>130</v>
      </c>
      <c r="V1950" t="s">
        <v>42</v>
      </c>
      <c r="W1950" t="s">
        <v>131</v>
      </c>
      <c r="X1950" t="s">
        <v>132</v>
      </c>
      <c r="Y1950" t="s">
        <v>36</v>
      </c>
    </row>
    <row r="1951" spans="1:25" x14ac:dyDescent="0.25">
      <c r="A1951">
        <v>10167</v>
      </c>
      <c r="B1951">
        <v>29</v>
      </c>
      <c r="C1951">
        <v>83.86</v>
      </c>
      <c r="D1951">
        <v>8</v>
      </c>
      <c r="E1951">
        <v>2431.94</v>
      </c>
      <c r="F1951" s="1">
        <v>37917</v>
      </c>
      <c r="G1951" t="s">
        <v>339</v>
      </c>
      <c r="H1951">
        <v>4</v>
      </c>
      <c r="I1951">
        <v>10</v>
      </c>
      <c r="J1951">
        <v>2003</v>
      </c>
      <c r="K1951" t="s">
        <v>550</v>
      </c>
      <c r="L1951">
        <v>83</v>
      </c>
      <c r="M1951" t="s">
        <v>641</v>
      </c>
      <c r="N1951" t="s">
        <v>261</v>
      </c>
      <c r="O1951" t="s">
        <v>262</v>
      </c>
      <c r="P1951" t="s">
        <v>263</v>
      </c>
      <c r="R1951" t="s">
        <v>264</v>
      </c>
      <c r="T1951" t="s">
        <v>265</v>
      </c>
      <c r="U1951" t="s">
        <v>188</v>
      </c>
      <c r="V1951" t="s">
        <v>42</v>
      </c>
      <c r="W1951" t="s">
        <v>266</v>
      </c>
      <c r="X1951" t="s">
        <v>206</v>
      </c>
      <c r="Y1951" t="s">
        <v>36</v>
      </c>
    </row>
    <row r="1952" spans="1:25" x14ac:dyDescent="0.25">
      <c r="A1952">
        <v>10178</v>
      </c>
      <c r="B1952">
        <v>21</v>
      </c>
      <c r="C1952">
        <v>72.12</v>
      </c>
      <c r="D1952">
        <v>11</v>
      </c>
      <c r="E1952">
        <v>1514.52</v>
      </c>
      <c r="F1952" s="1">
        <v>37933</v>
      </c>
      <c r="G1952" t="s">
        <v>25</v>
      </c>
      <c r="H1952">
        <v>4</v>
      </c>
      <c r="I1952">
        <v>11</v>
      </c>
      <c r="J1952">
        <v>2003</v>
      </c>
      <c r="K1952" t="s">
        <v>550</v>
      </c>
      <c r="L1952">
        <v>83</v>
      </c>
      <c r="M1952" t="s">
        <v>641</v>
      </c>
      <c r="N1952" t="s">
        <v>340</v>
      </c>
      <c r="O1952" t="s">
        <v>341</v>
      </c>
      <c r="P1952" t="s">
        <v>342</v>
      </c>
      <c r="R1952" t="s">
        <v>343</v>
      </c>
      <c r="T1952">
        <v>31000</v>
      </c>
      <c r="U1952" t="s">
        <v>41</v>
      </c>
      <c r="V1952" t="s">
        <v>42</v>
      </c>
      <c r="W1952" t="s">
        <v>344</v>
      </c>
      <c r="X1952" t="s">
        <v>345</v>
      </c>
      <c r="Y1952" t="s">
        <v>36</v>
      </c>
    </row>
    <row r="1953" spans="1:25" x14ac:dyDescent="0.25">
      <c r="A1953">
        <v>10186</v>
      </c>
      <c r="B1953">
        <v>36</v>
      </c>
      <c r="C1953">
        <v>85.54</v>
      </c>
      <c r="D1953">
        <v>8</v>
      </c>
      <c r="E1953">
        <v>3079.44</v>
      </c>
      <c r="F1953" s="1">
        <v>37939</v>
      </c>
      <c r="G1953" t="s">
        <v>25</v>
      </c>
      <c r="H1953">
        <v>4</v>
      </c>
      <c r="I1953">
        <v>11</v>
      </c>
      <c r="J1953">
        <v>2003</v>
      </c>
      <c r="K1953" t="s">
        <v>550</v>
      </c>
      <c r="L1953">
        <v>83</v>
      </c>
      <c r="M1953" t="s">
        <v>641</v>
      </c>
      <c r="N1953" t="s">
        <v>346</v>
      </c>
      <c r="O1953" t="s">
        <v>347</v>
      </c>
      <c r="P1953" t="s">
        <v>348</v>
      </c>
      <c r="R1953" t="s">
        <v>332</v>
      </c>
      <c r="T1953" t="s">
        <v>349</v>
      </c>
      <c r="U1953" t="s">
        <v>170</v>
      </c>
      <c r="V1953" t="s">
        <v>42</v>
      </c>
      <c r="W1953" t="s">
        <v>350</v>
      </c>
      <c r="X1953" t="s">
        <v>351</v>
      </c>
      <c r="Y1953" t="s">
        <v>51</v>
      </c>
    </row>
    <row r="1954" spans="1:25" x14ac:dyDescent="0.25">
      <c r="A1954">
        <v>10197</v>
      </c>
      <c r="B1954">
        <v>22</v>
      </c>
      <c r="C1954">
        <v>86.38</v>
      </c>
      <c r="D1954">
        <v>5</v>
      </c>
      <c r="E1954">
        <v>1900.36</v>
      </c>
      <c r="F1954" s="1">
        <v>37951</v>
      </c>
      <c r="G1954" t="s">
        <v>25</v>
      </c>
      <c r="H1954">
        <v>4</v>
      </c>
      <c r="I1954">
        <v>11</v>
      </c>
      <c r="J1954">
        <v>2003</v>
      </c>
      <c r="K1954" t="s">
        <v>550</v>
      </c>
      <c r="L1954">
        <v>83</v>
      </c>
      <c r="M1954" t="s">
        <v>641</v>
      </c>
      <c r="N1954" t="s">
        <v>352</v>
      </c>
      <c r="O1954" t="s">
        <v>353</v>
      </c>
      <c r="P1954" t="s">
        <v>354</v>
      </c>
      <c r="R1954" t="s">
        <v>355</v>
      </c>
      <c r="T1954">
        <v>8022</v>
      </c>
      <c r="U1954" t="s">
        <v>178</v>
      </c>
      <c r="V1954" t="s">
        <v>42</v>
      </c>
      <c r="W1954" t="s">
        <v>356</v>
      </c>
      <c r="X1954" t="s">
        <v>357</v>
      </c>
      <c r="Y1954" t="s">
        <v>36</v>
      </c>
    </row>
    <row r="1955" spans="1:25" x14ac:dyDescent="0.25">
      <c r="A1955">
        <v>10209</v>
      </c>
      <c r="B1955">
        <v>22</v>
      </c>
      <c r="C1955">
        <v>89.73</v>
      </c>
      <c r="D1955">
        <v>7</v>
      </c>
      <c r="E1955">
        <v>1974.06</v>
      </c>
      <c r="F1955" s="1">
        <v>37995</v>
      </c>
      <c r="G1955" t="s">
        <v>25</v>
      </c>
      <c r="H1955">
        <v>1</v>
      </c>
      <c r="I1955">
        <v>1</v>
      </c>
      <c r="J1955">
        <v>2004</v>
      </c>
      <c r="K1955" t="s">
        <v>550</v>
      </c>
      <c r="L1955">
        <v>83</v>
      </c>
      <c r="M1955" t="s">
        <v>641</v>
      </c>
      <c r="N1955" t="s">
        <v>358</v>
      </c>
      <c r="O1955">
        <v>2155554369</v>
      </c>
      <c r="P1955" t="s">
        <v>359</v>
      </c>
      <c r="R1955" t="s">
        <v>360</v>
      </c>
      <c r="S1955" t="s">
        <v>55</v>
      </c>
      <c r="U1955" t="s">
        <v>32</v>
      </c>
      <c r="V1955" t="s">
        <v>33</v>
      </c>
      <c r="W1955" t="s">
        <v>361</v>
      </c>
      <c r="X1955" t="s">
        <v>103</v>
      </c>
      <c r="Y1955" t="s">
        <v>36</v>
      </c>
    </row>
    <row r="1956" spans="1:25" x14ac:dyDescent="0.25">
      <c r="A1956">
        <v>10222</v>
      </c>
      <c r="B1956">
        <v>46</v>
      </c>
      <c r="C1956">
        <v>80.510000000000005</v>
      </c>
      <c r="D1956">
        <v>11</v>
      </c>
      <c r="E1956">
        <v>3703.46</v>
      </c>
      <c r="F1956" s="1">
        <v>38036</v>
      </c>
      <c r="G1956" t="s">
        <v>25</v>
      </c>
      <c r="H1956">
        <v>1</v>
      </c>
      <c r="I1956">
        <v>2</v>
      </c>
      <c r="J1956">
        <v>2004</v>
      </c>
      <c r="K1956" t="s">
        <v>550</v>
      </c>
      <c r="L1956">
        <v>83</v>
      </c>
      <c r="M1956" t="s">
        <v>641</v>
      </c>
      <c r="N1956" t="s">
        <v>362</v>
      </c>
      <c r="O1956">
        <v>7605558146</v>
      </c>
      <c r="P1956" t="s">
        <v>363</v>
      </c>
      <c r="R1956" t="s">
        <v>364</v>
      </c>
      <c r="S1956" t="s">
        <v>55</v>
      </c>
      <c r="T1956">
        <v>91217</v>
      </c>
      <c r="U1956" t="s">
        <v>32</v>
      </c>
      <c r="V1956" t="s">
        <v>33</v>
      </c>
      <c r="W1956" t="s">
        <v>237</v>
      </c>
      <c r="X1956" t="s">
        <v>276</v>
      </c>
      <c r="Y1956" t="s">
        <v>51</v>
      </c>
    </row>
    <row r="1957" spans="1:25" x14ac:dyDescent="0.25">
      <c r="A1957">
        <v>10248</v>
      </c>
      <c r="B1957">
        <v>23</v>
      </c>
      <c r="C1957">
        <v>76.31</v>
      </c>
      <c r="D1957">
        <v>2</v>
      </c>
      <c r="E1957">
        <v>1755.13</v>
      </c>
      <c r="F1957" s="1">
        <v>38114</v>
      </c>
      <c r="G1957" t="s">
        <v>339</v>
      </c>
      <c r="H1957">
        <v>2</v>
      </c>
      <c r="I1957">
        <v>5</v>
      </c>
      <c r="J1957">
        <v>2004</v>
      </c>
      <c r="K1957" t="s">
        <v>550</v>
      </c>
      <c r="L1957">
        <v>83</v>
      </c>
      <c r="M1957" t="s">
        <v>641</v>
      </c>
      <c r="N1957" t="s">
        <v>28</v>
      </c>
      <c r="O1957">
        <v>2125557818</v>
      </c>
      <c r="P1957" t="s">
        <v>29</v>
      </c>
      <c r="R1957" t="s">
        <v>30</v>
      </c>
      <c r="S1957" t="s">
        <v>31</v>
      </c>
      <c r="T1957">
        <v>10022</v>
      </c>
      <c r="U1957" t="s">
        <v>32</v>
      </c>
      <c r="V1957" t="s">
        <v>33</v>
      </c>
      <c r="W1957" t="s">
        <v>34</v>
      </c>
      <c r="X1957" t="s">
        <v>35</v>
      </c>
      <c r="Y1957" t="s">
        <v>36</v>
      </c>
    </row>
    <row r="1958" spans="1:25" x14ac:dyDescent="0.25">
      <c r="A1958">
        <v>10262</v>
      </c>
      <c r="B1958">
        <v>49</v>
      </c>
      <c r="C1958">
        <v>87.21</v>
      </c>
      <c r="D1958">
        <v>16</v>
      </c>
      <c r="E1958">
        <v>4273.29</v>
      </c>
      <c r="F1958" s="1">
        <v>38162</v>
      </c>
      <c r="G1958" t="s">
        <v>339</v>
      </c>
      <c r="H1958">
        <v>2</v>
      </c>
      <c r="I1958">
        <v>6</v>
      </c>
      <c r="J1958">
        <v>2004</v>
      </c>
      <c r="K1958" t="s">
        <v>550</v>
      </c>
      <c r="L1958">
        <v>83</v>
      </c>
      <c r="M1958" t="s">
        <v>641</v>
      </c>
      <c r="N1958" t="s">
        <v>174</v>
      </c>
      <c r="O1958" t="s">
        <v>175</v>
      </c>
      <c r="P1958" t="s">
        <v>176</v>
      </c>
      <c r="R1958" t="s">
        <v>177</v>
      </c>
      <c r="T1958">
        <v>28034</v>
      </c>
      <c r="U1958" t="s">
        <v>178</v>
      </c>
      <c r="V1958" t="s">
        <v>42</v>
      </c>
      <c r="W1958" t="s">
        <v>179</v>
      </c>
      <c r="X1958" t="s">
        <v>180</v>
      </c>
      <c r="Y1958" t="s">
        <v>51</v>
      </c>
    </row>
    <row r="1959" spans="1:25" x14ac:dyDescent="0.25">
      <c r="A1959">
        <v>10273</v>
      </c>
      <c r="B1959">
        <v>48</v>
      </c>
      <c r="C1959">
        <v>83.02</v>
      </c>
      <c r="D1959">
        <v>3</v>
      </c>
      <c r="E1959">
        <v>3984.96</v>
      </c>
      <c r="F1959" s="1">
        <v>38189</v>
      </c>
      <c r="G1959" t="s">
        <v>25</v>
      </c>
      <c r="H1959">
        <v>3</v>
      </c>
      <c r="I1959">
        <v>7</v>
      </c>
      <c r="J1959">
        <v>2004</v>
      </c>
      <c r="K1959" t="s">
        <v>550</v>
      </c>
      <c r="L1959">
        <v>83</v>
      </c>
      <c r="M1959" t="s">
        <v>641</v>
      </c>
      <c r="N1959" t="s">
        <v>365</v>
      </c>
      <c r="O1959" t="s">
        <v>366</v>
      </c>
      <c r="P1959" t="s">
        <v>367</v>
      </c>
      <c r="R1959" t="s">
        <v>368</v>
      </c>
      <c r="T1959" t="s">
        <v>369</v>
      </c>
      <c r="U1959" t="s">
        <v>370</v>
      </c>
      <c r="V1959" t="s">
        <v>42</v>
      </c>
      <c r="W1959" t="s">
        <v>371</v>
      </c>
      <c r="X1959" t="s">
        <v>372</v>
      </c>
      <c r="Y1959" t="s">
        <v>51</v>
      </c>
    </row>
    <row r="1960" spans="1:25" x14ac:dyDescent="0.25">
      <c r="A1960">
        <v>10283</v>
      </c>
      <c r="B1960">
        <v>33</v>
      </c>
      <c r="C1960">
        <v>72.959999999999994</v>
      </c>
      <c r="D1960">
        <v>5</v>
      </c>
      <c r="E1960">
        <v>2407.6799999999998</v>
      </c>
      <c r="F1960" s="1">
        <v>38219</v>
      </c>
      <c r="G1960" t="s">
        <v>25</v>
      </c>
      <c r="H1960">
        <v>3</v>
      </c>
      <c r="I1960">
        <v>8</v>
      </c>
      <c r="J1960">
        <v>2004</v>
      </c>
      <c r="K1960" t="s">
        <v>550</v>
      </c>
      <c r="L1960">
        <v>83</v>
      </c>
      <c r="M1960" t="s">
        <v>641</v>
      </c>
      <c r="N1960" t="s">
        <v>373</v>
      </c>
      <c r="O1960" t="s">
        <v>374</v>
      </c>
      <c r="P1960" t="s">
        <v>375</v>
      </c>
      <c r="R1960" t="s">
        <v>376</v>
      </c>
      <c r="S1960" t="s">
        <v>229</v>
      </c>
      <c r="T1960" t="s">
        <v>377</v>
      </c>
      <c r="U1960" t="s">
        <v>231</v>
      </c>
      <c r="V1960" t="s">
        <v>33</v>
      </c>
      <c r="W1960" t="s">
        <v>378</v>
      </c>
      <c r="X1960" t="s">
        <v>172</v>
      </c>
      <c r="Y1960" t="s">
        <v>36</v>
      </c>
    </row>
    <row r="1961" spans="1:25" x14ac:dyDescent="0.25">
      <c r="A1961">
        <v>10296</v>
      </c>
      <c r="B1961">
        <v>22</v>
      </c>
      <c r="C1961">
        <v>77.150000000000006</v>
      </c>
      <c r="D1961">
        <v>14</v>
      </c>
      <c r="E1961">
        <v>1697.3</v>
      </c>
      <c r="F1961" s="1">
        <v>38245</v>
      </c>
      <c r="G1961" t="s">
        <v>25</v>
      </c>
      <c r="H1961">
        <v>3</v>
      </c>
      <c r="I1961">
        <v>9</v>
      </c>
      <c r="J1961">
        <v>2004</v>
      </c>
      <c r="K1961" t="s">
        <v>550</v>
      </c>
      <c r="L1961">
        <v>83</v>
      </c>
      <c r="M1961" t="s">
        <v>641</v>
      </c>
      <c r="N1961" t="s">
        <v>572</v>
      </c>
      <c r="O1961" t="s">
        <v>573</v>
      </c>
      <c r="P1961" t="s">
        <v>574</v>
      </c>
      <c r="R1961" t="s">
        <v>575</v>
      </c>
      <c r="T1961">
        <v>80686</v>
      </c>
      <c r="U1961" t="s">
        <v>443</v>
      </c>
      <c r="V1961" t="s">
        <v>42</v>
      </c>
      <c r="W1961" t="s">
        <v>576</v>
      </c>
      <c r="X1961" t="s">
        <v>103</v>
      </c>
      <c r="Y1961" t="s">
        <v>36</v>
      </c>
    </row>
    <row r="1962" spans="1:25" x14ac:dyDescent="0.25">
      <c r="A1962">
        <v>10307</v>
      </c>
      <c r="B1962">
        <v>22</v>
      </c>
      <c r="C1962">
        <v>91.41</v>
      </c>
      <c r="D1962">
        <v>8</v>
      </c>
      <c r="E1962">
        <v>2011.02</v>
      </c>
      <c r="F1962" s="1">
        <v>38274</v>
      </c>
      <c r="G1962" t="s">
        <v>25</v>
      </c>
      <c r="H1962">
        <v>4</v>
      </c>
      <c r="I1962">
        <v>10</v>
      </c>
      <c r="J1962">
        <v>2004</v>
      </c>
      <c r="K1962" t="s">
        <v>550</v>
      </c>
      <c r="L1962">
        <v>83</v>
      </c>
      <c r="M1962" t="s">
        <v>641</v>
      </c>
      <c r="N1962" t="s">
        <v>214</v>
      </c>
      <c r="O1962">
        <v>2155554695</v>
      </c>
      <c r="P1962" t="s">
        <v>215</v>
      </c>
      <c r="R1962" t="s">
        <v>216</v>
      </c>
      <c r="S1962" t="s">
        <v>142</v>
      </c>
      <c r="T1962">
        <v>71270</v>
      </c>
      <c r="U1962" t="s">
        <v>32</v>
      </c>
      <c r="V1962" t="s">
        <v>33</v>
      </c>
      <c r="W1962" t="s">
        <v>217</v>
      </c>
      <c r="X1962" t="s">
        <v>218</v>
      </c>
      <c r="Y1962" t="s">
        <v>36</v>
      </c>
    </row>
    <row r="1963" spans="1:25" x14ac:dyDescent="0.25">
      <c r="A1963">
        <v>10316</v>
      </c>
      <c r="B1963">
        <v>25</v>
      </c>
      <c r="C1963">
        <v>92.25</v>
      </c>
      <c r="D1963">
        <v>16</v>
      </c>
      <c r="E1963">
        <v>2306.25</v>
      </c>
      <c r="F1963" s="1">
        <v>38292</v>
      </c>
      <c r="G1963" t="s">
        <v>25</v>
      </c>
      <c r="H1963">
        <v>4</v>
      </c>
      <c r="I1963">
        <v>11</v>
      </c>
      <c r="J1963">
        <v>2004</v>
      </c>
      <c r="K1963" t="s">
        <v>550</v>
      </c>
      <c r="L1963">
        <v>83</v>
      </c>
      <c r="M1963" t="s">
        <v>641</v>
      </c>
      <c r="N1963" t="s">
        <v>383</v>
      </c>
      <c r="O1963" t="s">
        <v>384</v>
      </c>
      <c r="P1963" t="s">
        <v>385</v>
      </c>
      <c r="R1963" t="s">
        <v>386</v>
      </c>
      <c r="S1963" t="s">
        <v>387</v>
      </c>
      <c r="T1963" t="s">
        <v>388</v>
      </c>
      <c r="U1963" t="s">
        <v>170</v>
      </c>
      <c r="V1963" t="s">
        <v>42</v>
      </c>
      <c r="W1963" t="s">
        <v>389</v>
      </c>
      <c r="X1963" t="s">
        <v>390</v>
      </c>
      <c r="Y1963" t="s">
        <v>36</v>
      </c>
    </row>
    <row r="1964" spans="1:25" x14ac:dyDescent="0.25">
      <c r="A1964">
        <v>10326</v>
      </c>
      <c r="B1964">
        <v>20</v>
      </c>
      <c r="C1964">
        <v>92.25</v>
      </c>
      <c r="D1964">
        <v>2</v>
      </c>
      <c r="E1964">
        <v>1845</v>
      </c>
      <c r="F1964" s="1">
        <v>38300</v>
      </c>
      <c r="G1964" t="s">
        <v>25</v>
      </c>
      <c r="H1964">
        <v>4</v>
      </c>
      <c r="I1964">
        <v>11</v>
      </c>
      <c r="J1964">
        <v>2004</v>
      </c>
      <c r="K1964" t="s">
        <v>550</v>
      </c>
      <c r="L1964">
        <v>83</v>
      </c>
      <c r="M1964" t="s">
        <v>641</v>
      </c>
      <c r="N1964" t="s">
        <v>183</v>
      </c>
      <c r="O1964" t="s">
        <v>184</v>
      </c>
      <c r="P1964" t="s">
        <v>185</v>
      </c>
      <c r="R1964" t="s">
        <v>186</v>
      </c>
      <c r="T1964" t="s">
        <v>187</v>
      </c>
      <c r="U1964" t="s">
        <v>188</v>
      </c>
      <c r="V1964" t="s">
        <v>42</v>
      </c>
      <c r="W1964" t="s">
        <v>189</v>
      </c>
      <c r="X1964" t="s">
        <v>190</v>
      </c>
      <c r="Y1964" t="s">
        <v>36</v>
      </c>
    </row>
    <row r="1965" spans="1:25" x14ac:dyDescent="0.25">
      <c r="A1965">
        <v>10339</v>
      </c>
      <c r="B1965">
        <v>42</v>
      </c>
      <c r="C1965">
        <v>59.36</v>
      </c>
      <c r="D1965">
        <v>16</v>
      </c>
      <c r="E1965">
        <v>2493.12</v>
      </c>
      <c r="F1965" s="1">
        <v>38314</v>
      </c>
      <c r="G1965" t="s">
        <v>25</v>
      </c>
      <c r="H1965">
        <v>4</v>
      </c>
      <c r="I1965">
        <v>11</v>
      </c>
      <c r="J1965">
        <v>2004</v>
      </c>
      <c r="K1965" t="s">
        <v>550</v>
      </c>
      <c r="L1965">
        <v>83</v>
      </c>
      <c r="M1965" t="s">
        <v>641</v>
      </c>
      <c r="N1965" t="s">
        <v>246</v>
      </c>
      <c r="O1965" t="s">
        <v>247</v>
      </c>
      <c r="P1965" t="s">
        <v>248</v>
      </c>
      <c r="R1965" t="s">
        <v>249</v>
      </c>
      <c r="S1965" t="s">
        <v>250</v>
      </c>
      <c r="T1965" t="s">
        <v>251</v>
      </c>
      <c r="U1965" t="s">
        <v>200</v>
      </c>
      <c r="V1965" t="s">
        <v>200</v>
      </c>
      <c r="W1965" t="s">
        <v>252</v>
      </c>
      <c r="X1965" t="s">
        <v>253</v>
      </c>
      <c r="Y1965" t="s">
        <v>36</v>
      </c>
    </row>
    <row r="1966" spans="1:25" x14ac:dyDescent="0.25">
      <c r="A1966">
        <v>10350</v>
      </c>
      <c r="B1966">
        <v>25</v>
      </c>
      <c r="C1966">
        <v>60.34</v>
      </c>
      <c r="D1966">
        <v>10</v>
      </c>
      <c r="E1966">
        <v>1508.5</v>
      </c>
      <c r="F1966" s="1">
        <v>38323</v>
      </c>
      <c r="G1966" t="s">
        <v>25</v>
      </c>
      <c r="H1966">
        <v>4</v>
      </c>
      <c r="I1966">
        <v>12</v>
      </c>
      <c r="J1966">
        <v>2004</v>
      </c>
      <c r="K1966" t="s">
        <v>550</v>
      </c>
      <c r="L1966">
        <v>83</v>
      </c>
      <c r="M1966" t="s">
        <v>641</v>
      </c>
      <c r="N1966" t="s">
        <v>174</v>
      </c>
      <c r="O1966" t="s">
        <v>175</v>
      </c>
      <c r="P1966" t="s">
        <v>176</v>
      </c>
      <c r="R1966" t="s">
        <v>177</v>
      </c>
      <c r="T1966">
        <v>28034</v>
      </c>
      <c r="U1966" t="s">
        <v>178</v>
      </c>
      <c r="V1966" t="s">
        <v>42</v>
      </c>
      <c r="W1966" t="s">
        <v>179</v>
      </c>
      <c r="X1966" t="s">
        <v>180</v>
      </c>
      <c r="Y1966" t="s">
        <v>36</v>
      </c>
    </row>
    <row r="1967" spans="1:25" x14ac:dyDescent="0.25">
      <c r="A1967">
        <v>10373</v>
      </c>
      <c r="B1967">
        <v>23</v>
      </c>
      <c r="C1967">
        <v>100</v>
      </c>
      <c r="D1967">
        <v>10</v>
      </c>
      <c r="E1967">
        <v>2394.3000000000002</v>
      </c>
      <c r="F1967" s="1">
        <v>38383</v>
      </c>
      <c r="G1967" t="s">
        <v>25</v>
      </c>
      <c r="H1967">
        <v>1</v>
      </c>
      <c r="I1967">
        <v>1</v>
      </c>
      <c r="J1967">
        <v>2005</v>
      </c>
      <c r="K1967" t="s">
        <v>550</v>
      </c>
      <c r="L1967">
        <v>83</v>
      </c>
      <c r="M1967" t="s">
        <v>641</v>
      </c>
      <c r="N1967" t="s">
        <v>391</v>
      </c>
      <c r="O1967" t="s">
        <v>392</v>
      </c>
      <c r="P1967" t="s">
        <v>393</v>
      </c>
      <c r="R1967" t="s">
        <v>394</v>
      </c>
      <c r="T1967">
        <v>90110</v>
      </c>
      <c r="U1967" t="s">
        <v>130</v>
      </c>
      <c r="V1967" t="s">
        <v>42</v>
      </c>
      <c r="W1967" t="s">
        <v>395</v>
      </c>
      <c r="X1967" t="s">
        <v>396</v>
      </c>
      <c r="Y1967" t="s">
        <v>36</v>
      </c>
    </row>
    <row r="1968" spans="1:25" x14ac:dyDescent="0.25">
      <c r="A1968">
        <v>10385</v>
      </c>
      <c r="B1968">
        <v>37</v>
      </c>
      <c r="C1968">
        <v>85.54</v>
      </c>
      <c r="D1968">
        <v>2</v>
      </c>
      <c r="E1968">
        <v>3164.98</v>
      </c>
      <c r="F1968" s="1">
        <v>38411</v>
      </c>
      <c r="G1968" t="s">
        <v>25</v>
      </c>
      <c r="H1968">
        <v>1</v>
      </c>
      <c r="I1968">
        <v>2</v>
      </c>
      <c r="J1968">
        <v>2005</v>
      </c>
      <c r="K1968" t="s">
        <v>550</v>
      </c>
      <c r="L1968">
        <v>83</v>
      </c>
      <c r="M1968" t="s">
        <v>641</v>
      </c>
      <c r="N1968" t="s">
        <v>272</v>
      </c>
      <c r="O1968">
        <v>4155551450</v>
      </c>
      <c r="P1968" t="s">
        <v>273</v>
      </c>
      <c r="R1968" t="s">
        <v>274</v>
      </c>
      <c r="S1968" t="s">
        <v>55</v>
      </c>
      <c r="T1968">
        <v>97562</v>
      </c>
      <c r="U1968" t="s">
        <v>32</v>
      </c>
      <c r="V1968" t="s">
        <v>33</v>
      </c>
      <c r="W1968" t="s">
        <v>275</v>
      </c>
      <c r="X1968" t="s">
        <v>276</v>
      </c>
      <c r="Y1968" t="s">
        <v>51</v>
      </c>
    </row>
    <row r="1969" spans="1:25" x14ac:dyDescent="0.25">
      <c r="A1969">
        <v>10396</v>
      </c>
      <c r="B1969">
        <v>37</v>
      </c>
      <c r="C1969">
        <v>90.57</v>
      </c>
      <c r="D1969">
        <v>8</v>
      </c>
      <c r="E1969">
        <v>3351.09</v>
      </c>
      <c r="F1969" s="1">
        <v>38434</v>
      </c>
      <c r="G1969" t="s">
        <v>25</v>
      </c>
      <c r="H1969">
        <v>1</v>
      </c>
      <c r="I1969">
        <v>3</v>
      </c>
      <c r="J1969">
        <v>2005</v>
      </c>
      <c r="K1969" t="s">
        <v>550</v>
      </c>
      <c r="L1969">
        <v>83</v>
      </c>
      <c r="M1969" t="s">
        <v>641</v>
      </c>
      <c r="N1969" t="s">
        <v>272</v>
      </c>
      <c r="O1969">
        <v>4155551450</v>
      </c>
      <c r="P1969" t="s">
        <v>273</v>
      </c>
      <c r="R1969" t="s">
        <v>274</v>
      </c>
      <c r="S1969" t="s">
        <v>55</v>
      </c>
      <c r="T1969">
        <v>97562</v>
      </c>
      <c r="U1969" t="s">
        <v>32</v>
      </c>
      <c r="V1969" t="s">
        <v>33</v>
      </c>
      <c r="W1969" t="s">
        <v>275</v>
      </c>
      <c r="X1969" t="s">
        <v>276</v>
      </c>
      <c r="Y1969" t="s">
        <v>51</v>
      </c>
    </row>
    <row r="1970" spans="1:25" x14ac:dyDescent="0.25">
      <c r="A1970">
        <v>10400</v>
      </c>
      <c r="B1970">
        <v>42</v>
      </c>
      <c r="C1970">
        <v>72.959999999999994</v>
      </c>
      <c r="D1970">
        <v>8</v>
      </c>
      <c r="E1970">
        <v>3064.32</v>
      </c>
      <c r="F1970" s="1">
        <v>38443</v>
      </c>
      <c r="G1970" t="s">
        <v>25</v>
      </c>
      <c r="H1970">
        <v>2</v>
      </c>
      <c r="I1970">
        <v>4</v>
      </c>
      <c r="J1970">
        <v>2005</v>
      </c>
      <c r="K1970" t="s">
        <v>550</v>
      </c>
      <c r="L1970">
        <v>83</v>
      </c>
      <c r="M1970" t="s">
        <v>641</v>
      </c>
      <c r="N1970" t="s">
        <v>397</v>
      </c>
      <c r="O1970">
        <v>4085553659</v>
      </c>
      <c r="P1970" t="s">
        <v>398</v>
      </c>
      <c r="R1970" t="s">
        <v>399</v>
      </c>
      <c r="S1970" t="s">
        <v>55</v>
      </c>
      <c r="T1970">
        <v>94217</v>
      </c>
      <c r="U1970" t="s">
        <v>32</v>
      </c>
      <c r="V1970" t="s">
        <v>33</v>
      </c>
      <c r="W1970" t="s">
        <v>102</v>
      </c>
      <c r="X1970" t="s">
        <v>400</v>
      </c>
      <c r="Y1970" t="s">
        <v>51</v>
      </c>
    </row>
    <row r="1971" spans="1:25" x14ac:dyDescent="0.25">
      <c r="A1971">
        <v>10414</v>
      </c>
      <c r="B1971">
        <v>51</v>
      </c>
      <c r="C1971">
        <v>76.31</v>
      </c>
      <c r="D1971">
        <v>2</v>
      </c>
      <c r="E1971">
        <v>3891.81</v>
      </c>
      <c r="F1971" s="1">
        <v>38478</v>
      </c>
      <c r="G1971" t="s">
        <v>401</v>
      </c>
      <c r="H1971">
        <v>2</v>
      </c>
      <c r="I1971">
        <v>5</v>
      </c>
      <c r="J1971">
        <v>2005</v>
      </c>
      <c r="K1971" t="s">
        <v>550</v>
      </c>
      <c r="L1971">
        <v>83</v>
      </c>
      <c r="M1971" t="s">
        <v>641</v>
      </c>
      <c r="N1971" t="s">
        <v>379</v>
      </c>
      <c r="O1971">
        <v>6175559555</v>
      </c>
      <c r="P1971" t="s">
        <v>380</v>
      </c>
      <c r="R1971" t="s">
        <v>381</v>
      </c>
      <c r="S1971" t="s">
        <v>123</v>
      </c>
      <c r="T1971">
        <v>51003</v>
      </c>
      <c r="U1971" t="s">
        <v>32</v>
      </c>
      <c r="V1971" t="s">
        <v>33</v>
      </c>
      <c r="W1971" t="s">
        <v>382</v>
      </c>
      <c r="X1971" t="s">
        <v>66</v>
      </c>
      <c r="Y1971" t="s">
        <v>51</v>
      </c>
    </row>
    <row r="1972" spans="1:25" x14ac:dyDescent="0.25">
      <c r="A1972">
        <v>10108</v>
      </c>
      <c r="B1972">
        <v>40</v>
      </c>
      <c r="C1972">
        <v>100</v>
      </c>
      <c r="D1972">
        <v>1</v>
      </c>
      <c r="E1972">
        <v>5448.8</v>
      </c>
      <c r="F1972" s="1">
        <v>37683</v>
      </c>
      <c r="G1972" t="s">
        <v>25</v>
      </c>
      <c r="H1972">
        <v>1</v>
      </c>
      <c r="I1972">
        <v>3</v>
      </c>
      <c r="J1972">
        <v>2003</v>
      </c>
      <c r="K1972" t="s">
        <v>181</v>
      </c>
      <c r="L1972">
        <v>140</v>
      </c>
      <c r="M1972" t="s">
        <v>642</v>
      </c>
      <c r="N1972" t="s">
        <v>425</v>
      </c>
      <c r="O1972" t="s">
        <v>426</v>
      </c>
      <c r="P1972" t="s">
        <v>427</v>
      </c>
      <c r="R1972" t="s">
        <v>428</v>
      </c>
      <c r="T1972" t="s">
        <v>429</v>
      </c>
      <c r="U1972" t="s">
        <v>430</v>
      </c>
      <c r="V1972" t="s">
        <v>200</v>
      </c>
      <c r="W1972" t="s">
        <v>431</v>
      </c>
      <c r="X1972" t="s">
        <v>432</v>
      </c>
      <c r="Y1972" t="s">
        <v>51</v>
      </c>
    </row>
    <row r="1973" spans="1:25" x14ac:dyDescent="0.25">
      <c r="A1973">
        <v>10122</v>
      </c>
      <c r="B1973">
        <v>43</v>
      </c>
      <c r="C1973">
        <v>100</v>
      </c>
      <c r="D1973">
        <v>5</v>
      </c>
      <c r="E1973">
        <v>5494.97</v>
      </c>
      <c r="F1973" s="1">
        <v>37749</v>
      </c>
      <c r="G1973" t="s">
        <v>25</v>
      </c>
      <c r="H1973">
        <v>2</v>
      </c>
      <c r="I1973">
        <v>5</v>
      </c>
      <c r="J1973">
        <v>2003</v>
      </c>
      <c r="K1973" t="s">
        <v>181</v>
      </c>
      <c r="L1973">
        <v>140</v>
      </c>
      <c r="M1973" t="s">
        <v>642</v>
      </c>
      <c r="N1973" t="s">
        <v>433</v>
      </c>
      <c r="O1973" t="s">
        <v>434</v>
      </c>
      <c r="P1973" t="s">
        <v>435</v>
      </c>
      <c r="R1973" t="s">
        <v>436</v>
      </c>
      <c r="T1973">
        <v>13008</v>
      </c>
      <c r="U1973" t="s">
        <v>41</v>
      </c>
      <c r="V1973" t="s">
        <v>42</v>
      </c>
      <c r="W1973" t="s">
        <v>437</v>
      </c>
      <c r="X1973" t="s">
        <v>438</v>
      </c>
      <c r="Y1973" t="s">
        <v>51</v>
      </c>
    </row>
    <row r="1974" spans="1:25" x14ac:dyDescent="0.25">
      <c r="A1974">
        <v>10135</v>
      </c>
      <c r="B1974">
        <v>47</v>
      </c>
      <c r="C1974">
        <v>100</v>
      </c>
      <c r="D1974">
        <v>2</v>
      </c>
      <c r="E1974">
        <v>6336.07</v>
      </c>
      <c r="F1974" s="1">
        <v>37804</v>
      </c>
      <c r="G1974" t="s">
        <v>25</v>
      </c>
      <c r="H1974">
        <v>3</v>
      </c>
      <c r="I1974">
        <v>7</v>
      </c>
      <c r="J1974">
        <v>2003</v>
      </c>
      <c r="K1974" t="s">
        <v>181</v>
      </c>
      <c r="L1974">
        <v>140</v>
      </c>
      <c r="M1974" t="s">
        <v>642</v>
      </c>
      <c r="N1974" t="s">
        <v>272</v>
      </c>
      <c r="O1974">
        <v>4155551450</v>
      </c>
      <c r="P1974" t="s">
        <v>273</v>
      </c>
      <c r="R1974" t="s">
        <v>274</v>
      </c>
      <c r="S1974" t="s">
        <v>55</v>
      </c>
      <c r="T1974">
        <v>97562</v>
      </c>
      <c r="U1974" t="s">
        <v>32</v>
      </c>
      <c r="V1974" t="s">
        <v>33</v>
      </c>
      <c r="W1974" t="s">
        <v>275</v>
      </c>
      <c r="X1974" t="s">
        <v>276</v>
      </c>
      <c r="Y1974" t="s">
        <v>51</v>
      </c>
    </row>
    <row r="1975" spans="1:25" x14ac:dyDescent="0.25">
      <c r="A1975">
        <v>10147</v>
      </c>
      <c r="B1975">
        <v>23</v>
      </c>
      <c r="C1975">
        <v>100</v>
      </c>
      <c r="D1975">
        <v>2</v>
      </c>
      <c r="E1975">
        <v>2906.97</v>
      </c>
      <c r="F1975" s="1">
        <v>37869</v>
      </c>
      <c r="G1975" t="s">
        <v>25</v>
      </c>
      <c r="H1975">
        <v>3</v>
      </c>
      <c r="I1975">
        <v>9</v>
      </c>
      <c r="J1975">
        <v>2003</v>
      </c>
      <c r="K1975" t="s">
        <v>181</v>
      </c>
      <c r="L1975">
        <v>140</v>
      </c>
      <c r="M1975" t="s">
        <v>642</v>
      </c>
      <c r="N1975" t="s">
        <v>281</v>
      </c>
      <c r="O1975">
        <v>6175558555</v>
      </c>
      <c r="P1975" t="s">
        <v>282</v>
      </c>
      <c r="R1975" t="s">
        <v>283</v>
      </c>
      <c r="S1975" t="s">
        <v>123</v>
      </c>
      <c r="T1975">
        <v>58339</v>
      </c>
      <c r="U1975" t="s">
        <v>32</v>
      </c>
      <c r="V1975" t="s">
        <v>33</v>
      </c>
      <c r="W1975" t="s">
        <v>275</v>
      </c>
      <c r="X1975" t="s">
        <v>284</v>
      </c>
      <c r="Y1975" t="s">
        <v>36</v>
      </c>
    </row>
    <row r="1976" spans="1:25" x14ac:dyDescent="0.25">
      <c r="A1976">
        <v>10160</v>
      </c>
      <c r="B1976">
        <v>35</v>
      </c>
      <c r="C1976">
        <v>100</v>
      </c>
      <c r="D1976">
        <v>3</v>
      </c>
      <c r="E1976">
        <v>4767.7</v>
      </c>
      <c r="F1976" s="1">
        <v>37905</v>
      </c>
      <c r="G1976" t="s">
        <v>25</v>
      </c>
      <c r="H1976">
        <v>4</v>
      </c>
      <c r="I1976">
        <v>10</v>
      </c>
      <c r="J1976">
        <v>2003</v>
      </c>
      <c r="K1976" t="s">
        <v>181</v>
      </c>
      <c r="L1976">
        <v>140</v>
      </c>
      <c r="M1976" t="s">
        <v>642</v>
      </c>
      <c r="N1976" t="s">
        <v>358</v>
      </c>
      <c r="O1976">
        <v>2155554369</v>
      </c>
      <c r="P1976" t="s">
        <v>359</v>
      </c>
      <c r="R1976" t="s">
        <v>360</v>
      </c>
      <c r="S1976" t="s">
        <v>55</v>
      </c>
      <c r="U1976" t="s">
        <v>32</v>
      </c>
      <c r="V1976" t="s">
        <v>33</v>
      </c>
      <c r="W1976" t="s">
        <v>361</v>
      </c>
      <c r="X1976" t="s">
        <v>103</v>
      </c>
      <c r="Y1976" t="s">
        <v>51</v>
      </c>
    </row>
    <row r="1977" spans="1:25" x14ac:dyDescent="0.25">
      <c r="A1977">
        <v>10170</v>
      </c>
      <c r="B1977">
        <v>34</v>
      </c>
      <c r="C1977">
        <v>100</v>
      </c>
      <c r="D1977">
        <v>1</v>
      </c>
      <c r="E1977">
        <v>3819.56</v>
      </c>
      <c r="F1977" s="1">
        <v>37929</v>
      </c>
      <c r="G1977" t="s">
        <v>25</v>
      </c>
      <c r="H1977">
        <v>4</v>
      </c>
      <c r="I1977">
        <v>11</v>
      </c>
      <c r="J1977">
        <v>2003</v>
      </c>
      <c r="K1977" t="s">
        <v>181</v>
      </c>
      <c r="L1977">
        <v>140</v>
      </c>
      <c r="M1977" t="s">
        <v>642</v>
      </c>
      <c r="N1977" t="s">
        <v>409</v>
      </c>
      <c r="O1977" t="s">
        <v>410</v>
      </c>
      <c r="P1977" t="s">
        <v>411</v>
      </c>
      <c r="R1977" t="s">
        <v>412</v>
      </c>
      <c r="T1977">
        <v>8010</v>
      </c>
      <c r="U1977" t="s">
        <v>148</v>
      </c>
      <c r="V1977" t="s">
        <v>42</v>
      </c>
      <c r="W1977" t="s">
        <v>413</v>
      </c>
      <c r="X1977" t="s">
        <v>414</v>
      </c>
      <c r="Y1977" t="s">
        <v>51</v>
      </c>
    </row>
    <row r="1978" spans="1:25" x14ac:dyDescent="0.25">
      <c r="A1978">
        <v>10181</v>
      </c>
      <c r="B1978">
        <v>25</v>
      </c>
      <c r="C1978">
        <v>100</v>
      </c>
      <c r="D1978">
        <v>9</v>
      </c>
      <c r="E1978">
        <v>3861.75</v>
      </c>
      <c r="F1978" s="1">
        <v>37937</v>
      </c>
      <c r="G1978" t="s">
        <v>25</v>
      </c>
      <c r="H1978">
        <v>4</v>
      </c>
      <c r="I1978">
        <v>11</v>
      </c>
      <c r="J1978">
        <v>2003</v>
      </c>
      <c r="K1978" t="s">
        <v>181</v>
      </c>
      <c r="L1978">
        <v>140</v>
      </c>
      <c r="M1978" t="s">
        <v>642</v>
      </c>
      <c r="N1978" t="s">
        <v>73</v>
      </c>
      <c r="O1978" t="s">
        <v>74</v>
      </c>
      <c r="P1978" t="s">
        <v>75</v>
      </c>
      <c r="R1978" t="s">
        <v>76</v>
      </c>
      <c r="T1978" t="s">
        <v>77</v>
      </c>
      <c r="U1978" t="s">
        <v>78</v>
      </c>
      <c r="V1978" t="s">
        <v>42</v>
      </c>
      <c r="W1978" t="s">
        <v>79</v>
      </c>
      <c r="X1978" t="s">
        <v>80</v>
      </c>
      <c r="Y1978" t="s">
        <v>51</v>
      </c>
    </row>
    <row r="1979" spans="1:25" x14ac:dyDescent="0.25">
      <c r="A1979">
        <v>10192</v>
      </c>
      <c r="B1979">
        <v>45</v>
      </c>
      <c r="C1979">
        <v>100</v>
      </c>
      <c r="D1979">
        <v>14</v>
      </c>
      <c r="E1979">
        <v>6319.35</v>
      </c>
      <c r="F1979" s="1">
        <v>37945</v>
      </c>
      <c r="G1979" t="s">
        <v>25</v>
      </c>
      <c r="H1979">
        <v>4</v>
      </c>
      <c r="I1979">
        <v>11</v>
      </c>
      <c r="J1979">
        <v>2003</v>
      </c>
      <c r="K1979" t="s">
        <v>181</v>
      </c>
      <c r="L1979">
        <v>140</v>
      </c>
      <c r="M1979" t="s">
        <v>642</v>
      </c>
      <c r="N1979" t="s">
        <v>277</v>
      </c>
      <c r="O1979">
        <v>6035558647</v>
      </c>
      <c r="P1979" t="s">
        <v>278</v>
      </c>
      <c r="R1979" t="s">
        <v>279</v>
      </c>
      <c r="S1979" t="s">
        <v>280</v>
      </c>
      <c r="T1979">
        <v>62005</v>
      </c>
      <c r="U1979" t="s">
        <v>32</v>
      </c>
      <c r="V1979" t="s">
        <v>33</v>
      </c>
      <c r="W1979" t="s">
        <v>56</v>
      </c>
      <c r="X1979" t="s">
        <v>276</v>
      </c>
      <c r="Y1979" t="s">
        <v>51</v>
      </c>
    </row>
    <row r="1980" spans="1:25" x14ac:dyDescent="0.25">
      <c r="A1980">
        <v>10203</v>
      </c>
      <c r="B1980">
        <v>47</v>
      </c>
      <c r="C1980">
        <v>100</v>
      </c>
      <c r="D1980">
        <v>3</v>
      </c>
      <c r="E1980">
        <v>6996.42</v>
      </c>
      <c r="F1980" s="1">
        <v>37957</v>
      </c>
      <c r="G1980" t="s">
        <v>25</v>
      </c>
      <c r="H1980">
        <v>4</v>
      </c>
      <c r="I1980">
        <v>12</v>
      </c>
      <c r="J1980">
        <v>2003</v>
      </c>
      <c r="K1980" t="s">
        <v>181</v>
      </c>
      <c r="L1980">
        <v>140</v>
      </c>
      <c r="M1980" t="s">
        <v>642</v>
      </c>
      <c r="N1980" t="s">
        <v>174</v>
      </c>
      <c r="O1980" t="s">
        <v>175</v>
      </c>
      <c r="P1980" t="s">
        <v>176</v>
      </c>
      <c r="R1980" t="s">
        <v>177</v>
      </c>
      <c r="T1980">
        <v>28034</v>
      </c>
      <c r="U1980" t="s">
        <v>178</v>
      </c>
      <c r="V1980" t="s">
        <v>42</v>
      </c>
      <c r="W1980" t="s">
        <v>179</v>
      </c>
      <c r="X1980" t="s">
        <v>180</v>
      </c>
      <c r="Y1980" t="s">
        <v>51</v>
      </c>
    </row>
    <row r="1981" spans="1:25" x14ac:dyDescent="0.25">
      <c r="A1981">
        <v>10212</v>
      </c>
      <c r="B1981">
        <v>49</v>
      </c>
      <c r="C1981">
        <v>100</v>
      </c>
      <c r="D1981">
        <v>13</v>
      </c>
      <c r="E1981">
        <v>6949.67</v>
      </c>
      <c r="F1981" s="1">
        <v>38002</v>
      </c>
      <c r="G1981" t="s">
        <v>25</v>
      </c>
      <c r="H1981">
        <v>1</v>
      </c>
      <c r="I1981">
        <v>1</v>
      </c>
      <c r="J1981">
        <v>2004</v>
      </c>
      <c r="K1981" t="s">
        <v>181</v>
      </c>
      <c r="L1981">
        <v>140</v>
      </c>
      <c r="M1981" t="s">
        <v>642</v>
      </c>
      <c r="N1981" t="s">
        <v>174</v>
      </c>
      <c r="O1981" t="s">
        <v>175</v>
      </c>
      <c r="P1981" t="s">
        <v>176</v>
      </c>
      <c r="R1981" t="s">
        <v>177</v>
      </c>
      <c r="T1981">
        <v>28034</v>
      </c>
      <c r="U1981" t="s">
        <v>178</v>
      </c>
      <c r="V1981" t="s">
        <v>42</v>
      </c>
      <c r="W1981" t="s">
        <v>179</v>
      </c>
      <c r="X1981" t="s">
        <v>180</v>
      </c>
      <c r="Y1981" t="s">
        <v>51</v>
      </c>
    </row>
    <row r="1982" spans="1:25" x14ac:dyDescent="0.25">
      <c r="A1982">
        <v>10225</v>
      </c>
      <c r="B1982">
        <v>40</v>
      </c>
      <c r="C1982">
        <v>100</v>
      </c>
      <c r="D1982">
        <v>4</v>
      </c>
      <c r="E1982">
        <v>4550</v>
      </c>
      <c r="F1982" s="1">
        <v>38039</v>
      </c>
      <c r="G1982" t="s">
        <v>25</v>
      </c>
      <c r="H1982">
        <v>1</v>
      </c>
      <c r="I1982">
        <v>2</v>
      </c>
      <c r="J1982">
        <v>2004</v>
      </c>
      <c r="K1982" t="s">
        <v>181</v>
      </c>
      <c r="L1982">
        <v>140</v>
      </c>
      <c r="M1982" t="s">
        <v>642</v>
      </c>
      <c r="N1982" t="s">
        <v>446</v>
      </c>
      <c r="O1982" t="s">
        <v>447</v>
      </c>
      <c r="P1982" t="s">
        <v>448</v>
      </c>
      <c r="R1982" t="s">
        <v>449</v>
      </c>
      <c r="T1982">
        <v>1203</v>
      </c>
      <c r="U1982" t="s">
        <v>450</v>
      </c>
      <c r="V1982" t="s">
        <v>42</v>
      </c>
      <c r="W1982" t="s">
        <v>451</v>
      </c>
      <c r="X1982" t="s">
        <v>103</v>
      </c>
      <c r="Y1982" t="s">
        <v>51</v>
      </c>
    </row>
    <row r="1983" spans="1:25" x14ac:dyDescent="0.25">
      <c r="A1983">
        <v>10239</v>
      </c>
      <c r="B1983">
        <v>29</v>
      </c>
      <c r="C1983">
        <v>100</v>
      </c>
      <c r="D1983">
        <v>3</v>
      </c>
      <c r="E1983">
        <v>4479.63</v>
      </c>
      <c r="F1983" s="1">
        <v>38089</v>
      </c>
      <c r="G1983" t="s">
        <v>25</v>
      </c>
      <c r="H1983">
        <v>2</v>
      </c>
      <c r="I1983">
        <v>4</v>
      </c>
      <c r="J1983">
        <v>2004</v>
      </c>
      <c r="K1983" t="s">
        <v>181</v>
      </c>
      <c r="L1983">
        <v>140</v>
      </c>
      <c r="M1983" t="s">
        <v>642</v>
      </c>
      <c r="N1983" t="s">
        <v>391</v>
      </c>
      <c r="O1983" t="s">
        <v>392</v>
      </c>
      <c r="P1983" t="s">
        <v>393</v>
      </c>
      <c r="R1983" t="s">
        <v>394</v>
      </c>
      <c r="T1983">
        <v>90110</v>
      </c>
      <c r="U1983" t="s">
        <v>130</v>
      </c>
      <c r="V1983" t="s">
        <v>42</v>
      </c>
      <c r="W1983" t="s">
        <v>395</v>
      </c>
      <c r="X1983" t="s">
        <v>396</v>
      </c>
      <c r="Y1983" t="s">
        <v>51</v>
      </c>
    </row>
    <row r="1984" spans="1:25" x14ac:dyDescent="0.25">
      <c r="A1984">
        <v>10253</v>
      </c>
      <c r="B1984">
        <v>39</v>
      </c>
      <c r="C1984">
        <v>100</v>
      </c>
      <c r="D1984">
        <v>8</v>
      </c>
      <c r="E1984">
        <v>5148</v>
      </c>
      <c r="F1984" s="1">
        <v>38139</v>
      </c>
      <c r="G1984" t="s">
        <v>339</v>
      </c>
      <c r="H1984">
        <v>2</v>
      </c>
      <c r="I1984">
        <v>6</v>
      </c>
      <c r="J1984">
        <v>2004</v>
      </c>
      <c r="K1984" t="s">
        <v>181</v>
      </c>
      <c r="L1984">
        <v>140</v>
      </c>
      <c r="M1984" t="s">
        <v>642</v>
      </c>
      <c r="N1984" t="s">
        <v>165</v>
      </c>
      <c r="O1984" t="s">
        <v>166</v>
      </c>
      <c r="P1984" t="s">
        <v>167</v>
      </c>
      <c r="R1984" t="s">
        <v>168</v>
      </c>
      <c r="T1984" t="s">
        <v>169</v>
      </c>
      <c r="U1984" t="s">
        <v>170</v>
      </c>
      <c r="V1984" t="s">
        <v>42</v>
      </c>
      <c r="W1984" t="s">
        <v>171</v>
      </c>
      <c r="X1984" t="s">
        <v>172</v>
      </c>
      <c r="Y1984" t="s">
        <v>51</v>
      </c>
    </row>
    <row r="1985" spans="1:25" x14ac:dyDescent="0.25">
      <c r="A1985">
        <v>10266</v>
      </c>
      <c r="B1985">
        <v>24</v>
      </c>
      <c r="C1985">
        <v>100</v>
      </c>
      <c r="D1985">
        <v>9</v>
      </c>
      <c r="E1985">
        <v>2932.08</v>
      </c>
      <c r="F1985" s="1">
        <v>38174</v>
      </c>
      <c r="G1985" t="s">
        <v>25</v>
      </c>
      <c r="H1985">
        <v>3</v>
      </c>
      <c r="I1985">
        <v>7</v>
      </c>
      <c r="J1985">
        <v>2004</v>
      </c>
      <c r="K1985" t="s">
        <v>181</v>
      </c>
      <c r="L1985">
        <v>140</v>
      </c>
      <c r="M1985" t="s">
        <v>642</v>
      </c>
      <c r="N1985" t="s">
        <v>452</v>
      </c>
      <c r="O1985" t="s">
        <v>453</v>
      </c>
      <c r="P1985" t="s">
        <v>454</v>
      </c>
      <c r="R1985" t="s">
        <v>455</v>
      </c>
      <c r="T1985">
        <v>42100</v>
      </c>
      <c r="U1985" t="s">
        <v>258</v>
      </c>
      <c r="V1985" t="s">
        <v>42</v>
      </c>
      <c r="W1985" t="s">
        <v>456</v>
      </c>
      <c r="X1985" t="s">
        <v>457</v>
      </c>
      <c r="Y1985" t="s">
        <v>36</v>
      </c>
    </row>
    <row r="1986" spans="1:25" x14ac:dyDescent="0.25">
      <c r="A1986">
        <v>10278</v>
      </c>
      <c r="B1986">
        <v>25</v>
      </c>
      <c r="C1986">
        <v>100</v>
      </c>
      <c r="D1986">
        <v>9</v>
      </c>
      <c r="E1986">
        <v>3159.75</v>
      </c>
      <c r="F1986" s="1">
        <v>38205</v>
      </c>
      <c r="G1986" t="s">
        <v>25</v>
      </c>
      <c r="H1986">
        <v>3</v>
      </c>
      <c r="I1986">
        <v>8</v>
      </c>
      <c r="J1986">
        <v>2004</v>
      </c>
      <c r="K1986" t="s">
        <v>181</v>
      </c>
      <c r="L1986">
        <v>140</v>
      </c>
      <c r="M1986" t="s">
        <v>642</v>
      </c>
      <c r="N1986" t="s">
        <v>539</v>
      </c>
      <c r="O1986">
        <v>7025551838</v>
      </c>
      <c r="P1986" t="s">
        <v>540</v>
      </c>
      <c r="R1986" t="s">
        <v>541</v>
      </c>
      <c r="S1986" t="s">
        <v>542</v>
      </c>
      <c r="T1986">
        <v>83030</v>
      </c>
      <c r="U1986" t="s">
        <v>32</v>
      </c>
      <c r="V1986" t="s">
        <v>33</v>
      </c>
      <c r="W1986" t="s">
        <v>113</v>
      </c>
      <c r="X1986" t="s">
        <v>400</v>
      </c>
      <c r="Y1986" t="s">
        <v>51</v>
      </c>
    </row>
    <row r="1987" spans="1:25" x14ac:dyDescent="0.25">
      <c r="A1987">
        <v>10287</v>
      </c>
      <c r="B1987">
        <v>36</v>
      </c>
      <c r="C1987">
        <v>100</v>
      </c>
      <c r="D1987">
        <v>7</v>
      </c>
      <c r="E1987">
        <v>4297.32</v>
      </c>
      <c r="F1987" s="1">
        <v>38229</v>
      </c>
      <c r="G1987" t="s">
        <v>25</v>
      </c>
      <c r="H1987">
        <v>3</v>
      </c>
      <c r="I1987">
        <v>8</v>
      </c>
      <c r="J1987">
        <v>2004</v>
      </c>
      <c r="K1987" t="s">
        <v>181</v>
      </c>
      <c r="L1987">
        <v>140</v>
      </c>
      <c r="M1987" t="s">
        <v>642</v>
      </c>
      <c r="N1987" t="s">
        <v>446</v>
      </c>
      <c r="O1987" t="s">
        <v>447</v>
      </c>
      <c r="P1987" t="s">
        <v>448</v>
      </c>
      <c r="R1987" t="s">
        <v>449</v>
      </c>
      <c r="T1987">
        <v>1203</v>
      </c>
      <c r="U1987" t="s">
        <v>450</v>
      </c>
      <c r="V1987" t="s">
        <v>42</v>
      </c>
      <c r="W1987" t="s">
        <v>451</v>
      </c>
      <c r="X1987" t="s">
        <v>103</v>
      </c>
      <c r="Y1987" t="s">
        <v>51</v>
      </c>
    </row>
    <row r="1988" spans="1:25" x14ac:dyDescent="0.25">
      <c r="A1988">
        <v>10301</v>
      </c>
      <c r="B1988">
        <v>50</v>
      </c>
      <c r="C1988">
        <v>100</v>
      </c>
      <c r="D1988">
        <v>11</v>
      </c>
      <c r="E1988">
        <v>7723.5</v>
      </c>
      <c r="F1988" s="1">
        <v>37899</v>
      </c>
      <c r="G1988" t="s">
        <v>25</v>
      </c>
      <c r="H1988">
        <v>4</v>
      </c>
      <c r="I1988">
        <v>10</v>
      </c>
      <c r="J1988">
        <v>2003</v>
      </c>
      <c r="K1988" t="s">
        <v>181</v>
      </c>
      <c r="L1988">
        <v>140</v>
      </c>
      <c r="M1988" t="s">
        <v>642</v>
      </c>
      <c r="N1988" t="s">
        <v>543</v>
      </c>
      <c r="O1988" t="s">
        <v>544</v>
      </c>
      <c r="P1988" t="s">
        <v>545</v>
      </c>
      <c r="R1988" t="s">
        <v>546</v>
      </c>
      <c r="T1988" t="s">
        <v>547</v>
      </c>
      <c r="U1988" t="s">
        <v>78</v>
      </c>
      <c r="V1988" t="s">
        <v>42</v>
      </c>
      <c r="W1988" t="s">
        <v>548</v>
      </c>
      <c r="X1988" t="s">
        <v>549</v>
      </c>
      <c r="Y1988" t="s">
        <v>151</v>
      </c>
    </row>
    <row r="1989" spans="1:25" x14ac:dyDescent="0.25">
      <c r="A1989">
        <v>10310</v>
      </c>
      <c r="B1989">
        <v>45</v>
      </c>
      <c r="C1989">
        <v>100</v>
      </c>
      <c r="D1989">
        <v>5</v>
      </c>
      <c r="E1989">
        <v>5497.65</v>
      </c>
      <c r="F1989" s="1">
        <v>38276</v>
      </c>
      <c r="G1989" t="s">
        <v>25</v>
      </c>
      <c r="H1989">
        <v>4</v>
      </c>
      <c r="I1989">
        <v>10</v>
      </c>
      <c r="J1989">
        <v>2004</v>
      </c>
      <c r="K1989" t="s">
        <v>181</v>
      </c>
      <c r="L1989">
        <v>140</v>
      </c>
      <c r="M1989" t="s">
        <v>642</v>
      </c>
      <c r="N1989" t="s">
        <v>439</v>
      </c>
      <c r="O1989" t="s">
        <v>440</v>
      </c>
      <c r="P1989" t="s">
        <v>441</v>
      </c>
      <c r="R1989" t="s">
        <v>442</v>
      </c>
      <c r="T1989">
        <v>50739</v>
      </c>
      <c r="U1989" t="s">
        <v>443</v>
      </c>
      <c r="V1989" t="s">
        <v>42</v>
      </c>
      <c r="W1989" t="s">
        <v>444</v>
      </c>
      <c r="X1989" t="s">
        <v>445</v>
      </c>
      <c r="Y1989" t="s">
        <v>51</v>
      </c>
    </row>
    <row r="1990" spans="1:25" x14ac:dyDescent="0.25">
      <c r="A1990">
        <v>10321</v>
      </c>
      <c r="B1990">
        <v>26</v>
      </c>
      <c r="C1990">
        <v>100</v>
      </c>
      <c r="D1990">
        <v>13</v>
      </c>
      <c r="E1990">
        <v>4052.88</v>
      </c>
      <c r="F1990" s="1">
        <v>38295</v>
      </c>
      <c r="G1990" t="s">
        <v>25</v>
      </c>
      <c r="H1990">
        <v>4</v>
      </c>
      <c r="I1990">
        <v>11</v>
      </c>
      <c r="J1990">
        <v>2004</v>
      </c>
      <c r="K1990" t="s">
        <v>181</v>
      </c>
      <c r="L1990">
        <v>140</v>
      </c>
      <c r="M1990" t="s">
        <v>642</v>
      </c>
      <c r="N1990" t="s">
        <v>160</v>
      </c>
      <c r="O1990">
        <v>5085552555</v>
      </c>
      <c r="P1990" t="s">
        <v>161</v>
      </c>
      <c r="R1990" t="s">
        <v>162</v>
      </c>
      <c r="S1990" t="s">
        <v>123</v>
      </c>
      <c r="T1990">
        <v>50553</v>
      </c>
      <c r="U1990" t="s">
        <v>32</v>
      </c>
      <c r="V1990" t="s">
        <v>33</v>
      </c>
      <c r="W1990" t="s">
        <v>163</v>
      </c>
      <c r="X1990" t="s">
        <v>164</v>
      </c>
      <c r="Y1990" t="s">
        <v>51</v>
      </c>
    </row>
    <row r="1991" spans="1:25" x14ac:dyDescent="0.25">
      <c r="A1991">
        <v>10331</v>
      </c>
      <c r="B1991">
        <v>21</v>
      </c>
      <c r="C1991">
        <v>100</v>
      </c>
      <c r="D1991">
        <v>1</v>
      </c>
      <c r="E1991">
        <v>3135.93</v>
      </c>
      <c r="F1991" s="1">
        <v>38308</v>
      </c>
      <c r="G1991" t="s">
        <v>25</v>
      </c>
      <c r="H1991">
        <v>4</v>
      </c>
      <c r="I1991">
        <v>11</v>
      </c>
      <c r="J1991">
        <v>2004</v>
      </c>
      <c r="K1991" t="s">
        <v>181</v>
      </c>
      <c r="L1991">
        <v>140</v>
      </c>
      <c r="M1991" t="s">
        <v>642</v>
      </c>
      <c r="N1991" t="s">
        <v>309</v>
      </c>
      <c r="O1991">
        <v>2155559857</v>
      </c>
      <c r="P1991" t="s">
        <v>310</v>
      </c>
      <c r="R1991" t="s">
        <v>216</v>
      </c>
      <c r="S1991" t="s">
        <v>142</v>
      </c>
      <c r="T1991">
        <v>71270</v>
      </c>
      <c r="U1991" t="s">
        <v>32</v>
      </c>
      <c r="V1991" t="s">
        <v>33</v>
      </c>
      <c r="W1991" t="s">
        <v>124</v>
      </c>
      <c r="X1991" t="s">
        <v>311</v>
      </c>
      <c r="Y1991" t="s">
        <v>51</v>
      </c>
    </row>
    <row r="1992" spans="1:25" x14ac:dyDescent="0.25">
      <c r="A1992">
        <v>10342</v>
      </c>
      <c r="B1992">
        <v>42</v>
      </c>
      <c r="C1992">
        <v>100</v>
      </c>
      <c r="D1992">
        <v>6</v>
      </c>
      <c r="E1992">
        <v>5013.54</v>
      </c>
      <c r="F1992" s="1">
        <v>38315</v>
      </c>
      <c r="G1992" t="s">
        <v>25</v>
      </c>
      <c r="H1992">
        <v>4</v>
      </c>
      <c r="I1992">
        <v>11</v>
      </c>
      <c r="J1992">
        <v>2004</v>
      </c>
      <c r="K1992" t="s">
        <v>181</v>
      </c>
      <c r="L1992">
        <v>140</v>
      </c>
      <c r="M1992" t="s">
        <v>642</v>
      </c>
      <c r="N1992" t="s">
        <v>89</v>
      </c>
      <c r="O1992" t="s">
        <v>90</v>
      </c>
      <c r="P1992" t="s">
        <v>91</v>
      </c>
      <c r="Q1992" t="s">
        <v>92</v>
      </c>
      <c r="R1992" t="s">
        <v>93</v>
      </c>
      <c r="S1992" t="s">
        <v>94</v>
      </c>
      <c r="T1992">
        <v>3004</v>
      </c>
      <c r="U1992" t="s">
        <v>95</v>
      </c>
      <c r="V1992" t="s">
        <v>96</v>
      </c>
      <c r="W1992" t="s">
        <v>97</v>
      </c>
      <c r="X1992" t="s">
        <v>98</v>
      </c>
      <c r="Y1992" t="s">
        <v>51</v>
      </c>
    </row>
    <row r="1993" spans="1:25" x14ac:dyDescent="0.25">
      <c r="A1993">
        <v>10355</v>
      </c>
      <c r="B1993">
        <v>32</v>
      </c>
      <c r="C1993">
        <v>100</v>
      </c>
      <c r="D1993">
        <v>8</v>
      </c>
      <c r="E1993">
        <v>5302.72</v>
      </c>
      <c r="F1993" s="1">
        <v>38328</v>
      </c>
      <c r="G1993" t="s">
        <v>25</v>
      </c>
      <c r="H1993">
        <v>4</v>
      </c>
      <c r="I1993">
        <v>12</v>
      </c>
      <c r="J1993">
        <v>2004</v>
      </c>
      <c r="K1993" t="s">
        <v>181</v>
      </c>
      <c r="L1993">
        <v>140</v>
      </c>
      <c r="M1993" t="s">
        <v>642</v>
      </c>
      <c r="N1993" t="s">
        <v>174</v>
      </c>
      <c r="O1993" t="s">
        <v>175</v>
      </c>
      <c r="P1993" t="s">
        <v>176</v>
      </c>
      <c r="R1993" t="s">
        <v>177</v>
      </c>
      <c r="T1993">
        <v>28034</v>
      </c>
      <c r="U1993" t="s">
        <v>178</v>
      </c>
      <c r="V1993" t="s">
        <v>42</v>
      </c>
      <c r="W1993" t="s">
        <v>179</v>
      </c>
      <c r="X1993" t="s">
        <v>180</v>
      </c>
      <c r="Y1993" t="s">
        <v>51</v>
      </c>
    </row>
    <row r="1994" spans="1:25" x14ac:dyDescent="0.25">
      <c r="A1994">
        <v>10363</v>
      </c>
      <c r="B1994">
        <v>31</v>
      </c>
      <c r="C1994">
        <v>94.58</v>
      </c>
      <c r="D1994">
        <v>1</v>
      </c>
      <c r="E1994">
        <v>2931.98</v>
      </c>
      <c r="F1994" s="1">
        <v>38358</v>
      </c>
      <c r="G1994" t="s">
        <v>25</v>
      </c>
      <c r="H1994">
        <v>1</v>
      </c>
      <c r="I1994">
        <v>1</v>
      </c>
      <c r="J1994">
        <v>2005</v>
      </c>
      <c r="K1994" t="s">
        <v>181</v>
      </c>
      <c r="L1994">
        <v>140</v>
      </c>
      <c r="M1994" t="s">
        <v>642</v>
      </c>
      <c r="N1994" t="s">
        <v>467</v>
      </c>
      <c r="O1994" t="s">
        <v>468</v>
      </c>
      <c r="P1994" t="s">
        <v>469</v>
      </c>
      <c r="R1994" t="s">
        <v>470</v>
      </c>
      <c r="T1994" t="s">
        <v>471</v>
      </c>
      <c r="U1994" t="s">
        <v>130</v>
      </c>
      <c r="V1994" t="s">
        <v>42</v>
      </c>
      <c r="W1994" t="s">
        <v>472</v>
      </c>
      <c r="X1994" t="s">
        <v>473</v>
      </c>
      <c r="Y1994" t="s">
        <v>36</v>
      </c>
    </row>
    <row r="1995" spans="1:25" x14ac:dyDescent="0.25">
      <c r="A1995">
        <v>10378</v>
      </c>
      <c r="B1995">
        <v>33</v>
      </c>
      <c r="C1995">
        <v>53.27</v>
      </c>
      <c r="D1995">
        <v>3</v>
      </c>
      <c r="E1995">
        <v>1757.91</v>
      </c>
      <c r="F1995" s="1">
        <v>38393</v>
      </c>
      <c r="G1995" t="s">
        <v>25</v>
      </c>
      <c r="H1995">
        <v>1</v>
      </c>
      <c r="I1995">
        <v>2</v>
      </c>
      <c r="J1995">
        <v>2005</v>
      </c>
      <c r="K1995" t="s">
        <v>181</v>
      </c>
      <c r="L1995">
        <v>140</v>
      </c>
      <c r="M1995" t="s">
        <v>642</v>
      </c>
      <c r="N1995" t="s">
        <v>174</v>
      </c>
      <c r="O1995" t="s">
        <v>175</v>
      </c>
      <c r="P1995" t="s">
        <v>176</v>
      </c>
      <c r="R1995" t="s">
        <v>177</v>
      </c>
      <c r="T1995">
        <v>28034</v>
      </c>
      <c r="U1995" t="s">
        <v>178</v>
      </c>
      <c r="V1995" t="s">
        <v>42</v>
      </c>
      <c r="W1995" t="s">
        <v>179</v>
      </c>
      <c r="X1995" t="s">
        <v>180</v>
      </c>
      <c r="Y1995" t="s">
        <v>36</v>
      </c>
    </row>
    <row r="1996" spans="1:25" x14ac:dyDescent="0.25">
      <c r="A1996">
        <v>10390</v>
      </c>
      <c r="B1996">
        <v>45</v>
      </c>
      <c r="C1996">
        <v>100</v>
      </c>
      <c r="D1996">
        <v>8</v>
      </c>
      <c r="E1996">
        <v>6763.05</v>
      </c>
      <c r="F1996" s="1">
        <v>38415</v>
      </c>
      <c r="G1996" t="s">
        <v>25</v>
      </c>
      <c r="H1996">
        <v>1</v>
      </c>
      <c r="I1996">
        <v>3</v>
      </c>
      <c r="J1996">
        <v>2005</v>
      </c>
      <c r="K1996" t="s">
        <v>181</v>
      </c>
      <c r="L1996">
        <v>140</v>
      </c>
      <c r="M1996" t="s">
        <v>642</v>
      </c>
      <c r="N1996" t="s">
        <v>272</v>
      </c>
      <c r="O1996">
        <v>4155551450</v>
      </c>
      <c r="P1996" t="s">
        <v>273</v>
      </c>
      <c r="R1996" t="s">
        <v>274</v>
      </c>
      <c r="S1996" t="s">
        <v>55</v>
      </c>
      <c r="T1996">
        <v>97562</v>
      </c>
      <c r="U1996" t="s">
        <v>32</v>
      </c>
      <c r="V1996" t="s">
        <v>33</v>
      </c>
      <c r="W1996" t="s">
        <v>275</v>
      </c>
      <c r="X1996" t="s">
        <v>276</v>
      </c>
      <c r="Y1996" t="s">
        <v>51</v>
      </c>
    </row>
    <row r="1997" spans="1:25" x14ac:dyDescent="0.25">
      <c r="A1997">
        <v>10405</v>
      </c>
      <c r="B1997">
        <v>76</v>
      </c>
      <c r="C1997">
        <v>100</v>
      </c>
      <c r="D1997">
        <v>3</v>
      </c>
      <c r="E1997">
        <v>11739.7</v>
      </c>
      <c r="F1997" s="1">
        <v>38456</v>
      </c>
      <c r="G1997" t="s">
        <v>25</v>
      </c>
      <c r="H1997">
        <v>2</v>
      </c>
      <c r="I1997">
        <v>4</v>
      </c>
      <c r="J1997">
        <v>2005</v>
      </c>
      <c r="K1997" t="s">
        <v>181</v>
      </c>
      <c r="L1997">
        <v>140</v>
      </c>
      <c r="M1997" t="s">
        <v>642</v>
      </c>
      <c r="N1997" t="s">
        <v>531</v>
      </c>
      <c r="O1997" t="s">
        <v>532</v>
      </c>
      <c r="P1997" t="s">
        <v>533</v>
      </c>
      <c r="R1997" t="s">
        <v>534</v>
      </c>
      <c r="T1997">
        <v>67000</v>
      </c>
      <c r="U1997" t="s">
        <v>41</v>
      </c>
      <c r="V1997" t="s">
        <v>42</v>
      </c>
      <c r="W1997" t="s">
        <v>535</v>
      </c>
      <c r="X1997" t="s">
        <v>536</v>
      </c>
      <c r="Y1997" t="s">
        <v>151</v>
      </c>
    </row>
    <row r="1998" spans="1:25" x14ac:dyDescent="0.25">
      <c r="A1998">
        <v>10419</v>
      </c>
      <c r="B1998">
        <v>70</v>
      </c>
      <c r="C1998">
        <v>100</v>
      </c>
      <c r="D1998">
        <v>8</v>
      </c>
      <c r="E1998">
        <v>9240</v>
      </c>
      <c r="F1998" s="1">
        <v>38489</v>
      </c>
      <c r="G1998" t="s">
        <v>25</v>
      </c>
      <c r="H1998">
        <v>2</v>
      </c>
      <c r="I1998">
        <v>5</v>
      </c>
      <c r="J1998">
        <v>2005</v>
      </c>
      <c r="K1998" t="s">
        <v>181</v>
      </c>
      <c r="L1998">
        <v>140</v>
      </c>
      <c r="M1998" t="s">
        <v>642</v>
      </c>
      <c r="N1998" t="s">
        <v>144</v>
      </c>
      <c r="O1998" t="s">
        <v>145</v>
      </c>
      <c r="P1998" t="s">
        <v>146</v>
      </c>
      <c r="R1998" t="s">
        <v>147</v>
      </c>
      <c r="T1998">
        <v>5020</v>
      </c>
      <c r="U1998" t="s">
        <v>148</v>
      </c>
      <c r="V1998" t="s">
        <v>42</v>
      </c>
      <c r="W1998" t="s">
        <v>149</v>
      </c>
      <c r="X1998" t="s">
        <v>150</v>
      </c>
      <c r="Y1998" t="s">
        <v>151</v>
      </c>
    </row>
    <row r="1999" spans="1:25" x14ac:dyDescent="0.25">
      <c r="A1999">
        <v>10106</v>
      </c>
      <c r="B1999">
        <v>50</v>
      </c>
      <c r="C1999">
        <v>64.83</v>
      </c>
      <c r="D1999">
        <v>11</v>
      </c>
      <c r="E1999">
        <v>3241.5</v>
      </c>
      <c r="F1999" s="1">
        <v>37669</v>
      </c>
      <c r="G1999" t="s">
        <v>25</v>
      </c>
      <c r="H1999">
        <v>1</v>
      </c>
      <c r="I1999">
        <v>2</v>
      </c>
      <c r="J1999">
        <v>2003</v>
      </c>
      <c r="K1999" t="s">
        <v>566</v>
      </c>
      <c r="L1999">
        <v>68</v>
      </c>
      <c r="M1999" t="s">
        <v>643</v>
      </c>
      <c r="N1999" t="s">
        <v>552</v>
      </c>
      <c r="O1999" t="s">
        <v>553</v>
      </c>
      <c r="P1999" t="s">
        <v>554</v>
      </c>
      <c r="R1999" t="s">
        <v>555</v>
      </c>
      <c r="T1999">
        <v>24100</v>
      </c>
      <c r="U1999" t="s">
        <v>258</v>
      </c>
      <c r="V1999" t="s">
        <v>42</v>
      </c>
      <c r="W1999" t="s">
        <v>556</v>
      </c>
      <c r="X1999" t="s">
        <v>557</v>
      </c>
      <c r="Y1999" t="s">
        <v>51</v>
      </c>
    </row>
    <row r="2000" spans="1:25" x14ac:dyDescent="0.25">
      <c r="A2000">
        <v>10119</v>
      </c>
      <c r="B2000">
        <v>28</v>
      </c>
      <c r="C2000">
        <v>70.290000000000006</v>
      </c>
      <c r="D2000">
        <v>2</v>
      </c>
      <c r="E2000">
        <v>1968.12</v>
      </c>
      <c r="F2000" s="1">
        <v>37739</v>
      </c>
      <c r="G2000" t="s">
        <v>25</v>
      </c>
      <c r="H2000">
        <v>2</v>
      </c>
      <c r="I2000">
        <v>4</v>
      </c>
      <c r="J2000">
        <v>2003</v>
      </c>
      <c r="K2000" t="s">
        <v>566</v>
      </c>
      <c r="L2000">
        <v>68</v>
      </c>
      <c r="M2000" t="s">
        <v>643</v>
      </c>
      <c r="N2000" t="s">
        <v>144</v>
      </c>
      <c r="O2000" t="s">
        <v>145</v>
      </c>
      <c r="P2000" t="s">
        <v>146</v>
      </c>
      <c r="R2000" t="s">
        <v>147</v>
      </c>
      <c r="T2000">
        <v>5020</v>
      </c>
      <c r="U2000" t="s">
        <v>148</v>
      </c>
      <c r="V2000" t="s">
        <v>42</v>
      </c>
      <c r="W2000" t="s">
        <v>149</v>
      </c>
      <c r="X2000" t="s">
        <v>150</v>
      </c>
      <c r="Y2000" t="s">
        <v>36</v>
      </c>
    </row>
    <row r="2001" spans="1:25" x14ac:dyDescent="0.25">
      <c r="A2001">
        <v>10131</v>
      </c>
      <c r="B2001">
        <v>50</v>
      </c>
      <c r="C2001">
        <v>81.89</v>
      </c>
      <c r="D2001">
        <v>3</v>
      </c>
      <c r="E2001">
        <v>4094.5</v>
      </c>
      <c r="F2001" s="1">
        <v>37788</v>
      </c>
      <c r="G2001" t="s">
        <v>25</v>
      </c>
      <c r="H2001">
        <v>2</v>
      </c>
      <c r="I2001">
        <v>6</v>
      </c>
      <c r="J2001">
        <v>2003</v>
      </c>
      <c r="K2001" t="s">
        <v>566</v>
      </c>
      <c r="L2001">
        <v>68</v>
      </c>
      <c r="M2001" t="s">
        <v>643</v>
      </c>
      <c r="N2001" t="s">
        <v>568</v>
      </c>
      <c r="O2001">
        <v>2035554407</v>
      </c>
      <c r="P2001" t="s">
        <v>569</v>
      </c>
      <c r="R2001" t="s">
        <v>516</v>
      </c>
      <c r="S2001" t="s">
        <v>112</v>
      </c>
      <c r="T2001">
        <v>97561</v>
      </c>
      <c r="U2001" t="s">
        <v>32</v>
      </c>
      <c r="V2001" t="s">
        <v>33</v>
      </c>
      <c r="W2001" t="s">
        <v>570</v>
      </c>
      <c r="X2001" t="s">
        <v>571</v>
      </c>
      <c r="Y2001" t="s">
        <v>51</v>
      </c>
    </row>
    <row r="2002" spans="1:25" x14ac:dyDescent="0.25">
      <c r="A2002">
        <v>10143</v>
      </c>
      <c r="B2002">
        <v>28</v>
      </c>
      <c r="C2002">
        <v>66.19</v>
      </c>
      <c r="D2002">
        <v>6</v>
      </c>
      <c r="E2002">
        <v>1853.32</v>
      </c>
      <c r="F2002" s="1">
        <v>37843</v>
      </c>
      <c r="G2002" t="s">
        <v>25</v>
      </c>
      <c r="H2002">
        <v>3</v>
      </c>
      <c r="I2002">
        <v>8</v>
      </c>
      <c r="J2002">
        <v>2003</v>
      </c>
      <c r="K2002" t="s">
        <v>566</v>
      </c>
      <c r="L2002">
        <v>68</v>
      </c>
      <c r="M2002" t="s">
        <v>643</v>
      </c>
      <c r="N2002" t="s">
        <v>335</v>
      </c>
      <c r="O2002">
        <v>5085559555</v>
      </c>
      <c r="P2002" t="s">
        <v>336</v>
      </c>
      <c r="R2002" t="s">
        <v>162</v>
      </c>
      <c r="S2002" t="s">
        <v>123</v>
      </c>
      <c r="T2002">
        <v>50553</v>
      </c>
      <c r="U2002" t="s">
        <v>32</v>
      </c>
      <c r="V2002" t="s">
        <v>33</v>
      </c>
      <c r="W2002" t="s">
        <v>337</v>
      </c>
      <c r="X2002" t="s">
        <v>338</v>
      </c>
      <c r="Y2002" t="s">
        <v>36</v>
      </c>
    </row>
    <row r="2003" spans="1:25" x14ac:dyDescent="0.25">
      <c r="A2003">
        <v>10155</v>
      </c>
      <c r="B2003">
        <v>44</v>
      </c>
      <c r="C2003">
        <v>77.11</v>
      </c>
      <c r="D2003">
        <v>4</v>
      </c>
      <c r="E2003">
        <v>3392.84</v>
      </c>
      <c r="F2003" s="1">
        <v>37900</v>
      </c>
      <c r="G2003" t="s">
        <v>25</v>
      </c>
      <c r="H2003">
        <v>4</v>
      </c>
      <c r="I2003">
        <v>10</v>
      </c>
      <c r="J2003">
        <v>2003</v>
      </c>
      <c r="K2003" t="s">
        <v>566</v>
      </c>
      <c r="L2003">
        <v>68</v>
      </c>
      <c r="M2003" t="s">
        <v>643</v>
      </c>
      <c r="N2003" t="s">
        <v>126</v>
      </c>
      <c r="O2003" t="s">
        <v>127</v>
      </c>
      <c r="P2003" t="s">
        <v>128</v>
      </c>
      <c r="R2003" t="s">
        <v>129</v>
      </c>
      <c r="T2003">
        <v>21240</v>
      </c>
      <c r="U2003" t="s">
        <v>130</v>
      </c>
      <c r="V2003" t="s">
        <v>42</v>
      </c>
      <c r="W2003" t="s">
        <v>131</v>
      </c>
      <c r="X2003" t="s">
        <v>132</v>
      </c>
      <c r="Y2003" t="s">
        <v>51</v>
      </c>
    </row>
    <row r="2004" spans="1:25" x14ac:dyDescent="0.25">
      <c r="A2004">
        <v>10168</v>
      </c>
      <c r="B2004">
        <v>27</v>
      </c>
      <c r="C2004">
        <v>73.02</v>
      </c>
      <c r="D2004">
        <v>18</v>
      </c>
      <c r="E2004">
        <v>1971.54</v>
      </c>
      <c r="F2004" s="1">
        <v>37922</v>
      </c>
      <c r="G2004" t="s">
        <v>25</v>
      </c>
      <c r="H2004">
        <v>4</v>
      </c>
      <c r="I2004">
        <v>10</v>
      </c>
      <c r="J2004">
        <v>2003</v>
      </c>
      <c r="K2004" t="s">
        <v>566</v>
      </c>
      <c r="L2004">
        <v>68</v>
      </c>
      <c r="M2004" t="s">
        <v>643</v>
      </c>
      <c r="N2004" t="s">
        <v>62</v>
      </c>
      <c r="O2004">
        <v>6505556809</v>
      </c>
      <c r="P2004" t="s">
        <v>63</v>
      </c>
      <c r="R2004" t="s">
        <v>64</v>
      </c>
      <c r="S2004" t="s">
        <v>55</v>
      </c>
      <c r="T2004">
        <v>94217</v>
      </c>
      <c r="U2004" t="s">
        <v>32</v>
      </c>
      <c r="V2004" t="s">
        <v>33</v>
      </c>
      <c r="W2004" t="s">
        <v>65</v>
      </c>
      <c r="X2004" t="s">
        <v>66</v>
      </c>
      <c r="Y2004" t="s">
        <v>36</v>
      </c>
    </row>
    <row r="2005" spans="1:25" x14ac:dyDescent="0.25">
      <c r="A2005">
        <v>10178</v>
      </c>
      <c r="B2005">
        <v>30</v>
      </c>
      <c r="C2005">
        <v>72.33</v>
      </c>
      <c r="D2005">
        <v>3</v>
      </c>
      <c r="E2005">
        <v>2169.9</v>
      </c>
      <c r="F2005" s="1">
        <v>37933</v>
      </c>
      <c r="G2005" t="s">
        <v>25</v>
      </c>
      <c r="H2005">
        <v>4</v>
      </c>
      <c r="I2005">
        <v>11</v>
      </c>
      <c r="J2005">
        <v>2003</v>
      </c>
      <c r="K2005" t="s">
        <v>566</v>
      </c>
      <c r="L2005">
        <v>68</v>
      </c>
      <c r="M2005" t="s">
        <v>643</v>
      </c>
      <c r="N2005" t="s">
        <v>340</v>
      </c>
      <c r="O2005" t="s">
        <v>341</v>
      </c>
      <c r="P2005" t="s">
        <v>342</v>
      </c>
      <c r="R2005" t="s">
        <v>343</v>
      </c>
      <c r="T2005">
        <v>31000</v>
      </c>
      <c r="U2005" t="s">
        <v>41</v>
      </c>
      <c r="V2005" t="s">
        <v>42</v>
      </c>
      <c r="W2005" t="s">
        <v>344</v>
      </c>
      <c r="X2005" t="s">
        <v>345</v>
      </c>
      <c r="Y2005" t="s">
        <v>36</v>
      </c>
    </row>
    <row r="2006" spans="1:25" x14ac:dyDescent="0.25">
      <c r="A2006">
        <v>10198</v>
      </c>
      <c r="B2006">
        <v>43</v>
      </c>
      <c r="C2006">
        <v>66.19</v>
      </c>
      <c r="D2006">
        <v>3</v>
      </c>
      <c r="E2006">
        <v>2846.17</v>
      </c>
      <c r="F2006" s="1">
        <v>37952</v>
      </c>
      <c r="G2006" t="s">
        <v>25</v>
      </c>
      <c r="H2006">
        <v>4</v>
      </c>
      <c r="I2006">
        <v>11</v>
      </c>
      <c r="J2006">
        <v>2003</v>
      </c>
      <c r="K2006" t="s">
        <v>566</v>
      </c>
      <c r="L2006">
        <v>68</v>
      </c>
      <c r="M2006" t="s">
        <v>643</v>
      </c>
      <c r="N2006" t="s">
        <v>425</v>
      </c>
      <c r="O2006" t="s">
        <v>426</v>
      </c>
      <c r="P2006" t="s">
        <v>427</v>
      </c>
      <c r="R2006" t="s">
        <v>428</v>
      </c>
      <c r="T2006" t="s">
        <v>429</v>
      </c>
      <c r="U2006" t="s">
        <v>430</v>
      </c>
      <c r="V2006" t="s">
        <v>200</v>
      </c>
      <c r="W2006" t="s">
        <v>431</v>
      </c>
      <c r="X2006" t="s">
        <v>432</v>
      </c>
      <c r="Y2006" t="s">
        <v>36</v>
      </c>
    </row>
    <row r="2007" spans="1:25" x14ac:dyDescent="0.25">
      <c r="A2007">
        <v>10210</v>
      </c>
      <c r="B2007">
        <v>29</v>
      </c>
      <c r="C2007">
        <v>69.599999999999994</v>
      </c>
      <c r="D2007">
        <v>16</v>
      </c>
      <c r="E2007">
        <v>2018.4</v>
      </c>
      <c r="F2007" s="1">
        <v>37998</v>
      </c>
      <c r="G2007" t="s">
        <v>25</v>
      </c>
      <c r="H2007">
        <v>1</v>
      </c>
      <c r="I2007">
        <v>1</v>
      </c>
      <c r="J2007">
        <v>2004</v>
      </c>
      <c r="K2007" t="s">
        <v>566</v>
      </c>
      <c r="L2007">
        <v>68</v>
      </c>
      <c r="M2007" t="s">
        <v>643</v>
      </c>
      <c r="N2007" t="s">
        <v>302</v>
      </c>
      <c r="O2007" t="s">
        <v>303</v>
      </c>
      <c r="P2007" t="s">
        <v>304</v>
      </c>
      <c r="R2007" t="s">
        <v>305</v>
      </c>
      <c r="S2007" t="s">
        <v>305</v>
      </c>
      <c r="T2007" t="s">
        <v>306</v>
      </c>
      <c r="U2007" t="s">
        <v>200</v>
      </c>
      <c r="V2007" t="s">
        <v>200</v>
      </c>
      <c r="W2007" t="s">
        <v>307</v>
      </c>
      <c r="X2007" t="s">
        <v>308</v>
      </c>
      <c r="Y2007" t="s">
        <v>36</v>
      </c>
    </row>
    <row r="2008" spans="1:25" x14ac:dyDescent="0.25">
      <c r="A2008">
        <v>10222</v>
      </c>
      <c r="B2008">
        <v>48</v>
      </c>
      <c r="C2008">
        <v>56.64</v>
      </c>
      <c r="D2008">
        <v>3</v>
      </c>
      <c r="E2008">
        <v>2718.72</v>
      </c>
      <c r="F2008" s="1">
        <v>38036</v>
      </c>
      <c r="G2008" t="s">
        <v>25</v>
      </c>
      <c r="H2008">
        <v>1</v>
      </c>
      <c r="I2008">
        <v>2</v>
      </c>
      <c r="J2008">
        <v>2004</v>
      </c>
      <c r="K2008" t="s">
        <v>566</v>
      </c>
      <c r="L2008">
        <v>68</v>
      </c>
      <c r="M2008" t="s">
        <v>643</v>
      </c>
      <c r="N2008" t="s">
        <v>362</v>
      </c>
      <c r="O2008">
        <v>7605558146</v>
      </c>
      <c r="P2008" t="s">
        <v>363</v>
      </c>
      <c r="R2008" t="s">
        <v>364</v>
      </c>
      <c r="S2008" t="s">
        <v>55</v>
      </c>
      <c r="T2008">
        <v>91217</v>
      </c>
      <c r="U2008" t="s">
        <v>32</v>
      </c>
      <c r="V2008" t="s">
        <v>33</v>
      </c>
      <c r="W2008" t="s">
        <v>237</v>
      </c>
      <c r="X2008" t="s">
        <v>276</v>
      </c>
      <c r="Y2008" t="s">
        <v>36</v>
      </c>
    </row>
    <row r="2009" spans="1:25" x14ac:dyDescent="0.25">
      <c r="A2009">
        <v>10235</v>
      </c>
      <c r="B2009">
        <v>33</v>
      </c>
      <c r="C2009">
        <v>60.05</v>
      </c>
      <c r="D2009">
        <v>12</v>
      </c>
      <c r="E2009">
        <v>1981.65</v>
      </c>
      <c r="F2009" s="1">
        <v>38079</v>
      </c>
      <c r="G2009" t="s">
        <v>25</v>
      </c>
      <c r="H2009">
        <v>2</v>
      </c>
      <c r="I2009">
        <v>4</v>
      </c>
      <c r="J2009">
        <v>2004</v>
      </c>
      <c r="K2009" t="s">
        <v>566</v>
      </c>
      <c r="L2009">
        <v>68</v>
      </c>
      <c r="M2009" t="s">
        <v>643</v>
      </c>
      <c r="N2009" t="s">
        <v>373</v>
      </c>
      <c r="O2009" t="s">
        <v>374</v>
      </c>
      <c r="P2009" t="s">
        <v>375</v>
      </c>
      <c r="R2009" t="s">
        <v>376</v>
      </c>
      <c r="S2009" t="s">
        <v>229</v>
      </c>
      <c r="T2009" t="s">
        <v>377</v>
      </c>
      <c r="U2009" t="s">
        <v>231</v>
      </c>
      <c r="V2009" t="s">
        <v>33</v>
      </c>
      <c r="W2009" t="s">
        <v>378</v>
      </c>
      <c r="X2009" t="s">
        <v>172</v>
      </c>
      <c r="Y2009" t="s">
        <v>36</v>
      </c>
    </row>
    <row r="2010" spans="1:25" x14ac:dyDescent="0.25">
      <c r="A2010">
        <v>10250</v>
      </c>
      <c r="B2010">
        <v>40</v>
      </c>
      <c r="C2010">
        <v>75.06</v>
      </c>
      <c r="D2010">
        <v>13</v>
      </c>
      <c r="E2010">
        <v>3002.4</v>
      </c>
      <c r="F2010" s="1">
        <v>38118</v>
      </c>
      <c r="G2010" t="s">
        <v>25</v>
      </c>
      <c r="H2010">
        <v>2</v>
      </c>
      <c r="I2010">
        <v>5</v>
      </c>
      <c r="J2010">
        <v>2004</v>
      </c>
      <c r="K2010" t="s">
        <v>566</v>
      </c>
      <c r="L2010">
        <v>68</v>
      </c>
      <c r="M2010" t="s">
        <v>643</v>
      </c>
      <c r="N2010" t="s">
        <v>397</v>
      </c>
      <c r="O2010">
        <v>4085553659</v>
      </c>
      <c r="P2010" t="s">
        <v>398</v>
      </c>
      <c r="R2010" t="s">
        <v>399</v>
      </c>
      <c r="S2010" t="s">
        <v>55</v>
      </c>
      <c r="T2010">
        <v>94217</v>
      </c>
      <c r="U2010" t="s">
        <v>32</v>
      </c>
      <c r="V2010" t="s">
        <v>33</v>
      </c>
      <c r="W2010" t="s">
        <v>102</v>
      </c>
      <c r="X2010" t="s">
        <v>400</v>
      </c>
      <c r="Y2010" t="s">
        <v>51</v>
      </c>
    </row>
    <row r="2011" spans="1:25" x14ac:dyDescent="0.25">
      <c r="A2011">
        <v>10262</v>
      </c>
      <c r="B2011">
        <v>48</v>
      </c>
      <c r="C2011">
        <v>61.42</v>
      </c>
      <c r="D2011">
        <v>8</v>
      </c>
      <c r="E2011">
        <v>2948.16</v>
      </c>
      <c r="F2011" s="1">
        <v>38162</v>
      </c>
      <c r="G2011" t="s">
        <v>339</v>
      </c>
      <c r="H2011">
        <v>2</v>
      </c>
      <c r="I2011">
        <v>6</v>
      </c>
      <c r="J2011">
        <v>2004</v>
      </c>
      <c r="K2011" t="s">
        <v>566</v>
      </c>
      <c r="L2011">
        <v>68</v>
      </c>
      <c r="M2011" t="s">
        <v>643</v>
      </c>
      <c r="N2011" t="s">
        <v>174</v>
      </c>
      <c r="O2011" t="s">
        <v>175</v>
      </c>
      <c r="P2011" t="s">
        <v>176</v>
      </c>
      <c r="R2011" t="s">
        <v>177</v>
      </c>
      <c r="T2011">
        <v>28034</v>
      </c>
      <c r="U2011" t="s">
        <v>178</v>
      </c>
      <c r="V2011" t="s">
        <v>42</v>
      </c>
      <c r="W2011" t="s">
        <v>179</v>
      </c>
      <c r="X2011" t="s">
        <v>180</v>
      </c>
      <c r="Y2011" t="s">
        <v>36</v>
      </c>
    </row>
    <row r="2012" spans="1:25" x14ac:dyDescent="0.25">
      <c r="A2012">
        <v>10275</v>
      </c>
      <c r="B2012">
        <v>41</v>
      </c>
      <c r="C2012">
        <v>81.89</v>
      </c>
      <c r="D2012">
        <v>18</v>
      </c>
      <c r="E2012">
        <v>3357.49</v>
      </c>
      <c r="F2012" s="1">
        <v>38191</v>
      </c>
      <c r="G2012" t="s">
        <v>25</v>
      </c>
      <c r="H2012">
        <v>3</v>
      </c>
      <c r="I2012">
        <v>7</v>
      </c>
      <c r="J2012">
        <v>2004</v>
      </c>
      <c r="K2012" t="s">
        <v>566</v>
      </c>
      <c r="L2012">
        <v>68</v>
      </c>
      <c r="M2012" t="s">
        <v>643</v>
      </c>
      <c r="N2012" t="s">
        <v>114</v>
      </c>
      <c r="O2012" t="s">
        <v>115</v>
      </c>
      <c r="P2012" t="s">
        <v>116</v>
      </c>
      <c r="R2012" t="s">
        <v>117</v>
      </c>
      <c r="T2012">
        <v>44000</v>
      </c>
      <c r="U2012" t="s">
        <v>41</v>
      </c>
      <c r="V2012" t="s">
        <v>42</v>
      </c>
      <c r="W2012" t="s">
        <v>118</v>
      </c>
      <c r="X2012" t="s">
        <v>119</v>
      </c>
      <c r="Y2012" t="s">
        <v>51</v>
      </c>
    </row>
    <row r="2013" spans="1:25" x14ac:dyDescent="0.25">
      <c r="A2013">
        <v>10284</v>
      </c>
      <c r="B2013">
        <v>21</v>
      </c>
      <c r="C2013">
        <v>55.96</v>
      </c>
      <c r="D2013">
        <v>10</v>
      </c>
      <c r="E2013">
        <v>1175.1600000000001</v>
      </c>
      <c r="F2013" s="1">
        <v>38220</v>
      </c>
      <c r="G2013" t="s">
        <v>25</v>
      </c>
      <c r="H2013">
        <v>3</v>
      </c>
      <c r="I2013">
        <v>8</v>
      </c>
      <c r="J2013">
        <v>2004</v>
      </c>
      <c r="K2013" t="s">
        <v>566</v>
      </c>
      <c r="L2013">
        <v>68</v>
      </c>
      <c r="M2013" t="s">
        <v>643</v>
      </c>
      <c r="N2013" t="s">
        <v>543</v>
      </c>
      <c r="O2013" t="s">
        <v>544</v>
      </c>
      <c r="P2013" t="s">
        <v>545</v>
      </c>
      <c r="R2013" t="s">
        <v>546</v>
      </c>
      <c r="T2013" t="s">
        <v>547</v>
      </c>
      <c r="U2013" t="s">
        <v>78</v>
      </c>
      <c r="V2013" t="s">
        <v>42</v>
      </c>
      <c r="W2013" t="s">
        <v>548</v>
      </c>
      <c r="X2013" t="s">
        <v>549</v>
      </c>
      <c r="Y2013" t="s">
        <v>36</v>
      </c>
    </row>
    <row r="2014" spans="1:25" x14ac:dyDescent="0.25">
      <c r="A2014">
        <v>10296</v>
      </c>
      <c r="B2014">
        <v>32</v>
      </c>
      <c r="C2014">
        <v>71.650000000000006</v>
      </c>
      <c r="D2014">
        <v>6</v>
      </c>
      <c r="E2014">
        <v>2292.8000000000002</v>
      </c>
      <c r="F2014" s="1">
        <v>38245</v>
      </c>
      <c r="G2014" t="s">
        <v>25</v>
      </c>
      <c r="H2014">
        <v>3</v>
      </c>
      <c r="I2014">
        <v>9</v>
      </c>
      <c r="J2014">
        <v>2004</v>
      </c>
      <c r="K2014" t="s">
        <v>566</v>
      </c>
      <c r="L2014">
        <v>68</v>
      </c>
      <c r="M2014" t="s">
        <v>643</v>
      </c>
      <c r="N2014" t="s">
        <v>572</v>
      </c>
      <c r="O2014" t="s">
        <v>573</v>
      </c>
      <c r="P2014" t="s">
        <v>574</v>
      </c>
      <c r="R2014" t="s">
        <v>575</v>
      </c>
      <c r="T2014">
        <v>80686</v>
      </c>
      <c r="U2014" t="s">
        <v>443</v>
      </c>
      <c r="V2014" t="s">
        <v>42</v>
      </c>
      <c r="W2014" t="s">
        <v>576</v>
      </c>
      <c r="X2014" t="s">
        <v>103</v>
      </c>
      <c r="Y2014" t="s">
        <v>36</v>
      </c>
    </row>
    <row r="2015" spans="1:25" x14ac:dyDescent="0.25">
      <c r="A2015">
        <v>10308</v>
      </c>
      <c r="B2015">
        <v>43</v>
      </c>
      <c r="C2015">
        <v>76.430000000000007</v>
      </c>
      <c r="D2015">
        <v>16</v>
      </c>
      <c r="E2015">
        <v>3286.49</v>
      </c>
      <c r="F2015" s="1">
        <v>38275</v>
      </c>
      <c r="G2015" t="s">
        <v>25</v>
      </c>
      <c r="H2015">
        <v>4</v>
      </c>
      <c r="I2015">
        <v>10</v>
      </c>
      <c r="J2015">
        <v>2004</v>
      </c>
      <c r="K2015" t="s">
        <v>566</v>
      </c>
      <c r="L2015">
        <v>68</v>
      </c>
      <c r="M2015" t="s">
        <v>643</v>
      </c>
      <c r="N2015" t="s">
        <v>317</v>
      </c>
      <c r="O2015">
        <v>9145554562</v>
      </c>
      <c r="P2015" t="s">
        <v>318</v>
      </c>
      <c r="R2015" t="s">
        <v>319</v>
      </c>
      <c r="S2015" t="s">
        <v>31</v>
      </c>
      <c r="T2015">
        <v>24067</v>
      </c>
      <c r="U2015" t="s">
        <v>32</v>
      </c>
      <c r="V2015" t="s">
        <v>33</v>
      </c>
      <c r="W2015" t="s">
        <v>102</v>
      </c>
      <c r="X2015" t="s">
        <v>238</v>
      </c>
      <c r="Y2015" t="s">
        <v>51</v>
      </c>
    </row>
    <row r="2016" spans="1:25" x14ac:dyDescent="0.25">
      <c r="A2016">
        <v>10316</v>
      </c>
      <c r="B2016">
        <v>30</v>
      </c>
      <c r="C2016">
        <v>77.790000000000006</v>
      </c>
      <c r="D2016">
        <v>8</v>
      </c>
      <c r="E2016">
        <v>2333.6999999999998</v>
      </c>
      <c r="F2016" s="1">
        <v>38292</v>
      </c>
      <c r="G2016" t="s">
        <v>25</v>
      </c>
      <c r="H2016">
        <v>4</v>
      </c>
      <c r="I2016">
        <v>11</v>
      </c>
      <c r="J2016">
        <v>2004</v>
      </c>
      <c r="K2016" t="s">
        <v>566</v>
      </c>
      <c r="L2016">
        <v>68</v>
      </c>
      <c r="M2016" t="s">
        <v>643</v>
      </c>
      <c r="N2016" t="s">
        <v>383</v>
      </c>
      <c r="O2016" t="s">
        <v>384</v>
      </c>
      <c r="P2016" t="s">
        <v>385</v>
      </c>
      <c r="R2016" t="s">
        <v>386</v>
      </c>
      <c r="S2016" t="s">
        <v>387</v>
      </c>
      <c r="T2016" t="s">
        <v>388</v>
      </c>
      <c r="U2016" t="s">
        <v>170</v>
      </c>
      <c r="V2016" t="s">
        <v>42</v>
      </c>
      <c r="W2016" t="s">
        <v>389</v>
      </c>
      <c r="X2016" t="s">
        <v>390</v>
      </c>
      <c r="Y2016" t="s">
        <v>36</v>
      </c>
    </row>
    <row r="2017" spans="1:25" x14ac:dyDescent="0.25">
      <c r="A2017">
        <v>10328</v>
      </c>
      <c r="B2017">
        <v>35</v>
      </c>
      <c r="C2017">
        <v>76.430000000000007</v>
      </c>
      <c r="D2017">
        <v>3</v>
      </c>
      <c r="E2017">
        <v>2675.05</v>
      </c>
      <c r="F2017" s="1">
        <v>38303</v>
      </c>
      <c r="G2017" t="s">
        <v>25</v>
      </c>
      <c r="H2017">
        <v>4</v>
      </c>
      <c r="I2017">
        <v>11</v>
      </c>
      <c r="J2017">
        <v>2004</v>
      </c>
      <c r="K2017" t="s">
        <v>566</v>
      </c>
      <c r="L2017">
        <v>68</v>
      </c>
      <c r="M2017" t="s">
        <v>643</v>
      </c>
      <c r="N2017" t="s">
        <v>552</v>
      </c>
      <c r="O2017" t="s">
        <v>553</v>
      </c>
      <c r="P2017" t="s">
        <v>554</v>
      </c>
      <c r="R2017" t="s">
        <v>555</v>
      </c>
      <c r="T2017">
        <v>24100</v>
      </c>
      <c r="U2017" t="s">
        <v>258</v>
      </c>
      <c r="V2017" t="s">
        <v>42</v>
      </c>
      <c r="W2017" t="s">
        <v>556</v>
      </c>
      <c r="X2017" t="s">
        <v>557</v>
      </c>
      <c r="Y2017" t="s">
        <v>36</v>
      </c>
    </row>
    <row r="2018" spans="1:25" x14ac:dyDescent="0.25">
      <c r="A2018">
        <v>10339</v>
      </c>
      <c r="B2018">
        <v>45</v>
      </c>
      <c r="C2018">
        <v>96.92</v>
      </c>
      <c r="D2018">
        <v>11</v>
      </c>
      <c r="E2018">
        <v>4361.3999999999996</v>
      </c>
      <c r="F2018" s="1">
        <v>38314</v>
      </c>
      <c r="G2018" t="s">
        <v>25</v>
      </c>
      <c r="H2018">
        <v>4</v>
      </c>
      <c r="I2018">
        <v>11</v>
      </c>
      <c r="J2018">
        <v>2004</v>
      </c>
      <c r="K2018" t="s">
        <v>566</v>
      </c>
      <c r="L2018">
        <v>68</v>
      </c>
      <c r="M2018" t="s">
        <v>643</v>
      </c>
      <c r="N2018" t="s">
        <v>246</v>
      </c>
      <c r="O2018" t="s">
        <v>247</v>
      </c>
      <c r="P2018" t="s">
        <v>248</v>
      </c>
      <c r="R2018" t="s">
        <v>249</v>
      </c>
      <c r="S2018" t="s">
        <v>250</v>
      </c>
      <c r="T2018" t="s">
        <v>251</v>
      </c>
      <c r="U2018" t="s">
        <v>200</v>
      </c>
      <c r="V2018" t="s">
        <v>200</v>
      </c>
      <c r="W2018" t="s">
        <v>252</v>
      </c>
      <c r="X2018" t="s">
        <v>253</v>
      </c>
      <c r="Y2018" t="s">
        <v>51</v>
      </c>
    </row>
    <row r="2019" spans="1:25" x14ac:dyDescent="0.25">
      <c r="A2019">
        <v>10351</v>
      </c>
      <c r="B2019">
        <v>34</v>
      </c>
      <c r="C2019">
        <v>59.37</v>
      </c>
      <c r="D2019">
        <v>3</v>
      </c>
      <c r="E2019">
        <v>2018.58</v>
      </c>
      <c r="F2019" s="1">
        <v>38324</v>
      </c>
      <c r="G2019" t="s">
        <v>25</v>
      </c>
      <c r="H2019">
        <v>4</v>
      </c>
      <c r="I2019">
        <v>12</v>
      </c>
      <c r="J2019">
        <v>2004</v>
      </c>
      <c r="K2019" t="s">
        <v>566</v>
      </c>
      <c r="L2019">
        <v>68</v>
      </c>
      <c r="M2019" t="s">
        <v>643</v>
      </c>
      <c r="N2019" t="s">
        <v>329</v>
      </c>
      <c r="O2019" t="s">
        <v>330</v>
      </c>
      <c r="P2019" t="s">
        <v>331</v>
      </c>
      <c r="R2019" t="s">
        <v>332</v>
      </c>
      <c r="T2019" t="s">
        <v>333</v>
      </c>
      <c r="U2019" t="s">
        <v>170</v>
      </c>
      <c r="V2019" t="s">
        <v>42</v>
      </c>
      <c r="W2019" t="s">
        <v>61</v>
      </c>
      <c r="X2019" t="s">
        <v>334</v>
      </c>
      <c r="Y2019" t="s">
        <v>36</v>
      </c>
    </row>
    <row r="2020" spans="1:25" x14ac:dyDescent="0.25">
      <c r="A2020">
        <v>10361</v>
      </c>
      <c r="B2020">
        <v>26</v>
      </c>
      <c r="C2020">
        <v>100</v>
      </c>
      <c r="D2020">
        <v>7</v>
      </c>
      <c r="E2020">
        <v>3710.98</v>
      </c>
      <c r="F2020" s="1">
        <v>38338</v>
      </c>
      <c r="G2020" t="s">
        <v>25</v>
      </c>
      <c r="H2020">
        <v>4</v>
      </c>
      <c r="I2020">
        <v>12</v>
      </c>
      <c r="J2020">
        <v>2004</v>
      </c>
      <c r="K2020" t="s">
        <v>566</v>
      </c>
      <c r="L2020">
        <v>68</v>
      </c>
      <c r="M2020" t="s">
        <v>643</v>
      </c>
      <c r="N2020" t="s">
        <v>152</v>
      </c>
      <c r="O2020" t="s">
        <v>153</v>
      </c>
      <c r="P2020" t="s">
        <v>154</v>
      </c>
      <c r="Q2020" t="s">
        <v>155</v>
      </c>
      <c r="R2020" t="s">
        <v>156</v>
      </c>
      <c r="S2020" t="s">
        <v>157</v>
      </c>
      <c r="T2020">
        <v>2067</v>
      </c>
      <c r="U2020" t="s">
        <v>95</v>
      </c>
      <c r="V2020" t="s">
        <v>96</v>
      </c>
      <c r="W2020" t="s">
        <v>158</v>
      </c>
      <c r="X2020" t="s">
        <v>159</v>
      </c>
      <c r="Y2020" t="s">
        <v>51</v>
      </c>
    </row>
    <row r="2021" spans="1:25" x14ac:dyDescent="0.25">
      <c r="A2021">
        <v>10373</v>
      </c>
      <c r="B2021">
        <v>39</v>
      </c>
      <c r="C2021">
        <v>73</v>
      </c>
      <c r="D2021">
        <v>13</v>
      </c>
      <c r="E2021">
        <v>2847</v>
      </c>
      <c r="F2021" s="1">
        <v>38383</v>
      </c>
      <c r="G2021" t="s">
        <v>25</v>
      </c>
      <c r="H2021">
        <v>1</v>
      </c>
      <c r="I2021">
        <v>1</v>
      </c>
      <c r="J2021">
        <v>2005</v>
      </c>
      <c r="K2021" t="s">
        <v>566</v>
      </c>
      <c r="L2021">
        <v>68</v>
      </c>
      <c r="M2021" t="s">
        <v>643</v>
      </c>
      <c r="N2021" t="s">
        <v>391</v>
      </c>
      <c r="O2021" t="s">
        <v>392</v>
      </c>
      <c r="P2021" t="s">
        <v>393</v>
      </c>
      <c r="R2021" t="s">
        <v>394</v>
      </c>
      <c r="T2021">
        <v>90110</v>
      </c>
      <c r="U2021" t="s">
        <v>130</v>
      </c>
      <c r="V2021" t="s">
        <v>42</v>
      </c>
      <c r="W2021" t="s">
        <v>395</v>
      </c>
      <c r="X2021" t="s">
        <v>396</v>
      </c>
      <c r="Y2021" t="s">
        <v>36</v>
      </c>
    </row>
    <row r="2022" spans="1:25" x14ac:dyDescent="0.25">
      <c r="A2022">
        <v>10386</v>
      </c>
      <c r="B2022">
        <v>41</v>
      </c>
      <c r="C2022">
        <v>73.319999999999993</v>
      </c>
      <c r="D2022">
        <v>12</v>
      </c>
      <c r="E2022">
        <v>3006.12</v>
      </c>
      <c r="F2022" s="1">
        <v>38412</v>
      </c>
      <c r="G2022" t="s">
        <v>408</v>
      </c>
      <c r="H2022">
        <v>1</v>
      </c>
      <c r="I2022">
        <v>3</v>
      </c>
      <c r="J2022">
        <v>2005</v>
      </c>
      <c r="K2022" t="s">
        <v>566</v>
      </c>
      <c r="L2022">
        <v>68</v>
      </c>
      <c r="M2022" t="s">
        <v>643</v>
      </c>
      <c r="N2022" t="s">
        <v>174</v>
      </c>
      <c r="O2022" t="s">
        <v>175</v>
      </c>
      <c r="P2022" t="s">
        <v>176</v>
      </c>
      <c r="R2022" t="s">
        <v>177</v>
      </c>
      <c r="T2022">
        <v>28034</v>
      </c>
      <c r="U2022" t="s">
        <v>178</v>
      </c>
      <c r="V2022" t="s">
        <v>42</v>
      </c>
      <c r="W2022" t="s">
        <v>179</v>
      </c>
      <c r="X2022" t="s">
        <v>180</v>
      </c>
      <c r="Y2022" t="s">
        <v>51</v>
      </c>
    </row>
    <row r="2023" spans="1:25" x14ac:dyDescent="0.25">
      <c r="A2023">
        <v>10398</v>
      </c>
      <c r="B2023">
        <v>41</v>
      </c>
      <c r="C2023">
        <v>68.239999999999995</v>
      </c>
      <c r="D2023">
        <v>2</v>
      </c>
      <c r="E2023">
        <v>2797.84</v>
      </c>
      <c r="F2023" s="1">
        <v>38441</v>
      </c>
      <c r="G2023" t="s">
        <v>25</v>
      </c>
      <c r="H2023">
        <v>1</v>
      </c>
      <c r="I2023">
        <v>3</v>
      </c>
      <c r="J2023">
        <v>2005</v>
      </c>
      <c r="K2023" t="s">
        <v>566</v>
      </c>
      <c r="L2023">
        <v>68</v>
      </c>
      <c r="M2023" t="s">
        <v>643</v>
      </c>
      <c r="N2023" t="s">
        <v>37</v>
      </c>
      <c r="O2023" t="s">
        <v>38</v>
      </c>
      <c r="P2023" t="s">
        <v>39</v>
      </c>
      <c r="R2023" t="s">
        <v>40</v>
      </c>
      <c r="T2023">
        <v>51100</v>
      </c>
      <c r="U2023" t="s">
        <v>41</v>
      </c>
      <c r="V2023" t="s">
        <v>42</v>
      </c>
      <c r="W2023" t="s">
        <v>43</v>
      </c>
      <c r="X2023" t="s">
        <v>44</v>
      </c>
      <c r="Y2023" t="s">
        <v>36</v>
      </c>
    </row>
    <row r="2024" spans="1:25" x14ac:dyDescent="0.25">
      <c r="A2024">
        <v>10401</v>
      </c>
      <c r="B2024">
        <v>64</v>
      </c>
      <c r="C2024">
        <v>60.05</v>
      </c>
      <c r="D2024">
        <v>12</v>
      </c>
      <c r="E2024">
        <v>3843.2</v>
      </c>
      <c r="F2024" s="1">
        <v>38445</v>
      </c>
      <c r="G2024" t="s">
        <v>401</v>
      </c>
      <c r="H2024">
        <v>2</v>
      </c>
      <c r="I2024">
        <v>4</v>
      </c>
      <c r="J2024">
        <v>2005</v>
      </c>
      <c r="K2024" t="s">
        <v>566</v>
      </c>
      <c r="L2024">
        <v>68</v>
      </c>
      <c r="M2024" t="s">
        <v>643</v>
      </c>
      <c r="N2024" t="s">
        <v>104</v>
      </c>
      <c r="O2024">
        <v>2015559350</v>
      </c>
      <c r="P2024" t="s">
        <v>105</v>
      </c>
      <c r="R2024" t="s">
        <v>106</v>
      </c>
      <c r="S2024" t="s">
        <v>107</v>
      </c>
      <c r="T2024">
        <v>94019</v>
      </c>
      <c r="U2024" t="s">
        <v>32</v>
      </c>
      <c r="V2024" t="s">
        <v>33</v>
      </c>
      <c r="W2024" t="s">
        <v>61</v>
      </c>
      <c r="X2024" t="s">
        <v>108</v>
      </c>
      <c r="Y2024" t="s">
        <v>51</v>
      </c>
    </row>
    <row r="2025" spans="1:25" x14ac:dyDescent="0.25">
      <c r="A2025">
        <v>10416</v>
      </c>
      <c r="B2025">
        <v>18</v>
      </c>
      <c r="C2025">
        <v>75.06</v>
      </c>
      <c r="D2025">
        <v>13</v>
      </c>
      <c r="E2025">
        <v>1351.08</v>
      </c>
      <c r="F2025" s="1">
        <v>38482</v>
      </c>
      <c r="G2025" t="s">
        <v>25</v>
      </c>
      <c r="H2025">
        <v>2</v>
      </c>
      <c r="I2025">
        <v>5</v>
      </c>
      <c r="J2025">
        <v>2005</v>
      </c>
      <c r="K2025" t="s">
        <v>566</v>
      </c>
      <c r="L2025">
        <v>68</v>
      </c>
      <c r="M2025" t="s">
        <v>643</v>
      </c>
      <c r="N2025" t="s">
        <v>452</v>
      </c>
      <c r="O2025" t="s">
        <v>453</v>
      </c>
      <c r="P2025" t="s">
        <v>454</v>
      </c>
      <c r="R2025" t="s">
        <v>455</v>
      </c>
      <c r="T2025">
        <v>42100</v>
      </c>
      <c r="U2025" t="s">
        <v>258</v>
      </c>
      <c r="V2025" t="s">
        <v>42</v>
      </c>
      <c r="W2025" t="s">
        <v>456</v>
      </c>
      <c r="X2025" t="s">
        <v>457</v>
      </c>
      <c r="Y2025" t="s">
        <v>36</v>
      </c>
    </row>
    <row r="2026" spans="1:25" x14ac:dyDescent="0.25">
      <c r="A2026">
        <v>10100</v>
      </c>
      <c r="B2026">
        <v>49</v>
      </c>
      <c r="C2026">
        <v>34.47</v>
      </c>
      <c r="D2026">
        <v>1</v>
      </c>
      <c r="E2026">
        <v>1689.03</v>
      </c>
      <c r="F2026" s="1">
        <v>37627</v>
      </c>
      <c r="G2026" t="s">
        <v>25</v>
      </c>
      <c r="H2026">
        <v>1</v>
      </c>
      <c r="I2026">
        <v>1</v>
      </c>
      <c r="J2026">
        <v>2003</v>
      </c>
      <c r="K2026" t="s">
        <v>550</v>
      </c>
      <c r="L2026">
        <v>41</v>
      </c>
      <c r="M2026" t="s">
        <v>644</v>
      </c>
      <c r="N2026" t="s">
        <v>277</v>
      </c>
      <c r="O2026">
        <v>6035558647</v>
      </c>
      <c r="P2026" t="s">
        <v>278</v>
      </c>
      <c r="R2026" t="s">
        <v>279</v>
      </c>
      <c r="S2026" t="s">
        <v>280</v>
      </c>
      <c r="T2026">
        <v>62005</v>
      </c>
      <c r="U2026" t="s">
        <v>32</v>
      </c>
      <c r="V2026" t="s">
        <v>33</v>
      </c>
      <c r="W2026" t="s">
        <v>56</v>
      </c>
      <c r="X2026" t="s">
        <v>276</v>
      </c>
      <c r="Y2026" t="s">
        <v>36</v>
      </c>
    </row>
    <row r="2027" spans="1:25" x14ac:dyDescent="0.25">
      <c r="A2027">
        <v>10110</v>
      </c>
      <c r="B2027">
        <v>48</v>
      </c>
      <c r="C2027">
        <v>34.47</v>
      </c>
      <c r="D2027">
        <v>5</v>
      </c>
      <c r="E2027">
        <v>1654.56</v>
      </c>
      <c r="F2027" s="1">
        <v>37698</v>
      </c>
      <c r="G2027" t="s">
        <v>25</v>
      </c>
      <c r="H2027">
        <v>1</v>
      </c>
      <c r="I2027">
        <v>3</v>
      </c>
      <c r="J2027">
        <v>2003</v>
      </c>
      <c r="K2027" t="s">
        <v>550</v>
      </c>
      <c r="L2027">
        <v>41</v>
      </c>
      <c r="M2027" t="s">
        <v>644</v>
      </c>
      <c r="N2027" t="s">
        <v>492</v>
      </c>
      <c r="O2027" t="s">
        <v>493</v>
      </c>
      <c r="P2027" t="s">
        <v>494</v>
      </c>
      <c r="R2027" t="s">
        <v>495</v>
      </c>
      <c r="T2027" t="s">
        <v>496</v>
      </c>
      <c r="U2027" t="s">
        <v>170</v>
      </c>
      <c r="V2027" t="s">
        <v>42</v>
      </c>
      <c r="W2027" t="s">
        <v>497</v>
      </c>
      <c r="X2027" t="s">
        <v>94</v>
      </c>
      <c r="Y2027" t="s">
        <v>36</v>
      </c>
    </row>
    <row r="2028" spans="1:25" x14ac:dyDescent="0.25">
      <c r="A2028">
        <v>10124</v>
      </c>
      <c r="B2028">
        <v>46</v>
      </c>
      <c r="C2028">
        <v>33.229999999999997</v>
      </c>
      <c r="D2028">
        <v>4</v>
      </c>
      <c r="E2028">
        <v>1528.58</v>
      </c>
      <c r="F2028" s="1">
        <v>37762</v>
      </c>
      <c r="G2028" t="s">
        <v>25</v>
      </c>
      <c r="H2028">
        <v>2</v>
      </c>
      <c r="I2028">
        <v>5</v>
      </c>
      <c r="J2028">
        <v>2003</v>
      </c>
      <c r="K2028" t="s">
        <v>550</v>
      </c>
      <c r="L2028">
        <v>41</v>
      </c>
      <c r="M2028" t="s">
        <v>644</v>
      </c>
      <c r="N2028" t="s">
        <v>539</v>
      </c>
      <c r="O2028">
        <v>7025551838</v>
      </c>
      <c r="P2028" t="s">
        <v>540</v>
      </c>
      <c r="R2028" t="s">
        <v>541</v>
      </c>
      <c r="S2028" t="s">
        <v>542</v>
      </c>
      <c r="T2028">
        <v>83030</v>
      </c>
      <c r="U2028" t="s">
        <v>32</v>
      </c>
      <c r="V2028" t="s">
        <v>33</v>
      </c>
      <c r="W2028" t="s">
        <v>113</v>
      </c>
      <c r="X2028" t="s">
        <v>400</v>
      </c>
      <c r="Y2028" t="s">
        <v>36</v>
      </c>
    </row>
    <row r="2029" spans="1:25" x14ac:dyDescent="0.25">
      <c r="A2029">
        <v>10149</v>
      </c>
      <c r="B2029">
        <v>26</v>
      </c>
      <c r="C2029">
        <v>38.979999999999997</v>
      </c>
      <c r="D2029">
        <v>9</v>
      </c>
      <c r="E2029">
        <v>1013.48</v>
      </c>
      <c r="F2029" s="1">
        <v>37876</v>
      </c>
      <c r="G2029" t="s">
        <v>25</v>
      </c>
      <c r="H2029">
        <v>3</v>
      </c>
      <c r="I2029">
        <v>9</v>
      </c>
      <c r="J2029">
        <v>2003</v>
      </c>
      <c r="K2029" t="s">
        <v>550</v>
      </c>
      <c r="L2029">
        <v>41</v>
      </c>
      <c r="M2029" t="s">
        <v>644</v>
      </c>
      <c r="N2029" t="s">
        <v>526</v>
      </c>
      <c r="O2029">
        <v>4155554312</v>
      </c>
      <c r="P2029" t="s">
        <v>527</v>
      </c>
      <c r="R2029" t="s">
        <v>528</v>
      </c>
      <c r="S2029" t="s">
        <v>55</v>
      </c>
      <c r="T2029">
        <v>94217</v>
      </c>
      <c r="U2029" t="s">
        <v>32</v>
      </c>
      <c r="V2029" t="s">
        <v>33</v>
      </c>
      <c r="W2029" t="s">
        <v>529</v>
      </c>
      <c r="X2029" t="s">
        <v>400</v>
      </c>
      <c r="Y2029" t="s">
        <v>36</v>
      </c>
    </row>
    <row r="2030" spans="1:25" x14ac:dyDescent="0.25">
      <c r="A2030">
        <v>10162</v>
      </c>
      <c r="B2030">
        <v>37</v>
      </c>
      <c r="C2030">
        <v>38.979999999999997</v>
      </c>
      <c r="D2030">
        <v>7</v>
      </c>
      <c r="E2030">
        <v>1442.26</v>
      </c>
      <c r="F2030" s="1">
        <v>37912</v>
      </c>
      <c r="G2030" t="s">
        <v>25</v>
      </c>
      <c r="H2030">
        <v>4</v>
      </c>
      <c r="I2030">
        <v>10</v>
      </c>
      <c r="J2030">
        <v>2003</v>
      </c>
      <c r="K2030" t="s">
        <v>550</v>
      </c>
      <c r="L2030">
        <v>41</v>
      </c>
      <c r="M2030" t="s">
        <v>644</v>
      </c>
      <c r="N2030" t="s">
        <v>58</v>
      </c>
      <c r="O2030">
        <v>6505551386</v>
      </c>
      <c r="P2030" t="s">
        <v>59</v>
      </c>
      <c r="R2030" t="s">
        <v>60</v>
      </c>
      <c r="S2030" t="s">
        <v>55</v>
      </c>
      <c r="U2030" t="s">
        <v>32</v>
      </c>
      <c r="V2030" t="s">
        <v>33</v>
      </c>
      <c r="W2030" t="s">
        <v>61</v>
      </c>
      <c r="X2030" t="s">
        <v>57</v>
      </c>
      <c r="Y2030" t="s">
        <v>36</v>
      </c>
    </row>
    <row r="2031" spans="1:25" x14ac:dyDescent="0.25">
      <c r="A2031">
        <v>10173</v>
      </c>
      <c r="B2031">
        <v>35</v>
      </c>
      <c r="C2031">
        <v>33.229999999999997</v>
      </c>
      <c r="D2031">
        <v>11</v>
      </c>
      <c r="E2031">
        <v>1163.05</v>
      </c>
      <c r="F2031" s="1">
        <v>37930</v>
      </c>
      <c r="G2031" t="s">
        <v>25</v>
      </c>
      <c r="H2031">
        <v>4</v>
      </c>
      <c r="I2031">
        <v>11</v>
      </c>
      <c r="J2031">
        <v>2003</v>
      </c>
      <c r="K2031" t="s">
        <v>550</v>
      </c>
      <c r="L2031">
        <v>41</v>
      </c>
      <c r="M2031" t="s">
        <v>644</v>
      </c>
      <c r="N2031" t="s">
        <v>552</v>
      </c>
      <c r="O2031" t="s">
        <v>553</v>
      </c>
      <c r="P2031" t="s">
        <v>554</v>
      </c>
      <c r="R2031" t="s">
        <v>555</v>
      </c>
      <c r="T2031">
        <v>24100</v>
      </c>
      <c r="U2031" t="s">
        <v>258</v>
      </c>
      <c r="V2031" t="s">
        <v>42</v>
      </c>
      <c r="W2031" t="s">
        <v>556</v>
      </c>
      <c r="X2031" t="s">
        <v>557</v>
      </c>
      <c r="Y2031" t="s">
        <v>36</v>
      </c>
    </row>
    <row r="2032" spans="1:25" x14ac:dyDescent="0.25">
      <c r="A2032">
        <v>10182</v>
      </c>
      <c r="B2032">
        <v>23</v>
      </c>
      <c r="C2032">
        <v>42.26</v>
      </c>
      <c r="D2032">
        <v>8</v>
      </c>
      <c r="E2032">
        <v>971.98</v>
      </c>
      <c r="F2032" s="1">
        <v>37937</v>
      </c>
      <c r="G2032" t="s">
        <v>25</v>
      </c>
      <c r="H2032">
        <v>4</v>
      </c>
      <c r="I2032">
        <v>11</v>
      </c>
      <c r="J2032">
        <v>2003</v>
      </c>
      <c r="K2032" t="s">
        <v>550</v>
      </c>
      <c r="L2032">
        <v>41</v>
      </c>
      <c r="M2032" t="s">
        <v>644</v>
      </c>
      <c r="N2032" t="s">
        <v>272</v>
      </c>
      <c r="O2032">
        <v>4155551450</v>
      </c>
      <c r="P2032" t="s">
        <v>273</v>
      </c>
      <c r="R2032" t="s">
        <v>274</v>
      </c>
      <c r="S2032" t="s">
        <v>55</v>
      </c>
      <c r="T2032">
        <v>97562</v>
      </c>
      <c r="U2032" t="s">
        <v>32</v>
      </c>
      <c r="V2032" t="s">
        <v>33</v>
      </c>
      <c r="W2032" t="s">
        <v>275</v>
      </c>
      <c r="X2032" t="s">
        <v>276</v>
      </c>
      <c r="Y2032" t="s">
        <v>36</v>
      </c>
    </row>
    <row r="2033" spans="1:25" x14ac:dyDescent="0.25">
      <c r="A2033">
        <v>10193</v>
      </c>
      <c r="B2033">
        <v>22</v>
      </c>
      <c r="C2033">
        <v>41.03</v>
      </c>
      <c r="D2033">
        <v>12</v>
      </c>
      <c r="E2033">
        <v>902.66</v>
      </c>
      <c r="F2033" s="1">
        <v>37946</v>
      </c>
      <c r="G2033" t="s">
        <v>25</v>
      </c>
      <c r="H2033">
        <v>4</v>
      </c>
      <c r="I2033">
        <v>11</v>
      </c>
      <c r="J2033">
        <v>2003</v>
      </c>
      <c r="K2033" t="s">
        <v>550</v>
      </c>
      <c r="L2033">
        <v>41</v>
      </c>
      <c r="M2033" t="s">
        <v>644</v>
      </c>
      <c r="N2033" t="s">
        <v>558</v>
      </c>
      <c r="O2033" t="s">
        <v>559</v>
      </c>
      <c r="P2033" t="s">
        <v>560</v>
      </c>
      <c r="R2033" t="s">
        <v>561</v>
      </c>
      <c r="S2033" t="s">
        <v>94</v>
      </c>
      <c r="T2033">
        <v>3150</v>
      </c>
      <c r="U2033" t="s">
        <v>95</v>
      </c>
      <c r="V2033" t="s">
        <v>96</v>
      </c>
      <c r="W2033" t="s">
        <v>562</v>
      </c>
      <c r="X2033" t="s">
        <v>563</v>
      </c>
      <c r="Y2033" t="s">
        <v>36</v>
      </c>
    </row>
    <row r="2034" spans="1:25" x14ac:dyDescent="0.25">
      <c r="A2034">
        <v>10204</v>
      </c>
      <c r="B2034">
        <v>39</v>
      </c>
      <c r="C2034">
        <v>33.229999999999997</v>
      </c>
      <c r="D2034">
        <v>2</v>
      </c>
      <c r="E2034">
        <v>1295.97</v>
      </c>
      <c r="F2034" s="1">
        <v>37957</v>
      </c>
      <c r="G2034" t="s">
        <v>25</v>
      </c>
      <c r="H2034">
        <v>4</v>
      </c>
      <c r="I2034">
        <v>12</v>
      </c>
      <c r="J2034">
        <v>2003</v>
      </c>
      <c r="K2034" t="s">
        <v>550</v>
      </c>
      <c r="L2034">
        <v>41</v>
      </c>
      <c r="M2034" t="s">
        <v>644</v>
      </c>
      <c r="N2034" t="s">
        <v>475</v>
      </c>
      <c r="O2034">
        <v>2125557413</v>
      </c>
      <c r="P2034" t="s">
        <v>476</v>
      </c>
      <c r="Q2034" t="s">
        <v>477</v>
      </c>
      <c r="R2034" t="s">
        <v>30</v>
      </c>
      <c r="S2034" t="s">
        <v>31</v>
      </c>
      <c r="T2034">
        <v>10022</v>
      </c>
      <c r="U2034" t="s">
        <v>32</v>
      </c>
      <c r="V2034" t="s">
        <v>33</v>
      </c>
      <c r="W2034" t="s">
        <v>56</v>
      </c>
      <c r="X2034" t="s">
        <v>478</v>
      </c>
      <c r="Y2034" t="s">
        <v>36</v>
      </c>
    </row>
    <row r="2035" spans="1:25" x14ac:dyDescent="0.25">
      <c r="A2035">
        <v>10214</v>
      </c>
      <c r="B2035">
        <v>44</v>
      </c>
      <c r="C2035">
        <v>34.880000000000003</v>
      </c>
      <c r="D2035">
        <v>5</v>
      </c>
      <c r="E2035">
        <v>1534.72</v>
      </c>
      <c r="F2035" s="1">
        <v>38012</v>
      </c>
      <c r="G2035" t="s">
        <v>25</v>
      </c>
      <c r="H2035">
        <v>1</v>
      </c>
      <c r="I2035">
        <v>1</v>
      </c>
      <c r="J2035">
        <v>2004</v>
      </c>
      <c r="K2035" t="s">
        <v>550</v>
      </c>
      <c r="L2035">
        <v>41</v>
      </c>
      <c r="M2035" t="s">
        <v>644</v>
      </c>
      <c r="N2035" t="s">
        <v>191</v>
      </c>
      <c r="O2035" t="s">
        <v>192</v>
      </c>
      <c r="P2035" t="s">
        <v>193</v>
      </c>
      <c r="R2035" t="s">
        <v>177</v>
      </c>
      <c r="T2035">
        <v>28023</v>
      </c>
      <c r="U2035" t="s">
        <v>178</v>
      </c>
      <c r="V2035" t="s">
        <v>42</v>
      </c>
      <c r="W2035" t="s">
        <v>194</v>
      </c>
      <c r="X2035" t="s">
        <v>195</v>
      </c>
      <c r="Y2035" t="s">
        <v>36</v>
      </c>
    </row>
    <row r="2036" spans="1:25" x14ac:dyDescent="0.25">
      <c r="A2036">
        <v>10227</v>
      </c>
      <c r="B2036">
        <v>27</v>
      </c>
      <c r="C2036">
        <v>43.9</v>
      </c>
      <c r="D2036">
        <v>8</v>
      </c>
      <c r="E2036">
        <v>1185.3</v>
      </c>
      <c r="F2036" s="1">
        <v>38048</v>
      </c>
      <c r="G2036" t="s">
        <v>25</v>
      </c>
      <c r="H2036">
        <v>1</v>
      </c>
      <c r="I2036">
        <v>3</v>
      </c>
      <c r="J2036">
        <v>2004</v>
      </c>
      <c r="K2036" t="s">
        <v>550</v>
      </c>
      <c r="L2036">
        <v>41</v>
      </c>
      <c r="M2036" t="s">
        <v>644</v>
      </c>
      <c r="N2036" t="s">
        <v>219</v>
      </c>
      <c r="O2036" t="s">
        <v>220</v>
      </c>
      <c r="P2036" t="s">
        <v>221</v>
      </c>
      <c r="R2036" t="s">
        <v>222</v>
      </c>
      <c r="T2036">
        <v>69004</v>
      </c>
      <c r="U2036" t="s">
        <v>41</v>
      </c>
      <c r="V2036" t="s">
        <v>42</v>
      </c>
      <c r="W2036" t="s">
        <v>223</v>
      </c>
      <c r="X2036" t="s">
        <v>224</v>
      </c>
      <c r="Y2036" t="s">
        <v>36</v>
      </c>
    </row>
    <row r="2037" spans="1:25" x14ac:dyDescent="0.25">
      <c r="A2037">
        <v>10242</v>
      </c>
      <c r="B2037">
        <v>46</v>
      </c>
      <c r="C2037">
        <v>36.93</v>
      </c>
      <c r="D2037">
        <v>1</v>
      </c>
      <c r="E2037">
        <v>1698.78</v>
      </c>
      <c r="F2037" s="1">
        <v>38097</v>
      </c>
      <c r="G2037" t="s">
        <v>25</v>
      </c>
      <c r="H2037">
        <v>2</v>
      </c>
      <c r="I2037">
        <v>4</v>
      </c>
      <c r="J2037">
        <v>2004</v>
      </c>
      <c r="K2037" t="s">
        <v>550</v>
      </c>
      <c r="L2037">
        <v>41</v>
      </c>
      <c r="M2037" t="s">
        <v>644</v>
      </c>
      <c r="N2037" t="s">
        <v>507</v>
      </c>
      <c r="O2037">
        <v>2125551957</v>
      </c>
      <c r="P2037" t="s">
        <v>508</v>
      </c>
      <c r="Q2037" t="s">
        <v>509</v>
      </c>
      <c r="R2037" t="s">
        <v>30</v>
      </c>
      <c r="S2037" t="s">
        <v>31</v>
      </c>
      <c r="T2037">
        <v>10022</v>
      </c>
      <c r="U2037" t="s">
        <v>32</v>
      </c>
      <c r="V2037" t="s">
        <v>33</v>
      </c>
      <c r="W2037" t="s">
        <v>510</v>
      </c>
      <c r="X2037" t="s">
        <v>511</v>
      </c>
      <c r="Y2037" t="s">
        <v>36</v>
      </c>
    </row>
    <row r="2038" spans="1:25" x14ac:dyDescent="0.25">
      <c r="A2038">
        <v>10280</v>
      </c>
      <c r="B2038">
        <v>33</v>
      </c>
      <c r="C2038">
        <v>41.85</v>
      </c>
      <c r="D2038">
        <v>14</v>
      </c>
      <c r="E2038">
        <v>1381.05</v>
      </c>
      <c r="F2038" s="1">
        <v>38216</v>
      </c>
      <c r="G2038" t="s">
        <v>25</v>
      </c>
      <c r="H2038">
        <v>3</v>
      </c>
      <c r="I2038">
        <v>8</v>
      </c>
      <c r="J2038">
        <v>2004</v>
      </c>
      <c r="K2038" t="s">
        <v>550</v>
      </c>
      <c r="L2038">
        <v>41</v>
      </c>
      <c r="M2038" t="s">
        <v>644</v>
      </c>
      <c r="N2038" t="s">
        <v>254</v>
      </c>
      <c r="O2038" t="s">
        <v>255</v>
      </c>
      <c r="P2038" t="s">
        <v>256</v>
      </c>
      <c r="R2038" t="s">
        <v>257</v>
      </c>
      <c r="T2038">
        <v>10100</v>
      </c>
      <c r="U2038" t="s">
        <v>258</v>
      </c>
      <c r="V2038" t="s">
        <v>42</v>
      </c>
      <c r="W2038" t="s">
        <v>259</v>
      </c>
      <c r="X2038" t="s">
        <v>260</v>
      </c>
      <c r="Y2038" t="s">
        <v>36</v>
      </c>
    </row>
    <row r="2039" spans="1:25" x14ac:dyDescent="0.25">
      <c r="A2039">
        <v>10288</v>
      </c>
      <c r="B2039">
        <v>33</v>
      </c>
      <c r="C2039">
        <v>40.619999999999997</v>
      </c>
      <c r="D2039">
        <v>3</v>
      </c>
      <c r="E2039">
        <v>1340.46</v>
      </c>
      <c r="F2039" s="1">
        <v>38231</v>
      </c>
      <c r="G2039" t="s">
        <v>25</v>
      </c>
      <c r="H2039">
        <v>3</v>
      </c>
      <c r="I2039">
        <v>9</v>
      </c>
      <c r="J2039">
        <v>2004</v>
      </c>
      <c r="K2039" t="s">
        <v>550</v>
      </c>
      <c r="L2039">
        <v>41</v>
      </c>
      <c r="M2039" t="s">
        <v>644</v>
      </c>
      <c r="N2039" t="s">
        <v>418</v>
      </c>
      <c r="O2039" t="s">
        <v>419</v>
      </c>
      <c r="P2039" t="s">
        <v>420</v>
      </c>
      <c r="Q2039" t="s">
        <v>421</v>
      </c>
      <c r="R2039" t="s">
        <v>199</v>
      </c>
      <c r="T2039">
        <v>69045</v>
      </c>
      <c r="U2039" t="s">
        <v>199</v>
      </c>
      <c r="V2039" t="s">
        <v>96</v>
      </c>
      <c r="W2039" t="s">
        <v>422</v>
      </c>
      <c r="X2039" t="s">
        <v>423</v>
      </c>
      <c r="Y2039" t="s">
        <v>36</v>
      </c>
    </row>
    <row r="2040" spans="1:25" x14ac:dyDescent="0.25">
      <c r="A2040">
        <v>10303</v>
      </c>
      <c r="B2040">
        <v>24</v>
      </c>
      <c r="C2040">
        <v>40.21</v>
      </c>
      <c r="D2040">
        <v>1</v>
      </c>
      <c r="E2040">
        <v>965.04</v>
      </c>
      <c r="F2040" s="1">
        <v>38266</v>
      </c>
      <c r="G2040" t="s">
        <v>25</v>
      </c>
      <c r="H2040">
        <v>4</v>
      </c>
      <c r="I2040">
        <v>10</v>
      </c>
      <c r="J2040">
        <v>2004</v>
      </c>
      <c r="K2040" t="s">
        <v>550</v>
      </c>
      <c r="L2040">
        <v>41</v>
      </c>
      <c r="M2040" t="s">
        <v>644</v>
      </c>
      <c r="N2040" t="s">
        <v>520</v>
      </c>
      <c r="O2040" t="s">
        <v>521</v>
      </c>
      <c r="P2040" t="s">
        <v>522</v>
      </c>
      <c r="R2040" t="s">
        <v>523</v>
      </c>
      <c r="T2040">
        <v>41101</v>
      </c>
      <c r="U2040" t="s">
        <v>178</v>
      </c>
      <c r="V2040" t="s">
        <v>42</v>
      </c>
      <c r="W2040" t="s">
        <v>524</v>
      </c>
      <c r="X2040" t="s">
        <v>525</v>
      </c>
      <c r="Y2040" t="s">
        <v>36</v>
      </c>
    </row>
    <row r="2041" spans="1:25" x14ac:dyDescent="0.25">
      <c r="A2041">
        <v>10312</v>
      </c>
      <c r="B2041">
        <v>31</v>
      </c>
      <c r="C2041">
        <v>35.29</v>
      </c>
      <c r="D2041">
        <v>15</v>
      </c>
      <c r="E2041">
        <v>1093.99</v>
      </c>
      <c r="F2041" s="1">
        <v>38281</v>
      </c>
      <c r="G2041" t="s">
        <v>25</v>
      </c>
      <c r="H2041">
        <v>4</v>
      </c>
      <c r="I2041">
        <v>10</v>
      </c>
      <c r="J2041">
        <v>2004</v>
      </c>
      <c r="K2041" t="s">
        <v>550</v>
      </c>
      <c r="L2041">
        <v>41</v>
      </c>
      <c r="M2041" t="s">
        <v>644</v>
      </c>
      <c r="N2041" t="s">
        <v>272</v>
      </c>
      <c r="O2041">
        <v>4155551450</v>
      </c>
      <c r="P2041" t="s">
        <v>273</v>
      </c>
      <c r="R2041" t="s">
        <v>274</v>
      </c>
      <c r="S2041" t="s">
        <v>55</v>
      </c>
      <c r="T2041">
        <v>97562</v>
      </c>
      <c r="U2041" t="s">
        <v>32</v>
      </c>
      <c r="V2041" t="s">
        <v>33</v>
      </c>
      <c r="W2041" t="s">
        <v>275</v>
      </c>
      <c r="X2041" t="s">
        <v>276</v>
      </c>
      <c r="Y2041" t="s">
        <v>36</v>
      </c>
    </row>
    <row r="2042" spans="1:25" x14ac:dyDescent="0.25">
      <c r="A2042">
        <v>10332</v>
      </c>
      <c r="B2042">
        <v>41</v>
      </c>
      <c r="C2042">
        <v>77.239999999999995</v>
      </c>
      <c r="D2042">
        <v>14</v>
      </c>
      <c r="E2042">
        <v>3166.84</v>
      </c>
      <c r="F2042" s="1">
        <v>38308</v>
      </c>
      <c r="G2042" t="s">
        <v>25</v>
      </c>
      <c r="H2042">
        <v>4</v>
      </c>
      <c r="I2042">
        <v>11</v>
      </c>
      <c r="J2042">
        <v>2004</v>
      </c>
      <c r="K2042" t="s">
        <v>550</v>
      </c>
      <c r="L2042">
        <v>41</v>
      </c>
      <c r="M2042" t="s">
        <v>644</v>
      </c>
      <c r="N2042" t="s">
        <v>492</v>
      </c>
      <c r="O2042" t="s">
        <v>493</v>
      </c>
      <c r="P2042" t="s">
        <v>494</v>
      </c>
      <c r="R2042" t="s">
        <v>495</v>
      </c>
      <c r="T2042" t="s">
        <v>496</v>
      </c>
      <c r="U2042" t="s">
        <v>170</v>
      </c>
      <c r="V2042" t="s">
        <v>42</v>
      </c>
      <c r="W2042" t="s">
        <v>497</v>
      </c>
      <c r="X2042" t="s">
        <v>94</v>
      </c>
      <c r="Y2042" t="s">
        <v>51</v>
      </c>
    </row>
    <row r="2043" spans="1:25" x14ac:dyDescent="0.25">
      <c r="A2043">
        <v>10346</v>
      </c>
      <c r="B2043">
        <v>22</v>
      </c>
      <c r="C2043">
        <v>97.44</v>
      </c>
      <c r="D2043">
        <v>4</v>
      </c>
      <c r="E2043">
        <v>2143.6799999999998</v>
      </c>
      <c r="F2043" s="1">
        <v>38320</v>
      </c>
      <c r="G2043" t="s">
        <v>25</v>
      </c>
      <c r="H2043">
        <v>4</v>
      </c>
      <c r="I2043">
        <v>11</v>
      </c>
      <c r="J2043">
        <v>2004</v>
      </c>
      <c r="K2043" t="s">
        <v>550</v>
      </c>
      <c r="L2043">
        <v>41</v>
      </c>
      <c r="M2043" t="s">
        <v>644</v>
      </c>
      <c r="N2043" t="s">
        <v>539</v>
      </c>
      <c r="O2043">
        <v>7025551838</v>
      </c>
      <c r="P2043" t="s">
        <v>540</v>
      </c>
      <c r="R2043" t="s">
        <v>541</v>
      </c>
      <c r="S2043" t="s">
        <v>542</v>
      </c>
      <c r="T2043">
        <v>83030</v>
      </c>
      <c r="U2043" t="s">
        <v>32</v>
      </c>
      <c r="V2043" t="s">
        <v>33</v>
      </c>
      <c r="W2043" t="s">
        <v>113</v>
      </c>
      <c r="X2043" t="s">
        <v>400</v>
      </c>
      <c r="Y2043" t="s">
        <v>36</v>
      </c>
    </row>
    <row r="2044" spans="1:25" x14ac:dyDescent="0.25">
      <c r="A2044">
        <v>10368</v>
      </c>
      <c r="B2044">
        <v>46</v>
      </c>
      <c r="C2044">
        <v>37.340000000000003</v>
      </c>
      <c r="D2044">
        <v>3</v>
      </c>
      <c r="E2044">
        <v>1717.64</v>
      </c>
      <c r="F2044" s="1">
        <v>38371</v>
      </c>
      <c r="G2044" t="s">
        <v>25</v>
      </c>
      <c r="H2044">
        <v>1</v>
      </c>
      <c r="I2044">
        <v>1</v>
      </c>
      <c r="J2044">
        <v>2005</v>
      </c>
      <c r="K2044" t="s">
        <v>550</v>
      </c>
      <c r="L2044">
        <v>41</v>
      </c>
      <c r="M2044" t="s">
        <v>644</v>
      </c>
      <c r="N2044" t="s">
        <v>272</v>
      </c>
      <c r="O2044">
        <v>4155551450</v>
      </c>
      <c r="P2044" t="s">
        <v>273</v>
      </c>
      <c r="R2044" t="s">
        <v>274</v>
      </c>
      <c r="S2044" t="s">
        <v>55</v>
      </c>
      <c r="T2044">
        <v>97562</v>
      </c>
      <c r="U2044" t="s">
        <v>32</v>
      </c>
      <c r="V2044" t="s">
        <v>33</v>
      </c>
      <c r="W2044" t="s">
        <v>275</v>
      </c>
      <c r="X2044" t="s">
        <v>276</v>
      </c>
      <c r="Y2044" t="s">
        <v>36</v>
      </c>
    </row>
    <row r="2045" spans="1:25" x14ac:dyDescent="0.25">
      <c r="A2045">
        <v>10380</v>
      </c>
      <c r="B2045">
        <v>43</v>
      </c>
      <c r="C2045">
        <v>95.03</v>
      </c>
      <c r="D2045">
        <v>12</v>
      </c>
      <c r="E2045">
        <v>4086.29</v>
      </c>
      <c r="F2045" s="1">
        <v>38399</v>
      </c>
      <c r="G2045" t="s">
        <v>25</v>
      </c>
      <c r="H2045">
        <v>1</v>
      </c>
      <c r="I2045">
        <v>2</v>
      </c>
      <c r="J2045">
        <v>2005</v>
      </c>
      <c r="K2045" t="s">
        <v>550</v>
      </c>
      <c r="L2045">
        <v>41</v>
      </c>
      <c r="M2045" t="s">
        <v>644</v>
      </c>
      <c r="N2045" t="s">
        <v>174</v>
      </c>
      <c r="O2045" t="s">
        <v>175</v>
      </c>
      <c r="P2045" t="s">
        <v>176</v>
      </c>
      <c r="R2045" t="s">
        <v>177</v>
      </c>
      <c r="T2045">
        <v>28034</v>
      </c>
      <c r="U2045" t="s">
        <v>178</v>
      </c>
      <c r="V2045" t="s">
        <v>42</v>
      </c>
      <c r="W2045" t="s">
        <v>179</v>
      </c>
      <c r="X2045" t="s">
        <v>180</v>
      </c>
      <c r="Y2045" t="s">
        <v>51</v>
      </c>
    </row>
    <row r="2046" spans="1:25" x14ac:dyDescent="0.25">
      <c r="A2046">
        <v>10408</v>
      </c>
      <c r="B2046">
        <v>15</v>
      </c>
      <c r="C2046">
        <v>36.93</v>
      </c>
      <c r="D2046">
        <v>1</v>
      </c>
      <c r="E2046">
        <v>553.95000000000005</v>
      </c>
      <c r="F2046" s="1">
        <v>38464</v>
      </c>
      <c r="G2046" t="s">
        <v>25</v>
      </c>
      <c r="H2046">
        <v>2</v>
      </c>
      <c r="I2046">
        <v>4</v>
      </c>
      <c r="J2046">
        <v>2005</v>
      </c>
      <c r="K2046" t="s">
        <v>550</v>
      </c>
      <c r="L2046">
        <v>41</v>
      </c>
      <c r="M2046" t="s">
        <v>644</v>
      </c>
      <c r="N2046" t="s">
        <v>246</v>
      </c>
      <c r="O2046" t="s">
        <v>247</v>
      </c>
      <c r="P2046" t="s">
        <v>248</v>
      </c>
      <c r="R2046" t="s">
        <v>249</v>
      </c>
      <c r="S2046" t="s">
        <v>250</v>
      </c>
      <c r="T2046" t="s">
        <v>251</v>
      </c>
      <c r="U2046" t="s">
        <v>200</v>
      </c>
      <c r="V2046" t="s">
        <v>200</v>
      </c>
      <c r="W2046" t="s">
        <v>252</v>
      </c>
      <c r="X2046" t="s">
        <v>253</v>
      </c>
      <c r="Y2046" t="s">
        <v>36</v>
      </c>
    </row>
    <row r="2047" spans="1:25" x14ac:dyDescent="0.25">
      <c r="A2047">
        <v>10420</v>
      </c>
      <c r="B2047">
        <v>15</v>
      </c>
      <c r="C2047">
        <v>43.49</v>
      </c>
      <c r="D2047">
        <v>3</v>
      </c>
      <c r="E2047">
        <v>652.35</v>
      </c>
      <c r="F2047" s="1">
        <v>38501</v>
      </c>
      <c r="G2047" t="s">
        <v>300</v>
      </c>
      <c r="H2047">
        <v>2</v>
      </c>
      <c r="I2047">
        <v>5</v>
      </c>
      <c r="J2047">
        <v>2005</v>
      </c>
      <c r="K2047" t="s">
        <v>550</v>
      </c>
      <c r="L2047">
        <v>41</v>
      </c>
      <c r="M2047" t="s">
        <v>644</v>
      </c>
      <c r="N2047" t="s">
        <v>152</v>
      </c>
      <c r="O2047" t="s">
        <v>153</v>
      </c>
      <c r="P2047" t="s">
        <v>154</v>
      </c>
      <c r="Q2047" t="s">
        <v>155</v>
      </c>
      <c r="R2047" t="s">
        <v>156</v>
      </c>
      <c r="S2047" t="s">
        <v>157</v>
      </c>
      <c r="T2047">
        <v>2067</v>
      </c>
      <c r="U2047" t="s">
        <v>95</v>
      </c>
      <c r="V2047" t="s">
        <v>96</v>
      </c>
      <c r="W2047" t="s">
        <v>158</v>
      </c>
      <c r="X2047" t="s">
        <v>159</v>
      </c>
      <c r="Y2047" t="s">
        <v>36</v>
      </c>
    </row>
    <row r="2048" spans="1:25" x14ac:dyDescent="0.25">
      <c r="A2048">
        <v>10104</v>
      </c>
      <c r="B2048">
        <v>26</v>
      </c>
      <c r="C2048">
        <v>100</v>
      </c>
      <c r="D2048">
        <v>5</v>
      </c>
      <c r="E2048">
        <v>2921.62</v>
      </c>
      <c r="F2048" s="1">
        <v>37652</v>
      </c>
      <c r="G2048" t="s">
        <v>25</v>
      </c>
      <c r="H2048">
        <v>1</v>
      </c>
      <c r="I2048">
        <v>1</v>
      </c>
      <c r="J2048">
        <v>2003</v>
      </c>
      <c r="K2048" t="s">
        <v>181</v>
      </c>
      <c r="L2048">
        <v>118</v>
      </c>
      <c r="M2048" t="s">
        <v>645</v>
      </c>
      <c r="N2048" t="s">
        <v>174</v>
      </c>
      <c r="O2048" t="s">
        <v>175</v>
      </c>
      <c r="P2048" t="s">
        <v>176</v>
      </c>
      <c r="R2048" t="s">
        <v>177</v>
      </c>
      <c r="T2048">
        <v>28034</v>
      </c>
      <c r="U2048" t="s">
        <v>178</v>
      </c>
      <c r="V2048" t="s">
        <v>42</v>
      </c>
      <c r="W2048" t="s">
        <v>179</v>
      </c>
      <c r="X2048" t="s">
        <v>180</v>
      </c>
      <c r="Y2048" t="s">
        <v>36</v>
      </c>
    </row>
    <row r="2049" spans="1:25" x14ac:dyDescent="0.25">
      <c r="A2049">
        <v>10115</v>
      </c>
      <c r="B2049">
        <v>44</v>
      </c>
      <c r="C2049">
        <v>100</v>
      </c>
      <c r="D2049">
        <v>1</v>
      </c>
      <c r="E2049">
        <v>5568.64</v>
      </c>
      <c r="F2049" s="1">
        <v>37715</v>
      </c>
      <c r="G2049" t="s">
        <v>25</v>
      </c>
      <c r="H2049">
        <v>2</v>
      </c>
      <c r="I2049">
        <v>4</v>
      </c>
      <c r="J2049">
        <v>2003</v>
      </c>
      <c r="K2049" t="s">
        <v>181</v>
      </c>
      <c r="L2049">
        <v>118</v>
      </c>
      <c r="M2049" t="s">
        <v>645</v>
      </c>
      <c r="N2049" t="s">
        <v>203</v>
      </c>
      <c r="O2049">
        <v>2125558493</v>
      </c>
      <c r="P2049" t="s">
        <v>204</v>
      </c>
      <c r="Q2049" t="s">
        <v>205</v>
      </c>
      <c r="R2049" t="s">
        <v>30</v>
      </c>
      <c r="S2049" t="s">
        <v>31</v>
      </c>
      <c r="T2049">
        <v>10022</v>
      </c>
      <c r="U2049" t="s">
        <v>32</v>
      </c>
      <c r="V2049" t="s">
        <v>33</v>
      </c>
      <c r="W2049" t="s">
        <v>124</v>
      </c>
      <c r="X2049" t="s">
        <v>206</v>
      </c>
      <c r="Y2049" t="s">
        <v>51</v>
      </c>
    </row>
    <row r="2050" spans="1:25" x14ac:dyDescent="0.25">
      <c r="A2050">
        <v>10127</v>
      </c>
      <c r="B2050">
        <v>20</v>
      </c>
      <c r="C2050">
        <v>96.99</v>
      </c>
      <c r="D2050">
        <v>7</v>
      </c>
      <c r="E2050">
        <v>1939.8</v>
      </c>
      <c r="F2050" s="1">
        <v>37775</v>
      </c>
      <c r="G2050" t="s">
        <v>25</v>
      </c>
      <c r="H2050">
        <v>2</v>
      </c>
      <c r="I2050">
        <v>6</v>
      </c>
      <c r="J2050">
        <v>2003</v>
      </c>
      <c r="K2050" t="s">
        <v>181</v>
      </c>
      <c r="L2050">
        <v>118</v>
      </c>
      <c r="M2050" t="s">
        <v>645</v>
      </c>
      <c r="N2050" t="s">
        <v>475</v>
      </c>
      <c r="O2050">
        <v>2125557413</v>
      </c>
      <c r="P2050" t="s">
        <v>476</v>
      </c>
      <c r="Q2050" t="s">
        <v>477</v>
      </c>
      <c r="R2050" t="s">
        <v>30</v>
      </c>
      <c r="S2050" t="s">
        <v>31</v>
      </c>
      <c r="T2050">
        <v>10022</v>
      </c>
      <c r="U2050" t="s">
        <v>32</v>
      </c>
      <c r="V2050" t="s">
        <v>33</v>
      </c>
      <c r="W2050" t="s">
        <v>56</v>
      </c>
      <c r="X2050" t="s">
        <v>478</v>
      </c>
      <c r="Y2050" t="s">
        <v>36</v>
      </c>
    </row>
    <row r="2051" spans="1:25" x14ac:dyDescent="0.25">
      <c r="A2051">
        <v>10141</v>
      </c>
      <c r="B2051">
        <v>40</v>
      </c>
      <c r="C2051">
        <v>94.62</v>
      </c>
      <c r="D2051">
        <v>1</v>
      </c>
      <c r="E2051">
        <v>3784.8</v>
      </c>
      <c r="F2051" s="1">
        <v>37834</v>
      </c>
      <c r="G2051" t="s">
        <v>25</v>
      </c>
      <c r="H2051">
        <v>3</v>
      </c>
      <c r="I2051">
        <v>8</v>
      </c>
      <c r="J2051">
        <v>2003</v>
      </c>
      <c r="K2051" t="s">
        <v>181</v>
      </c>
      <c r="L2051">
        <v>118</v>
      </c>
      <c r="M2051" t="s">
        <v>645</v>
      </c>
      <c r="N2051" t="s">
        <v>467</v>
      </c>
      <c r="O2051" t="s">
        <v>468</v>
      </c>
      <c r="P2051" t="s">
        <v>469</v>
      </c>
      <c r="R2051" t="s">
        <v>470</v>
      </c>
      <c r="T2051" t="s">
        <v>471</v>
      </c>
      <c r="U2051" t="s">
        <v>130</v>
      </c>
      <c r="V2051" t="s">
        <v>42</v>
      </c>
      <c r="W2051" t="s">
        <v>472</v>
      </c>
      <c r="X2051" t="s">
        <v>473</v>
      </c>
      <c r="Y2051" t="s">
        <v>51</v>
      </c>
    </row>
    <row r="2052" spans="1:25" x14ac:dyDescent="0.25">
      <c r="A2052">
        <v>10152</v>
      </c>
      <c r="B2052">
        <v>23</v>
      </c>
      <c r="C2052">
        <v>100</v>
      </c>
      <c r="D2052">
        <v>3</v>
      </c>
      <c r="E2052">
        <v>2802.09</v>
      </c>
      <c r="F2052" s="1">
        <v>37889</v>
      </c>
      <c r="G2052" t="s">
        <v>25</v>
      </c>
      <c r="H2052">
        <v>3</v>
      </c>
      <c r="I2052">
        <v>9</v>
      </c>
      <c r="J2052">
        <v>2003</v>
      </c>
      <c r="K2052" t="s">
        <v>181</v>
      </c>
      <c r="L2052">
        <v>118</v>
      </c>
      <c r="M2052" t="s">
        <v>645</v>
      </c>
      <c r="N2052" t="s">
        <v>207</v>
      </c>
      <c r="O2052" t="s">
        <v>208</v>
      </c>
      <c r="P2052" t="s">
        <v>209</v>
      </c>
      <c r="R2052" t="s">
        <v>210</v>
      </c>
      <c r="S2052" t="s">
        <v>211</v>
      </c>
      <c r="T2052">
        <v>4101</v>
      </c>
      <c r="U2052" t="s">
        <v>95</v>
      </c>
      <c r="V2052" t="s">
        <v>96</v>
      </c>
      <c r="W2052" t="s">
        <v>212</v>
      </c>
      <c r="X2052" t="s">
        <v>213</v>
      </c>
      <c r="Y2052" t="s">
        <v>36</v>
      </c>
    </row>
    <row r="2053" spans="1:25" x14ac:dyDescent="0.25">
      <c r="A2053">
        <v>10165</v>
      </c>
      <c r="B2053">
        <v>24</v>
      </c>
      <c r="C2053">
        <v>99.36</v>
      </c>
      <c r="D2053">
        <v>8</v>
      </c>
      <c r="E2053">
        <v>2384.64</v>
      </c>
      <c r="F2053" s="1">
        <v>37916</v>
      </c>
      <c r="G2053" t="s">
        <v>25</v>
      </c>
      <c r="H2053">
        <v>4</v>
      </c>
      <c r="I2053">
        <v>10</v>
      </c>
      <c r="J2053">
        <v>2003</v>
      </c>
      <c r="K2053" t="s">
        <v>181</v>
      </c>
      <c r="L2053">
        <v>118</v>
      </c>
      <c r="M2053" t="s">
        <v>645</v>
      </c>
      <c r="N2053" t="s">
        <v>196</v>
      </c>
      <c r="O2053" t="s">
        <v>197</v>
      </c>
      <c r="P2053" t="s">
        <v>198</v>
      </c>
      <c r="R2053" t="s">
        <v>199</v>
      </c>
      <c r="T2053">
        <v>79903</v>
      </c>
      <c r="U2053" t="s">
        <v>199</v>
      </c>
      <c r="V2053" t="s">
        <v>200</v>
      </c>
      <c r="W2053" t="s">
        <v>201</v>
      </c>
      <c r="X2053" t="s">
        <v>202</v>
      </c>
      <c r="Y2053" t="s">
        <v>36</v>
      </c>
    </row>
    <row r="2054" spans="1:25" x14ac:dyDescent="0.25">
      <c r="A2054">
        <v>10176</v>
      </c>
      <c r="B2054">
        <v>29</v>
      </c>
      <c r="C2054">
        <v>100</v>
      </c>
      <c r="D2054">
        <v>7</v>
      </c>
      <c r="E2054">
        <v>2915.66</v>
      </c>
      <c r="F2054" s="1">
        <v>37931</v>
      </c>
      <c r="G2054" t="s">
        <v>25</v>
      </c>
      <c r="H2054">
        <v>4</v>
      </c>
      <c r="I2054">
        <v>11</v>
      </c>
      <c r="J2054">
        <v>2003</v>
      </c>
      <c r="K2054" t="s">
        <v>181</v>
      </c>
      <c r="L2054">
        <v>118</v>
      </c>
      <c r="M2054" t="s">
        <v>645</v>
      </c>
      <c r="N2054" t="s">
        <v>452</v>
      </c>
      <c r="O2054" t="s">
        <v>453</v>
      </c>
      <c r="P2054" t="s">
        <v>454</v>
      </c>
      <c r="R2054" t="s">
        <v>455</v>
      </c>
      <c r="T2054">
        <v>42100</v>
      </c>
      <c r="U2054" t="s">
        <v>258</v>
      </c>
      <c r="V2054" t="s">
        <v>42</v>
      </c>
      <c r="W2054" t="s">
        <v>456</v>
      </c>
      <c r="X2054" t="s">
        <v>457</v>
      </c>
      <c r="Y2054" t="s">
        <v>36</v>
      </c>
    </row>
    <row r="2055" spans="1:25" x14ac:dyDescent="0.25">
      <c r="A2055">
        <v>10184</v>
      </c>
      <c r="B2055">
        <v>49</v>
      </c>
      <c r="C2055">
        <v>100</v>
      </c>
      <c r="D2055">
        <v>2</v>
      </c>
      <c r="E2055">
        <v>5795.72</v>
      </c>
      <c r="F2055" s="1">
        <v>37939</v>
      </c>
      <c r="G2055" t="s">
        <v>25</v>
      </c>
      <c r="H2055">
        <v>4</v>
      </c>
      <c r="I2055">
        <v>11</v>
      </c>
      <c r="J2055">
        <v>2003</v>
      </c>
      <c r="K2055" t="s">
        <v>181</v>
      </c>
      <c r="L2055">
        <v>118</v>
      </c>
      <c r="M2055" t="s">
        <v>645</v>
      </c>
      <c r="N2055" t="s">
        <v>520</v>
      </c>
      <c r="O2055" t="s">
        <v>521</v>
      </c>
      <c r="P2055" t="s">
        <v>522</v>
      </c>
      <c r="R2055" t="s">
        <v>523</v>
      </c>
      <c r="T2055">
        <v>41101</v>
      </c>
      <c r="U2055" t="s">
        <v>178</v>
      </c>
      <c r="V2055" t="s">
        <v>42</v>
      </c>
      <c r="W2055" t="s">
        <v>524</v>
      </c>
      <c r="X2055" t="s">
        <v>525</v>
      </c>
      <c r="Y2055" t="s">
        <v>51</v>
      </c>
    </row>
    <row r="2056" spans="1:25" x14ac:dyDescent="0.25">
      <c r="A2056">
        <v>10195</v>
      </c>
      <c r="B2056">
        <v>34</v>
      </c>
      <c r="C2056">
        <v>100</v>
      </c>
      <c r="D2056">
        <v>2</v>
      </c>
      <c r="E2056">
        <v>3699.88</v>
      </c>
      <c r="F2056" s="1">
        <v>37950</v>
      </c>
      <c r="G2056" t="s">
        <v>25</v>
      </c>
      <c r="H2056">
        <v>4</v>
      </c>
      <c r="I2056">
        <v>11</v>
      </c>
      <c r="J2056">
        <v>2003</v>
      </c>
      <c r="K2056" t="s">
        <v>181</v>
      </c>
      <c r="L2056">
        <v>118</v>
      </c>
      <c r="M2056" t="s">
        <v>645</v>
      </c>
      <c r="N2056" t="s">
        <v>317</v>
      </c>
      <c r="O2056">
        <v>9145554562</v>
      </c>
      <c r="P2056" t="s">
        <v>318</v>
      </c>
      <c r="R2056" t="s">
        <v>319</v>
      </c>
      <c r="S2056" t="s">
        <v>31</v>
      </c>
      <c r="T2056">
        <v>24067</v>
      </c>
      <c r="U2056" t="s">
        <v>32</v>
      </c>
      <c r="V2056" t="s">
        <v>33</v>
      </c>
      <c r="W2056" t="s">
        <v>102</v>
      </c>
      <c r="X2056" t="s">
        <v>238</v>
      </c>
      <c r="Y2056" t="s">
        <v>51</v>
      </c>
    </row>
    <row r="2057" spans="1:25" x14ac:dyDescent="0.25">
      <c r="A2057">
        <v>10207</v>
      </c>
      <c r="B2057">
        <v>28</v>
      </c>
      <c r="C2057">
        <v>100</v>
      </c>
      <c r="D2057">
        <v>3</v>
      </c>
      <c r="E2057">
        <v>2980.6</v>
      </c>
      <c r="F2057" s="1">
        <v>37964</v>
      </c>
      <c r="G2057" t="s">
        <v>25</v>
      </c>
      <c r="H2057">
        <v>4</v>
      </c>
      <c r="I2057">
        <v>12</v>
      </c>
      <c r="J2057">
        <v>2003</v>
      </c>
      <c r="K2057" t="s">
        <v>181</v>
      </c>
      <c r="L2057">
        <v>118</v>
      </c>
      <c r="M2057" t="s">
        <v>645</v>
      </c>
      <c r="N2057" t="s">
        <v>415</v>
      </c>
      <c r="O2057">
        <v>6175552555</v>
      </c>
      <c r="P2057" t="s">
        <v>416</v>
      </c>
      <c r="R2057" t="s">
        <v>381</v>
      </c>
      <c r="S2057" t="s">
        <v>123</v>
      </c>
      <c r="T2057">
        <v>51003</v>
      </c>
      <c r="U2057" t="s">
        <v>32</v>
      </c>
      <c r="V2057" t="s">
        <v>33</v>
      </c>
      <c r="W2057" t="s">
        <v>417</v>
      </c>
      <c r="X2057" t="s">
        <v>276</v>
      </c>
      <c r="Y2057" t="s">
        <v>36</v>
      </c>
    </row>
    <row r="2058" spans="1:25" x14ac:dyDescent="0.25">
      <c r="A2058">
        <v>10220</v>
      </c>
      <c r="B2058">
        <v>37</v>
      </c>
      <c r="C2058">
        <v>100</v>
      </c>
      <c r="D2058">
        <v>7</v>
      </c>
      <c r="E2058">
        <v>5032.74</v>
      </c>
      <c r="F2058" s="1">
        <v>38029</v>
      </c>
      <c r="G2058" t="s">
        <v>25</v>
      </c>
      <c r="H2058">
        <v>1</v>
      </c>
      <c r="I2058">
        <v>2</v>
      </c>
      <c r="J2058">
        <v>2004</v>
      </c>
      <c r="K2058" t="s">
        <v>181</v>
      </c>
      <c r="L2058">
        <v>118</v>
      </c>
      <c r="M2058" t="s">
        <v>645</v>
      </c>
      <c r="N2058" t="s">
        <v>479</v>
      </c>
      <c r="O2058" t="s">
        <v>480</v>
      </c>
      <c r="P2058" t="s">
        <v>481</v>
      </c>
      <c r="Q2058" t="s">
        <v>482</v>
      </c>
      <c r="R2058" t="s">
        <v>483</v>
      </c>
      <c r="T2058">
        <v>2</v>
      </c>
      <c r="U2058" t="s">
        <v>484</v>
      </c>
      <c r="V2058" t="s">
        <v>42</v>
      </c>
      <c r="W2058" t="s">
        <v>485</v>
      </c>
      <c r="X2058" t="s">
        <v>486</v>
      </c>
      <c r="Y2058" t="s">
        <v>51</v>
      </c>
    </row>
    <row r="2059" spans="1:25" x14ac:dyDescent="0.25">
      <c r="A2059">
        <v>10230</v>
      </c>
      <c r="B2059">
        <v>45</v>
      </c>
      <c r="C2059">
        <v>100</v>
      </c>
      <c r="D2059">
        <v>5</v>
      </c>
      <c r="E2059">
        <v>4737.1499999999996</v>
      </c>
      <c r="F2059" s="1">
        <v>38061</v>
      </c>
      <c r="G2059" t="s">
        <v>25</v>
      </c>
      <c r="H2059">
        <v>1</v>
      </c>
      <c r="I2059">
        <v>3</v>
      </c>
      <c r="J2059">
        <v>2004</v>
      </c>
      <c r="K2059" t="s">
        <v>181</v>
      </c>
      <c r="L2059">
        <v>118</v>
      </c>
      <c r="M2059" t="s">
        <v>645</v>
      </c>
      <c r="N2059" t="s">
        <v>462</v>
      </c>
      <c r="O2059" t="s">
        <v>463</v>
      </c>
      <c r="P2059" t="s">
        <v>464</v>
      </c>
      <c r="R2059" t="s">
        <v>465</v>
      </c>
      <c r="T2059">
        <v>60528</v>
      </c>
      <c r="U2059" t="s">
        <v>443</v>
      </c>
      <c r="V2059" t="s">
        <v>42</v>
      </c>
      <c r="W2059" t="s">
        <v>466</v>
      </c>
      <c r="X2059" t="s">
        <v>414</v>
      </c>
      <c r="Y2059" t="s">
        <v>51</v>
      </c>
    </row>
    <row r="2060" spans="1:25" x14ac:dyDescent="0.25">
      <c r="A2060">
        <v>10246</v>
      </c>
      <c r="B2060">
        <v>46</v>
      </c>
      <c r="C2060">
        <v>100</v>
      </c>
      <c r="D2060">
        <v>1</v>
      </c>
      <c r="E2060">
        <v>6311.2</v>
      </c>
      <c r="F2060" s="1">
        <v>38112</v>
      </c>
      <c r="G2060" t="s">
        <v>25</v>
      </c>
      <c r="H2060">
        <v>2</v>
      </c>
      <c r="I2060">
        <v>5</v>
      </c>
      <c r="J2060">
        <v>2004</v>
      </c>
      <c r="K2060" t="s">
        <v>181</v>
      </c>
      <c r="L2060">
        <v>118</v>
      </c>
      <c r="M2060" t="s">
        <v>645</v>
      </c>
      <c r="N2060" t="s">
        <v>174</v>
      </c>
      <c r="O2060" t="s">
        <v>175</v>
      </c>
      <c r="P2060" t="s">
        <v>176</v>
      </c>
      <c r="R2060" t="s">
        <v>177</v>
      </c>
      <c r="T2060">
        <v>28034</v>
      </c>
      <c r="U2060" t="s">
        <v>178</v>
      </c>
      <c r="V2060" t="s">
        <v>42</v>
      </c>
      <c r="W2060" t="s">
        <v>179</v>
      </c>
      <c r="X2060" t="s">
        <v>180</v>
      </c>
      <c r="Y2060" t="s">
        <v>51</v>
      </c>
    </row>
    <row r="2061" spans="1:25" x14ac:dyDescent="0.25">
      <c r="A2061">
        <v>10271</v>
      </c>
      <c r="B2061">
        <v>22</v>
      </c>
      <c r="C2061">
        <v>100</v>
      </c>
      <c r="D2061">
        <v>1</v>
      </c>
      <c r="E2061">
        <v>3070.54</v>
      </c>
      <c r="F2061" s="1">
        <v>38188</v>
      </c>
      <c r="G2061" t="s">
        <v>25</v>
      </c>
      <c r="H2061">
        <v>3</v>
      </c>
      <c r="I2061">
        <v>7</v>
      </c>
      <c r="J2061">
        <v>2004</v>
      </c>
      <c r="K2061" t="s">
        <v>181</v>
      </c>
      <c r="L2061">
        <v>118</v>
      </c>
      <c r="M2061" t="s">
        <v>645</v>
      </c>
      <c r="N2061" t="s">
        <v>272</v>
      </c>
      <c r="O2061">
        <v>4155551450</v>
      </c>
      <c r="P2061" t="s">
        <v>273</v>
      </c>
      <c r="R2061" t="s">
        <v>274</v>
      </c>
      <c r="S2061" t="s">
        <v>55</v>
      </c>
      <c r="T2061">
        <v>97562</v>
      </c>
      <c r="U2061" t="s">
        <v>32</v>
      </c>
      <c r="V2061" t="s">
        <v>33</v>
      </c>
      <c r="W2061" t="s">
        <v>275</v>
      </c>
      <c r="X2061" t="s">
        <v>276</v>
      </c>
      <c r="Y2061" t="s">
        <v>51</v>
      </c>
    </row>
    <row r="2062" spans="1:25" x14ac:dyDescent="0.25">
      <c r="A2062">
        <v>10282</v>
      </c>
      <c r="B2062">
        <v>39</v>
      </c>
      <c r="C2062">
        <v>100</v>
      </c>
      <c r="D2062">
        <v>10</v>
      </c>
      <c r="E2062">
        <v>4797.3900000000003</v>
      </c>
      <c r="F2062" s="1">
        <v>38219</v>
      </c>
      <c r="G2062" t="s">
        <v>25</v>
      </c>
      <c r="H2062">
        <v>3</v>
      </c>
      <c r="I2062">
        <v>8</v>
      </c>
      <c r="J2062">
        <v>2004</v>
      </c>
      <c r="K2062" t="s">
        <v>181</v>
      </c>
      <c r="L2062">
        <v>118</v>
      </c>
      <c r="M2062" t="s">
        <v>645</v>
      </c>
      <c r="N2062" t="s">
        <v>272</v>
      </c>
      <c r="O2062">
        <v>4155551450</v>
      </c>
      <c r="P2062" t="s">
        <v>273</v>
      </c>
      <c r="R2062" t="s">
        <v>274</v>
      </c>
      <c r="S2062" t="s">
        <v>55</v>
      </c>
      <c r="T2062">
        <v>97562</v>
      </c>
      <c r="U2062" t="s">
        <v>32</v>
      </c>
      <c r="V2062" t="s">
        <v>33</v>
      </c>
      <c r="W2062" t="s">
        <v>275</v>
      </c>
      <c r="X2062" t="s">
        <v>276</v>
      </c>
      <c r="Y2062" t="s">
        <v>51</v>
      </c>
    </row>
    <row r="2063" spans="1:25" x14ac:dyDescent="0.25">
      <c r="A2063">
        <v>10292</v>
      </c>
      <c r="B2063">
        <v>27</v>
      </c>
      <c r="C2063">
        <v>100</v>
      </c>
      <c r="D2063">
        <v>4</v>
      </c>
      <c r="E2063">
        <v>3832.38</v>
      </c>
      <c r="F2063" s="1">
        <v>38238</v>
      </c>
      <c r="G2063" t="s">
        <v>25</v>
      </c>
      <c r="H2063">
        <v>3</v>
      </c>
      <c r="I2063">
        <v>9</v>
      </c>
      <c r="J2063">
        <v>2004</v>
      </c>
      <c r="K2063" t="s">
        <v>181</v>
      </c>
      <c r="L2063">
        <v>118</v>
      </c>
      <c r="M2063" t="s">
        <v>645</v>
      </c>
      <c r="N2063" t="s">
        <v>28</v>
      </c>
      <c r="O2063">
        <v>2125557818</v>
      </c>
      <c r="P2063" t="s">
        <v>29</v>
      </c>
      <c r="R2063" t="s">
        <v>30</v>
      </c>
      <c r="S2063" t="s">
        <v>31</v>
      </c>
      <c r="T2063">
        <v>10022</v>
      </c>
      <c r="U2063" t="s">
        <v>32</v>
      </c>
      <c r="V2063" t="s">
        <v>33</v>
      </c>
      <c r="W2063" t="s">
        <v>34</v>
      </c>
      <c r="X2063" t="s">
        <v>35</v>
      </c>
      <c r="Y2063" t="s">
        <v>51</v>
      </c>
    </row>
    <row r="2064" spans="1:25" x14ac:dyDescent="0.25">
      <c r="A2064">
        <v>10305</v>
      </c>
      <c r="B2064">
        <v>36</v>
      </c>
      <c r="C2064">
        <v>100</v>
      </c>
      <c r="D2064">
        <v>1</v>
      </c>
      <c r="E2064">
        <v>4641.4799999999996</v>
      </c>
      <c r="F2064" s="1">
        <v>38273</v>
      </c>
      <c r="G2064" t="s">
        <v>25</v>
      </c>
      <c r="H2064">
        <v>4</v>
      </c>
      <c r="I2064">
        <v>10</v>
      </c>
      <c r="J2064">
        <v>2004</v>
      </c>
      <c r="K2064" t="s">
        <v>181</v>
      </c>
      <c r="L2064">
        <v>118</v>
      </c>
      <c r="M2064" t="s">
        <v>645</v>
      </c>
      <c r="N2064" t="s">
        <v>120</v>
      </c>
      <c r="O2064">
        <v>6175558555</v>
      </c>
      <c r="P2064" t="s">
        <v>121</v>
      </c>
      <c r="R2064" t="s">
        <v>122</v>
      </c>
      <c r="S2064" t="s">
        <v>123</v>
      </c>
      <c r="T2064">
        <v>51247</v>
      </c>
      <c r="U2064" t="s">
        <v>32</v>
      </c>
      <c r="V2064" t="s">
        <v>33</v>
      </c>
      <c r="W2064" t="s">
        <v>124</v>
      </c>
      <c r="X2064" t="s">
        <v>125</v>
      </c>
      <c r="Y2064" t="s">
        <v>51</v>
      </c>
    </row>
    <row r="2065" spans="1:25" x14ac:dyDescent="0.25">
      <c r="A2065">
        <v>10314</v>
      </c>
      <c r="B2065">
        <v>38</v>
      </c>
      <c r="C2065">
        <v>100</v>
      </c>
      <c r="D2065">
        <v>10</v>
      </c>
      <c r="E2065">
        <v>4000.26</v>
      </c>
      <c r="F2065" s="1">
        <v>38282</v>
      </c>
      <c r="G2065" t="s">
        <v>25</v>
      </c>
      <c r="H2065">
        <v>4</v>
      </c>
      <c r="I2065">
        <v>10</v>
      </c>
      <c r="J2065">
        <v>2004</v>
      </c>
      <c r="K2065" t="s">
        <v>181</v>
      </c>
      <c r="L2065">
        <v>118</v>
      </c>
      <c r="M2065" t="s">
        <v>645</v>
      </c>
      <c r="N2065" t="s">
        <v>498</v>
      </c>
      <c r="O2065" t="s">
        <v>499</v>
      </c>
      <c r="P2065" t="s">
        <v>500</v>
      </c>
      <c r="R2065" t="s">
        <v>501</v>
      </c>
      <c r="T2065">
        <v>8200</v>
      </c>
      <c r="U2065" t="s">
        <v>326</v>
      </c>
      <c r="V2065" t="s">
        <v>42</v>
      </c>
      <c r="W2065" t="s">
        <v>502</v>
      </c>
      <c r="X2065" t="s">
        <v>503</v>
      </c>
      <c r="Y2065" t="s">
        <v>51</v>
      </c>
    </row>
    <row r="2066" spans="1:25" x14ac:dyDescent="0.25">
      <c r="A2066">
        <v>10325</v>
      </c>
      <c r="B2066">
        <v>44</v>
      </c>
      <c r="C2066">
        <v>100</v>
      </c>
      <c r="D2066">
        <v>5</v>
      </c>
      <c r="E2066">
        <v>5325.76</v>
      </c>
      <c r="F2066" s="1">
        <v>38296</v>
      </c>
      <c r="G2066" t="s">
        <v>25</v>
      </c>
      <c r="H2066">
        <v>4</v>
      </c>
      <c r="I2066">
        <v>11</v>
      </c>
      <c r="J2066">
        <v>2004</v>
      </c>
      <c r="K2066" t="s">
        <v>181</v>
      </c>
      <c r="L2066">
        <v>118</v>
      </c>
      <c r="M2066" t="s">
        <v>645</v>
      </c>
      <c r="N2066" t="s">
        <v>133</v>
      </c>
      <c r="O2066" t="s">
        <v>134</v>
      </c>
      <c r="P2066" t="s">
        <v>135</v>
      </c>
      <c r="R2066" t="s">
        <v>136</v>
      </c>
      <c r="T2066">
        <v>4110</v>
      </c>
      <c r="U2066" t="s">
        <v>78</v>
      </c>
      <c r="V2066" t="s">
        <v>42</v>
      </c>
      <c r="W2066" t="s">
        <v>137</v>
      </c>
      <c r="X2066" t="s">
        <v>138</v>
      </c>
      <c r="Y2066" t="s">
        <v>51</v>
      </c>
    </row>
    <row r="2067" spans="1:25" x14ac:dyDescent="0.25">
      <c r="A2067">
        <v>10336</v>
      </c>
      <c r="B2067">
        <v>31</v>
      </c>
      <c r="C2067">
        <v>100</v>
      </c>
      <c r="D2067">
        <v>5</v>
      </c>
      <c r="E2067">
        <v>4618.6899999999996</v>
      </c>
      <c r="F2067" s="1">
        <v>38311</v>
      </c>
      <c r="G2067" t="s">
        <v>25</v>
      </c>
      <c r="H2067">
        <v>4</v>
      </c>
      <c r="I2067">
        <v>11</v>
      </c>
      <c r="J2067">
        <v>2004</v>
      </c>
      <c r="K2067" t="s">
        <v>181</v>
      </c>
      <c r="L2067">
        <v>118</v>
      </c>
      <c r="M2067" t="s">
        <v>645</v>
      </c>
      <c r="N2067" t="s">
        <v>403</v>
      </c>
      <c r="O2067" t="s">
        <v>404</v>
      </c>
      <c r="P2067" t="s">
        <v>405</v>
      </c>
      <c r="R2067" t="s">
        <v>48</v>
      </c>
      <c r="T2067">
        <v>75012</v>
      </c>
      <c r="U2067" t="s">
        <v>41</v>
      </c>
      <c r="V2067" t="s">
        <v>42</v>
      </c>
      <c r="W2067" t="s">
        <v>406</v>
      </c>
      <c r="X2067" t="s">
        <v>407</v>
      </c>
      <c r="Y2067" t="s">
        <v>51</v>
      </c>
    </row>
    <row r="2068" spans="1:25" x14ac:dyDescent="0.25">
      <c r="A2068">
        <v>10349</v>
      </c>
      <c r="B2068">
        <v>23</v>
      </c>
      <c r="C2068">
        <v>100</v>
      </c>
      <c r="D2068">
        <v>2</v>
      </c>
      <c r="E2068">
        <v>3182.97</v>
      </c>
      <c r="F2068" s="1">
        <v>38322</v>
      </c>
      <c r="G2068" t="s">
        <v>25</v>
      </c>
      <c r="H2068">
        <v>4</v>
      </c>
      <c r="I2068">
        <v>12</v>
      </c>
      <c r="J2068">
        <v>2004</v>
      </c>
      <c r="K2068" t="s">
        <v>181</v>
      </c>
      <c r="L2068">
        <v>118</v>
      </c>
      <c r="M2068" t="s">
        <v>645</v>
      </c>
      <c r="N2068" t="s">
        <v>475</v>
      </c>
      <c r="O2068">
        <v>2125557413</v>
      </c>
      <c r="P2068" t="s">
        <v>476</v>
      </c>
      <c r="Q2068" t="s">
        <v>477</v>
      </c>
      <c r="R2068" t="s">
        <v>30</v>
      </c>
      <c r="S2068" t="s">
        <v>31</v>
      </c>
      <c r="T2068">
        <v>10022</v>
      </c>
      <c r="U2068" t="s">
        <v>32</v>
      </c>
      <c r="V2068" t="s">
        <v>33</v>
      </c>
      <c r="W2068" t="s">
        <v>56</v>
      </c>
      <c r="X2068" t="s">
        <v>478</v>
      </c>
      <c r="Y2068" t="s">
        <v>51</v>
      </c>
    </row>
    <row r="2069" spans="1:25" x14ac:dyDescent="0.25">
      <c r="A2069">
        <v>10359</v>
      </c>
      <c r="B2069">
        <v>22</v>
      </c>
      <c r="C2069">
        <v>100</v>
      </c>
      <c r="D2069">
        <v>7</v>
      </c>
      <c r="E2069">
        <v>2603.04</v>
      </c>
      <c r="F2069" s="1">
        <v>38336</v>
      </c>
      <c r="G2069" t="s">
        <v>25</v>
      </c>
      <c r="H2069">
        <v>4</v>
      </c>
      <c r="I2069">
        <v>12</v>
      </c>
      <c r="J2069">
        <v>2004</v>
      </c>
      <c r="K2069" t="s">
        <v>181</v>
      </c>
      <c r="L2069">
        <v>118</v>
      </c>
      <c r="M2069" t="s">
        <v>645</v>
      </c>
      <c r="N2069" t="s">
        <v>37</v>
      </c>
      <c r="O2069" t="s">
        <v>38</v>
      </c>
      <c r="P2069" t="s">
        <v>39</v>
      </c>
      <c r="R2069" t="s">
        <v>40</v>
      </c>
      <c r="T2069">
        <v>51100</v>
      </c>
      <c r="U2069" t="s">
        <v>41</v>
      </c>
      <c r="V2069" t="s">
        <v>42</v>
      </c>
      <c r="W2069" t="s">
        <v>43</v>
      </c>
      <c r="X2069" t="s">
        <v>44</v>
      </c>
      <c r="Y2069" t="s">
        <v>36</v>
      </c>
    </row>
    <row r="2070" spans="1:25" x14ac:dyDescent="0.25">
      <c r="A2070">
        <v>10371</v>
      </c>
      <c r="B2070">
        <v>28</v>
      </c>
      <c r="C2070">
        <v>50.32</v>
      </c>
      <c r="D2070">
        <v>9</v>
      </c>
      <c r="E2070">
        <v>1408.96</v>
      </c>
      <c r="F2070" s="1">
        <v>38375</v>
      </c>
      <c r="G2070" t="s">
        <v>25</v>
      </c>
      <c r="H2070">
        <v>1</v>
      </c>
      <c r="I2070">
        <v>1</v>
      </c>
      <c r="J2070">
        <v>2005</v>
      </c>
      <c r="K2070" t="s">
        <v>181</v>
      </c>
      <c r="L2070">
        <v>118</v>
      </c>
      <c r="M2070" t="s">
        <v>645</v>
      </c>
      <c r="N2070" t="s">
        <v>272</v>
      </c>
      <c r="O2070">
        <v>4155551450</v>
      </c>
      <c r="P2070" t="s">
        <v>273</v>
      </c>
      <c r="R2070" t="s">
        <v>274</v>
      </c>
      <c r="S2070" t="s">
        <v>55</v>
      </c>
      <c r="T2070">
        <v>97562</v>
      </c>
      <c r="U2070" t="s">
        <v>32</v>
      </c>
      <c r="V2070" t="s">
        <v>33</v>
      </c>
      <c r="W2070" t="s">
        <v>275</v>
      </c>
      <c r="X2070" t="s">
        <v>276</v>
      </c>
      <c r="Y2070" t="s">
        <v>36</v>
      </c>
    </row>
    <row r="2071" spans="1:25" x14ac:dyDescent="0.25">
      <c r="A2071">
        <v>10383</v>
      </c>
      <c r="B2071">
        <v>21</v>
      </c>
      <c r="C2071">
        <v>93.91</v>
      </c>
      <c r="D2071">
        <v>4</v>
      </c>
      <c r="E2071">
        <v>1972.11</v>
      </c>
      <c r="F2071" s="1">
        <v>38405</v>
      </c>
      <c r="G2071" t="s">
        <v>25</v>
      </c>
      <c r="H2071">
        <v>1</v>
      </c>
      <c r="I2071">
        <v>2</v>
      </c>
      <c r="J2071">
        <v>2005</v>
      </c>
      <c r="K2071" t="s">
        <v>181</v>
      </c>
      <c r="L2071">
        <v>118</v>
      </c>
      <c r="M2071" t="s">
        <v>645</v>
      </c>
      <c r="N2071" t="s">
        <v>174</v>
      </c>
      <c r="O2071" t="s">
        <v>175</v>
      </c>
      <c r="P2071" t="s">
        <v>176</v>
      </c>
      <c r="R2071" t="s">
        <v>177</v>
      </c>
      <c r="T2071">
        <v>28034</v>
      </c>
      <c r="U2071" t="s">
        <v>178</v>
      </c>
      <c r="V2071" t="s">
        <v>42</v>
      </c>
      <c r="W2071" t="s">
        <v>179</v>
      </c>
      <c r="X2071" t="s">
        <v>180</v>
      </c>
      <c r="Y2071" t="s">
        <v>36</v>
      </c>
    </row>
    <row r="2072" spans="1:25" x14ac:dyDescent="0.25">
      <c r="A2072">
        <v>10394</v>
      </c>
      <c r="B2072">
        <v>37</v>
      </c>
      <c r="C2072">
        <v>100</v>
      </c>
      <c r="D2072">
        <v>7</v>
      </c>
      <c r="E2072">
        <v>5207.75</v>
      </c>
      <c r="F2072" s="1">
        <v>38426</v>
      </c>
      <c r="G2072" t="s">
        <v>25</v>
      </c>
      <c r="H2072">
        <v>1</v>
      </c>
      <c r="I2072">
        <v>3</v>
      </c>
      <c r="J2072">
        <v>2005</v>
      </c>
      <c r="K2072" t="s">
        <v>181</v>
      </c>
      <c r="L2072">
        <v>118</v>
      </c>
      <c r="M2072" t="s">
        <v>645</v>
      </c>
      <c r="N2072" t="s">
        <v>174</v>
      </c>
      <c r="O2072" t="s">
        <v>175</v>
      </c>
      <c r="P2072" t="s">
        <v>176</v>
      </c>
      <c r="R2072" t="s">
        <v>177</v>
      </c>
      <c r="T2072">
        <v>28034</v>
      </c>
      <c r="U2072" t="s">
        <v>178</v>
      </c>
      <c r="V2072" t="s">
        <v>42</v>
      </c>
      <c r="W2072" t="s">
        <v>179</v>
      </c>
      <c r="X2072" t="s">
        <v>180</v>
      </c>
      <c r="Y2072" t="s">
        <v>51</v>
      </c>
    </row>
    <row r="2073" spans="1:25" x14ac:dyDescent="0.25">
      <c r="A2073">
        <v>10412</v>
      </c>
      <c r="B2073">
        <v>31</v>
      </c>
      <c r="C2073">
        <v>100</v>
      </c>
      <c r="D2073">
        <v>1</v>
      </c>
      <c r="E2073">
        <v>4253.2</v>
      </c>
      <c r="F2073" s="1">
        <v>38475</v>
      </c>
      <c r="G2073" t="s">
        <v>25</v>
      </c>
      <c r="H2073">
        <v>2</v>
      </c>
      <c r="I2073">
        <v>5</v>
      </c>
      <c r="J2073">
        <v>2005</v>
      </c>
      <c r="K2073" t="s">
        <v>181</v>
      </c>
      <c r="L2073">
        <v>118</v>
      </c>
      <c r="M2073" t="s">
        <v>645</v>
      </c>
      <c r="N2073" t="s">
        <v>174</v>
      </c>
      <c r="O2073" t="s">
        <v>175</v>
      </c>
      <c r="P2073" t="s">
        <v>176</v>
      </c>
      <c r="R2073" t="s">
        <v>177</v>
      </c>
      <c r="T2073">
        <v>28034</v>
      </c>
      <c r="U2073" t="s">
        <v>178</v>
      </c>
      <c r="V2073" t="s">
        <v>42</v>
      </c>
      <c r="W2073" t="s">
        <v>179</v>
      </c>
      <c r="X2073" t="s">
        <v>180</v>
      </c>
      <c r="Y2073" t="s">
        <v>51</v>
      </c>
    </row>
    <row r="2074" spans="1:25" x14ac:dyDescent="0.25">
      <c r="A2074">
        <v>10103</v>
      </c>
      <c r="B2074">
        <v>25</v>
      </c>
      <c r="C2074">
        <v>100</v>
      </c>
      <c r="D2074">
        <v>15</v>
      </c>
      <c r="E2074">
        <v>2873</v>
      </c>
      <c r="F2074" s="1">
        <v>37650</v>
      </c>
      <c r="G2074" t="s">
        <v>25</v>
      </c>
      <c r="H2074">
        <v>1</v>
      </c>
      <c r="I2074">
        <v>1</v>
      </c>
      <c r="J2074">
        <v>2003</v>
      </c>
      <c r="K2074" t="s">
        <v>550</v>
      </c>
      <c r="L2074">
        <v>97</v>
      </c>
      <c r="M2074" t="s">
        <v>646</v>
      </c>
      <c r="N2074" t="s">
        <v>133</v>
      </c>
      <c r="O2074" t="s">
        <v>134</v>
      </c>
      <c r="P2074" t="s">
        <v>135</v>
      </c>
      <c r="R2074" t="s">
        <v>136</v>
      </c>
      <c r="T2074">
        <v>4110</v>
      </c>
      <c r="U2074" t="s">
        <v>78</v>
      </c>
      <c r="V2074" t="s">
        <v>42</v>
      </c>
      <c r="W2074" t="s">
        <v>137</v>
      </c>
      <c r="X2074" t="s">
        <v>138</v>
      </c>
      <c r="Y2074" t="s">
        <v>36</v>
      </c>
    </row>
    <row r="2075" spans="1:25" x14ac:dyDescent="0.25">
      <c r="A2075">
        <v>10111</v>
      </c>
      <c r="B2075">
        <v>26</v>
      </c>
      <c r="C2075">
        <v>86.68</v>
      </c>
      <c r="D2075">
        <v>3</v>
      </c>
      <c r="E2075">
        <v>2253.6799999999998</v>
      </c>
      <c r="F2075" s="1">
        <v>37705</v>
      </c>
      <c r="G2075" t="s">
        <v>25</v>
      </c>
      <c r="H2075">
        <v>1</v>
      </c>
      <c r="I2075">
        <v>3</v>
      </c>
      <c r="J2075">
        <v>2003</v>
      </c>
      <c r="K2075" t="s">
        <v>550</v>
      </c>
      <c r="L2075">
        <v>97</v>
      </c>
      <c r="M2075" t="s">
        <v>646</v>
      </c>
      <c r="N2075" t="s">
        <v>81</v>
      </c>
      <c r="O2075">
        <v>6505555787</v>
      </c>
      <c r="P2075" t="s">
        <v>82</v>
      </c>
      <c r="R2075" t="s">
        <v>60</v>
      </c>
      <c r="S2075" t="s">
        <v>55</v>
      </c>
      <c r="U2075" t="s">
        <v>32</v>
      </c>
      <c r="V2075" t="s">
        <v>33</v>
      </c>
      <c r="W2075" t="s">
        <v>83</v>
      </c>
      <c r="X2075" t="s">
        <v>57</v>
      </c>
      <c r="Y2075" t="s">
        <v>36</v>
      </c>
    </row>
    <row r="2076" spans="1:25" x14ac:dyDescent="0.25">
      <c r="A2076">
        <v>10126</v>
      </c>
      <c r="B2076">
        <v>34</v>
      </c>
      <c r="C2076">
        <v>100</v>
      </c>
      <c r="D2076">
        <v>15</v>
      </c>
      <c r="E2076">
        <v>3576.12</v>
      </c>
      <c r="F2076" s="1">
        <v>37769</v>
      </c>
      <c r="G2076" t="s">
        <v>25</v>
      </c>
      <c r="H2076">
        <v>2</v>
      </c>
      <c r="I2076">
        <v>5</v>
      </c>
      <c r="J2076">
        <v>2003</v>
      </c>
      <c r="K2076" t="s">
        <v>550</v>
      </c>
      <c r="L2076">
        <v>97</v>
      </c>
      <c r="M2076" t="s">
        <v>646</v>
      </c>
      <c r="N2076" t="s">
        <v>191</v>
      </c>
      <c r="O2076" t="s">
        <v>192</v>
      </c>
      <c r="P2076" t="s">
        <v>193</v>
      </c>
      <c r="R2076" t="s">
        <v>177</v>
      </c>
      <c r="T2076">
        <v>28023</v>
      </c>
      <c r="U2076" t="s">
        <v>178</v>
      </c>
      <c r="V2076" t="s">
        <v>42</v>
      </c>
      <c r="W2076" t="s">
        <v>194</v>
      </c>
      <c r="X2076" t="s">
        <v>195</v>
      </c>
      <c r="Y2076" t="s">
        <v>51</v>
      </c>
    </row>
    <row r="2077" spans="1:25" x14ac:dyDescent="0.25">
      <c r="A2077">
        <v>10139</v>
      </c>
      <c r="B2077">
        <v>29</v>
      </c>
      <c r="C2077">
        <v>100</v>
      </c>
      <c r="D2077">
        <v>4</v>
      </c>
      <c r="E2077">
        <v>3276.13</v>
      </c>
      <c r="F2077" s="1">
        <v>37818</v>
      </c>
      <c r="G2077" t="s">
        <v>25</v>
      </c>
      <c r="H2077">
        <v>3</v>
      </c>
      <c r="I2077">
        <v>7</v>
      </c>
      <c r="J2077">
        <v>2003</v>
      </c>
      <c r="K2077" t="s">
        <v>550</v>
      </c>
      <c r="L2077">
        <v>97</v>
      </c>
      <c r="M2077" t="s">
        <v>646</v>
      </c>
      <c r="N2077" t="s">
        <v>152</v>
      </c>
      <c r="O2077" t="s">
        <v>153</v>
      </c>
      <c r="P2077" t="s">
        <v>154</v>
      </c>
      <c r="Q2077" t="s">
        <v>155</v>
      </c>
      <c r="R2077" t="s">
        <v>156</v>
      </c>
      <c r="S2077" t="s">
        <v>157</v>
      </c>
      <c r="T2077">
        <v>2067</v>
      </c>
      <c r="U2077" t="s">
        <v>95</v>
      </c>
      <c r="V2077" t="s">
        <v>96</v>
      </c>
      <c r="W2077" t="s">
        <v>158</v>
      </c>
      <c r="X2077" t="s">
        <v>159</v>
      </c>
      <c r="Y2077" t="s">
        <v>51</v>
      </c>
    </row>
    <row r="2078" spans="1:25" x14ac:dyDescent="0.25">
      <c r="A2078">
        <v>10149</v>
      </c>
      <c r="B2078">
        <v>20</v>
      </c>
      <c r="C2078">
        <v>90.57</v>
      </c>
      <c r="D2078">
        <v>1</v>
      </c>
      <c r="E2078">
        <v>1811.4</v>
      </c>
      <c r="F2078" s="1">
        <v>37876</v>
      </c>
      <c r="G2078" t="s">
        <v>25</v>
      </c>
      <c r="H2078">
        <v>3</v>
      </c>
      <c r="I2078">
        <v>9</v>
      </c>
      <c r="J2078">
        <v>2003</v>
      </c>
      <c r="K2078" t="s">
        <v>550</v>
      </c>
      <c r="L2078">
        <v>97</v>
      </c>
      <c r="M2078" t="s">
        <v>646</v>
      </c>
      <c r="N2078" t="s">
        <v>526</v>
      </c>
      <c r="O2078">
        <v>4155554312</v>
      </c>
      <c r="P2078" t="s">
        <v>527</v>
      </c>
      <c r="R2078" t="s">
        <v>528</v>
      </c>
      <c r="S2078" t="s">
        <v>55</v>
      </c>
      <c r="T2078">
        <v>94217</v>
      </c>
      <c r="U2078" t="s">
        <v>32</v>
      </c>
      <c r="V2078" t="s">
        <v>33</v>
      </c>
      <c r="W2078" t="s">
        <v>529</v>
      </c>
      <c r="X2078" t="s">
        <v>400</v>
      </c>
      <c r="Y2078" t="s">
        <v>36</v>
      </c>
    </row>
    <row r="2079" spans="1:25" x14ac:dyDescent="0.25">
      <c r="A2079">
        <v>10163</v>
      </c>
      <c r="B2079">
        <v>42</v>
      </c>
      <c r="C2079">
        <v>91.55</v>
      </c>
      <c r="D2079">
        <v>5</v>
      </c>
      <c r="E2079">
        <v>3845.1</v>
      </c>
      <c r="F2079" s="1">
        <v>37914</v>
      </c>
      <c r="G2079" t="s">
        <v>25</v>
      </c>
      <c r="H2079">
        <v>4</v>
      </c>
      <c r="I2079">
        <v>10</v>
      </c>
      <c r="J2079">
        <v>2003</v>
      </c>
      <c r="K2079" t="s">
        <v>550</v>
      </c>
      <c r="L2079">
        <v>97</v>
      </c>
      <c r="M2079" t="s">
        <v>646</v>
      </c>
      <c r="N2079" t="s">
        <v>203</v>
      </c>
      <c r="O2079">
        <v>2125558493</v>
      </c>
      <c r="P2079" t="s">
        <v>204</v>
      </c>
      <c r="Q2079" t="s">
        <v>205</v>
      </c>
      <c r="R2079" t="s">
        <v>30</v>
      </c>
      <c r="S2079" t="s">
        <v>31</v>
      </c>
      <c r="T2079">
        <v>10022</v>
      </c>
      <c r="U2079" t="s">
        <v>32</v>
      </c>
      <c r="V2079" t="s">
        <v>33</v>
      </c>
      <c r="W2079" t="s">
        <v>124</v>
      </c>
      <c r="X2079" t="s">
        <v>206</v>
      </c>
      <c r="Y2079" t="s">
        <v>51</v>
      </c>
    </row>
    <row r="2080" spans="1:25" x14ac:dyDescent="0.25">
      <c r="A2080">
        <v>10173</v>
      </c>
      <c r="B2080">
        <v>22</v>
      </c>
      <c r="C2080">
        <v>100</v>
      </c>
      <c r="D2080">
        <v>3</v>
      </c>
      <c r="E2080">
        <v>2571.14</v>
      </c>
      <c r="F2080" s="1">
        <v>37930</v>
      </c>
      <c r="G2080" t="s">
        <v>25</v>
      </c>
      <c r="H2080">
        <v>4</v>
      </c>
      <c r="I2080">
        <v>11</v>
      </c>
      <c r="J2080">
        <v>2003</v>
      </c>
      <c r="K2080" t="s">
        <v>550</v>
      </c>
      <c r="L2080">
        <v>97</v>
      </c>
      <c r="M2080" t="s">
        <v>646</v>
      </c>
      <c r="N2080" t="s">
        <v>552</v>
      </c>
      <c r="O2080" t="s">
        <v>553</v>
      </c>
      <c r="P2080" t="s">
        <v>554</v>
      </c>
      <c r="R2080" t="s">
        <v>555</v>
      </c>
      <c r="T2080">
        <v>24100</v>
      </c>
      <c r="U2080" t="s">
        <v>258</v>
      </c>
      <c r="V2080" t="s">
        <v>42</v>
      </c>
      <c r="W2080" t="s">
        <v>556</v>
      </c>
      <c r="X2080" t="s">
        <v>557</v>
      </c>
      <c r="Y2080" t="s">
        <v>36</v>
      </c>
    </row>
    <row r="2081" spans="1:25" x14ac:dyDescent="0.25">
      <c r="A2081">
        <v>10183</v>
      </c>
      <c r="B2081">
        <v>47</v>
      </c>
      <c r="C2081">
        <v>100</v>
      </c>
      <c r="D2081">
        <v>12</v>
      </c>
      <c r="E2081">
        <v>5035.1099999999997</v>
      </c>
      <c r="F2081" s="1">
        <v>37938</v>
      </c>
      <c r="G2081" t="s">
        <v>25</v>
      </c>
      <c r="H2081">
        <v>4</v>
      </c>
      <c r="I2081">
        <v>11</v>
      </c>
      <c r="J2081">
        <v>2003</v>
      </c>
      <c r="K2081" t="s">
        <v>550</v>
      </c>
      <c r="L2081">
        <v>97</v>
      </c>
      <c r="M2081" t="s">
        <v>646</v>
      </c>
      <c r="N2081" t="s">
        <v>214</v>
      </c>
      <c r="O2081">
        <v>2155554695</v>
      </c>
      <c r="P2081" t="s">
        <v>215</v>
      </c>
      <c r="R2081" t="s">
        <v>216</v>
      </c>
      <c r="S2081" t="s">
        <v>142</v>
      </c>
      <c r="T2081">
        <v>71270</v>
      </c>
      <c r="U2081" t="s">
        <v>32</v>
      </c>
      <c r="V2081" t="s">
        <v>33</v>
      </c>
      <c r="W2081" t="s">
        <v>217</v>
      </c>
      <c r="X2081" t="s">
        <v>218</v>
      </c>
      <c r="Y2081" t="s">
        <v>51</v>
      </c>
    </row>
    <row r="2082" spans="1:25" x14ac:dyDescent="0.25">
      <c r="A2082">
        <v>10193</v>
      </c>
      <c r="B2082">
        <v>20</v>
      </c>
      <c r="C2082">
        <v>100</v>
      </c>
      <c r="D2082">
        <v>4</v>
      </c>
      <c r="E2082">
        <v>2279</v>
      </c>
      <c r="F2082" s="1">
        <v>37946</v>
      </c>
      <c r="G2082" t="s">
        <v>25</v>
      </c>
      <c r="H2082">
        <v>4</v>
      </c>
      <c r="I2082">
        <v>11</v>
      </c>
      <c r="J2082">
        <v>2003</v>
      </c>
      <c r="K2082" t="s">
        <v>550</v>
      </c>
      <c r="L2082">
        <v>97</v>
      </c>
      <c r="M2082" t="s">
        <v>646</v>
      </c>
      <c r="N2082" t="s">
        <v>558</v>
      </c>
      <c r="O2082" t="s">
        <v>559</v>
      </c>
      <c r="P2082" t="s">
        <v>560</v>
      </c>
      <c r="R2082" t="s">
        <v>561</v>
      </c>
      <c r="S2082" t="s">
        <v>94</v>
      </c>
      <c r="T2082">
        <v>3150</v>
      </c>
      <c r="U2082" t="s">
        <v>95</v>
      </c>
      <c r="V2082" t="s">
        <v>96</v>
      </c>
      <c r="W2082" t="s">
        <v>562</v>
      </c>
      <c r="X2082" t="s">
        <v>563</v>
      </c>
      <c r="Y2082" t="s">
        <v>36</v>
      </c>
    </row>
    <row r="2083" spans="1:25" x14ac:dyDescent="0.25">
      <c r="A2083">
        <v>10206</v>
      </c>
      <c r="B2083">
        <v>33</v>
      </c>
      <c r="C2083">
        <v>97.39</v>
      </c>
      <c r="D2083">
        <v>10</v>
      </c>
      <c r="E2083">
        <v>3213.87</v>
      </c>
      <c r="F2083" s="1">
        <v>37960</v>
      </c>
      <c r="G2083" t="s">
        <v>25</v>
      </c>
      <c r="H2083">
        <v>4</v>
      </c>
      <c r="I2083">
        <v>12</v>
      </c>
      <c r="J2083">
        <v>2003</v>
      </c>
      <c r="K2083" t="s">
        <v>550</v>
      </c>
      <c r="L2083">
        <v>97</v>
      </c>
      <c r="M2083" t="s">
        <v>646</v>
      </c>
      <c r="N2083" t="s">
        <v>225</v>
      </c>
      <c r="O2083" t="s">
        <v>226</v>
      </c>
      <c r="P2083" t="s">
        <v>227</v>
      </c>
      <c r="R2083" t="s">
        <v>228</v>
      </c>
      <c r="S2083" t="s">
        <v>229</v>
      </c>
      <c r="T2083" t="s">
        <v>230</v>
      </c>
      <c r="U2083" t="s">
        <v>231</v>
      </c>
      <c r="V2083" t="s">
        <v>33</v>
      </c>
      <c r="W2083" t="s">
        <v>232</v>
      </c>
      <c r="X2083" t="s">
        <v>233</v>
      </c>
      <c r="Y2083" t="s">
        <v>51</v>
      </c>
    </row>
    <row r="2084" spans="1:25" x14ac:dyDescent="0.25">
      <c r="A2084">
        <v>10215</v>
      </c>
      <c r="B2084">
        <v>39</v>
      </c>
      <c r="C2084">
        <v>90.57</v>
      </c>
      <c r="D2084">
        <v>7</v>
      </c>
      <c r="E2084">
        <v>3532.23</v>
      </c>
      <c r="F2084" s="1">
        <v>38015</v>
      </c>
      <c r="G2084" t="s">
        <v>25</v>
      </c>
      <c r="H2084">
        <v>1</v>
      </c>
      <c r="I2084">
        <v>1</v>
      </c>
      <c r="J2084">
        <v>2004</v>
      </c>
      <c r="K2084" t="s">
        <v>550</v>
      </c>
      <c r="L2084">
        <v>97</v>
      </c>
      <c r="M2084" t="s">
        <v>646</v>
      </c>
      <c r="N2084" t="s">
        <v>234</v>
      </c>
      <c r="O2084">
        <v>3105553722</v>
      </c>
      <c r="P2084" t="s">
        <v>235</v>
      </c>
      <c r="R2084" t="s">
        <v>236</v>
      </c>
      <c r="S2084" t="s">
        <v>55</v>
      </c>
      <c r="T2084">
        <v>94019</v>
      </c>
      <c r="U2084" t="s">
        <v>32</v>
      </c>
      <c r="V2084" t="s">
        <v>33</v>
      </c>
      <c r="W2084" t="s">
        <v>237</v>
      </c>
      <c r="X2084" t="s">
        <v>238</v>
      </c>
      <c r="Y2084" t="s">
        <v>51</v>
      </c>
    </row>
    <row r="2085" spans="1:25" x14ac:dyDescent="0.25">
      <c r="A2085">
        <v>10228</v>
      </c>
      <c r="B2085">
        <v>33</v>
      </c>
      <c r="C2085">
        <v>100</v>
      </c>
      <c r="D2085">
        <v>6</v>
      </c>
      <c r="E2085">
        <v>3406.59</v>
      </c>
      <c r="F2085" s="1">
        <v>38056</v>
      </c>
      <c r="G2085" t="s">
        <v>25</v>
      </c>
      <c r="H2085">
        <v>1</v>
      </c>
      <c r="I2085">
        <v>3</v>
      </c>
      <c r="J2085">
        <v>2004</v>
      </c>
      <c r="K2085" t="s">
        <v>550</v>
      </c>
      <c r="L2085">
        <v>97</v>
      </c>
      <c r="M2085" t="s">
        <v>646</v>
      </c>
      <c r="N2085" t="s">
        <v>239</v>
      </c>
      <c r="O2085">
        <v>6175555555</v>
      </c>
      <c r="P2085" t="s">
        <v>240</v>
      </c>
      <c r="R2085" t="s">
        <v>122</v>
      </c>
      <c r="S2085" t="s">
        <v>123</v>
      </c>
      <c r="T2085">
        <v>51247</v>
      </c>
      <c r="U2085" t="s">
        <v>32</v>
      </c>
      <c r="V2085" t="s">
        <v>33</v>
      </c>
      <c r="W2085" t="s">
        <v>241</v>
      </c>
      <c r="X2085" t="s">
        <v>143</v>
      </c>
      <c r="Y2085" t="s">
        <v>51</v>
      </c>
    </row>
    <row r="2086" spans="1:25" x14ac:dyDescent="0.25">
      <c r="A2086">
        <v>10244</v>
      </c>
      <c r="B2086">
        <v>40</v>
      </c>
      <c r="C2086">
        <v>86.68</v>
      </c>
      <c r="D2086">
        <v>4</v>
      </c>
      <c r="E2086">
        <v>3467.2</v>
      </c>
      <c r="F2086" s="1">
        <v>38106</v>
      </c>
      <c r="G2086" t="s">
        <v>25</v>
      </c>
      <c r="H2086">
        <v>2</v>
      </c>
      <c r="I2086">
        <v>4</v>
      </c>
      <c r="J2086">
        <v>2004</v>
      </c>
      <c r="K2086" t="s">
        <v>550</v>
      </c>
      <c r="L2086">
        <v>97</v>
      </c>
      <c r="M2086" t="s">
        <v>646</v>
      </c>
      <c r="N2086" t="s">
        <v>174</v>
      </c>
      <c r="O2086" t="s">
        <v>175</v>
      </c>
      <c r="P2086" t="s">
        <v>176</v>
      </c>
      <c r="R2086" t="s">
        <v>177</v>
      </c>
      <c r="T2086">
        <v>28034</v>
      </c>
      <c r="U2086" t="s">
        <v>178</v>
      </c>
      <c r="V2086" t="s">
        <v>42</v>
      </c>
      <c r="W2086" t="s">
        <v>179</v>
      </c>
      <c r="X2086" t="s">
        <v>180</v>
      </c>
      <c r="Y2086" t="s">
        <v>51</v>
      </c>
    </row>
    <row r="2087" spans="1:25" x14ac:dyDescent="0.25">
      <c r="A2087">
        <v>10257</v>
      </c>
      <c r="B2087">
        <v>46</v>
      </c>
      <c r="C2087">
        <v>78.89</v>
      </c>
      <c r="D2087">
        <v>4</v>
      </c>
      <c r="E2087">
        <v>3628.94</v>
      </c>
      <c r="F2087" s="1">
        <v>38152</v>
      </c>
      <c r="G2087" t="s">
        <v>25</v>
      </c>
      <c r="H2087">
        <v>2</v>
      </c>
      <c r="I2087">
        <v>6</v>
      </c>
      <c r="J2087">
        <v>2004</v>
      </c>
      <c r="K2087" t="s">
        <v>550</v>
      </c>
      <c r="L2087">
        <v>97</v>
      </c>
      <c r="M2087" t="s">
        <v>646</v>
      </c>
      <c r="N2087" t="s">
        <v>397</v>
      </c>
      <c r="O2087">
        <v>4085553659</v>
      </c>
      <c r="P2087" t="s">
        <v>398</v>
      </c>
      <c r="R2087" t="s">
        <v>399</v>
      </c>
      <c r="S2087" t="s">
        <v>55</v>
      </c>
      <c r="T2087">
        <v>94217</v>
      </c>
      <c r="U2087" t="s">
        <v>32</v>
      </c>
      <c r="V2087" t="s">
        <v>33</v>
      </c>
      <c r="W2087" t="s">
        <v>102</v>
      </c>
      <c r="X2087" t="s">
        <v>400</v>
      </c>
      <c r="Y2087" t="s">
        <v>51</v>
      </c>
    </row>
    <row r="2088" spans="1:25" x14ac:dyDescent="0.25">
      <c r="A2088">
        <v>10269</v>
      </c>
      <c r="B2088">
        <v>48</v>
      </c>
      <c r="C2088">
        <v>97.39</v>
      </c>
      <c r="D2088">
        <v>2</v>
      </c>
      <c r="E2088">
        <v>4674.72</v>
      </c>
      <c r="F2088" s="1">
        <v>38184</v>
      </c>
      <c r="G2088" t="s">
        <v>25</v>
      </c>
      <c r="H2088">
        <v>3</v>
      </c>
      <c r="I2088">
        <v>7</v>
      </c>
      <c r="J2088">
        <v>2004</v>
      </c>
      <c r="K2088" t="s">
        <v>550</v>
      </c>
      <c r="L2088">
        <v>97</v>
      </c>
      <c r="M2088" t="s">
        <v>646</v>
      </c>
      <c r="N2088" t="s">
        <v>144</v>
      </c>
      <c r="O2088" t="s">
        <v>145</v>
      </c>
      <c r="P2088" t="s">
        <v>146</v>
      </c>
      <c r="R2088" t="s">
        <v>147</v>
      </c>
      <c r="T2088">
        <v>5020</v>
      </c>
      <c r="U2088" t="s">
        <v>148</v>
      </c>
      <c r="V2088" t="s">
        <v>42</v>
      </c>
      <c r="W2088" t="s">
        <v>149</v>
      </c>
      <c r="X2088" t="s">
        <v>150</v>
      </c>
      <c r="Y2088" t="s">
        <v>51</v>
      </c>
    </row>
    <row r="2089" spans="1:25" x14ac:dyDescent="0.25">
      <c r="A2089">
        <v>10280</v>
      </c>
      <c r="B2089">
        <v>21</v>
      </c>
      <c r="C2089">
        <v>78.89</v>
      </c>
      <c r="D2089">
        <v>6</v>
      </c>
      <c r="E2089">
        <v>1656.69</v>
      </c>
      <c r="F2089" s="1">
        <v>38216</v>
      </c>
      <c r="G2089" t="s">
        <v>25</v>
      </c>
      <c r="H2089">
        <v>3</v>
      </c>
      <c r="I2089">
        <v>8</v>
      </c>
      <c r="J2089">
        <v>2004</v>
      </c>
      <c r="K2089" t="s">
        <v>550</v>
      </c>
      <c r="L2089">
        <v>97</v>
      </c>
      <c r="M2089" t="s">
        <v>646</v>
      </c>
      <c r="N2089" t="s">
        <v>254</v>
      </c>
      <c r="O2089" t="s">
        <v>255</v>
      </c>
      <c r="P2089" t="s">
        <v>256</v>
      </c>
      <c r="R2089" t="s">
        <v>257</v>
      </c>
      <c r="T2089">
        <v>10100</v>
      </c>
      <c r="U2089" t="s">
        <v>258</v>
      </c>
      <c r="V2089" t="s">
        <v>42</v>
      </c>
      <c r="W2089" t="s">
        <v>259</v>
      </c>
      <c r="X2089" t="s">
        <v>260</v>
      </c>
      <c r="Y2089" t="s">
        <v>36</v>
      </c>
    </row>
    <row r="2090" spans="1:25" x14ac:dyDescent="0.25">
      <c r="A2090">
        <v>10290</v>
      </c>
      <c r="B2090">
        <v>45</v>
      </c>
      <c r="C2090">
        <v>100</v>
      </c>
      <c r="D2090">
        <v>1</v>
      </c>
      <c r="E2090">
        <v>5171.3999999999996</v>
      </c>
      <c r="F2090" s="1">
        <v>38237</v>
      </c>
      <c r="G2090" t="s">
        <v>25</v>
      </c>
      <c r="H2090">
        <v>3</v>
      </c>
      <c r="I2090">
        <v>9</v>
      </c>
      <c r="J2090">
        <v>2004</v>
      </c>
      <c r="K2090" t="s">
        <v>550</v>
      </c>
      <c r="L2090">
        <v>97</v>
      </c>
      <c r="M2090" t="s">
        <v>646</v>
      </c>
      <c r="N2090" t="s">
        <v>600</v>
      </c>
      <c r="O2090">
        <v>6175558428</v>
      </c>
      <c r="P2090" t="s">
        <v>601</v>
      </c>
      <c r="R2090" t="s">
        <v>283</v>
      </c>
      <c r="S2090" t="s">
        <v>123</v>
      </c>
      <c r="T2090">
        <v>58339</v>
      </c>
      <c r="U2090" t="s">
        <v>32</v>
      </c>
      <c r="V2090" t="s">
        <v>33</v>
      </c>
      <c r="W2090" t="s">
        <v>529</v>
      </c>
      <c r="X2090" t="s">
        <v>245</v>
      </c>
      <c r="Y2090" t="s">
        <v>51</v>
      </c>
    </row>
    <row r="2091" spans="1:25" x14ac:dyDescent="0.25">
      <c r="A2091">
        <v>10304</v>
      </c>
      <c r="B2091">
        <v>33</v>
      </c>
      <c r="C2091">
        <v>100</v>
      </c>
      <c r="D2091">
        <v>10</v>
      </c>
      <c r="E2091">
        <v>3342.57</v>
      </c>
      <c r="F2091" s="1">
        <v>38271</v>
      </c>
      <c r="G2091" t="s">
        <v>25</v>
      </c>
      <c r="H2091">
        <v>4</v>
      </c>
      <c r="I2091">
        <v>10</v>
      </c>
      <c r="J2091">
        <v>2004</v>
      </c>
      <c r="K2091" t="s">
        <v>550</v>
      </c>
      <c r="L2091">
        <v>97</v>
      </c>
      <c r="M2091" t="s">
        <v>646</v>
      </c>
      <c r="N2091" t="s">
        <v>267</v>
      </c>
      <c r="O2091" t="s">
        <v>268</v>
      </c>
      <c r="P2091" t="s">
        <v>269</v>
      </c>
      <c r="R2091" t="s">
        <v>270</v>
      </c>
      <c r="T2091">
        <v>78000</v>
      </c>
      <c r="U2091" t="s">
        <v>41</v>
      </c>
      <c r="V2091" t="s">
        <v>42</v>
      </c>
      <c r="W2091" t="s">
        <v>271</v>
      </c>
      <c r="X2091" t="s">
        <v>50</v>
      </c>
      <c r="Y2091" t="s">
        <v>51</v>
      </c>
    </row>
    <row r="2092" spans="1:25" x14ac:dyDescent="0.25">
      <c r="A2092">
        <v>10312</v>
      </c>
      <c r="B2092">
        <v>44</v>
      </c>
      <c r="C2092">
        <v>100</v>
      </c>
      <c r="D2092">
        <v>7</v>
      </c>
      <c r="E2092">
        <v>4884.88</v>
      </c>
      <c r="F2092" s="1">
        <v>38281</v>
      </c>
      <c r="G2092" t="s">
        <v>25</v>
      </c>
      <c r="H2092">
        <v>4</v>
      </c>
      <c r="I2092">
        <v>10</v>
      </c>
      <c r="J2092">
        <v>2004</v>
      </c>
      <c r="K2092" t="s">
        <v>550</v>
      </c>
      <c r="L2092">
        <v>97</v>
      </c>
      <c r="M2092" t="s">
        <v>646</v>
      </c>
      <c r="N2092" t="s">
        <v>272</v>
      </c>
      <c r="O2092">
        <v>4155551450</v>
      </c>
      <c r="P2092" t="s">
        <v>273</v>
      </c>
      <c r="R2092" t="s">
        <v>274</v>
      </c>
      <c r="S2092" t="s">
        <v>55</v>
      </c>
      <c r="T2092">
        <v>97562</v>
      </c>
      <c r="U2092" t="s">
        <v>32</v>
      </c>
      <c r="V2092" t="s">
        <v>33</v>
      </c>
      <c r="W2092" t="s">
        <v>275</v>
      </c>
      <c r="X2092" t="s">
        <v>276</v>
      </c>
      <c r="Y2092" t="s">
        <v>51</v>
      </c>
    </row>
    <row r="2093" spans="1:25" x14ac:dyDescent="0.25">
      <c r="A2093">
        <v>10324</v>
      </c>
      <c r="B2093">
        <v>33</v>
      </c>
      <c r="C2093">
        <v>100</v>
      </c>
      <c r="D2093">
        <v>3</v>
      </c>
      <c r="E2093">
        <v>6267.69</v>
      </c>
      <c r="F2093" s="1">
        <v>38296</v>
      </c>
      <c r="G2093" t="s">
        <v>25</v>
      </c>
      <c r="H2093">
        <v>4</v>
      </c>
      <c r="I2093">
        <v>11</v>
      </c>
      <c r="J2093">
        <v>2004</v>
      </c>
      <c r="K2093" t="s">
        <v>550</v>
      </c>
      <c r="L2093">
        <v>97</v>
      </c>
      <c r="M2093" t="s">
        <v>646</v>
      </c>
      <c r="N2093" t="s">
        <v>99</v>
      </c>
      <c r="O2093">
        <v>2125551500</v>
      </c>
      <c r="P2093" t="s">
        <v>100</v>
      </c>
      <c r="Q2093" t="s">
        <v>101</v>
      </c>
      <c r="R2093" t="s">
        <v>30</v>
      </c>
      <c r="S2093" t="s">
        <v>31</v>
      </c>
      <c r="T2093">
        <v>10022</v>
      </c>
      <c r="U2093" t="s">
        <v>32</v>
      </c>
      <c r="V2093" t="s">
        <v>33</v>
      </c>
      <c r="W2093" t="s">
        <v>102</v>
      </c>
      <c r="X2093" t="s">
        <v>103</v>
      </c>
      <c r="Y2093" t="s">
        <v>51</v>
      </c>
    </row>
    <row r="2094" spans="1:25" x14ac:dyDescent="0.25">
      <c r="A2094">
        <v>10333</v>
      </c>
      <c r="B2094">
        <v>39</v>
      </c>
      <c r="C2094">
        <v>100</v>
      </c>
      <c r="D2094">
        <v>1</v>
      </c>
      <c r="E2094">
        <v>4424.16</v>
      </c>
      <c r="F2094" s="1">
        <v>38309</v>
      </c>
      <c r="G2094" t="s">
        <v>25</v>
      </c>
      <c r="H2094">
        <v>4</v>
      </c>
      <c r="I2094">
        <v>11</v>
      </c>
      <c r="J2094">
        <v>2004</v>
      </c>
      <c r="K2094" t="s">
        <v>550</v>
      </c>
      <c r="L2094">
        <v>97</v>
      </c>
      <c r="M2094" t="s">
        <v>646</v>
      </c>
      <c r="N2094" t="s">
        <v>81</v>
      </c>
      <c r="O2094">
        <v>6505555787</v>
      </c>
      <c r="P2094" t="s">
        <v>82</v>
      </c>
      <c r="R2094" t="s">
        <v>60</v>
      </c>
      <c r="S2094" t="s">
        <v>55</v>
      </c>
      <c r="U2094" t="s">
        <v>32</v>
      </c>
      <c r="V2094" t="s">
        <v>33</v>
      </c>
      <c r="W2094" t="s">
        <v>83</v>
      </c>
      <c r="X2094" t="s">
        <v>57</v>
      </c>
      <c r="Y2094" t="s">
        <v>51</v>
      </c>
    </row>
    <row r="2095" spans="1:25" x14ac:dyDescent="0.25">
      <c r="A2095">
        <v>10348</v>
      </c>
      <c r="B2095">
        <v>39</v>
      </c>
      <c r="C2095">
        <v>50.31</v>
      </c>
      <c r="D2095">
        <v>2</v>
      </c>
      <c r="E2095">
        <v>1962.09</v>
      </c>
      <c r="F2095" s="1">
        <v>38292</v>
      </c>
      <c r="G2095" t="s">
        <v>25</v>
      </c>
      <c r="H2095">
        <v>4</v>
      </c>
      <c r="I2095">
        <v>11</v>
      </c>
      <c r="J2095">
        <v>2004</v>
      </c>
      <c r="K2095" t="s">
        <v>550</v>
      </c>
      <c r="L2095">
        <v>97</v>
      </c>
      <c r="M2095" t="s">
        <v>646</v>
      </c>
      <c r="N2095" t="s">
        <v>191</v>
      </c>
      <c r="O2095" t="s">
        <v>192</v>
      </c>
      <c r="P2095" t="s">
        <v>193</v>
      </c>
      <c r="R2095" t="s">
        <v>177</v>
      </c>
      <c r="T2095">
        <v>28023</v>
      </c>
      <c r="U2095" t="s">
        <v>178</v>
      </c>
      <c r="V2095" t="s">
        <v>42</v>
      </c>
      <c r="W2095" t="s">
        <v>194</v>
      </c>
      <c r="X2095" t="s">
        <v>195</v>
      </c>
      <c r="Y2095" t="s">
        <v>36</v>
      </c>
    </row>
    <row r="2096" spans="1:25" x14ac:dyDescent="0.25">
      <c r="A2096">
        <v>10358</v>
      </c>
      <c r="B2096">
        <v>41</v>
      </c>
      <c r="C2096">
        <v>100</v>
      </c>
      <c r="D2096">
        <v>6</v>
      </c>
      <c r="E2096">
        <v>6847</v>
      </c>
      <c r="F2096" s="1">
        <v>38331</v>
      </c>
      <c r="G2096" t="s">
        <v>25</v>
      </c>
      <c r="H2096">
        <v>4</v>
      </c>
      <c r="I2096">
        <v>12</v>
      </c>
      <c r="J2096">
        <v>2004</v>
      </c>
      <c r="K2096" t="s">
        <v>550</v>
      </c>
      <c r="L2096">
        <v>97</v>
      </c>
      <c r="M2096" t="s">
        <v>646</v>
      </c>
      <c r="N2096" t="s">
        <v>174</v>
      </c>
      <c r="O2096" t="s">
        <v>175</v>
      </c>
      <c r="P2096" t="s">
        <v>176</v>
      </c>
      <c r="R2096" t="s">
        <v>177</v>
      </c>
      <c r="T2096">
        <v>28034</v>
      </c>
      <c r="U2096" t="s">
        <v>178</v>
      </c>
      <c r="V2096" t="s">
        <v>42</v>
      </c>
      <c r="W2096" t="s">
        <v>179</v>
      </c>
      <c r="X2096" t="s">
        <v>180</v>
      </c>
      <c r="Y2096" t="s">
        <v>51</v>
      </c>
    </row>
    <row r="2097" spans="1:25" x14ac:dyDescent="0.25">
      <c r="A2097">
        <v>10369</v>
      </c>
      <c r="B2097">
        <v>40</v>
      </c>
      <c r="C2097">
        <v>86.92</v>
      </c>
      <c r="D2097">
        <v>3</v>
      </c>
      <c r="E2097">
        <v>3476.8</v>
      </c>
      <c r="F2097" s="1">
        <v>38372</v>
      </c>
      <c r="G2097" t="s">
        <v>25</v>
      </c>
      <c r="H2097">
        <v>1</v>
      </c>
      <c r="I2097">
        <v>1</v>
      </c>
      <c r="J2097">
        <v>2005</v>
      </c>
      <c r="K2097" t="s">
        <v>550</v>
      </c>
      <c r="L2097">
        <v>97</v>
      </c>
      <c r="M2097" t="s">
        <v>646</v>
      </c>
      <c r="N2097" t="s">
        <v>281</v>
      </c>
      <c r="O2097">
        <v>6175558555</v>
      </c>
      <c r="P2097" t="s">
        <v>282</v>
      </c>
      <c r="R2097" t="s">
        <v>283</v>
      </c>
      <c r="S2097" t="s">
        <v>123</v>
      </c>
      <c r="T2097">
        <v>58339</v>
      </c>
      <c r="U2097" t="s">
        <v>32</v>
      </c>
      <c r="V2097" t="s">
        <v>33</v>
      </c>
      <c r="W2097" t="s">
        <v>275</v>
      </c>
      <c r="X2097" t="s">
        <v>284</v>
      </c>
      <c r="Y2097" t="s">
        <v>51</v>
      </c>
    </row>
    <row r="2098" spans="1:25" x14ac:dyDescent="0.25">
      <c r="A2098">
        <v>10382</v>
      </c>
      <c r="B2098">
        <v>33</v>
      </c>
      <c r="C2098">
        <v>100</v>
      </c>
      <c r="D2098">
        <v>4</v>
      </c>
      <c r="E2098">
        <v>4592.6099999999997</v>
      </c>
      <c r="F2098" s="1">
        <v>38400</v>
      </c>
      <c r="G2098" t="s">
        <v>25</v>
      </c>
      <c r="H2098">
        <v>1</v>
      </c>
      <c r="I2098">
        <v>2</v>
      </c>
      <c r="J2098">
        <v>2005</v>
      </c>
      <c r="K2098" t="s">
        <v>550</v>
      </c>
      <c r="L2098">
        <v>97</v>
      </c>
      <c r="M2098" t="s">
        <v>646</v>
      </c>
      <c r="N2098" t="s">
        <v>272</v>
      </c>
      <c r="O2098">
        <v>4155551450</v>
      </c>
      <c r="P2098" t="s">
        <v>273</v>
      </c>
      <c r="R2098" t="s">
        <v>274</v>
      </c>
      <c r="S2098" t="s">
        <v>55</v>
      </c>
      <c r="T2098">
        <v>97562</v>
      </c>
      <c r="U2098" t="s">
        <v>32</v>
      </c>
      <c r="V2098" t="s">
        <v>33</v>
      </c>
      <c r="W2098" t="s">
        <v>275</v>
      </c>
      <c r="X2098" t="s">
        <v>276</v>
      </c>
      <c r="Y2098" t="s">
        <v>51</v>
      </c>
    </row>
    <row r="2099" spans="1:25" x14ac:dyDescent="0.25">
      <c r="A2099">
        <v>10423</v>
      </c>
      <c r="B2099">
        <v>28</v>
      </c>
      <c r="C2099">
        <v>78.89</v>
      </c>
      <c r="D2099">
        <v>4</v>
      </c>
      <c r="E2099">
        <v>2208.92</v>
      </c>
      <c r="F2099" s="1">
        <v>38502</v>
      </c>
      <c r="G2099" t="s">
        <v>300</v>
      </c>
      <c r="H2099">
        <v>2</v>
      </c>
      <c r="I2099">
        <v>5</v>
      </c>
      <c r="J2099">
        <v>2005</v>
      </c>
      <c r="K2099" t="s">
        <v>550</v>
      </c>
      <c r="L2099">
        <v>97</v>
      </c>
      <c r="M2099" t="s">
        <v>646</v>
      </c>
      <c r="N2099" t="s">
        <v>365</v>
      </c>
      <c r="O2099" t="s">
        <v>366</v>
      </c>
      <c r="P2099" t="s">
        <v>367</v>
      </c>
      <c r="R2099" t="s">
        <v>368</v>
      </c>
      <c r="T2099" t="s">
        <v>369</v>
      </c>
      <c r="U2099" t="s">
        <v>370</v>
      </c>
      <c r="V2099" t="s">
        <v>42</v>
      </c>
      <c r="W2099" t="s">
        <v>371</v>
      </c>
      <c r="X2099" t="s">
        <v>372</v>
      </c>
      <c r="Y2099" t="s">
        <v>36</v>
      </c>
    </row>
    <row r="2100" spans="1:25" x14ac:dyDescent="0.25">
      <c r="A2100">
        <v>10106</v>
      </c>
      <c r="B2100">
        <v>26</v>
      </c>
      <c r="C2100">
        <v>63.76</v>
      </c>
      <c r="D2100">
        <v>3</v>
      </c>
      <c r="E2100">
        <v>1657.76</v>
      </c>
      <c r="F2100" s="1">
        <v>37669</v>
      </c>
      <c r="G2100" t="s">
        <v>25</v>
      </c>
      <c r="H2100">
        <v>1</v>
      </c>
      <c r="I2100">
        <v>2</v>
      </c>
      <c r="J2100">
        <v>2003</v>
      </c>
      <c r="K2100" t="s">
        <v>566</v>
      </c>
      <c r="L2100">
        <v>72</v>
      </c>
      <c r="M2100" t="s">
        <v>647</v>
      </c>
      <c r="N2100" t="s">
        <v>552</v>
      </c>
      <c r="O2100" t="s">
        <v>553</v>
      </c>
      <c r="P2100" t="s">
        <v>554</v>
      </c>
      <c r="R2100" t="s">
        <v>555</v>
      </c>
      <c r="T2100">
        <v>24100</v>
      </c>
      <c r="U2100" t="s">
        <v>258</v>
      </c>
      <c r="V2100" t="s">
        <v>42</v>
      </c>
      <c r="W2100" t="s">
        <v>556</v>
      </c>
      <c r="X2100" t="s">
        <v>557</v>
      </c>
      <c r="Y2100" t="s">
        <v>36</v>
      </c>
    </row>
    <row r="2101" spans="1:25" x14ac:dyDescent="0.25">
      <c r="A2101">
        <v>10120</v>
      </c>
      <c r="B2101">
        <v>29</v>
      </c>
      <c r="C2101">
        <v>85.49</v>
      </c>
      <c r="D2101">
        <v>9</v>
      </c>
      <c r="E2101">
        <v>2479.21</v>
      </c>
      <c r="F2101" s="1">
        <v>37740</v>
      </c>
      <c r="G2101" t="s">
        <v>25</v>
      </c>
      <c r="H2101">
        <v>2</v>
      </c>
      <c r="I2101">
        <v>4</v>
      </c>
      <c r="J2101">
        <v>2003</v>
      </c>
      <c r="K2101" t="s">
        <v>566</v>
      </c>
      <c r="L2101">
        <v>72</v>
      </c>
      <c r="M2101" t="s">
        <v>647</v>
      </c>
      <c r="N2101" t="s">
        <v>89</v>
      </c>
      <c r="O2101" t="s">
        <v>90</v>
      </c>
      <c r="P2101" t="s">
        <v>91</v>
      </c>
      <c r="Q2101" t="s">
        <v>92</v>
      </c>
      <c r="R2101" t="s">
        <v>93</v>
      </c>
      <c r="S2101" t="s">
        <v>94</v>
      </c>
      <c r="T2101">
        <v>3004</v>
      </c>
      <c r="U2101" t="s">
        <v>95</v>
      </c>
      <c r="V2101" t="s">
        <v>96</v>
      </c>
      <c r="W2101" t="s">
        <v>97</v>
      </c>
      <c r="X2101" t="s">
        <v>98</v>
      </c>
      <c r="Y2101" t="s">
        <v>36</v>
      </c>
    </row>
    <row r="2102" spans="1:25" x14ac:dyDescent="0.25">
      <c r="A2102">
        <v>10133</v>
      </c>
      <c r="B2102">
        <v>46</v>
      </c>
      <c r="C2102">
        <v>77.52</v>
      </c>
      <c r="D2102">
        <v>4</v>
      </c>
      <c r="E2102">
        <v>3565.92</v>
      </c>
      <c r="F2102" s="1">
        <v>37799</v>
      </c>
      <c r="G2102" t="s">
        <v>25</v>
      </c>
      <c r="H2102">
        <v>2</v>
      </c>
      <c r="I2102">
        <v>6</v>
      </c>
      <c r="J2102">
        <v>2003</v>
      </c>
      <c r="K2102" t="s">
        <v>566</v>
      </c>
      <c r="L2102">
        <v>72</v>
      </c>
      <c r="M2102" t="s">
        <v>647</v>
      </c>
      <c r="N2102" t="s">
        <v>174</v>
      </c>
      <c r="O2102" t="s">
        <v>175</v>
      </c>
      <c r="P2102" t="s">
        <v>176</v>
      </c>
      <c r="R2102" t="s">
        <v>177</v>
      </c>
      <c r="T2102">
        <v>28034</v>
      </c>
      <c r="U2102" t="s">
        <v>178</v>
      </c>
      <c r="V2102" t="s">
        <v>42</v>
      </c>
      <c r="W2102" t="s">
        <v>179</v>
      </c>
      <c r="X2102" t="s">
        <v>180</v>
      </c>
      <c r="Y2102" t="s">
        <v>51</v>
      </c>
    </row>
    <row r="2103" spans="1:25" x14ac:dyDescent="0.25">
      <c r="A2103">
        <v>10145</v>
      </c>
      <c r="B2103">
        <v>33</v>
      </c>
      <c r="C2103">
        <v>84.77</v>
      </c>
      <c r="D2103">
        <v>15</v>
      </c>
      <c r="E2103">
        <v>2797.41</v>
      </c>
      <c r="F2103" s="1">
        <v>37858</v>
      </c>
      <c r="G2103" t="s">
        <v>25</v>
      </c>
      <c r="H2103">
        <v>3</v>
      </c>
      <c r="I2103">
        <v>8</v>
      </c>
      <c r="J2103">
        <v>2003</v>
      </c>
      <c r="K2103" t="s">
        <v>566</v>
      </c>
      <c r="L2103">
        <v>72</v>
      </c>
      <c r="M2103" t="s">
        <v>647</v>
      </c>
      <c r="N2103" t="s">
        <v>52</v>
      </c>
      <c r="O2103">
        <v>6265557265</v>
      </c>
      <c r="P2103" t="s">
        <v>53</v>
      </c>
      <c r="R2103" t="s">
        <v>54</v>
      </c>
      <c r="S2103" t="s">
        <v>55</v>
      </c>
      <c r="T2103">
        <v>90003</v>
      </c>
      <c r="U2103" t="s">
        <v>32</v>
      </c>
      <c r="V2103" t="s">
        <v>33</v>
      </c>
      <c r="W2103" t="s">
        <v>56</v>
      </c>
      <c r="X2103" t="s">
        <v>57</v>
      </c>
      <c r="Y2103" t="s">
        <v>36</v>
      </c>
    </row>
    <row r="2104" spans="1:25" x14ac:dyDescent="0.25">
      <c r="A2104">
        <v>10168</v>
      </c>
      <c r="B2104">
        <v>48</v>
      </c>
      <c r="C2104">
        <v>78.25</v>
      </c>
      <c r="D2104">
        <v>10</v>
      </c>
      <c r="E2104">
        <v>3756</v>
      </c>
      <c r="F2104" s="1">
        <v>37922</v>
      </c>
      <c r="G2104" t="s">
        <v>25</v>
      </c>
      <c r="H2104">
        <v>4</v>
      </c>
      <c r="I2104">
        <v>10</v>
      </c>
      <c r="J2104">
        <v>2003</v>
      </c>
      <c r="K2104" t="s">
        <v>566</v>
      </c>
      <c r="L2104">
        <v>72</v>
      </c>
      <c r="M2104" t="s">
        <v>647</v>
      </c>
      <c r="N2104" t="s">
        <v>62</v>
      </c>
      <c r="O2104">
        <v>6505556809</v>
      </c>
      <c r="P2104" t="s">
        <v>63</v>
      </c>
      <c r="R2104" t="s">
        <v>64</v>
      </c>
      <c r="S2104" t="s">
        <v>55</v>
      </c>
      <c r="T2104">
        <v>94217</v>
      </c>
      <c r="U2104" t="s">
        <v>32</v>
      </c>
      <c r="V2104" t="s">
        <v>33</v>
      </c>
      <c r="W2104" t="s">
        <v>65</v>
      </c>
      <c r="X2104" t="s">
        <v>66</v>
      </c>
      <c r="Y2104" t="s">
        <v>51</v>
      </c>
    </row>
    <row r="2105" spans="1:25" x14ac:dyDescent="0.25">
      <c r="A2105">
        <v>10210</v>
      </c>
      <c r="B2105">
        <v>40</v>
      </c>
      <c r="C2105">
        <v>71</v>
      </c>
      <c r="D2105">
        <v>8</v>
      </c>
      <c r="E2105">
        <v>2840</v>
      </c>
      <c r="F2105" s="1">
        <v>37998</v>
      </c>
      <c r="G2105" t="s">
        <v>25</v>
      </c>
      <c r="H2105">
        <v>1</v>
      </c>
      <c r="I2105">
        <v>1</v>
      </c>
      <c r="J2105">
        <v>2004</v>
      </c>
      <c r="K2105" t="s">
        <v>566</v>
      </c>
      <c r="L2105">
        <v>72</v>
      </c>
      <c r="M2105" t="s">
        <v>647</v>
      </c>
      <c r="N2105" t="s">
        <v>302</v>
      </c>
      <c r="O2105" t="s">
        <v>303</v>
      </c>
      <c r="P2105" t="s">
        <v>304</v>
      </c>
      <c r="R2105" t="s">
        <v>305</v>
      </c>
      <c r="S2105" t="s">
        <v>305</v>
      </c>
      <c r="T2105" t="s">
        <v>306</v>
      </c>
      <c r="U2105" t="s">
        <v>200</v>
      </c>
      <c r="V2105" t="s">
        <v>200</v>
      </c>
      <c r="W2105" t="s">
        <v>307</v>
      </c>
      <c r="X2105" t="s">
        <v>308</v>
      </c>
      <c r="Y2105" t="s">
        <v>36</v>
      </c>
    </row>
    <row r="2106" spans="1:25" x14ac:dyDescent="0.25">
      <c r="A2106">
        <v>10223</v>
      </c>
      <c r="B2106">
        <v>23</v>
      </c>
      <c r="C2106">
        <v>74.62</v>
      </c>
      <c r="D2106">
        <v>10</v>
      </c>
      <c r="E2106">
        <v>1716.26</v>
      </c>
      <c r="F2106" s="1">
        <v>38037</v>
      </c>
      <c r="G2106" t="s">
        <v>25</v>
      </c>
      <c r="H2106">
        <v>1</v>
      </c>
      <c r="I2106">
        <v>2</v>
      </c>
      <c r="J2106">
        <v>2004</v>
      </c>
      <c r="K2106" t="s">
        <v>566</v>
      </c>
      <c r="L2106">
        <v>72</v>
      </c>
      <c r="M2106" t="s">
        <v>647</v>
      </c>
      <c r="N2106" t="s">
        <v>89</v>
      </c>
      <c r="O2106" t="s">
        <v>90</v>
      </c>
      <c r="P2106" t="s">
        <v>91</v>
      </c>
      <c r="Q2106" t="s">
        <v>92</v>
      </c>
      <c r="R2106" t="s">
        <v>93</v>
      </c>
      <c r="S2106" t="s">
        <v>94</v>
      </c>
      <c r="T2106">
        <v>3004</v>
      </c>
      <c r="U2106" t="s">
        <v>95</v>
      </c>
      <c r="V2106" t="s">
        <v>96</v>
      </c>
      <c r="W2106" t="s">
        <v>97</v>
      </c>
      <c r="X2106" t="s">
        <v>98</v>
      </c>
      <c r="Y2106" t="s">
        <v>36</v>
      </c>
    </row>
    <row r="2107" spans="1:25" x14ac:dyDescent="0.25">
      <c r="A2107">
        <v>10235</v>
      </c>
      <c r="B2107">
        <v>40</v>
      </c>
      <c r="C2107">
        <v>81.14</v>
      </c>
      <c r="D2107">
        <v>4</v>
      </c>
      <c r="E2107">
        <v>3245.6</v>
      </c>
      <c r="F2107" s="1">
        <v>38079</v>
      </c>
      <c r="G2107" t="s">
        <v>25</v>
      </c>
      <c r="H2107">
        <v>2</v>
      </c>
      <c r="I2107">
        <v>4</v>
      </c>
      <c r="J2107">
        <v>2004</v>
      </c>
      <c r="K2107" t="s">
        <v>566</v>
      </c>
      <c r="L2107">
        <v>72</v>
      </c>
      <c r="M2107" t="s">
        <v>647</v>
      </c>
      <c r="N2107" t="s">
        <v>373</v>
      </c>
      <c r="O2107" t="s">
        <v>374</v>
      </c>
      <c r="P2107" t="s">
        <v>375</v>
      </c>
      <c r="R2107" t="s">
        <v>376</v>
      </c>
      <c r="S2107" t="s">
        <v>229</v>
      </c>
      <c r="T2107" t="s">
        <v>377</v>
      </c>
      <c r="U2107" t="s">
        <v>231</v>
      </c>
      <c r="V2107" t="s">
        <v>33</v>
      </c>
      <c r="W2107" t="s">
        <v>378</v>
      </c>
      <c r="X2107" t="s">
        <v>172</v>
      </c>
      <c r="Y2107" t="s">
        <v>51</v>
      </c>
    </row>
    <row r="2108" spans="1:25" x14ac:dyDescent="0.25">
      <c r="A2108">
        <v>10250</v>
      </c>
      <c r="B2108">
        <v>37</v>
      </c>
      <c r="C2108">
        <v>74.62</v>
      </c>
      <c r="D2108">
        <v>5</v>
      </c>
      <c r="E2108">
        <v>2760.94</v>
      </c>
      <c r="F2108" s="1">
        <v>38118</v>
      </c>
      <c r="G2108" t="s">
        <v>25</v>
      </c>
      <c r="H2108">
        <v>2</v>
      </c>
      <c r="I2108">
        <v>5</v>
      </c>
      <c r="J2108">
        <v>2004</v>
      </c>
      <c r="K2108" t="s">
        <v>566</v>
      </c>
      <c r="L2108">
        <v>72</v>
      </c>
      <c r="M2108" t="s">
        <v>647</v>
      </c>
      <c r="N2108" t="s">
        <v>397</v>
      </c>
      <c r="O2108">
        <v>4085553659</v>
      </c>
      <c r="P2108" t="s">
        <v>398</v>
      </c>
      <c r="R2108" t="s">
        <v>399</v>
      </c>
      <c r="S2108" t="s">
        <v>55</v>
      </c>
      <c r="T2108">
        <v>94217</v>
      </c>
      <c r="U2108" t="s">
        <v>32</v>
      </c>
      <c r="V2108" t="s">
        <v>33</v>
      </c>
      <c r="W2108" t="s">
        <v>102</v>
      </c>
      <c r="X2108" t="s">
        <v>400</v>
      </c>
      <c r="Y2108" t="s">
        <v>36</v>
      </c>
    </row>
    <row r="2109" spans="1:25" x14ac:dyDescent="0.25">
      <c r="A2109">
        <v>10263</v>
      </c>
      <c r="B2109">
        <v>24</v>
      </c>
      <c r="C2109">
        <v>75.349999999999994</v>
      </c>
      <c r="D2109">
        <v>11</v>
      </c>
      <c r="E2109">
        <v>1808.4</v>
      </c>
      <c r="F2109" s="1">
        <v>38166</v>
      </c>
      <c r="G2109" t="s">
        <v>25</v>
      </c>
      <c r="H2109">
        <v>2</v>
      </c>
      <c r="I2109">
        <v>6</v>
      </c>
      <c r="J2109">
        <v>2004</v>
      </c>
      <c r="K2109" t="s">
        <v>566</v>
      </c>
      <c r="L2109">
        <v>72</v>
      </c>
      <c r="M2109" t="s">
        <v>647</v>
      </c>
      <c r="N2109" t="s">
        <v>109</v>
      </c>
      <c r="O2109">
        <v>2035552570</v>
      </c>
      <c r="P2109" t="s">
        <v>110</v>
      </c>
      <c r="R2109" t="s">
        <v>111</v>
      </c>
      <c r="S2109" t="s">
        <v>112</v>
      </c>
      <c r="T2109">
        <v>97562</v>
      </c>
      <c r="U2109" t="s">
        <v>32</v>
      </c>
      <c r="V2109" t="s">
        <v>33</v>
      </c>
      <c r="W2109" t="s">
        <v>113</v>
      </c>
      <c r="X2109" t="s">
        <v>57</v>
      </c>
      <c r="Y2109" t="s">
        <v>36</v>
      </c>
    </row>
    <row r="2110" spans="1:25" x14ac:dyDescent="0.25">
      <c r="A2110">
        <v>10275</v>
      </c>
      <c r="B2110">
        <v>27</v>
      </c>
      <c r="C2110">
        <v>62.31</v>
      </c>
      <c r="D2110">
        <v>10</v>
      </c>
      <c r="E2110">
        <v>1682.37</v>
      </c>
      <c r="F2110" s="1">
        <v>38191</v>
      </c>
      <c r="G2110" t="s">
        <v>25</v>
      </c>
      <c r="H2110">
        <v>3</v>
      </c>
      <c r="I2110">
        <v>7</v>
      </c>
      <c r="J2110">
        <v>2004</v>
      </c>
      <c r="K2110" t="s">
        <v>566</v>
      </c>
      <c r="L2110">
        <v>72</v>
      </c>
      <c r="M2110" t="s">
        <v>647</v>
      </c>
      <c r="N2110" t="s">
        <v>114</v>
      </c>
      <c r="O2110" t="s">
        <v>115</v>
      </c>
      <c r="P2110" t="s">
        <v>116</v>
      </c>
      <c r="R2110" t="s">
        <v>117</v>
      </c>
      <c r="T2110">
        <v>44000</v>
      </c>
      <c r="U2110" t="s">
        <v>41</v>
      </c>
      <c r="V2110" t="s">
        <v>42</v>
      </c>
      <c r="W2110" t="s">
        <v>118</v>
      </c>
      <c r="X2110" t="s">
        <v>119</v>
      </c>
      <c r="Y2110" t="s">
        <v>36</v>
      </c>
    </row>
    <row r="2111" spans="1:25" x14ac:dyDescent="0.25">
      <c r="A2111">
        <v>10284</v>
      </c>
      <c r="B2111">
        <v>21</v>
      </c>
      <c r="C2111">
        <v>71</v>
      </c>
      <c r="D2111">
        <v>2</v>
      </c>
      <c r="E2111">
        <v>1491</v>
      </c>
      <c r="F2111" s="1">
        <v>38220</v>
      </c>
      <c r="G2111" t="s">
        <v>25</v>
      </c>
      <c r="H2111">
        <v>3</v>
      </c>
      <c r="I2111">
        <v>8</v>
      </c>
      <c r="J2111">
        <v>2004</v>
      </c>
      <c r="K2111" t="s">
        <v>566</v>
      </c>
      <c r="L2111">
        <v>72</v>
      </c>
      <c r="M2111" t="s">
        <v>647</v>
      </c>
      <c r="N2111" t="s">
        <v>543</v>
      </c>
      <c r="O2111" t="s">
        <v>544</v>
      </c>
      <c r="P2111" t="s">
        <v>545</v>
      </c>
      <c r="R2111" t="s">
        <v>546</v>
      </c>
      <c r="T2111" t="s">
        <v>547</v>
      </c>
      <c r="U2111" t="s">
        <v>78</v>
      </c>
      <c r="V2111" t="s">
        <v>42</v>
      </c>
      <c r="W2111" t="s">
        <v>548</v>
      </c>
      <c r="X2111" t="s">
        <v>549</v>
      </c>
      <c r="Y2111" t="s">
        <v>36</v>
      </c>
    </row>
    <row r="2112" spans="1:25" x14ac:dyDescent="0.25">
      <c r="A2112">
        <v>10297</v>
      </c>
      <c r="B2112">
        <v>23</v>
      </c>
      <c r="C2112">
        <v>72.45</v>
      </c>
      <c r="D2112">
        <v>5</v>
      </c>
      <c r="E2112">
        <v>1666.35</v>
      </c>
      <c r="F2112" s="1">
        <v>38246</v>
      </c>
      <c r="G2112" t="s">
        <v>25</v>
      </c>
      <c r="H2112">
        <v>3</v>
      </c>
      <c r="I2112">
        <v>9</v>
      </c>
      <c r="J2112">
        <v>2004</v>
      </c>
      <c r="K2112" t="s">
        <v>566</v>
      </c>
      <c r="L2112">
        <v>72</v>
      </c>
      <c r="M2112" t="s">
        <v>647</v>
      </c>
      <c r="N2112" t="s">
        <v>479</v>
      </c>
      <c r="O2112" t="s">
        <v>480</v>
      </c>
      <c r="P2112" t="s">
        <v>481</v>
      </c>
      <c r="Q2112" t="s">
        <v>482</v>
      </c>
      <c r="R2112" t="s">
        <v>483</v>
      </c>
      <c r="T2112">
        <v>2</v>
      </c>
      <c r="U2112" t="s">
        <v>484</v>
      </c>
      <c r="V2112" t="s">
        <v>42</v>
      </c>
      <c r="W2112" t="s">
        <v>485</v>
      </c>
      <c r="X2112" t="s">
        <v>486</v>
      </c>
      <c r="Y2112" t="s">
        <v>36</v>
      </c>
    </row>
    <row r="2113" spans="1:25" x14ac:dyDescent="0.25">
      <c r="A2113">
        <v>10308</v>
      </c>
      <c r="B2113">
        <v>44</v>
      </c>
      <c r="C2113">
        <v>83.32</v>
      </c>
      <c r="D2113">
        <v>8</v>
      </c>
      <c r="E2113">
        <v>3666.08</v>
      </c>
      <c r="F2113" s="1">
        <v>38275</v>
      </c>
      <c r="G2113" t="s">
        <v>25</v>
      </c>
      <c r="H2113">
        <v>4</v>
      </c>
      <c r="I2113">
        <v>10</v>
      </c>
      <c r="J2113">
        <v>2004</v>
      </c>
      <c r="K2113" t="s">
        <v>566</v>
      </c>
      <c r="L2113">
        <v>72</v>
      </c>
      <c r="M2113" t="s">
        <v>647</v>
      </c>
      <c r="N2113" t="s">
        <v>317</v>
      </c>
      <c r="O2113">
        <v>9145554562</v>
      </c>
      <c r="P2113" t="s">
        <v>318</v>
      </c>
      <c r="R2113" t="s">
        <v>319</v>
      </c>
      <c r="S2113" t="s">
        <v>31</v>
      </c>
      <c r="T2113">
        <v>24067</v>
      </c>
      <c r="U2113" t="s">
        <v>32</v>
      </c>
      <c r="V2113" t="s">
        <v>33</v>
      </c>
      <c r="W2113" t="s">
        <v>102</v>
      </c>
      <c r="X2113" t="s">
        <v>238</v>
      </c>
      <c r="Y2113" t="s">
        <v>51</v>
      </c>
    </row>
    <row r="2114" spans="1:25" x14ac:dyDescent="0.25">
      <c r="A2114">
        <v>10317</v>
      </c>
      <c r="B2114">
        <v>35</v>
      </c>
      <c r="C2114">
        <v>83.32</v>
      </c>
      <c r="D2114">
        <v>1</v>
      </c>
      <c r="E2114">
        <v>2916.2</v>
      </c>
      <c r="F2114" s="1">
        <v>38293</v>
      </c>
      <c r="G2114" t="s">
        <v>25</v>
      </c>
      <c r="H2114">
        <v>4</v>
      </c>
      <c r="I2114">
        <v>11</v>
      </c>
      <c r="J2114">
        <v>2004</v>
      </c>
      <c r="K2114" t="s">
        <v>566</v>
      </c>
      <c r="L2114">
        <v>72</v>
      </c>
      <c r="M2114" t="s">
        <v>647</v>
      </c>
      <c r="N2114" t="s">
        <v>62</v>
      </c>
      <c r="O2114">
        <v>6505556809</v>
      </c>
      <c r="P2114" t="s">
        <v>63</v>
      </c>
      <c r="R2114" t="s">
        <v>64</v>
      </c>
      <c r="S2114" t="s">
        <v>55</v>
      </c>
      <c r="T2114">
        <v>94217</v>
      </c>
      <c r="U2114" t="s">
        <v>32</v>
      </c>
      <c r="V2114" t="s">
        <v>33</v>
      </c>
      <c r="W2114" t="s">
        <v>65</v>
      </c>
      <c r="X2114" t="s">
        <v>66</v>
      </c>
      <c r="Y2114" t="s">
        <v>36</v>
      </c>
    </row>
    <row r="2115" spans="1:25" x14ac:dyDescent="0.25">
      <c r="A2115">
        <v>10328</v>
      </c>
      <c r="B2115">
        <v>43</v>
      </c>
      <c r="C2115">
        <v>60.86</v>
      </c>
      <c r="D2115">
        <v>4</v>
      </c>
      <c r="E2115">
        <v>2616.98</v>
      </c>
      <c r="F2115" s="1">
        <v>38303</v>
      </c>
      <c r="G2115" t="s">
        <v>25</v>
      </c>
      <c r="H2115">
        <v>4</v>
      </c>
      <c r="I2115">
        <v>11</v>
      </c>
      <c r="J2115">
        <v>2004</v>
      </c>
      <c r="K2115" t="s">
        <v>566</v>
      </c>
      <c r="L2115">
        <v>72</v>
      </c>
      <c r="M2115" t="s">
        <v>647</v>
      </c>
      <c r="N2115" t="s">
        <v>552</v>
      </c>
      <c r="O2115" t="s">
        <v>553</v>
      </c>
      <c r="P2115" t="s">
        <v>554</v>
      </c>
      <c r="R2115" t="s">
        <v>555</v>
      </c>
      <c r="T2115">
        <v>24100</v>
      </c>
      <c r="U2115" t="s">
        <v>258</v>
      </c>
      <c r="V2115" t="s">
        <v>42</v>
      </c>
      <c r="W2115" t="s">
        <v>556</v>
      </c>
      <c r="X2115" t="s">
        <v>557</v>
      </c>
      <c r="Y2115" t="s">
        <v>36</v>
      </c>
    </row>
    <row r="2116" spans="1:25" x14ac:dyDescent="0.25">
      <c r="A2116">
        <v>10340</v>
      </c>
      <c r="B2116">
        <v>40</v>
      </c>
      <c r="C2116">
        <v>84.77</v>
      </c>
      <c r="D2116">
        <v>1</v>
      </c>
      <c r="E2116">
        <v>3390.8</v>
      </c>
      <c r="F2116" s="1">
        <v>38315</v>
      </c>
      <c r="G2116" t="s">
        <v>25</v>
      </c>
      <c r="H2116">
        <v>4</v>
      </c>
      <c r="I2116">
        <v>11</v>
      </c>
      <c r="J2116">
        <v>2004</v>
      </c>
      <c r="K2116" t="s">
        <v>566</v>
      </c>
      <c r="L2116">
        <v>72</v>
      </c>
      <c r="M2116" t="s">
        <v>647</v>
      </c>
      <c r="N2116" t="s">
        <v>352</v>
      </c>
      <c r="O2116" t="s">
        <v>353</v>
      </c>
      <c r="P2116" t="s">
        <v>354</v>
      </c>
      <c r="R2116" t="s">
        <v>355</v>
      </c>
      <c r="T2116">
        <v>8022</v>
      </c>
      <c r="U2116" t="s">
        <v>178</v>
      </c>
      <c r="V2116" t="s">
        <v>42</v>
      </c>
      <c r="W2116" t="s">
        <v>356</v>
      </c>
      <c r="X2116" t="s">
        <v>357</v>
      </c>
      <c r="Y2116" t="s">
        <v>51</v>
      </c>
    </row>
    <row r="2117" spans="1:25" x14ac:dyDescent="0.25">
      <c r="A2117">
        <v>10353</v>
      </c>
      <c r="B2117">
        <v>35</v>
      </c>
      <c r="C2117">
        <v>89.9</v>
      </c>
      <c r="D2117">
        <v>3</v>
      </c>
      <c r="E2117">
        <v>3146.5</v>
      </c>
      <c r="F2117" s="1">
        <v>38325</v>
      </c>
      <c r="G2117" t="s">
        <v>25</v>
      </c>
      <c r="H2117">
        <v>4</v>
      </c>
      <c r="I2117">
        <v>12</v>
      </c>
      <c r="J2117">
        <v>2004</v>
      </c>
      <c r="K2117" t="s">
        <v>566</v>
      </c>
      <c r="L2117">
        <v>72</v>
      </c>
      <c r="M2117" t="s">
        <v>647</v>
      </c>
      <c r="N2117" t="s">
        <v>568</v>
      </c>
      <c r="O2117">
        <v>2035554407</v>
      </c>
      <c r="P2117" t="s">
        <v>569</v>
      </c>
      <c r="R2117" t="s">
        <v>516</v>
      </c>
      <c r="S2117" t="s">
        <v>112</v>
      </c>
      <c r="T2117">
        <v>97561</v>
      </c>
      <c r="U2117" t="s">
        <v>32</v>
      </c>
      <c r="V2117" t="s">
        <v>33</v>
      </c>
      <c r="W2117" t="s">
        <v>570</v>
      </c>
      <c r="X2117" t="s">
        <v>571</v>
      </c>
      <c r="Y2117" t="s">
        <v>51</v>
      </c>
    </row>
    <row r="2118" spans="1:25" x14ac:dyDescent="0.25">
      <c r="A2118">
        <v>10361</v>
      </c>
      <c r="B2118">
        <v>25</v>
      </c>
      <c r="C2118">
        <v>62.46</v>
      </c>
      <c r="D2118">
        <v>1</v>
      </c>
      <c r="E2118">
        <v>1561.5</v>
      </c>
      <c r="F2118" s="1">
        <v>38338</v>
      </c>
      <c r="G2118" t="s">
        <v>25</v>
      </c>
      <c r="H2118">
        <v>4</v>
      </c>
      <c r="I2118">
        <v>12</v>
      </c>
      <c r="J2118">
        <v>2004</v>
      </c>
      <c r="K2118" t="s">
        <v>566</v>
      </c>
      <c r="L2118">
        <v>72</v>
      </c>
      <c r="M2118" t="s">
        <v>647</v>
      </c>
      <c r="N2118" t="s">
        <v>152</v>
      </c>
      <c r="O2118" t="s">
        <v>153</v>
      </c>
      <c r="P2118" t="s">
        <v>154</v>
      </c>
      <c r="Q2118" t="s">
        <v>155</v>
      </c>
      <c r="R2118" t="s">
        <v>156</v>
      </c>
      <c r="S2118" t="s">
        <v>157</v>
      </c>
      <c r="T2118">
        <v>2067</v>
      </c>
      <c r="U2118" t="s">
        <v>95</v>
      </c>
      <c r="V2118" t="s">
        <v>96</v>
      </c>
      <c r="W2118" t="s">
        <v>158</v>
      </c>
      <c r="X2118" t="s">
        <v>159</v>
      </c>
      <c r="Y2118" t="s">
        <v>36</v>
      </c>
    </row>
    <row r="2119" spans="1:25" x14ac:dyDescent="0.25">
      <c r="A2119">
        <v>10375</v>
      </c>
      <c r="B2119">
        <v>43</v>
      </c>
      <c r="C2119">
        <v>100</v>
      </c>
      <c r="D2119">
        <v>2</v>
      </c>
      <c r="E2119">
        <v>10039.6</v>
      </c>
      <c r="F2119" s="1">
        <v>38386</v>
      </c>
      <c r="G2119" t="s">
        <v>25</v>
      </c>
      <c r="H2119">
        <v>1</v>
      </c>
      <c r="I2119">
        <v>2</v>
      </c>
      <c r="J2119">
        <v>2005</v>
      </c>
      <c r="K2119" t="s">
        <v>566</v>
      </c>
      <c r="L2119">
        <v>72</v>
      </c>
      <c r="M2119" t="s">
        <v>647</v>
      </c>
      <c r="N2119" t="s">
        <v>114</v>
      </c>
      <c r="O2119" t="s">
        <v>115</v>
      </c>
      <c r="P2119" t="s">
        <v>116</v>
      </c>
      <c r="R2119" t="s">
        <v>117</v>
      </c>
      <c r="T2119">
        <v>44000</v>
      </c>
      <c r="U2119" t="s">
        <v>41</v>
      </c>
      <c r="V2119" t="s">
        <v>42</v>
      </c>
      <c r="W2119" t="s">
        <v>118</v>
      </c>
      <c r="X2119" t="s">
        <v>119</v>
      </c>
      <c r="Y2119" t="s">
        <v>151</v>
      </c>
    </row>
    <row r="2120" spans="1:25" x14ac:dyDescent="0.25">
      <c r="A2120">
        <v>10386</v>
      </c>
      <c r="B2120">
        <v>50</v>
      </c>
      <c r="C2120">
        <v>63.34</v>
      </c>
      <c r="D2120">
        <v>8</v>
      </c>
      <c r="E2120">
        <v>3167</v>
      </c>
      <c r="F2120" s="1">
        <v>38412</v>
      </c>
      <c r="G2120" t="s">
        <v>408</v>
      </c>
      <c r="H2120">
        <v>1</v>
      </c>
      <c r="I2120">
        <v>3</v>
      </c>
      <c r="J2120">
        <v>2005</v>
      </c>
      <c r="K2120" t="s">
        <v>566</v>
      </c>
      <c r="L2120">
        <v>72</v>
      </c>
      <c r="M2120" t="s">
        <v>647</v>
      </c>
      <c r="N2120" t="s">
        <v>174</v>
      </c>
      <c r="O2120" t="s">
        <v>175</v>
      </c>
      <c r="P2120" t="s">
        <v>176</v>
      </c>
      <c r="R2120" t="s">
        <v>177</v>
      </c>
      <c r="T2120">
        <v>28034</v>
      </c>
      <c r="U2120" t="s">
        <v>178</v>
      </c>
      <c r="V2120" t="s">
        <v>42</v>
      </c>
      <c r="W2120" t="s">
        <v>179</v>
      </c>
      <c r="X2120" t="s">
        <v>180</v>
      </c>
      <c r="Y2120" t="s">
        <v>51</v>
      </c>
    </row>
    <row r="2121" spans="1:25" x14ac:dyDescent="0.25">
      <c r="A2121">
        <v>10398</v>
      </c>
      <c r="B2121">
        <v>45</v>
      </c>
      <c r="C2121">
        <v>78.25</v>
      </c>
      <c r="D2121">
        <v>14</v>
      </c>
      <c r="E2121">
        <v>3521.25</v>
      </c>
      <c r="F2121" s="1">
        <v>38441</v>
      </c>
      <c r="G2121" t="s">
        <v>25</v>
      </c>
      <c r="H2121">
        <v>1</v>
      </c>
      <c r="I2121">
        <v>3</v>
      </c>
      <c r="J2121">
        <v>2005</v>
      </c>
      <c r="K2121" t="s">
        <v>566</v>
      </c>
      <c r="L2121">
        <v>72</v>
      </c>
      <c r="M2121" t="s">
        <v>647</v>
      </c>
      <c r="N2121" t="s">
        <v>37</v>
      </c>
      <c r="O2121" t="s">
        <v>38</v>
      </c>
      <c r="P2121" t="s">
        <v>39</v>
      </c>
      <c r="R2121" t="s">
        <v>40</v>
      </c>
      <c r="T2121">
        <v>51100</v>
      </c>
      <c r="U2121" t="s">
        <v>41</v>
      </c>
      <c r="V2121" t="s">
        <v>42</v>
      </c>
      <c r="W2121" t="s">
        <v>43</v>
      </c>
      <c r="X2121" t="s">
        <v>44</v>
      </c>
      <c r="Y2121" t="s">
        <v>51</v>
      </c>
    </row>
    <row r="2122" spans="1:25" x14ac:dyDescent="0.25">
      <c r="A2122">
        <v>10401</v>
      </c>
      <c r="B2122">
        <v>52</v>
      </c>
      <c r="C2122">
        <v>81.14</v>
      </c>
      <c r="D2122">
        <v>4</v>
      </c>
      <c r="E2122">
        <v>4219.28</v>
      </c>
      <c r="F2122" s="1">
        <v>38445</v>
      </c>
      <c r="G2122" t="s">
        <v>401</v>
      </c>
      <c r="H2122">
        <v>2</v>
      </c>
      <c r="I2122">
        <v>4</v>
      </c>
      <c r="J2122">
        <v>2005</v>
      </c>
      <c r="K2122" t="s">
        <v>566</v>
      </c>
      <c r="L2122">
        <v>72</v>
      </c>
      <c r="M2122" t="s">
        <v>647</v>
      </c>
      <c r="N2122" t="s">
        <v>104</v>
      </c>
      <c r="O2122">
        <v>2015559350</v>
      </c>
      <c r="P2122" t="s">
        <v>105</v>
      </c>
      <c r="R2122" t="s">
        <v>106</v>
      </c>
      <c r="S2122" t="s">
        <v>107</v>
      </c>
      <c r="T2122">
        <v>94019</v>
      </c>
      <c r="U2122" t="s">
        <v>32</v>
      </c>
      <c r="V2122" t="s">
        <v>33</v>
      </c>
      <c r="W2122" t="s">
        <v>61</v>
      </c>
      <c r="X2122" t="s">
        <v>108</v>
      </c>
      <c r="Y2122" t="s">
        <v>51</v>
      </c>
    </row>
    <row r="2123" spans="1:25" x14ac:dyDescent="0.25">
      <c r="A2123">
        <v>10416</v>
      </c>
      <c r="B2123">
        <v>48</v>
      </c>
      <c r="C2123">
        <v>74.62</v>
      </c>
      <c r="D2123">
        <v>5</v>
      </c>
      <c r="E2123">
        <v>3581.76</v>
      </c>
      <c r="F2123" s="1">
        <v>38482</v>
      </c>
      <c r="G2123" t="s">
        <v>25</v>
      </c>
      <c r="H2123">
        <v>2</v>
      </c>
      <c r="I2123">
        <v>5</v>
      </c>
      <c r="J2123">
        <v>2005</v>
      </c>
      <c r="K2123" t="s">
        <v>566</v>
      </c>
      <c r="L2123">
        <v>72</v>
      </c>
      <c r="M2123" t="s">
        <v>647</v>
      </c>
      <c r="N2123" t="s">
        <v>452</v>
      </c>
      <c r="O2123" t="s">
        <v>453</v>
      </c>
      <c r="P2123" t="s">
        <v>454</v>
      </c>
      <c r="R2123" t="s">
        <v>455</v>
      </c>
      <c r="T2123">
        <v>42100</v>
      </c>
      <c r="U2123" t="s">
        <v>258</v>
      </c>
      <c r="V2123" t="s">
        <v>42</v>
      </c>
      <c r="W2123" t="s">
        <v>456</v>
      </c>
      <c r="X2123" t="s">
        <v>457</v>
      </c>
      <c r="Y2123" t="s">
        <v>51</v>
      </c>
    </row>
    <row r="2124" spans="1:25" x14ac:dyDescent="0.25">
      <c r="A2124">
        <v>10108</v>
      </c>
      <c r="B2124">
        <v>31</v>
      </c>
      <c r="C2124">
        <v>68.709999999999994</v>
      </c>
      <c r="D2124">
        <v>10</v>
      </c>
      <c r="E2124">
        <v>2130.0100000000002</v>
      </c>
      <c r="F2124" s="1">
        <v>37683</v>
      </c>
      <c r="G2124" t="s">
        <v>25</v>
      </c>
      <c r="H2124">
        <v>1</v>
      </c>
      <c r="I2124">
        <v>3</v>
      </c>
      <c r="J2124">
        <v>2003</v>
      </c>
      <c r="K2124" t="s">
        <v>181</v>
      </c>
      <c r="L2124">
        <v>80</v>
      </c>
      <c r="M2124" t="s">
        <v>648</v>
      </c>
      <c r="N2124" t="s">
        <v>425</v>
      </c>
      <c r="O2124" t="s">
        <v>426</v>
      </c>
      <c r="P2124" t="s">
        <v>427</v>
      </c>
      <c r="R2124" t="s">
        <v>428</v>
      </c>
      <c r="T2124" t="s">
        <v>429</v>
      </c>
      <c r="U2124" t="s">
        <v>430</v>
      </c>
      <c r="V2124" t="s">
        <v>200</v>
      </c>
      <c r="W2124" t="s">
        <v>431</v>
      </c>
      <c r="X2124" t="s">
        <v>432</v>
      </c>
      <c r="Y2124" t="s">
        <v>36</v>
      </c>
    </row>
    <row r="2125" spans="1:25" x14ac:dyDescent="0.25">
      <c r="A2125">
        <v>10122</v>
      </c>
      <c r="B2125">
        <v>29</v>
      </c>
      <c r="C2125">
        <v>71.14</v>
      </c>
      <c r="D2125">
        <v>14</v>
      </c>
      <c r="E2125">
        <v>2063.06</v>
      </c>
      <c r="F2125" s="1">
        <v>37749</v>
      </c>
      <c r="G2125" t="s">
        <v>25</v>
      </c>
      <c r="H2125">
        <v>2</v>
      </c>
      <c r="I2125">
        <v>5</v>
      </c>
      <c r="J2125">
        <v>2003</v>
      </c>
      <c r="K2125" t="s">
        <v>181</v>
      </c>
      <c r="L2125">
        <v>80</v>
      </c>
      <c r="M2125" t="s">
        <v>648</v>
      </c>
      <c r="N2125" t="s">
        <v>433</v>
      </c>
      <c r="O2125" t="s">
        <v>434</v>
      </c>
      <c r="P2125" t="s">
        <v>435</v>
      </c>
      <c r="R2125" t="s">
        <v>436</v>
      </c>
      <c r="T2125">
        <v>13008</v>
      </c>
      <c r="U2125" t="s">
        <v>41</v>
      </c>
      <c r="V2125" t="s">
        <v>42</v>
      </c>
      <c r="W2125" t="s">
        <v>437</v>
      </c>
      <c r="X2125" t="s">
        <v>438</v>
      </c>
      <c r="Y2125" t="s">
        <v>36</v>
      </c>
    </row>
    <row r="2126" spans="1:25" x14ac:dyDescent="0.25">
      <c r="A2126">
        <v>10135</v>
      </c>
      <c r="B2126">
        <v>23</v>
      </c>
      <c r="C2126">
        <v>87.31</v>
      </c>
      <c r="D2126">
        <v>11</v>
      </c>
      <c r="E2126">
        <v>2008.13</v>
      </c>
      <c r="F2126" s="1">
        <v>37804</v>
      </c>
      <c r="G2126" t="s">
        <v>25</v>
      </c>
      <c r="H2126">
        <v>3</v>
      </c>
      <c r="I2126">
        <v>7</v>
      </c>
      <c r="J2126">
        <v>2003</v>
      </c>
      <c r="K2126" t="s">
        <v>181</v>
      </c>
      <c r="L2126">
        <v>80</v>
      </c>
      <c r="M2126" t="s">
        <v>648</v>
      </c>
      <c r="N2126" t="s">
        <v>272</v>
      </c>
      <c r="O2126">
        <v>4155551450</v>
      </c>
      <c r="P2126" t="s">
        <v>273</v>
      </c>
      <c r="R2126" t="s">
        <v>274</v>
      </c>
      <c r="S2126" t="s">
        <v>55</v>
      </c>
      <c r="T2126">
        <v>97562</v>
      </c>
      <c r="U2126" t="s">
        <v>32</v>
      </c>
      <c r="V2126" t="s">
        <v>33</v>
      </c>
      <c r="W2126" t="s">
        <v>275</v>
      </c>
      <c r="X2126" t="s">
        <v>276</v>
      </c>
      <c r="Y2126" t="s">
        <v>36</v>
      </c>
    </row>
    <row r="2127" spans="1:25" x14ac:dyDescent="0.25">
      <c r="A2127">
        <v>10147</v>
      </c>
      <c r="B2127">
        <v>31</v>
      </c>
      <c r="C2127">
        <v>64.67</v>
      </c>
      <c r="D2127">
        <v>11</v>
      </c>
      <c r="E2127">
        <v>2004.77</v>
      </c>
      <c r="F2127" s="1">
        <v>37869</v>
      </c>
      <c r="G2127" t="s">
        <v>25</v>
      </c>
      <c r="H2127">
        <v>3</v>
      </c>
      <c r="I2127">
        <v>9</v>
      </c>
      <c r="J2127">
        <v>2003</v>
      </c>
      <c r="K2127" t="s">
        <v>181</v>
      </c>
      <c r="L2127">
        <v>80</v>
      </c>
      <c r="M2127" t="s">
        <v>648</v>
      </c>
      <c r="N2127" t="s">
        <v>281</v>
      </c>
      <c r="O2127">
        <v>6175558555</v>
      </c>
      <c r="P2127" t="s">
        <v>282</v>
      </c>
      <c r="R2127" t="s">
        <v>283</v>
      </c>
      <c r="S2127" t="s">
        <v>123</v>
      </c>
      <c r="T2127">
        <v>58339</v>
      </c>
      <c r="U2127" t="s">
        <v>32</v>
      </c>
      <c r="V2127" t="s">
        <v>33</v>
      </c>
      <c r="W2127" t="s">
        <v>275</v>
      </c>
      <c r="X2127" t="s">
        <v>284</v>
      </c>
      <c r="Y2127" t="s">
        <v>36</v>
      </c>
    </row>
    <row r="2128" spans="1:25" x14ac:dyDescent="0.25">
      <c r="A2128">
        <v>10159</v>
      </c>
      <c r="B2128">
        <v>23</v>
      </c>
      <c r="C2128">
        <v>67.099999999999994</v>
      </c>
      <c r="D2128">
        <v>6</v>
      </c>
      <c r="E2128">
        <v>1543.3</v>
      </c>
      <c r="F2128" s="1">
        <v>37904</v>
      </c>
      <c r="G2128" t="s">
        <v>25</v>
      </c>
      <c r="H2128">
        <v>4</v>
      </c>
      <c r="I2128">
        <v>10</v>
      </c>
      <c r="J2128">
        <v>2003</v>
      </c>
      <c r="K2128" t="s">
        <v>181</v>
      </c>
      <c r="L2128">
        <v>80</v>
      </c>
      <c r="M2128" t="s">
        <v>648</v>
      </c>
      <c r="N2128" t="s">
        <v>58</v>
      </c>
      <c r="O2128">
        <v>6505551386</v>
      </c>
      <c r="P2128" t="s">
        <v>59</v>
      </c>
      <c r="R2128" t="s">
        <v>60</v>
      </c>
      <c r="S2128" t="s">
        <v>55</v>
      </c>
      <c r="U2128" t="s">
        <v>32</v>
      </c>
      <c r="V2128" t="s">
        <v>33</v>
      </c>
      <c r="W2128" t="s">
        <v>61</v>
      </c>
      <c r="X2128" t="s">
        <v>57</v>
      </c>
      <c r="Y2128" t="s">
        <v>36</v>
      </c>
    </row>
    <row r="2129" spans="1:25" x14ac:dyDescent="0.25">
      <c r="A2129">
        <v>10169</v>
      </c>
      <c r="B2129">
        <v>24</v>
      </c>
      <c r="C2129">
        <v>94.58</v>
      </c>
      <c r="D2129">
        <v>6</v>
      </c>
      <c r="E2129">
        <v>2269.92</v>
      </c>
      <c r="F2129" s="1">
        <v>37929</v>
      </c>
      <c r="G2129" t="s">
        <v>25</v>
      </c>
      <c r="H2129">
        <v>4</v>
      </c>
      <c r="I2129">
        <v>11</v>
      </c>
      <c r="J2129">
        <v>2003</v>
      </c>
      <c r="K2129" t="s">
        <v>181</v>
      </c>
      <c r="L2129">
        <v>80</v>
      </c>
      <c r="M2129" t="s">
        <v>648</v>
      </c>
      <c r="N2129" t="s">
        <v>285</v>
      </c>
      <c r="O2129" t="s">
        <v>286</v>
      </c>
      <c r="P2129" t="s">
        <v>287</v>
      </c>
      <c r="Q2129" t="s">
        <v>288</v>
      </c>
      <c r="R2129" t="s">
        <v>289</v>
      </c>
      <c r="S2129" t="s">
        <v>157</v>
      </c>
      <c r="T2129">
        <v>2060</v>
      </c>
      <c r="U2129" t="s">
        <v>95</v>
      </c>
      <c r="V2129" t="s">
        <v>96</v>
      </c>
      <c r="W2129" t="s">
        <v>290</v>
      </c>
      <c r="X2129" t="s">
        <v>291</v>
      </c>
      <c r="Y2129" t="s">
        <v>36</v>
      </c>
    </row>
    <row r="2130" spans="1:25" x14ac:dyDescent="0.25">
      <c r="A2130">
        <v>10180</v>
      </c>
      <c r="B2130">
        <v>28</v>
      </c>
      <c r="C2130">
        <v>71.14</v>
      </c>
      <c r="D2130">
        <v>1</v>
      </c>
      <c r="E2130">
        <v>1991.92</v>
      </c>
      <c r="F2130" s="1">
        <v>37936</v>
      </c>
      <c r="G2130" t="s">
        <v>25</v>
      </c>
      <c r="H2130">
        <v>4</v>
      </c>
      <c r="I2130">
        <v>11</v>
      </c>
      <c r="J2130">
        <v>2003</v>
      </c>
      <c r="K2130" t="s">
        <v>181</v>
      </c>
      <c r="L2130">
        <v>80</v>
      </c>
      <c r="M2130" t="s">
        <v>648</v>
      </c>
      <c r="N2130" t="s">
        <v>67</v>
      </c>
      <c r="O2130" t="s">
        <v>68</v>
      </c>
      <c r="P2130" t="s">
        <v>69</v>
      </c>
      <c r="R2130" t="s">
        <v>70</v>
      </c>
      <c r="T2130">
        <v>59000</v>
      </c>
      <c r="U2130" t="s">
        <v>41</v>
      </c>
      <c r="V2130" t="s">
        <v>42</v>
      </c>
      <c r="W2130" t="s">
        <v>71</v>
      </c>
      <c r="X2130" t="s">
        <v>72</v>
      </c>
      <c r="Y2130" t="s">
        <v>36</v>
      </c>
    </row>
    <row r="2131" spans="1:25" x14ac:dyDescent="0.25">
      <c r="A2131">
        <v>10191</v>
      </c>
      <c r="B2131">
        <v>44</v>
      </c>
      <c r="C2131">
        <v>66.290000000000006</v>
      </c>
      <c r="D2131">
        <v>7</v>
      </c>
      <c r="E2131">
        <v>2916.76</v>
      </c>
      <c r="F2131" s="1">
        <v>37945</v>
      </c>
      <c r="G2131" t="s">
        <v>25</v>
      </c>
      <c r="H2131">
        <v>4</v>
      </c>
      <c r="I2131">
        <v>11</v>
      </c>
      <c r="J2131">
        <v>2003</v>
      </c>
      <c r="K2131" t="s">
        <v>181</v>
      </c>
      <c r="L2131">
        <v>80</v>
      </c>
      <c r="M2131" t="s">
        <v>648</v>
      </c>
      <c r="N2131" t="s">
        <v>439</v>
      </c>
      <c r="O2131" t="s">
        <v>440</v>
      </c>
      <c r="P2131" t="s">
        <v>441</v>
      </c>
      <c r="R2131" t="s">
        <v>442</v>
      </c>
      <c r="T2131">
        <v>50739</v>
      </c>
      <c r="U2131" t="s">
        <v>443</v>
      </c>
      <c r="V2131" t="s">
        <v>42</v>
      </c>
      <c r="W2131" t="s">
        <v>444</v>
      </c>
      <c r="X2131" t="s">
        <v>445</v>
      </c>
      <c r="Y2131" t="s">
        <v>36</v>
      </c>
    </row>
    <row r="2132" spans="1:25" x14ac:dyDescent="0.25">
      <c r="A2132">
        <v>10211</v>
      </c>
      <c r="B2132">
        <v>22</v>
      </c>
      <c r="C2132">
        <v>92.16</v>
      </c>
      <c r="D2132">
        <v>6</v>
      </c>
      <c r="E2132">
        <v>2027.52</v>
      </c>
      <c r="F2132" s="1">
        <v>38001</v>
      </c>
      <c r="G2132" t="s">
        <v>25</v>
      </c>
      <c r="H2132">
        <v>1</v>
      </c>
      <c r="I2132">
        <v>1</v>
      </c>
      <c r="J2132">
        <v>2004</v>
      </c>
      <c r="K2132" t="s">
        <v>181</v>
      </c>
      <c r="L2132">
        <v>80</v>
      </c>
      <c r="M2132" t="s">
        <v>648</v>
      </c>
      <c r="N2132" t="s">
        <v>84</v>
      </c>
      <c r="O2132" t="s">
        <v>85</v>
      </c>
      <c r="P2132" t="s">
        <v>86</v>
      </c>
      <c r="R2132" t="s">
        <v>48</v>
      </c>
      <c r="T2132">
        <v>75016</v>
      </c>
      <c r="U2132" t="s">
        <v>41</v>
      </c>
      <c r="V2132" t="s">
        <v>42</v>
      </c>
      <c r="W2132" t="s">
        <v>87</v>
      </c>
      <c r="X2132" t="s">
        <v>88</v>
      </c>
      <c r="Y2132" t="s">
        <v>36</v>
      </c>
    </row>
    <row r="2133" spans="1:25" x14ac:dyDescent="0.25">
      <c r="A2133">
        <v>10225</v>
      </c>
      <c r="B2133">
        <v>46</v>
      </c>
      <c r="C2133">
        <v>70.33</v>
      </c>
      <c r="D2133">
        <v>13</v>
      </c>
      <c r="E2133">
        <v>3235.18</v>
      </c>
      <c r="F2133" s="1">
        <v>38039</v>
      </c>
      <c r="G2133" t="s">
        <v>25</v>
      </c>
      <c r="H2133">
        <v>1</v>
      </c>
      <c r="I2133">
        <v>2</v>
      </c>
      <c r="J2133">
        <v>2004</v>
      </c>
      <c r="K2133" t="s">
        <v>181</v>
      </c>
      <c r="L2133">
        <v>80</v>
      </c>
      <c r="M2133" t="s">
        <v>648</v>
      </c>
      <c r="N2133" t="s">
        <v>446</v>
      </c>
      <c r="O2133" t="s">
        <v>447</v>
      </c>
      <c r="P2133" t="s">
        <v>448</v>
      </c>
      <c r="R2133" t="s">
        <v>449</v>
      </c>
      <c r="T2133">
        <v>1203</v>
      </c>
      <c r="U2133" t="s">
        <v>450</v>
      </c>
      <c r="V2133" t="s">
        <v>42</v>
      </c>
      <c r="W2133" t="s">
        <v>451</v>
      </c>
      <c r="X2133" t="s">
        <v>103</v>
      </c>
      <c r="Y2133" t="s">
        <v>51</v>
      </c>
    </row>
    <row r="2134" spans="1:25" x14ac:dyDescent="0.25">
      <c r="A2134">
        <v>10238</v>
      </c>
      <c r="B2134">
        <v>22</v>
      </c>
      <c r="C2134">
        <v>93.77</v>
      </c>
      <c r="D2134">
        <v>7</v>
      </c>
      <c r="E2134">
        <v>2062.94</v>
      </c>
      <c r="F2134" s="1">
        <v>38086</v>
      </c>
      <c r="G2134" t="s">
        <v>25</v>
      </c>
      <c r="H2134">
        <v>2</v>
      </c>
      <c r="I2134">
        <v>4</v>
      </c>
      <c r="J2134">
        <v>2004</v>
      </c>
      <c r="K2134" t="s">
        <v>181</v>
      </c>
      <c r="L2134">
        <v>80</v>
      </c>
      <c r="M2134" t="s">
        <v>648</v>
      </c>
      <c r="N2134" t="s">
        <v>322</v>
      </c>
      <c r="O2134" t="s">
        <v>323</v>
      </c>
      <c r="P2134" t="s">
        <v>324</v>
      </c>
      <c r="R2134" t="s">
        <v>325</v>
      </c>
      <c r="T2134">
        <v>1734</v>
      </c>
      <c r="U2134" t="s">
        <v>326</v>
      </c>
      <c r="V2134" t="s">
        <v>42</v>
      </c>
      <c r="W2134" t="s">
        <v>327</v>
      </c>
      <c r="X2134" t="s">
        <v>328</v>
      </c>
      <c r="Y2134" t="s">
        <v>36</v>
      </c>
    </row>
    <row r="2135" spans="1:25" x14ac:dyDescent="0.25">
      <c r="A2135">
        <v>10252</v>
      </c>
      <c r="B2135">
        <v>38</v>
      </c>
      <c r="C2135">
        <v>87.31</v>
      </c>
      <c r="D2135">
        <v>3</v>
      </c>
      <c r="E2135">
        <v>3317.78</v>
      </c>
      <c r="F2135" s="1">
        <v>38133</v>
      </c>
      <c r="G2135" t="s">
        <v>25</v>
      </c>
      <c r="H2135">
        <v>2</v>
      </c>
      <c r="I2135">
        <v>5</v>
      </c>
      <c r="J2135">
        <v>2004</v>
      </c>
      <c r="K2135" t="s">
        <v>181</v>
      </c>
      <c r="L2135">
        <v>80</v>
      </c>
      <c r="M2135" t="s">
        <v>648</v>
      </c>
      <c r="N2135" t="s">
        <v>84</v>
      </c>
      <c r="O2135" t="s">
        <v>85</v>
      </c>
      <c r="P2135" t="s">
        <v>86</v>
      </c>
      <c r="R2135" t="s">
        <v>48</v>
      </c>
      <c r="T2135">
        <v>75016</v>
      </c>
      <c r="U2135" t="s">
        <v>41</v>
      </c>
      <c r="V2135" t="s">
        <v>42</v>
      </c>
      <c r="W2135" t="s">
        <v>87</v>
      </c>
      <c r="X2135" t="s">
        <v>88</v>
      </c>
      <c r="Y2135" t="s">
        <v>51</v>
      </c>
    </row>
    <row r="2136" spans="1:25" x14ac:dyDescent="0.25">
      <c r="A2136">
        <v>10264</v>
      </c>
      <c r="B2136">
        <v>47</v>
      </c>
      <c r="C2136">
        <v>83.27</v>
      </c>
      <c r="D2136">
        <v>1</v>
      </c>
      <c r="E2136">
        <v>3913.69</v>
      </c>
      <c r="F2136" s="1">
        <v>38168</v>
      </c>
      <c r="G2136" t="s">
        <v>25</v>
      </c>
      <c r="H2136">
        <v>2</v>
      </c>
      <c r="I2136">
        <v>6</v>
      </c>
      <c r="J2136">
        <v>2004</v>
      </c>
      <c r="K2136" t="s">
        <v>181</v>
      </c>
      <c r="L2136">
        <v>80</v>
      </c>
      <c r="M2136" t="s">
        <v>648</v>
      </c>
      <c r="N2136" t="s">
        <v>379</v>
      </c>
      <c r="O2136">
        <v>6175559555</v>
      </c>
      <c r="P2136" t="s">
        <v>380</v>
      </c>
      <c r="R2136" t="s">
        <v>381</v>
      </c>
      <c r="S2136" t="s">
        <v>123</v>
      </c>
      <c r="T2136">
        <v>51003</v>
      </c>
      <c r="U2136" t="s">
        <v>32</v>
      </c>
      <c r="V2136" t="s">
        <v>33</v>
      </c>
      <c r="W2136" t="s">
        <v>382</v>
      </c>
      <c r="X2136" t="s">
        <v>66</v>
      </c>
      <c r="Y2136" t="s">
        <v>51</v>
      </c>
    </row>
    <row r="2137" spans="1:25" x14ac:dyDescent="0.25">
      <c r="A2137">
        <v>10276</v>
      </c>
      <c r="B2137">
        <v>48</v>
      </c>
      <c r="C2137">
        <v>75.180000000000007</v>
      </c>
      <c r="D2137">
        <v>7</v>
      </c>
      <c r="E2137">
        <v>3608.64</v>
      </c>
      <c r="F2137" s="1">
        <v>38201</v>
      </c>
      <c r="G2137" t="s">
        <v>25</v>
      </c>
      <c r="H2137">
        <v>3</v>
      </c>
      <c r="I2137">
        <v>8</v>
      </c>
      <c r="J2137">
        <v>2004</v>
      </c>
      <c r="K2137" t="s">
        <v>181</v>
      </c>
      <c r="L2137">
        <v>80</v>
      </c>
      <c r="M2137" t="s">
        <v>648</v>
      </c>
      <c r="N2137" t="s">
        <v>458</v>
      </c>
      <c r="O2137">
        <v>6175557555</v>
      </c>
      <c r="P2137" t="s">
        <v>459</v>
      </c>
      <c r="R2137" t="s">
        <v>283</v>
      </c>
      <c r="S2137" t="s">
        <v>123</v>
      </c>
      <c r="T2137">
        <v>58339</v>
      </c>
      <c r="U2137" t="s">
        <v>32</v>
      </c>
      <c r="V2137" t="s">
        <v>33</v>
      </c>
      <c r="W2137" t="s">
        <v>460</v>
      </c>
      <c r="X2137" t="s">
        <v>461</v>
      </c>
      <c r="Y2137" t="s">
        <v>51</v>
      </c>
    </row>
    <row r="2138" spans="1:25" x14ac:dyDescent="0.25">
      <c r="A2138">
        <v>10287</v>
      </c>
      <c r="B2138">
        <v>40</v>
      </c>
      <c r="C2138">
        <v>88.12</v>
      </c>
      <c r="D2138">
        <v>16</v>
      </c>
      <c r="E2138">
        <v>3524.8</v>
      </c>
      <c r="F2138" s="1">
        <v>38229</v>
      </c>
      <c r="G2138" t="s">
        <v>25</v>
      </c>
      <c r="H2138">
        <v>3</v>
      </c>
      <c r="I2138">
        <v>8</v>
      </c>
      <c r="J2138">
        <v>2004</v>
      </c>
      <c r="K2138" t="s">
        <v>181</v>
      </c>
      <c r="L2138">
        <v>80</v>
      </c>
      <c r="M2138" t="s">
        <v>648</v>
      </c>
      <c r="N2138" t="s">
        <v>446</v>
      </c>
      <c r="O2138" t="s">
        <v>447</v>
      </c>
      <c r="P2138" t="s">
        <v>448</v>
      </c>
      <c r="R2138" t="s">
        <v>449</v>
      </c>
      <c r="T2138">
        <v>1203</v>
      </c>
      <c r="U2138" t="s">
        <v>450</v>
      </c>
      <c r="V2138" t="s">
        <v>42</v>
      </c>
      <c r="W2138" t="s">
        <v>451</v>
      </c>
      <c r="X2138" t="s">
        <v>103</v>
      </c>
      <c r="Y2138" t="s">
        <v>51</v>
      </c>
    </row>
    <row r="2139" spans="1:25" x14ac:dyDescent="0.25">
      <c r="A2139">
        <v>10299</v>
      </c>
      <c r="B2139">
        <v>32</v>
      </c>
      <c r="C2139">
        <v>80.84</v>
      </c>
      <c r="D2139">
        <v>1</v>
      </c>
      <c r="E2139">
        <v>2586.88</v>
      </c>
      <c r="F2139" s="1">
        <v>38260</v>
      </c>
      <c r="G2139" t="s">
        <v>25</v>
      </c>
      <c r="H2139">
        <v>3</v>
      </c>
      <c r="I2139">
        <v>9</v>
      </c>
      <c r="J2139">
        <v>2004</v>
      </c>
      <c r="K2139" t="s">
        <v>181</v>
      </c>
      <c r="L2139">
        <v>80</v>
      </c>
      <c r="M2139" t="s">
        <v>648</v>
      </c>
      <c r="N2139" t="s">
        <v>126</v>
      </c>
      <c r="O2139" t="s">
        <v>127</v>
      </c>
      <c r="P2139" t="s">
        <v>128</v>
      </c>
      <c r="R2139" t="s">
        <v>129</v>
      </c>
      <c r="T2139">
        <v>21240</v>
      </c>
      <c r="U2139" t="s">
        <v>130</v>
      </c>
      <c r="V2139" t="s">
        <v>42</v>
      </c>
      <c r="W2139" t="s">
        <v>131</v>
      </c>
      <c r="X2139" t="s">
        <v>132</v>
      </c>
      <c r="Y2139" t="s">
        <v>36</v>
      </c>
    </row>
    <row r="2140" spans="1:25" x14ac:dyDescent="0.25">
      <c r="A2140">
        <v>10310</v>
      </c>
      <c r="B2140">
        <v>49</v>
      </c>
      <c r="C2140">
        <v>97.01</v>
      </c>
      <c r="D2140">
        <v>14</v>
      </c>
      <c r="E2140">
        <v>4753.49</v>
      </c>
      <c r="F2140" s="1">
        <v>38276</v>
      </c>
      <c r="G2140" t="s">
        <v>25</v>
      </c>
      <c r="H2140">
        <v>4</v>
      </c>
      <c r="I2140">
        <v>10</v>
      </c>
      <c r="J2140">
        <v>2004</v>
      </c>
      <c r="K2140" t="s">
        <v>181</v>
      </c>
      <c r="L2140">
        <v>80</v>
      </c>
      <c r="M2140" t="s">
        <v>648</v>
      </c>
      <c r="N2140" t="s">
        <v>439</v>
      </c>
      <c r="O2140" t="s">
        <v>440</v>
      </c>
      <c r="P2140" t="s">
        <v>441</v>
      </c>
      <c r="R2140" t="s">
        <v>442</v>
      </c>
      <c r="T2140">
        <v>50739</v>
      </c>
      <c r="U2140" t="s">
        <v>443</v>
      </c>
      <c r="V2140" t="s">
        <v>42</v>
      </c>
      <c r="W2140" t="s">
        <v>444</v>
      </c>
      <c r="X2140" t="s">
        <v>445</v>
      </c>
      <c r="Y2140" t="s">
        <v>51</v>
      </c>
    </row>
    <row r="2141" spans="1:25" x14ac:dyDescent="0.25">
      <c r="A2141">
        <v>10319</v>
      </c>
      <c r="B2141">
        <v>43</v>
      </c>
      <c r="C2141">
        <v>85.69</v>
      </c>
      <c r="D2141">
        <v>2</v>
      </c>
      <c r="E2141">
        <v>3684.67</v>
      </c>
      <c r="F2141" s="1">
        <v>38294</v>
      </c>
      <c r="G2141" t="s">
        <v>25</v>
      </c>
      <c r="H2141">
        <v>4</v>
      </c>
      <c r="I2141">
        <v>11</v>
      </c>
      <c r="J2141">
        <v>2004</v>
      </c>
      <c r="K2141" t="s">
        <v>181</v>
      </c>
      <c r="L2141">
        <v>80</v>
      </c>
      <c r="M2141" t="s">
        <v>648</v>
      </c>
      <c r="N2141" t="s">
        <v>507</v>
      </c>
      <c r="O2141">
        <v>2125551957</v>
      </c>
      <c r="P2141" t="s">
        <v>508</v>
      </c>
      <c r="Q2141" t="s">
        <v>509</v>
      </c>
      <c r="R2141" t="s">
        <v>30</v>
      </c>
      <c r="S2141" t="s">
        <v>31</v>
      </c>
      <c r="T2141">
        <v>10022</v>
      </c>
      <c r="U2141" t="s">
        <v>32</v>
      </c>
      <c r="V2141" t="s">
        <v>33</v>
      </c>
      <c r="W2141" t="s">
        <v>510</v>
      </c>
      <c r="X2141" t="s">
        <v>511</v>
      </c>
      <c r="Y2141" t="s">
        <v>51</v>
      </c>
    </row>
    <row r="2142" spans="1:25" x14ac:dyDescent="0.25">
      <c r="A2142">
        <v>10331</v>
      </c>
      <c r="B2142">
        <v>41</v>
      </c>
      <c r="C2142">
        <v>100</v>
      </c>
      <c r="D2142">
        <v>2</v>
      </c>
      <c r="E2142">
        <v>5715.4</v>
      </c>
      <c r="F2142" s="1">
        <v>38308</v>
      </c>
      <c r="G2142" t="s">
        <v>25</v>
      </c>
      <c r="H2142">
        <v>4</v>
      </c>
      <c r="I2142">
        <v>11</v>
      </c>
      <c r="J2142">
        <v>2004</v>
      </c>
      <c r="K2142" t="s">
        <v>181</v>
      </c>
      <c r="L2142">
        <v>80</v>
      </c>
      <c r="M2142" t="s">
        <v>648</v>
      </c>
      <c r="N2142" t="s">
        <v>309</v>
      </c>
      <c r="O2142">
        <v>2155559857</v>
      </c>
      <c r="P2142" t="s">
        <v>310</v>
      </c>
      <c r="R2142" t="s">
        <v>216</v>
      </c>
      <c r="S2142" t="s">
        <v>142</v>
      </c>
      <c r="T2142">
        <v>71270</v>
      </c>
      <c r="U2142" t="s">
        <v>32</v>
      </c>
      <c r="V2142" t="s">
        <v>33</v>
      </c>
      <c r="W2142" t="s">
        <v>124</v>
      </c>
      <c r="X2142" t="s">
        <v>311</v>
      </c>
      <c r="Y2142" t="s">
        <v>51</v>
      </c>
    </row>
    <row r="2143" spans="1:25" x14ac:dyDescent="0.25">
      <c r="A2143">
        <v>10343</v>
      </c>
      <c r="B2143">
        <v>30</v>
      </c>
      <c r="C2143">
        <v>100</v>
      </c>
      <c r="D2143">
        <v>1</v>
      </c>
      <c r="E2143">
        <v>3098.7</v>
      </c>
      <c r="F2143" s="1">
        <v>38315</v>
      </c>
      <c r="G2143" t="s">
        <v>25</v>
      </c>
      <c r="H2143">
        <v>4</v>
      </c>
      <c r="I2143">
        <v>11</v>
      </c>
      <c r="J2143">
        <v>2004</v>
      </c>
      <c r="K2143" t="s">
        <v>181</v>
      </c>
      <c r="L2143">
        <v>80</v>
      </c>
      <c r="M2143" t="s">
        <v>648</v>
      </c>
      <c r="N2143" t="s">
        <v>37</v>
      </c>
      <c r="O2143" t="s">
        <v>38</v>
      </c>
      <c r="P2143" t="s">
        <v>39</v>
      </c>
      <c r="R2143" t="s">
        <v>40</v>
      </c>
      <c r="T2143">
        <v>51100</v>
      </c>
      <c r="U2143" t="s">
        <v>41</v>
      </c>
      <c r="V2143" t="s">
        <v>42</v>
      </c>
      <c r="W2143" t="s">
        <v>43</v>
      </c>
      <c r="X2143" t="s">
        <v>44</v>
      </c>
      <c r="Y2143" t="s">
        <v>51</v>
      </c>
    </row>
    <row r="2144" spans="1:25" x14ac:dyDescent="0.25">
      <c r="A2144">
        <v>10355</v>
      </c>
      <c r="B2144">
        <v>28</v>
      </c>
      <c r="C2144">
        <v>95.39</v>
      </c>
      <c r="D2144">
        <v>9</v>
      </c>
      <c r="E2144">
        <v>2670.92</v>
      </c>
      <c r="F2144" s="1">
        <v>38328</v>
      </c>
      <c r="G2144" t="s">
        <v>25</v>
      </c>
      <c r="H2144">
        <v>4</v>
      </c>
      <c r="I2144">
        <v>12</v>
      </c>
      <c r="J2144">
        <v>2004</v>
      </c>
      <c r="K2144" t="s">
        <v>181</v>
      </c>
      <c r="L2144">
        <v>80</v>
      </c>
      <c r="M2144" t="s">
        <v>648</v>
      </c>
      <c r="N2144" t="s">
        <v>174</v>
      </c>
      <c r="O2144" t="s">
        <v>175</v>
      </c>
      <c r="P2144" t="s">
        <v>176</v>
      </c>
      <c r="R2144" t="s">
        <v>177</v>
      </c>
      <c r="T2144">
        <v>28034</v>
      </c>
      <c r="U2144" t="s">
        <v>178</v>
      </c>
      <c r="V2144" t="s">
        <v>42</v>
      </c>
      <c r="W2144" t="s">
        <v>179</v>
      </c>
      <c r="X2144" t="s">
        <v>180</v>
      </c>
      <c r="Y2144" t="s">
        <v>36</v>
      </c>
    </row>
    <row r="2145" spans="1:25" x14ac:dyDescent="0.25">
      <c r="A2145">
        <v>10363</v>
      </c>
      <c r="B2145">
        <v>43</v>
      </c>
      <c r="C2145">
        <v>100</v>
      </c>
      <c r="D2145">
        <v>9</v>
      </c>
      <c r="E2145">
        <v>5154.41</v>
      </c>
      <c r="F2145" s="1">
        <v>38358</v>
      </c>
      <c r="G2145" t="s">
        <v>25</v>
      </c>
      <c r="H2145">
        <v>1</v>
      </c>
      <c r="I2145">
        <v>1</v>
      </c>
      <c r="J2145">
        <v>2005</v>
      </c>
      <c r="K2145" t="s">
        <v>181</v>
      </c>
      <c r="L2145">
        <v>80</v>
      </c>
      <c r="M2145" t="s">
        <v>648</v>
      </c>
      <c r="N2145" t="s">
        <v>467</v>
      </c>
      <c r="O2145" t="s">
        <v>468</v>
      </c>
      <c r="P2145" t="s">
        <v>469</v>
      </c>
      <c r="R2145" t="s">
        <v>470</v>
      </c>
      <c r="T2145" t="s">
        <v>471</v>
      </c>
      <c r="U2145" t="s">
        <v>130</v>
      </c>
      <c r="V2145" t="s">
        <v>42</v>
      </c>
      <c r="W2145" t="s">
        <v>472</v>
      </c>
      <c r="X2145" t="s">
        <v>473</v>
      </c>
      <c r="Y2145" t="s">
        <v>51</v>
      </c>
    </row>
    <row r="2146" spans="1:25" x14ac:dyDescent="0.25">
      <c r="A2146">
        <v>10378</v>
      </c>
      <c r="B2146">
        <v>41</v>
      </c>
      <c r="C2146">
        <v>100</v>
      </c>
      <c r="D2146">
        <v>2</v>
      </c>
      <c r="E2146">
        <v>4894.17</v>
      </c>
      <c r="F2146" s="1">
        <v>38393</v>
      </c>
      <c r="G2146" t="s">
        <v>25</v>
      </c>
      <c r="H2146">
        <v>1</v>
      </c>
      <c r="I2146">
        <v>2</v>
      </c>
      <c r="J2146">
        <v>2005</v>
      </c>
      <c r="K2146" t="s">
        <v>181</v>
      </c>
      <c r="L2146">
        <v>80</v>
      </c>
      <c r="M2146" t="s">
        <v>648</v>
      </c>
      <c r="N2146" t="s">
        <v>174</v>
      </c>
      <c r="O2146" t="s">
        <v>175</v>
      </c>
      <c r="P2146" t="s">
        <v>176</v>
      </c>
      <c r="R2146" t="s">
        <v>177</v>
      </c>
      <c r="T2146">
        <v>28034</v>
      </c>
      <c r="U2146" t="s">
        <v>178</v>
      </c>
      <c r="V2146" t="s">
        <v>42</v>
      </c>
      <c r="W2146" t="s">
        <v>179</v>
      </c>
      <c r="X2146" t="s">
        <v>180</v>
      </c>
      <c r="Y2146" t="s">
        <v>51</v>
      </c>
    </row>
    <row r="2147" spans="1:25" x14ac:dyDescent="0.25">
      <c r="A2147">
        <v>10390</v>
      </c>
      <c r="B2147">
        <v>30</v>
      </c>
      <c r="C2147">
        <v>82.42</v>
      </c>
      <c r="D2147">
        <v>10</v>
      </c>
      <c r="E2147">
        <v>2472.6</v>
      </c>
      <c r="F2147" s="1">
        <v>38415</v>
      </c>
      <c r="G2147" t="s">
        <v>25</v>
      </c>
      <c r="H2147">
        <v>1</v>
      </c>
      <c r="I2147">
        <v>3</v>
      </c>
      <c r="J2147">
        <v>2005</v>
      </c>
      <c r="K2147" t="s">
        <v>181</v>
      </c>
      <c r="L2147">
        <v>80</v>
      </c>
      <c r="M2147" t="s">
        <v>648</v>
      </c>
      <c r="N2147" t="s">
        <v>272</v>
      </c>
      <c r="O2147">
        <v>4155551450</v>
      </c>
      <c r="P2147" t="s">
        <v>273</v>
      </c>
      <c r="R2147" t="s">
        <v>274</v>
      </c>
      <c r="S2147" t="s">
        <v>55</v>
      </c>
      <c r="T2147">
        <v>97562</v>
      </c>
      <c r="U2147" t="s">
        <v>32</v>
      </c>
      <c r="V2147" t="s">
        <v>33</v>
      </c>
      <c r="W2147" t="s">
        <v>275</v>
      </c>
      <c r="X2147" t="s">
        <v>276</v>
      </c>
      <c r="Y2147" t="s">
        <v>36</v>
      </c>
    </row>
    <row r="2148" spans="1:25" x14ac:dyDescent="0.25">
      <c r="A2148">
        <v>10103</v>
      </c>
      <c r="B2148">
        <v>31</v>
      </c>
      <c r="C2148">
        <v>100</v>
      </c>
      <c r="D2148">
        <v>3</v>
      </c>
      <c r="E2148">
        <v>3224.31</v>
      </c>
      <c r="F2148" s="1">
        <v>37650</v>
      </c>
      <c r="G2148" t="s">
        <v>25</v>
      </c>
      <c r="H2148">
        <v>1</v>
      </c>
      <c r="I2148">
        <v>1</v>
      </c>
      <c r="J2148">
        <v>2003</v>
      </c>
      <c r="K2148" t="s">
        <v>504</v>
      </c>
      <c r="L2148">
        <v>96</v>
      </c>
      <c r="M2148" t="s">
        <v>649</v>
      </c>
      <c r="N2148" t="s">
        <v>133</v>
      </c>
      <c r="O2148" t="s">
        <v>134</v>
      </c>
      <c r="P2148" t="s">
        <v>135</v>
      </c>
      <c r="R2148" t="s">
        <v>136</v>
      </c>
      <c r="T2148">
        <v>4110</v>
      </c>
      <c r="U2148" t="s">
        <v>78</v>
      </c>
      <c r="V2148" t="s">
        <v>42</v>
      </c>
      <c r="W2148" t="s">
        <v>137</v>
      </c>
      <c r="X2148" t="s">
        <v>138</v>
      </c>
      <c r="Y2148" t="s">
        <v>51</v>
      </c>
    </row>
    <row r="2149" spans="1:25" x14ac:dyDescent="0.25">
      <c r="A2149">
        <v>10114</v>
      </c>
      <c r="B2149">
        <v>32</v>
      </c>
      <c r="C2149">
        <v>100</v>
      </c>
      <c r="D2149">
        <v>7</v>
      </c>
      <c r="E2149">
        <v>3667.52</v>
      </c>
      <c r="F2149" s="1">
        <v>37712</v>
      </c>
      <c r="G2149" t="s">
        <v>25</v>
      </c>
      <c r="H2149">
        <v>2</v>
      </c>
      <c r="I2149">
        <v>4</v>
      </c>
      <c r="J2149">
        <v>2003</v>
      </c>
      <c r="K2149" t="s">
        <v>504</v>
      </c>
      <c r="L2149">
        <v>96</v>
      </c>
      <c r="M2149" t="s">
        <v>649</v>
      </c>
      <c r="N2149" t="s">
        <v>403</v>
      </c>
      <c r="O2149" t="s">
        <v>404</v>
      </c>
      <c r="P2149" t="s">
        <v>405</v>
      </c>
      <c r="R2149" t="s">
        <v>48</v>
      </c>
      <c r="T2149">
        <v>75012</v>
      </c>
      <c r="U2149" t="s">
        <v>41</v>
      </c>
      <c r="V2149" t="s">
        <v>42</v>
      </c>
      <c r="W2149" t="s">
        <v>406</v>
      </c>
      <c r="X2149" t="s">
        <v>407</v>
      </c>
      <c r="Y2149" t="s">
        <v>51</v>
      </c>
    </row>
    <row r="2150" spans="1:25" x14ac:dyDescent="0.25">
      <c r="A2150">
        <v>10126</v>
      </c>
      <c r="B2150">
        <v>43</v>
      </c>
      <c r="C2150">
        <v>96.31</v>
      </c>
      <c r="D2150">
        <v>3</v>
      </c>
      <c r="E2150">
        <v>4141.33</v>
      </c>
      <c r="F2150" s="1">
        <v>37769</v>
      </c>
      <c r="G2150" t="s">
        <v>25</v>
      </c>
      <c r="H2150">
        <v>2</v>
      </c>
      <c r="I2150">
        <v>5</v>
      </c>
      <c r="J2150">
        <v>2003</v>
      </c>
      <c r="K2150" t="s">
        <v>504</v>
      </c>
      <c r="L2150">
        <v>96</v>
      </c>
      <c r="M2150" t="s">
        <v>649</v>
      </c>
      <c r="N2150" t="s">
        <v>191</v>
      </c>
      <c r="O2150" t="s">
        <v>192</v>
      </c>
      <c r="P2150" t="s">
        <v>193</v>
      </c>
      <c r="R2150" t="s">
        <v>177</v>
      </c>
      <c r="T2150">
        <v>28023</v>
      </c>
      <c r="U2150" t="s">
        <v>178</v>
      </c>
      <c r="V2150" t="s">
        <v>42</v>
      </c>
      <c r="W2150" t="s">
        <v>194</v>
      </c>
      <c r="X2150" t="s">
        <v>195</v>
      </c>
      <c r="Y2150" t="s">
        <v>51</v>
      </c>
    </row>
    <row r="2151" spans="1:25" x14ac:dyDescent="0.25">
      <c r="A2151">
        <v>10140</v>
      </c>
      <c r="B2151">
        <v>26</v>
      </c>
      <c r="C2151">
        <v>100</v>
      </c>
      <c r="D2151">
        <v>3</v>
      </c>
      <c r="E2151">
        <v>2829.58</v>
      </c>
      <c r="F2151" s="1">
        <v>37826</v>
      </c>
      <c r="G2151" t="s">
        <v>25</v>
      </c>
      <c r="H2151">
        <v>3</v>
      </c>
      <c r="I2151">
        <v>7</v>
      </c>
      <c r="J2151">
        <v>2003</v>
      </c>
      <c r="K2151" t="s">
        <v>504</v>
      </c>
      <c r="L2151">
        <v>96</v>
      </c>
      <c r="M2151" t="s">
        <v>649</v>
      </c>
      <c r="N2151" t="s">
        <v>62</v>
      </c>
      <c r="O2151">
        <v>6505556809</v>
      </c>
      <c r="P2151" t="s">
        <v>63</v>
      </c>
      <c r="R2151" t="s">
        <v>64</v>
      </c>
      <c r="S2151" t="s">
        <v>55</v>
      </c>
      <c r="T2151">
        <v>94217</v>
      </c>
      <c r="U2151" t="s">
        <v>32</v>
      </c>
      <c r="V2151" t="s">
        <v>33</v>
      </c>
      <c r="W2151" t="s">
        <v>65</v>
      </c>
      <c r="X2151" t="s">
        <v>66</v>
      </c>
      <c r="Y2151" t="s">
        <v>36</v>
      </c>
    </row>
    <row r="2152" spans="1:25" x14ac:dyDescent="0.25">
      <c r="A2152">
        <v>10151</v>
      </c>
      <c r="B2152">
        <v>27</v>
      </c>
      <c r="C2152">
        <v>100</v>
      </c>
      <c r="D2152">
        <v>10</v>
      </c>
      <c r="E2152">
        <v>3068.55</v>
      </c>
      <c r="F2152" s="1">
        <v>37885</v>
      </c>
      <c r="G2152" t="s">
        <v>25</v>
      </c>
      <c r="H2152">
        <v>3</v>
      </c>
      <c r="I2152">
        <v>9</v>
      </c>
      <c r="J2152">
        <v>2003</v>
      </c>
      <c r="K2152" t="s">
        <v>504</v>
      </c>
      <c r="L2152">
        <v>96</v>
      </c>
      <c r="M2152" t="s">
        <v>649</v>
      </c>
      <c r="N2152" t="s">
        <v>391</v>
      </c>
      <c r="O2152" t="s">
        <v>392</v>
      </c>
      <c r="P2152" t="s">
        <v>393</v>
      </c>
      <c r="R2152" t="s">
        <v>394</v>
      </c>
      <c r="T2152">
        <v>90110</v>
      </c>
      <c r="U2152" t="s">
        <v>130</v>
      </c>
      <c r="V2152" t="s">
        <v>42</v>
      </c>
      <c r="W2152" t="s">
        <v>395</v>
      </c>
      <c r="X2152" t="s">
        <v>396</v>
      </c>
      <c r="Y2152" t="s">
        <v>51</v>
      </c>
    </row>
    <row r="2153" spans="1:25" x14ac:dyDescent="0.25">
      <c r="A2153">
        <v>10164</v>
      </c>
      <c r="B2153">
        <v>24</v>
      </c>
      <c r="C2153">
        <v>100</v>
      </c>
      <c r="D2153">
        <v>1</v>
      </c>
      <c r="E2153">
        <v>2634.96</v>
      </c>
      <c r="F2153" s="1">
        <v>37915</v>
      </c>
      <c r="G2153" t="s">
        <v>408</v>
      </c>
      <c r="H2153">
        <v>4</v>
      </c>
      <c r="I2153">
        <v>10</v>
      </c>
      <c r="J2153">
        <v>2003</v>
      </c>
      <c r="K2153" t="s">
        <v>504</v>
      </c>
      <c r="L2153">
        <v>96</v>
      </c>
      <c r="M2153" t="s">
        <v>649</v>
      </c>
      <c r="N2153" t="s">
        <v>409</v>
      </c>
      <c r="O2153" t="s">
        <v>410</v>
      </c>
      <c r="P2153" t="s">
        <v>411</v>
      </c>
      <c r="R2153" t="s">
        <v>412</v>
      </c>
      <c r="T2153">
        <v>8010</v>
      </c>
      <c r="U2153" t="s">
        <v>148</v>
      </c>
      <c r="V2153" t="s">
        <v>42</v>
      </c>
      <c r="W2153" t="s">
        <v>413</v>
      </c>
      <c r="X2153" t="s">
        <v>414</v>
      </c>
      <c r="Y2153" t="s">
        <v>36</v>
      </c>
    </row>
    <row r="2154" spans="1:25" x14ac:dyDescent="0.25">
      <c r="A2154">
        <v>10175</v>
      </c>
      <c r="B2154">
        <v>22</v>
      </c>
      <c r="C2154">
        <v>100</v>
      </c>
      <c r="D2154">
        <v>8</v>
      </c>
      <c r="E2154">
        <v>2436.7199999999998</v>
      </c>
      <c r="F2154" s="1">
        <v>37931</v>
      </c>
      <c r="G2154" t="s">
        <v>25</v>
      </c>
      <c r="H2154">
        <v>4</v>
      </c>
      <c r="I2154">
        <v>11</v>
      </c>
      <c r="J2154">
        <v>2003</v>
      </c>
      <c r="K2154" t="s">
        <v>504</v>
      </c>
      <c r="L2154">
        <v>96</v>
      </c>
      <c r="M2154" t="s">
        <v>649</v>
      </c>
      <c r="N2154" t="s">
        <v>329</v>
      </c>
      <c r="O2154" t="s">
        <v>330</v>
      </c>
      <c r="P2154" t="s">
        <v>331</v>
      </c>
      <c r="R2154" t="s">
        <v>332</v>
      </c>
      <c r="T2154" t="s">
        <v>333</v>
      </c>
      <c r="U2154" t="s">
        <v>170</v>
      </c>
      <c r="V2154" t="s">
        <v>42</v>
      </c>
      <c r="W2154" t="s">
        <v>61</v>
      </c>
      <c r="X2154" t="s">
        <v>334</v>
      </c>
      <c r="Y2154" t="s">
        <v>36</v>
      </c>
    </row>
    <row r="2155" spans="1:25" x14ac:dyDescent="0.25">
      <c r="A2155">
        <v>10184</v>
      </c>
      <c r="B2155">
        <v>46</v>
      </c>
      <c r="C2155">
        <v>100</v>
      </c>
      <c r="D2155">
        <v>13</v>
      </c>
      <c r="E2155">
        <v>4607.3599999999997</v>
      </c>
      <c r="F2155" s="1">
        <v>37939</v>
      </c>
      <c r="G2155" t="s">
        <v>25</v>
      </c>
      <c r="H2155">
        <v>4</v>
      </c>
      <c r="I2155">
        <v>11</v>
      </c>
      <c r="J2155">
        <v>2003</v>
      </c>
      <c r="K2155" t="s">
        <v>504</v>
      </c>
      <c r="L2155">
        <v>96</v>
      </c>
      <c r="M2155" t="s">
        <v>649</v>
      </c>
      <c r="N2155" t="s">
        <v>520</v>
      </c>
      <c r="O2155" t="s">
        <v>521</v>
      </c>
      <c r="P2155" t="s">
        <v>522</v>
      </c>
      <c r="R2155" t="s">
        <v>523</v>
      </c>
      <c r="T2155">
        <v>41101</v>
      </c>
      <c r="U2155" t="s">
        <v>178</v>
      </c>
      <c r="V2155" t="s">
        <v>42</v>
      </c>
      <c r="W2155" t="s">
        <v>524</v>
      </c>
      <c r="X2155" t="s">
        <v>525</v>
      </c>
      <c r="Y2155" t="s">
        <v>51</v>
      </c>
    </row>
    <row r="2156" spans="1:25" x14ac:dyDescent="0.25">
      <c r="A2156">
        <v>10194</v>
      </c>
      <c r="B2156">
        <v>37</v>
      </c>
      <c r="C2156">
        <v>97.27</v>
      </c>
      <c r="D2156">
        <v>3</v>
      </c>
      <c r="E2156">
        <v>3598.99</v>
      </c>
      <c r="F2156" s="1">
        <v>37950</v>
      </c>
      <c r="G2156" t="s">
        <v>25</v>
      </c>
      <c r="H2156">
        <v>4</v>
      </c>
      <c r="I2156">
        <v>11</v>
      </c>
      <c r="J2156">
        <v>2003</v>
      </c>
      <c r="K2156" t="s">
        <v>504</v>
      </c>
      <c r="L2156">
        <v>96</v>
      </c>
      <c r="M2156" t="s">
        <v>649</v>
      </c>
      <c r="N2156" t="s">
        <v>219</v>
      </c>
      <c r="O2156" t="s">
        <v>220</v>
      </c>
      <c r="P2156" t="s">
        <v>221</v>
      </c>
      <c r="R2156" t="s">
        <v>222</v>
      </c>
      <c r="T2156">
        <v>69004</v>
      </c>
      <c r="U2156" t="s">
        <v>41</v>
      </c>
      <c r="V2156" t="s">
        <v>42</v>
      </c>
      <c r="W2156" t="s">
        <v>223</v>
      </c>
      <c r="X2156" t="s">
        <v>224</v>
      </c>
      <c r="Y2156" t="s">
        <v>51</v>
      </c>
    </row>
    <row r="2157" spans="1:25" x14ac:dyDescent="0.25">
      <c r="A2157">
        <v>10207</v>
      </c>
      <c r="B2157">
        <v>49</v>
      </c>
      <c r="C2157">
        <v>80.900000000000006</v>
      </c>
      <c r="D2157">
        <v>14</v>
      </c>
      <c r="E2157">
        <v>3964.1</v>
      </c>
      <c r="F2157" s="1">
        <v>37964</v>
      </c>
      <c r="G2157" t="s">
        <v>25</v>
      </c>
      <c r="H2157">
        <v>4</v>
      </c>
      <c r="I2157">
        <v>12</v>
      </c>
      <c r="J2157">
        <v>2003</v>
      </c>
      <c r="K2157" t="s">
        <v>504</v>
      </c>
      <c r="L2157">
        <v>96</v>
      </c>
      <c r="M2157" t="s">
        <v>649</v>
      </c>
      <c r="N2157" t="s">
        <v>415</v>
      </c>
      <c r="O2157">
        <v>6175552555</v>
      </c>
      <c r="P2157" t="s">
        <v>416</v>
      </c>
      <c r="R2157" t="s">
        <v>381</v>
      </c>
      <c r="S2157" t="s">
        <v>123</v>
      </c>
      <c r="T2157">
        <v>51003</v>
      </c>
      <c r="U2157" t="s">
        <v>32</v>
      </c>
      <c r="V2157" t="s">
        <v>33</v>
      </c>
      <c r="W2157" t="s">
        <v>417</v>
      </c>
      <c r="X2157" t="s">
        <v>276</v>
      </c>
      <c r="Y2157" t="s">
        <v>51</v>
      </c>
    </row>
    <row r="2158" spans="1:25" x14ac:dyDescent="0.25">
      <c r="A2158">
        <v>10217</v>
      </c>
      <c r="B2158">
        <v>21</v>
      </c>
      <c r="C2158">
        <v>100</v>
      </c>
      <c r="D2158">
        <v>3</v>
      </c>
      <c r="E2158">
        <v>2244.9</v>
      </c>
      <c r="F2158" s="1">
        <v>38021</v>
      </c>
      <c r="G2158" t="s">
        <v>25</v>
      </c>
      <c r="H2158">
        <v>1</v>
      </c>
      <c r="I2158">
        <v>2</v>
      </c>
      <c r="J2158">
        <v>2004</v>
      </c>
      <c r="K2158" t="s">
        <v>504</v>
      </c>
      <c r="L2158">
        <v>96</v>
      </c>
      <c r="M2158" t="s">
        <v>649</v>
      </c>
      <c r="N2158" t="s">
        <v>418</v>
      </c>
      <c r="O2158" t="s">
        <v>419</v>
      </c>
      <c r="P2158" t="s">
        <v>420</v>
      </c>
      <c r="Q2158" t="s">
        <v>421</v>
      </c>
      <c r="R2158" t="s">
        <v>199</v>
      </c>
      <c r="T2158">
        <v>69045</v>
      </c>
      <c r="U2158" t="s">
        <v>199</v>
      </c>
      <c r="V2158" t="s">
        <v>96</v>
      </c>
      <c r="W2158" t="s">
        <v>422</v>
      </c>
      <c r="X2158" t="s">
        <v>423</v>
      </c>
      <c r="Y2158" t="s">
        <v>36</v>
      </c>
    </row>
    <row r="2159" spans="1:25" x14ac:dyDescent="0.25">
      <c r="A2159">
        <v>10229</v>
      </c>
      <c r="B2159">
        <v>25</v>
      </c>
      <c r="C2159">
        <v>100</v>
      </c>
      <c r="D2159">
        <v>8</v>
      </c>
      <c r="E2159">
        <v>2793</v>
      </c>
      <c r="F2159" s="1">
        <v>38057</v>
      </c>
      <c r="G2159" t="s">
        <v>25</v>
      </c>
      <c r="H2159">
        <v>1</v>
      </c>
      <c r="I2159">
        <v>3</v>
      </c>
      <c r="J2159">
        <v>2004</v>
      </c>
      <c r="K2159" t="s">
        <v>504</v>
      </c>
      <c r="L2159">
        <v>96</v>
      </c>
      <c r="M2159" t="s">
        <v>649</v>
      </c>
      <c r="N2159" t="s">
        <v>272</v>
      </c>
      <c r="O2159">
        <v>4155551450</v>
      </c>
      <c r="P2159" t="s">
        <v>273</v>
      </c>
      <c r="R2159" t="s">
        <v>274</v>
      </c>
      <c r="S2159" t="s">
        <v>55</v>
      </c>
      <c r="T2159">
        <v>97562</v>
      </c>
      <c r="U2159" t="s">
        <v>32</v>
      </c>
      <c r="V2159" t="s">
        <v>33</v>
      </c>
      <c r="W2159" t="s">
        <v>275</v>
      </c>
      <c r="X2159" t="s">
        <v>276</v>
      </c>
      <c r="Y2159" t="s">
        <v>36</v>
      </c>
    </row>
    <row r="2160" spans="1:25" x14ac:dyDescent="0.25">
      <c r="A2160">
        <v>10245</v>
      </c>
      <c r="B2160">
        <v>37</v>
      </c>
      <c r="C2160">
        <v>100</v>
      </c>
      <c r="D2160">
        <v>1</v>
      </c>
      <c r="E2160">
        <v>4133.6400000000003</v>
      </c>
      <c r="F2160" s="1">
        <v>38111</v>
      </c>
      <c r="G2160" t="s">
        <v>25</v>
      </c>
      <c r="H2160">
        <v>2</v>
      </c>
      <c r="I2160">
        <v>5</v>
      </c>
      <c r="J2160">
        <v>2004</v>
      </c>
      <c r="K2160" t="s">
        <v>504</v>
      </c>
      <c r="L2160">
        <v>96</v>
      </c>
      <c r="M2160" t="s">
        <v>649</v>
      </c>
      <c r="N2160" t="s">
        <v>242</v>
      </c>
      <c r="O2160">
        <v>2035559545</v>
      </c>
      <c r="P2160" t="s">
        <v>243</v>
      </c>
      <c r="R2160" t="s">
        <v>244</v>
      </c>
      <c r="S2160" t="s">
        <v>112</v>
      </c>
      <c r="T2160">
        <v>97823</v>
      </c>
      <c r="U2160" t="s">
        <v>32</v>
      </c>
      <c r="V2160" t="s">
        <v>33</v>
      </c>
      <c r="W2160" t="s">
        <v>83</v>
      </c>
      <c r="X2160" t="s">
        <v>245</v>
      </c>
      <c r="Y2160" t="s">
        <v>51</v>
      </c>
    </row>
    <row r="2161" spans="1:25" x14ac:dyDescent="0.25">
      <c r="A2161">
        <v>10259</v>
      </c>
      <c r="B2161">
        <v>45</v>
      </c>
      <c r="C2161">
        <v>86.68</v>
      </c>
      <c r="D2161">
        <v>11</v>
      </c>
      <c r="E2161">
        <v>3900.6</v>
      </c>
      <c r="F2161" s="1">
        <v>38153</v>
      </c>
      <c r="G2161" t="s">
        <v>25</v>
      </c>
      <c r="H2161">
        <v>2</v>
      </c>
      <c r="I2161">
        <v>6</v>
      </c>
      <c r="J2161">
        <v>2004</v>
      </c>
      <c r="K2161" t="s">
        <v>504</v>
      </c>
      <c r="L2161">
        <v>96</v>
      </c>
      <c r="M2161" t="s">
        <v>649</v>
      </c>
      <c r="N2161" t="s">
        <v>418</v>
      </c>
      <c r="O2161" t="s">
        <v>419</v>
      </c>
      <c r="P2161" t="s">
        <v>420</v>
      </c>
      <c r="Q2161" t="s">
        <v>421</v>
      </c>
      <c r="R2161" t="s">
        <v>199</v>
      </c>
      <c r="T2161">
        <v>69045</v>
      </c>
      <c r="U2161" t="s">
        <v>199</v>
      </c>
      <c r="V2161" t="s">
        <v>96</v>
      </c>
      <c r="W2161" t="s">
        <v>422</v>
      </c>
      <c r="X2161" t="s">
        <v>423</v>
      </c>
      <c r="Y2161" t="s">
        <v>51</v>
      </c>
    </row>
    <row r="2162" spans="1:25" x14ac:dyDescent="0.25">
      <c r="A2162">
        <v>10270</v>
      </c>
      <c r="B2162">
        <v>32</v>
      </c>
      <c r="C2162">
        <v>85.72</v>
      </c>
      <c r="D2162">
        <v>1</v>
      </c>
      <c r="E2162">
        <v>2743.04</v>
      </c>
      <c r="F2162" s="1">
        <v>38187</v>
      </c>
      <c r="G2162" t="s">
        <v>25</v>
      </c>
      <c r="H2162">
        <v>3</v>
      </c>
      <c r="I2162">
        <v>7</v>
      </c>
      <c r="J2162">
        <v>2004</v>
      </c>
      <c r="K2162" t="s">
        <v>504</v>
      </c>
      <c r="L2162">
        <v>96</v>
      </c>
      <c r="M2162" t="s">
        <v>649</v>
      </c>
      <c r="N2162" t="s">
        <v>152</v>
      </c>
      <c r="O2162" t="s">
        <v>153</v>
      </c>
      <c r="P2162" t="s">
        <v>154</v>
      </c>
      <c r="Q2162" t="s">
        <v>155</v>
      </c>
      <c r="R2162" t="s">
        <v>156</v>
      </c>
      <c r="S2162" t="s">
        <v>157</v>
      </c>
      <c r="T2162">
        <v>2067</v>
      </c>
      <c r="U2162" t="s">
        <v>95</v>
      </c>
      <c r="V2162" t="s">
        <v>96</v>
      </c>
      <c r="W2162" t="s">
        <v>158</v>
      </c>
      <c r="X2162" t="s">
        <v>159</v>
      </c>
      <c r="Y2162" t="s">
        <v>36</v>
      </c>
    </row>
    <row r="2163" spans="1:25" x14ac:dyDescent="0.25">
      <c r="A2163">
        <v>10281</v>
      </c>
      <c r="B2163">
        <v>29</v>
      </c>
      <c r="C2163">
        <v>82.83</v>
      </c>
      <c r="D2163">
        <v>8</v>
      </c>
      <c r="E2163">
        <v>2402.0700000000002</v>
      </c>
      <c r="F2163" s="1">
        <v>38218</v>
      </c>
      <c r="G2163" t="s">
        <v>25</v>
      </c>
      <c r="H2163">
        <v>3</v>
      </c>
      <c r="I2163">
        <v>8</v>
      </c>
      <c r="J2163">
        <v>2004</v>
      </c>
      <c r="K2163" t="s">
        <v>504</v>
      </c>
      <c r="L2163">
        <v>96</v>
      </c>
      <c r="M2163" t="s">
        <v>649</v>
      </c>
      <c r="N2163" t="s">
        <v>139</v>
      </c>
      <c r="O2163">
        <v>2155551555</v>
      </c>
      <c r="P2163" t="s">
        <v>140</v>
      </c>
      <c r="R2163" t="s">
        <v>141</v>
      </c>
      <c r="S2163" t="s">
        <v>142</v>
      </c>
      <c r="T2163">
        <v>70267</v>
      </c>
      <c r="U2163" t="s">
        <v>32</v>
      </c>
      <c r="V2163" t="s">
        <v>33</v>
      </c>
      <c r="W2163" t="s">
        <v>34</v>
      </c>
      <c r="X2163" t="s">
        <v>143</v>
      </c>
      <c r="Y2163" t="s">
        <v>36</v>
      </c>
    </row>
    <row r="2164" spans="1:25" x14ac:dyDescent="0.25">
      <c r="A2164">
        <v>10291</v>
      </c>
      <c r="B2164">
        <v>26</v>
      </c>
      <c r="C2164">
        <v>83.79</v>
      </c>
      <c r="D2164">
        <v>3</v>
      </c>
      <c r="E2164">
        <v>2178.54</v>
      </c>
      <c r="F2164" s="1">
        <v>38238</v>
      </c>
      <c r="G2164" t="s">
        <v>25</v>
      </c>
      <c r="H2164">
        <v>3</v>
      </c>
      <c r="I2164">
        <v>9</v>
      </c>
      <c r="J2164">
        <v>2004</v>
      </c>
      <c r="K2164" t="s">
        <v>504</v>
      </c>
      <c r="L2164">
        <v>96</v>
      </c>
      <c r="M2164" t="s">
        <v>649</v>
      </c>
      <c r="N2164" t="s">
        <v>261</v>
      </c>
      <c r="O2164" t="s">
        <v>262</v>
      </c>
      <c r="P2164" t="s">
        <v>263</v>
      </c>
      <c r="R2164" t="s">
        <v>264</v>
      </c>
      <c r="T2164" t="s">
        <v>265</v>
      </c>
      <c r="U2164" t="s">
        <v>188</v>
      </c>
      <c r="V2164" t="s">
        <v>42</v>
      </c>
      <c r="W2164" t="s">
        <v>266</v>
      </c>
      <c r="X2164" t="s">
        <v>206</v>
      </c>
      <c r="Y2164" t="s">
        <v>36</v>
      </c>
    </row>
    <row r="2165" spans="1:25" x14ac:dyDescent="0.25">
      <c r="A2165">
        <v>10305</v>
      </c>
      <c r="B2165">
        <v>28</v>
      </c>
      <c r="C2165">
        <v>100</v>
      </c>
      <c r="D2165">
        <v>12</v>
      </c>
      <c r="E2165">
        <v>3155.04</v>
      </c>
      <c r="F2165" s="1">
        <v>38273</v>
      </c>
      <c r="G2165" t="s">
        <v>25</v>
      </c>
      <c r="H2165">
        <v>4</v>
      </c>
      <c r="I2165">
        <v>10</v>
      </c>
      <c r="J2165">
        <v>2004</v>
      </c>
      <c r="K2165" t="s">
        <v>504</v>
      </c>
      <c r="L2165">
        <v>96</v>
      </c>
      <c r="M2165" t="s">
        <v>649</v>
      </c>
      <c r="N2165" t="s">
        <v>120</v>
      </c>
      <c r="O2165">
        <v>6175558555</v>
      </c>
      <c r="P2165" t="s">
        <v>121</v>
      </c>
      <c r="R2165" t="s">
        <v>122</v>
      </c>
      <c r="S2165" t="s">
        <v>123</v>
      </c>
      <c r="T2165">
        <v>51247</v>
      </c>
      <c r="U2165" t="s">
        <v>32</v>
      </c>
      <c r="V2165" t="s">
        <v>33</v>
      </c>
      <c r="W2165" t="s">
        <v>124</v>
      </c>
      <c r="X2165" t="s">
        <v>125</v>
      </c>
      <c r="Y2165" t="s">
        <v>51</v>
      </c>
    </row>
    <row r="2166" spans="1:25" x14ac:dyDescent="0.25">
      <c r="A2166">
        <v>10313</v>
      </c>
      <c r="B2166">
        <v>27</v>
      </c>
      <c r="C2166">
        <v>87.64</v>
      </c>
      <c r="D2166">
        <v>6</v>
      </c>
      <c r="E2166">
        <v>2366.2800000000002</v>
      </c>
      <c r="F2166" s="1">
        <v>38282</v>
      </c>
      <c r="G2166" t="s">
        <v>25</v>
      </c>
      <c r="H2166">
        <v>4</v>
      </c>
      <c r="I2166">
        <v>10</v>
      </c>
      <c r="J2166">
        <v>2004</v>
      </c>
      <c r="K2166" t="s">
        <v>504</v>
      </c>
      <c r="L2166">
        <v>96</v>
      </c>
      <c r="M2166" t="s">
        <v>649</v>
      </c>
      <c r="N2166" t="s">
        <v>225</v>
      </c>
      <c r="O2166" t="s">
        <v>226</v>
      </c>
      <c r="P2166" t="s">
        <v>227</v>
      </c>
      <c r="R2166" t="s">
        <v>228</v>
      </c>
      <c r="S2166" t="s">
        <v>229</v>
      </c>
      <c r="T2166" t="s">
        <v>230</v>
      </c>
      <c r="U2166" t="s">
        <v>231</v>
      </c>
      <c r="V2166" t="s">
        <v>33</v>
      </c>
      <c r="W2166" t="s">
        <v>232</v>
      </c>
      <c r="X2166" t="s">
        <v>233</v>
      </c>
      <c r="Y2166" t="s">
        <v>36</v>
      </c>
    </row>
    <row r="2167" spans="1:25" x14ac:dyDescent="0.25">
      <c r="A2167">
        <v>10324</v>
      </c>
      <c r="B2167">
        <v>20</v>
      </c>
      <c r="C2167">
        <v>98.18</v>
      </c>
      <c r="D2167">
        <v>11</v>
      </c>
      <c r="E2167">
        <v>1963.6</v>
      </c>
      <c r="F2167" s="1">
        <v>38296</v>
      </c>
      <c r="G2167" t="s">
        <v>25</v>
      </c>
      <c r="H2167">
        <v>4</v>
      </c>
      <c r="I2167">
        <v>11</v>
      </c>
      <c r="J2167">
        <v>2004</v>
      </c>
      <c r="K2167" t="s">
        <v>504</v>
      </c>
      <c r="L2167">
        <v>96</v>
      </c>
      <c r="M2167" t="s">
        <v>649</v>
      </c>
      <c r="N2167" t="s">
        <v>99</v>
      </c>
      <c r="O2167">
        <v>2125551500</v>
      </c>
      <c r="P2167" t="s">
        <v>100</v>
      </c>
      <c r="Q2167" t="s">
        <v>101</v>
      </c>
      <c r="R2167" t="s">
        <v>30</v>
      </c>
      <c r="S2167" t="s">
        <v>31</v>
      </c>
      <c r="T2167">
        <v>10022</v>
      </c>
      <c r="U2167" t="s">
        <v>32</v>
      </c>
      <c r="V2167" t="s">
        <v>33</v>
      </c>
      <c r="W2167" t="s">
        <v>102</v>
      </c>
      <c r="X2167" t="s">
        <v>103</v>
      </c>
      <c r="Y2167" t="s">
        <v>36</v>
      </c>
    </row>
    <row r="2168" spans="1:25" x14ac:dyDescent="0.25">
      <c r="A2168">
        <v>10335</v>
      </c>
      <c r="B2168">
        <v>44</v>
      </c>
      <c r="C2168">
        <v>100</v>
      </c>
      <c r="D2168">
        <v>1</v>
      </c>
      <c r="E2168">
        <v>4746.28</v>
      </c>
      <c r="F2168" s="1">
        <v>38310</v>
      </c>
      <c r="G2168" t="s">
        <v>25</v>
      </c>
      <c r="H2168">
        <v>4</v>
      </c>
      <c r="I2168">
        <v>11</v>
      </c>
      <c r="J2168">
        <v>2004</v>
      </c>
      <c r="K2168" t="s">
        <v>504</v>
      </c>
      <c r="L2168">
        <v>96</v>
      </c>
      <c r="M2168" t="s">
        <v>649</v>
      </c>
      <c r="N2168" t="s">
        <v>272</v>
      </c>
      <c r="O2168">
        <v>4155551450</v>
      </c>
      <c r="P2168" t="s">
        <v>273</v>
      </c>
      <c r="R2168" t="s">
        <v>274</v>
      </c>
      <c r="S2168" t="s">
        <v>55</v>
      </c>
      <c r="T2168">
        <v>97562</v>
      </c>
      <c r="U2168" t="s">
        <v>32</v>
      </c>
      <c r="V2168" t="s">
        <v>33</v>
      </c>
      <c r="W2168" t="s">
        <v>275</v>
      </c>
      <c r="X2168" t="s">
        <v>276</v>
      </c>
      <c r="Y2168" t="s">
        <v>51</v>
      </c>
    </row>
    <row r="2169" spans="1:25" x14ac:dyDescent="0.25">
      <c r="A2169">
        <v>10348</v>
      </c>
      <c r="B2169">
        <v>42</v>
      </c>
      <c r="C2169">
        <v>100</v>
      </c>
      <c r="D2169">
        <v>3</v>
      </c>
      <c r="E2169">
        <v>6386.94</v>
      </c>
      <c r="F2169" s="1">
        <v>38292</v>
      </c>
      <c r="G2169" t="s">
        <v>25</v>
      </c>
      <c r="H2169">
        <v>4</v>
      </c>
      <c r="I2169">
        <v>11</v>
      </c>
      <c r="J2169">
        <v>2004</v>
      </c>
      <c r="K2169" t="s">
        <v>504</v>
      </c>
      <c r="L2169">
        <v>96</v>
      </c>
      <c r="M2169" t="s">
        <v>649</v>
      </c>
      <c r="N2169" t="s">
        <v>191</v>
      </c>
      <c r="O2169" t="s">
        <v>192</v>
      </c>
      <c r="P2169" t="s">
        <v>193</v>
      </c>
      <c r="R2169" t="s">
        <v>177</v>
      </c>
      <c r="T2169">
        <v>28023</v>
      </c>
      <c r="U2169" t="s">
        <v>178</v>
      </c>
      <c r="V2169" t="s">
        <v>42</v>
      </c>
      <c r="W2169" t="s">
        <v>194</v>
      </c>
      <c r="X2169" t="s">
        <v>195</v>
      </c>
      <c r="Y2169" t="s">
        <v>51</v>
      </c>
    </row>
    <row r="2170" spans="1:25" x14ac:dyDescent="0.25">
      <c r="A2170">
        <v>10358</v>
      </c>
      <c r="B2170">
        <v>41</v>
      </c>
      <c r="C2170">
        <v>100</v>
      </c>
      <c r="D2170">
        <v>1</v>
      </c>
      <c r="E2170">
        <v>4428</v>
      </c>
      <c r="F2170" s="1">
        <v>38331</v>
      </c>
      <c r="G2170" t="s">
        <v>25</v>
      </c>
      <c r="H2170">
        <v>4</v>
      </c>
      <c r="I2170">
        <v>12</v>
      </c>
      <c r="J2170">
        <v>2004</v>
      </c>
      <c r="K2170" t="s">
        <v>504</v>
      </c>
      <c r="L2170">
        <v>96</v>
      </c>
      <c r="M2170" t="s">
        <v>649</v>
      </c>
      <c r="N2170" t="s">
        <v>174</v>
      </c>
      <c r="O2170" t="s">
        <v>175</v>
      </c>
      <c r="P2170" t="s">
        <v>176</v>
      </c>
      <c r="R2170" t="s">
        <v>177</v>
      </c>
      <c r="T2170">
        <v>28034</v>
      </c>
      <c r="U2170" t="s">
        <v>178</v>
      </c>
      <c r="V2170" t="s">
        <v>42</v>
      </c>
      <c r="W2170" t="s">
        <v>179</v>
      </c>
      <c r="X2170" t="s">
        <v>180</v>
      </c>
      <c r="Y2170" t="s">
        <v>51</v>
      </c>
    </row>
    <row r="2171" spans="1:25" x14ac:dyDescent="0.25">
      <c r="A2171">
        <v>10371</v>
      </c>
      <c r="B2171">
        <v>26</v>
      </c>
      <c r="C2171">
        <v>100</v>
      </c>
      <c r="D2171">
        <v>1</v>
      </c>
      <c r="E2171">
        <v>4044.04</v>
      </c>
      <c r="F2171" s="1">
        <v>38375</v>
      </c>
      <c r="G2171" t="s">
        <v>25</v>
      </c>
      <c r="H2171">
        <v>1</v>
      </c>
      <c r="I2171">
        <v>1</v>
      </c>
      <c r="J2171">
        <v>2005</v>
      </c>
      <c r="K2171" t="s">
        <v>504</v>
      </c>
      <c r="L2171">
        <v>96</v>
      </c>
      <c r="M2171" t="s">
        <v>649</v>
      </c>
      <c r="N2171" t="s">
        <v>272</v>
      </c>
      <c r="O2171">
        <v>4155551450</v>
      </c>
      <c r="P2171" t="s">
        <v>273</v>
      </c>
      <c r="R2171" t="s">
        <v>274</v>
      </c>
      <c r="S2171" t="s">
        <v>55</v>
      </c>
      <c r="T2171">
        <v>97562</v>
      </c>
      <c r="U2171" t="s">
        <v>32</v>
      </c>
      <c r="V2171" t="s">
        <v>33</v>
      </c>
      <c r="W2171" t="s">
        <v>275</v>
      </c>
      <c r="X2171" t="s">
        <v>276</v>
      </c>
      <c r="Y2171" t="s">
        <v>51</v>
      </c>
    </row>
    <row r="2172" spans="1:25" x14ac:dyDescent="0.25">
      <c r="A2172">
        <v>10382</v>
      </c>
      <c r="B2172">
        <v>26</v>
      </c>
      <c r="C2172">
        <v>100</v>
      </c>
      <c r="D2172">
        <v>6</v>
      </c>
      <c r="E2172">
        <v>2708.42</v>
      </c>
      <c r="F2172" s="1">
        <v>38400</v>
      </c>
      <c r="G2172" t="s">
        <v>25</v>
      </c>
      <c r="H2172">
        <v>1</v>
      </c>
      <c r="I2172">
        <v>2</v>
      </c>
      <c r="J2172">
        <v>2005</v>
      </c>
      <c r="K2172" t="s">
        <v>504</v>
      </c>
      <c r="L2172">
        <v>96</v>
      </c>
      <c r="M2172" t="s">
        <v>649</v>
      </c>
      <c r="N2172" t="s">
        <v>272</v>
      </c>
      <c r="O2172">
        <v>4155551450</v>
      </c>
      <c r="P2172" t="s">
        <v>273</v>
      </c>
      <c r="R2172" t="s">
        <v>274</v>
      </c>
      <c r="S2172" t="s">
        <v>55</v>
      </c>
      <c r="T2172">
        <v>97562</v>
      </c>
      <c r="U2172" t="s">
        <v>32</v>
      </c>
      <c r="V2172" t="s">
        <v>33</v>
      </c>
      <c r="W2172" t="s">
        <v>275</v>
      </c>
      <c r="X2172" t="s">
        <v>276</v>
      </c>
      <c r="Y2172" t="s">
        <v>36</v>
      </c>
    </row>
    <row r="2173" spans="1:25" x14ac:dyDescent="0.25">
      <c r="A2173">
        <v>10411</v>
      </c>
      <c r="B2173">
        <v>26</v>
      </c>
      <c r="C2173">
        <v>100</v>
      </c>
      <c r="D2173">
        <v>1</v>
      </c>
      <c r="E2173">
        <v>2904.72</v>
      </c>
      <c r="F2173" s="1">
        <v>38473</v>
      </c>
      <c r="G2173" t="s">
        <v>25</v>
      </c>
      <c r="H2173">
        <v>2</v>
      </c>
      <c r="I2173">
        <v>5</v>
      </c>
      <c r="J2173">
        <v>2005</v>
      </c>
      <c r="K2173" t="s">
        <v>504</v>
      </c>
      <c r="L2173">
        <v>96</v>
      </c>
      <c r="M2173" t="s">
        <v>649</v>
      </c>
      <c r="N2173" t="s">
        <v>292</v>
      </c>
      <c r="O2173" t="s">
        <v>293</v>
      </c>
      <c r="P2173" t="s">
        <v>294</v>
      </c>
      <c r="R2173" t="s">
        <v>295</v>
      </c>
      <c r="S2173" t="s">
        <v>296</v>
      </c>
      <c r="T2173" t="s">
        <v>297</v>
      </c>
      <c r="U2173" t="s">
        <v>231</v>
      </c>
      <c r="V2173" t="s">
        <v>33</v>
      </c>
      <c r="W2173" t="s">
        <v>298</v>
      </c>
      <c r="X2173" t="s">
        <v>299</v>
      </c>
      <c r="Y2173" t="s">
        <v>36</v>
      </c>
    </row>
    <row r="2174" spans="1:25" x14ac:dyDescent="0.25">
      <c r="A2174">
        <v>10425</v>
      </c>
      <c r="B2174">
        <v>41</v>
      </c>
      <c r="C2174">
        <v>86.68</v>
      </c>
      <c r="D2174">
        <v>11</v>
      </c>
      <c r="E2174">
        <v>3553.88</v>
      </c>
      <c r="F2174" s="1">
        <v>38503</v>
      </c>
      <c r="G2174" t="s">
        <v>300</v>
      </c>
      <c r="H2174">
        <v>2</v>
      </c>
      <c r="I2174">
        <v>5</v>
      </c>
      <c r="J2174">
        <v>2005</v>
      </c>
      <c r="K2174" t="s">
        <v>504</v>
      </c>
      <c r="L2174">
        <v>96</v>
      </c>
      <c r="M2174" t="s">
        <v>649</v>
      </c>
      <c r="N2174" t="s">
        <v>114</v>
      </c>
      <c r="O2174" t="s">
        <v>115</v>
      </c>
      <c r="P2174" t="s">
        <v>116</v>
      </c>
      <c r="R2174" t="s">
        <v>117</v>
      </c>
      <c r="T2174">
        <v>44000</v>
      </c>
      <c r="U2174" t="s">
        <v>41</v>
      </c>
      <c r="V2174" t="s">
        <v>42</v>
      </c>
      <c r="W2174" t="s">
        <v>118</v>
      </c>
      <c r="X2174" t="s">
        <v>119</v>
      </c>
      <c r="Y2174" t="s">
        <v>51</v>
      </c>
    </row>
    <row r="2175" spans="1:25" x14ac:dyDescent="0.25">
      <c r="A2175">
        <v>10107</v>
      </c>
      <c r="B2175">
        <v>20</v>
      </c>
      <c r="C2175">
        <v>92.9</v>
      </c>
      <c r="D2175">
        <v>8</v>
      </c>
      <c r="E2175">
        <v>1858</v>
      </c>
      <c r="F2175" s="1">
        <v>37676</v>
      </c>
      <c r="G2175" t="s">
        <v>25</v>
      </c>
      <c r="H2175">
        <v>1</v>
      </c>
      <c r="I2175">
        <v>2</v>
      </c>
      <c r="J2175">
        <v>2003</v>
      </c>
      <c r="K2175" t="s">
        <v>26</v>
      </c>
      <c r="L2175">
        <v>99</v>
      </c>
      <c r="M2175" t="s">
        <v>650</v>
      </c>
      <c r="N2175" t="s">
        <v>28</v>
      </c>
      <c r="O2175">
        <v>2125557818</v>
      </c>
      <c r="P2175" t="s">
        <v>29</v>
      </c>
      <c r="R2175" t="s">
        <v>30</v>
      </c>
      <c r="S2175" t="s">
        <v>31</v>
      </c>
      <c r="T2175">
        <v>10022</v>
      </c>
      <c r="U2175" t="s">
        <v>32</v>
      </c>
      <c r="V2175" t="s">
        <v>33</v>
      </c>
      <c r="W2175" t="s">
        <v>34</v>
      </c>
      <c r="X2175" t="s">
        <v>35</v>
      </c>
      <c r="Y2175" t="s">
        <v>36</v>
      </c>
    </row>
    <row r="2176" spans="1:25" x14ac:dyDescent="0.25">
      <c r="A2176">
        <v>10120</v>
      </c>
      <c r="B2176">
        <v>22</v>
      </c>
      <c r="C2176">
        <v>100</v>
      </c>
      <c r="D2176">
        <v>6</v>
      </c>
      <c r="E2176">
        <v>2461.36</v>
      </c>
      <c r="F2176" s="1">
        <v>37740</v>
      </c>
      <c r="G2176" t="s">
        <v>25</v>
      </c>
      <c r="H2176">
        <v>2</v>
      </c>
      <c r="I2176">
        <v>4</v>
      </c>
      <c r="J2176">
        <v>2003</v>
      </c>
      <c r="K2176" t="s">
        <v>26</v>
      </c>
      <c r="L2176">
        <v>99</v>
      </c>
      <c r="M2176" t="s">
        <v>650</v>
      </c>
      <c r="N2176" t="s">
        <v>89</v>
      </c>
      <c r="O2176" t="s">
        <v>90</v>
      </c>
      <c r="P2176" t="s">
        <v>91</v>
      </c>
      <c r="Q2176" t="s">
        <v>92</v>
      </c>
      <c r="R2176" t="s">
        <v>93</v>
      </c>
      <c r="S2176" t="s">
        <v>94</v>
      </c>
      <c r="T2176">
        <v>3004</v>
      </c>
      <c r="U2176" t="s">
        <v>95</v>
      </c>
      <c r="V2176" t="s">
        <v>96</v>
      </c>
      <c r="W2176" t="s">
        <v>97</v>
      </c>
      <c r="X2176" t="s">
        <v>98</v>
      </c>
      <c r="Y2176" t="s">
        <v>36</v>
      </c>
    </row>
    <row r="2177" spans="1:25" x14ac:dyDescent="0.25">
      <c r="A2177">
        <v>10133</v>
      </c>
      <c r="B2177">
        <v>23</v>
      </c>
      <c r="C2177">
        <v>100</v>
      </c>
      <c r="D2177">
        <v>1</v>
      </c>
      <c r="E2177">
        <v>2642.01</v>
      </c>
      <c r="F2177" s="1">
        <v>37799</v>
      </c>
      <c r="G2177" t="s">
        <v>25</v>
      </c>
      <c r="H2177">
        <v>2</v>
      </c>
      <c r="I2177">
        <v>6</v>
      </c>
      <c r="J2177">
        <v>2003</v>
      </c>
      <c r="K2177" t="s">
        <v>26</v>
      </c>
      <c r="L2177">
        <v>99</v>
      </c>
      <c r="M2177" t="s">
        <v>650</v>
      </c>
      <c r="N2177" t="s">
        <v>174</v>
      </c>
      <c r="O2177" t="s">
        <v>175</v>
      </c>
      <c r="P2177" t="s">
        <v>176</v>
      </c>
      <c r="R2177" t="s">
        <v>177</v>
      </c>
      <c r="T2177">
        <v>28034</v>
      </c>
      <c r="U2177" t="s">
        <v>178</v>
      </c>
      <c r="V2177" t="s">
        <v>42</v>
      </c>
      <c r="W2177" t="s">
        <v>179</v>
      </c>
      <c r="X2177" t="s">
        <v>180</v>
      </c>
      <c r="Y2177" t="s">
        <v>36</v>
      </c>
    </row>
    <row r="2178" spans="1:25" x14ac:dyDescent="0.25">
      <c r="A2178">
        <v>10145</v>
      </c>
      <c r="B2178">
        <v>33</v>
      </c>
      <c r="C2178">
        <v>93.9</v>
      </c>
      <c r="D2178">
        <v>12</v>
      </c>
      <c r="E2178">
        <v>3098.7</v>
      </c>
      <c r="F2178" s="1">
        <v>37858</v>
      </c>
      <c r="G2178" t="s">
        <v>25</v>
      </c>
      <c r="H2178">
        <v>3</v>
      </c>
      <c r="I2178">
        <v>8</v>
      </c>
      <c r="J2178">
        <v>2003</v>
      </c>
      <c r="K2178" t="s">
        <v>26</v>
      </c>
      <c r="L2178">
        <v>99</v>
      </c>
      <c r="M2178" t="s">
        <v>650</v>
      </c>
      <c r="N2178" t="s">
        <v>52</v>
      </c>
      <c r="O2178">
        <v>6265557265</v>
      </c>
      <c r="P2178" t="s">
        <v>53</v>
      </c>
      <c r="R2178" t="s">
        <v>54</v>
      </c>
      <c r="S2178" t="s">
        <v>55</v>
      </c>
      <c r="T2178">
        <v>90003</v>
      </c>
      <c r="U2178" t="s">
        <v>32</v>
      </c>
      <c r="V2178" t="s">
        <v>33</v>
      </c>
      <c r="W2178" t="s">
        <v>56</v>
      </c>
      <c r="X2178" t="s">
        <v>57</v>
      </c>
      <c r="Y2178" t="s">
        <v>51</v>
      </c>
    </row>
    <row r="2179" spans="1:25" x14ac:dyDescent="0.25">
      <c r="A2179">
        <v>10168</v>
      </c>
      <c r="B2179">
        <v>28</v>
      </c>
      <c r="C2179">
        <v>100</v>
      </c>
      <c r="D2179">
        <v>7</v>
      </c>
      <c r="E2179">
        <v>3244.36</v>
      </c>
      <c r="F2179" s="1">
        <v>37922</v>
      </c>
      <c r="G2179" t="s">
        <v>25</v>
      </c>
      <c r="H2179">
        <v>4</v>
      </c>
      <c r="I2179">
        <v>10</v>
      </c>
      <c r="J2179">
        <v>2003</v>
      </c>
      <c r="K2179" t="s">
        <v>26</v>
      </c>
      <c r="L2179">
        <v>99</v>
      </c>
      <c r="M2179" t="s">
        <v>650</v>
      </c>
      <c r="N2179" t="s">
        <v>62</v>
      </c>
      <c r="O2179">
        <v>6505556809</v>
      </c>
      <c r="P2179" t="s">
        <v>63</v>
      </c>
      <c r="R2179" t="s">
        <v>64</v>
      </c>
      <c r="S2179" t="s">
        <v>55</v>
      </c>
      <c r="T2179">
        <v>94217</v>
      </c>
      <c r="U2179" t="s">
        <v>32</v>
      </c>
      <c r="V2179" t="s">
        <v>33</v>
      </c>
      <c r="W2179" t="s">
        <v>65</v>
      </c>
      <c r="X2179" t="s">
        <v>66</v>
      </c>
      <c r="Y2179" t="s">
        <v>51</v>
      </c>
    </row>
    <row r="2180" spans="1:25" x14ac:dyDescent="0.25">
      <c r="A2180">
        <v>10188</v>
      </c>
      <c r="B2180">
        <v>44</v>
      </c>
      <c r="C2180">
        <v>98.89</v>
      </c>
      <c r="D2180">
        <v>7</v>
      </c>
      <c r="E2180">
        <v>4351.16</v>
      </c>
      <c r="F2180" s="1">
        <v>37943</v>
      </c>
      <c r="G2180" t="s">
        <v>25</v>
      </c>
      <c r="H2180">
        <v>4</v>
      </c>
      <c r="I2180">
        <v>11</v>
      </c>
      <c r="J2180">
        <v>2003</v>
      </c>
      <c r="K2180" t="s">
        <v>26</v>
      </c>
      <c r="L2180">
        <v>99</v>
      </c>
      <c r="M2180" t="s">
        <v>650</v>
      </c>
      <c r="N2180" t="s">
        <v>73</v>
      </c>
      <c r="O2180" t="s">
        <v>74</v>
      </c>
      <c r="P2180" t="s">
        <v>75</v>
      </c>
      <c r="R2180" t="s">
        <v>76</v>
      </c>
      <c r="T2180" t="s">
        <v>77</v>
      </c>
      <c r="U2180" t="s">
        <v>78</v>
      </c>
      <c r="V2180" t="s">
        <v>42</v>
      </c>
      <c r="W2180" t="s">
        <v>79</v>
      </c>
      <c r="X2180" t="s">
        <v>80</v>
      </c>
      <c r="Y2180" t="s">
        <v>51</v>
      </c>
    </row>
    <row r="2181" spans="1:25" x14ac:dyDescent="0.25">
      <c r="A2181">
        <v>10210</v>
      </c>
      <c r="B2181">
        <v>46</v>
      </c>
      <c r="C2181">
        <v>79.91</v>
      </c>
      <c r="D2181">
        <v>5</v>
      </c>
      <c r="E2181">
        <v>3675.86</v>
      </c>
      <c r="F2181" s="1">
        <v>37998</v>
      </c>
      <c r="G2181" t="s">
        <v>25</v>
      </c>
      <c r="H2181">
        <v>1</v>
      </c>
      <c r="I2181">
        <v>1</v>
      </c>
      <c r="J2181">
        <v>2004</v>
      </c>
      <c r="K2181" t="s">
        <v>26</v>
      </c>
      <c r="L2181">
        <v>99</v>
      </c>
      <c r="M2181" t="s">
        <v>650</v>
      </c>
      <c r="N2181" t="s">
        <v>302</v>
      </c>
      <c r="O2181" t="s">
        <v>303</v>
      </c>
      <c r="P2181" t="s">
        <v>304</v>
      </c>
      <c r="R2181" t="s">
        <v>305</v>
      </c>
      <c r="S2181" t="s">
        <v>305</v>
      </c>
      <c r="T2181" t="s">
        <v>306</v>
      </c>
      <c r="U2181" t="s">
        <v>200</v>
      </c>
      <c r="V2181" t="s">
        <v>200</v>
      </c>
      <c r="W2181" t="s">
        <v>307</v>
      </c>
      <c r="X2181" t="s">
        <v>308</v>
      </c>
      <c r="Y2181" t="s">
        <v>51</v>
      </c>
    </row>
    <row r="2182" spans="1:25" x14ac:dyDescent="0.25">
      <c r="A2182">
        <v>10223</v>
      </c>
      <c r="B2182">
        <v>21</v>
      </c>
      <c r="C2182">
        <v>100</v>
      </c>
      <c r="D2182">
        <v>7</v>
      </c>
      <c r="E2182">
        <v>2475.27</v>
      </c>
      <c r="F2182" s="1">
        <v>38037</v>
      </c>
      <c r="G2182" t="s">
        <v>25</v>
      </c>
      <c r="H2182">
        <v>1</v>
      </c>
      <c r="I2182">
        <v>2</v>
      </c>
      <c r="J2182">
        <v>2004</v>
      </c>
      <c r="K2182" t="s">
        <v>26</v>
      </c>
      <c r="L2182">
        <v>99</v>
      </c>
      <c r="M2182" t="s">
        <v>650</v>
      </c>
      <c r="N2182" t="s">
        <v>89</v>
      </c>
      <c r="O2182" t="s">
        <v>90</v>
      </c>
      <c r="P2182" t="s">
        <v>91</v>
      </c>
      <c r="Q2182" t="s">
        <v>92</v>
      </c>
      <c r="R2182" t="s">
        <v>93</v>
      </c>
      <c r="S2182" t="s">
        <v>94</v>
      </c>
      <c r="T2182">
        <v>3004</v>
      </c>
      <c r="U2182" t="s">
        <v>95</v>
      </c>
      <c r="V2182" t="s">
        <v>96</v>
      </c>
      <c r="W2182" t="s">
        <v>97</v>
      </c>
      <c r="X2182" t="s">
        <v>98</v>
      </c>
      <c r="Y2182" t="s">
        <v>36</v>
      </c>
    </row>
    <row r="2183" spans="1:25" x14ac:dyDescent="0.25">
      <c r="A2183">
        <v>10235</v>
      </c>
      <c r="B2183">
        <v>41</v>
      </c>
      <c r="C2183">
        <v>100</v>
      </c>
      <c r="D2183">
        <v>1</v>
      </c>
      <c r="E2183">
        <v>4177.49</v>
      </c>
      <c r="F2183" s="1">
        <v>38079</v>
      </c>
      <c r="G2183" t="s">
        <v>25</v>
      </c>
      <c r="H2183">
        <v>2</v>
      </c>
      <c r="I2183">
        <v>4</v>
      </c>
      <c r="J2183">
        <v>2004</v>
      </c>
      <c r="K2183" t="s">
        <v>26</v>
      </c>
      <c r="L2183">
        <v>99</v>
      </c>
      <c r="M2183" t="s">
        <v>650</v>
      </c>
      <c r="N2183" t="s">
        <v>373</v>
      </c>
      <c r="O2183" t="s">
        <v>374</v>
      </c>
      <c r="P2183" t="s">
        <v>375</v>
      </c>
      <c r="R2183" t="s">
        <v>376</v>
      </c>
      <c r="S2183" t="s">
        <v>229</v>
      </c>
      <c r="T2183" t="s">
        <v>377</v>
      </c>
      <c r="U2183" t="s">
        <v>231</v>
      </c>
      <c r="V2183" t="s">
        <v>33</v>
      </c>
      <c r="W2183" t="s">
        <v>378</v>
      </c>
      <c r="X2183" t="s">
        <v>172</v>
      </c>
      <c r="Y2183" t="s">
        <v>51</v>
      </c>
    </row>
    <row r="2184" spans="1:25" x14ac:dyDescent="0.25">
      <c r="A2184">
        <v>10250</v>
      </c>
      <c r="B2184">
        <v>31</v>
      </c>
      <c r="C2184">
        <v>100</v>
      </c>
      <c r="D2184">
        <v>2</v>
      </c>
      <c r="E2184">
        <v>3282.28</v>
      </c>
      <c r="F2184" s="1">
        <v>38118</v>
      </c>
      <c r="G2184" t="s">
        <v>25</v>
      </c>
      <c r="H2184">
        <v>2</v>
      </c>
      <c r="I2184">
        <v>5</v>
      </c>
      <c r="J2184">
        <v>2004</v>
      </c>
      <c r="K2184" t="s">
        <v>26</v>
      </c>
      <c r="L2184">
        <v>99</v>
      </c>
      <c r="M2184" t="s">
        <v>650</v>
      </c>
      <c r="N2184" t="s">
        <v>397</v>
      </c>
      <c r="O2184">
        <v>4085553659</v>
      </c>
      <c r="P2184" t="s">
        <v>398</v>
      </c>
      <c r="R2184" t="s">
        <v>399</v>
      </c>
      <c r="S2184" t="s">
        <v>55</v>
      </c>
      <c r="T2184">
        <v>94217</v>
      </c>
      <c r="U2184" t="s">
        <v>32</v>
      </c>
      <c r="V2184" t="s">
        <v>33</v>
      </c>
      <c r="W2184" t="s">
        <v>102</v>
      </c>
      <c r="X2184" t="s">
        <v>400</v>
      </c>
      <c r="Y2184" t="s">
        <v>51</v>
      </c>
    </row>
    <row r="2185" spans="1:25" x14ac:dyDescent="0.25">
      <c r="A2185">
        <v>10263</v>
      </c>
      <c r="B2185">
        <v>31</v>
      </c>
      <c r="C2185">
        <v>79.91</v>
      </c>
      <c r="D2185">
        <v>8</v>
      </c>
      <c r="E2185">
        <v>2477.21</v>
      </c>
      <c r="F2185" s="1">
        <v>38166</v>
      </c>
      <c r="G2185" t="s">
        <v>25</v>
      </c>
      <c r="H2185">
        <v>2</v>
      </c>
      <c r="I2185">
        <v>6</v>
      </c>
      <c r="J2185">
        <v>2004</v>
      </c>
      <c r="K2185" t="s">
        <v>26</v>
      </c>
      <c r="L2185">
        <v>99</v>
      </c>
      <c r="M2185" t="s">
        <v>650</v>
      </c>
      <c r="N2185" t="s">
        <v>109</v>
      </c>
      <c r="O2185">
        <v>2035552570</v>
      </c>
      <c r="P2185" t="s">
        <v>110</v>
      </c>
      <c r="R2185" t="s">
        <v>111</v>
      </c>
      <c r="S2185" t="s">
        <v>112</v>
      </c>
      <c r="T2185">
        <v>97562</v>
      </c>
      <c r="U2185" t="s">
        <v>32</v>
      </c>
      <c r="V2185" t="s">
        <v>33</v>
      </c>
      <c r="W2185" t="s">
        <v>113</v>
      </c>
      <c r="X2185" t="s">
        <v>57</v>
      </c>
      <c r="Y2185" t="s">
        <v>36</v>
      </c>
    </row>
    <row r="2186" spans="1:25" x14ac:dyDescent="0.25">
      <c r="A2186">
        <v>10275</v>
      </c>
      <c r="B2186">
        <v>23</v>
      </c>
      <c r="C2186">
        <v>81.91</v>
      </c>
      <c r="D2186">
        <v>7</v>
      </c>
      <c r="E2186">
        <v>1883.93</v>
      </c>
      <c r="F2186" s="1">
        <v>38191</v>
      </c>
      <c r="G2186" t="s">
        <v>25</v>
      </c>
      <c r="H2186">
        <v>3</v>
      </c>
      <c r="I2186">
        <v>7</v>
      </c>
      <c r="J2186">
        <v>2004</v>
      </c>
      <c r="K2186" t="s">
        <v>26</v>
      </c>
      <c r="L2186">
        <v>99</v>
      </c>
      <c r="M2186" t="s">
        <v>650</v>
      </c>
      <c r="N2186" t="s">
        <v>114</v>
      </c>
      <c r="O2186" t="s">
        <v>115</v>
      </c>
      <c r="P2186" t="s">
        <v>116</v>
      </c>
      <c r="R2186" t="s">
        <v>117</v>
      </c>
      <c r="T2186">
        <v>44000</v>
      </c>
      <c r="U2186" t="s">
        <v>41</v>
      </c>
      <c r="V2186" t="s">
        <v>42</v>
      </c>
      <c r="W2186" t="s">
        <v>118</v>
      </c>
      <c r="X2186" t="s">
        <v>119</v>
      </c>
      <c r="Y2186" t="s">
        <v>36</v>
      </c>
    </row>
    <row r="2187" spans="1:25" x14ac:dyDescent="0.25">
      <c r="A2187">
        <v>10285</v>
      </c>
      <c r="B2187">
        <v>37</v>
      </c>
      <c r="C2187">
        <v>98.89</v>
      </c>
      <c r="D2187">
        <v>12</v>
      </c>
      <c r="E2187">
        <v>3658.93</v>
      </c>
      <c r="F2187" s="1">
        <v>38226</v>
      </c>
      <c r="G2187" t="s">
        <v>25</v>
      </c>
      <c r="H2187">
        <v>3</v>
      </c>
      <c r="I2187">
        <v>8</v>
      </c>
      <c r="J2187">
        <v>2004</v>
      </c>
      <c r="K2187" t="s">
        <v>26</v>
      </c>
      <c r="L2187">
        <v>99</v>
      </c>
      <c r="M2187" t="s">
        <v>650</v>
      </c>
      <c r="N2187" t="s">
        <v>120</v>
      </c>
      <c r="O2187">
        <v>6175558555</v>
      </c>
      <c r="P2187" t="s">
        <v>121</v>
      </c>
      <c r="R2187" t="s">
        <v>122</v>
      </c>
      <c r="S2187" t="s">
        <v>123</v>
      </c>
      <c r="T2187">
        <v>51247</v>
      </c>
      <c r="U2187" t="s">
        <v>32</v>
      </c>
      <c r="V2187" t="s">
        <v>33</v>
      </c>
      <c r="W2187" t="s">
        <v>124</v>
      </c>
      <c r="X2187" t="s">
        <v>125</v>
      </c>
      <c r="Y2187" t="s">
        <v>51</v>
      </c>
    </row>
    <row r="2188" spans="1:25" x14ac:dyDescent="0.25">
      <c r="A2188">
        <v>10297</v>
      </c>
      <c r="B2188">
        <v>26</v>
      </c>
      <c r="C2188">
        <v>100</v>
      </c>
      <c r="D2188">
        <v>2</v>
      </c>
      <c r="E2188">
        <v>2856.88</v>
      </c>
      <c r="F2188" s="1">
        <v>38246</v>
      </c>
      <c r="G2188" t="s">
        <v>25</v>
      </c>
      <c r="H2188">
        <v>3</v>
      </c>
      <c r="I2188">
        <v>9</v>
      </c>
      <c r="J2188">
        <v>2004</v>
      </c>
      <c r="K2188" t="s">
        <v>26</v>
      </c>
      <c r="L2188">
        <v>99</v>
      </c>
      <c r="M2188" t="s">
        <v>650</v>
      </c>
      <c r="N2188" t="s">
        <v>479</v>
      </c>
      <c r="O2188" t="s">
        <v>480</v>
      </c>
      <c r="P2188" t="s">
        <v>481</v>
      </c>
      <c r="Q2188" t="s">
        <v>482</v>
      </c>
      <c r="R2188" t="s">
        <v>483</v>
      </c>
      <c r="T2188">
        <v>2</v>
      </c>
      <c r="U2188" t="s">
        <v>484</v>
      </c>
      <c r="V2188" t="s">
        <v>42</v>
      </c>
      <c r="W2188" t="s">
        <v>485</v>
      </c>
      <c r="X2188" t="s">
        <v>486</v>
      </c>
      <c r="Y2188" t="s">
        <v>36</v>
      </c>
    </row>
    <row r="2189" spans="1:25" x14ac:dyDescent="0.25">
      <c r="A2189">
        <v>10308</v>
      </c>
      <c r="B2189">
        <v>24</v>
      </c>
      <c r="C2189">
        <v>79.91</v>
      </c>
      <c r="D2189">
        <v>5</v>
      </c>
      <c r="E2189">
        <v>1917.84</v>
      </c>
      <c r="F2189" s="1">
        <v>38275</v>
      </c>
      <c r="G2189" t="s">
        <v>25</v>
      </c>
      <c r="H2189">
        <v>4</v>
      </c>
      <c r="I2189">
        <v>10</v>
      </c>
      <c r="J2189">
        <v>2004</v>
      </c>
      <c r="K2189" t="s">
        <v>26</v>
      </c>
      <c r="L2189">
        <v>99</v>
      </c>
      <c r="M2189" t="s">
        <v>650</v>
      </c>
      <c r="N2189" t="s">
        <v>317</v>
      </c>
      <c r="O2189">
        <v>9145554562</v>
      </c>
      <c r="P2189" t="s">
        <v>318</v>
      </c>
      <c r="R2189" t="s">
        <v>319</v>
      </c>
      <c r="S2189" t="s">
        <v>31</v>
      </c>
      <c r="T2189">
        <v>24067</v>
      </c>
      <c r="U2189" t="s">
        <v>32</v>
      </c>
      <c r="V2189" t="s">
        <v>33</v>
      </c>
      <c r="W2189" t="s">
        <v>102</v>
      </c>
      <c r="X2189" t="s">
        <v>238</v>
      </c>
      <c r="Y2189" t="s">
        <v>36</v>
      </c>
    </row>
    <row r="2190" spans="1:25" x14ac:dyDescent="0.25">
      <c r="A2190">
        <v>10318</v>
      </c>
      <c r="B2190">
        <v>47</v>
      </c>
      <c r="C2190">
        <v>100</v>
      </c>
      <c r="D2190">
        <v>7</v>
      </c>
      <c r="E2190">
        <v>5305.36</v>
      </c>
      <c r="F2190" s="1">
        <v>38293</v>
      </c>
      <c r="G2190" t="s">
        <v>25</v>
      </c>
      <c r="H2190">
        <v>4</v>
      </c>
      <c r="I2190">
        <v>11</v>
      </c>
      <c r="J2190">
        <v>2004</v>
      </c>
      <c r="K2190" t="s">
        <v>26</v>
      </c>
      <c r="L2190">
        <v>99</v>
      </c>
      <c r="M2190" t="s">
        <v>650</v>
      </c>
      <c r="N2190" t="s">
        <v>139</v>
      </c>
      <c r="O2190">
        <v>2155551555</v>
      </c>
      <c r="P2190" t="s">
        <v>140</v>
      </c>
      <c r="R2190" t="s">
        <v>141</v>
      </c>
      <c r="S2190" t="s">
        <v>142</v>
      </c>
      <c r="T2190">
        <v>70267</v>
      </c>
      <c r="U2190" t="s">
        <v>32</v>
      </c>
      <c r="V2190" t="s">
        <v>33</v>
      </c>
      <c r="W2190" t="s">
        <v>34</v>
      </c>
      <c r="X2190" t="s">
        <v>143</v>
      </c>
      <c r="Y2190" t="s">
        <v>51</v>
      </c>
    </row>
    <row r="2191" spans="1:25" x14ac:dyDescent="0.25">
      <c r="A2191">
        <v>10329</v>
      </c>
      <c r="B2191">
        <v>45</v>
      </c>
      <c r="C2191">
        <v>63.91</v>
      </c>
      <c r="D2191">
        <v>11</v>
      </c>
      <c r="E2191">
        <v>2875.95</v>
      </c>
      <c r="F2191" s="1">
        <v>38306</v>
      </c>
      <c r="G2191" t="s">
        <v>25</v>
      </c>
      <c r="H2191">
        <v>4</v>
      </c>
      <c r="I2191">
        <v>11</v>
      </c>
      <c r="J2191">
        <v>2004</v>
      </c>
      <c r="K2191" t="s">
        <v>26</v>
      </c>
      <c r="L2191">
        <v>99</v>
      </c>
      <c r="M2191" t="s">
        <v>650</v>
      </c>
      <c r="N2191" t="s">
        <v>28</v>
      </c>
      <c r="O2191">
        <v>2125557818</v>
      </c>
      <c r="P2191" t="s">
        <v>29</v>
      </c>
      <c r="R2191" t="s">
        <v>30</v>
      </c>
      <c r="S2191" t="s">
        <v>31</v>
      </c>
      <c r="T2191">
        <v>10022</v>
      </c>
      <c r="U2191" t="s">
        <v>32</v>
      </c>
      <c r="V2191" t="s">
        <v>33</v>
      </c>
      <c r="W2191" t="s">
        <v>34</v>
      </c>
      <c r="X2191" t="s">
        <v>35</v>
      </c>
      <c r="Y2191" t="s">
        <v>36</v>
      </c>
    </row>
    <row r="2192" spans="1:25" x14ac:dyDescent="0.25">
      <c r="A2192">
        <v>10340</v>
      </c>
      <c r="B2192">
        <v>55</v>
      </c>
      <c r="C2192">
        <v>100</v>
      </c>
      <c r="D2192">
        <v>2</v>
      </c>
      <c r="E2192">
        <v>6482.85</v>
      </c>
      <c r="F2192" s="1">
        <v>38315</v>
      </c>
      <c r="G2192" t="s">
        <v>25</v>
      </c>
      <c r="H2192">
        <v>4</v>
      </c>
      <c r="I2192">
        <v>11</v>
      </c>
      <c r="J2192">
        <v>2004</v>
      </c>
      <c r="K2192" t="s">
        <v>26</v>
      </c>
      <c r="L2192">
        <v>99</v>
      </c>
      <c r="M2192" t="s">
        <v>650</v>
      </c>
      <c r="N2192" t="s">
        <v>352</v>
      </c>
      <c r="O2192" t="s">
        <v>353</v>
      </c>
      <c r="P2192" t="s">
        <v>354</v>
      </c>
      <c r="R2192" t="s">
        <v>355</v>
      </c>
      <c r="T2192">
        <v>8022</v>
      </c>
      <c r="U2192" t="s">
        <v>178</v>
      </c>
      <c r="V2192" t="s">
        <v>42</v>
      </c>
      <c r="W2192" t="s">
        <v>356</v>
      </c>
      <c r="X2192" t="s">
        <v>357</v>
      </c>
      <c r="Y2192" t="s">
        <v>51</v>
      </c>
    </row>
    <row r="2193" spans="1:25" x14ac:dyDescent="0.25">
      <c r="A2193">
        <v>10353</v>
      </c>
      <c r="B2193">
        <v>46</v>
      </c>
      <c r="C2193">
        <v>81.17</v>
      </c>
      <c r="D2193">
        <v>5</v>
      </c>
      <c r="E2193">
        <v>3733.82</v>
      </c>
      <c r="F2193" s="1">
        <v>38325</v>
      </c>
      <c r="G2193" t="s">
        <v>25</v>
      </c>
      <c r="H2193">
        <v>4</v>
      </c>
      <c r="I2193">
        <v>12</v>
      </c>
      <c r="J2193">
        <v>2004</v>
      </c>
      <c r="K2193" t="s">
        <v>26</v>
      </c>
      <c r="L2193">
        <v>99</v>
      </c>
      <c r="M2193" t="s">
        <v>650</v>
      </c>
      <c r="N2193" t="s">
        <v>568</v>
      </c>
      <c r="O2193">
        <v>2035554407</v>
      </c>
      <c r="P2193" t="s">
        <v>569</v>
      </c>
      <c r="R2193" t="s">
        <v>516</v>
      </c>
      <c r="S2193" t="s">
        <v>112</v>
      </c>
      <c r="T2193">
        <v>97561</v>
      </c>
      <c r="U2193" t="s">
        <v>32</v>
      </c>
      <c r="V2193" t="s">
        <v>33</v>
      </c>
      <c r="W2193" t="s">
        <v>570</v>
      </c>
      <c r="X2193" t="s">
        <v>571</v>
      </c>
      <c r="Y2193" t="s">
        <v>51</v>
      </c>
    </row>
    <row r="2194" spans="1:25" x14ac:dyDescent="0.25">
      <c r="A2194">
        <v>10363</v>
      </c>
      <c r="B2194">
        <v>50</v>
      </c>
      <c r="C2194">
        <v>100</v>
      </c>
      <c r="D2194">
        <v>2</v>
      </c>
      <c r="E2194">
        <v>6576.5</v>
      </c>
      <c r="F2194" s="1">
        <v>38358</v>
      </c>
      <c r="G2194" t="s">
        <v>25</v>
      </c>
      <c r="H2194">
        <v>1</v>
      </c>
      <c r="I2194">
        <v>1</v>
      </c>
      <c r="J2194">
        <v>2005</v>
      </c>
      <c r="K2194" t="s">
        <v>26</v>
      </c>
      <c r="L2194">
        <v>99</v>
      </c>
      <c r="M2194" t="s">
        <v>650</v>
      </c>
      <c r="N2194" t="s">
        <v>467</v>
      </c>
      <c r="O2194" t="s">
        <v>468</v>
      </c>
      <c r="P2194" t="s">
        <v>469</v>
      </c>
      <c r="R2194" t="s">
        <v>470</v>
      </c>
      <c r="T2194" t="s">
        <v>471</v>
      </c>
      <c r="U2194" t="s">
        <v>130</v>
      </c>
      <c r="V2194" t="s">
        <v>42</v>
      </c>
      <c r="W2194" t="s">
        <v>472</v>
      </c>
      <c r="X2194" t="s">
        <v>473</v>
      </c>
      <c r="Y2194" t="s">
        <v>51</v>
      </c>
    </row>
    <row r="2195" spans="1:25" x14ac:dyDescent="0.25">
      <c r="A2195">
        <v>10375</v>
      </c>
      <c r="B2195">
        <v>37</v>
      </c>
      <c r="C2195">
        <v>100</v>
      </c>
      <c r="D2195">
        <v>3</v>
      </c>
      <c r="E2195">
        <v>6353.27</v>
      </c>
      <c r="F2195" s="1">
        <v>38386</v>
      </c>
      <c r="G2195" t="s">
        <v>25</v>
      </c>
      <c r="H2195">
        <v>1</v>
      </c>
      <c r="I2195">
        <v>2</v>
      </c>
      <c r="J2195">
        <v>2005</v>
      </c>
      <c r="K2195" t="s">
        <v>26</v>
      </c>
      <c r="L2195">
        <v>99</v>
      </c>
      <c r="M2195" t="s">
        <v>650</v>
      </c>
      <c r="N2195" t="s">
        <v>114</v>
      </c>
      <c r="O2195" t="s">
        <v>115</v>
      </c>
      <c r="P2195" t="s">
        <v>116</v>
      </c>
      <c r="R2195" t="s">
        <v>117</v>
      </c>
      <c r="T2195">
        <v>44000</v>
      </c>
      <c r="U2195" t="s">
        <v>41</v>
      </c>
      <c r="V2195" t="s">
        <v>42</v>
      </c>
      <c r="W2195" t="s">
        <v>118</v>
      </c>
      <c r="X2195" t="s">
        <v>119</v>
      </c>
      <c r="Y2195" t="s">
        <v>51</v>
      </c>
    </row>
    <row r="2196" spans="1:25" x14ac:dyDescent="0.25">
      <c r="A2196">
        <v>10387</v>
      </c>
      <c r="B2196">
        <v>44</v>
      </c>
      <c r="C2196">
        <v>94.9</v>
      </c>
      <c r="D2196">
        <v>1</v>
      </c>
      <c r="E2196">
        <v>4175.6000000000004</v>
      </c>
      <c r="F2196" s="1">
        <v>38413</v>
      </c>
      <c r="G2196" t="s">
        <v>25</v>
      </c>
      <c r="H2196">
        <v>1</v>
      </c>
      <c r="I2196">
        <v>3</v>
      </c>
      <c r="J2196">
        <v>2005</v>
      </c>
      <c r="K2196" t="s">
        <v>26</v>
      </c>
      <c r="L2196">
        <v>99</v>
      </c>
      <c r="M2196" t="s">
        <v>650</v>
      </c>
      <c r="N2196" t="s">
        <v>196</v>
      </c>
      <c r="O2196" t="s">
        <v>197</v>
      </c>
      <c r="P2196" t="s">
        <v>198</v>
      </c>
      <c r="R2196" t="s">
        <v>199</v>
      </c>
      <c r="T2196">
        <v>79903</v>
      </c>
      <c r="U2196" t="s">
        <v>199</v>
      </c>
      <c r="V2196" t="s">
        <v>200</v>
      </c>
      <c r="W2196" t="s">
        <v>201</v>
      </c>
      <c r="X2196" t="s">
        <v>202</v>
      </c>
      <c r="Y2196" t="s">
        <v>51</v>
      </c>
    </row>
    <row r="2197" spans="1:25" x14ac:dyDescent="0.25">
      <c r="A2197">
        <v>10401</v>
      </c>
      <c r="B2197">
        <v>49</v>
      </c>
      <c r="C2197">
        <v>100</v>
      </c>
      <c r="D2197">
        <v>1</v>
      </c>
      <c r="E2197">
        <v>4992.6099999999997</v>
      </c>
      <c r="F2197" s="1">
        <v>38445</v>
      </c>
      <c r="G2197" t="s">
        <v>401</v>
      </c>
      <c r="H2197">
        <v>2</v>
      </c>
      <c r="I2197">
        <v>4</v>
      </c>
      <c r="J2197">
        <v>2005</v>
      </c>
      <c r="K2197" t="s">
        <v>26</v>
      </c>
      <c r="L2197">
        <v>99</v>
      </c>
      <c r="M2197" t="s">
        <v>650</v>
      </c>
      <c r="N2197" t="s">
        <v>104</v>
      </c>
      <c r="O2197">
        <v>2015559350</v>
      </c>
      <c r="P2197" t="s">
        <v>105</v>
      </c>
      <c r="R2197" t="s">
        <v>106</v>
      </c>
      <c r="S2197" t="s">
        <v>107</v>
      </c>
      <c r="T2197">
        <v>94019</v>
      </c>
      <c r="U2197" t="s">
        <v>32</v>
      </c>
      <c r="V2197" t="s">
        <v>33</v>
      </c>
      <c r="W2197" t="s">
        <v>61</v>
      </c>
      <c r="X2197" t="s">
        <v>108</v>
      </c>
      <c r="Y2197" t="s">
        <v>51</v>
      </c>
    </row>
    <row r="2198" spans="1:25" x14ac:dyDescent="0.25">
      <c r="A2198">
        <v>10416</v>
      </c>
      <c r="B2198">
        <v>45</v>
      </c>
      <c r="C2198">
        <v>100</v>
      </c>
      <c r="D2198">
        <v>2</v>
      </c>
      <c r="E2198">
        <v>4764.6000000000004</v>
      </c>
      <c r="F2198" s="1">
        <v>38482</v>
      </c>
      <c r="G2198" t="s">
        <v>25</v>
      </c>
      <c r="H2198">
        <v>2</v>
      </c>
      <c r="I2198">
        <v>5</v>
      </c>
      <c r="J2198">
        <v>2005</v>
      </c>
      <c r="K2198" t="s">
        <v>26</v>
      </c>
      <c r="L2198">
        <v>99</v>
      </c>
      <c r="M2198" t="s">
        <v>650</v>
      </c>
      <c r="N2198" t="s">
        <v>452</v>
      </c>
      <c r="O2198" t="s">
        <v>453</v>
      </c>
      <c r="P2198" t="s">
        <v>454</v>
      </c>
      <c r="R2198" t="s">
        <v>455</v>
      </c>
      <c r="T2198">
        <v>42100</v>
      </c>
      <c r="U2198" t="s">
        <v>258</v>
      </c>
      <c r="V2198" t="s">
        <v>42</v>
      </c>
      <c r="W2198" t="s">
        <v>456</v>
      </c>
      <c r="X2198" t="s">
        <v>457</v>
      </c>
      <c r="Y2198" t="s">
        <v>51</v>
      </c>
    </row>
    <row r="2199" spans="1:25" x14ac:dyDescent="0.25">
      <c r="A2199">
        <v>10108</v>
      </c>
      <c r="B2199">
        <v>27</v>
      </c>
      <c r="C2199">
        <v>43.45</v>
      </c>
      <c r="D2199">
        <v>13</v>
      </c>
      <c r="E2199">
        <v>1173.1500000000001</v>
      </c>
      <c r="F2199" s="1">
        <v>37683</v>
      </c>
      <c r="G2199" t="s">
        <v>25</v>
      </c>
      <c r="H2199">
        <v>1</v>
      </c>
      <c r="I2199">
        <v>3</v>
      </c>
      <c r="J2199">
        <v>2003</v>
      </c>
      <c r="K2199" t="s">
        <v>26</v>
      </c>
      <c r="L2199">
        <v>40</v>
      </c>
      <c r="M2199" t="s">
        <v>651</v>
      </c>
      <c r="N2199" t="s">
        <v>425</v>
      </c>
      <c r="O2199" t="s">
        <v>426</v>
      </c>
      <c r="P2199" t="s">
        <v>427</v>
      </c>
      <c r="R2199" t="s">
        <v>428</v>
      </c>
      <c r="T2199" t="s">
        <v>429</v>
      </c>
      <c r="U2199" t="s">
        <v>430</v>
      </c>
      <c r="V2199" t="s">
        <v>200</v>
      </c>
      <c r="W2199" t="s">
        <v>431</v>
      </c>
      <c r="X2199" t="s">
        <v>432</v>
      </c>
      <c r="Y2199" t="s">
        <v>36</v>
      </c>
    </row>
    <row r="2200" spans="1:25" x14ac:dyDescent="0.25">
      <c r="A2200">
        <v>10122</v>
      </c>
      <c r="B2200">
        <v>31</v>
      </c>
      <c r="C2200">
        <v>44.66</v>
      </c>
      <c r="D2200">
        <v>17</v>
      </c>
      <c r="E2200">
        <v>1384.46</v>
      </c>
      <c r="F2200" s="1">
        <v>37749</v>
      </c>
      <c r="G2200" t="s">
        <v>25</v>
      </c>
      <c r="H2200">
        <v>2</v>
      </c>
      <c r="I2200">
        <v>5</v>
      </c>
      <c r="J2200">
        <v>2003</v>
      </c>
      <c r="K2200" t="s">
        <v>26</v>
      </c>
      <c r="L2200">
        <v>40</v>
      </c>
      <c r="M2200" t="s">
        <v>651</v>
      </c>
      <c r="N2200" t="s">
        <v>433</v>
      </c>
      <c r="O2200" t="s">
        <v>434</v>
      </c>
      <c r="P2200" t="s">
        <v>435</v>
      </c>
      <c r="R2200" t="s">
        <v>436</v>
      </c>
      <c r="T2200">
        <v>13008</v>
      </c>
      <c r="U2200" t="s">
        <v>41</v>
      </c>
      <c r="V2200" t="s">
        <v>42</v>
      </c>
      <c r="W2200" t="s">
        <v>437</v>
      </c>
      <c r="X2200" t="s">
        <v>438</v>
      </c>
      <c r="Y2200" t="s">
        <v>36</v>
      </c>
    </row>
    <row r="2201" spans="1:25" x14ac:dyDescent="0.25">
      <c r="A2201">
        <v>10135</v>
      </c>
      <c r="B2201">
        <v>33</v>
      </c>
      <c r="C2201">
        <v>40.229999999999997</v>
      </c>
      <c r="D2201">
        <v>14</v>
      </c>
      <c r="E2201">
        <v>1327.59</v>
      </c>
      <c r="F2201" s="1">
        <v>37804</v>
      </c>
      <c r="G2201" t="s">
        <v>25</v>
      </c>
      <c r="H2201">
        <v>3</v>
      </c>
      <c r="I2201">
        <v>7</v>
      </c>
      <c r="J2201">
        <v>2003</v>
      </c>
      <c r="K2201" t="s">
        <v>26</v>
      </c>
      <c r="L2201">
        <v>40</v>
      </c>
      <c r="M2201" t="s">
        <v>651</v>
      </c>
      <c r="N2201" t="s">
        <v>272</v>
      </c>
      <c r="O2201">
        <v>4155551450</v>
      </c>
      <c r="P2201" t="s">
        <v>273</v>
      </c>
      <c r="R2201" t="s">
        <v>274</v>
      </c>
      <c r="S2201" t="s">
        <v>55</v>
      </c>
      <c r="T2201">
        <v>97562</v>
      </c>
      <c r="U2201" t="s">
        <v>32</v>
      </c>
      <c r="V2201" t="s">
        <v>33</v>
      </c>
      <c r="W2201" t="s">
        <v>275</v>
      </c>
      <c r="X2201" t="s">
        <v>276</v>
      </c>
      <c r="Y2201" t="s">
        <v>36</v>
      </c>
    </row>
    <row r="2202" spans="1:25" x14ac:dyDescent="0.25">
      <c r="A2202">
        <v>10145</v>
      </c>
      <c r="B2202">
        <v>31</v>
      </c>
      <c r="C2202">
        <v>35.799999999999997</v>
      </c>
      <c r="D2202">
        <v>1</v>
      </c>
      <c r="E2202">
        <v>1109.8</v>
      </c>
      <c r="F2202" s="1">
        <v>37858</v>
      </c>
      <c r="G2202" t="s">
        <v>25</v>
      </c>
      <c r="H2202">
        <v>3</v>
      </c>
      <c r="I2202">
        <v>8</v>
      </c>
      <c r="J2202">
        <v>2003</v>
      </c>
      <c r="K2202" t="s">
        <v>26</v>
      </c>
      <c r="L2202">
        <v>40</v>
      </c>
      <c r="M2202" t="s">
        <v>651</v>
      </c>
      <c r="N2202" t="s">
        <v>52</v>
      </c>
      <c r="O2202">
        <v>6265557265</v>
      </c>
      <c r="P2202" t="s">
        <v>53</v>
      </c>
      <c r="R2202" t="s">
        <v>54</v>
      </c>
      <c r="S2202" t="s">
        <v>55</v>
      </c>
      <c r="T2202">
        <v>90003</v>
      </c>
      <c r="U2202" t="s">
        <v>32</v>
      </c>
      <c r="V2202" t="s">
        <v>33</v>
      </c>
      <c r="W2202" t="s">
        <v>56</v>
      </c>
      <c r="X2202" t="s">
        <v>57</v>
      </c>
      <c r="Y2202" t="s">
        <v>36</v>
      </c>
    </row>
    <row r="2203" spans="1:25" x14ac:dyDescent="0.25">
      <c r="A2203">
        <v>10159</v>
      </c>
      <c r="B2203">
        <v>35</v>
      </c>
      <c r="C2203">
        <v>35.4</v>
      </c>
      <c r="D2203">
        <v>9</v>
      </c>
      <c r="E2203">
        <v>1239</v>
      </c>
      <c r="F2203" s="1">
        <v>37904</v>
      </c>
      <c r="G2203" t="s">
        <v>25</v>
      </c>
      <c r="H2203">
        <v>4</v>
      </c>
      <c r="I2203">
        <v>10</v>
      </c>
      <c r="J2203">
        <v>2003</v>
      </c>
      <c r="K2203" t="s">
        <v>26</v>
      </c>
      <c r="L2203">
        <v>40</v>
      </c>
      <c r="M2203" t="s">
        <v>651</v>
      </c>
      <c r="N2203" t="s">
        <v>58</v>
      </c>
      <c r="O2203">
        <v>6505551386</v>
      </c>
      <c r="P2203" t="s">
        <v>59</v>
      </c>
      <c r="R2203" t="s">
        <v>60</v>
      </c>
      <c r="S2203" t="s">
        <v>55</v>
      </c>
      <c r="U2203" t="s">
        <v>32</v>
      </c>
      <c r="V2203" t="s">
        <v>33</v>
      </c>
      <c r="W2203" t="s">
        <v>61</v>
      </c>
      <c r="X2203" t="s">
        <v>57</v>
      </c>
      <c r="Y2203" t="s">
        <v>36</v>
      </c>
    </row>
    <row r="2204" spans="1:25" x14ac:dyDescent="0.25">
      <c r="A2204">
        <v>10169</v>
      </c>
      <c r="B2204">
        <v>26</v>
      </c>
      <c r="C2204">
        <v>39.83</v>
      </c>
      <c r="D2204">
        <v>9</v>
      </c>
      <c r="E2204">
        <v>1035.58</v>
      </c>
      <c r="F2204" s="1">
        <v>37929</v>
      </c>
      <c r="G2204" t="s">
        <v>25</v>
      </c>
      <c r="H2204">
        <v>4</v>
      </c>
      <c r="I2204">
        <v>11</v>
      </c>
      <c r="J2204">
        <v>2003</v>
      </c>
      <c r="K2204" t="s">
        <v>26</v>
      </c>
      <c r="L2204">
        <v>40</v>
      </c>
      <c r="M2204" t="s">
        <v>651</v>
      </c>
      <c r="N2204" t="s">
        <v>285</v>
      </c>
      <c r="O2204" t="s">
        <v>286</v>
      </c>
      <c r="P2204" t="s">
        <v>287</v>
      </c>
      <c r="Q2204" t="s">
        <v>288</v>
      </c>
      <c r="R2204" t="s">
        <v>289</v>
      </c>
      <c r="S2204" t="s">
        <v>157</v>
      </c>
      <c r="T2204">
        <v>2060</v>
      </c>
      <c r="U2204" t="s">
        <v>95</v>
      </c>
      <c r="V2204" t="s">
        <v>96</v>
      </c>
      <c r="W2204" t="s">
        <v>290</v>
      </c>
      <c r="X2204" t="s">
        <v>291</v>
      </c>
      <c r="Y2204" t="s">
        <v>36</v>
      </c>
    </row>
    <row r="2205" spans="1:25" x14ac:dyDescent="0.25">
      <c r="A2205">
        <v>10180</v>
      </c>
      <c r="B2205">
        <v>34</v>
      </c>
      <c r="C2205">
        <v>45.46</v>
      </c>
      <c r="D2205">
        <v>4</v>
      </c>
      <c r="E2205">
        <v>1545.64</v>
      </c>
      <c r="F2205" s="1">
        <v>37936</v>
      </c>
      <c r="G2205" t="s">
        <v>25</v>
      </c>
      <c r="H2205">
        <v>4</v>
      </c>
      <c r="I2205">
        <v>11</v>
      </c>
      <c r="J2205">
        <v>2003</v>
      </c>
      <c r="K2205" t="s">
        <v>26</v>
      </c>
      <c r="L2205">
        <v>40</v>
      </c>
      <c r="M2205" t="s">
        <v>651</v>
      </c>
      <c r="N2205" t="s">
        <v>67</v>
      </c>
      <c r="O2205" t="s">
        <v>68</v>
      </c>
      <c r="P2205" t="s">
        <v>69</v>
      </c>
      <c r="R2205" t="s">
        <v>70</v>
      </c>
      <c r="T2205">
        <v>59000</v>
      </c>
      <c r="U2205" t="s">
        <v>41</v>
      </c>
      <c r="V2205" t="s">
        <v>42</v>
      </c>
      <c r="W2205" t="s">
        <v>71</v>
      </c>
      <c r="X2205" t="s">
        <v>72</v>
      </c>
      <c r="Y2205" t="s">
        <v>36</v>
      </c>
    </row>
    <row r="2206" spans="1:25" x14ac:dyDescent="0.25">
      <c r="A2206">
        <v>10190</v>
      </c>
      <c r="B2206">
        <v>46</v>
      </c>
      <c r="C2206">
        <v>32.99</v>
      </c>
      <c r="D2206">
        <v>1</v>
      </c>
      <c r="E2206">
        <v>1517.54</v>
      </c>
      <c r="F2206" s="1">
        <v>37944</v>
      </c>
      <c r="G2206" t="s">
        <v>25</v>
      </c>
      <c r="H2206">
        <v>4</v>
      </c>
      <c r="I2206">
        <v>11</v>
      </c>
      <c r="J2206">
        <v>2003</v>
      </c>
      <c r="K2206" t="s">
        <v>26</v>
      </c>
      <c r="L2206">
        <v>40</v>
      </c>
      <c r="M2206" t="s">
        <v>651</v>
      </c>
      <c r="N2206" t="s">
        <v>174</v>
      </c>
      <c r="O2206" t="s">
        <v>175</v>
      </c>
      <c r="P2206" t="s">
        <v>176</v>
      </c>
      <c r="R2206" t="s">
        <v>177</v>
      </c>
      <c r="T2206">
        <v>28034</v>
      </c>
      <c r="U2206" t="s">
        <v>178</v>
      </c>
      <c r="V2206" t="s">
        <v>42</v>
      </c>
      <c r="W2206" t="s">
        <v>179</v>
      </c>
      <c r="X2206" t="s">
        <v>180</v>
      </c>
      <c r="Y2206" t="s">
        <v>36</v>
      </c>
    </row>
    <row r="2207" spans="1:25" x14ac:dyDescent="0.25">
      <c r="A2207">
        <v>10211</v>
      </c>
      <c r="B2207">
        <v>41</v>
      </c>
      <c r="C2207">
        <v>42.24</v>
      </c>
      <c r="D2207">
        <v>9</v>
      </c>
      <c r="E2207">
        <v>1731.84</v>
      </c>
      <c r="F2207" s="1">
        <v>38001</v>
      </c>
      <c r="G2207" t="s">
        <v>25</v>
      </c>
      <c r="H2207">
        <v>1</v>
      </c>
      <c r="I2207">
        <v>1</v>
      </c>
      <c r="J2207">
        <v>2004</v>
      </c>
      <c r="K2207" t="s">
        <v>26</v>
      </c>
      <c r="L2207">
        <v>40</v>
      </c>
      <c r="M2207" t="s">
        <v>651</v>
      </c>
      <c r="N2207" t="s">
        <v>84</v>
      </c>
      <c r="O2207" t="s">
        <v>85</v>
      </c>
      <c r="P2207" t="s">
        <v>86</v>
      </c>
      <c r="R2207" t="s">
        <v>48</v>
      </c>
      <c r="T2207">
        <v>75016</v>
      </c>
      <c r="U2207" t="s">
        <v>41</v>
      </c>
      <c r="V2207" t="s">
        <v>42</v>
      </c>
      <c r="W2207" t="s">
        <v>87</v>
      </c>
      <c r="X2207" t="s">
        <v>88</v>
      </c>
      <c r="Y2207" t="s">
        <v>36</v>
      </c>
    </row>
    <row r="2208" spans="1:25" x14ac:dyDescent="0.25">
      <c r="A2208">
        <v>10224</v>
      </c>
      <c r="B2208">
        <v>43</v>
      </c>
      <c r="C2208">
        <v>39.43</v>
      </c>
      <c r="D2208">
        <v>2</v>
      </c>
      <c r="E2208">
        <v>1695.49</v>
      </c>
      <c r="F2208" s="1">
        <v>38038</v>
      </c>
      <c r="G2208" t="s">
        <v>25</v>
      </c>
      <c r="H2208">
        <v>1</v>
      </c>
      <c r="I2208">
        <v>2</v>
      </c>
      <c r="J2208">
        <v>2004</v>
      </c>
      <c r="K2208" t="s">
        <v>26</v>
      </c>
      <c r="L2208">
        <v>40</v>
      </c>
      <c r="M2208" t="s">
        <v>651</v>
      </c>
      <c r="N2208" t="s">
        <v>67</v>
      </c>
      <c r="O2208" t="s">
        <v>68</v>
      </c>
      <c r="P2208" t="s">
        <v>69</v>
      </c>
      <c r="R2208" t="s">
        <v>70</v>
      </c>
      <c r="T2208">
        <v>59000</v>
      </c>
      <c r="U2208" t="s">
        <v>41</v>
      </c>
      <c r="V2208" t="s">
        <v>42</v>
      </c>
      <c r="W2208" t="s">
        <v>71</v>
      </c>
      <c r="X2208" t="s">
        <v>72</v>
      </c>
      <c r="Y2208" t="s">
        <v>36</v>
      </c>
    </row>
    <row r="2209" spans="1:25" x14ac:dyDescent="0.25">
      <c r="A2209">
        <v>10237</v>
      </c>
      <c r="B2209">
        <v>26</v>
      </c>
      <c r="C2209">
        <v>40.229999999999997</v>
      </c>
      <c r="D2209">
        <v>2</v>
      </c>
      <c r="E2209">
        <v>1045.98</v>
      </c>
      <c r="F2209" s="1">
        <v>38082</v>
      </c>
      <c r="G2209" t="s">
        <v>25</v>
      </c>
      <c r="H2209">
        <v>2</v>
      </c>
      <c r="I2209">
        <v>4</v>
      </c>
      <c r="J2209">
        <v>2004</v>
      </c>
      <c r="K2209" t="s">
        <v>26</v>
      </c>
      <c r="L2209">
        <v>40</v>
      </c>
      <c r="M2209" t="s">
        <v>651</v>
      </c>
      <c r="N2209" t="s">
        <v>99</v>
      </c>
      <c r="O2209">
        <v>2125551500</v>
      </c>
      <c r="P2209" t="s">
        <v>100</v>
      </c>
      <c r="Q2209" t="s">
        <v>101</v>
      </c>
      <c r="R2209" t="s">
        <v>30</v>
      </c>
      <c r="S2209" t="s">
        <v>31</v>
      </c>
      <c r="T2209">
        <v>10022</v>
      </c>
      <c r="U2209" t="s">
        <v>32</v>
      </c>
      <c r="V2209" t="s">
        <v>33</v>
      </c>
      <c r="W2209" t="s">
        <v>102</v>
      </c>
      <c r="X2209" t="s">
        <v>103</v>
      </c>
      <c r="Y2209" t="s">
        <v>36</v>
      </c>
    </row>
    <row r="2210" spans="1:25" x14ac:dyDescent="0.25">
      <c r="A2210">
        <v>10252</v>
      </c>
      <c r="B2210">
        <v>36</v>
      </c>
      <c r="C2210">
        <v>48.28</v>
      </c>
      <c r="D2210">
        <v>6</v>
      </c>
      <c r="E2210">
        <v>1738.08</v>
      </c>
      <c r="F2210" s="1">
        <v>38133</v>
      </c>
      <c r="G2210" t="s">
        <v>25</v>
      </c>
      <c r="H2210">
        <v>2</v>
      </c>
      <c r="I2210">
        <v>5</v>
      </c>
      <c r="J2210">
        <v>2004</v>
      </c>
      <c r="K2210" t="s">
        <v>26</v>
      </c>
      <c r="L2210">
        <v>40</v>
      </c>
      <c r="M2210" t="s">
        <v>651</v>
      </c>
      <c r="N2210" t="s">
        <v>84</v>
      </c>
      <c r="O2210" t="s">
        <v>85</v>
      </c>
      <c r="P2210" t="s">
        <v>86</v>
      </c>
      <c r="R2210" t="s">
        <v>48</v>
      </c>
      <c r="T2210">
        <v>75016</v>
      </c>
      <c r="U2210" t="s">
        <v>41</v>
      </c>
      <c r="V2210" t="s">
        <v>42</v>
      </c>
      <c r="W2210" t="s">
        <v>87</v>
      </c>
      <c r="X2210" t="s">
        <v>88</v>
      </c>
      <c r="Y2210" t="s">
        <v>36</v>
      </c>
    </row>
    <row r="2211" spans="1:25" x14ac:dyDescent="0.25">
      <c r="A2211">
        <v>10264</v>
      </c>
      <c r="B2211">
        <v>20</v>
      </c>
      <c r="C2211">
        <v>32.590000000000003</v>
      </c>
      <c r="D2211">
        <v>4</v>
      </c>
      <c r="E2211">
        <v>651.79999999999995</v>
      </c>
      <c r="F2211" s="1">
        <v>38168</v>
      </c>
      <c r="G2211" t="s">
        <v>25</v>
      </c>
      <c r="H2211">
        <v>2</v>
      </c>
      <c r="I2211">
        <v>6</v>
      </c>
      <c r="J2211">
        <v>2004</v>
      </c>
      <c r="K2211" t="s">
        <v>26</v>
      </c>
      <c r="L2211">
        <v>40</v>
      </c>
      <c r="M2211" t="s">
        <v>651</v>
      </c>
      <c r="N2211" t="s">
        <v>379</v>
      </c>
      <c r="O2211">
        <v>6175559555</v>
      </c>
      <c r="P2211" t="s">
        <v>380</v>
      </c>
      <c r="R2211" t="s">
        <v>381</v>
      </c>
      <c r="S2211" t="s">
        <v>123</v>
      </c>
      <c r="T2211">
        <v>51003</v>
      </c>
      <c r="U2211" t="s">
        <v>32</v>
      </c>
      <c r="V2211" t="s">
        <v>33</v>
      </c>
      <c r="W2211" t="s">
        <v>382</v>
      </c>
      <c r="X2211" t="s">
        <v>66</v>
      </c>
      <c r="Y2211" t="s">
        <v>36</v>
      </c>
    </row>
    <row r="2212" spans="1:25" x14ac:dyDescent="0.25">
      <c r="A2212">
        <v>10276</v>
      </c>
      <c r="B2212">
        <v>27</v>
      </c>
      <c r="C2212">
        <v>36.61</v>
      </c>
      <c r="D2212">
        <v>10</v>
      </c>
      <c r="E2212">
        <v>988.47</v>
      </c>
      <c r="F2212" s="1">
        <v>38201</v>
      </c>
      <c r="G2212" t="s">
        <v>25</v>
      </c>
      <c r="H2212">
        <v>3</v>
      </c>
      <c r="I2212">
        <v>8</v>
      </c>
      <c r="J2212">
        <v>2004</v>
      </c>
      <c r="K2212" t="s">
        <v>26</v>
      </c>
      <c r="L2212">
        <v>40</v>
      </c>
      <c r="M2212" t="s">
        <v>651</v>
      </c>
      <c r="N2212" t="s">
        <v>458</v>
      </c>
      <c r="O2212">
        <v>6175557555</v>
      </c>
      <c r="P2212" t="s">
        <v>459</v>
      </c>
      <c r="R2212" t="s">
        <v>283</v>
      </c>
      <c r="S2212" t="s">
        <v>123</v>
      </c>
      <c r="T2212">
        <v>58339</v>
      </c>
      <c r="U2212" t="s">
        <v>32</v>
      </c>
      <c r="V2212" t="s">
        <v>33</v>
      </c>
      <c r="W2212" t="s">
        <v>460</v>
      </c>
      <c r="X2212" t="s">
        <v>461</v>
      </c>
      <c r="Y2212" t="s">
        <v>36</v>
      </c>
    </row>
    <row r="2213" spans="1:25" x14ac:dyDescent="0.25">
      <c r="A2213">
        <v>10285</v>
      </c>
      <c r="B2213">
        <v>37</v>
      </c>
      <c r="C2213">
        <v>41.03</v>
      </c>
      <c r="D2213">
        <v>1</v>
      </c>
      <c r="E2213">
        <v>1518.11</v>
      </c>
      <c r="F2213" s="1">
        <v>38226</v>
      </c>
      <c r="G2213" t="s">
        <v>25</v>
      </c>
      <c r="H2213">
        <v>3</v>
      </c>
      <c r="I2213">
        <v>8</v>
      </c>
      <c r="J2213">
        <v>2004</v>
      </c>
      <c r="K2213" t="s">
        <v>26</v>
      </c>
      <c r="L2213">
        <v>40</v>
      </c>
      <c r="M2213" t="s">
        <v>651</v>
      </c>
      <c r="N2213" t="s">
        <v>120</v>
      </c>
      <c r="O2213">
        <v>6175558555</v>
      </c>
      <c r="P2213" t="s">
        <v>121</v>
      </c>
      <c r="R2213" t="s">
        <v>122</v>
      </c>
      <c r="S2213" t="s">
        <v>123</v>
      </c>
      <c r="T2213">
        <v>51247</v>
      </c>
      <c r="U2213" t="s">
        <v>32</v>
      </c>
      <c r="V2213" t="s">
        <v>33</v>
      </c>
      <c r="W2213" t="s">
        <v>124</v>
      </c>
      <c r="X2213" t="s">
        <v>125</v>
      </c>
      <c r="Y2213" t="s">
        <v>36</v>
      </c>
    </row>
    <row r="2214" spans="1:25" x14ac:dyDescent="0.25">
      <c r="A2214">
        <v>10299</v>
      </c>
      <c r="B2214">
        <v>24</v>
      </c>
      <c r="C2214">
        <v>42.24</v>
      </c>
      <c r="D2214">
        <v>4</v>
      </c>
      <c r="E2214">
        <v>1013.76</v>
      </c>
      <c r="F2214" s="1">
        <v>38260</v>
      </c>
      <c r="G2214" t="s">
        <v>25</v>
      </c>
      <c r="H2214">
        <v>3</v>
      </c>
      <c r="I2214">
        <v>9</v>
      </c>
      <c r="J2214">
        <v>2004</v>
      </c>
      <c r="K2214" t="s">
        <v>26</v>
      </c>
      <c r="L2214">
        <v>40</v>
      </c>
      <c r="M2214" t="s">
        <v>651</v>
      </c>
      <c r="N2214" t="s">
        <v>126</v>
      </c>
      <c r="O2214" t="s">
        <v>127</v>
      </c>
      <c r="P2214" t="s">
        <v>128</v>
      </c>
      <c r="R2214" t="s">
        <v>129</v>
      </c>
      <c r="T2214">
        <v>21240</v>
      </c>
      <c r="U2214" t="s">
        <v>130</v>
      </c>
      <c r="V2214" t="s">
        <v>42</v>
      </c>
      <c r="W2214" t="s">
        <v>131</v>
      </c>
      <c r="X2214" t="s">
        <v>132</v>
      </c>
      <c r="Y2214" t="s">
        <v>36</v>
      </c>
    </row>
    <row r="2215" spans="1:25" x14ac:dyDescent="0.25">
      <c r="A2215">
        <v>10310</v>
      </c>
      <c r="B2215">
        <v>36</v>
      </c>
      <c r="C2215">
        <v>43.05</v>
      </c>
      <c r="D2215">
        <v>17</v>
      </c>
      <c r="E2215">
        <v>1549.8</v>
      </c>
      <c r="F2215" s="1">
        <v>38276</v>
      </c>
      <c r="G2215" t="s">
        <v>25</v>
      </c>
      <c r="H2215">
        <v>4</v>
      </c>
      <c r="I2215">
        <v>10</v>
      </c>
      <c r="J2215">
        <v>2004</v>
      </c>
      <c r="K2215" t="s">
        <v>26</v>
      </c>
      <c r="L2215">
        <v>40</v>
      </c>
      <c r="M2215" t="s">
        <v>651</v>
      </c>
      <c r="N2215" t="s">
        <v>439</v>
      </c>
      <c r="O2215" t="s">
        <v>440</v>
      </c>
      <c r="P2215" t="s">
        <v>441</v>
      </c>
      <c r="R2215" t="s">
        <v>442</v>
      </c>
      <c r="T2215">
        <v>50739</v>
      </c>
      <c r="U2215" t="s">
        <v>443</v>
      </c>
      <c r="V2215" t="s">
        <v>42</v>
      </c>
      <c r="W2215" t="s">
        <v>444</v>
      </c>
      <c r="X2215" t="s">
        <v>445</v>
      </c>
      <c r="Y2215" t="s">
        <v>36</v>
      </c>
    </row>
    <row r="2216" spans="1:25" x14ac:dyDescent="0.25">
      <c r="A2216">
        <v>10319</v>
      </c>
      <c r="B2216">
        <v>29</v>
      </c>
      <c r="C2216">
        <v>38.22</v>
      </c>
      <c r="D2216">
        <v>5</v>
      </c>
      <c r="E2216">
        <v>1108.3800000000001</v>
      </c>
      <c r="F2216" s="1">
        <v>38294</v>
      </c>
      <c r="G2216" t="s">
        <v>25</v>
      </c>
      <c r="H2216">
        <v>4</v>
      </c>
      <c r="I2216">
        <v>11</v>
      </c>
      <c r="J2216">
        <v>2004</v>
      </c>
      <c r="K2216" t="s">
        <v>26</v>
      </c>
      <c r="L2216">
        <v>40</v>
      </c>
      <c r="M2216" t="s">
        <v>651</v>
      </c>
      <c r="N2216" t="s">
        <v>507</v>
      </c>
      <c r="O2216">
        <v>2125551957</v>
      </c>
      <c r="P2216" t="s">
        <v>508</v>
      </c>
      <c r="Q2216" t="s">
        <v>509</v>
      </c>
      <c r="R2216" t="s">
        <v>30</v>
      </c>
      <c r="S2216" t="s">
        <v>31</v>
      </c>
      <c r="T2216">
        <v>10022</v>
      </c>
      <c r="U2216" t="s">
        <v>32</v>
      </c>
      <c r="V2216" t="s">
        <v>33</v>
      </c>
      <c r="W2216" t="s">
        <v>510</v>
      </c>
      <c r="X2216" t="s">
        <v>511</v>
      </c>
      <c r="Y2216" t="s">
        <v>36</v>
      </c>
    </row>
    <row r="2217" spans="1:25" x14ac:dyDescent="0.25">
      <c r="A2217">
        <v>10331</v>
      </c>
      <c r="B2217">
        <v>28</v>
      </c>
      <c r="C2217">
        <v>100</v>
      </c>
      <c r="D2217">
        <v>3</v>
      </c>
      <c r="E2217">
        <v>4102.5600000000004</v>
      </c>
      <c r="F2217" s="1">
        <v>38308</v>
      </c>
      <c r="G2217" t="s">
        <v>25</v>
      </c>
      <c r="H2217">
        <v>4</v>
      </c>
      <c r="I2217">
        <v>11</v>
      </c>
      <c r="J2217">
        <v>2004</v>
      </c>
      <c r="K2217" t="s">
        <v>26</v>
      </c>
      <c r="L2217">
        <v>40</v>
      </c>
      <c r="M2217" t="s">
        <v>651</v>
      </c>
      <c r="N2217" t="s">
        <v>309</v>
      </c>
      <c r="O2217">
        <v>2155559857</v>
      </c>
      <c r="P2217" t="s">
        <v>310</v>
      </c>
      <c r="R2217" t="s">
        <v>216</v>
      </c>
      <c r="S2217" t="s">
        <v>142</v>
      </c>
      <c r="T2217">
        <v>71270</v>
      </c>
      <c r="U2217" t="s">
        <v>32</v>
      </c>
      <c r="V2217" t="s">
        <v>33</v>
      </c>
      <c r="W2217" t="s">
        <v>124</v>
      </c>
      <c r="X2217" t="s">
        <v>311</v>
      </c>
      <c r="Y2217" t="s">
        <v>51</v>
      </c>
    </row>
    <row r="2218" spans="1:25" x14ac:dyDescent="0.25">
      <c r="A2218">
        <v>10343</v>
      </c>
      <c r="B2218">
        <v>29</v>
      </c>
      <c r="C2218">
        <v>100</v>
      </c>
      <c r="D2218">
        <v>5</v>
      </c>
      <c r="E2218">
        <v>3713.16</v>
      </c>
      <c r="F2218" s="1">
        <v>38315</v>
      </c>
      <c r="G2218" t="s">
        <v>25</v>
      </c>
      <c r="H2218">
        <v>4</v>
      </c>
      <c r="I2218">
        <v>11</v>
      </c>
      <c r="J2218">
        <v>2004</v>
      </c>
      <c r="K2218" t="s">
        <v>26</v>
      </c>
      <c r="L2218">
        <v>40</v>
      </c>
      <c r="M2218" t="s">
        <v>651</v>
      </c>
      <c r="N2218" t="s">
        <v>37</v>
      </c>
      <c r="O2218" t="s">
        <v>38</v>
      </c>
      <c r="P2218" t="s">
        <v>39</v>
      </c>
      <c r="R2218" t="s">
        <v>40</v>
      </c>
      <c r="T2218">
        <v>51100</v>
      </c>
      <c r="U2218" t="s">
        <v>41</v>
      </c>
      <c r="V2218" t="s">
        <v>42</v>
      </c>
      <c r="W2218" t="s">
        <v>43</v>
      </c>
      <c r="X2218" t="s">
        <v>44</v>
      </c>
      <c r="Y2218" t="s">
        <v>51</v>
      </c>
    </row>
    <row r="2219" spans="1:25" x14ac:dyDescent="0.25">
      <c r="A2219">
        <v>10355</v>
      </c>
      <c r="B2219">
        <v>38</v>
      </c>
      <c r="C2219">
        <v>39.83</v>
      </c>
      <c r="D2219">
        <v>10</v>
      </c>
      <c r="E2219">
        <v>1513.54</v>
      </c>
      <c r="F2219" s="1">
        <v>38328</v>
      </c>
      <c r="G2219" t="s">
        <v>25</v>
      </c>
      <c r="H2219">
        <v>4</v>
      </c>
      <c r="I2219">
        <v>12</v>
      </c>
      <c r="J2219">
        <v>2004</v>
      </c>
      <c r="K2219" t="s">
        <v>26</v>
      </c>
      <c r="L2219">
        <v>40</v>
      </c>
      <c r="M2219" t="s">
        <v>651</v>
      </c>
      <c r="N2219" t="s">
        <v>174</v>
      </c>
      <c r="O2219" t="s">
        <v>175</v>
      </c>
      <c r="P2219" t="s">
        <v>176</v>
      </c>
      <c r="R2219" t="s">
        <v>177</v>
      </c>
      <c r="T2219">
        <v>28034</v>
      </c>
      <c r="U2219" t="s">
        <v>178</v>
      </c>
      <c r="V2219" t="s">
        <v>42</v>
      </c>
      <c r="W2219" t="s">
        <v>179</v>
      </c>
      <c r="X2219" t="s">
        <v>180</v>
      </c>
      <c r="Y2219" t="s">
        <v>36</v>
      </c>
    </row>
    <row r="2220" spans="1:25" x14ac:dyDescent="0.25">
      <c r="A2220">
        <v>10364</v>
      </c>
      <c r="B2220">
        <v>48</v>
      </c>
      <c r="C2220">
        <v>48.28</v>
      </c>
      <c r="D2220">
        <v>1</v>
      </c>
      <c r="E2220">
        <v>2317.44</v>
      </c>
      <c r="F2220" s="1">
        <v>38358</v>
      </c>
      <c r="G2220" t="s">
        <v>25</v>
      </c>
      <c r="H2220">
        <v>1</v>
      </c>
      <c r="I2220">
        <v>1</v>
      </c>
      <c r="J2220">
        <v>2005</v>
      </c>
      <c r="K2220" t="s">
        <v>26</v>
      </c>
      <c r="L2220">
        <v>40</v>
      </c>
      <c r="M2220" t="s">
        <v>651</v>
      </c>
      <c r="N2220" t="s">
        <v>433</v>
      </c>
      <c r="O2220" t="s">
        <v>434</v>
      </c>
      <c r="P2220" t="s">
        <v>435</v>
      </c>
      <c r="R2220" t="s">
        <v>436</v>
      </c>
      <c r="T2220">
        <v>13008</v>
      </c>
      <c r="U2220" t="s">
        <v>41</v>
      </c>
      <c r="V2220" t="s">
        <v>42</v>
      </c>
      <c r="W2220" t="s">
        <v>437</v>
      </c>
      <c r="X2220" t="s">
        <v>438</v>
      </c>
      <c r="Y2220" t="s">
        <v>36</v>
      </c>
    </row>
    <row r="2221" spans="1:25" x14ac:dyDescent="0.25">
      <c r="A2221">
        <v>10378</v>
      </c>
      <c r="B2221">
        <v>40</v>
      </c>
      <c r="C2221">
        <v>82.46</v>
      </c>
      <c r="D2221">
        <v>1</v>
      </c>
      <c r="E2221">
        <v>3298.4</v>
      </c>
      <c r="F2221" s="1">
        <v>38393</v>
      </c>
      <c r="G2221" t="s">
        <v>25</v>
      </c>
      <c r="H2221">
        <v>1</v>
      </c>
      <c r="I2221">
        <v>2</v>
      </c>
      <c r="J2221">
        <v>2005</v>
      </c>
      <c r="K2221" t="s">
        <v>26</v>
      </c>
      <c r="L2221">
        <v>40</v>
      </c>
      <c r="M2221" t="s">
        <v>651</v>
      </c>
      <c r="N2221" t="s">
        <v>174</v>
      </c>
      <c r="O2221" t="s">
        <v>175</v>
      </c>
      <c r="P2221" t="s">
        <v>176</v>
      </c>
      <c r="R2221" t="s">
        <v>177</v>
      </c>
      <c r="T2221">
        <v>28034</v>
      </c>
      <c r="U2221" t="s">
        <v>178</v>
      </c>
      <c r="V2221" t="s">
        <v>42</v>
      </c>
      <c r="W2221" t="s">
        <v>179</v>
      </c>
      <c r="X2221" t="s">
        <v>180</v>
      </c>
      <c r="Y2221" t="s">
        <v>51</v>
      </c>
    </row>
    <row r="2222" spans="1:25" x14ac:dyDescent="0.25">
      <c r="A2222">
        <v>10390</v>
      </c>
      <c r="B2222">
        <v>41</v>
      </c>
      <c r="C2222">
        <v>44.56</v>
      </c>
      <c r="D2222">
        <v>11</v>
      </c>
      <c r="E2222">
        <v>1826.96</v>
      </c>
      <c r="F2222" s="1">
        <v>38415</v>
      </c>
      <c r="G2222" t="s">
        <v>25</v>
      </c>
      <c r="H2222">
        <v>1</v>
      </c>
      <c r="I2222">
        <v>3</v>
      </c>
      <c r="J2222">
        <v>2005</v>
      </c>
      <c r="K2222" t="s">
        <v>26</v>
      </c>
      <c r="L2222">
        <v>40</v>
      </c>
      <c r="M2222" t="s">
        <v>651</v>
      </c>
      <c r="N2222" t="s">
        <v>272</v>
      </c>
      <c r="O2222">
        <v>4155551450</v>
      </c>
      <c r="P2222" t="s">
        <v>273</v>
      </c>
      <c r="R2222" t="s">
        <v>274</v>
      </c>
      <c r="S2222" t="s">
        <v>55</v>
      </c>
      <c r="T2222">
        <v>97562</v>
      </c>
      <c r="U2222" t="s">
        <v>32</v>
      </c>
      <c r="V2222" t="s">
        <v>33</v>
      </c>
      <c r="W2222" t="s">
        <v>275</v>
      </c>
      <c r="X2222" t="s">
        <v>276</v>
      </c>
      <c r="Y2222" t="s">
        <v>36</v>
      </c>
    </row>
    <row r="2223" spans="1:25" x14ac:dyDescent="0.25">
      <c r="A2223">
        <v>10403</v>
      </c>
      <c r="B2223">
        <v>30</v>
      </c>
      <c r="C2223">
        <v>40.229999999999997</v>
      </c>
      <c r="D2223">
        <v>2</v>
      </c>
      <c r="E2223">
        <v>1206.9000000000001</v>
      </c>
      <c r="F2223" s="1">
        <v>38450</v>
      </c>
      <c r="G2223" t="s">
        <v>25</v>
      </c>
      <c r="H2223">
        <v>2</v>
      </c>
      <c r="I2223">
        <v>4</v>
      </c>
      <c r="J2223">
        <v>2005</v>
      </c>
      <c r="K2223" t="s">
        <v>26</v>
      </c>
      <c r="L2223">
        <v>40</v>
      </c>
      <c r="M2223" t="s">
        <v>651</v>
      </c>
      <c r="N2223" t="s">
        <v>165</v>
      </c>
      <c r="O2223" t="s">
        <v>166</v>
      </c>
      <c r="P2223" t="s">
        <v>167</v>
      </c>
      <c r="R2223" t="s">
        <v>168</v>
      </c>
      <c r="T2223" t="s">
        <v>169</v>
      </c>
      <c r="U2223" t="s">
        <v>170</v>
      </c>
      <c r="V2223" t="s">
        <v>42</v>
      </c>
      <c r="W2223" t="s">
        <v>171</v>
      </c>
      <c r="X2223" t="s">
        <v>172</v>
      </c>
      <c r="Y2223" t="s">
        <v>36</v>
      </c>
    </row>
    <row r="2224" spans="1:25" x14ac:dyDescent="0.25">
      <c r="A2224">
        <v>10104</v>
      </c>
      <c r="B2224">
        <v>35</v>
      </c>
      <c r="C2224">
        <v>47.62</v>
      </c>
      <c r="D2224">
        <v>11</v>
      </c>
      <c r="E2224">
        <v>1666.7</v>
      </c>
      <c r="F2224" s="1">
        <v>37652</v>
      </c>
      <c r="G2224" t="s">
        <v>25</v>
      </c>
      <c r="H2224">
        <v>1</v>
      </c>
      <c r="I2224">
        <v>1</v>
      </c>
      <c r="J2224">
        <v>2003</v>
      </c>
      <c r="K2224" t="s">
        <v>504</v>
      </c>
      <c r="L2224">
        <v>54</v>
      </c>
      <c r="M2224" t="s">
        <v>652</v>
      </c>
      <c r="N2224" t="s">
        <v>174</v>
      </c>
      <c r="O2224" t="s">
        <v>175</v>
      </c>
      <c r="P2224" t="s">
        <v>176</v>
      </c>
      <c r="R2224" t="s">
        <v>177</v>
      </c>
      <c r="T2224">
        <v>28034</v>
      </c>
      <c r="U2224" t="s">
        <v>178</v>
      </c>
      <c r="V2224" t="s">
        <v>42</v>
      </c>
      <c r="W2224" t="s">
        <v>179</v>
      </c>
      <c r="X2224" t="s">
        <v>180</v>
      </c>
      <c r="Y2224" t="s">
        <v>36</v>
      </c>
    </row>
    <row r="2225" spans="1:25" x14ac:dyDescent="0.25">
      <c r="A2225">
        <v>10114</v>
      </c>
      <c r="B2225">
        <v>28</v>
      </c>
      <c r="C2225">
        <v>55.73</v>
      </c>
      <c r="D2225">
        <v>2</v>
      </c>
      <c r="E2225">
        <v>1560.44</v>
      </c>
      <c r="F2225" s="1">
        <v>37712</v>
      </c>
      <c r="G2225" t="s">
        <v>25</v>
      </c>
      <c r="H2225">
        <v>2</v>
      </c>
      <c r="I2225">
        <v>4</v>
      </c>
      <c r="J2225">
        <v>2003</v>
      </c>
      <c r="K2225" t="s">
        <v>504</v>
      </c>
      <c r="L2225">
        <v>54</v>
      </c>
      <c r="M2225" t="s">
        <v>652</v>
      </c>
      <c r="N2225" t="s">
        <v>403</v>
      </c>
      <c r="O2225" t="s">
        <v>404</v>
      </c>
      <c r="P2225" t="s">
        <v>405</v>
      </c>
      <c r="R2225" t="s">
        <v>48</v>
      </c>
      <c r="T2225">
        <v>75012</v>
      </c>
      <c r="U2225" t="s">
        <v>41</v>
      </c>
      <c r="V2225" t="s">
        <v>42</v>
      </c>
      <c r="W2225" t="s">
        <v>406</v>
      </c>
      <c r="X2225" t="s">
        <v>407</v>
      </c>
      <c r="Y2225" t="s">
        <v>36</v>
      </c>
    </row>
    <row r="2226" spans="1:25" x14ac:dyDescent="0.25">
      <c r="A2226">
        <v>10127</v>
      </c>
      <c r="B2226">
        <v>45</v>
      </c>
      <c r="C2226">
        <v>51.95</v>
      </c>
      <c r="D2226">
        <v>13</v>
      </c>
      <c r="E2226">
        <v>2337.75</v>
      </c>
      <c r="F2226" s="1">
        <v>37775</v>
      </c>
      <c r="G2226" t="s">
        <v>25</v>
      </c>
      <c r="H2226">
        <v>2</v>
      </c>
      <c r="I2226">
        <v>6</v>
      </c>
      <c r="J2226">
        <v>2003</v>
      </c>
      <c r="K2226" t="s">
        <v>504</v>
      </c>
      <c r="L2226">
        <v>54</v>
      </c>
      <c r="M2226" t="s">
        <v>652</v>
      </c>
      <c r="N2226" t="s">
        <v>475</v>
      </c>
      <c r="O2226">
        <v>2125557413</v>
      </c>
      <c r="P2226" t="s">
        <v>476</v>
      </c>
      <c r="Q2226" t="s">
        <v>477</v>
      </c>
      <c r="R2226" t="s">
        <v>30</v>
      </c>
      <c r="S2226" t="s">
        <v>31</v>
      </c>
      <c r="T2226">
        <v>10022</v>
      </c>
      <c r="U2226" t="s">
        <v>32</v>
      </c>
      <c r="V2226" t="s">
        <v>33</v>
      </c>
      <c r="W2226" t="s">
        <v>56</v>
      </c>
      <c r="X2226" t="s">
        <v>478</v>
      </c>
      <c r="Y2226" t="s">
        <v>36</v>
      </c>
    </row>
    <row r="2227" spans="1:25" x14ac:dyDescent="0.25">
      <c r="A2227">
        <v>10141</v>
      </c>
      <c r="B2227">
        <v>24</v>
      </c>
      <c r="C2227">
        <v>45.99</v>
      </c>
      <c r="D2227">
        <v>7</v>
      </c>
      <c r="E2227">
        <v>1103.76</v>
      </c>
      <c r="F2227" s="1">
        <v>37834</v>
      </c>
      <c r="G2227" t="s">
        <v>25</v>
      </c>
      <c r="H2227">
        <v>3</v>
      </c>
      <c r="I2227">
        <v>8</v>
      </c>
      <c r="J2227">
        <v>2003</v>
      </c>
      <c r="K2227" t="s">
        <v>504</v>
      </c>
      <c r="L2227">
        <v>54</v>
      </c>
      <c r="M2227" t="s">
        <v>652</v>
      </c>
      <c r="N2227" t="s">
        <v>467</v>
      </c>
      <c r="O2227" t="s">
        <v>468</v>
      </c>
      <c r="P2227" t="s">
        <v>469</v>
      </c>
      <c r="R2227" t="s">
        <v>470</v>
      </c>
      <c r="T2227" t="s">
        <v>471</v>
      </c>
      <c r="U2227" t="s">
        <v>130</v>
      </c>
      <c r="V2227" t="s">
        <v>42</v>
      </c>
      <c r="W2227" t="s">
        <v>472</v>
      </c>
      <c r="X2227" t="s">
        <v>473</v>
      </c>
      <c r="Y2227" t="s">
        <v>36</v>
      </c>
    </row>
    <row r="2228" spans="1:25" x14ac:dyDescent="0.25">
      <c r="A2228">
        <v>10151</v>
      </c>
      <c r="B2228">
        <v>41</v>
      </c>
      <c r="C2228">
        <v>63.85</v>
      </c>
      <c r="D2228">
        <v>5</v>
      </c>
      <c r="E2228">
        <v>2617.85</v>
      </c>
      <c r="F2228" s="1">
        <v>37885</v>
      </c>
      <c r="G2228" t="s">
        <v>25</v>
      </c>
      <c r="H2228">
        <v>3</v>
      </c>
      <c r="I2228">
        <v>9</v>
      </c>
      <c r="J2228">
        <v>2003</v>
      </c>
      <c r="K2228" t="s">
        <v>504</v>
      </c>
      <c r="L2228">
        <v>54</v>
      </c>
      <c r="M2228" t="s">
        <v>652</v>
      </c>
      <c r="N2228" t="s">
        <v>391</v>
      </c>
      <c r="O2228" t="s">
        <v>392</v>
      </c>
      <c r="P2228" t="s">
        <v>393</v>
      </c>
      <c r="R2228" t="s">
        <v>394</v>
      </c>
      <c r="T2228">
        <v>90110</v>
      </c>
      <c r="U2228" t="s">
        <v>130</v>
      </c>
      <c r="V2228" t="s">
        <v>42</v>
      </c>
      <c r="W2228" t="s">
        <v>395</v>
      </c>
      <c r="X2228" t="s">
        <v>396</v>
      </c>
      <c r="Y2228" t="s">
        <v>36</v>
      </c>
    </row>
    <row r="2229" spans="1:25" x14ac:dyDescent="0.25">
      <c r="A2229">
        <v>10165</v>
      </c>
      <c r="B2229">
        <v>48</v>
      </c>
      <c r="C2229">
        <v>45.99</v>
      </c>
      <c r="D2229">
        <v>14</v>
      </c>
      <c r="E2229">
        <v>2207.52</v>
      </c>
      <c r="F2229" s="1">
        <v>37916</v>
      </c>
      <c r="G2229" t="s">
        <v>25</v>
      </c>
      <c r="H2229">
        <v>4</v>
      </c>
      <c r="I2229">
        <v>10</v>
      </c>
      <c r="J2229">
        <v>2003</v>
      </c>
      <c r="K2229" t="s">
        <v>504</v>
      </c>
      <c r="L2229">
        <v>54</v>
      </c>
      <c r="M2229" t="s">
        <v>652</v>
      </c>
      <c r="N2229" t="s">
        <v>196</v>
      </c>
      <c r="O2229" t="s">
        <v>197</v>
      </c>
      <c r="P2229" t="s">
        <v>198</v>
      </c>
      <c r="R2229" t="s">
        <v>199</v>
      </c>
      <c r="T2229">
        <v>79903</v>
      </c>
      <c r="U2229" t="s">
        <v>199</v>
      </c>
      <c r="V2229" t="s">
        <v>200</v>
      </c>
      <c r="W2229" t="s">
        <v>201</v>
      </c>
      <c r="X2229" t="s">
        <v>202</v>
      </c>
      <c r="Y2229" t="s">
        <v>36</v>
      </c>
    </row>
    <row r="2230" spans="1:25" x14ac:dyDescent="0.25">
      <c r="A2230">
        <v>10175</v>
      </c>
      <c r="B2230">
        <v>50</v>
      </c>
      <c r="C2230">
        <v>63.31</v>
      </c>
      <c r="D2230">
        <v>3</v>
      </c>
      <c r="E2230">
        <v>3165.5</v>
      </c>
      <c r="F2230" s="1">
        <v>37931</v>
      </c>
      <c r="G2230" t="s">
        <v>25</v>
      </c>
      <c r="H2230">
        <v>4</v>
      </c>
      <c r="I2230">
        <v>11</v>
      </c>
      <c r="J2230">
        <v>2003</v>
      </c>
      <c r="K2230" t="s">
        <v>504</v>
      </c>
      <c r="L2230">
        <v>54</v>
      </c>
      <c r="M2230" t="s">
        <v>652</v>
      </c>
      <c r="N2230" t="s">
        <v>329</v>
      </c>
      <c r="O2230" t="s">
        <v>330</v>
      </c>
      <c r="P2230" t="s">
        <v>331</v>
      </c>
      <c r="R2230" t="s">
        <v>332</v>
      </c>
      <c r="T2230" t="s">
        <v>333</v>
      </c>
      <c r="U2230" t="s">
        <v>170</v>
      </c>
      <c r="V2230" t="s">
        <v>42</v>
      </c>
      <c r="W2230" t="s">
        <v>61</v>
      </c>
      <c r="X2230" t="s">
        <v>334</v>
      </c>
      <c r="Y2230" t="s">
        <v>51</v>
      </c>
    </row>
    <row r="2231" spans="1:25" x14ac:dyDescent="0.25">
      <c r="A2231">
        <v>10184</v>
      </c>
      <c r="B2231">
        <v>33</v>
      </c>
      <c r="C2231">
        <v>62.77</v>
      </c>
      <c r="D2231">
        <v>8</v>
      </c>
      <c r="E2231">
        <v>2071.41</v>
      </c>
      <c r="F2231" s="1">
        <v>37939</v>
      </c>
      <c r="G2231" t="s">
        <v>25</v>
      </c>
      <c r="H2231">
        <v>4</v>
      </c>
      <c r="I2231">
        <v>11</v>
      </c>
      <c r="J2231">
        <v>2003</v>
      </c>
      <c r="K2231" t="s">
        <v>504</v>
      </c>
      <c r="L2231">
        <v>54</v>
      </c>
      <c r="M2231" t="s">
        <v>652</v>
      </c>
      <c r="N2231" t="s">
        <v>520</v>
      </c>
      <c r="O2231" t="s">
        <v>521</v>
      </c>
      <c r="P2231" t="s">
        <v>522</v>
      </c>
      <c r="R2231" t="s">
        <v>523</v>
      </c>
      <c r="T2231">
        <v>41101</v>
      </c>
      <c r="U2231" t="s">
        <v>178</v>
      </c>
      <c r="V2231" t="s">
        <v>42</v>
      </c>
      <c r="W2231" t="s">
        <v>524</v>
      </c>
      <c r="X2231" t="s">
        <v>525</v>
      </c>
      <c r="Y2231" t="s">
        <v>36</v>
      </c>
    </row>
    <row r="2232" spans="1:25" x14ac:dyDescent="0.25">
      <c r="A2232">
        <v>10195</v>
      </c>
      <c r="B2232">
        <v>32</v>
      </c>
      <c r="C2232">
        <v>43.29</v>
      </c>
      <c r="D2232">
        <v>8</v>
      </c>
      <c r="E2232">
        <v>1385.28</v>
      </c>
      <c r="F2232" s="1">
        <v>37950</v>
      </c>
      <c r="G2232" t="s">
        <v>25</v>
      </c>
      <c r="H2232">
        <v>4</v>
      </c>
      <c r="I2232">
        <v>11</v>
      </c>
      <c r="J2232">
        <v>2003</v>
      </c>
      <c r="K2232" t="s">
        <v>504</v>
      </c>
      <c r="L2232">
        <v>54</v>
      </c>
      <c r="M2232" t="s">
        <v>652</v>
      </c>
      <c r="N2232" t="s">
        <v>317</v>
      </c>
      <c r="O2232">
        <v>9145554562</v>
      </c>
      <c r="P2232" t="s">
        <v>318</v>
      </c>
      <c r="R2232" t="s">
        <v>319</v>
      </c>
      <c r="S2232" t="s">
        <v>31</v>
      </c>
      <c r="T2232">
        <v>24067</v>
      </c>
      <c r="U2232" t="s">
        <v>32</v>
      </c>
      <c r="V2232" t="s">
        <v>33</v>
      </c>
      <c r="W2232" t="s">
        <v>102</v>
      </c>
      <c r="X2232" t="s">
        <v>238</v>
      </c>
      <c r="Y2232" t="s">
        <v>36</v>
      </c>
    </row>
    <row r="2233" spans="1:25" x14ac:dyDescent="0.25">
      <c r="A2233">
        <v>10207</v>
      </c>
      <c r="B2233">
        <v>27</v>
      </c>
      <c r="C2233">
        <v>60.06</v>
      </c>
      <c r="D2233">
        <v>9</v>
      </c>
      <c r="E2233">
        <v>1621.62</v>
      </c>
      <c r="F2233" s="1">
        <v>37964</v>
      </c>
      <c r="G2233" t="s">
        <v>25</v>
      </c>
      <c r="H2233">
        <v>4</v>
      </c>
      <c r="I2233">
        <v>12</v>
      </c>
      <c r="J2233">
        <v>2003</v>
      </c>
      <c r="K2233" t="s">
        <v>504</v>
      </c>
      <c r="L2233">
        <v>54</v>
      </c>
      <c r="M2233" t="s">
        <v>652</v>
      </c>
      <c r="N2233" t="s">
        <v>415</v>
      </c>
      <c r="O2233">
        <v>6175552555</v>
      </c>
      <c r="P2233" t="s">
        <v>416</v>
      </c>
      <c r="R2233" t="s">
        <v>381</v>
      </c>
      <c r="S2233" t="s">
        <v>123</v>
      </c>
      <c r="T2233">
        <v>51003</v>
      </c>
      <c r="U2233" t="s">
        <v>32</v>
      </c>
      <c r="V2233" t="s">
        <v>33</v>
      </c>
      <c r="W2233" t="s">
        <v>417</v>
      </c>
      <c r="X2233" t="s">
        <v>276</v>
      </c>
      <c r="Y2233" t="s">
        <v>36</v>
      </c>
    </row>
    <row r="2234" spans="1:25" x14ac:dyDescent="0.25">
      <c r="A2234">
        <v>10219</v>
      </c>
      <c r="B2234">
        <v>35</v>
      </c>
      <c r="C2234">
        <v>55.19</v>
      </c>
      <c r="D2234">
        <v>4</v>
      </c>
      <c r="E2234">
        <v>1931.65</v>
      </c>
      <c r="F2234" s="1">
        <v>38027</v>
      </c>
      <c r="G2234" t="s">
        <v>25</v>
      </c>
      <c r="H2234">
        <v>1</v>
      </c>
      <c r="I2234">
        <v>2</v>
      </c>
      <c r="J2234">
        <v>2004</v>
      </c>
      <c r="K2234" t="s">
        <v>504</v>
      </c>
      <c r="L2234">
        <v>54</v>
      </c>
      <c r="M2234" t="s">
        <v>652</v>
      </c>
      <c r="N2234" t="s">
        <v>526</v>
      </c>
      <c r="O2234">
        <v>4155554312</v>
      </c>
      <c r="P2234" t="s">
        <v>527</v>
      </c>
      <c r="R2234" t="s">
        <v>528</v>
      </c>
      <c r="S2234" t="s">
        <v>55</v>
      </c>
      <c r="T2234">
        <v>94217</v>
      </c>
      <c r="U2234" t="s">
        <v>32</v>
      </c>
      <c r="V2234" t="s">
        <v>33</v>
      </c>
      <c r="W2234" t="s">
        <v>529</v>
      </c>
      <c r="X2234" t="s">
        <v>400</v>
      </c>
      <c r="Y2234" t="s">
        <v>36</v>
      </c>
    </row>
    <row r="2235" spans="1:25" x14ac:dyDescent="0.25">
      <c r="A2235">
        <v>10229</v>
      </c>
      <c r="B2235">
        <v>23</v>
      </c>
      <c r="C2235">
        <v>54.11</v>
      </c>
      <c r="D2235">
        <v>3</v>
      </c>
      <c r="E2235">
        <v>1244.53</v>
      </c>
      <c r="F2235" s="1">
        <v>38057</v>
      </c>
      <c r="G2235" t="s">
        <v>25</v>
      </c>
      <c r="H2235">
        <v>1</v>
      </c>
      <c r="I2235">
        <v>3</v>
      </c>
      <c r="J2235">
        <v>2004</v>
      </c>
      <c r="K2235" t="s">
        <v>504</v>
      </c>
      <c r="L2235">
        <v>54</v>
      </c>
      <c r="M2235" t="s">
        <v>652</v>
      </c>
      <c r="N2235" t="s">
        <v>272</v>
      </c>
      <c r="O2235">
        <v>4155551450</v>
      </c>
      <c r="P2235" t="s">
        <v>273</v>
      </c>
      <c r="R2235" t="s">
        <v>274</v>
      </c>
      <c r="S2235" t="s">
        <v>55</v>
      </c>
      <c r="T2235">
        <v>97562</v>
      </c>
      <c r="U2235" t="s">
        <v>32</v>
      </c>
      <c r="V2235" t="s">
        <v>33</v>
      </c>
      <c r="W2235" t="s">
        <v>275</v>
      </c>
      <c r="X2235" t="s">
        <v>276</v>
      </c>
      <c r="Y2235" t="s">
        <v>36</v>
      </c>
    </row>
    <row r="2236" spans="1:25" x14ac:dyDescent="0.25">
      <c r="A2236">
        <v>10246</v>
      </c>
      <c r="B2236">
        <v>35</v>
      </c>
      <c r="C2236">
        <v>48.7</v>
      </c>
      <c r="D2236">
        <v>7</v>
      </c>
      <c r="E2236">
        <v>1704.5</v>
      </c>
      <c r="F2236" s="1">
        <v>38112</v>
      </c>
      <c r="G2236" t="s">
        <v>25</v>
      </c>
      <c r="H2236">
        <v>2</v>
      </c>
      <c r="I2236">
        <v>5</v>
      </c>
      <c r="J2236">
        <v>2004</v>
      </c>
      <c r="K2236" t="s">
        <v>504</v>
      </c>
      <c r="L2236">
        <v>54</v>
      </c>
      <c r="M2236" t="s">
        <v>652</v>
      </c>
      <c r="N2236" t="s">
        <v>174</v>
      </c>
      <c r="O2236" t="s">
        <v>175</v>
      </c>
      <c r="P2236" t="s">
        <v>176</v>
      </c>
      <c r="R2236" t="s">
        <v>177</v>
      </c>
      <c r="T2236">
        <v>28034</v>
      </c>
      <c r="U2236" t="s">
        <v>178</v>
      </c>
      <c r="V2236" t="s">
        <v>42</v>
      </c>
      <c r="W2236" t="s">
        <v>179</v>
      </c>
      <c r="X2236" t="s">
        <v>180</v>
      </c>
      <c r="Y2236" t="s">
        <v>36</v>
      </c>
    </row>
    <row r="2237" spans="1:25" x14ac:dyDescent="0.25">
      <c r="A2237">
        <v>10259</v>
      </c>
      <c r="B2237">
        <v>40</v>
      </c>
      <c r="C2237">
        <v>43.83</v>
      </c>
      <c r="D2237">
        <v>6</v>
      </c>
      <c r="E2237">
        <v>1753.2</v>
      </c>
      <c r="F2237" s="1">
        <v>38153</v>
      </c>
      <c r="G2237" t="s">
        <v>25</v>
      </c>
      <c r="H2237">
        <v>2</v>
      </c>
      <c r="I2237">
        <v>6</v>
      </c>
      <c r="J2237">
        <v>2004</v>
      </c>
      <c r="K2237" t="s">
        <v>504</v>
      </c>
      <c r="L2237">
        <v>54</v>
      </c>
      <c r="M2237" t="s">
        <v>652</v>
      </c>
      <c r="N2237" t="s">
        <v>418</v>
      </c>
      <c r="O2237" t="s">
        <v>419</v>
      </c>
      <c r="P2237" t="s">
        <v>420</v>
      </c>
      <c r="Q2237" t="s">
        <v>421</v>
      </c>
      <c r="R2237" t="s">
        <v>199</v>
      </c>
      <c r="T2237">
        <v>69045</v>
      </c>
      <c r="U2237" t="s">
        <v>199</v>
      </c>
      <c r="V2237" t="s">
        <v>96</v>
      </c>
      <c r="W2237" t="s">
        <v>422</v>
      </c>
      <c r="X2237" t="s">
        <v>423</v>
      </c>
      <c r="Y2237" t="s">
        <v>36</v>
      </c>
    </row>
    <row r="2238" spans="1:25" x14ac:dyDescent="0.25">
      <c r="A2238">
        <v>10271</v>
      </c>
      <c r="B2238">
        <v>35</v>
      </c>
      <c r="C2238">
        <v>47.62</v>
      </c>
      <c r="D2238">
        <v>7</v>
      </c>
      <c r="E2238">
        <v>1666.7</v>
      </c>
      <c r="F2238" s="1">
        <v>38188</v>
      </c>
      <c r="G2238" t="s">
        <v>25</v>
      </c>
      <c r="H2238">
        <v>3</v>
      </c>
      <c r="I2238">
        <v>7</v>
      </c>
      <c r="J2238">
        <v>2004</v>
      </c>
      <c r="K2238" t="s">
        <v>504</v>
      </c>
      <c r="L2238">
        <v>54</v>
      </c>
      <c r="M2238" t="s">
        <v>652</v>
      </c>
      <c r="N2238" t="s">
        <v>272</v>
      </c>
      <c r="O2238">
        <v>4155551450</v>
      </c>
      <c r="P2238" t="s">
        <v>273</v>
      </c>
      <c r="R2238" t="s">
        <v>274</v>
      </c>
      <c r="S2238" t="s">
        <v>55</v>
      </c>
      <c r="T2238">
        <v>97562</v>
      </c>
      <c r="U2238" t="s">
        <v>32</v>
      </c>
      <c r="V2238" t="s">
        <v>33</v>
      </c>
      <c r="W2238" t="s">
        <v>275</v>
      </c>
      <c r="X2238" t="s">
        <v>276</v>
      </c>
      <c r="Y2238" t="s">
        <v>36</v>
      </c>
    </row>
    <row r="2239" spans="1:25" x14ac:dyDescent="0.25">
      <c r="A2239">
        <v>10281</v>
      </c>
      <c r="B2239">
        <v>31</v>
      </c>
      <c r="C2239">
        <v>55.19</v>
      </c>
      <c r="D2239">
        <v>3</v>
      </c>
      <c r="E2239">
        <v>1710.89</v>
      </c>
      <c r="F2239" s="1">
        <v>38218</v>
      </c>
      <c r="G2239" t="s">
        <v>25</v>
      </c>
      <c r="H2239">
        <v>3</v>
      </c>
      <c r="I2239">
        <v>8</v>
      </c>
      <c r="J2239">
        <v>2004</v>
      </c>
      <c r="K2239" t="s">
        <v>504</v>
      </c>
      <c r="L2239">
        <v>54</v>
      </c>
      <c r="M2239" t="s">
        <v>652</v>
      </c>
      <c r="N2239" t="s">
        <v>139</v>
      </c>
      <c r="O2239">
        <v>2155551555</v>
      </c>
      <c r="P2239" t="s">
        <v>140</v>
      </c>
      <c r="R2239" t="s">
        <v>141</v>
      </c>
      <c r="S2239" t="s">
        <v>142</v>
      </c>
      <c r="T2239">
        <v>70267</v>
      </c>
      <c r="U2239" t="s">
        <v>32</v>
      </c>
      <c r="V2239" t="s">
        <v>33</v>
      </c>
      <c r="W2239" t="s">
        <v>34</v>
      </c>
      <c r="X2239" t="s">
        <v>143</v>
      </c>
      <c r="Y2239" t="s">
        <v>36</v>
      </c>
    </row>
    <row r="2240" spans="1:25" x14ac:dyDescent="0.25">
      <c r="A2240">
        <v>10292</v>
      </c>
      <c r="B2240">
        <v>50</v>
      </c>
      <c r="C2240">
        <v>46.53</v>
      </c>
      <c r="D2240">
        <v>10</v>
      </c>
      <c r="E2240">
        <v>2326.5</v>
      </c>
      <c r="F2240" s="1">
        <v>38238</v>
      </c>
      <c r="G2240" t="s">
        <v>25</v>
      </c>
      <c r="H2240">
        <v>3</v>
      </c>
      <c r="I2240">
        <v>9</v>
      </c>
      <c r="J2240">
        <v>2004</v>
      </c>
      <c r="K2240" t="s">
        <v>504</v>
      </c>
      <c r="L2240">
        <v>54</v>
      </c>
      <c r="M2240" t="s">
        <v>652</v>
      </c>
      <c r="N2240" t="s">
        <v>28</v>
      </c>
      <c r="O2240">
        <v>2125557818</v>
      </c>
      <c r="P2240" t="s">
        <v>29</v>
      </c>
      <c r="R2240" t="s">
        <v>30</v>
      </c>
      <c r="S2240" t="s">
        <v>31</v>
      </c>
      <c r="T2240">
        <v>10022</v>
      </c>
      <c r="U2240" t="s">
        <v>32</v>
      </c>
      <c r="V2240" t="s">
        <v>33</v>
      </c>
      <c r="W2240" t="s">
        <v>34</v>
      </c>
      <c r="X2240" t="s">
        <v>35</v>
      </c>
      <c r="Y2240" t="s">
        <v>36</v>
      </c>
    </row>
    <row r="2241" spans="1:25" x14ac:dyDescent="0.25">
      <c r="A2241">
        <v>10305</v>
      </c>
      <c r="B2241">
        <v>40</v>
      </c>
      <c r="C2241">
        <v>57.9</v>
      </c>
      <c r="D2241">
        <v>7</v>
      </c>
      <c r="E2241">
        <v>2316</v>
      </c>
      <c r="F2241" s="1">
        <v>38273</v>
      </c>
      <c r="G2241" t="s">
        <v>25</v>
      </c>
      <c r="H2241">
        <v>4</v>
      </c>
      <c r="I2241">
        <v>10</v>
      </c>
      <c r="J2241">
        <v>2004</v>
      </c>
      <c r="K2241" t="s">
        <v>504</v>
      </c>
      <c r="L2241">
        <v>54</v>
      </c>
      <c r="M2241" t="s">
        <v>652</v>
      </c>
      <c r="N2241" t="s">
        <v>120</v>
      </c>
      <c r="O2241">
        <v>6175558555</v>
      </c>
      <c r="P2241" t="s">
        <v>121</v>
      </c>
      <c r="R2241" t="s">
        <v>122</v>
      </c>
      <c r="S2241" t="s">
        <v>123</v>
      </c>
      <c r="T2241">
        <v>51247</v>
      </c>
      <c r="U2241" t="s">
        <v>32</v>
      </c>
      <c r="V2241" t="s">
        <v>33</v>
      </c>
      <c r="W2241" t="s">
        <v>124</v>
      </c>
      <c r="X2241" t="s">
        <v>125</v>
      </c>
      <c r="Y2241" t="s">
        <v>36</v>
      </c>
    </row>
    <row r="2242" spans="1:25" x14ac:dyDescent="0.25">
      <c r="A2242">
        <v>10313</v>
      </c>
      <c r="B2242">
        <v>38</v>
      </c>
      <c r="C2242">
        <v>45.45</v>
      </c>
      <c r="D2242">
        <v>1</v>
      </c>
      <c r="E2242">
        <v>1727.1</v>
      </c>
      <c r="F2242" s="1">
        <v>38282</v>
      </c>
      <c r="G2242" t="s">
        <v>25</v>
      </c>
      <c r="H2242">
        <v>4</v>
      </c>
      <c r="I2242">
        <v>10</v>
      </c>
      <c r="J2242">
        <v>2004</v>
      </c>
      <c r="K2242" t="s">
        <v>504</v>
      </c>
      <c r="L2242">
        <v>54</v>
      </c>
      <c r="M2242" t="s">
        <v>652</v>
      </c>
      <c r="N2242" t="s">
        <v>225</v>
      </c>
      <c r="O2242" t="s">
        <v>226</v>
      </c>
      <c r="P2242" t="s">
        <v>227</v>
      </c>
      <c r="R2242" t="s">
        <v>228</v>
      </c>
      <c r="S2242" t="s">
        <v>229</v>
      </c>
      <c r="T2242" t="s">
        <v>230</v>
      </c>
      <c r="U2242" t="s">
        <v>231</v>
      </c>
      <c r="V2242" t="s">
        <v>33</v>
      </c>
      <c r="W2242" t="s">
        <v>232</v>
      </c>
      <c r="X2242" t="s">
        <v>233</v>
      </c>
      <c r="Y2242" t="s">
        <v>36</v>
      </c>
    </row>
    <row r="2243" spans="1:25" x14ac:dyDescent="0.25">
      <c r="A2243">
        <v>10325</v>
      </c>
      <c r="B2243">
        <v>38</v>
      </c>
      <c r="C2243">
        <v>100</v>
      </c>
      <c r="D2243">
        <v>3</v>
      </c>
      <c r="E2243">
        <v>8844.1200000000008</v>
      </c>
      <c r="F2243" s="1">
        <v>38296</v>
      </c>
      <c r="G2243" t="s">
        <v>25</v>
      </c>
      <c r="H2243">
        <v>4</v>
      </c>
      <c r="I2243">
        <v>11</v>
      </c>
      <c r="J2243">
        <v>2004</v>
      </c>
      <c r="K2243" t="s">
        <v>504</v>
      </c>
      <c r="L2243">
        <v>54</v>
      </c>
      <c r="M2243" t="s">
        <v>652</v>
      </c>
      <c r="N2243" t="s">
        <v>133</v>
      </c>
      <c r="O2243" t="s">
        <v>134</v>
      </c>
      <c r="P2243" t="s">
        <v>135</v>
      </c>
      <c r="R2243" t="s">
        <v>136</v>
      </c>
      <c r="T2243">
        <v>4110</v>
      </c>
      <c r="U2243" t="s">
        <v>78</v>
      </c>
      <c r="V2243" t="s">
        <v>42</v>
      </c>
      <c r="W2243" t="s">
        <v>137</v>
      </c>
      <c r="X2243" t="s">
        <v>138</v>
      </c>
      <c r="Y2243" t="s">
        <v>151</v>
      </c>
    </row>
    <row r="2244" spans="1:25" x14ac:dyDescent="0.25">
      <c r="A2244">
        <v>10335</v>
      </c>
      <c r="B2244">
        <v>40</v>
      </c>
      <c r="C2244">
        <v>60.6</v>
      </c>
      <c r="D2244">
        <v>3</v>
      </c>
      <c r="E2244">
        <v>2424</v>
      </c>
      <c r="F2244" s="1">
        <v>38310</v>
      </c>
      <c r="G2244" t="s">
        <v>25</v>
      </c>
      <c r="H2244">
        <v>4</v>
      </c>
      <c r="I2244">
        <v>11</v>
      </c>
      <c r="J2244">
        <v>2004</v>
      </c>
      <c r="K2244" t="s">
        <v>504</v>
      </c>
      <c r="L2244">
        <v>54</v>
      </c>
      <c r="M2244" t="s">
        <v>652</v>
      </c>
      <c r="N2244" t="s">
        <v>272</v>
      </c>
      <c r="O2244">
        <v>4155551450</v>
      </c>
      <c r="P2244" t="s">
        <v>273</v>
      </c>
      <c r="R2244" t="s">
        <v>274</v>
      </c>
      <c r="S2244" t="s">
        <v>55</v>
      </c>
      <c r="T2244">
        <v>97562</v>
      </c>
      <c r="U2244" t="s">
        <v>32</v>
      </c>
      <c r="V2244" t="s">
        <v>33</v>
      </c>
      <c r="W2244" t="s">
        <v>275</v>
      </c>
      <c r="X2244" t="s">
        <v>276</v>
      </c>
      <c r="Y2244" t="s">
        <v>36</v>
      </c>
    </row>
    <row r="2245" spans="1:25" x14ac:dyDescent="0.25">
      <c r="A2245">
        <v>10349</v>
      </c>
      <c r="B2245">
        <v>33</v>
      </c>
      <c r="C2245">
        <v>46.53</v>
      </c>
      <c r="D2245">
        <v>1</v>
      </c>
      <c r="E2245">
        <v>1535.49</v>
      </c>
      <c r="F2245" s="1">
        <v>38322</v>
      </c>
      <c r="G2245" t="s">
        <v>25</v>
      </c>
      <c r="H2245">
        <v>4</v>
      </c>
      <c r="I2245">
        <v>12</v>
      </c>
      <c r="J2245">
        <v>2004</v>
      </c>
      <c r="K2245" t="s">
        <v>504</v>
      </c>
      <c r="L2245">
        <v>54</v>
      </c>
      <c r="M2245" t="s">
        <v>652</v>
      </c>
      <c r="N2245" t="s">
        <v>475</v>
      </c>
      <c r="O2245">
        <v>2125557413</v>
      </c>
      <c r="P2245" t="s">
        <v>476</v>
      </c>
      <c r="Q2245" t="s">
        <v>477</v>
      </c>
      <c r="R2245" t="s">
        <v>30</v>
      </c>
      <c r="S2245" t="s">
        <v>31</v>
      </c>
      <c r="T2245">
        <v>10022</v>
      </c>
      <c r="U2245" t="s">
        <v>32</v>
      </c>
      <c r="V2245" t="s">
        <v>33</v>
      </c>
      <c r="W2245" t="s">
        <v>56</v>
      </c>
      <c r="X2245" t="s">
        <v>478</v>
      </c>
      <c r="Y2245" t="s">
        <v>36</v>
      </c>
    </row>
    <row r="2246" spans="1:25" x14ac:dyDescent="0.25">
      <c r="A2246">
        <v>10359</v>
      </c>
      <c r="B2246">
        <v>36</v>
      </c>
      <c r="C2246">
        <v>100</v>
      </c>
      <c r="D2246">
        <v>3</v>
      </c>
      <c r="E2246">
        <v>6358.68</v>
      </c>
      <c r="F2246" s="1">
        <v>38336</v>
      </c>
      <c r="G2246" t="s">
        <v>25</v>
      </c>
      <c r="H2246">
        <v>4</v>
      </c>
      <c r="I2246">
        <v>12</v>
      </c>
      <c r="J2246">
        <v>2004</v>
      </c>
      <c r="K2246" t="s">
        <v>504</v>
      </c>
      <c r="L2246">
        <v>54</v>
      </c>
      <c r="M2246" t="s">
        <v>652</v>
      </c>
      <c r="N2246" t="s">
        <v>37</v>
      </c>
      <c r="O2246" t="s">
        <v>38</v>
      </c>
      <c r="P2246" t="s">
        <v>39</v>
      </c>
      <c r="R2246" t="s">
        <v>40</v>
      </c>
      <c r="T2246">
        <v>51100</v>
      </c>
      <c r="U2246" t="s">
        <v>41</v>
      </c>
      <c r="V2246" t="s">
        <v>42</v>
      </c>
      <c r="W2246" t="s">
        <v>43</v>
      </c>
      <c r="X2246" t="s">
        <v>44</v>
      </c>
      <c r="Y2246" t="s">
        <v>51</v>
      </c>
    </row>
    <row r="2247" spans="1:25" x14ac:dyDescent="0.25">
      <c r="A2247">
        <v>10371</v>
      </c>
      <c r="B2247">
        <v>20</v>
      </c>
      <c r="C2247">
        <v>66.47</v>
      </c>
      <c r="D2247">
        <v>2</v>
      </c>
      <c r="E2247">
        <v>1329.4</v>
      </c>
      <c r="F2247" s="1">
        <v>38375</v>
      </c>
      <c r="G2247" t="s">
        <v>25</v>
      </c>
      <c r="H2247">
        <v>1</v>
      </c>
      <c r="I2247">
        <v>1</v>
      </c>
      <c r="J2247">
        <v>2005</v>
      </c>
      <c r="K2247" t="s">
        <v>504</v>
      </c>
      <c r="L2247">
        <v>54</v>
      </c>
      <c r="M2247" t="s">
        <v>652</v>
      </c>
      <c r="N2247" t="s">
        <v>272</v>
      </c>
      <c r="O2247">
        <v>4155551450</v>
      </c>
      <c r="P2247" t="s">
        <v>273</v>
      </c>
      <c r="R2247" t="s">
        <v>274</v>
      </c>
      <c r="S2247" t="s">
        <v>55</v>
      </c>
      <c r="T2247">
        <v>97562</v>
      </c>
      <c r="U2247" t="s">
        <v>32</v>
      </c>
      <c r="V2247" t="s">
        <v>33</v>
      </c>
      <c r="W2247" t="s">
        <v>275</v>
      </c>
      <c r="X2247" t="s">
        <v>276</v>
      </c>
      <c r="Y2247" t="s">
        <v>36</v>
      </c>
    </row>
    <row r="2248" spans="1:25" x14ac:dyDescent="0.25">
      <c r="A2248">
        <v>10383</v>
      </c>
      <c r="B2248">
        <v>32</v>
      </c>
      <c r="C2248">
        <v>53.18</v>
      </c>
      <c r="D2248">
        <v>5</v>
      </c>
      <c r="E2248">
        <v>1701.76</v>
      </c>
      <c r="F2248" s="1">
        <v>38405</v>
      </c>
      <c r="G2248" t="s">
        <v>25</v>
      </c>
      <c r="H2248">
        <v>1</v>
      </c>
      <c r="I2248">
        <v>2</v>
      </c>
      <c r="J2248">
        <v>2005</v>
      </c>
      <c r="K2248" t="s">
        <v>504</v>
      </c>
      <c r="L2248">
        <v>54</v>
      </c>
      <c r="M2248" t="s">
        <v>652</v>
      </c>
      <c r="N2248" t="s">
        <v>174</v>
      </c>
      <c r="O2248" t="s">
        <v>175</v>
      </c>
      <c r="P2248" t="s">
        <v>176</v>
      </c>
      <c r="R2248" t="s">
        <v>177</v>
      </c>
      <c r="T2248">
        <v>28034</v>
      </c>
      <c r="U2248" t="s">
        <v>178</v>
      </c>
      <c r="V2248" t="s">
        <v>42</v>
      </c>
      <c r="W2248" t="s">
        <v>179</v>
      </c>
      <c r="X2248" t="s">
        <v>180</v>
      </c>
      <c r="Y2248" t="s">
        <v>36</v>
      </c>
    </row>
    <row r="2249" spans="1:25" x14ac:dyDescent="0.25">
      <c r="A2249">
        <v>10394</v>
      </c>
      <c r="B2249">
        <v>36</v>
      </c>
      <c r="C2249">
        <v>62.77</v>
      </c>
      <c r="D2249">
        <v>3</v>
      </c>
      <c r="E2249">
        <v>2259.7199999999998</v>
      </c>
      <c r="F2249" s="1">
        <v>38426</v>
      </c>
      <c r="G2249" t="s">
        <v>25</v>
      </c>
      <c r="H2249">
        <v>1</v>
      </c>
      <c r="I2249">
        <v>3</v>
      </c>
      <c r="J2249">
        <v>2005</v>
      </c>
      <c r="K2249" t="s">
        <v>504</v>
      </c>
      <c r="L2249">
        <v>54</v>
      </c>
      <c r="M2249" t="s">
        <v>652</v>
      </c>
      <c r="N2249" t="s">
        <v>174</v>
      </c>
      <c r="O2249" t="s">
        <v>175</v>
      </c>
      <c r="P2249" t="s">
        <v>176</v>
      </c>
      <c r="R2249" t="s">
        <v>177</v>
      </c>
      <c r="T2249">
        <v>28034</v>
      </c>
      <c r="U2249" t="s">
        <v>178</v>
      </c>
      <c r="V2249" t="s">
        <v>42</v>
      </c>
      <c r="W2249" t="s">
        <v>179</v>
      </c>
      <c r="X2249" t="s">
        <v>180</v>
      </c>
      <c r="Y2249" t="s">
        <v>36</v>
      </c>
    </row>
    <row r="2250" spans="1:25" x14ac:dyDescent="0.25">
      <c r="A2250">
        <v>10412</v>
      </c>
      <c r="B2250">
        <v>19</v>
      </c>
      <c r="C2250">
        <v>48.7</v>
      </c>
      <c r="D2250">
        <v>7</v>
      </c>
      <c r="E2250">
        <v>925.3</v>
      </c>
      <c r="F2250" s="1">
        <v>38475</v>
      </c>
      <c r="G2250" t="s">
        <v>25</v>
      </c>
      <c r="H2250">
        <v>2</v>
      </c>
      <c r="I2250">
        <v>5</v>
      </c>
      <c r="J2250">
        <v>2005</v>
      </c>
      <c r="K2250" t="s">
        <v>504</v>
      </c>
      <c r="L2250">
        <v>54</v>
      </c>
      <c r="M2250" t="s">
        <v>652</v>
      </c>
      <c r="N2250" t="s">
        <v>174</v>
      </c>
      <c r="O2250" t="s">
        <v>175</v>
      </c>
      <c r="P2250" t="s">
        <v>176</v>
      </c>
      <c r="R2250" t="s">
        <v>177</v>
      </c>
      <c r="T2250">
        <v>28034</v>
      </c>
      <c r="U2250" t="s">
        <v>178</v>
      </c>
      <c r="V2250" t="s">
        <v>42</v>
      </c>
      <c r="W2250" t="s">
        <v>179</v>
      </c>
      <c r="X2250" t="s">
        <v>180</v>
      </c>
      <c r="Y2250" t="s">
        <v>36</v>
      </c>
    </row>
    <row r="2251" spans="1:25" x14ac:dyDescent="0.25">
      <c r="A2251">
        <v>10425</v>
      </c>
      <c r="B2251">
        <v>11</v>
      </c>
      <c r="C2251">
        <v>43.83</v>
      </c>
      <c r="D2251">
        <v>6</v>
      </c>
      <c r="E2251">
        <v>482.13</v>
      </c>
      <c r="F2251" s="1">
        <v>38503</v>
      </c>
      <c r="G2251" t="s">
        <v>300</v>
      </c>
      <c r="H2251">
        <v>2</v>
      </c>
      <c r="I2251">
        <v>5</v>
      </c>
      <c r="J2251">
        <v>2005</v>
      </c>
      <c r="K2251" t="s">
        <v>504</v>
      </c>
      <c r="L2251">
        <v>54</v>
      </c>
      <c r="M2251" t="s">
        <v>652</v>
      </c>
      <c r="N2251" t="s">
        <v>114</v>
      </c>
      <c r="O2251" t="s">
        <v>115</v>
      </c>
      <c r="P2251" t="s">
        <v>116</v>
      </c>
      <c r="R2251" t="s">
        <v>117</v>
      </c>
      <c r="T2251">
        <v>44000</v>
      </c>
      <c r="U2251" t="s">
        <v>41</v>
      </c>
      <c r="V2251" t="s">
        <v>42</v>
      </c>
      <c r="W2251" t="s">
        <v>118</v>
      </c>
      <c r="X2251" t="s">
        <v>119</v>
      </c>
      <c r="Y2251" t="s">
        <v>36</v>
      </c>
    </row>
    <row r="2252" spans="1:25" x14ac:dyDescent="0.25">
      <c r="A2252">
        <v>10104</v>
      </c>
      <c r="B2252">
        <v>49</v>
      </c>
      <c r="C2252">
        <v>65.87</v>
      </c>
      <c r="D2252">
        <v>4</v>
      </c>
      <c r="E2252">
        <v>3227.63</v>
      </c>
      <c r="F2252" s="1">
        <v>37652</v>
      </c>
      <c r="G2252" t="s">
        <v>25</v>
      </c>
      <c r="H2252">
        <v>1</v>
      </c>
      <c r="I2252">
        <v>1</v>
      </c>
      <c r="J2252">
        <v>2003</v>
      </c>
      <c r="K2252" t="s">
        <v>605</v>
      </c>
      <c r="L2252">
        <v>62</v>
      </c>
      <c r="M2252" t="s">
        <v>653</v>
      </c>
      <c r="N2252" t="s">
        <v>174</v>
      </c>
      <c r="O2252" t="s">
        <v>175</v>
      </c>
      <c r="P2252" t="s">
        <v>176</v>
      </c>
      <c r="R2252" t="s">
        <v>177</v>
      </c>
      <c r="T2252">
        <v>28034</v>
      </c>
      <c r="U2252" t="s">
        <v>178</v>
      </c>
      <c r="V2252" t="s">
        <v>42</v>
      </c>
      <c r="W2252" t="s">
        <v>179</v>
      </c>
      <c r="X2252" t="s">
        <v>180</v>
      </c>
      <c r="Y2252" t="s">
        <v>51</v>
      </c>
    </row>
    <row r="2253" spans="1:25" x14ac:dyDescent="0.25">
      <c r="A2253">
        <v>10116</v>
      </c>
      <c r="B2253">
        <v>27</v>
      </c>
      <c r="C2253">
        <v>63.38</v>
      </c>
      <c r="D2253">
        <v>1</v>
      </c>
      <c r="E2253">
        <v>1711.26</v>
      </c>
      <c r="F2253" s="1">
        <v>37722</v>
      </c>
      <c r="G2253" t="s">
        <v>25</v>
      </c>
      <c r="H2253">
        <v>2</v>
      </c>
      <c r="I2253">
        <v>4</v>
      </c>
      <c r="J2253">
        <v>2003</v>
      </c>
      <c r="K2253" t="s">
        <v>605</v>
      </c>
      <c r="L2253">
        <v>62</v>
      </c>
      <c r="M2253" t="s">
        <v>653</v>
      </c>
      <c r="N2253" t="s">
        <v>577</v>
      </c>
      <c r="O2253" t="s">
        <v>578</v>
      </c>
      <c r="P2253" t="s">
        <v>579</v>
      </c>
      <c r="R2253" t="s">
        <v>580</v>
      </c>
      <c r="T2253" t="s">
        <v>581</v>
      </c>
      <c r="U2253" t="s">
        <v>370</v>
      </c>
      <c r="V2253" t="s">
        <v>42</v>
      </c>
      <c r="W2253" t="s">
        <v>582</v>
      </c>
      <c r="X2253" t="s">
        <v>583</v>
      </c>
      <c r="Y2253" t="s">
        <v>36</v>
      </c>
    </row>
    <row r="2254" spans="1:25" x14ac:dyDescent="0.25">
      <c r="A2254">
        <v>10127</v>
      </c>
      <c r="B2254">
        <v>29</v>
      </c>
      <c r="C2254">
        <v>70.84</v>
      </c>
      <c r="D2254">
        <v>6</v>
      </c>
      <c r="E2254">
        <v>2054.36</v>
      </c>
      <c r="F2254" s="1">
        <v>37775</v>
      </c>
      <c r="G2254" t="s">
        <v>25</v>
      </c>
      <c r="H2254">
        <v>2</v>
      </c>
      <c r="I2254">
        <v>6</v>
      </c>
      <c r="J2254">
        <v>2003</v>
      </c>
      <c r="K2254" t="s">
        <v>605</v>
      </c>
      <c r="L2254">
        <v>62</v>
      </c>
      <c r="M2254" t="s">
        <v>653</v>
      </c>
      <c r="N2254" t="s">
        <v>475</v>
      </c>
      <c r="O2254">
        <v>2125557413</v>
      </c>
      <c r="P2254" t="s">
        <v>476</v>
      </c>
      <c r="Q2254" t="s">
        <v>477</v>
      </c>
      <c r="R2254" t="s">
        <v>30</v>
      </c>
      <c r="S2254" t="s">
        <v>31</v>
      </c>
      <c r="T2254">
        <v>10022</v>
      </c>
      <c r="U2254" t="s">
        <v>32</v>
      </c>
      <c r="V2254" t="s">
        <v>33</v>
      </c>
      <c r="W2254" t="s">
        <v>56</v>
      </c>
      <c r="X2254" t="s">
        <v>478</v>
      </c>
      <c r="Y2254" t="s">
        <v>36</v>
      </c>
    </row>
    <row r="2255" spans="1:25" x14ac:dyDescent="0.25">
      <c r="A2255">
        <v>10142</v>
      </c>
      <c r="B2255">
        <v>42</v>
      </c>
      <c r="C2255">
        <v>74.569999999999993</v>
      </c>
      <c r="D2255">
        <v>16</v>
      </c>
      <c r="E2255">
        <v>3131.94</v>
      </c>
      <c r="F2255" s="1">
        <v>37841</v>
      </c>
      <c r="G2255" t="s">
        <v>25</v>
      </c>
      <c r="H2255">
        <v>3</v>
      </c>
      <c r="I2255">
        <v>8</v>
      </c>
      <c r="J2255">
        <v>2003</v>
      </c>
      <c r="K2255" t="s">
        <v>605</v>
      </c>
      <c r="L2255">
        <v>62</v>
      </c>
      <c r="M2255" t="s">
        <v>653</v>
      </c>
      <c r="N2255" t="s">
        <v>272</v>
      </c>
      <c r="O2255">
        <v>4155551450</v>
      </c>
      <c r="P2255" t="s">
        <v>273</v>
      </c>
      <c r="R2255" t="s">
        <v>274</v>
      </c>
      <c r="S2255" t="s">
        <v>55</v>
      </c>
      <c r="T2255">
        <v>97562</v>
      </c>
      <c r="U2255" t="s">
        <v>32</v>
      </c>
      <c r="V2255" t="s">
        <v>33</v>
      </c>
      <c r="W2255" t="s">
        <v>275</v>
      </c>
      <c r="X2255" t="s">
        <v>276</v>
      </c>
      <c r="Y2255" t="s">
        <v>51</v>
      </c>
    </row>
    <row r="2256" spans="1:25" x14ac:dyDescent="0.25">
      <c r="A2256">
        <v>10152</v>
      </c>
      <c r="B2256">
        <v>33</v>
      </c>
      <c r="C2256">
        <v>50.95</v>
      </c>
      <c r="D2256">
        <v>2</v>
      </c>
      <c r="E2256">
        <v>1681.35</v>
      </c>
      <c r="F2256" s="1">
        <v>37889</v>
      </c>
      <c r="G2256" t="s">
        <v>25</v>
      </c>
      <c r="H2256">
        <v>3</v>
      </c>
      <c r="I2256">
        <v>9</v>
      </c>
      <c r="J2256">
        <v>2003</v>
      </c>
      <c r="K2256" t="s">
        <v>605</v>
      </c>
      <c r="L2256">
        <v>62</v>
      </c>
      <c r="M2256" t="s">
        <v>653</v>
      </c>
      <c r="N2256" t="s">
        <v>207</v>
      </c>
      <c r="O2256" t="s">
        <v>208</v>
      </c>
      <c r="P2256" t="s">
        <v>209</v>
      </c>
      <c r="R2256" t="s">
        <v>210</v>
      </c>
      <c r="S2256" t="s">
        <v>211</v>
      </c>
      <c r="T2256">
        <v>4101</v>
      </c>
      <c r="U2256" t="s">
        <v>95</v>
      </c>
      <c r="V2256" t="s">
        <v>96</v>
      </c>
      <c r="W2256" t="s">
        <v>212</v>
      </c>
      <c r="X2256" t="s">
        <v>213</v>
      </c>
      <c r="Y2256" t="s">
        <v>36</v>
      </c>
    </row>
    <row r="2257" spans="1:25" x14ac:dyDescent="0.25">
      <c r="A2257">
        <v>10165</v>
      </c>
      <c r="B2257">
        <v>44</v>
      </c>
      <c r="C2257">
        <v>53.44</v>
      </c>
      <c r="D2257">
        <v>7</v>
      </c>
      <c r="E2257">
        <v>2351.36</v>
      </c>
      <c r="F2257" s="1">
        <v>37916</v>
      </c>
      <c r="G2257" t="s">
        <v>25</v>
      </c>
      <c r="H2257">
        <v>4</v>
      </c>
      <c r="I2257">
        <v>10</v>
      </c>
      <c r="J2257">
        <v>2003</v>
      </c>
      <c r="K2257" t="s">
        <v>605</v>
      </c>
      <c r="L2257">
        <v>62</v>
      </c>
      <c r="M2257" t="s">
        <v>653</v>
      </c>
      <c r="N2257" t="s">
        <v>196</v>
      </c>
      <c r="O2257" t="s">
        <v>197</v>
      </c>
      <c r="P2257" t="s">
        <v>198</v>
      </c>
      <c r="R2257" t="s">
        <v>199</v>
      </c>
      <c r="T2257">
        <v>79903</v>
      </c>
      <c r="U2257" t="s">
        <v>199</v>
      </c>
      <c r="V2257" t="s">
        <v>200</v>
      </c>
      <c r="W2257" t="s">
        <v>201</v>
      </c>
      <c r="X2257" t="s">
        <v>202</v>
      </c>
      <c r="Y2257" t="s">
        <v>36</v>
      </c>
    </row>
    <row r="2258" spans="1:25" x14ac:dyDescent="0.25">
      <c r="A2258">
        <v>10176</v>
      </c>
      <c r="B2258">
        <v>22</v>
      </c>
      <c r="C2258">
        <v>64</v>
      </c>
      <c r="D2258">
        <v>6</v>
      </c>
      <c r="E2258">
        <v>1408</v>
      </c>
      <c r="F2258" s="1">
        <v>37931</v>
      </c>
      <c r="G2258" t="s">
        <v>25</v>
      </c>
      <c r="H2258">
        <v>4</v>
      </c>
      <c r="I2258">
        <v>11</v>
      </c>
      <c r="J2258">
        <v>2003</v>
      </c>
      <c r="K2258" t="s">
        <v>605</v>
      </c>
      <c r="L2258">
        <v>62</v>
      </c>
      <c r="M2258" t="s">
        <v>653</v>
      </c>
      <c r="N2258" t="s">
        <v>452</v>
      </c>
      <c r="O2258" t="s">
        <v>453</v>
      </c>
      <c r="P2258" t="s">
        <v>454</v>
      </c>
      <c r="R2258" t="s">
        <v>455</v>
      </c>
      <c r="T2258">
        <v>42100</v>
      </c>
      <c r="U2258" t="s">
        <v>258</v>
      </c>
      <c r="V2258" t="s">
        <v>42</v>
      </c>
      <c r="W2258" t="s">
        <v>456</v>
      </c>
      <c r="X2258" t="s">
        <v>457</v>
      </c>
      <c r="Y2258" t="s">
        <v>36</v>
      </c>
    </row>
    <row r="2259" spans="1:25" x14ac:dyDescent="0.25">
      <c r="A2259">
        <v>10184</v>
      </c>
      <c r="B2259">
        <v>48</v>
      </c>
      <c r="C2259">
        <v>50.95</v>
      </c>
      <c r="D2259">
        <v>1</v>
      </c>
      <c r="E2259">
        <v>2445.6</v>
      </c>
      <c r="F2259" s="1">
        <v>37939</v>
      </c>
      <c r="G2259" t="s">
        <v>25</v>
      </c>
      <c r="H2259">
        <v>4</v>
      </c>
      <c r="I2259">
        <v>11</v>
      </c>
      <c r="J2259">
        <v>2003</v>
      </c>
      <c r="K2259" t="s">
        <v>605</v>
      </c>
      <c r="L2259">
        <v>62</v>
      </c>
      <c r="M2259" t="s">
        <v>653</v>
      </c>
      <c r="N2259" t="s">
        <v>520</v>
      </c>
      <c r="O2259" t="s">
        <v>521</v>
      </c>
      <c r="P2259" t="s">
        <v>522</v>
      </c>
      <c r="R2259" t="s">
        <v>523</v>
      </c>
      <c r="T2259">
        <v>41101</v>
      </c>
      <c r="U2259" t="s">
        <v>178</v>
      </c>
      <c r="V2259" t="s">
        <v>42</v>
      </c>
      <c r="W2259" t="s">
        <v>524</v>
      </c>
      <c r="X2259" t="s">
        <v>525</v>
      </c>
      <c r="Y2259" t="s">
        <v>36</v>
      </c>
    </row>
    <row r="2260" spans="1:25" x14ac:dyDescent="0.25">
      <c r="A2260">
        <v>10195</v>
      </c>
      <c r="B2260">
        <v>33</v>
      </c>
      <c r="C2260">
        <v>54.68</v>
      </c>
      <c r="D2260">
        <v>1</v>
      </c>
      <c r="E2260">
        <v>1804.44</v>
      </c>
      <c r="F2260" s="1">
        <v>37950</v>
      </c>
      <c r="G2260" t="s">
        <v>25</v>
      </c>
      <c r="H2260">
        <v>4</v>
      </c>
      <c r="I2260">
        <v>11</v>
      </c>
      <c r="J2260">
        <v>2003</v>
      </c>
      <c r="K2260" t="s">
        <v>605</v>
      </c>
      <c r="L2260">
        <v>62</v>
      </c>
      <c r="M2260" t="s">
        <v>653</v>
      </c>
      <c r="N2260" t="s">
        <v>317</v>
      </c>
      <c r="O2260">
        <v>9145554562</v>
      </c>
      <c r="P2260" t="s">
        <v>318</v>
      </c>
      <c r="R2260" t="s">
        <v>319</v>
      </c>
      <c r="S2260" t="s">
        <v>31</v>
      </c>
      <c r="T2260">
        <v>24067</v>
      </c>
      <c r="U2260" t="s">
        <v>32</v>
      </c>
      <c r="V2260" t="s">
        <v>33</v>
      </c>
      <c r="W2260" t="s">
        <v>102</v>
      </c>
      <c r="X2260" t="s">
        <v>238</v>
      </c>
      <c r="Y2260" t="s">
        <v>36</v>
      </c>
    </row>
    <row r="2261" spans="1:25" x14ac:dyDescent="0.25">
      <c r="A2261">
        <v>10207</v>
      </c>
      <c r="B2261">
        <v>45</v>
      </c>
      <c r="C2261">
        <v>56.55</v>
      </c>
      <c r="D2261">
        <v>2</v>
      </c>
      <c r="E2261">
        <v>2544.75</v>
      </c>
      <c r="F2261" s="1">
        <v>37964</v>
      </c>
      <c r="G2261" t="s">
        <v>25</v>
      </c>
      <c r="H2261">
        <v>4</v>
      </c>
      <c r="I2261">
        <v>12</v>
      </c>
      <c r="J2261">
        <v>2003</v>
      </c>
      <c r="K2261" t="s">
        <v>605</v>
      </c>
      <c r="L2261">
        <v>62</v>
      </c>
      <c r="M2261" t="s">
        <v>653</v>
      </c>
      <c r="N2261" t="s">
        <v>415</v>
      </c>
      <c r="O2261">
        <v>6175552555</v>
      </c>
      <c r="P2261" t="s">
        <v>416</v>
      </c>
      <c r="R2261" t="s">
        <v>381</v>
      </c>
      <c r="S2261" t="s">
        <v>123</v>
      </c>
      <c r="T2261">
        <v>51003</v>
      </c>
      <c r="U2261" t="s">
        <v>32</v>
      </c>
      <c r="V2261" t="s">
        <v>33</v>
      </c>
      <c r="W2261" t="s">
        <v>417</v>
      </c>
      <c r="X2261" t="s">
        <v>276</v>
      </c>
      <c r="Y2261" t="s">
        <v>36</v>
      </c>
    </row>
    <row r="2262" spans="1:25" x14ac:dyDescent="0.25">
      <c r="A2262">
        <v>10220</v>
      </c>
      <c r="B2262">
        <v>20</v>
      </c>
      <c r="C2262">
        <v>52.82</v>
      </c>
      <c r="D2262">
        <v>6</v>
      </c>
      <c r="E2262">
        <v>1056.4000000000001</v>
      </c>
      <c r="F2262" s="1">
        <v>38029</v>
      </c>
      <c r="G2262" t="s">
        <v>25</v>
      </c>
      <c r="H2262">
        <v>1</v>
      </c>
      <c r="I2262">
        <v>2</v>
      </c>
      <c r="J2262">
        <v>2004</v>
      </c>
      <c r="K2262" t="s">
        <v>605</v>
      </c>
      <c r="L2262">
        <v>62</v>
      </c>
      <c r="M2262" t="s">
        <v>653</v>
      </c>
      <c r="N2262" t="s">
        <v>479</v>
      </c>
      <c r="O2262" t="s">
        <v>480</v>
      </c>
      <c r="P2262" t="s">
        <v>481</v>
      </c>
      <c r="Q2262" t="s">
        <v>482</v>
      </c>
      <c r="R2262" t="s">
        <v>483</v>
      </c>
      <c r="T2262">
        <v>2</v>
      </c>
      <c r="U2262" t="s">
        <v>484</v>
      </c>
      <c r="V2262" t="s">
        <v>42</v>
      </c>
      <c r="W2262" t="s">
        <v>485</v>
      </c>
      <c r="X2262" t="s">
        <v>486</v>
      </c>
      <c r="Y2262" t="s">
        <v>36</v>
      </c>
    </row>
    <row r="2263" spans="1:25" x14ac:dyDescent="0.25">
      <c r="A2263">
        <v>10230</v>
      </c>
      <c r="B2263">
        <v>46</v>
      </c>
      <c r="C2263">
        <v>60.9</v>
      </c>
      <c r="D2263">
        <v>4</v>
      </c>
      <c r="E2263">
        <v>2801.4</v>
      </c>
      <c r="F2263" s="1">
        <v>38061</v>
      </c>
      <c r="G2263" t="s">
        <v>25</v>
      </c>
      <c r="H2263">
        <v>1</v>
      </c>
      <c r="I2263">
        <v>3</v>
      </c>
      <c r="J2263">
        <v>2004</v>
      </c>
      <c r="K2263" t="s">
        <v>605</v>
      </c>
      <c r="L2263">
        <v>62</v>
      </c>
      <c r="M2263" t="s">
        <v>653</v>
      </c>
      <c r="N2263" t="s">
        <v>462</v>
      </c>
      <c r="O2263" t="s">
        <v>463</v>
      </c>
      <c r="P2263" t="s">
        <v>464</v>
      </c>
      <c r="R2263" t="s">
        <v>465</v>
      </c>
      <c r="T2263">
        <v>60528</v>
      </c>
      <c r="U2263" t="s">
        <v>443</v>
      </c>
      <c r="V2263" t="s">
        <v>42</v>
      </c>
      <c r="W2263" t="s">
        <v>466</v>
      </c>
      <c r="X2263" t="s">
        <v>414</v>
      </c>
      <c r="Y2263" t="s">
        <v>36</v>
      </c>
    </row>
    <row r="2264" spans="1:25" x14ac:dyDescent="0.25">
      <c r="A2264">
        <v>10247</v>
      </c>
      <c r="B2264">
        <v>40</v>
      </c>
      <c r="C2264">
        <v>49.71</v>
      </c>
      <c r="D2264">
        <v>6</v>
      </c>
      <c r="E2264">
        <v>1988.4</v>
      </c>
      <c r="F2264" s="1">
        <v>38112</v>
      </c>
      <c r="G2264" t="s">
        <v>25</v>
      </c>
      <c r="H2264">
        <v>2</v>
      </c>
      <c r="I2264">
        <v>5</v>
      </c>
      <c r="J2264">
        <v>2004</v>
      </c>
      <c r="K2264" t="s">
        <v>605</v>
      </c>
      <c r="L2264">
        <v>62</v>
      </c>
      <c r="M2264" t="s">
        <v>653</v>
      </c>
      <c r="N2264" t="s">
        <v>467</v>
      </c>
      <c r="O2264" t="s">
        <v>468</v>
      </c>
      <c r="P2264" t="s">
        <v>469</v>
      </c>
      <c r="R2264" t="s">
        <v>470</v>
      </c>
      <c r="T2264" t="s">
        <v>471</v>
      </c>
      <c r="U2264" t="s">
        <v>130</v>
      </c>
      <c r="V2264" t="s">
        <v>42</v>
      </c>
      <c r="W2264" t="s">
        <v>472</v>
      </c>
      <c r="X2264" t="s">
        <v>473</v>
      </c>
      <c r="Y2264" t="s">
        <v>36</v>
      </c>
    </row>
    <row r="2265" spans="1:25" x14ac:dyDescent="0.25">
      <c r="A2265">
        <v>10272</v>
      </c>
      <c r="B2265">
        <v>45</v>
      </c>
      <c r="C2265">
        <v>64.63</v>
      </c>
      <c r="D2265">
        <v>6</v>
      </c>
      <c r="E2265">
        <v>2908.35</v>
      </c>
      <c r="F2265" s="1">
        <v>38188</v>
      </c>
      <c r="G2265" t="s">
        <v>25</v>
      </c>
      <c r="H2265">
        <v>3</v>
      </c>
      <c r="I2265">
        <v>7</v>
      </c>
      <c r="J2265">
        <v>2004</v>
      </c>
      <c r="K2265" t="s">
        <v>605</v>
      </c>
      <c r="L2265">
        <v>62</v>
      </c>
      <c r="M2265" t="s">
        <v>653</v>
      </c>
      <c r="N2265" t="s">
        <v>139</v>
      </c>
      <c r="O2265">
        <v>2155551555</v>
      </c>
      <c r="P2265" t="s">
        <v>140</v>
      </c>
      <c r="R2265" t="s">
        <v>141</v>
      </c>
      <c r="S2265" t="s">
        <v>142</v>
      </c>
      <c r="T2265">
        <v>70267</v>
      </c>
      <c r="U2265" t="s">
        <v>32</v>
      </c>
      <c r="V2265" t="s">
        <v>33</v>
      </c>
      <c r="W2265" t="s">
        <v>34</v>
      </c>
      <c r="X2265" t="s">
        <v>143</v>
      </c>
      <c r="Y2265" t="s">
        <v>36</v>
      </c>
    </row>
    <row r="2266" spans="1:25" x14ac:dyDescent="0.25">
      <c r="A2266">
        <v>10282</v>
      </c>
      <c r="B2266">
        <v>36</v>
      </c>
      <c r="C2266">
        <v>59.65</v>
      </c>
      <c r="D2266">
        <v>9</v>
      </c>
      <c r="E2266">
        <v>2147.4</v>
      </c>
      <c r="F2266" s="1">
        <v>38219</v>
      </c>
      <c r="G2266" t="s">
        <v>25</v>
      </c>
      <c r="H2266">
        <v>3</v>
      </c>
      <c r="I2266">
        <v>8</v>
      </c>
      <c r="J2266">
        <v>2004</v>
      </c>
      <c r="K2266" t="s">
        <v>605</v>
      </c>
      <c r="L2266">
        <v>62</v>
      </c>
      <c r="M2266" t="s">
        <v>653</v>
      </c>
      <c r="N2266" t="s">
        <v>272</v>
      </c>
      <c r="O2266">
        <v>4155551450</v>
      </c>
      <c r="P2266" t="s">
        <v>273</v>
      </c>
      <c r="R2266" t="s">
        <v>274</v>
      </c>
      <c r="S2266" t="s">
        <v>55</v>
      </c>
      <c r="T2266">
        <v>97562</v>
      </c>
      <c r="U2266" t="s">
        <v>32</v>
      </c>
      <c r="V2266" t="s">
        <v>33</v>
      </c>
      <c r="W2266" t="s">
        <v>275</v>
      </c>
      <c r="X2266" t="s">
        <v>276</v>
      </c>
      <c r="Y2266" t="s">
        <v>36</v>
      </c>
    </row>
    <row r="2267" spans="1:25" x14ac:dyDescent="0.25">
      <c r="A2267">
        <v>10292</v>
      </c>
      <c r="B2267">
        <v>31</v>
      </c>
      <c r="C2267">
        <v>67.73</v>
      </c>
      <c r="D2267">
        <v>3</v>
      </c>
      <c r="E2267">
        <v>2099.63</v>
      </c>
      <c r="F2267" s="1">
        <v>38238</v>
      </c>
      <c r="G2267" t="s">
        <v>25</v>
      </c>
      <c r="H2267">
        <v>3</v>
      </c>
      <c r="I2267">
        <v>9</v>
      </c>
      <c r="J2267">
        <v>2004</v>
      </c>
      <c r="K2267" t="s">
        <v>605</v>
      </c>
      <c r="L2267">
        <v>62</v>
      </c>
      <c r="M2267" t="s">
        <v>653</v>
      </c>
      <c r="N2267" t="s">
        <v>28</v>
      </c>
      <c r="O2267">
        <v>2125557818</v>
      </c>
      <c r="P2267" t="s">
        <v>29</v>
      </c>
      <c r="R2267" t="s">
        <v>30</v>
      </c>
      <c r="S2267" t="s">
        <v>31</v>
      </c>
      <c r="T2267">
        <v>10022</v>
      </c>
      <c r="U2267" t="s">
        <v>32</v>
      </c>
      <c r="V2267" t="s">
        <v>33</v>
      </c>
      <c r="W2267" t="s">
        <v>34</v>
      </c>
      <c r="X2267" t="s">
        <v>35</v>
      </c>
      <c r="Y2267" t="s">
        <v>36</v>
      </c>
    </row>
    <row r="2268" spans="1:25" x14ac:dyDescent="0.25">
      <c r="A2268">
        <v>10306</v>
      </c>
      <c r="B2268">
        <v>46</v>
      </c>
      <c r="C2268">
        <v>50.33</v>
      </c>
      <c r="D2268">
        <v>17</v>
      </c>
      <c r="E2268">
        <v>2315.1799999999998</v>
      </c>
      <c r="F2268" s="1">
        <v>38274</v>
      </c>
      <c r="G2268" t="s">
        <v>25</v>
      </c>
      <c r="H2268">
        <v>4</v>
      </c>
      <c r="I2268">
        <v>10</v>
      </c>
      <c r="J2268">
        <v>2004</v>
      </c>
      <c r="K2268" t="s">
        <v>605</v>
      </c>
      <c r="L2268">
        <v>62</v>
      </c>
      <c r="M2268" t="s">
        <v>653</v>
      </c>
      <c r="N2268" t="s">
        <v>492</v>
      </c>
      <c r="O2268" t="s">
        <v>493</v>
      </c>
      <c r="P2268" t="s">
        <v>494</v>
      </c>
      <c r="R2268" t="s">
        <v>495</v>
      </c>
      <c r="T2268" t="s">
        <v>496</v>
      </c>
      <c r="U2268" t="s">
        <v>170</v>
      </c>
      <c r="V2268" t="s">
        <v>42</v>
      </c>
      <c r="W2268" t="s">
        <v>497</v>
      </c>
      <c r="X2268" t="s">
        <v>94</v>
      </c>
      <c r="Y2268" t="s">
        <v>36</v>
      </c>
    </row>
    <row r="2269" spans="1:25" x14ac:dyDescent="0.25">
      <c r="A2269">
        <v>10314</v>
      </c>
      <c r="B2269">
        <v>35</v>
      </c>
      <c r="C2269">
        <v>66.489999999999995</v>
      </c>
      <c r="D2269">
        <v>9</v>
      </c>
      <c r="E2269">
        <v>2327.15</v>
      </c>
      <c r="F2269" s="1">
        <v>38282</v>
      </c>
      <c r="G2269" t="s">
        <v>25</v>
      </c>
      <c r="H2269">
        <v>4</v>
      </c>
      <c r="I2269">
        <v>10</v>
      </c>
      <c r="J2269">
        <v>2004</v>
      </c>
      <c r="K2269" t="s">
        <v>605</v>
      </c>
      <c r="L2269">
        <v>62</v>
      </c>
      <c r="M2269" t="s">
        <v>653</v>
      </c>
      <c r="N2269" t="s">
        <v>498</v>
      </c>
      <c r="O2269" t="s">
        <v>499</v>
      </c>
      <c r="P2269" t="s">
        <v>500</v>
      </c>
      <c r="R2269" t="s">
        <v>501</v>
      </c>
      <c r="T2269">
        <v>8200</v>
      </c>
      <c r="U2269" t="s">
        <v>326</v>
      </c>
      <c r="V2269" t="s">
        <v>42</v>
      </c>
      <c r="W2269" t="s">
        <v>502</v>
      </c>
      <c r="X2269" t="s">
        <v>503</v>
      </c>
      <c r="Y2269" t="s">
        <v>36</v>
      </c>
    </row>
    <row r="2270" spans="1:25" x14ac:dyDescent="0.25">
      <c r="A2270">
        <v>10325</v>
      </c>
      <c r="B2270">
        <v>28</v>
      </c>
      <c r="C2270">
        <v>100</v>
      </c>
      <c r="D2270">
        <v>2</v>
      </c>
      <c r="E2270">
        <v>5377.4</v>
      </c>
      <c r="F2270" s="1">
        <v>38296</v>
      </c>
      <c r="G2270" t="s">
        <v>25</v>
      </c>
      <c r="H2270">
        <v>4</v>
      </c>
      <c r="I2270">
        <v>11</v>
      </c>
      <c r="J2270">
        <v>2004</v>
      </c>
      <c r="K2270" t="s">
        <v>605</v>
      </c>
      <c r="L2270">
        <v>62</v>
      </c>
      <c r="M2270" t="s">
        <v>653</v>
      </c>
      <c r="N2270" t="s">
        <v>133</v>
      </c>
      <c r="O2270" t="s">
        <v>134</v>
      </c>
      <c r="P2270" t="s">
        <v>135</v>
      </c>
      <c r="R2270" t="s">
        <v>136</v>
      </c>
      <c r="T2270">
        <v>4110</v>
      </c>
      <c r="U2270" t="s">
        <v>78</v>
      </c>
      <c r="V2270" t="s">
        <v>42</v>
      </c>
      <c r="W2270" t="s">
        <v>137</v>
      </c>
      <c r="X2270" t="s">
        <v>138</v>
      </c>
      <c r="Y2270" t="s">
        <v>51</v>
      </c>
    </row>
    <row r="2271" spans="1:25" x14ac:dyDescent="0.25">
      <c r="A2271">
        <v>10336</v>
      </c>
      <c r="B2271">
        <v>31</v>
      </c>
      <c r="C2271">
        <v>84.71</v>
      </c>
      <c r="D2271">
        <v>9</v>
      </c>
      <c r="E2271">
        <v>2626.01</v>
      </c>
      <c r="F2271" s="1">
        <v>38311</v>
      </c>
      <c r="G2271" t="s">
        <v>25</v>
      </c>
      <c r="H2271">
        <v>4</v>
      </c>
      <c r="I2271">
        <v>11</v>
      </c>
      <c r="J2271">
        <v>2004</v>
      </c>
      <c r="K2271" t="s">
        <v>605</v>
      </c>
      <c r="L2271">
        <v>62</v>
      </c>
      <c r="M2271" t="s">
        <v>653</v>
      </c>
      <c r="N2271" t="s">
        <v>403</v>
      </c>
      <c r="O2271" t="s">
        <v>404</v>
      </c>
      <c r="P2271" t="s">
        <v>405</v>
      </c>
      <c r="R2271" t="s">
        <v>48</v>
      </c>
      <c r="T2271">
        <v>75012</v>
      </c>
      <c r="U2271" t="s">
        <v>41</v>
      </c>
      <c r="V2271" t="s">
        <v>42</v>
      </c>
      <c r="W2271" t="s">
        <v>406</v>
      </c>
      <c r="X2271" t="s">
        <v>407</v>
      </c>
      <c r="Y2271" t="s">
        <v>36</v>
      </c>
    </row>
    <row r="2272" spans="1:25" x14ac:dyDescent="0.25">
      <c r="A2272">
        <v>10350</v>
      </c>
      <c r="B2272">
        <v>27</v>
      </c>
      <c r="C2272">
        <v>100</v>
      </c>
      <c r="D2272">
        <v>14</v>
      </c>
      <c r="E2272">
        <v>4406.3999999999996</v>
      </c>
      <c r="F2272" s="1">
        <v>38323</v>
      </c>
      <c r="G2272" t="s">
        <v>25</v>
      </c>
      <c r="H2272">
        <v>4</v>
      </c>
      <c r="I2272">
        <v>12</v>
      </c>
      <c r="J2272">
        <v>2004</v>
      </c>
      <c r="K2272" t="s">
        <v>605</v>
      </c>
      <c r="L2272">
        <v>62</v>
      </c>
      <c r="M2272" t="s">
        <v>653</v>
      </c>
      <c r="N2272" t="s">
        <v>174</v>
      </c>
      <c r="O2272" t="s">
        <v>175</v>
      </c>
      <c r="P2272" t="s">
        <v>176</v>
      </c>
      <c r="R2272" t="s">
        <v>177</v>
      </c>
      <c r="T2272">
        <v>28034</v>
      </c>
      <c r="U2272" t="s">
        <v>178</v>
      </c>
      <c r="V2272" t="s">
        <v>42</v>
      </c>
      <c r="W2272" t="s">
        <v>179</v>
      </c>
      <c r="X2272" t="s">
        <v>180</v>
      </c>
      <c r="Y2272" t="s">
        <v>51</v>
      </c>
    </row>
    <row r="2273" spans="1:25" x14ac:dyDescent="0.25">
      <c r="A2273">
        <v>10359</v>
      </c>
      <c r="B2273">
        <v>22</v>
      </c>
      <c r="C2273">
        <v>100</v>
      </c>
      <c r="D2273">
        <v>1</v>
      </c>
      <c r="E2273">
        <v>4301.22</v>
      </c>
      <c r="F2273" s="1">
        <v>38336</v>
      </c>
      <c r="G2273" t="s">
        <v>25</v>
      </c>
      <c r="H2273">
        <v>4</v>
      </c>
      <c r="I2273">
        <v>12</v>
      </c>
      <c r="J2273">
        <v>2004</v>
      </c>
      <c r="K2273" t="s">
        <v>605</v>
      </c>
      <c r="L2273">
        <v>62</v>
      </c>
      <c r="M2273" t="s">
        <v>653</v>
      </c>
      <c r="N2273" t="s">
        <v>37</v>
      </c>
      <c r="O2273" t="s">
        <v>38</v>
      </c>
      <c r="P2273" t="s">
        <v>39</v>
      </c>
      <c r="R2273" t="s">
        <v>40</v>
      </c>
      <c r="T2273">
        <v>51100</v>
      </c>
      <c r="U2273" t="s">
        <v>41</v>
      </c>
      <c r="V2273" t="s">
        <v>42</v>
      </c>
      <c r="W2273" t="s">
        <v>43</v>
      </c>
      <c r="X2273" t="s">
        <v>44</v>
      </c>
      <c r="Y2273" t="s">
        <v>51</v>
      </c>
    </row>
    <row r="2274" spans="1:25" x14ac:dyDescent="0.25">
      <c r="A2274">
        <v>10371</v>
      </c>
      <c r="B2274">
        <v>30</v>
      </c>
      <c r="C2274">
        <v>99.55</v>
      </c>
      <c r="D2274">
        <v>11</v>
      </c>
      <c r="E2274">
        <v>2986.5</v>
      </c>
      <c r="F2274" s="1">
        <v>38375</v>
      </c>
      <c r="G2274" t="s">
        <v>25</v>
      </c>
      <c r="H2274">
        <v>1</v>
      </c>
      <c r="I2274">
        <v>1</v>
      </c>
      <c r="J2274">
        <v>2005</v>
      </c>
      <c r="K2274" t="s">
        <v>605</v>
      </c>
      <c r="L2274">
        <v>62</v>
      </c>
      <c r="M2274" t="s">
        <v>653</v>
      </c>
      <c r="N2274" t="s">
        <v>272</v>
      </c>
      <c r="O2274">
        <v>4155551450</v>
      </c>
      <c r="P2274" t="s">
        <v>273</v>
      </c>
      <c r="R2274" t="s">
        <v>274</v>
      </c>
      <c r="S2274" t="s">
        <v>55</v>
      </c>
      <c r="T2274">
        <v>97562</v>
      </c>
      <c r="U2274" t="s">
        <v>32</v>
      </c>
      <c r="V2274" t="s">
        <v>33</v>
      </c>
      <c r="W2274" t="s">
        <v>275</v>
      </c>
      <c r="X2274" t="s">
        <v>276</v>
      </c>
      <c r="Y2274" t="s">
        <v>36</v>
      </c>
    </row>
    <row r="2275" spans="1:25" x14ac:dyDescent="0.25">
      <c r="A2275">
        <v>10383</v>
      </c>
      <c r="B2275">
        <v>44</v>
      </c>
      <c r="C2275">
        <v>36.07</v>
      </c>
      <c r="D2275">
        <v>8</v>
      </c>
      <c r="E2275">
        <v>1587.08</v>
      </c>
      <c r="F2275" s="1">
        <v>38405</v>
      </c>
      <c r="G2275" t="s">
        <v>25</v>
      </c>
      <c r="H2275">
        <v>1</v>
      </c>
      <c r="I2275">
        <v>2</v>
      </c>
      <c r="J2275">
        <v>2005</v>
      </c>
      <c r="K2275" t="s">
        <v>605</v>
      </c>
      <c r="L2275">
        <v>62</v>
      </c>
      <c r="M2275" t="s">
        <v>653</v>
      </c>
      <c r="N2275" t="s">
        <v>174</v>
      </c>
      <c r="O2275" t="s">
        <v>175</v>
      </c>
      <c r="P2275" t="s">
        <v>176</v>
      </c>
      <c r="R2275" t="s">
        <v>177</v>
      </c>
      <c r="T2275">
        <v>28034</v>
      </c>
      <c r="U2275" t="s">
        <v>178</v>
      </c>
      <c r="V2275" t="s">
        <v>42</v>
      </c>
      <c r="W2275" t="s">
        <v>179</v>
      </c>
      <c r="X2275" t="s">
        <v>180</v>
      </c>
      <c r="Y2275" t="s">
        <v>36</v>
      </c>
    </row>
    <row r="2276" spans="1:25" x14ac:dyDescent="0.25">
      <c r="A2276">
        <v>10394</v>
      </c>
      <c r="B2276">
        <v>30</v>
      </c>
      <c r="C2276">
        <v>60.28</v>
      </c>
      <c r="D2276">
        <v>4</v>
      </c>
      <c r="E2276">
        <v>1808.4</v>
      </c>
      <c r="F2276" s="1">
        <v>38426</v>
      </c>
      <c r="G2276" t="s">
        <v>25</v>
      </c>
      <c r="H2276">
        <v>1</v>
      </c>
      <c r="I2276">
        <v>3</v>
      </c>
      <c r="J2276">
        <v>2005</v>
      </c>
      <c r="K2276" t="s">
        <v>605</v>
      </c>
      <c r="L2276">
        <v>62</v>
      </c>
      <c r="M2276" t="s">
        <v>653</v>
      </c>
      <c r="N2276" t="s">
        <v>174</v>
      </c>
      <c r="O2276" t="s">
        <v>175</v>
      </c>
      <c r="P2276" t="s">
        <v>176</v>
      </c>
      <c r="R2276" t="s">
        <v>177</v>
      </c>
      <c r="T2276">
        <v>28034</v>
      </c>
      <c r="U2276" t="s">
        <v>178</v>
      </c>
      <c r="V2276" t="s">
        <v>42</v>
      </c>
      <c r="W2276" t="s">
        <v>179</v>
      </c>
      <c r="X2276" t="s">
        <v>180</v>
      </c>
      <c r="Y2276" t="s">
        <v>36</v>
      </c>
    </row>
    <row r="2277" spans="1:25" x14ac:dyDescent="0.25">
      <c r="A2277">
        <v>10413</v>
      </c>
      <c r="B2277">
        <v>24</v>
      </c>
      <c r="C2277">
        <v>49.71</v>
      </c>
      <c r="D2277">
        <v>6</v>
      </c>
      <c r="E2277">
        <v>1193.04</v>
      </c>
      <c r="F2277" s="1">
        <v>38477</v>
      </c>
      <c r="G2277" t="s">
        <v>25</v>
      </c>
      <c r="H2277">
        <v>2</v>
      </c>
      <c r="I2277">
        <v>5</v>
      </c>
      <c r="J2277">
        <v>2005</v>
      </c>
      <c r="K2277" t="s">
        <v>605</v>
      </c>
      <c r="L2277">
        <v>62</v>
      </c>
      <c r="M2277" t="s">
        <v>653</v>
      </c>
      <c r="N2277" t="s">
        <v>109</v>
      </c>
      <c r="O2277">
        <v>2035552570</v>
      </c>
      <c r="P2277" t="s">
        <v>110</v>
      </c>
      <c r="R2277" t="s">
        <v>111</v>
      </c>
      <c r="S2277" t="s">
        <v>112</v>
      </c>
      <c r="T2277">
        <v>97562</v>
      </c>
      <c r="U2277" t="s">
        <v>32</v>
      </c>
      <c r="V2277" t="s">
        <v>33</v>
      </c>
      <c r="W2277" t="s">
        <v>113</v>
      </c>
      <c r="X2277" t="s">
        <v>57</v>
      </c>
      <c r="Y2277" t="s">
        <v>36</v>
      </c>
    </row>
    <row r="2278" spans="1:25" x14ac:dyDescent="0.25">
      <c r="A2278">
        <v>10103</v>
      </c>
      <c r="B2278">
        <v>45</v>
      </c>
      <c r="C2278">
        <v>75.63</v>
      </c>
      <c r="D2278">
        <v>7</v>
      </c>
      <c r="E2278">
        <v>3403.35</v>
      </c>
      <c r="F2278" s="1">
        <v>37650</v>
      </c>
      <c r="G2278" t="s">
        <v>25</v>
      </c>
      <c r="H2278">
        <v>1</v>
      </c>
      <c r="I2278">
        <v>1</v>
      </c>
      <c r="J2278">
        <v>2003</v>
      </c>
      <c r="K2278" t="s">
        <v>504</v>
      </c>
      <c r="L2278">
        <v>64</v>
      </c>
      <c r="M2278" t="s">
        <v>654</v>
      </c>
      <c r="N2278" t="s">
        <v>133</v>
      </c>
      <c r="O2278" t="s">
        <v>134</v>
      </c>
      <c r="P2278" t="s">
        <v>135</v>
      </c>
      <c r="R2278" t="s">
        <v>136</v>
      </c>
      <c r="T2278">
        <v>4110</v>
      </c>
      <c r="U2278" t="s">
        <v>78</v>
      </c>
      <c r="V2278" t="s">
        <v>42</v>
      </c>
      <c r="W2278" t="s">
        <v>137</v>
      </c>
      <c r="X2278" t="s">
        <v>138</v>
      </c>
      <c r="Y2278" t="s">
        <v>51</v>
      </c>
    </row>
    <row r="2279" spans="1:25" x14ac:dyDescent="0.25">
      <c r="A2279">
        <v>10113</v>
      </c>
      <c r="B2279">
        <v>23</v>
      </c>
      <c r="C2279">
        <v>68.52</v>
      </c>
      <c r="D2279">
        <v>1</v>
      </c>
      <c r="E2279">
        <v>1575.96</v>
      </c>
      <c r="F2279" s="1">
        <v>37706</v>
      </c>
      <c r="G2279" t="s">
        <v>25</v>
      </c>
      <c r="H2279">
        <v>1</v>
      </c>
      <c r="I2279">
        <v>3</v>
      </c>
      <c r="J2279">
        <v>2003</v>
      </c>
      <c r="K2279" t="s">
        <v>504</v>
      </c>
      <c r="L2279">
        <v>64</v>
      </c>
      <c r="M2279" t="s">
        <v>654</v>
      </c>
      <c r="N2279" t="s">
        <v>272</v>
      </c>
      <c r="O2279">
        <v>4155551450</v>
      </c>
      <c r="P2279" t="s">
        <v>273</v>
      </c>
      <c r="R2279" t="s">
        <v>274</v>
      </c>
      <c r="S2279" t="s">
        <v>55</v>
      </c>
      <c r="T2279">
        <v>97562</v>
      </c>
      <c r="U2279" t="s">
        <v>32</v>
      </c>
      <c r="V2279" t="s">
        <v>33</v>
      </c>
      <c r="W2279" t="s">
        <v>275</v>
      </c>
      <c r="X2279" t="s">
        <v>276</v>
      </c>
      <c r="Y2279" t="s">
        <v>36</v>
      </c>
    </row>
    <row r="2280" spans="1:25" x14ac:dyDescent="0.25">
      <c r="A2280">
        <v>10126</v>
      </c>
      <c r="B2280">
        <v>26</v>
      </c>
      <c r="C2280">
        <v>62.7</v>
      </c>
      <c r="D2280">
        <v>7</v>
      </c>
      <c r="E2280">
        <v>1630.2</v>
      </c>
      <c r="F2280" s="1">
        <v>37769</v>
      </c>
      <c r="G2280" t="s">
        <v>25</v>
      </c>
      <c r="H2280">
        <v>2</v>
      </c>
      <c r="I2280">
        <v>5</v>
      </c>
      <c r="J2280">
        <v>2003</v>
      </c>
      <c r="K2280" t="s">
        <v>504</v>
      </c>
      <c r="L2280">
        <v>64</v>
      </c>
      <c r="M2280" t="s">
        <v>654</v>
      </c>
      <c r="N2280" t="s">
        <v>191</v>
      </c>
      <c r="O2280" t="s">
        <v>192</v>
      </c>
      <c r="P2280" t="s">
        <v>193</v>
      </c>
      <c r="R2280" t="s">
        <v>177</v>
      </c>
      <c r="T2280">
        <v>28023</v>
      </c>
      <c r="U2280" t="s">
        <v>178</v>
      </c>
      <c r="V2280" t="s">
        <v>42</v>
      </c>
      <c r="W2280" t="s">
        <v>194</v>
      </c>
      <c r="X2280" t="s">
        <v>195</v>
      </c>
      <c r="Y2280" t="s">
        <v>36</v>
      </c>
    </row>
    <row r="2281" spans="1:25" x14ac:dyDescent="0.25">
      <c r="A2281">
        <v>10140</v>
      </c>
      <c r="B2281">
        <v>28</v>
      </c>
      <c r="C2281">
        <v>60.76</v>
      </c>
      <c r="D2281">
        <v>7</v>
      </c>
      <c r="E2281">
        <v>1701.28</v>
      </c>
      <c r="F2281" s="1">
        <v>37826</v>
      </c>
      <c r="G2281" t="s">
        <v>25</v>
      </c>
      <c r="H2281">
        <v>3</v>
      </c>
      <c r="I2281">
        <v>7</v>
      </c>
      <c r="J2281">
        <v>2003</v>
      </c>
      <c r="K2281" t="s">
        <v>504</v>
      </c>
      <c r="L2281">
        <v>64</v>
      </c>
      <c r="M2281" t="s">
        <v>654</v>
      </c>
      <c r="N2281" t="s">
        <v>62</v>
      </c>
      <c r="O2281">
        <v>6505556809</v>
      </c>
      <c r="P2281" t="s">
        <v>63</v>
      </c>
      <c r="R2281" t="s">
        <v>64</v>
      </c>
      <c r="S2281" t="s">
        <v>55</v>
      </c>
      <c r="T2281">
        <v>94217</v>
      </c>
      <c r="U2281" t="s">
        <v>32</v>
      </c>
      <c r="V2281" t="s">
        <v>33</v>
      </c>
      <c r="W2281" t="s">
        <v>65</v>
      </c>
      <c r="X2281" t="s">
        <v>66</v>
      </c>
      <c r="Y2281" t="s">
        <v>36</v>
      </c>
    </row>
    <row r="2282" spans="1:25" x14ac:dyDescent="0.25">
      <c r="A2282">
        <v>10150</v>
      </c>
      <c r="B2282">
        <v>49</v>
      </c>
      <c r="C2282">
        <v>58.18</v>
      </c>
      <c r="D2282">
        <v>4</v>
      </c>
      <c r="E2282">
        <v>2850.82</v>
      </c>
      <c r="F2282" s="1">
        <v>37883</v>
      </c>
      <c r="G2282" t="s">
        <v>25</v>
      </c>
      <c r="H2282">
        <v>3</v>
      </c>
      <c r="I2282">
        <v>9</v>
      </c>
      <c r="J2282">
        <v>2003</v>
      </c>
      <c r="K2282" t="s">
        <v>504</v>
      </c>
      <c r="L2282">
        <v>64</v>
      </c>
      <c r="M2282" t="s">
        <v>654</v>
      </c>
      <c r="N2282" t="s">
        <v>196</v>
      </c>
      <c r="O2282" t="s">
        <v>197</v>
      </c>
      <c r="P2282" t="s">
        <v>198</v>
      </c>
      <c r="R2282" t="s">
        <v>199</v>
      </c>
      <c r="T2282">
        <v>79903</v>
      </c>
      <c r="U2282" t="s">
        <v>199</v>
      </c>
      <c r="V2282" t="s">
        <v>200</v>
      </c>
      <c r="W2282" t="s">
        <v>201</v>
      </c>
      <c r="X2282" t="s">
        <v>202</v>
      </c>
      <c r="Y2282" t="s">
        <v>36</v>
      </c>
    </row>
    <row r="2283" spans="1:25" x14ac:dyDescent="0.25">
      <c r="A2283">
        <v>10164</v>
      </c>
      <c r="B2283">
        <v>49</v>
      </c>
      <c r="C2283">
        <v>54.94</v>
      </c>
      <c r="D2283">
        <v>5</v>
      </c>
      <c r="E2283">
        <v>2692.06</v>
      </c>
      <c r="F2283" s="1">
        <v>37915</v>
      </c>
      <c r="G2283" t="s">
        <v>408</v>
      </c>
      <c r="H2283">
        <v>4</v>
      </c>
      <c r="I2283">
        <v>10</v>
      </c>
      <c r="J2283">
        <v>2003</v>
      </c>
      <c r="K2283" t="s">
        <v>504</v>
      </c>
      <c r="L2283">
        <v>64</v>
      </c>
      <c r="M2283" t="s">
        <v>654</v>
      </c>
      <c r="N2283" t="s">
        <v>409</v>
      </c>
      <c r="O2283" t="s">
        <v>410</v>
      </c>
      <c r="P2283" t="s">
        <v>411</v>
      </c>
      <c r="R2283" t="s">
        <v>412</v>
      </c>
      <c r="T2283">
        <v>8010</v>
      </c>
      <c r="U2283" t="s">
        <v>148</v>
      </c>
      <c r="V2283" t="s">
        <v>42</v>
      </c>
      <c r="W2283" t="s">
        <v>413</v>
      </c>
      <c r="X2283" t="s">
        <v>414</v>
      </c>
      <c r="Y2283" t="s">
        <v>36</v>
      </c>
    </row>
    <row r="2284" spans="1:25" x14ac:dyDescent="0.25">
      <c r="A2284">
        <v>10175</v>
      </c>
      <c r="B2284">
        <v>29</v>
      </c>
      <c r="C2284">
        <v>74.98</v>
      </c>
      <c r="D2284">
        <v>12</v>
      </c>
      <c r="E2284">
        <v>2174.42</v>
      </c>
      <c r="F2284" s="1">
        <v>37931</v>
      </c>
      <c r="G2284" t="s">
        <v>25</v>
      </c>
      <c r="H2284">
        <v>4</v>
      </c>
      <c r="I2284">
        <v>11</v>
      </c>
      <c r="J2284">
        <v>2003</v>
      </c>
      <c r="K2284" t="s">
        <v>504</v>
      </c>
      <c r="L2284">
        <v>64</v>
      </c>
      <c r="M2284" t="s">
        <v>654</v>
      </c>
      <c r="N2284" t="s">
        <v>329</v>
      </c>
      <c r="O2284" t="s">
        <v>330</v>
      </c>
      <c r="P2284" t="s">
        <v>331</v>
      </c>
      <c r="R2284" t="s">
        <v>332</v>
      </c>
      <c r="T2284" t="s">
        <v>333</v>
      </c>
      <c r="U2284" t="s">
        <v>170</v>
      </c>
      <c r="V2284" t="s">
        <v>42</v>
      </c>
      <c r="W2284" t="s">
        <v>61</v>
      </c>
      <c r="X2284" t="s">
        <v>334</v>
      </c>
      <c r="Y2284" t="s">
        <v>36</v>
      </c>
    </row>
    <row r="2285" spans="1:25" x14ac:dyDescent="0.25">
      <c r="A2285">
        <v>10183</v>
      </c>
      <c r="B2285">
        <v>49</v>
      </c>
      <c r="C2285">
        <v>64.64</v>
      </c>
      <c r="D2285">
        <v>4</v>
      </c>
      <c r="E2285">
        <v>3167.36</v>
      </c>
      <c r="F2285" s="1">
        <v>37938</v>
      </c>
      <c r="G2285" t="s">
        <v>25</v>
      </c>
      <c r="H2285">
        <v>4</v>
      </c>
      <c r="I2285">
        <v>11</v>
      </c>
      <c r="J2285">
        <v>2003</v>
      </c>
      <c r="K2285" t="s">
        <v>504</v>
      </c>
      <c r="L2285">
        <v>64</v>
      </c>
      <c r="M2285" t="s">
        <v>654</v>
      </c>
      <c r="N2285" t="s">
        <v>214</v>
      </c>
      <c r="O2285">
        <v>2155554695</v>
      </c>
      <c r="P2285" t="s">
        <v>215</v>
      </c>
      <c r="R2285" t="s">
        <v>216</v>
      </c>
      <c r="S2285" t="s">
        <v>142</v>
      </c>
      <c r="T2285">
        <v>71270</v>
      </c>
      <c r="U2285" t="s">
        <v>32</v>
      </c>
      <c r="V2285" t="s">
        <v>33</v>
      </c>
      <c r="W2285" t="s">
        <v>217</v>
      </c>
      <c r="X2285" t="s">
        <v>218</v>
      </c>
      <c r="Y2285" t="s">
        <v>51</v>
      </c>
    </row>
    <row r="2286" spans="1:25" x14ac:dyDescent="0.25">
      <c r="A2286">
        <v>10194</v>
      </c>
      <c r="B2286">
        <v>39</v>
      </c>
      <c r="C2286">
        <v>54.94</v>
      </c>
      <c r="D2286">
        <v>7</v>
      </c>
      <c r="E2286">
        <v>2142.66</v>
      </c>
      <c r="F2286" s="1">
        <v>37950</v>
      </c>
      <c r="G2286" t="s">
        <v>25</v>
      </c>
      <c r="H2286">
        <v>4</v>
      </c>
      <c r="I2286">
        <v>11</v>
      </c>
      <c r="J2286">
        <v>2003</v>
      </c>
      <c r="K2286" t="s">
        <v>504</v>
      </c>
      <c r="L2286">
        <v>64</v>
      </c>
      <c r="M2286" t="s">
        <v>654</v>
      </c>
      <c r="N2286" t="s">
        <v>219</v>
      </c>
      <c r="O2286" t="s">
        <v>220</v>
      </c>
      <c r="P2286" t="s">
        <v>221</v>
      </c>
      <c r="R2286" t="s">
        <v>222</v>
      </c>
      <c r="T2286">
        <v>69004</v>
      </c>
      <c r="U2286" t="s">
        <v>41</v>
      </c>
      <c r="V2286" t="s">
        <v>42</v>
      </c>
      <c r="W2286" t="s">
        <v>223</v>
      </c>
      <c r="X2286" t="s">
        <v>224</v>
      </c>
      <c r="Y2286" t="s">
        <v>36</v>
      </c>
    </row>
    <row r="2287" spans="1:25" x14ac:dyDescent="0.25">
      <c r="A2287">
        <v>10206</v>
      </c>
      <c r="B2287">
        <v>36</v>
      </c>
      <c r="C2287">
        <v>58.82</v>
      </c>
      <c r="D2287">
        <v>2</v>
      </c>
      <c r="E2287">
        <v>2117.52</v>
      </c>
      <c r="F2287" s="1">
        <v>37960</v>
      </c>
      <c r="G2287" t="s">
        <v>25</v>
      </c>
      <c r="H2287">
        <v>4</v>
      </c>
      <c r="I2287">
        <v>12</v>
      </c>
      <c r="J2287">
        <v>2003</v>
      </c>
      <c r="K2287" t="s">
        <v>504</v>
      </c>
      <c r="L2287">
        <v>64</v>
      </c>
      <c r="M2287" t="s">
        <v>654</v>
      </c>
      <c r="N2287" t="s">
        <v>225</v>
      </c>
      <c r="O2287" t="s">
        <v>226</v>
      </c>
      <c r="P2287" t="s">
        <v>227</v>
      </c>
      <c r="R2287" t="s">
        <v>228</v>
      </c>
      <c r="S2287" t="s">
        <v>229</v>
      </c>
      <c r="T2287" t="s">
        <v>230</v>
      </c>
      <c r="U2287" t="s">
        <v>231</v>
      </c>
      <c r="V2287" t="s">
        <v>33</v>
      </c>
      <c r="W2287" t="s">
        <v>232</v>
      </c>
      <c r="X2287" t="s">
        <v>233</v>
      </c>
      <c r="Y2287" t="s">
        <v>36</v>
      </c>
    </row>
    <row r="2288" spans="1:25" x14ac:dyDescent="0.25">
      <c r="A2288">
        <v>10217</v>
      </c>
      <c r="B2288">
        <v>39</v>
      </c>
      <c r="C2288">
        <v>62.05</v>
      </c>
      <c r="D2288">
        <v>7</v>
      </c>
      <c r="E2288">
        <v>2419.9499999999998</v>
      </c>
      <c r="F2288" s="1">
        <v>38021</v>
      </c>
      <c r="G2288" t="s">
        <v>25</v>
      </c>
      <c r="H2288">
        <v>1</v>
      </c>
      <c r="I2288">
        <v>2</v>
      </c>
      <c r="J2288">
        <v>2004</v>
      </c>
      <c r="K2288" t="s">
        <v>504</v>
      </c>
      <c r="L2288">
        <v>64</v>
      </c>
      <c r="M2288" t="s">
        <v>654</v>
      </c>
      <c r="N2288" t="s">
        <v>418</v>
      </c>
      <c r="O2288" t="s">
        <v>419</v>
      </c>
      <c r="P2288" t="s">
        <v>420</v>
      </c>
      <c r="Q2288" t="s">
        <v>421</v>
      </c>
      <c r="R2288" t="s">
        <v>199</v>
      </c>
      <c r="T2288">
        <v>69045</v>
      </c>
      <c r="U2288" t="s">
        <v>199</v>
      </c>
      <c r="V2288" t="s">
        <v>96</v>
      </c>
      <c r="W2288" t="s">
        <v>422</v>
      </c>
      <c r="X2288" t="s">
        <v>423</v>
      </c>
      <c r="Y2288" t="s">
        <v>36</v>
      </c>
    </row>
    <row r="2289" spans="1:25" x14ac:dyDescent="0.25">
      <c r="A2289">
        <v>10229</v>
      </c>
      <c r="B2289">
        <v>30</v>
      </c>
      <c r="C2289">
        <v>73.040000000000006</v>
      </c>
      <c r="D2289">
        <v>12</v>
      </c>
      <c r="E2289">
        <v>2191.1999999999998</v>
      </c>
      <c r="F2289" s="1">
        <v>38057</v>
      </c>
      <c r="G2289" t="s">
        <v>25</v>
      </c>
      <c r="H2289">
        <v>1</v>
      </c>
      <c r="I2289">
        <v>3</v>
      </c>
      <c r="J2289">
        <v>2004</v>
      </c>
      <c r="K2289" t="s">
        <v>504</v>
      </c>
      <c r="L2289">
        <v>64</v>
      </c>
      <c r="M2289" t="s">
        <v>654</v>
      </c>
      <c r="N2289" t="s">
        <v>272</v>
      </c>
      <c r="O2289">
        <v>4155551450</v>
      </c>
      <c r="P2289" t="s">
        <v>273</v>
      </c>
      <c r="R2289" t="s">
        <v>274</v>
      </c>
      <c r="S2289" t="s">
        <v>55</v>
      </c>
      <c r="T2289">
        <v>97562</v>
      </c>
      <c r="U2289" t="s">
        <v>32</v>
      </c>
      <c r="V2289" t="s">
        <v>33</v>
      </c>
      <c r="W2289" t="s">
        <v>275</v>
      </c>
      <c r="X2289" t="s">
        <v>276</v>
      </c>
      <c r="Y2289" t="s">
        <v>36</v>
      </c>
    </row>
    <row r="2290" spans="1:25" x14ac:dyDescent="0.25">
      <c r="A2290">
        <v>10245</v>
      </c>
      <c r="B2290">
        <v>44</v>
      </c>
      <c r="C2290">
        <v>69.16</v>
      </c>
      <c r="D2290">
        <v>5</v>
      </c>
      <c r="E2290">
        <v>3043.04</v>
      </c>
      <c r="F2290" s="1">
        <v>38111</v>
      </c>
      <c r="G2290" t="s">
        <v>25</v>
      </c>
      <c r="H2290">
        <v>2</v>
      </c>
      <c r="I2290">
        <v>5</v>
      </c>
      <c r="J2290">
        <v>2004</v>
      </c>
      <c r="K2290" t="s">
        <v>504</v>
      </c>
      <c r="L2290">
        <v>64</v>
      </c>
      <c r="M2290" t="s">
        <v>654</v>
      </c>
      <c r="N2290" t="s">
        <v>242</v>
      </c>
      <c r="O2290">
        <v>2035559545</v>
      </c>
      <c r="P2290" t="s">
        <v>243</v>
      </c>
      <c r="R2290" t="s">
        <v>244</v>
      </c>
      <c r="S2290" t="s">
        <v>112</v>
      </c>
      <c r="T2290">
        <v>97823</v>
      </c>
      <c r="U2290" t="s">
        <v>32</v>
      </c>
      <c r="V2290" t="s">
        <v>33</v>
      </c>
      <c r="W2290" t="s">
        <v>83</v>
      </c>
      <c r="X2290" t="s">
        <v>245</v>
      </c>
      <c r="Y2290" t="s">
        <v>51</v>
      </c>
    </row>
    <row r="2291" spans="1:25" x14ac:dyDescent="0.25">
      <c r="A2291">
        <v>10258</v>
      </c>
      <c r="B2291">
        <v>20</v>
      </c>
      <c r="C2291">
        <v>61.41</v>
      </c>
      <c r="D2291">
        <v>2</v>
      </c>
      <c r="E2291">
        <v>1228.2</v>
      </c>
      <c r="F2291" s="1">
        <v>38153</v>
      </c>
      <c r="G2291" t="s">
        <v>25</v>
      </c>
      <c r="H2291">
        <v>2</v>
      </c>
      <c r="I2291">
        <v>6</v>
      </c>
      <c r="J2291">
        <v>2004</v>
      </c>
      <c r="K2291" t="s">
        <v>504</v>
      </c>
      <c r="L2291">
        <v>64</v>
      </c>
      <c r="M2291" t="s">
        <v>654</v>
      </c>
      <c r="N2291" t="s">
        <v>246</v>
      </c>
      <c r="O2291" t="s">
        <v>247</v>
      </c>
      <c r="P2291" t="s">
        <v>248</v>
      </c>
      <c r="R2291" t="s">
        <v>249</v>
      </c>
      <c r="S2291" t="s">
        <v>250</v>
      </c>
      <c r="T2291" t="s">
        <v>251</v>
      </c>
      <c r="U2291" t="s">
        <v>200</v>
      </c>
      <c r="V2291" t="s">
        <v>200</v>
      </c>
      <c r="W2291" t="s">
        <v>252</v>
      </c>
      <c r="X2291" t="s">
        <v>253</v>
      </c>
      <c r="Y2291" t="s">
        <v>36</v>
      </c>
    </row>
    <row r="2292" spans="1:25" x14ac:dyDescent="0.25">
      <c r="A2292">
        <v>10270</v>
      </c>
      <c r="B2292">
        <v>21</v>
      </c>
      <c r="C2292">
        <v>63.35</v>
      </c>
      <c r="D2292">
        <v>5</v>
      </c>
      <c r="E2292">
        <v>1330.35</v>
      </c>
      <c r="F2292" s="1">
        <v>38187</v>
      </c>
      <c r="G2292" t="s">
        <v>25</v>
      </c>
      <c r="H2292">
        <v>3</v>
      </c>
      <c r="I2292">
        <v>7</v>
      </c>
      <c r="J2292">
        <v>2004</v>
      </c>
      <c r="K2292" t="s">
        <v>504</v>
      </c>
      <c r="L2292">
        <v>64</v>
      </c>
      <c r="M2292" t="s">
        <v>654</v>
      </c>
      <c r="N2292" t="s">
        <v>152</v>
      </c>
      <c r="O2292" t="s">
        <v>153</v>
      </c>
      <c r="P2292" t="s">
        <v>154</v>
      </c>
      <c r="Q2292" t="s">
        <v>155</v>
      </c>
      <c r="R2292" t="s">
        <v>156</v>
      </c>
      <c r="S2292" t="s">
        <v>157</v>
      </c>
      <c r="T2292">
        <v>2067</v>
      </c>
      <c r="U2292" t="s">
        <v>95</v>
      </c>
      <c r="V2292" t="s">
        <v>96</v>
      </c>
      <c r="W2292" t="s">
        <v>158</v>
      </c>
      <c r="X2292" t="s">
        <v>159</v>
      </c>
      <c r="Y2292" t="s">
        <v>36</v>
      </c>
    </row>
    <row r="2293" spans="1:25" x14ac:dyDescent="0.25">
      <c r="A2293">
        <v>10281</v>
      </c>
      <c r="B2293">
        <v>36</v>
      </c>
      <c r="C2293">
        <v>77.569999999999993</v>
      </c>
      <c r="D2293">
        <v>12</v>
      </c>
      <c r="E2293">
        <v>2792.52</v>
      </c>
      <c r="F2293" s="1">
        <v>38218</v>
      </c>
      <c r="G2293" t="s">
        <v>25</v>
      </c>
      <c r="H2293">
        <v>3</v>
      </c>
      <c r="I2293">
        <v>8</v>
      </c>
      <c r="J2293">
        <v>2004</v>
      </c>
      <c r="K2293" t="s">
        <v>504</v>
      </c>
      <c r="L2293">
        <v>64</v>
      </c>
      <c r="M2293" t="s">
        <v>654</v>
      </c>
      <c r="N2293" t="s">
        <v>139</v>
      </c>
      <c r="O2293">
        <v>2155551555</v>
      </c>
      <c r="P2293" t="s">
        <v>140</v>
      </c>
      <c r="R2293" t="s">
        <v>141</v>
      </c>
      <c r="S2293" t="s">
        <v>142</v>
      </c>
      <c r="T2293">
        <v>70267</v>
      </c>
      <c r="U2293" t="s">
        <v>32</v>
      </c>
      <c r="V2293" t="s">
        <v>33</v>
      </c>
      <c r="W2293" t="s">
        <v>34</v>
      </c>
      <c r="X2293" t="s">
        <v>143</v>
      </c>
      <c r="Y2293" t="s">
        <v>36</v>
      </c>
    </row>
    <row r="2294" spans="1:25" x14ac:dyDescent="0.25">
      <c r="A2294">
        <v>10291</v>
      </c>
      <c r="B2294">
        <v>32</v>
      </c>
      <c r="C2294">
        <v>71.75</v>
      </c>
      <c r="D2294">
        <v>7</v>
      </c>
      <c r="E2294">
        <v>2296</v>
      </c>
      <c r="F2294" s="1">
        <v>38238</v>
      </c>
      <c r="G2294" t="s">
        <v>25</v>
      </c>
      <c r="H2294">
        <v>3</v>
      </c>
      <c r="I2294">
        <v>9</v>
      </c>
      <c r="J2294">
        <v>2004</v>
      </c>
      <c r="K2294" t="s">
        <v>504</v>
      </c>
      <c r="L2294">
        <v>64</v>
      </c>
      <c r="M2294" t="s">
        <v>654</v>
      </c>
      <c r="N2294" t="s">
        <v>261</v>
      </c>
      <c r="O2294" t="s">
        <v>262</v>
      </c>
      <c r="P2294" t="s">
        <v>263</v>
      </c>
      <c r="R2294" t="s">
        <v>264</v>
      </c>
      <c r="T2294" t="s">
        <v>265</v>
      </c>
      <c r="U2294" t="s">
        <v>188</v>
      </c>
      <c r="V2294" t="s">
        <v>42</v>
      </c>
      <c r="W2294" t="s">
        <v>266</v>
      </c>
      <c r="X2294" t="s">
        <v>206</v>
      </c>
      <c r="Y2294" t="s">
        <v>36</v>
      </c>
    </row>
    <row r="2295" spans="1:25" x14ac:dyDescent="0.25">
      <c r="A2295">
        <v>10304</v>
      </c>
      <c r="B2295">
        <v>36</v>
      </c>
      <c r="C2295">
        <v>73.040000000000006</v>
      </c>
      <c r="D2295">
        <v>2</v>
      </c>
      <c r="E2295">
        <v>2629.44</v>
      </c>
      <c r="F2295" s="1">
        <v>38271</v>
      </c>
      <c r="G2295" t="s">
        <v>25</v>
      </c>
      <c r="H2295">
        <v>4</v>
      </c>
      <c r="I2295">
        <v>10</v>
      </c>
      <c r="J2295">
        <v>2004</v>
      </c>
      <c r="K2295" t="s">
        <v>504</v>
      </c>
      <c r="L2295">
        <v>64</v>
      </c>
      <c r="M2295" t="s">
        <v>654</v>
      </c>
      <c r="N2295" t="s">
        <v>267</v>
      </c>
      <c r="O2295" t="s">
        <v>268</v>
      </c>
      <c r="P2295" t="s">
        <v>269</v>
      </c>
      <c r="R2295" t="s">
        <v>270</v>
      </c>
      <c r="T2295">
        <v>78000</v>
      </c>
      <c r="U2295" t="s">
        <v>41</v>
      </c>
      <c r="V2295" t="s">
        <v>42</v>
      </c>
      <c r="W2295" t="s">
        <v>271</v>
      </c>
      <c r="X2295" t="s">
        <v>50</v>
      </c>
      <c r="Y2295" t="s">
        <v>36</v>
      </c>
    </row>
    <row r="2296" spans="1:25" x14ac:dyDescent="0.25">
      <c r="A2296">
        <v>10313</v>
      </c>
      <c r="B2296">
        <v>34</v>
      </c>
      <c r="C2296">
        <v>56.24</v>
      </c>
      <c r="D2296">
        <v>10</v>
      </c>
      <c r="E2296">
        <v>1912.16</v>
      </c>
      <c r="F2296" s="1">
        <v>38282</v>
      </c>
      <c r="G2296" t="s">
        <v>25</v>
      </c>
      <c r="H2296">
        <v>4</v>
      </c>
      <c r="I2296">
        <v>10</v>
      </c>
      <c r="J2296">
        <v>2004</v>
      </c>
      <c r="K2296" t="s">
        <v>504</v>
      </c>
      <c r="L2296">
        <v>64</v>
      </c>
      <c r="M2296" t="s">
        <v>654</v>
      </c>
      <c r="N2296" t="s">
        <v>225</v>
      </c>
      <c r="O2296" t="s">
        <v>226</v>
      </c>
      <c r="P2296" t="s">
        <v>227</v>
      </c>
      <c r="R2296" t="s">
        <v>228</v>
      </c>
      <c r="S2296" t="s">
        <v>229</v>
      </c>
      <c r="T2296" t="s">
        <v>230</v>
      </c>
      <c r="U2296" t="s">
        <v>231</v>
      </c>
      <c r="V2296" t="s">
        <v>33</v>
      </c>
      <c r="W2296" t="s">
        <v>232</v>
      </c>
      <c r="X2296" t="s">
        <v>233</v>
      </c>
      <c r="Y2296" t="s">
        <v>36</v>
      </c>
    </row>
    <row r="2297" spans="1:25" x14ac:dyDescent="0.25">
      <c r="A2297">
        <v>10324</v>
      </c>
      <c r="B2297">
        <v>48</v>
      </c>
      <c r="C2297">
        <v>100</v>
      </c>
      <c r="D2297">
        <v>4</v>
      </c>
      <c r="E2297">
        <v>8209.44</v>
      </c>
      <c r="F2297" s="1">
        <v>38296</v>
      </c>
      <c r="G2297" t="s">
        <v>25</v>
      </c>
      <c r="H2297">
        <v>4</v>
      </c>
      <c r="I2297">
        <v>11</v>
      </c>
      <c r="J2297">
        <v>2004</v>
      </c>
      <c r="K2297" t="s">
        <v>504</v>
      </c>
      <c r="L2297">
        <v>64</v>
      </c>
      <c r="M2297" t="s">
        <v>654</v>
      </c>
      <c r="N2297" t="s">
        <v>99</v>
      </c>
      <c r="O2297">
        <v>2125551500</v>
      </c>
      <c r="P2297" t="s">
        <v>100</v>
      </c>
      <c r="Q2297" t="s">
        <v>101</v>
      </c>
      <c r="R2297" t="s">
        <v>30</v>
      </c>
      <c r="S2297" t="s">
        <v>31</v>
      </c>
      <c r="T2297">
        <v>10022</v>
      </c>
      <c r="U2297" t="s">
        <v>32</v>
      </c>
      <c r="V2297" t="s">
        <v>33</v>
      </c>
      <c r="W2297" t="s">
        <v>102</v>
      </c>
      <c r="X2297" t="s">
        <v>103</v>
      </c>
      <c r="Y2297" t="s">
        <v>151</v>
      </c>
    </row>
    <row r="2298" spans="1:25" x14ac:dyDescent="0.25">
      <c r="A2298">
        <v>10333</v>
      </c>
      <c r="B2298">
        <v>33</v>
      </c>
      <c r="C2298">
        <v>73.69</v>
      </c>
      <c r="D2298">
        <v>4</v>
      </c>
      <c r="E2298">
        <v>2431.77</v>
      </c>
      <c r="F2298" s="1">
        <v>38309</v>
      </c>
      <c r="G2298" t="s">
        <v>25</v>
      </c>
      <c r="H2298">
        <v>4</v>
      </c>
      <c r="I2298">
        <v>11</v>
      </c>
      <c r="J2298">
        <v>2004</v>
      </c>
      <c r="K2298" t="s">
        <v>504</v>
      </c>
      <c r="L2298">
        <v>64</v>
      </c>
      <c r="M2298" t="s">
        <v>654</v>
      </c>
      <c r="N2298" t="s">
        <v>81</v>
      </c>
      <c r="O2298">
        <v>6505555787</v>
      </c>
      <c r="P2298" t="s">
        <v>82</v>
      </c>
      <c r="R2298" t="s">
        <v>60</v>
      </c>
      <c r="S2298" t="s">
        <v>55</v>
      </c>
      <c r="U2298" t="s">
        <v>32</v>
      </c>
      <c r="V2298" t="s">
        <v>33</v>
      </c>
      <c r="W2298" t="s">
        <v>83</v>
      </c>
      <c r="X2298" t="s">
        <v>57</v>
      </c>
      <c r="Y2298" t="s">
        <v>36</v>
      </c>
    </row>
    <row r="2299" spans="1:25" x14ac:dyDescent="0.25">
      <c r="A2299">
        <v>10348</v>
      </c>
      <c r="B2299">
        <v>31</v>
      </c>
      <c r="C2299">
        <v>100</v>
      </c>
      <c r="D2299">
        <v>5</v>
      </c>
      <c r="E2299">
        <v>3139.99</v>
      </c>
      <c r="F2299" s="1">
        <v>38292</v>
      </c>
      <c r="G2299" t="s">
        <v>25</v>
      </c>
      <c r="H2299">
        <v>4</v>
      </c>
      <c r="I2299">
        <v>11</v>
      </c>
      <c r="J2299">
        <v>2004</v>
      </c>
      <c r="K2299" t="s">
        <v>504</v>
      </c>
      <c r="L2299">
        <v>64</v>
      </c>
      <c r="M2299" t="s">
        <v>654</v>
      </c>
      <c r="N2299" t="s">
        <v>191</v>
      </c>
      <c r="O2299" t="s">
        <v>192</v>
      </c>
      <c r="P2299" t="s">
        <v>193</v>
      </c>
      <c r="R2299" t="s">
        <v>177</v>
      </c>
      <c r="T2299">
        <v>28023</v>
      </c>
      <c r="U2299" t="s">
        <v>178</v>
      </c>
      <c r="V2299" t="s">
        <v>42</v>
      </c>
      <c r="W2299" t="s">
        <v>194</v>
      </c>
      <c r="X2299" t="s">
        <v>195</v>
      </c>
      <c r="Y2299" t="s">
        <v>51</v>
      </c>
    </row>
    <row r="2300" spans="1:25" x14ac:dyDescent="0.25">
      <c r="A2300">
        <v>10358</v>
      </c>
      <c r="B2300">
        <v>36</v>
      </c>
      <c r="C2300">
        <v>100</v>
      </c>
      <c r="D2300">
        <v>2</v>
      </c>
      <c r="E2300">
        <v>5669.64</v>
      </c>
      <c r="F2300" s="1">
        <v>38331</v>
      </c>
      <c r="G2300" t="s">
        <v>25</v>
      </c>
      <c r="H2300">
        <v>4</v>
      </c>
      <c r="I2300">
        <v>12</v>
      </c>
      <c r="J2300">
        <v>2004</v>
      </c>
      <c r="K2300" t="s">
        <v>504</v>
      </c>
      <c r="L2300">
        <v>64</v>
      </c>
      <c r="M2300" t="s">
        <v>654</v>
      </c>
      <c r="N2300" t="s">
        <v>174</v>
      </c>
      <c r="O2300" t="s">
        <v>175</v>
      </c>
      <c r="P2300" t="s">
        <v>176</v>
      </c>
      <c r="R2300" t="s">
        <v>177</v>
      </c>
      <c r="T2300">
        <v>28034</v>
      </c>
      <c r="U2300" t="s">
        <v>178</v>
      </c>
      <c r="V2300" t="s">
        <v>42</v>
      </c>
      <c r="W2300" t="s">
        <v>179</v>
      </c>
      <c r="X2300" t="s">
        <v>180</v>
      </c>
      <c r="Y2300" t="s">
        <v>51</v>
      </c>
    </row>
    <row r="2301" spans="1:25" x14ac:dyDescent="0.25">
      <c r="A2301">
        <v>10370</v>
      </c>
      <c r="B2301">
        <v>25</v>
      </c>
      <c r="C2301">
        <v>100</v>
      </c>
      <c r="D2301">
        <v>3</v>
      </c>
      <c r="E2301">
        <v>3160.25</v>
      </c>
      <c r="F2301" s="1">
        <v>38372</v>
      </c>
      <c r="G2301" t="s">
        <v>25</v>
      </c>
      <c r="H2301">
        <v>1</v>
      </c>
      <c r="I2301">
        <v>1</v>
      </c>
      <c r="J2301">
        <v>2005</v>
      </c>
      <c r="K2301" t="s">
        <v>504</v>
      </c>
      <c r="L2301">
        <v>64</v>
      </c>
      <c r="M2301" t="s">
        <v>654</v>
      </c>
      <c r="N2301" t="s">
        <v>285</v>
      </c>
      <c r="O2301" t="s">
        <v>286</v>
      </c>
      <c r="P2301" t="s">
        <v>287</v>
      </c>
      <c r="Q2301" t="s">
        <v>288</v>
      </c>
      <c r="R2301" t="s">
        <v>289</v>
      </c>
      <c r="S2301" t="s">
        <v>157</v>
      </c>
      <c r="T2301">
        <v>2060</v>
      </c>
      <c r="U2301" t="s">
        <v>95</v>
      </c>
      <c r="V2301" t="s">
        <v>96</v>
      </c>
      <c r="W2301" t="s">
        <v>290</v>
      </c>
      <c r="X2301" t="s">
        <v>291</v>
      </c>
      <c r="Y2301" t="s">
        <v>51</v>
      </c>
    </row>
    <row r="2302" spans="1:25" x14ac:dyDescent="0.25">
      <c r="A2302">
        <v>10382</v>
      </c>
      <c r="B2302">
        <v>48</v>
      </c>
      <c r="C2302">
        <v>100</v>
      </c>
      <c r="D2302">
        <v>8</v>
      </c>
      <c r="E2302">
        <v>6799.68</v>
      </c>
      <c r="F2302" s="1">
        <v>38400</v>
      </c>
      <c r="G2302" t="s">
        <v>25</v>
      </c>
      <c r="H2302">
        <v>1</v>
      </c>
      <c r="I2302">
        <v>2</v>
      </c>
      <c r="J2302">
        <v>2005</v>
      </c>
      <c r="K2302" t="s">
        <v>504</v>
      </c>
      <c r="L2302">
        <v>64</v>
      </c>
      <c r="M2302" t="s">
        <v>654</v>
      </c>
      <c r="N2302" t="s">
        <v>272</v>
      </c>
      <c r="O2302">
        <v>4155551450</v>
      </c>
      <c r="P2302" t="s">
        <v>273</v>
      </c>
      <c r="R2302" t="s">
        <v>274</v>
      </c>
      <c r="S2302" t="s">
        <v>55</v>
      </c>
      <c r="T2302">
        <v>97562</v>
      </c>
      <c r="U2302" t="s">
        <v>32</v>
      </c>
      <c r="V2302" t="s">
        <v>33</v>
      </c>
      <c r="W2302" t="s">
        <v>275</v>
      </c>
      <c r="X2302" t="s">
        <v>276</v>
      </c>
      <c r="Y2302" t="s">
        <v>51</v>
      </c>
    </row>
    <row r="2303" spans="1:25" x14ac:dyDescent="0.25">
      <c r="A2303">
        <v>10411</v>
      </c>
      <c r="B2303">
        <v>27</v>
      </c>
      <c r="C2303">
        <v>69.16</v>
      </c>
      <c r="D2303">
        <v>5</v>
      </c>
      <c r="E2303">
        <v>1867.32</v>
      </c>
      <c r="F2303" s="1">
        <v>38473</v>
      </c>
      <c r="G2303" t="s">
        <v>25</v>
      </c>
      <c r="H2303">
        <v>2</v>
      </c>
      <c r="I2303">
        <v>5</v>
      </c>
      <c r="J2303">
        <v>2005</v>
      </c>
      <c r="K2303" t="s">
        <v>504</v>
      </c>
      <c r="L2303">
        <v>64</v>
      </c>
      <c r="M2303" t="s">
        <v>654</v>
      </c>
      <c r="N2303" t="s">
        <v>292</v>
      </c>
      <c r="O2303" t="s">
        <v>293</v>
      </c>
      <c r="P2303" t="s">
        <v>294</v>
      </c>
      <c r="R2303" t="s">
        <v>295</v>
      </c>
      <c r="S2303" t="s">
        <v>296</v>
      </c>
      <c r="T2303" t="s">
        <v>297</v>
      </c>
      <c r="U2303" t="s">
        <v>231</v>
      </c>
      <c r="V2303" t="s">
        <v>33</v>
      </c>
      <c r="W2303" t="s">
        <v>298</v>
      </c>
      <c r="X2303" t="s">
        <v>299</v>
      </c>
      <c r="Y2303" t="s">
        <v>36</v>
      </c>
    </row>
    <row r="2304" spans="1:25" x14ac:dyDescent="0.25">
      <c r="A2304">
        <v>10424</v>
      </c>
      <c r="B2304">
        <v>44</v>
      </c>
      <c r="C2304">
        <v>61.41</v>
      </c>
      <c r="D2304">
        <v>2</v>
      </c>
      <c r="E2304">
        <v>2702.04</v>
      </c>
      <c r="F2304" s="1">
        <v>38503</v>
      </c>
      <c r="G2304" t="s">
        <v>300</v>
      </c>
      <c r="H2304">
        <v>2</v>
      </c>
      <c r="I2304">
        <v>5</v>
      </c>
      <c r="J2304">
        <v>2005</v>
      </c>
      <c r="K2304" t="s">
        <v>504</v>
      </c>
      <c r="L2304">
        <v>64</v>
      </c>
      <c r="M2304" t="s">
        <v>654</v>
      </c>
      <c r="N2304" t="s">
        <v>174</v>
      </c>
      <c r="O2304" t="s">
        <v>175</v>
      </c>
      <c r="P2304" t="s">
        <v>176</v>
      </c>
      <c r="R2304" t="s">
        <v>177</v>
      </c>
      <c r="T2304">
        <v>28034</v>
      </c>
      <c r="U2304" t="s">
        <v>178</v>
      </c>
      <c r="V2304" t="s">
        <v>42</v>
      </c>
      <c r="W2304" t="s">
        <v>179</v>
      </c>
      <c r="X2304" t="s">
        <v>180</v>
      </c>
      <c r="Y2304" t="s">
        <v>36</v>
      </c>
    </row>
    <row r="2305" spans="1:25" x14ac:dyDescent="0.25">
      <c r="A2305">
        <v>10106</v>
      </c>
      <c r="B2305">
        <v>33</v>
      </c>
      <c r="C2305">
        <v>72.92</v>
      </c>
      <c r="D2305">
        <v>5</v>
      </c>
      <c r="E2305">
        <v>2406.36</v>
      </c>
      <c r="F2305" s="1">
        <v>37669</v>
      </c>
      <c r="G2305" t="s">
        <v>25</v>
      </c>
      <c r="H2305">
        <v>1</v>
      </c>
      <c r="I2305">
        <v>2</v>
      </c>
      <c r="J2305">
        <v>2003</v>
      </c>
      <c r="K2305" t="s">
        <v>550</v>
      </c>
      <c r="L2305">
        <v>68</v>
      </c>
      <c r="M2305" t="s">
        <v>655</v>
      </c>
      <c r="N2305" t="s">
        <v>552</v>
      </c>
      <c r="O2305" t="s">
        <v>553</v>
      </c>
      <c r="P2305" t="s">
        <v>554</v>
      </c>
      <c r="R2305" t="s">
        <v>555</v>
      </c>
      <c r="T2305">
        <v>24100</v>
      </c>
      <c r="U2305" t="s">
        <v>258</v>
      </c>
      <c r="V2305" t="s">
        <v>42</v>
      </c>
      <c r="W2305" t="s">
        <v>556</v>
      </c>
      <c r="X2305" t="s">
        <v>557</v>
      </c>
      <c r="Y2305" t="s">
        <v>36</v>
      </c>
    </row>
    <row r="2306" spans="1:25" x14ac:dyDescent="0.25">
      <c r="A2306">
        <v>10120</v>
      </c>
      <c r="B2306">
        <v>29</v>
      </c>
      <c r="C2306">
        <v>72.23</v>
      </c>
      <c r="D2306">
        <v>11</v>
      </c>
      <c r="E2306">
        <v>2094.67</v>
      </c>
      <c r="F2306" s="1">
        <v>37740</v>
      </c>
      <c r="G2306" t="s">
        <v>25</v>
      </c>
      <c r="H2306">
        <v>2</v>
      </c>
      <c r="I2306">
        <v>4</v>
      </c>
      <c r="J2306">
        <v>2003</v>
      </c>
      <c r="K2306" t="s">
        <v>550</v>
      </c>
      <c r="L2306">
        <v>68</v>
      </c>
      <c r="M2306" t="s">
        <v>655</v>
      </c>
      <c r="N2306" t="s">
        <v>89</v>
      </c>
      <c r="O2306" t="s">
        <v>90</v>
      </c>
      <c r="P2306" t="s">
        <v>91</v>
      </c>
      <c r="Q2306" t="s">
        <v>92</v>
      </c>
      <c r="R2306" t="s">
        <v>93</v>
      </c>
      <c r="S2306" t="s">
        <v>94</v>
      </c>
      <c r="T2306">
        <v>3004</v>
      </c>
      <c r="U2306" t="s">
        <v>95</v>
      </c>
      <c r="V2306" t="s">
        <v>96</v>
      </c>
      <c r="W2306" t="s">
        <v>97</v>
      </c>
      <c r="X2306" t="s">
        <v>98</v>
      </c>
      <c r="Y2306" t="s">
        <v>36</v>
      </c>
    </row>
    <row r="2307" spans="1:25" x14ac:dyDescent="0.25">
      <c r="A2307">
        <v>10133</v>
      </c>
      <c r="B2307">
        <v>49</v>
      </c>
      <c r="C2307">
        <v>57.1</v>
      </c>
      <c r="D2307">
        <v>6</v>
      </c>
      <c r="E2307">
        <v>2797.9</v>
      </c>
      <c r="F2307" s="1">
        <v>37799</v>
      </c>
      <c r="G2307" t="s">
        <v>25</v>
      </c>
      <c r="H2307">
        <v>2</v>
      </c>
      <c r="I2307">
        <v>6</v>
      </c>
      <c r="J2307">
        <v>2003</v>
      </c>
      <c r="K2307" t="s">
        <v>550</v>
      </c>
      <c r="L2307">
        <v>68</v>
      </c>
      <c r="M2307" t="s">
        <v>655</v>
      </c>
      <c r="N2307" t="s">
        <v>174</v>
      </c>
      <c r="O2307" t="s">
        <v>175</v>
      </c>
      <c r="P2307" t="s">
        <v>176</v>
      </c>
      <c r="R2307" t="s">
        <v>177</v>
      </c>
      <c r="T2307">
        <v>28034</v>
      </c>
      <c r="U2307" t="s">
        <v>178</v>
      </c>
      <c r="V2307" t="s">
        <v>42</v>
      </c>
      <c r="W2307" t="s">
        <v>179</v>
      </c>
      <c r="X2307" t="s">
        <v>180</v>
      </c>
      <c r="Y2307" t="s">
        <v>36</v>
      </c>
    </row>
    <row r="2308" spans="1:25" x14ac:dyDescent="0.25">
      <c r="A2308">
        <v>10144</v>
      </c>
      <c r="B2308">
        <v>20</v>
      </c>
      <c r="C2308">
        <v>81.86</v>
      </c>
      <c r="D2308">
        <v>1</v>
      </c>
      <c r="E2308">
        <v>1637.2</v>
      </c>
      <c r="F2308" s="1">
        <v>37846</v>
      </c>
      <c r="G2308" t="s">
        <v>25</v>
      </c>
      <c r="H2308">
        <v>3</v>
      </c>
      <c r="I2308">
        <v>8</v>
      </c>
      <c r="J2308">
        <v>2003</v>
      </c>
      <c r="K2308" t="s">
        <v>550</v>
      </c>
      <c r="L2308">
        <v>68</v>
      </c>
      <c r="M2308" t="s">
        <v>655</v>
      </c>
      <c r="N2308" t="s">
        <v>577</v>
      </c>
      <c r="O2308" t="s">
        <v>578</v>
      </c>
      <c r="P2308" t="s">
        <v>579</v>
      </c>
      <c r="R2308" t="s">
        <v>580</v>
      </c>
      <c r="T2308" t="s">
        <v>581</v>
      </c>
      <c r="U2308" t="s">
        <v>370</v>
      </c>
      <c r="V2308" t="s">
        <v>42</v>
      </c>
      <c r="W2308" t="s">
        <v>582</v>
      </c>
      <c r="X2308" t="s">
        <v>583</v>
      </c>
      <c r="Y2308" t="s">
        <v>36</v>
      </c>
    </row>
    <row r="2309" spans="1:25" x14ac:dyDescent="0.25">
      <c r="A2309">
        <v>10168</v>
      </c>
      <c r="B2309">
        <v>31</v>
      </c>
      <c r="C2309">
        <v>73.61</v>
      </c>
      <c r="D2309">
        <v>12</v>
      </c>
      <c r="E2309">
        <v>2281.91</v>
      </c>
      <c r="F2309" s="1">
        <v>37922</v>
      </c>
      <c r="G2309" t="s">
        <v>25</v>
      </c>
      <c r="H2309">
        <v>4</v>
      </c>
      <c r="I2309">
        <v>10</v>
      </c>
      <c r="J2309">
        <v>2003</v>
      </c>
      <c r="K2309" t="s">
        <v>550</v>
      </c>
      <c r="L2309">
        <v>68</v>
      </c>
      <c r="M2309" t="s">
        <v>655</v>
      </c>
      <c r="N2309" t="s">
        <v>62</v>
      </c>
      <c r="O2309">
        <v>6505556809</v>
      </c>
      <c r="P2309" t="s">
        <v>63</v>
      </c>
      <c r="R2309" t="s">
        <v>64</v>
      </c>
      <c r="S2309" t="s">
        <v>55</v>
      </c>
      <c r="T2309">
        <v>94217</v>
      </c>
      <c r="U2309" t="s">
        <v>32</v>
      </c>
      <c r="V2309" t="s">
        <v>33</v>
      </c>
      <c r="W2309" t="s">
        <v>65</v>
      </c>
      <c r="X2309" t="s">
        <v>66</v>
      </c>
      <c r="Y2309" t="s">
        <v>36</v>
      </c>
    </row>
    <row r="2310" spans="1:25" x14ac:dyDescent="0.25">
      <c r="A2310">
        <v>10210</v>
      </c>
      <c r="B2310">
        <v>39</v>
      </c>
      <c r="C2310">
        <v>59.16</v>
      </c>
      <c r="D2310">
        <v>10</v>
      </c>
      <c r="E2310">
        <v>2307.2399999999998</v>
      </c>
      <c r="F2310" s="1">
        <v>37998</v>
      </c>
      <c r="G2310" t="s">
        <v>25</v>
      </c>
      <c r="H2310">
        <v>1</v>
      </c>
      <c r="I2310">
        <v>1</v>
      </c>
      <c r="J2310">
        <v>2004</v>
      </c>
      <c r="K2310" t="s">
        <v>550</v>
      </c>
      <c r="L2310">
        <v>68</v>
      </c>
      <c r="M2310" t="s">
        <v>655</v>
      </c>
      <c r="N2310" t="s">
        <v>302</v>
      </c>
      <c r="O2310" t="s">
        <v>303</v>
      </c>
      <c r="P2310" t="s">
        <v>304</v>
      </c>
      <c r="R2310" t="s">
        <v>305</v>
      </c>
      <c r="S2310" t="s">
        <v>305</v>
      </c>
      <c r="T2310" t="s">
        <v>306</v>
      </c>
      <c r="U2310" t="s">
        <v>200</v>
      </c>
      <c r="V2310" t="s">
        <v>200</v>
      </c>
      <c r="W2310" t="s">
        <v>307</v>
      </c>
      <c r="X2310" t="s">
        <v>308</v>
      </c>
      <c r="Y2310" t="s">
        <v>36</v>
      </c>
    </row>
    <row r="2311" spans="1:25" x14ac:dyDescent="0.25">
      <c r="A2311">
        <v>10223</v>
      </c>
      <c r="B2311">
        <v>20</v>
      </c>
      <c r="C2311">
        <v>66.040000000000006</v>
      </c>
      <c r="D2311">
        <v>12</v>
      </c>
      <c r="E2311">
        <v>1320.8</v>
      </c>
      <c r="F2311" s="1">
        <v>38037</v>
      </c>
      <c r="G2311" t="s">
        <v>25</v>
      </c>
      <c r="H2311">
        <v>1</v>
      </c>
      <c r="I2311">
        <v>2</v>
      </c>
      <c r="J2311">
        <v>2004</v>
      </c>
      <c r="K2311" t="s">
        <v>550</v>
      </c>
      <c r="L2311">
        <v>68</v>
      </c>
      <c r="M2311" t="s">
        <v>655</v>
      </c>
      <c r="N2311" t="s">
        <v>89</v>
      </c>
      <c r="O2311" t="s">
        <v>90</v>
      </c>
      <c r="P2311" t="s">
        <v>91</v>
      </c>
      <c r="Q2311" t="s">
        <v>92</v>
      </c>
      <c r="R2311" t="s">
        <v>93</v>
      </c>
      <c r="S2311" t="s">
        <v>94</v>
      </c>
      <c r="T2311">
        <v>3004</v>
      </c>
      <c r="U2311" t="s">
        <v>95</v>
      </c>
      <c r="V2311" t="s">
        <v>96</v>
      </c>
      <c r="W2311" t="s">
        <v>97</v>
      </c>
      <c r="X2311" t="s">
        <v>98</v>
      </c>
      <c r="Y2311" t="s">
        <v>36</v>
      </c>
    </row>
    <row r="2312" spans="1:25" x14ac:dyDescent="0.25">
      <c r="A2312">
        <v>10235</v>
      </c>
      <c r="B2312">
        <v>34</v>
      </c>
      <c r="C2312">
        <v>77.73</v>
      </c>
      <c r="D2312">
        <v>6</v>
      </c>
      <c r="E2312">
        <v>2642.82</v>
      </c>
      <c r="F2312" s="1">
        <v>38079</v>
      </c>
      <c r="G2312" t="s">
        <v>25</v>
      </c>
      <c r="H2312">
        <v>2</v>
      </c>
      <c r="I2312">
        <v>4</v>
      </c>
      <c r="J2312">
        <v>2004</v>
      </c>
      <c r="K2312" t="s">
        <v>550</v>
      </c>
      <c r="L2312">
        <v>68</v>
      </c>
      <c r="M2312" t="s">
        <v>655</v>
      </c>
      <c r="N2312" t="s">
        <v>373</v>
      </c>
      <c r="O2312" t="s">
        <v>374</v>
      </c>
      <c r="P2312" t="s">
        <v>375</v>
      </c>
      <c r="R2312" t="s">
        <v>376</v>
      </c>
      <c r="S2312" t="s">
        <v>229</v>
      </c>
      <c r="T2312" t="s">
        <v>377</v>
      </c>
      <c r="U2312" t="s">
        <v>231</v>
      </c>
      <c r="V2312" t="s">
        <v>33</v>
      </c>
      <c r="W2312" t="s">
        <v>378</v>
      </c>
      <c r="X2312" t="s">
        <v>172</v>
      </c>
      <c r="Y2312" t="s">
        <v>36</v>
      </c>
    </row>
    <row r="2313" spans="1:25" x14ac:dyDescent="0.25">
      <c r="A2313">
        <v>10250</v>
      </c>
      <c r="B2313">
        <v>50</v>
      </c>
      <c r="C2313">
        <v>61.22</v>
      </c>
      <c r="D2313">
        <v>7</v>
      </c>
      <c r="E2313">
        <v>3061</v>
      </c>
      <c r="F2313" s="1">
        <v>38118</v>
      </c>
      <c r="G2313" t="s">
        <v>25</v>
      </c>
      <c r="H2313">
        <v>2</v>
      </c>
      <c r="I2313">
        <v>5</v>
      </c>
      <c r="J2313">
        <v>2004</v>
      </c>
      <c r="K2313" t="s">
        <v>550</v>
      </c>
      <c r="L2313">
        <v>68</v>
      </c>
      <c r="M2313" t="s">
        <v>655</v>
      </c>
      <c r="N2313" t="s">
        <v>397</v>
      </c>
      <c r="O2313">
        <v>4085553659</v>
      </c>
      <c r="P2313" t="s">
        <v>398</v>
      </c>
      <c r="R2313" t="s">
        <v>399</v>
      </c>
      <c r="S2313" t="s">
        <v>55</v>
      </c>
      <c r="T2313">
        <v>94217</v>
      </c>
      <c r="U2313" t="s">
        <v>32</v>
      </c>
      <c r="V2313" t="s">
        <v>33</v>
      </c>
      <c r="W2313" t="s">
        <v>102</v>
      </c>
      <c r="X2313" t="s">
        <v>400</v>
      </c>
      <c r="Y2313" t="s">
        <v>51</v>
      </c>
    </row>
    <row r="2314" spans="1:25" x14ac:dyDescent="0.25">
      <c r="A2314">
        <v>10262</v>
      </c>
      <c r="B2314">
        <v>40</v>
      </c>
      <c r="C2314">
        <v>79.11</v>
      </c>
      <c r="D2314">
        <v>2</v>
      </c>
      <c r="E2314">
        <v>3164.4</v>
      </c>
      <c r="F2314" s="1">
        <v>38162</v>
      </c>
      <c r="G2314" t="s">
        <v>339</v>
      </c>
      <c r="H2314">
        <v>2</v>
      </c>
      <c r="I2314">
        <v>6</v>
      </c>
      <c r="J2314">
        <v>2004</v>
      </c>
      <c r="K2314" t="s">
        <v>550</v>
      </c>
      <c r="L2314">
        <v>68</v>
      </c>
      <c r="M2314" t="s">
        <v>655</v>
      </c>
      <c r="N2314" t="s">
        <v>174</v>
      </c>
      <c r="O2314" t="s">
        <v>175</v>
      </c>
      <c r="P2314" t="s">
        <v>176</v>
      </c>
      <c r="R2314" t="s">
        <v>177</v>
      </c>
      <c r="T2314">
        <v>28034</v>
      </c>
      <c r="U2314" t="s">
        <v>178</v>
      </c>
      <c r="V2314" t="s">
        <v>42</v>
      </c>
      <c r="W2314" t="s">
        <v>179</v>
      </c>
      <c r="X2314" t="s">
        <v>180</v>
      </c>
      <c r="Y2314" t="s">
        <v>51</v>
      </c>
    </row>
    <row r="2315" spans="1:25" x14ac:dyDescent="0.25">
      <c r="A2315">
        <v>10275</v>
      </c>
      <c r="B2315">
        <v>28</v>
      </c>
      <c r="C2315">
        <v>63.97</v>
      </c>
      <c r="D2315">
        <v>12</v>
      </c>
      <c r="E2315">
        <v>1791.16</v>
      </c>
      <c r="F2315" s="1">
        <v>38191</v>
      </c>
      <c r="G2315" t="s">
        <v>25</v>
      </c>
      <c r="H2315">
        <v>3</v>
      </c>
      <c r="I2315">
        <v>7</v>
      </c>
      <c r="J2315">
        <v>2004</v>
      </c>
      <c r="K2315" t="s">
        <v>550</v>
      </c>
      <c r="L2315">
        <v>68</v>
      </c>
      <c r="M2315" t="s">
        <v>655</v>
      </c>
      <c r="N2315" t="s">
        <v>114</v>
      </c>
      <c r="O2315" t="s">
        <v>115</v>
      </c>
      <c r="P2315" t="s">
        <v>116</v>
      </c>
      <c r="R2315" t="s">
        <v>117</v>
      </c>
      <c r="T2315">
        <v>44000</v>
      </c>
      <c r="U2315" t="s">
        <v>41</v>
      </c>
      <c r="V2315" t="s">
        <v>42</v>
      </c>
      <c r="W2315" t="s">
        <v>118</v>
      </c>
      <c r="X2315" t="s">
        <v>119</v>
      </c>
      <c r="Y2315" t="s">
        <v>36</v>
      </c>
    </row>
    <row r="2316" spans="1:25" x14ac:dyDescent="0.25">
      <c r="A2316">
        <v>10284</v>
      </c>
      <c r="B2316">
        <v>50</v>
      </c>
      <c r="C2316">
        <v>81.86</v>
      </c>
      <c r="D2316">
        <v>4</v>
      </c>
      <c r="E2316">
        <v>4093</v>
      </c>
      <c r="F2316" s="1">
        <v>38220</v>
      </c>
      <c r="G2316" t="s">
        <v>25</v>
      </c>
      <c r="H2316">
        <v>3</v>
      </c>
      <c r="I2316">
        <v>8</v>
      </c>
      <c r="J2316">
        <v>2004</v>
      </c>
      <c r="K2316" t="s">
        <v>550</v>
      </c>
      <c r="L2316">
        <v>68</v>
      </c>
      <c r="M2316" t="s">
        <v>655</v>
      </c>
      <c r="N2316" t="s">
        <v>543</v>
      </c>
      <c r="O2316" t="s">
        <v>544</v>
      </c>
      <c r="P2316" t="s">
        <v>545</v>
      </c>
      <c r="R2316" t="s">
        <v>546</v>
      </c>
      <c r="T2316" t="s">
        <v>547</v>
      </c>
      <c r="U2316" t="s">
        <v>78</v>
      </c>
      <c r="V2316" t="s">
        <v>42</v>
      </c>
      <c r="W2316" t="s">
        <v>548</v>
      </c>
      <c r="X2316" t="s">
        <v>549</v>
      </c>
      <c r="Y2316" t="s">
        <v>51</v>
      </c>
    </row>
    <row r="2317" spans="1:25" x14ac:dyDescent="0.25">
      <c r="A2317">
        <v>10297</v>
      </c>
      <c r="B2317">
        <v>28</v>
      </c>
      <c r="C2317">
        <v>79.8</v>
      </c>
      <c r="D2317">
        <v>7</v>
      </c>
      <c r="E2317">
        <v>2234.4</v>
      </c>
      <c r="F2317" s="1">
        <v>38246</v>
      </c>
      <c r="G2317" t="s">
        <v>25</v>
      </c>
      <c r="H2317">
        <v>3</v>
      </c>
      <c r="I2317">
        <v>9</v>
      </c>
      <c r="J2317">
        <v>2004</v>
      </c>
      <c r="K2317" t="s">
        <v>550</v>
      </c>
      <c r="L2317">
        <v>68</v>
      </c>
      <c r="M2317" t="s">
        <v>655</v>
      </c>
      <c r="N2317" t="s">
        <v>479</v>
      </c>
      <c r="O2317" t="s">
        <v>480</v>
      </c>
      <c r="P2317" t="s">
        <v>481</v>
      </c>
      <c r="Q2317" t="s">
        <v>482</v>
      </c>
      <c r="R2317" t="s">
        <v>483</v>
      </c>
      <c r="T2317">
        <v>2</v>
      </c>
      <c r="U2317" t="s">
        <v>484</v>
      </c>
      <c r="V2317" t="s">
        <v>42</v>
      </c>
      <c r="W2317" t="s">
        <v>485</v>
      </c>
      <c r="X2317" t="s">
        <v>486</v>
      </c>
      <c r="Y2317" t="s">
        <v>36</v>
      </c>
    </row>
    <row r="2318" spans="1:25" x14ac:dyDescent="0.25">
      <c r="A2318">
        <v>10308</v>
      </c>
      <c r="B2318">
        <v>46</v>
      </c>
      <c r="C2318">
        <v>66.040000000000006</v>
      </c>
      <c r="D2318">
        <v>10</v>
      </c>
      <c r="E2318">
        <v>3037.84</v>
      </c>
      <c r="F2318" s="1">
        <v>38275</v>
      </c>
      <c r="G2318" t="s">
        <v>25</v>
      </c>
      <c r="H2318">
        <v>4</v>
      </c>
      <c r="I2318">
        <v>10</v>
      </c>
      <c r="J2318">
        <v>2004</v>
      </c>
      <c r="K2318" t="s">
        <v>550</v>
      </c>
      <c r="L2318">
        <v>68</v>
      </c>
      <c r="M2318" t="s">
        <v>655</v>
      </c>
      <c r="N2318" t="s">
        <v>317</v>
      </c>
      <c r="O2318">
        <v>9145554562</v>
      </c>
      <c r="P2318" t="s">
        <v>318</v>
      </c>
      <c r="R2318" t="s">
        <v>319</v>
      </c>
      <c r="S2318" t="s">
        <v>31</v>
      </c>
      <c r="T2318">
        <v>24067</v>
      </c>
      <c r="U2318" t="s">
        <v>32</v>
      </c>
      <c r="V2318" t="s">
        <v>33</v>
      </c>
      <c r="W2318" t="s">
        <v>102</v>
      </c>
      <c r="X2318" t="s">
        <v>238</v>
      </c>
      <c r="Y2318" t="s">
        <v>51</v>
      </c>
    </row>
    <row r="2319" spans="1:25" x14ac:dyDescent="0.25">
      <c r="A2319">
        <v>10316</v>
      </c>
      <c r="B2319">
        <v>24</v>
      </c>
      <c r="C2319">
        <v>59.16</v>
      </c>
      <c r="D2319">
        <v>2</v>
      </c>
      <c r="E2319">
        <v>1419.84</v>
      </c>
      <c r="F2319" s="1">
        <v>38292</v>
      </c>
      <c r="G2319" t="s">
        <v>25</v>
      </c>
      <c r="H2319">
        <v>4</v>
      </c>
      <c r="I2319">
        <v>11</v>
      </c>
      <c r="J2319">
        <v>2004</v>
      </c>
      <c r="K2319" t="s">
        <v>550</v>
      </c>
      <c r="L2319">
        <v>68</v>
      </c>
      <c r="M2319" t="s">
        <v>655</v>
      </c>
      <c r="N2319" t="s">
        <v>383</v>
      </c>
      <c r="O2319" t="s">
        <v>384</v>
      </c>
      <c r="P2319" t="s">
        <v>385</v>
      </c>
      <c r="R2319" t="s">
        <v>386</v>
      </c>
      <c r="S2319" t="s">
        <v>387</v>
      </c>
      <c r="T2319" t="s">
        <v>388</v>
      </c>
      <c r="U2319" t="s">
        <v>170</v>
      </c>
      <c r="V2319" t="s">
        <v>42</v>
      </c>
      <c r="W2319" t="s">
        <v>389</v>
      </c>
      <c r="X2319" t="s">
        <v>390</v>
      </c>
      <c r="Y2319" t="s">
        <v>36</v>
      </c>
    </row>
    <row r="2320" spans="1:25" x14ac:dyDescent="0.25">
      <c r="A2320">
        <v>10328</v>
      </c>
      <c r="B2320">
        <v>24</v>
      </c>
      <c r="C2320">
        <v>81.17</v>
      </c>
      <c r="D2320">
        <v>5</v>
      </c>
      <c r="E2320">
        <v>1948.08</v>
      </c>
      <c r="F2320" s="1">
        <v>38303</v>
      </c>
      <c r="G2320" t="s">
        <v>25</v>
      </c>
      <c r="H2320">
        <v>4</v>
      </c>
      <c r="I2320">
        <v>11</v>
      </c>
      <c r="J2320">
        <v>2004</v>
      </c>
      <c r="K2320" t="s">
        <v>550</v>
      </c>
      <c r="L2320">
        <v>68</v>
      </c>
      <c r="M2320" t="s">
        <v>655</v>
      </c>
      <c r="N2320" t="s">
        <v>552</v>
      </c>
      <c r="O2320" t="s">
        <v>553</v>
      </c>
      <c r="P2320" t="s">
        <v>554</v>
      </c>
      <c r="R2320" t="s">
        <v>555</v>
      </c>
      <c r="T2320">
        <v>24100</v>
      </c>
      <c r="U2320" t="s">
        <v>258</v>
      </c>
      <c r="V2320" t="s">
        <v>42</v>
      </c>
      <c r="W2320" t="s">
        <v>556</v>
      </c>
      <c r="X2320" t="s">
        <v>557</v>
      </c>
      <c r="Y2320" t="s">
        <v>36</v>
      </c>
    </row>
    <row r="2321" spans="1:25" x14ac:dyDescent="0.25">
      <c r="A2321">
        <v>10340</v>
      </c>
      <c r="B2321">
        <v>39</v>
      </c>
      <c r="C2321">
        <v>59.16</v>
      </c>
      <c r="D2321">
        <v>3</v>
      </c>
      <c r="E2321">
        <v>2307.2399999999998</v>
      </c>
      <c r="F2321" s="1">
        <v>38315</v>
      </c>
      <c r="G2321" t="s">
        <v>25</v>
      </c>
      <c r="H2321">
        <v>4</v>
      </c>
      <c r="I2321">
        <v>11</v>
      </c>
      <c r="J2321">
        <v>2004</v>
      </c>
      <c r="K2321" t="s">
        <v>550</v>
      </c>
      <c r="L2321">
        <v>68</v>
      </c>
      <c r="M2321" t="s">
        <v>655</v>
      </c>
      <c r="N2321" t="s">
        <v>352</v>
      </c>
      <c r="O2321" t="s">
        <v>353</v>
      </c>
      <c r="P2321" t="s">
        <v>354</v>
      </c>
      <c r="R2321" t="s">
        <v>355</v>
      </c>
      <c r="T2321">
        <v>8022</v>
      </c>
      <c r="U2321" t="s">
        <v>178</v>
      </c>
      <c r="V2321" t="s">
        <v>42</v>
      </c>
      <c r="W2321" t="s">
        <v>356</v>
      </c>
      <c r="X2321" t="s">
        <v>357</v>
      </c>
      <c r="Y2321" t="s">
        <v>36</v>
      </c>
    </row>
    <row r="2322" spans="1:25" x14ac:dyDescent="0.25">
      <c r="A2322">
        <v>10353</v>
      </c>
      <c r="B2322">
        <v>40</v>
      </c>
      <c r="C2322">
        <v>44.51</v>
      </c>
      <c r="D2322">
        <v>7</v>
      </c>
      <c r="E2322">
        <v>1780.4</v>
      </c>
      <c r="F2322" s="1">
        <v>38325</v>
      </c>
      <c r="G2322" t="s">
        <v>25</v>
      </c>
      <c r="H2322">
        <v>4</v>
      </c>
      <c r="I2322">
        <v>12</v>
      </c>
      <c r="J2322">
        <v>2004</v>
      </c>
      <c r="K2322" t="s">
        <v>550</v>
      </c>
      <c r="L2322">
        <v>68</v>
      </c>
      <c r="M2322" t="s">
        <v>655</v>
      </c>
      <c r="N2322" t="s">
        <v>568</v>
      </c>
      <c r="O2322">
        <v>2035554407</v>
      </c>
      <c r="P2322" t="s">
        <v>569</v>
      </c>
      <c r="R2322" t="s">
        <v>516</v>
      </c>
      <c r="S2322" t="s">
        <v>112</v>
      </c>
      <c r="T2322">
        <v>97561</v>
      </c>
      <c r="U2322" t="s">
        <v>32</v>
      </c>
      <c r="V2322" t="s">
        <v>33</v>
      </c>
      <c r="W2322" t="s">
        <v>570</v>
      </c>
      <c r="X2322" t="s">
        <v>571</v>
      </c>
      <c r="Y2322" t="s">
        <v>36</v>
      </c>
    </row>
    <row r="2323" spans="1:25" x14ac:dyDescent="0.25">
      <c r="A2323">
        <v>10361</v>
      </c>
      <c r="B2323">
        <v>49</v>
      </c>
      <c r="C2323">
        <v>72.33</v>
      </c>
      <c r="D2323">
        <v>2</v>
      </c>
      <c r="E2323">
        <v>3544.17</v>
      </c>
      <c r="F2323" s="1">
        <v>38338</v>
      </c>
      <c r="G2323" t="s">
        <v>25</v>
      </c>
      <c r="H2323">
        <v>4</v>
      </c>
      <c r="I2323">
        <v>12</v>
      </c>
      <c r="J2323">
        <v>2004</v>
      </c>
      <c r="K2323" t="s">
        <v>550</v>
      </c>
      <c r="L2323">
        <v>68</v>
      </c>
      <c r="M2323" t="s">
        <v>655</v>
      </c>
      <c r="N2323" t="s">
        <v>152</v>
      </c>
      <c r="O2323" t="s">
        <v>153</v>
      </c>
      <c r="P2323" t="s">
        <v>154</v>
      </c>
      <c r="Q2323" t="s">
        <v>155</v>
      </c>
      <c r="R2323" t="s">
        <v>156</v>
      </c>
      <c r="S2323" t="s">
        <v>157</v>
      </c>
      <c r="T2323">
        <v>2067</v>
      </c>
      <c r="U2323" t="s">
        <v>95</v>
      </c>
      <c r="V2323" t="s">
        <v>96</v>
      </c>
      <c r="W2323" t="s">
        <v>158</v>
      </c>
      <c r="X2323" t="s">
        <v>159</v>
      </c>
      <c r="Y2323" t="s">
        <v>51</v>
      </c>
    </row>
    <row r="2324" spans="1:25" x14ac:dyDescent="0.25">
      <c r="A2324">
        <v>10375</v>
      </c>
      <c r="B2324">
        <v>44</v>
      </c>
      <c r="C2324">
        <v>82.26</v>
      </c>
      <c r="D2324">
        <v>4</v>
      </c>
      <c r="E2324">
        <v>3619.44</v>
      </c>
      <c r="F2324" s="1">
        <v>38386</v>
      </c>
      <c r="G2324" t="s">
        <v>25</v>
      </c>
      <c r="H2324">
        <v>1</v>
      </c>
      <c r="I2324">
        <v>2</v>
      </c>
      <c r="J2324">
        <v>2005</v>
      </c>
      <c r="K2324" t="s">
        <v>550</v>
      </c>
      <c r="L2324">
        <v>68</v>
      </c>
      <c r="M2324" t="s">
        <v>655</v>
      </c>
      <c r="N2324" t="s">
        <v>114</v>
      </c>
      <c r="O2324" t="s">
        <v>115</v>
      </c>
      <c r="P2324" t="s">
        <v>116</v>
      </c>
      <c r="R2324" t="s">
        <v>117</v>
      </c>
      <c r="T2324">
        <v>44000</v>
      </c>
      <c r="U2324" t="s">
        <v>41</v>
      </c>
      <c r="V2324" t="s">
        <v>42</v>
      </c>
      <c r="W2324" t="s">
        <v>118</v>
      </c>
      <c r="X2324" t="s">
        <v>119</v>
      </c>
      <c r="Y2324" t="s">
        <v>51</v>
      </c>
    </row>
    <row r="2325" spans="1:25" x14ac:dyDescent="0.25">
      <c r="A2325">
        <v>10388</v>
      </c>
      <c r="B2325">
        <v>35</v>
      </c>
      <c r="C2325">
        <v>100</v>
      </c>
      <c r="D2325">
        <v>8</v>
      </c>
      <c r="E2325">
        <v>3918.95</v>
      </c>
      <c r="F2325" s="1">
        <v>38414</v>
      </c>
      <c r="G2325" t="s">
        <v>25</v>
      </c>
      <c r="H2325">
        <v>1</v>
      </c>
      <c r="I2325">
        <v>3</v>
      </c>
      <c r="J2325">
        <v>2005</v>
      </c>
      <c r="K2325" t="s">
        <v>550</v>
      </c>
      <c r="L2325">
        <v>68</v>
      </c>
      <c r="M2325" t="s">
        <v>655</v>
      </c>
      <c r="N2325" t="s">
        <v>160</v>
      </c>
      <c r="O2325">
        <v>5085552555</v>
      </c>
      <c r="P2325" t="s">
        <v>161</v>
      </c>
      <c r="R2325" t="s">
        <v>162</v>
      </c>
      <c r="S2325" t="s">
        <v>123</v>
      </c>
      <c r="T2325">
        <v>50553</v>
      </c>
      <c r="U2325" t="s">
        <v>32</v>
      </c>
      <c r="V2325" t="s">
        <v>33</v>
      </c>
      <c r="W2325" t="s">
        <v>163</v>
      </c>
      <c r="X2325" t="s">
        <v>164</v>
      </c>
      <c r="Y2325" t="s">
        <v>51</v>
      </c>
    </row>
    <row r="2326" spans="1:25" x14ac:dyDescent="0.25">
      <c r="A2326">
        <v>10398</v>
      </c>
      <c r="B2326">
        <v>22</v>
      </c>
      <c r="C2326">
        <v>67.41</v>
      </c>
      <c r="D2326">
        <v>4</v>
      </c>
      <c r="E2326">
        <v>1483.02</v>
      </c>
      <c r="F2326" s="1">
        <v>38441</v>
      </c>
      <c r="G2326" t="s">
        <v>25</v>
      </c>
      <c r="H2326">
        <v>1</v>
      </c>
      <c r="I2326">
        <v>3</v>
      </c>
      <c r="J2326">
        <v>2005</v>
      </c>
      <c r="K2326" t="s">
        <v>550</v>
      </c>
      <c r="L2326">
        <v>68</v>
      </c>
      <c r="M2326" t="s">
        <v>655</v>
      </c>
      <c r="N2326" t="s">
        <v>37</v>
      </c>
      <c r="O2326" t="s">
        <v>38</v>
      </c>
      <c r="P2326" t="s">
        <v>39</v>
      </c>
      <c r="R2326" t="s">
        <v>40</v>
      </c>
      <c r="T2326">
        <v>51100</v>
      </c>
      <c r="U2326" t="s">
        <v>41</v>
      </c>
      <c r="V2326" t="s">
        <v>42</v>
      </c>
      <c r="W2326" t="s">
        <v>43</v>
      </c>
      <c r="X2326" t="s">
        <v>44</v>
      </c>
      <c r="Y2326" t="s">
        <v>36</v>
      </c>
    </row>
    <row r="2327" spans="1:25" x14ac:dyDescent="0.25">
      <c r="A2327">
        <v>10401</v>
      </c>
      <c r="B2327">
        <v>62</v>
      </c>
      <c r="C2327">
        <v>77.73</v>
      </c>
      <c r="D2327">
        <v>6</v>
      </c>
      <c r="E2327">
        <v>4819.26</v>
      </c>
      <c r="F2327" s="1">
        <v>38445</v>
      </c>
      <c r="G2327" t="s">
        <v>401</v>
      </c>
      <c r="H2327">
        <v>2</v>
      </c>
      <c r="I2327">
        <v>4</v>
      </c>
      <c r="J2327">
        <v>2005</v>
      </c>
      <c r="K2327" t="s">
        <v>550</v>
      </c>
      <c r="L2327">
        <v>68</v>
      </c>
      <c r="M2327" t="s">
        <v>655</v>
      </c>
      <c r="N2327" t="s">
        <v>104</v>
      </c>
      <c r="O2327">
        <v>2015559350</v>
      </c>
      <c r="P2327" t="s">
        <v>105</v>
      </c>
      <c r="R2327" t="s">
        <v>106</v>
      </c>
      <c r="S2327" t="s">
        <v>107</v>
      </c>
      <c r="T2327">
        <v>94019</v>
      </c>
      <c r="U2327" t="s">
        <v>32</v>
      </c>
      <c r="V2327" t="s">
        <v>33</v>
      </c>
      <c r="W2327" t="s">
        <v>61</v>
      </c>
      <c r="X2327" t="s">
        <v>108</v>
      </c>
      <c r="Y2327" t="s">
        <v>51</v>
      </c>
    </row>
    <row r="2328" spans="1:25" x14ac:dyDescent="0.25">
      <c r="A2328">
        <v>10416</v>
      </c>
      <c r="B2328">
        <v>26</v>
      </c>
      <c r="C2328">
        <v>61.22</v>
      </c>
      <c r="D2328">
        <v>7</v>
      </c>
      <c r="E2328">
        <v>1591.72</v>
      </c>
      <c r="F2328" s="1">
        <v>38482</v>
      </c>
      <c r="G2328" t="s">
        <v>25</v>
      </c>
      <c r="H2328">
        <v>2</v>
      </c>
      <c r="I2328">
        <v>5</v>
      </c>
      <c r="J2328">
        <v>2005</v>
      </c>
      <c r="K2328" t="s">
        <v>550</v>
      </c>
      <c r="L2328">
        <v>68</v>
      </c>
      <c r="M2328" t="s">
        <v>655</v>
      </c>
      <c r="N2328" t="s">
        <v>452</v>
      </c>
      <c r="O2328" t="s">
        <v>453</v>
      </c>
      <c r="P2328" t="s">
        <v>454</v>
      </c>
      <c r="R2328" t="s">
        <v>455</v>
      </c>
      <c r="T2328">
        <v>42100</v>
      </c>
      <c r="U2328" t="s">
        <v>258</v>
      </c>
      <c r="V2328" t="s">
        <v>42</v>
      </c>
      <c r="W2328" t="s">
        <v>456</v>
      </c>
      <c r="X2328" t="s">
        <v>457</v>
      </c>
      <c r="Y2328" t="s">
        <v>36</v>
      </c>
    </row>
    <row r="2329" spans="1:25" x14ac:dyDescent="0.25">
      <c r="A2329">
        <v>10108</v>
      </c>
      <c r="B2329">
        <v>31</v>
      </c>
      <c r="C2329">
        <v>100</v>
      </c>
      <c r="D2329">
        <v>16</v>
      </c>
      <c r="E2329">
        <v>3669.78</v>
      </c>
      <c r="F2329" s="1">
        <v>37683</v>
      </c>
      <c r="G2329" t="s">
        <v>25</v>
      </c>
      <c r="H2329">
        <v>1</v>
      </c>
      <c r="I2329">
        <v>3</v>
      </c>
      <c r="J2329">
        <v>2003</v>
      </c>
      <c r="K2329" t="s">
        <v>26</v>
      </c>
      <c r="L2329">
        <v>102</v>
      </c>
      <c r="M2329" t="s">
        <v>656</v>
      </c>
      <c r="N2329" t="s">
        <v>425</v>
      </c>
      <c r="O2329" t="s">
        <v>426</v>
      </c>
      <c r="P2329" t="s">
        <v>427</v>
      </c>
      <c r="R2329" t="s">
        <v>428</v>
      </c>
      <c r="T2329" t="s">
        <v>429</v>
      </c>
      <c r="U2329" t="s">
        <v>430</v>
      </c>
      <c r="V2329" t="s">
        <v>200</v>
      </c>
      <c r="W2329" t="s">
        <v>431</v>
      </c>
      <c r="X2329" t="s">
        <v>432</v>
      </c>
      <c r="Y2329" t="s">
        <v>51</v>
      </c>
    </row>
    <row r="2330" spans="1:25" x14ac:dyDescent="0.25">
      <c r="A2330">
        <v>10121</v>
      </c>
      <c r="B2330">
        <v>25</v>
      </c>
      <c r="C2330">
        <v>86.74</v>
      </c>
      <c r="D2330">
        <v>3</v>
      </c>
      <c r="E2330">
        <v>2168.5</v>
      </c>
      <c r="F2330" s="1">
        <v>37748</v>
      </c>
      <c r="G2330" t="s">
        <v>25</v>
      </c>
      <c r="H2330">
        <v>2</v>
      </c>
      <c r="I2330">
        <v>5</v>
      </c>
      <c r="J2330">
        <v>2003</v>
      </c>
      <c r="K2330" t="s">
        <v>26</v>
      </c>
      <c r="L2330">
        <v>102</v>
      </c>
      <c r="M2330" t="s">
        <v>656</v>
      </c>
      <c r="N2330" t="s">
        <v>37</v>
      </c>
      <c r="O2330" t="s">
        <v>38</v>
      </c>
      <c r="P2330" t="s">
        <v>39</v>
      </c>
      <c r="R2330" t="s">
        <v>40</v>
      </c>
      <c r="T2330">
        <v>51100</v>
      </c>
      <c r="U2330" t="s">
        <v>41</v>
      </c>
      <c r="V2330" t="s">
        <v>42</v>
      </c>
      <c r="W2330" t="s">
        <v>43</v>
      </c>
      <c r="X2330" t="s">
        <v>44</v>
      </c>
      <c r="Y2330" t="s">
        <v>36</v>
      </c>
    </row>
    <row r="2331" spans="1:25" x14ac:dyDescent="0.25">
      <c r="A2331">
        <v>10135</v>
      </c>
      <c r="B2331">
        <v>30</v>
      </c>
      <c r="C2331">
        <v>89.8</v>
      </c>
      <c r="D2331">
        <v>17</v>
      </c>
      <c r="E2331">
        <v>2694</v>
      </c>
      <c r="F2331" s="1">
        <v>37804</v>
      </c>
      <c r="G2331" t="s">
        <v>25</v>
      </c>
      <c r="H2331">
        <v>3</v>
      </c>
      <c r="I2331">
        <v>7</v>
      </c>
      <c r="J2331">
        <v>2003</v>
      </c>
      <c r="K2331" t="s">
        <v>26</v>
      </c>
      <c r="L2331">
        <v>102</v>
      </c>
      <c r="M2331" t="s">
        <v>656</v>
      </c>
      <c r="N2331" t="s">
        <v>272</v>
      </c>
      <c r="O2331">
        <v>4155551450</v>
      </c>
      <c r="P2331" t="s">
        <v>273</v>
      </c>
      <c r="R2331" t="s">
        <v>274</v>
      </c>
      <c r="S2331" t="s">
        <v>55</v>
      </c>
      <c r="T2331">
        <v>97562</v>
      </c>
      <c r="U2331" t="s">
        <v>32</v>
      </c>
      <c r="V2331" t="s">
        <v>33</v>
      </c>
      <c r="W2331" t="s">
        <v>275</v>
      </c>
      <c r="X2331" t="s">
        <v>276</v>
      </c>
      <c r="Y2331" t="s">
        <v>36</v>
      </c>
    </row>
    <row r="2332" spans="1:25" x14ac:dyDescent="0.25">
      <c r="A2332">
        <v>10145</v>
      </c>
      <c r="B2332">
        <v>27</v>
      </c>
      <c r="C2332">
        <v>100</v>
      </c>
      <c r="D2332">
        <v>4</v>
      </c>
      <c r="E2332">
        <v>3251.34</v>
      </c>
      <c r="F2332" s="1">
        <v>37858</v>
      </c>
      <c r="G2332" t="s">
        <v>25</v>
      </c>
      <c r="H2332">
        <v>3</v>
      </c>
      <c r="I2332">
        <v>8</v>
      </c>
      <c r="J2332">
        <v>2003</v>
      </c>
      <c r="K2332" t="s">
        <v>26</v>
      </c>
      <c r="L2332">
        <v>102</v>
      </c>
      <c r="M2332" t="s">
        <v>656</v>
      </c>
      <c r="N2332" t="s">
        <v>52</v>
      </c>
      <c r="O2332">
        <v>6265557265</v>
      </c>
      <c r="P2332" t="s">
        <v>53</v>
      </c>
      <c r="R2332" t="s">
        <v>54</v>
      </c>
      <c r="S2332" t="s">
        <v>55</v>
      </c>
      <c r="T2332">
        <v>90003</v>
      </c>
      <c r="U2332" t="s">
        <v>32</v>
      </c>
      <c r="V2332" t="s">
        <v>33</v>
      </c>
      <c r="W2332" t="s">
        <v>56</v>
      </c>
      <c r="X2332" t="s">
        <v>57</v>
      </c>
      <c r="Y2332" t="s">
        <v>51</v>
      </c>
    </row>
    <row r="2333" spans="1:25" x14ac:dyDescent="0.25">
      <c r="A2333">
        <v>10159</v>
      </c>
      <c r="B2333">
        <v>23</v>
      </c>
      <c r="C2333">
        <v>100</v>
      </c>
      <c r="D2333">
        <v>12</v>
      </c>
      <c r="E2333">
        <v>2347.15</v>
      </c>
      <c r="F2333" s="1">
        <v>37904</v>
      </c>
      <c r="G2333" t="s">
        <v>25</v>
      </c>
      <c r="H2333">
        <v>4</v>
      </c>
      <c r="I2333">
        <v>10</v>
      </c>
      <c r="J2333">
        <v>2003</v>
      </c>
      <c r="K2333" t="s">
        <v>26</v>
      </c>
      <c r="L2333">
        <v>102</v>
      </c>
      <c r="M2333" t="s">
        <v>656</v>
      </c>
      <c r="N2333" t="s">
        <v>58</v>
      </c>
      <c r="O2333">
        <v>6505551386</v>
      </c>
      <c r="P2333" t="s">
        <v>59</v>
      </c>
      <c r="R2333" t="s">
        <v>60</v>
      </c>
      <c r="S2333" t="s">
        <v>55</v>
      </c>
      <c r="U2333" t="s">
        <v>32</v>
      </c>
      <c r="V2333" t="s">
        <v>33</v>
      </c>
      <c r="W2333" t="s">
        <v>61</v>
      </c>
      <c r="X2333" t="s">
        <v>57</v>
      </c>
      <c r="Y2333" t="s">
        <v>36</v>
      </c>
    </row>
    <row r="2334" spans="1:25" x14ac:dyDescent="0.25">
      <c r="A2334">
        <v>10169</v>
      </c>
      <c r="B2334">
        <v>34</v>
      </c>
      <c r="C2334">
        <v>100</v>
      </c>
      <c r="D2334">
        <v>12</v>
      </c>
      <c r="E2334">
        <v>3920.88</v>
      </c>
      <c r="F2334" s="1">
        <v>37929</v>
      </c>
      <c r="G2334" t="s">
        <v>25</v>
      </c>
      <c r="H2334">
        <v>4</v>
      </c>
      <c r="I2334">
        <v>11</v>
      </c>
      <c r="J2334">
        <v>2003</v>
      </c>
      <c r="K2334" t="s">
        <v>26</v>
      </c>
      <c r="L2334">
        <v>102</v>
      </c>
      <c r="M2334" t="s">
        <v>656</v>
      </c>
      <c r="N2334" t="s">
        <v>285</v>
      </c>
      <c r="O2334" t="s">
        <v>286</v>
      </c>
      <c r="P2334" t="s">
        <v>287</v>
      </c>
      <c r="Q2334" t="s">
        <v>288</v>
      </c>
      <c r="R2334" t="s">
        <v>289</v>
      </c>
      <c r="S2334" t="s">
        <v>157</v>
      </c>
      <c r="T2334">
        <v>2060</v>
      </c>
      <c r="U2334" t="s">
        <v>95</v>
      </c>
      <c r="V2334" t="s">
        <v>96</v>
      </c>
      <c r="W2334" t="s">
        <v>290</v>
      </c>
      <c r="X2334" t="s">
        <v>291</v>
      </c>
      <c r="Y2334" t="s">
        <v>51</v>
      </c>
    </row>
    <row r="2335" spans="1:25" x14ac:dyDescent="0.25">
      <c r="A2335">
        <v>10180</v>
      </c>
      <c r="B2335">
        <v>22</v>
      </c>
      <c r="C2335">
        <v>100</v>
      </c>
      <c r="D2335">
        <v>7</v>
      </c>
      <c r="E2335">
        <v>2514.6</v>
      </c>
      <c r="F2335" s="1">
        <v>37936</v>
      </c>
      <c r="G2335" t="s">
        <v>25</v>
      </c>
      <c r="H2335">
        <v>4</v>
      </c>
      <c r="I2335">
        <v>11</v>
      </c>
      <c r="J2335">
        <v>2003</v>
      </c>
      <c r="K2335" t="s">
        <v>26</v>
      </c>
      <c r="L2335">
        <v>102</v>
      </c>
      <c r="M2335" t="s">
        <v>656</v>
      </c>
      <c r="N2335" t="s">
        <v>67</v>
      </c>
      <c r="O2335" t="s">
        <v>68</v>
      </c>
      <c r="P2335" t="s">
        <v>69</v>
      </c>
      <c r="R2335" t="s">
        <v>70</v>
      </c>
      <c r="T2335">
        <v>59000</v>
      </c>
      <c r="U2335" t="s">
        <v>41</v>
      </c>
      <c r="V2335" t="s">
        <v>42</v>
      </c>
      <c r="W2335" t="s">
        <v>71</v>
      </c>
      <c r="X2335" t="s">
        <v>72</v>
      </c>
      <c r="Y2335" t="s">
        <v>36</v>
      </c>
    </row>
    <row r="2336" spans="1:25" x14ac:dyDescent="0.25">
      <c r="A2336">
        <v>10190</v>
      </c>
      <c r="B2336">
        <v>42</v>
      </c>
      <c r="C2336">
        <v>85.72</v>
      </c>
      <c r="D2336">
        <v>4</v>
      </c>
      <c r="E2336">
        <v>3600.24</v>
      </c>
      <c r="F2336" s="1">
        <v>37944</v>
      </c>
      <c r="G2336" t="s">
        <v>25</v>
      </c>
      <c r="H2336">
        <v>4</v>
      </c>
      <c r="I2336">
        <v>11</v>
      </c>
      <c r="J2336">
        <v>2003</v>
      </c>
      <c r="K2336" t="s">
        <v>26</v>
      </c>
      <c r="L2336">
        <v>102</v>
      </c>
      <c r="M2336" t="s">
        <v>656</v>
      </c>
      <c r="N2336" t="s">
        <v>174</v>
      </c>
      <c r="O2336" t="s">
        <v>175</v>
      </c>
      <c r="P2336" t="s">
        <v>176</v>
      </c>
      <c r="R2336" t="s">
        <v>177</v>
      </c>
      <c r="T2336">
        <v>28034</v>
      </c>
      <c r="U2336" t="s">
        <v>178</v>
      </c>
      <c r="V2336" t="s">
        <v>42</v>
      </c>
      <c r="W2336" t="s">
        <v>179</v>
      </c>
      <c r="X2336" t="s">
        <v>180</v>
      </c>
      <c r="Y2336" t="s">
        <v>51</v>
      </c>
    </row>
    <row r="2337" spans="1:25" x14ac:dyDescent="0.25">
      <c r="A2337">
        <v>10211</v>
      </c>
      <c r="B2337">
        <v>37</v>
      </c>
      <c r="C2337">
        <v>100</v>
      </c>
      <c r="D2337">
        <v>12</v>
      </c>
      <c r="E2337">
        <v>4040.03</v>
      </c>
      <c r="F2337" s="1">
        <v>38001</v>
      </c>
      <c r="G2337" t="s">
        <v>25</v>
      </c>
      <c r="H2337">
        <v>1</v>
      </c>
      <c r="I2337">
        <v>1</v>
      </c>
      <c r="J2337">
        <v>2004</v>
      </c>
      <c r="K2337" t="s">
        <v>26</v>
      </c>
      <c r="L2337">
        <v>102</v>
      </c>
      <c r="M2337" t="s">
        <v>656</v>
      </c>
      <c r="N2337" t="s">
        <v>84</v>
      </c>
      <c r="O2337" t="s">
        <v>85</v>
      </c>
      <c r="P2337" t="s">
        <v>86</v>
      </c>
      <c r="R2337" t="s">
        <v>48</v>
      </c>
      <c r="T2337">
        <v>75016</v>
      </c>
      <c r="U2337" t="s">
        <v>41</v>
      </c>
      <c r="V2337" t="s">
        <v>42</v>
      </c>
      <c r="W2337" t="s">
        <v>87</v>
      </c>
      <c r="X2337" t="s">
        <v>88</v>
      </c>
      <c r="Y2337" t="s">
        <v>51</v>
      </c>
    </row>
    <row r="2338" spans="1:25" x14ac:dyDescent="0.25">
      <c r="A2338">
        <v>10224</v>
      </c>
      <c r="B2338">
        <v>30</v>
      </c>
      <c r="C2338">
        <v>100</v>
      </c>
      <c r="D2338">
        <v>5</v>
      </c>
      <c r="E2338">
        <v>3336.9</v>
      </c>
      <c r="F2338" s="1">
        <v>38038</v>
      </c>
      <c r="G2338" t="s">
        <v>25</v>
      </c>
      <c r="H2338">
        <v>1</v>
      </c>
      <c r="I2338">
        <v>2</v>
      </c>
      <c r="J2338">
        <v>2004</v>
      </c>
      <c r="K2338" t="s">
        <v>26</v>
      </c>
      <c r="L2338">
        <v>102</v>
      </c>
      <c r="M2338" t="s">
        <v>656</v>
      </c>
      <c r="N2338" t="s">
        <v>67</v>
      </c>
      <c r="O2338" t="s">
        <v>68</v>
      </c>
      <c r="P2338" t="s">
        <v>69</v>
      </c>
      <c r="R2338" t="s">
        <v>70</v>
      </c>
      <c r="T2338">
        <v>59000</v>
      </c>
      <c r="U2338" t="s">
        <v>41</v>
      </c>
      <c r="V2338" t="s">
        <v>42</v>
      </c>
      <c r="W2338" t="s">
        <v>71</v>
      </c>
      <c r="X2338" t="s">
        <v>72</v>
      </c>
      <c r="Y2338" t="s">
        <v>51</v>
      </c>
    </row>
    <row r="2339" spans="1:25" x14ac:dyDescent="0.25">
      <c r="A2339">
        <v>10237</v>
      </c>
      <c r="B2339">
        <v>27</v>
      </c>
      <c r="C2339">
        <v>100</v>
      </c>
      <c r="D2339">
        <v>5</v>
      </c>
      <c r="E2339">
        <v>3113.64</v>
      </c>
      <c r="F2339" s="1">
        <v>38082</v>
      </c>
      <c r="G2339" t="s">
        <v>25</v>
      </c>
      <c r="H2339">
        <v>2</v>
      </c>
      <c r="I2339">
        <v>4</v>
      </c>
      <c r="J2339">
        <v>2004</v>
      </c>
      <c r="K2339" t="s">
        <v>26</v>
      </c>
      <c r="L2339">
        <v>102</v>
      </c>
      <c r="M2339" t="s">
        <v>656</v>
      </c>
      <c r="N2339" t="s">
        <v>99</v>
      </c>
      <c r="O2339">
        <v>2125551500</v>
      </c>
      <c r="P2339" t="s">
        <v>100</v>
      </c>
      <c r="Q2339" t="s">
        <v>101</v>
      </c>
      <c r="R2339" t="s">
        <v>30</v>
      </c>
      <c r="S2339" t="s">
        <v>31</v>
      </c>
      <c r="T2339">
        <v>10022</v>
      </c>
      <c r="U2339" t="s">
        <v>32</v>
      </c>
      <c r="V2339" t="s">
        <v>33</v>
      </c>
      <c r="W2339" t="s">
        <v>102</v>
      </c>
      <c r="X2339" t="s">
        <v>103</v>
      </c>
      <c r="Y2339" t="s">
        <v>51</v>
      </c>
    </row>
    <row r="2340" spans="1:25" x14ac:dyDescent="0.25">
      <c r="A2340">
        <v>10252</v>
      </c>
      <c r="B2340">
        <v>25</v>
      </c>
      <c r="C2340">
        <v>100</v>
      </c>
      <c r="D2340">
        <v>9</v>
      </c>
      <c r="E2340">
        <v>2832</v>
      </c>
      <c r="F2340" s="1">
        <v>38133</v>
      </c>
      <c r="G2340" t="s">
        <v>25</v>
      </c>
      <c r="H2340">
        <v>2</v>
      </c>
      <c r="I2340">
        <v>5</v>
      </c>
      <c r="J2340">
        <v>2004</v>
      </c>
      <c r="K2340" t="s">
        <v>26</v>
      </c>
      <c r="L2340">
        <v>102</v>
      </c>
      <c r="M2340" t="s">
        <v>656</v>
      </c>
      <c r="N2340" t="s">
        <v>84</v>
      </c>
      <c r="O2340" t="s">
        <v>85</v>
      </c>
      <c r="P2340" t="s">
        <v>86</v>
      </c>
      <c r="R2340" t="s">
        <v>48</v>
      </c>
      <c r="T2340">
        <v>75016</v>
      </c>
      <c r="U2340" t="s">
        <v>41</v>
      </c>
      <c r="V2340" t="s">
        <v>42</v>
      </c>
      <c r="W2340" t="s">
        <v>87</v>
      </c>
      <c r="X2340" t="s">
        <v>88</v>
      </c>
      <c r="Y2340" t="s">
        <v>36</v>
      </c>
    </row>
    <row r="2341" spans="1:25" x14ac:dyDescent="0.25">
      <c r="A2341">
        <v>10264</v>
      </c>
      <c r="B2341">
        <v>34</v>
      </c>
      <c r="C2341">
        <v>97.97</v>
      </c>
      <c r="D2341">
        <v>7</v>
      </c>
      <c r="E2341">
        <v>3330.98</v>
      </c>
      <c r="F2341" s="1">
        <v>38168</v>
      </c>
      <c r="G2341" t="s">
        <v>25</v>
      </c>
      <c r="H2341">
        <v>2</v>
      </c>
      <c r="I2341">
        <v>6</v>
      </c>
      <c r="J2341">
        <v>2004</v>
      </c>
      <c r="K2341" t="s">
        <v>26</v>
      </c>
      <c r="L2341">
        <v>102</v>
      </c>
      <c r="M2341" t="s">
        <v>656</v>
      </c>
      <c r="N2341" t="s">
        <v>379</v>
      </c>
      <c r="O2341">
        <v>6175559555</v>
      </c>
      <c r="P2341" t="s">
        <v>380</v>
      </c>
      <c r="R2341" t="s">
        <v>381</v>
      </c>
      <c r="S2341" t="s">
        <v>123</v>
      </c>
      <c r="T2341">
        <v>51003</v>
      </c>
      <c r="U2341" t="s">
        <v>32</v>
      </c>
      <c r="V2341" t="s">
        <v>33</v>
      </c>
      <c r="W2341" t="s">
        <v>382</v>
      </c>
      <c r="X2341" t="s">
        <v>66</v>
      </c>
      <c r="Y2341" t="s">
        <v>51</v>
      </c>
    </row>
    <row r="2342" spans="1:25" x14ac:dyDescent="0.25">
      <c r="A2342">
        <v>10276</v>
      </c>
      <c r="B2342">
        <v>38</v>
      </c>
      <c r="C2342">
        <v>100</v>
      </c>
      <c r="D2342">
        <v>13</v>
      </c>
      <c r="E2342">
        <v>4304.6400000000003</v>
      </c>
      <c r="F2342" s="1">
        <v>38201</v>
      </c>
      <c r="G2342" t="s">
        <v>25</v>
      </c>
      <c r="H2342">
        <v>3</v>
      </c>
      <c r="I2342">
        <v>8</v>
      </c>
      <c r="J2342">
        <v>2004</v>
      </c>
      <c r="K2342" t="s">
        <v>26</v>
      </c>
      <c r="L2342">
        <v>102</v>
      </c>
      <c r="M2342" t="s">
        <v>656</v>
      </c>
      <c r="N2342" t="s">
        <v>458</v>
      </c>
      <c r="O2342">
        <v>6175557555</v>
      </c>
      <c r="P2342" t="s">
        <v>459</v>
      </c>
      <c r="R2342" t="s">
        <v>283</v>
      </c>
      <c r="S2342" t="s">
        <v>123</v>
      </c>
      <c r="T2342">
        <v>58339</v>
      </c>
      <c r="U2342" t="s">
        <v>32</v>
      </c>
      <c r="V2342" t="s">
        <v>33</v>
      </c>
      <c r="W2342" t="s">
        <v>460</v>
      </c>
      <c r="X2342" t="s">
        <v>461</v>
      </c>
      <c r="Y2342" t="s">
        <v>51</v>
      </c>
    </row>
    <row r="2343" spans="1:25" x14ac:dyDescent="0.25">
      <c r="A2343">
        <v>10285</v>
      </c>
      <c r="B2343">
        <v>26</v>
      </c>
      <c r="C2343">
        <v>100</v>
      </c>
      <c r="D2343">
        <v>4</v>
      </c>
      <c r="E2343">
        <v>2600.2600000000002</v>
      </c>
      <c r="F2343" s="1">
        <v>38226</v>
      </c>
      <c r="G2343" t="s">
        <v>25</v>
      </c>
      <c r="H2343">
        <v>3</v>
      </c>
      <c r="I2343">
        <v>8</v>
      </c>
      <c r="J2343">
        <v>2004</v>
      </c>
      <c r="K2343" t="s">
        <v>26</v>
      </c>
      <c r="L2343">
        <v>102</v>
      </c>
      <c r="M2343" t="s">
        <v>656</v>
      </c>
      <c r="N2343" t="s">
        <v>120</v>
      </c>
      <c r="O2343">
        <v>6175558555</v>
      </c>
      <c r="P2343" t="s">
        <v>121</v>
      </c>
      <c r="R2343" t="s">
        <v>122</v>
      </c>
      <c r="S2343" t="s">
        <v>123</v>
      </c>
      <c r="T2343">
        <v>51247</v>
      </c>
      <c r="U2343" t="s">
        <v>32</v>
      </c>
      <c r="V2343" t="s">
        <v>33</v>
      </c>
      <c r="W2343" t="s">
        <v>124</v>
      </c>
      <c r="X2343" t="s">
        <v>125</v>
      </c>
      <c r="Y2343" t="s">
        <v>36</v>
      </c>
    </row>
    <row r="2344" spans="1:25" x14ac:dyDescent="0.25">
      <c r="A2344">
        <v>10299</v>
      </c>
      <c r="B2344">
        <v>38</v>
      </c>
      <c r="C2344">
        <v>100</v>
      </c>
      <c r="D2344">
        <v>7</v>
      </c>
      <c r="E2344">
        <v>4382.16</v>
      </c>
      <c r="F2344" s="1">
        <v>38260</v>
      </c>
      <c r="G2344" t="s">
        <v>25</v>
      </c>
      <c r="H2344">
        <v>3</v>
      </c>
      <c r="I2344">
        <v>9</v>
      </c>
      <c r="J2344">
        <v>2004</v>
      </c>
      <c r="K2344" t="s">
        <v>26</v>
      </c>
      <c r="L2344">
        <v>102</v>
      </c>
      <c r="M2344" t="s">
        <v>656</v>
      </c>
      <c r="N2344" t="s">
        <v>126</v>
      </c>
      <c r="O2344" t="s">
        <v>127</v>
      </c>
      <c r="P2344" t="s">
        <v>128</v>
      </c>
      <c r="R2344" t="s">
        <v>129</v>
      </c>
      <c r="T2344">
        <v>21240</v>
      </c>
      <c r="U2344" t="s">
        <v>130</v>
      </c>
      <c r="V2344" t="s">
        <v>42</v>
      </c>
      <c r="W2344" t="s">
        <v>131</v>
      </c>
      <c r="X2344" t="s">
        <v>132</v>
      </c>
      <c r="Y2344" t="s">
        <v>51</v>
      </c>
    </row>
    <row r="2345" spans="1:25" x14ac:dyDescent="0.25">
      <c r="A2345">
        <v>10309</v>
      </c>
      <c r="B2345">
        <v>50</v>
      </c>
      <c r="C2345">
        <v>84.7</v>
      </c>
      <c r="D2345">
        <v>3</v>
      </c>
      <c r="E2345">
        <v>4235</v>
      </c>
      <c r="F2345" s="1">
        <v>38275</v>
      </c>
      <c r="G2345" t="s">
        <v>25</v>
      </c>
      <c r="H2345">
        <v>4</v>
      </c>
      <c r="I2345">
        <v>10</v>
      </c>
      <c r="J2345">
        <v>2004</v>
      </c>
      <c r="K2345" t="s">
        <v>26</v>
      </c>
      <c r="L2345">
        <v>102</v>
      </c>
      <c r="M2345" t="s">
        <v>656</v>
      </c>
      <c r="N2345" t="s">
        <v>133</v>
      </c>
      <c r="O2345" t="s">
        <v>134</v>
      </c>
      <c r="P2345" t="s">
        <v>135</v>
      </c>
      <c r="R2345" t="s">
        <v>136</v>
      </c>
      <c r="T2345">
        <v>4110</v>
      </c>
      <c r="U2345" t="s">
        <v>78</v>
      </c>
      <c r="V2345" t="s">
        <v>42</v>
      </c>
      <c r="W2345" t="s">
        <v>137</v>
      </c>
      <c r="X2345" t="s">
        <v>138</v>
      </c>
      <c r="Y2345" t="s">
        <v>51</v>
      </c>
    </row>
    <row r="2346" spans="1:25" x14ac:dyDescent="0.25">
      <c r="A2346">
        <v>10319</v>
      </c>
      <c r="B2346">
        <v>22</v>
      </c>
      <c r="C2346">
        <v>100</v>
      </c>
      <c r="D2346">
        <v>8</v>
      </c>
      <c r="E2346">
        <v>2626.8</v>
      </c>
      <c r="F2346" s="1">
        <v>38294</v>
      </c>
      <c r="G2346" t="s">
        <v>25</v>
      </c>
      <c r="H2346">
        <v>4</v>
      </c>
      <c r="I2346">
        <v>11</v>
      </c>
      <c r="J2346">
        <v>2004</v>
      </c>
      <c r="K2346" t="s">
        <v>26</v>
      </c>
      <c r="L2346">
        <v>102</v>
      </c>
      <c r="M2346" t="s">
        <v>656</v>
      </c>
      <c r="N2346" t="s">
        <v>507</v>
      </c>
      <c r="O2346">
        <v>2125551957</v>
      </c>
      <c r="P2346" t="s">
        <v>508</v>
      </c>
      <c r="Q2346" t="s">
        <v>509</v>
      </c>
      <c r="R2346" t="s">
        <v>30</v>
      </c>
      <c r="S2346" t="s">
        <v>31</v>
      </c>
      <c r="T2346">
        <v>10022</v>
      </c>
      <c r="U2346" t="s">
        <v>32</v>
      </c>
      <c r="V2346" t="s">
        <v>33</v>
      </c>
      <c r="W2346" t="s">
        <v>510</v>
      </c>
      <c r="X2346" t="s">
        <v>511</v>
      </c>
      <c r="Y2346" t="s">
        <v>36</v>
      </c>
    </row>
    <row r="2347" spans="1:25" x14ac:dyDescent="0.25">
      <c r="A2347">
        <v>10331</v>
      </c>
      <c r="B2347">
        <v>32</v>
      </c>
      <c r="C2347">
        <v>100</v>
      </c>
      <c r="D2347">
        <v>4</v>
      </c>
      <c r="E2347">
        <v>5026.5600000000004</v>
      </c>
      <c r="F2347" s="1">
        <v>38308</v>
      </c>
      <c r="G2347" t="s">
        <v>25</v>
      </c>
      <c r="H2347">
        <v>4</v>
      </c>
      <c r="I2347">
        <v>11</v>
      </c>
      <c r="J2347">
        <v>2004</v>
      </c>
      <c r="K2347" t="s">
        <v>26</v>
      </c>
      <c r="L2347">
        <v>102</v>
      </c>
      <c r="M2347" t="s">
        <v>656</v>
      </c>
      <c r="N2347" t="s">
        <v>309</v>
      </c>
      <c r="O2347">
        <v>2155559857</v>
      </c>
      <c r="P2347" t="s">
        <v>310</v>
      </c>
      <c r="R2347" t="s">
        <v>216</v>
      </c>
      <c r="S2347" t="s">
        <v>142</v>
      </c>
      <c r="T2347">
        <v>71270</v>
      </c>
      <c r="U2347" t="s">
        <v>32</v>
      </c>
      <c r="V2347" t="s">
        <v>33</v>
      </c>
      <c r="W2347" t="s">
        <v>124</v>
      </c>
      <c r="X2347" t="s">
        <v>311</v>
      </c>
      <c r="Y2347" t="s">
        <v>51</v>
      </c>
    </row>
    <row r="2348" spans="1:25" x14ac:dyDescent="0.25">
      <c r="A2348">
        <v>10341</v>
      </c>
      <c r="B2348">
        <v>31</v>
      </c>
      <c r="C2348">
        <v>71.02</v>
      </c>
      <c r="D2348">
        <v>4</v>
      </c>
      <c r="E2348">
        <v>2201.62</v>
      </c>
      <c r="F2348" s="1">
        <v>38315</v>
      </c>
      <c r="G2348" t="s">
        <v>25</v>
      </c>
      <c r="H2348">
        <v>4</v>
      </c>
      <c r="I2348">
        <v>11</v>
      </c>
      <c r="J2348">
        <v>2004</v>
      </c>
      <c r="K2348" t="s">
        <v>26</v>
      </c>
      <c r="L2348">
        <v>102</v>
      </c>
      <c r="M2348" t="s">
        <v>656</v>
      </c>
      <c r="N2348" t="s">
        <v>144</v>
      </c>
      <c r="O2348" t="s">
        <v>145</v>
      </c>
      <c r="P2348" t="s">
        <v>146</v>
      </c>
      <c r="R2348" t="s">
        <v>147</v>
      </c>
      <c r="T2348">
        <v>5020</v>
      </c>
      <c r="U2348" t="s">
        <v>148</v>
      </c>
      <c r="V2348" t="s">
        <v>42</v>
      </c>
      <c r="W2348" t="s">
        <v>149</v>
      </c>
      <c r="X2348" t="s">
        <v>150</v>
      </c>
      <c r="Y2348" t="s">
        <v>36</v>
      </c>
    </row>
    <row r="2349" spans="1:25" x14ac:dyDescent="0.25">
      <c r="A2349">
        <v>10355</v>
      </c>
      <c r="B2349">
        <v>40</v>
      </c>
      <c r="C2349">
        <v>100</v>
      </c>
      <c r="D2349">
        <v>5</v>
      </c>
      <c r="E2349">
        <v>4326.8</v>
      </c>
      <c r="F2349" s="1">
        <v>38328</v>
      </c>
      <c r="G2349" t="s">
        <v>25</v>
      </c>
      <c r="H2349">
        <v>4</v>
      </c>
      <c r="I2349">
        <v>12</v>
      </c>
      <c r="J2349">
        <v>2004</v>
      </c>
      <c r="K2349" t="s">
        <v>26</v>
      </c>
      <c r="L2349">
        <v>102</v>
      </c>
      <c r="M2349" t="s">
        <v>656</v>
      </c>
      <c r="N2349" t="s">
        <v>174</v>
      </c>
      <c r="O2349" t="s">
        <v>175</v>
      </c>
      <c r="P2349" t="s">
        <v>176</v>
      </c>
      <c r="R2349" t="s">
        <v>177</v>
      </c>
      <c r="T2349">
        <v>28034</v>
      </c>
      <c r="U2349" t="s">
        <v>178</v>
      </c>
      <c r="V2349" t="s">
        <v>42</v>
      </c>
      <c r="W2349" t="s">
        <v>179</v>
      </c>
      <c r="X2349" t="s">
        <v>180</v>
      </c>
      <c r="Y2349" t="s">
        <v>51</v>
      </c>
    </row>
    <row r="2350" spans="1:25" x14ac:dyDescent="0.25">
      <c r="A2350">
        <v>10365</v>
      </c>
      <c r="B2350">
        <v>22</v>
      </c>
      <c r="C2350">
        <v>100</v>
      </c>
      <c r="D2350">
        <v>3</v>
      </c>
      <c r="E2350">
        <v>3425.18</v>
      </c>
      <c r="F2350" s="1">
        <v>38359</v>
      </c>
      <c r="G2350" t="s">
        <v>25</v>
      </c>
      <c r="H2350">
        <v>1</v>
      </c>
      <c r="I2350">
        <v>1</v>
      </c>
      <c r="J2350">
        <v>2005</v>
      </c>
      <c r="K2350" t="s">
        <v>26</v>
      </c>
      <c r="L2350">
        <v>102</v>
      </c>
      <c r="M2350" t="s">
        <v>656</v>
      </c>
      <c r="N2350" t="s">
        <v>335</v>
      </c>
      <c r="O2350">
        <v>5085559555</v>
      </c>
      <c r="P2350" t="s">
        <v>336</v>
      </c>
      <c r="R2350" t="s">
        <v>162</v>
      </c>
      <c r="S2350" t="s">
        <v>123</v>
      </c>
      <c r="T2350">
        <v>50553</v>
      </c>
      <c r="U2350" t="s">
        <v>32</v>
      </c>
      <c r="V2350" t="s">
        <v>33</v>
      </c>
      <c r="W2350" t="s">
        <v>337</v>
      </c>
      <c r="X2350" t="s">
        <v>338</v>
      </c>
      <c r="Y2350" t="s">
        <v>51</v>
      </c>
    </row>
    <row r="2351" spans="1:25" x14ac:dyDescent="0.25">
      <c r="A2351">
        <v>10375</v>
      </c>
      <c r="B2351">
        <v>41</v>
      </c>
      <c r="C2351">
        <v>100</v>
      </c>
      <c r="D2351">
        <v>15</v>
      </c>
      <c r="E2351">
        <v>4701.88</v>
      </c>
      <c r="F2351" s="1">
        <v>38386</v>
      </c>
      <c r="G2351" t="s">
        <v>25</v>
      </c>
      <c r="H2351">
        <v>1</v>
      </c>
      <c r="I2351">
        <v>2</v>
      </c>
      <c r="J2351">
        <v>2005</v>
      </c>
      <c r="K2351" t="s">
        <v>26</v>
      </c>
      <c r="L2351">
        <v>102</v>
      </c>
      <c r="M2351" t="s">
        <v>656</v>
      </c>
      <c r="N2351" t="s">
        <v>114</v>
      </c>
      <c r="O2351" t="s">
        <v>115</v>
      </c>
      <c r="P2351" t="s">
        <v>116</v>
      </c>
      <c r="R2351" t="s">
        <v>117</v>
      </c>
      <c r="T2351">
        <v>44000</v>
      </c>
      <c r="U2351" t="s">
        <v>41</v>
      </c>
      <c r="V2351" t="s">
        <v>42</v>
      </c>
      <c r="W2351" t="s">
        <v>118</v>
      </c>
      <c r="X2351" t="s">
        <v>119</v>
      </c>
      <c r="Y2351" t="s">
        <v>51</v>
      </c>
    </row>
    <row r="2352" spans="1:25" x14ac:dyDescent="0.25">
      <c r="A2352">
        <v>10390</v>
      </c>
      <c r="B2352">
        <v>45</v>
      </c>
      <c r="C2352">
        <v>48.98</v>
      </c>
      <c r="D2352">
        <v>12</v>
      </c>
      <c r="E2352">
        <v>2204.1</v>
      </c>
      <c r="F2352" s="1">
        <v>38415</v>
      </c>
      <c r="G2352" t="s">
        <v>25</v>
      </c>
      <c r="H2352">
        <v>1</v>
      </c>
      <c r="I2352">
        <v>3</v>
      </c>
      <c r="J2352">
        <v>2005</v>
      </c>
      <c r="K2352" t="s">
        <v>26</v>
      </c>
      <c r="L2352">
        <v>102</v>
      </c>
      <c r="M2352" t="s">
        <v>656</v>
      </c>
      <c r="N2352" t="s">
        <v>272</v>
      </c>
      <c r="O2352">
        <v>4155551450</v>
      </c>
      <c r="P2352" t="s">
        <v>273</v>
      </c>
      <c r="R2352" t="s">
        <v>274</v>
      </c>
      <c r="S2352" t="s">
        <v>55</v>
      </c>
      <c r="T2352">
        <v>97562</v>
      </c>
      <c r="U2352" t="s">
        <v>32</v>
      </c>
      <c r="V2352" t="s">
        <v>33</v>
      </c>
      <c r="W2352" t="s">
        <v>275</v>
      </c>
      <c r="X2352" t="s">
        <v>276</v>
      </c>
      <c r="Y2352" t="s">
        <v>36</v>
      </c>
    </row>
    <row r="2353" spans="1:25" x14ac:dyDescent="0.25">
      <c r="A2353">
        <v>10403</v>
      </c>
      <c r="B2353">
        <v>45</v>
      </c>
      <c r="C2353">
        <v>100</v>
      </c>
      <c r="D2353">
        <v>5</v>
      </c>
      <c r="E2353">
        <v>5189.3999999999996</v>
      </c>
      <c r="F2353" s="1">
        <v>38450</v>
      </c>
      <c r="G2353" t="s">
        <v>25</v>
      </c>
      <c r="H2353">
        <v>2</v>
      </c>
      <c r="I2353">
        <v>4</v>
      </c>
      <c r="J2353">
        <v>2005</v>
      </c>
      <c r="K2353" t="s">
        <v>26</v>
      </c>
      <c r="L2353">
        <v>102</v>
      </c>
      <c r="M2353" t="s">
        <v>656</v>
      </c>
      <c r="N2353" t="s">
        <v>165</v>
      </c>
      <c r="O2353" t="s">
        <v>166</v>
      </c>
      <c r="P2353" t="s">
        <v>167</v>
      </c>
      <c r="R2353" t="s">
        <v>168</v>
      </c>
      <c r="T2353" t="s">
        <v>169</v>
      </c>
      <c r="U2353" t="s">
        <v>170</v>
      </c>
      <c r="V2353" t="s">
        <v>42</v>
      </c>
      <c r="W2353" t="s">
        <v>171</v>
      </c>
      <c r="X2353" t="s">
        <v>172</v>
      </c>
      <c r="Y2353" t="s">
        <v>51</v>
      </c>
    </row>
    <row r="2354" spans="1:25" x14ac:dyDescent="0.25">
      <c r="A2354">
        <v>10106</v>
      </c>
      <c r="B2354">
        <v>39</v>
      </c>
      <c r="C2354">
        <v>40.15</v>
      </c>
      <c r="D2354">
        <v>6</v>
      </c>
      <c r="E2354">
        <v>1565.85</v>
      </c>
      <c r="F2354" s="1">
        <v>37669</v>
      </c>
      <c r="G2354" t="s">
        <v>25</v>
      </c>
      <c r="H2354">
        <v>1</v>
      </c>
      <c r="I2354">
        <v>2</v>
      </c>
      <c r="J2354">
        <v>2003</v>
      </c>
      <c r="K2354" t="s">
        <v>550</v>
      </c>
      <c r="L2354">
        <v>43</v>
      </c>
      <c r="M2354" t="s">
        <v>657</v>
      </c>
      <c r="N2354" t="s">
        <v>552</v>
      </c>
      <c r="O2354" t="s">
        <v>553</v>
      </c>
      <c r="P2354" t="s">
        <v>554</v>
      </c>
      <c r="R2354" t="s">
        <v>555</v>
      </c>
      <c r="T2354">
        <v>24100</v>
      </c>
      <c r="U2354" t="s">
        <v>258</v>
      </c>
      <c r="V2354" t="s">
        <v>42</v>
      </c>
      <c r="W2354" t="s">
        <v>556</v>
      </c>
      <c r="X2354" t="s">
        <v>557</v>
      </c>
      <c r="Y2354" t="s">
        <v>36</v>
      </c>
    </row>
    <row r="2355" spans="1:25" x14ac:dyDescent="0.25">
      <c r="A2355">
        <v>10120</v>
      </c>
      <c r="B2355">
        <v>49</v>
      </c>
      <c r="C2355">
        <v>50.62</v>
      </c>
      <c r="D2355">
        <v>12</v>
      </c>
      <c r="E2355">
        <v>2480.38</v>
      </c>
      <c r="F2355" s="1">
        <v>37740</v>
      </c>
      <c r="G2355" t="s">
        <v>25</v>
      </c>
      <c r="H2355">
        <v>2</v>
      </c>
      <c r="I2355">
        <v>4</v>
      </c>
      <c r="J2355">
        <v>2003</v>
      </c>
      <c r="K2355" t="s">
        <v>550</v>
      </c>
      <c r="L2355">
        <v>43</v>
      </c>
      <c r="M2355" t="s">
        <v>657</v>
      </c>
      <c r="N2355" t="s">
        <v>89</v>
      </c>
      <c r="O2355" t="s">
        <v>90</v>
      </c>
      <c r="P2355" t="s">
        <v>91</v>
      </c>
      <c r="Q2355" t="s">
        <v>92</v>
      </c>
      <c r="R2355" t="s">
        <v>93</v>
      </c>
      <c r="S2355" t="s">
        <v>94</v>
      </c>
      <c r="T2355">
        <v>3004</v>
      </c>
      <c r="U2355" t="s">
        <v>95</v>
      </c>
      <c r="V2355" t="s">
        <v>96</v>
      </c>
      <c r="W2355" t="s">
        <v>97</v>
      </c>
      <c r="X2355" t="s">
        <v>98</v>
      </c>
      <c r="Y2355" t="s">
        <v>36</v>
      </c>
    </row>
    <row r="2356" spans="1:25" x14ac:dyDescent="0.25">
      <c r="A2356">
        <v>10133</v>
      </c>
      <c r="B2356">
        <v>27</v>
      </c>
      <c r="C2356">
        <v>50.19</v>
      </c>
      <c r="D2356">
        <v>7</v>
      </c>
      <c r="E2356">
        <v>1355.13</v>
      </c>
      <c r="F2356" s="1">
        <v>37799</v>
      </c>
      <c r="G2356" t="s">
        <v>25</v>
      </c>
      <c r="H2356">
        <v>2</v>
      </c>
      <c r="I2356">
        <v>6</v>
      </c>
      <c r="J2356">
        <v>2003</v>
      </c>
      <c r="K2356" t="s">
        <v>550</v>
      </c>
      <c r="L2356">
        <v>43</v>
      </c>
      <c r="M2356" t="s">
        <v>657</v>
      </c>
      <c r="N2356" t="s">
        <v>174</v>
      </c>
      <c r="O2356" t="s">
        <v>175</v>
      </c>
      <c r="P2356" t="s">
        <v>176</v>
      </c>
      <c r="R2356" t="s">
        <v>177</v>
      </c>
      <c r="T2356">
        <v>28034</v>
      </c>
      <c r="U2356" t="s">
        <v>178</v>
      </c>
      <c r="V2356" t="s">
        <v>42</v>
      </c>
      <c r="W2356" t="s">
        <v>179</v>
      </c>
      <c r="X2356" t="s">
        <v>180</v>
      </c>
      <c r="Y2356" t="s">
        <v>36</v>
      </c>
    </row>
    <row r="2357" spans="1:25" x14ac:dyDescent="0.25">
      <c r="A2357">
        <v>10143</v>
      </c>
      <c r="B2357">
        <v>34</v>
      </c>
      <c r="C2357">
        <v>36.659999999999997</v>
      </c>
      <c r="D2357">
        <v>1</v>
      </c>
      <c r="E2357">
        <v>1246.44</v>
      </c>
      <c r="F2357" s="1">
        <v>37843</v>
      </c>
      <c r="G2357" t="s">
        <v>25</v>
      </c>
      <c r="H2357">
        <v>3</v>
      </c>
      <c r="I2357">
        <v>8</v>
      </c>
      <c r="J2357">
        <v>2003</v>
      </c>
      <c r="K2357" t="s">
        <v>550</v>
      </c>
      <c r="L2357">
        <v>43</v>
      </c>
      <c r="M2357" t="s">
        <v>657</v>
      </c>
      <c r="N2357" t="s">
        <v>335</v>
      </c>
      <c r="O2357">
        <v>5085559555</v>
      </c>
      <c r="P2357" t="s">
        <v>336</v>
      </c>
      <c r="R2357" t="s">
        <v>162</v>
      </c>
      <c r="S2357" t="s">
        <v>123</v>
      </c>
      <c r="T2357">
        <v>50553</v>
      </c>
      <c r="U2357" t="s">
        <v>32</v>
      </c>
      <c r="V2357" t="s">
        <v>33</v>
      </c>
      <c r="W2357" t="s">
        <v>337</v>
      </c>
      <c r="X2357" t="s">
        <v>338</v>
      </c>
      <c r="Y2357" t="s">
        <v>36</v>
      </c>
    </row>
    <row r="2358" spans="1:25" x14ac:dyDescent="0.25">
      <c r="A2358">
        <v>10156</v>
      </c>
      <c r="B2358">
        <v>20</v>
      </c>
      <c r="C2358">
        <v>41.02</v>
      </c>
      <c r="D2358">
        <v>1</v>
      </c>
      <c r="E2358">
        <v>820.4</v>
      </c>
      <c r="F2358" s="1">
        <v>37902</v>
      </c>
      <c r="G2358" t="s">
        <v>25</v>
      </c>
      <c r="H2358">
        <v>4</v>
      </c>
      <c r="I2358">
        <v>10</v>
      </c>
      <c r="J2358">
        <v>2003</v>
      </c>
      <c r="K2358" t="s">
        <v>550</v>
      </c>
      <c r="L2358">
        <v>43</v>
      </c>
      <c r="M2358" t="s">
        <v>657</v>
      </c>
      <c r="N2358" t="s">
        <v>174</v>
      </c>
      <c r="O2358" t="s">
        <v>175</v>
      </c>
      <c r="P2358" t="s">
        <v>176</v>
      </c>
      <c r="R2358" t="s">
        <v>177</v>
      </c>
      <c r="T2358">
        <v>28034</v>
      </c>
      <c r="U2358" t="s">
        <v>178</v>
      </c>
      <c r="V2358" t="s">
        <v>42</v>
      </c>
      <c r="W2358" t="s">
        <v>179</v>
      </c>
      <c r="X2358" t="s">
        <v>180</v>
      </c>
      <c r="Y2358" t="s">
        <v>36</v>
      </c>
    </row>
    <row r="2359" spans="1:25" x14ac:dyDescent="0.25">
      <c r="A2359">
        <v>10168</v>
      </c>
      <c r="B2359">
        <v>48</v>
      </c>
      <c r="C2359">
        <v>51.93</v>
      </c>
      <c r="D2359">
        <v>13</v>
      </c>
      <c r="E2359">
        <v>2492.64</v>
      </c>
      <c r="F2359" s="1">
        <v>37922</v>
      </c>
      <c r="G2359" t="s">
        <v>25</v>
      </c>
      <c r="H2359">
        <v>4</v>
      </c>
      <c r="I2359">
        <v>10</v>
      </c>
      <c r="J2359">
        <v>2003</v>
      </c>
      <c r="K2359" t="s">
        <v>550</v>
      </c>
      <c r="L2359">
        <v>43</v>
      </c>
      <c r="M2359" t="s">
        <v>657</v>
      </c>
      <c r="N2359" t="s">
        <v>62</v>
      </c>
      <c r="O2359">
        <v>6505556809</v>
      </c>
      <c r="P2359" t="s">
        <v>63</v>
      </c>
      <c r="R2359" t="s">
        <v>64</v>
      </c>
      <c r="S2359" t="s">
        <v>55</v>
      </c>
      <c r="T2359">
        <v>94217</v>
      </c>
      <c r="U2359" t="s">
        <v>32</v>
      </c>
      <c r="V2359" t="s">
        <v>33</v>
      </c>
      <c r="W2359" t="s">
        <v>65</v>
      </c>
      <c r="X2359" t="s">
        <v>66</v>
      </c>
      <c r="Y2359" t="s">
        <v>36</v>
      </c>
    </row>
    <row r="2360" spans="1:25" x14ac:dyDescent="0.25">
      <c r="A2360">
        <v>10199</v>
      </c>
      <c r="B2360">
        <v>29</v>
      </c>
      <c r="C2360">
        <v>38.4</v>
      </c>
      <c r="D2360">
        <v>1</v>
      </c>
      <c r="E2360">
        <v>1113.5999999999999</v>
      </c>
      <c r="F2360" s="1">
        <v>37956</v>
      </c>
      <c r="G2360" t="s">
        <v>25</v>
      </c>
      <c r="H2360">
        <v>4</v>
      </c>
      <c r="I2360">
        <v>12</v>
      </c>
      <c r="J2360">
        <v>2003</v>
      </c>
      <c r="K2360" t="s">
        <v>550</v>
      </c>
      <c r="L2360">
        <v>43</v>
      </c>
      <c r="M2360" t="s">
        <v>657</v>
      </c>
      <c r="N2360" t="s">
        <v>234</v>
      </c>
      <c r="O2360">
        <v>3105553722</v>
      </c>
      <c r="P2360" t="s">
        <v>235</v>
      </c>
      <c r="R2360" t="s">
        <v>236</v>
      </c>
      <c r="S2360" t="s">
        <v>55</v>
      </c>
      <c r="T2360">
        <v>94019</v>
      </c>
      <c r="U2360" t="s">
        <v>32</v>
      </c>
      <c r="V2360" t="s">
        <v>33</v>
      </c>
      <c r="W2360" t="s">
        <v>237</v>
      </c>
      <c r="X2360" t="s">
        <v>238</v>
      </c>
      <c r="Y2360" t="s">
        <v>36</v>
      </c>
    </row>
    <row r="2361" spans="1:25" x14ac:dyDescent="0.25">
      <c r="A2361">
        <v>10210</v>
      </c>
      <c r="B2361">
        <v>43</v>
      </c>
      <c r="C2361">
        <v>41.02</v>
      </c>
      <c r="D2361">
        <v>11</v>
      </c>
      <c r="E2361">
        <v>1763.86</v>
      </c>
      <c r="F2361" s="1">
        <v>37998</v>
      </c>
      <c r="G2361" t="s">
        <v>25</v>
      </c>
      <c r="H2361">
        <v>1</v>
      </c>
      <c r="I2361">
        <v>1</v>
      </c>
      <c r="J2361">
        <v>2004</v>
      </c>
      <c r="K2361" t="s">
        <v>550</v>
      </c>
      <c r="L2361">
        <v>43</v>
      </c>
      <c r="M2361" t="s">
        <v>657</v>
      </c>
      <c r="N2361" t="s">
        <v>302</v>
      </c>
      <c r="O2361" t="s">
        <v>303</v>
      </c>
      <c r="P2361" t="s">
        <v>304</v>
      </c>
      <c r="R2361" t="s">
        <v>305</v>
      </c>
      <c r="S2361" t="s">
        <v>305</v>
      </c>
      <c r="T2361" t="s">
        <v>306</v>
      </c>
      <c r="U2361" t="s">
        <v>200</v>
      </c>
      <c r="V2361" t="s">
        <v>200</v>
      </c>
      <c r="W2361" t="s">
        <v>307</v>
      </c>
      <c r="X2361" t="s">
        <v>308</v>
      </c>
      <c r="Y2361" t="s">
        <v>36</v>
      </c>
    </row>
    <row r="2362" spans="1:25" x14ac:dyDescent="0.25">
      <c r="A2362">
        <v>10223</v>
      </c>
      <c r="B2362">
        <v>41</v>
      </c>
      <c r="C2362">
        <v>46.26</v>
      </c>
      <c r="D2362">
        <v>13</v>
      </c>
      <c r="E2362">
        <v>1896.66</v>
      </c>
      <c r="F2362" s="1">
        <v>38037</v>
      </c>
      <c r="G2362" t="s">
        <v>25</v>
      </c>
      <c r="H2362">
        <v>1</v>
      </c>
      <c r="I2362">
        <v>2</v>
      </c>
      <c r="J2362">
        <v>2004</v>
      </c>
      <c r="K2362" t="s">
        <v>550</v>
      </c>
      <c r="L2362">
        <v>43</v>
      </c>
      <c r="M2362" t="s">
        <v>657</v>
      </c>
      <c r="N2362" t="s">
        <v>89</v>
      </c>
      <c r="O2362" t="s">
        <v>90</v>
      </c>
      <c r="P2362" t="s">
        <v>91</v>
      </c>
      <c r="Q2362" t="s">
        <v>92</v>
      </c>
      <c r="R2362" t="s">
        <v>93</v>
      </c>
      <c r="S2362" t="s">
        <v>94</v>
      </c>
      <c r="T2362">
        <v>3004</v>
      </c>
      <c r="U2362" t="s">
        <v>95</v>
      </c>
      <c r="V2362" t="s">
        <v>96</v>
      </c>
      <c r="W2362" t="s">
        <v>97</v>
      </c>
      <c r="X2362" t="s">
        <v>98</v>
      </c>
      <c r="Y2362" t="s">
        <v>36</v>
      </c>
    </row>
    <row r="2363" spans="1:25" x14ac:dyDescent="0.25">
      <c r="A2363">
        <v>10235</v>
      </c>
      <c r="B2363">
        <v>41</v>
      </c>
      <c r="C2363">
        <v>35.35</v>
      </c>
      <c r="D2363">
        <v>7</v>
      </c>
      <c r="E2363">
        <v>1449.35</v>
      </c>
      <c r="F2363" s="1">
        <v>38079</v>
      </c>
      <c r="G2363" t="s">
        <v>25</v>
      </c>
      <c r="H2363">
        <v>2</v>
      </c>
      <c r="I2363">
        <v>4</v>
      </c>
      <c r="J2363">
        <v>2004</v>
      </c>
      <c r="K2363" t="s">
        <v>550</v>
      </c>
      <c r="L2363">
        <v>43</v>
      </c>
      <c r="M2363" t="s">
        <v>657</v>
      </c>
      <c r="N2363" t="s">
        <v>373</v>
      </c>
      <c r="O2363" t="s">
        <v>374</v>
      </c>
      <c r="P2363" t="s">
        <v>375</v>
      </c>
      <c r="R2363" t="s">
        <v>376</v>
      </c>
      <c r="S2363" t="s">
        <v>229</v>
      </c>
      <c r="T2363" t="s">
        <v>377</v>
      </c>
      <c r="U2363" t="s">
        <v>231</v>
      </c>
      <c r="V2363" t="s">
        <v>33</v>
      </c>
      <c r="W2363" t="s">
        <v>378</v>
      </c>
      <c r="X2363" t="s">
        <v>172</v>
      </c>
      <c r="Y2363" t="s">
        <v>36</v>
      </c>
    </row>
    <row r="2364" spans="1:25" x14ac:dyDescent="0.25">
      <c r="A2364">
        <v>10250</v>
      </c>
      <c r="B2364">
        <v>36</v>
      </c>
      <c r="C2364">
        <v>51.93</v>
      </c>
      <c r="D2364">
        <v>8</v>
      </c>
      <c r="E2364">
        <v>1869.48</v>
      </c>
      <c r="F2364" s="1">
        <v>38118</v>
      </c>
      <c r="G2364" t="s">
        <v>25</v>
      </c>
      <c r="H2364">
        <v>2</v>
      </c>
      <c r="I2364">
        <v>5</v>
      </c>
      <c r="J2364">
        <v>2004</v>
      </c>
      <c r="K2364" t="s">
        <v>550</v>
      </c>
      <c r="L2364">
        <v>43</v>
      </c>
      <c r="M2364" t="s">
        <v>657</v>
      </c>
      <c r="N2364" t="s">
        <v>397</v>
      </c>
      <c r="O2364">
        <v>4085553659</v>
      </c>
      <c r="P2364" t="s">
        <v>398</v>
      </c>
      <c r="R2364" t="s">
        <v>399</v>
      </c>
      <c r="S2364" t="s">
        <v>55</v>
      </c>
      <c r="T2364">
        <v>94217</v>
      </c>
      <c r="U2364" t="s">
        <v>32</v>
      </c>
      <c r="V2364" t="s">
        <v>33</v>
      </c>
      <c r="W2364" t="s">
        <v>102</v>
      </c>
      <c r="X2364" t="s">
        <v>400</v>
      </c>
      <c r="Y2364" t="s">
        <v>36</v>
      </c>
    </row>
    <row r="2365" spans="1:25" x14ac:dyDescent="0.25">
      <c r="A2365">
        <v>10262</v>
      </c>
      <c r="B2365">
        <v>49</v>
      </c>
      <c r="C2365">
        <v>37.97</v>
      </c>
      <c r="D2365">
        <v>3</v>
      </c>
      <c r="E2365">
        <v>1860.53</v>
      </c>
      <c r="F2365" s="1">
        <v>38162</v>
      </c>
      <c r="G2365" t="s">
        <v>339</v>
      </c>
      <c r="H2365">
        <v>2</v>
      </c>
      <c r="I2365">
        <v>6</v>
      </c>
      <c r="J2365">
        <v>2004</v>
      </c>
      <c r="K2365" t="s">
        <v>550</v>
      </c>
      <c r="L2365">
        <v>43</v>
      </c>
      <c r="M2365" t="s">
        <v>657</v>
      </c>
      <c r="N2365" t="s">
        <v>174</v>
      </c>
      <c r="O2365" t="s">
        <v>175</v>
      </c>
      <c r="P2365" t="s">
        <v>176</v>
      </c>
      <c r="R2365" t="s">
        <v>177</v>
      </c>
      <c r="T2365">
        <v>28034</v>
      </c>
      <c r="U2365" t="s">
        <v>178</v>
      </c>
      <c r="V2365" t="s">
        <v>42</v>
      </c>
      <c r="W2365" t="s">
        <v>179</v>
      </c>
      <c r="X2365" t="s">
        <v>180</v>
      </c>
      <c r="Y2365" t="s">
        <v>36</v>
      </c>
    </row>
    <row r="2366" spans="1:25" x14ac:dyDescent="0.25">
      <c r="A2366">
        <v>10275</v>
      </c>
      <c r="B2366">
        <v>38</v>
      </c>
      <c r="C2366">
        <v>45.39</v>
      </c>
      <c r="D2366">
        <v>13</v>
      </c>
      <c r="E2366">
        <v>1724.82</v>
      </c>
      <c r="F2366" s="1">
        <v>38191</v>
      </c>
      <c r="G2366" t="s">
        <v>25</v>
      </c>
      <c r="H2366">
        <v>3</v>
      </c>
      <c r="I2366">
        <v>7</v>
      </c>
      <c r="J2366">
        <v>2004</v>
      </c>
      <c r="K2366" t="s">
        <v>550</v>
      </c>
      <c r="L2366">
        <v>43</v>
      </c>
      <c r="M2366" t="s">
        <v>657</v>
      </c>
      <c r="N2366" t="s">
        <v>114</v>
      </c>
      <c r="O2366" t="s">
        <v>115</v>
      </c>
      <c r="P2366" t="s">
        <v>116</v>
      </c>
      <c r="R2366" t="s">
        <v>117</v>
      </c>
      <c r="T2366">
        <v>44000</v>
      </c>
      <c r="U2366" t="s">
        <v>41</v>
      </c>
      <c r="V2366" t="s">
        <v>42</v>
      </c>
      <c r="W2366" t="s">
        <v>118</v>
      </c>
      <c r="X2366" t="s">
        <v>119</v>
      </c>
      <c r="Y2366" t="s">
        <v>36</v>
      </c>
    </row>
    <row r="2367" spans="1:25" x14ac:dyDescent="0.25">
      <c r="A2367">
        <v>10284</v>
      </c>
      <c r="B2367">
        <v>33</v>
      </c>
      <c r="C2367">
        <v>51.93</v>
      </c>
      <c r="D2367">
        <v>5</v>
      </c>
      <c r="E2367">
        <v>1713.69</v>
      </c>
      <c r="F2367" s="1">
        <v>38220</v>
      </c>
      <c r="G2367" t="s">
        <v>25</v>
      </c>
      <c r="H2367">
        <v>3</v>
      </c>
      <c r="I2367">
        <v>8</v>
      </c>
      <c r="J2367">
        <v>2004</v>
      </c>
      <c r="K2367" t="s">
        <v>550</v>
      </c>
      <c r="L2367">
        <v>43</v>
      </c>
      <c r="M2367" t="s">
        <v>657</v>
      </c>
      <c r="N2367" t="s">
        <v>543</v>
      </c>
      <c r="O2367" t="s">
        <v>544</v>
      </c>
      <c r="P2367" t="s">
        <v>545</v>
      </c>
      <c r="R2367" t="s">
        <v>546</v>
      </c>
      <c r="T2367" t="s">
        <v>547</v>
      </c>
      <c r="U2367" t="s">
        <v>78</v>
      </c>
      <c r="V2367" t="s">
        <v>42</v>
      </c>
      <c r="W2367" t="s">
        <v>548</v>
      </c>
      <c r="X2367" t="s">
        <v>549</v>
      </c>
      <c r="Y2367" t="s">
        <v>36</v>
      </c>
    </row>
    <row r="2368" spans="1:25" x14ac:dyDescent="0.25">
      <c r="A2368">
        <v>10296</v>
      </c>
      <c r="B2368">
        <v>26</v>
      </c>
      <c r="C2368">
        <v>48.44</v>
      </c>
      <c r="D2368">
        <v>1</v>
      </c>
      <c r="E2368">
        <v>1259.44</v>
      </c>
      <c r="F2368" s="1">
        <v>38245</v>
      </c>
      <c r="G2368" t="s">
        <v>25</v>
      </c>
      <c r="H2368">
        <v>3</v>
      </c>
      <c r="I2368">
        <v>9</v>
      </c>
      <c r="J2368">
        <v>2004</v>
      </c>
      <c r="K2368" t="s">
        <v>550</v>
      </c>
      <c r="L2368">
        <v>43</v>
      </c>
      <c r="M2368" t="s">
        <v>657</v>
      </c>
      <c r="N2368" t="s">
        <v>572</v>
      </c>
      <c r="O2368" t="s">
        <v>573</v>
      </c>
      <c r="P2368" t="s">
        <v>574</v>
      </c>
      <c r="R2368" t="s">
        <v>575</v>
      </c>
      <c r="T2368">
        <v>80686</v>
      </c>
      <c r="U2368" t="s">
        <v>443</v>
      </c>
      <c r="V2368" t="s">
        <v>42</v>
      </c>
      <c r="W2368" t="s">
        <v>576</v>
      </c>
      <c r="X2368" t="s">
        <v>103</v>
      </c>
      <c r="Y2368" t="s">
        <v>36</v>
      </c>
    </row>
    <row r="2369" spans="1:25" x14ac:dyDescent="0.25">
      <c r="A2369">
        <v>10308</v>
      </c>
      <c r="B2369">
        <v>47</v>
      </c>
      <c r="C2369">
        <v>43.64</v>
      </c>
      <c r="D2369">
        <v>11</v>
      </c>
      <c r="E2369">
        <v>2051.08</v>
      </c>
      <c r="F2369" s="1">
        <v>38275</v>
      </c>
      <c r="G2369" t="s">
        <v>25</v>
      </c>
      <c r="H2369">
        <v>4</v>
      </c>
      <c r="I2369">
        <v>10</v>
      </c>
      <c r="J2369">
        <v>2004</v>
      </c>
      <c r="K2369" t="s">
        <v>550</v>
      </c>
      <c r="L2369">
        <v>43</v>
      </c>
      <c r="M2369" t="s">
        <v>657</v>
      </c>
      <c r="N2369" t="s">
        <v>317</v>
      </c>
      <c r="O2369">
        <v>9145554562</v>
      </c>
      <c r="P2369" t="s">
        <v>318</v>
      </c>
      <c r="R2369" t="s">
        <v>319</v>
      </c>
      <c r="S2369" t="s">
        <v>31</v>
      </c>
      <c r="T2369">
        <v>24067</v>
      </c>
      <c r="U2369" t="s">
        <v>32</v>
      </c>
      <c r="V2369" t="s">
        <v>33</v>
      </c>
      <c r="W2369" t="s">
        <v>102</v>
      </c>
      <c r="X2369" t="s">
        <v>238</v>
      </c>
      <c r="Y2369" t="s">
        <v>36</v>
      </c>
    </row>
    <row r="2370" spans="1:25" x14ac:dyDescent="0.25">
      <c r="A2370">
        <v>10316</v>
      </c>
      <c r="B2370">
        <v>34</v>
      </c>
      <c r="C2370">
        <v>47.57</v>
      </c>
      <c r="D2370">
        <v>3</v>
      </c>
      <c r="E2370">
        <v>1617.38</v>
      </c>
      <c r="F2370" s="1">
        <v>38292</v>
      </c>
      <c r="G2370" t="s">
        <v>25</v>
      </c>
      <c r="H2370">
        <v>4</v>
      </c>
      <c r="I2370">
        <v>11</v>
      </c>
      <c r="J2370">
        <v>2004</v>
      </c>
      <c r="K2370" t="s">
        <v>550</v>
      </c>
      <c r="L2370">
        <v>43</v>
      </c>
      <c r="M2370" t="s">
        <v>657</v>
      </c>
      <c r="N2370" t="s">
        <v>383</v>
      </c>
      <c r="O2370" t="s">
        <v>384</v>
      </c>
      <c r="P2370" t="s">
        <v>385</v>
      </c>
      <c r="R2370" t="s">
        <v>386</v>
      </c>
      <c r="S2370" t="s">
        <v>387</v>
      </c>
      <c r="T2370" t="s">
        <v>388</v>
      </c>
      <c r="U2370" t="s">
        <v>170</v>
      </c>
      <c r="V2370" t="s">
        <v>42</v>
      </c>
      <c r="W2370" t="s">
        <v>389</v>
      </c>
      <c r="X2370" t="s">
        <v>390</v>
      </c>
      <c r="Y2370" t="s">
        <v>36</v>
      </c>
    </row>
    <row r="2371" spans="1:25" x14ac:dyDescent="0.25">
      <c r="A2371">
        <v>10328</v>
      </c>
      <c r="B2371">
        <v>34</v>
      </c>
      <c r="C2371">
        <v>51.93</v>
      </c>
      <c r="D2371">
        <v>7</v>
      </c>
      <c r="E2371">
        <v>1765.62</v>
      </c>
      <c r="F2371" s="1">
        <v>38303</v>
      </c>
      <c r="G2371" t="s">
        <v>25</v>
      </c>
      <c r="H2371">
        <v>4</v>
      </c>
      <c r="I2371">
        <v>11</v>
      </c>
      <c r="J2371">
        <v>2004</v>
      </c>
      <c r="K2371" t="s">
        <v>550</v>
      </c>
      <c r="L2371">
        <v>43</v>
      </c>
      <c r="M2371" t="s">
        <v>657</v>
      </c>
      <c r="N2371" t="s">
        <v>552</v>
      </c>
      <c r="O2371" t="s">
        <v>553</v>
      </c>
      <c r="P2371" t="s">
        <v>554</v>
      </c>
      <c r="R2371" t="s">
        <v>555</v>
      </c>
      <c r="T2371">
        <v>24100</v>
      </c>
      <c r="U2371" t="s">
        <v>258</v>
      </c>
      <c r="V2371" t="s">
        <v>42</v>
      </c>
      <c r="W2371" t="s">
        <v>556</v>
      </c>
      <c r="X2371" t="s">
        <v>557</v>
      </c>
      <c r="Y2371" t="s">
        <v>36</v>
      </c>
    </row>
    <row r="2372" spans="1:25" x14ac:dyDescent="0.25">
      <c r="A2372">
        <v>10340</v>
      </c>
      <c r="B2372">
        <v>40</v>
      </c>
      <c r="C2372">
        <v>50.62</v>
      </c>
      <c r="D2372">
        <v>4</v>
      </c>
      <c r="E2372">
        <v>2024.8</v>
      </c>
      <c r="F2372" s="1">
        <v>38315</v>
      </c>
      <c r="G2372" t="s">
        <v>25</v>
      </c>
      <c r="H2372">
        <v>4</v>
      </c>
      <c r="I2372">
        <v>11</v>
      </c>
      <c r="J2372">
        <v>2004</v>
      </c>
      <c r="K2372" t="s">
        <v>550</v>
      </c>
      <c r="L2372">
        <v>43</v>
      </c>
      <c r="M2372" t="s">
        <v>657</v>
      </c>
      <c r="N2372" t="s">
        <v>352</v>
      </c>
      <c r="O2372" t="s">
        <v>353</v>
      </c>
      <c r="P2372" t="s">
        <v>354</v>
      </c>
      <c r="R2372" t="s">
        <v>355</v>
      </c>
      <c r="T2372">
        <v>8022</v>
      </c>
      <c r="U2372" t="s">
        <v>178</v>
      </c>
      <c r="V2372" t="s">
        <v>42</v>
      </c>
      <c r="W2372" t="s">
        <v>356</v>
      </c>
      <c r="X2372" t="s">
        <v>357</v>
      </c>
      <c r="Y2372" t="s">
        <v>36</v>
      </c>
    </row>
    <row r="2373" spans="1:25" x14ac:dyDescent="0.25">
      <c r="A2373">
        <v>10353</v>
      </c>
      <c r="B2373">
        <v>40</v>
      </c>
      <c r="C2373">
        <v>82.21</v>
      </c>
      <c r="D2373">
        <v>8</v>
      </c>
      <c r="E2373">
        <v>3288.4</v>
      </c>
      <c r="F2373" s="1">
        <v>38325</v>
      </c>
      <c r="G2373" t="s">
        <v>25</v>
      </c>
      <c r="H2373">
        <v>4</v>
      </c>
      <c r="I2373">
        <v>12</v>
      </c>
      <c r="J2373">
        <v>2004</v>
      </c>
      <c r="K2373" t="s">
        <v>550</v>
      </c>
      <c r="L2373">
        <v>43</v>
      </c>
      <c r="M2373" t="s">
        <v>657</v>
      </c>
      <c r="N2373" t="s">
        <v>568</v>
      </c>
      <c r="O2373">
        <v>2035554407</v>
      </c>
      <c r="P2373" t="s">
        <v>569</v>
      </c>
      <c r="R2373" t="s">
        <v>516</v>
      </c>
      <c r="S2373" t="s">
        <v>112</v>
      </c>
      <c r="T2373">
        <v>97561</v>
      </c>
      <c r="U2373" t="s">
        <v>32</v>
      </c>
      <c r="V2373" t="s">
        <v>33</v>
      </c>
      <c r="W2373" t="s">
        <v>570</v>
      </c>
      <c r="X2373" t="s">
        <v>571</v>
      </c>
      <c r="Y2373" t="s">
        <v>51</v>
      </c>
    </row>
    <row r="2374" spans="1:25" x14ac:dyDescent="0.25">
      <c r="A2374">
        <v>10361</v>
      </c>
      <c r="B2374">
        <v>33</v>
      </c>
      <c r="C2374">
        <v>82.59</v>
      </c>
      <c r="D2374">
        <v>3</v>
      </c>
      <c r="E2374">
        <v>2725.47</v>
      </c>
      <c r="F2374" s="1">
        <v>38338</v>
      </c>
      <c r="G2374" t="s">
        <v>25</v>
      </c>
      <c r="H2374">
        <v>4</v>
      </c>
      <c r="I2374">
        <v>12</v>
      </c>
      <c r="J2374">
        <v>2004</v>
      </c>
      <c r="K2374" t="s">
        <v>550</v>
      </c>
      <c r="L2374">
        <v>43</v>
      </c>
      <c r="M2374" t="s">
        <v>657</v>
      </c>
      <c r="N2374" t="s">
        <v>152</v>
      </c>
      <c r="O2374" t="s">
        <v>153</v>
      </c>
      <c r="P2374" t="s">
        <v>154</v>
      </c>
      <c r="Q2374" t="s">
        <v>155</v>
      </c>
      <c r="R2374" t="s">
        <v>156</v>
      </c>
      <c r="S2374" t="s">
        <v>157</v>
      </c>
      <c r="T2374">
        <v>2067</v>
      </c>
      <c r="U2374" t="s">
        <v>95</v>
      </c>
      <c r="V2374" t="s">
        <v>96</v>
      </c>
      <c r="W2374" t="s">
        <v>158</v>
      </c>
      <c r="X2374" t="s">
        <v>159</v>
      </c>
      <c r="Y2374" t="s">
        <v>36</v>
      </c>
    </row>
    <row r="2375" spans="1:25" x14ac:dyDescent="0.25">
      <c r="A2375">
        <v>10375</v>
      </c>
      <c r="B2375">
        <v>49</v>
      </c>
      <c r="C2375">
        <v>65.8</v>
      </c>
      <c r="D2375">
        <v>5</v>
      </c>
      <c r="E2375">
        <v>3224.2</v>
      </c>
      <c r="F2375" s="1">
        <v>38386</v>
      </c>
      <c r="G2375" t="s">
        <v>25</v>
      </c>
      <c r="H2375">
        <v>1</v>
      </c>
      <c r="I2375">
        <v>2</v>
      </c>
      <c r="J2375">
        <v>2005</v>
      </c>
      <c r="K2375" t="s">
        <v>550</v>
      </c>
      <c r="L2375">
        <v>43</v>
      </c>
      <c r="M2375" t="s">
        <v>657</v>
      </c>
      <c r="N2375" t="s">
        <v>114</v>
      </c>
      <c r="O2375" t="s">
        <v>115</v>
      </c>
      <c r="P2375" t="s">
        <v>116</v>
      </c>
      <c r="R2375" t="s">
        <v>117</v>
      </c>
      <c r="T2375">
        <v>44000</v>
      </c>
      <c r="U2375" t="s">
        <v>41</v>
      </c>
      <c r="V2375" t="s">
        <v>42</v>
      </c>
      <c r="W2375" t="s">
        <v>118</v>
      </c>
      <c r="X2375" t="s">
        <v>119</v>
      </c>
      <c r="Y2375" t="s">
        <v>51</v>
      </c>
    </row>
    <row r="2376" spans="1:25" x14ac:dyDescent="0.25">
      <c r="A2376">
        <v>10388</v>
      </c>
      <c r="B2376">
        <v>27</v>
      </c>
      <c r="C2376">
        <v>100</v>
      </c>
      <c r="D2376">
        <v>1</v>
      </c>
      <c r="E2376">
        <v>3211.38</v>
      </c>
      <c r="F2376" s="1">
        <v>38414</v>
      </c>
      <c r="G2376" t="s">
        <v>25</v>
      </c>
      <c r="H2376">
        <v>1</v>
      </c>
      <c r="I2376">
        <v>3</v>
      </c>
      <c r="J2376">
        <v>2005</v>
      </c>
      <c r="K2376" t="s">
        <v>550</v>
      </c>
      <c r="L2376">
        <v>43</v>
      </c>
      <c r="M2376" t="s">
        <v>657</v>
      </c>
      <c r="N2376" t="s">
        <v>160</v>
      </c>
      <c r="O2376">
        <v>5085552555</v>
      </c>
      <c r="P2376" t="s">
        <v>161</v>
      </c>
      <c r="R2376" t="s">
        <v>162</v>
      </c>
      <c r="S2376" t="s">
        <v>123</v>
      </c>
      <c r="T2376">
        <v>50553</v>
      </c>
      <c r="U2376" t="s">
        <v>32</v>
      </c>
      <c r="V2376" t="s">
        <v>33</v>
      </c>
      <c r="W2376" t="s">
        <v>163</v>
      </c>
      <c r="X2376" t="s">
        <v>164</v>
      </c>
      <c r="Y2376" t="s">
        <v>51</v>
      </c>
    </row>
    <row r="2377" spans="1:25" x14ac:dyDescent="0.25">
      <c r="A2377">
        <v>10398</v>
      </c>
      <c r="B2377">
        <v>49</v>
      </c>
      <c r="C2377">
        <v>36.659999999999997</v>
      </c>
      <c r="D2377">
        <v>5</v>
      </c>
      <c r="E2377">
        <v>1796.34</v>
      </c>
      <c r="F2377" s="1">
        <v>38441</v>
      </c>
      <c r="G2377" t="s">
        <v>25</v>
      </c>
      <c r="H2377">
        <v>1</v>
      </c>
      <c r="I2377">
        <v>3</v>
      </c>
      <c r="J2377">
        <v>2005</v>
      </c>
      <c r="K2377" t="s">
        <v>550</v>
      </c>
      <c r="L2377">
        <v>43</v>
      </c>
      <c r="M2377" t="s">
        <v>657</v>
      </c>
      <c r="N2377" t="s">
        <v>37</v>
      </c>
      <c r="O2377" t="s">
        <v>38</v>
      </c>
      <c r="P2377" t="s">
        <v>39</v>
      </c>
      <c r="R2377" t="s">
        <v>40</v>
      </c>
      <c r="T2377">
        <v>51100</v>
      </c>
      <c r="U2377" t="s">
        <v>41</v>
      </c>
      <c r="V2377" t="s">
        <v>42</v>
      </c>
      <c r="W2377" t="s">
        <v>43</v>
      </c>
      <c r="X2377" t="s">
        <v>44</v>
      </c>
      <c r="Y2377" t="s">
        <v>36</v>
      </c>
    </row>
    <row r="2378" spans="1:25" x14ac:dyDescent="0.25">
      <c r="A2378">
        <v>10401</v>
      </c>
      <c r="B2378">
        <v>56</v>
      </c>
      <c r="C2378">
        <v>35.35</v>
      </c>
      <c r="D2378">
        <v>7</v>
      </c>
      <c r="E2378">
        <v>1979.6</v>
      </c>
      <c r="F2378" s="1">
        <v>38445</v>
      </c>
      <c r="G2378" t="s">
        <v>401</v>
      </c>
      <c r="H2378">
        <v>2</v>
      </c>
      <c r="I2378">
        <v>4</v>
      </c>
      <c r="J2378">
        <v>2005</v>
      </c>
      <c r="K2378" t="s">
        <v>550</v>
      </c>
      <c r="L2378">
        <v>43</v>
      </c>
      <c r="M2378" t="s">
        <v>657</v>
      </c>
      <c r="N2378" t="s">
        <v>104</v>
      </c>
      <c r="O2378">
        <v>2015559350</v>
      </c>
      <c r="P2378" t="s">
        <v>105</v>
      </c>
      <c r="R2378" t="s">
        <v>106</v>
      </c>
      <c r="S2378" t="s">
        <v>107</v>
      </c>
      <c r="T2378">
        <v>94019</v>
      </c>
      <c r="U2378" t="s">
        <v>32</v>
      </c>
      <c r="V2378" t="s">
        <v>33</v>
      </c>
      <c r="W2378" t="s">
        <v>61</v>
      </c>
      <c r="X2378" t="s">
        <v>108</v>
      </c>
      <c r="Y2378" t="s">
        <v>36</v>
      </c>
    </row>
    <row r="2379" spans="1:25" x14ac:dyDescent="0.25">
      <c r="A2379">
        <v>10416</v>
      </c>
      <c r="B2379">
        <v>37</v>
      </c>
      <c r="C2379">
        <v>51.93</v>
      </c>
      <c r="D2379">
        <v>8</v>
      </c>
      <c r="E2379">
        <v>1921.41</v>
      </c>
      <c r="F2379" s="1">
        <v>38482</v>
      </c>
      <c r="G2379" t="s">
        <v>25</v>
      </c>
      <c r="H2379">
        <v>2</v>
      </c>
      <c r="I2379">
        <v>5</v>
      </c>
      <c r="J2379">
        <v>2005</v>
      </c>
      <c r="K2379" t="s">
        <v>550</v>
      </c>
      <c r="L2379">
        <v>43</v>
      </c>
      <c r="M2379" t="s">
        <v>657</v>
      </c>
      <c r="N2379" t="s">
        <v>452</v>
      </c>
      <c r="O2379" t="s">
        <v>453</v>
      </c>
      <c r="P2379" t="s">
        <v>454</v>
      </c>
      <c r="R2379" t="s">
        <v>455</v>
      </c>
      <c r="T2379">
        <v>42100</v>
      </c>
      <c r="U2379" t="s">
        <v>258</v>
      </c>
      <c r="V2379" t="s">
        <v>42</v>
      </c>
      <c r="W2379" t="s">
        <v>456</v>
      </c>
      <c r="X2379" t="s">
        <v>457</v>
      </c>
      <c r="Y2379" t="s">
        <v>36</v>
      </c>
    </row>
    <row r="2380" spans="1:25" x14ac:dyDescent="0.25">
      <c r="A2380">
        <v>10104</v>
      </c>
      <c r="B2380">
        <v>33</v>
      </c>
      <c r="C2380">
        <v>100</v>
      </c>
      <c r="D2380">
        <v>7</v>
      </c>
      <c r="E2380">
        <v>3705.24</v>
      </c>
      <c r="F2380" s="1">
        <v>37652</v>
      </c>
      <c r="G2380" t="s">
        <v>25</v>
      </c>
      <c r="H2380">
        <v>1</v>
      </c>
      <c r="I2380">
        <v>1</v>
      </c>
      <c r="J2380">
        <v>2003</v>
      </c>
      <c r="K2380" t="s">
        <v>504</v>
      </c>
      <c r="L2380">
        <v>115</v>
      </c>
      <c r="M2380" t="s">
        <v>658</v>
      </c>
      <c r="N2380" t="s">
        <v>174</v>
      </c>
      <c r="O2380" t="s">
        <v>175</v>
      </c>
      <c r="P2380" t="s">
        <v>176</v>
      </c>
      <c r="R2380" t="s">
        <v>177</v>
      </c>
      <c r="T2380">
        <v>28034</v>
      </c>
      <c r="U2380" t="s">
        <v>178</v>
      </c>
      <c r="V2380" t="s">
        <v>42</v>
      </c>
      <c r="W2380" t="s">
        <v>179</v>
      </c>
      <c r="X2380" t="s">
        <v>180</v>
      </c>
      <c r="Y2380" t="s">
        <v>51</v>
      </c>
    </row>
    <row r="2381" spans="1:25" x14ac:dyDescent="0.25">
      <c r="A2381">
        <v>10115</v>
      </c>
      <c r="B2381">
        <v>27</v>
      </c>
      <c r="C2381">
        <v>100</v>
      </c>
      <c r="D2381">
        <v>3</v>
      </c>
      <c r="E2381">
        <v>2843.91</v>
      </c>
      <c r="F2381" s="1">
        <v>37715</v>
      </c>
      <c r="G2381" t="s">
        <v>25</v>
      </c>
      <c r="H2381">
        <v>2</v>
      </c>
      <c r="I2381">
        <v>4</v>
      </c>
      <c r="J2381">
        <v>2003</v>
      </c>
      <c r="K2381" t="s">
        <v>504</v>
      </c>
      <c r="L2381">
        <v>115</v>
      </c>
      <c r="M2381" t="s">
        <v>658</v>
      </c>
      <c r="N2381" t="s">
        <v>203</v>
      </c>
      <c r="O2381">
        <v>2125558493</v>
      </c>
      <c r="P2381" t="s">
        <v>204</v>
      </c>
      <c r="Q2381" t="s">
        <v>205</v>
      </c>
      <c r="R2381" t="s">
        <v>30</v>
      </c>
      <c r="S2381" t="s">
        <v>31</v>
      </c>
      <c r="T2381">
        <v>10022</v>
      </c>
      <c r="U2381" t="s">
        <v>32</v>
      </c>
      <c r="V2381" t="s">
        <v>33</v>
      </c>
      <c r="W2381" t="s">
        <v>124</v>
      </c>
      <c r="X2381" t="s">
        <v>206</v>
      </c>
      <c r="Y2381" t="s">
        <v>36</v>
      </c>
    </row>
    <row r="2382" spans="1:25" x14ac:dyDescent="0.25">
      <c r="A2382">
        <v>10127</v>
      </c>
      <c r="B2382">
        <v>46</v>
      </c>
      <c r="C2382">
        <v>100</v>
      </c>
      <c r="D2382">
        <v>9</v>
      </c>
      <c r="E2382">
        <v>6176.42</v>
      </c>
      <c r="F2382" s="1">
        <v>37775</v>
      </c>
      <c r="G2382" t="s">
        <v>25</v>
      </c>
      <c r="H2382">
        <v>2</v>
      </c>
      <c r="I2382">
        <v>6</v>
      </c>
      <c r="J2382">
        <v>2003</v>
      </c>
      <c r="K2382" t="s">
        <v>504</v>
      </c>
      <c r="L2382">
        <v>115</v>
      </c>
      <c r="M2382" t="s">
        <v>658</v>
      </c>
      <c r="N2382" t="s">
        <v>475</v>
      </c>
      <c r="O2382">
        <v>2125557413</v>
      </c>
      <c r="P2382" t="s">
        <v>476</v>
      </c>
      <c r="Q2382" t="s">
        <v>477</v>
      </c>
      <c r="R2382" t="s">
        <v>30</v>
      </c>
      <c r="S2382" t="s">
        <v>31</v>
      </c>
      <c r="T2382">
        <v>10022</v>
      </c>
      <c r="U2382" t="s">
        <v>32</v>
      </c>
      <c r="V2382" t="s">
        <v>33</v>
      </c>
      <c r="W2382" t="s">
        <v>56</v>
      </c>
      <c r="X2382" t="s">
        <v>478</v>
      </c>
      <c r="Y2382" t="s">
        <v>51</v>
      </c>
    </row>
    <row r="2383" spans="1:25" x14ac:dyDescent="0.25">
      <c r="A2383">
        <v>10141</v>
      </c>
      <c r="B2383">
        <v>44</v>
      </c>
      <c r="C2383">
        <v>100</v>
      </c>
      <c r="D2383">
        <v>3</v>
      </c>
      <c r="E2383">
        <v>5500.44</v>
      </c>
      <c r="F2383" s="1">
        <v>37834</v>
      </c>
      <c r="G2383" t="s">
        <v>25</v>
      </c>
      <c r="H2383">
        <v>3</v>
      </c>
      <c r="I2383">
        <v>8</v>
      </c>
      <c r="J2383">
        <v>2003</v>
      </c>
      <c r="K2383" t="s">
        <v>504</v>
      </c>
      <c r="L2383">
        <v>115</v>
      </c>
      <c r="M2383" t="s">
        <v>658</v>
      </c>
      <c r="N2383" t="s">
        <v>467</v>
      </c>
      <c r="O2383" t="s">
        <v>468</v>
      </c>
      <c r="P2383" t="s">
        <v>469</v>
      </c>
      <c r="R2383" t="s">
        <v>470</v>
      </c>
      <c r="T2383" t="s">
        <v>471</v>
      </c>
      <c r="U2383" t="s">
        <v>130</v>
      </c>
      <c r="V2383" t="s">
        <v>42</v>
      </c>
      <c r="W2383" t="s">
        <v>472</v>
      </c>
      <c r="X2383" t="s">
        <v>473</v>
      </c>
      <c r="Y2383" t="s">
        <v>51</v>
      </c>
    </row>
    <row r="2384" spans="1:25" x14ac:dyDescent="0.25">
      <c r="A2384">
        <v>10151</v>
      </c>
      <c r="B2384">
        <v>26</v>
      </c>
      <c r="C2384">
        <v>100</v>
      </c>
      <c r="D2384">
        <v>1</v>
      </c>
      <c r="E2384">
        <v>3220.1</v>
      </c>
      <c r="F2384" s="1">
        <v>37885</v>
      </c>
      <c r="G2384" t="s">
        <v>25</v>
      </c>
      <c r="H2384">
        <v>3</v>
      </c>
      <c r="I2384">
        <v>9</v>
      </c>
      <c r="J2384">
        <v>2003</v>
      </c>
      <c r="K2384" t="s">
        <v>504</v>
      </c>
      <c r="L2384">
        <v>115</v>
      </c>
      <c r="M2384" t="s">
        <v>658</v>
      </c>
      <c r="N2384" t="s">
        <v>391</v>
      </c>
      <c r="O2384" t="s">
        <v>392</v>
      </c>
      <c r="P2384" t="s">
        <v>393</v>
      </c>
      <c r="R2384" t="s">
        <v>394</v>
      </c>
      <c r="T2384">
        <v>90110</v>
      </c>
      <c r="U2384" t="s">
        <v>130</v>
      </c>
      <c r="V2384" t="s">
        <v>42</v>
      </c>
      <c r="W2384" t="s">
        <v>395</v>
      </c>
      <c r="X2384" t="s">
        <v>396</v>
      </c>
      <c r="Y2384" t="s">
        <v>51</v>
      </c>
    </row>
    <row r="2385" spans="1:25" x14ac:dyDescent="0.25">
      <c r="A2385">
        <v>10165</v>
      </c>
      <c r="B2385">
        <v>48</v>
      </c>
      <c r="C2385">
        <v>94.92</v>
      </c>
      <c r="D2385">
        <v>10</v>
      </c>
      <c r="E2385">
        <v>4556.16</v>
      </c>
      <c r="F2385" s="1">
        <v>37916</v>
      </c>
      <c r="G2385" t="s">
        <v>25</v>
      </c>
      <c r="H2385">
        <v>4</v>
      </c>
      <c r="I2385">
        <v>10</v>
      </c>
      <c r="J2385">
        <v>2003</v>
      </c>
      <c r="K2385" t="s">
        <v>504</v>
      </c>
      <c r="L2385">
        <v>115</v>
      </c>
      <c r="M2385" t="s">
        <v>658</v>
      </c>
      <c r="N2385" t="s">
        <v>196</v>
      </c>
      <c r="O2385" t="s">
        <v>197</v>
      </c>
      <c r="P2385" t="s">
        <v>198</v>
      </c>
      <c r="R2385" t="s">
        <v>199</v>
      </c>
      <c r="T2385">
        <v>79903</v>
      </c>
      <c r="U2385" t="s">
        <v>199</v>
      </c>
      <c r="V2385" t="s">
        <v>200</v>
      </c>
      <c r="W2385" t="s">
        <v>201</v>
      </c>
      <c r="X2385" t="s">
        <v>202</v>
      </c>
      <c r="Y2385" t="s">
        <v>51</v>
      </c>
    </row>
    <row r="2386" spans="1:25" x14ac:dyDescent="0.25">
      <c r="A2386">
        <v>10176</v>
      </c>
      <c r="B2386">
        <v>23</v>
      </c>
      <c r="C2386">
        <v>100</v>
      </c>
      <c r="D2386">
        <v>9</v>
      </c>
      <c r="E2386">
        <v>3114.89</v>
      </c>
      <c r="F2386" s="1">
        <v>37931</v>
      </c>
      <c r="G2386" t="s">
        <v>25</v>
      </c>
      <c r="H2386">
        <v>4</v>
      </c>
      <c r="I2386">
        <v>11</v>
      </c>
      <c r="J2386">
        <v>2003</v>
      </c>
      <c r="K2386" t="s">
        <v>504</v>
      </c>
      <c r="L2386">
        <v>115</v>
      </c>
      <c r="M2386" t="s">
        <v>658</v>
      </c>
      <c r="N2386" t="s">
        <v>452</v>
      </c>
      <c r="O2386" t="s">
        <v>453</v>
      </c>
      <c r="P2386" t="s">
        <v>454</v>
      </c>
      <c r="R2386" t="s">
        <v>455</v>
      </c>
      <c r="T2386">
        <v>42100</v>
      </c>
      <c r="U2386" t="s">
        <v>258</v>
      </c>
      <c r="V2386" t="s">
        <v>42</v>
      </c>
      <c r="W2386" t="s">
        <v>456</v>
      </c>
      <c r="X2386" t="s">
        <v>457</v>
      </c>
      <c r="Y2386" t="s">
        <v>51</v>
      </c>
    </row>
    <row r="2387" spans="1:25" x14ac:dyDescent="0.25">
      <c r="A2387">
        <v>10184</v>
      </c>
      <c r="B2387">
        <v>45</v>
      </c>
      <c r="C2387">
        <v>100</v>
      </c>
      <c r="D2387">
        <v>4</v>
      </c>
      <c r="E2387">
        <v>4948.2</v>
      </c>
      <c r="F2387" s="1">
        <v>37939</v>
      </c>
      <c r="G2387" t="s">
        <v>25</v>
      </c>
      <c r="H2387">
        <v>4</v>
      </c>
      <c r="I2387">
        <v>11</v>
      </c>
      <c r="J2387">
        <v>2003</v>
      </c>
      <c r="K2387" t="s">
        <v>504</v>
      </c>
      <c r="L2387">
        <v>115</v>
      </c>
      <c r="M2387" t="s">
        <v>658</v>
      </c>
      <c r="N2387" t="s">
        <v>520</v>
      </c>
      <c r="O2387" t="s">
        <v>521</v>
      </c>
      <c r="P2387" t="s">
        <v>522</v>
      </c>
      <c r="R2387" t="s">
        <v>523</v>
      </c>
      <c r="T2387">
        <v>41101</v>
      </c>
      <c r="U2387" t="s">
        <v>178</v>
      </c>
      <c r="V2387" t="s">
        <v>42</v>
      </c>
      <c r="W2387" t="s">
        <v>524</v>
      </c>
      <c r="X2387" t="s">
        <v>525</v>
      </c>
      <c r="Y2387" t="s">
        <v>51</v>
      </c>
    </row>
    <row r="2388" spans="1:25" x14ac:dyDescent="0.25">
      <c r="A2388">
        <v>10195</v>
      </c>
      <c r="B2388">
        <v>49</v>
      </c>
      <c r="C2388">
        <v>100</v>
      </c>
      <c r="D2388">
        <v>4</v>
      </c>
      <c r="E2388">
        <v>5161.17</v>
      </c>
      <c r="F2388" s="1">
        <v>37950</v>
      </c>
      <c r="G2388" t="s">
        <v>25</v>
      </c>
      <c r="H2388">
        <v>4</v>
      </c>
      <c r="I2388">
        <v>11</v>
      </c>
      <c r="J2388">
        <v>2003</v>
      </c>
      <c r="K2388" t="s">
        <v>504</v>
      </c>
      <c r="L2388">
        <v>115</v>
      </c>
      <c r="M2388" t="s">
        <v>658</v>
      </c>
      <c r="N2388" t="s">
        <v>317</v>
      </c>
      <c r="O2388">
        <v>9145554562</v>
      </c>
      <c r="P2388" t="s">
        <v>318</v>
      </c>
      <c r="R2388" t="s">
        <v>319</v>
      </c>
      <c r="S2388" t="s">
        <v>31</v>
      </c>
      <c r="T2388">
        <v>24067</v>
      </c>
      <c r="U2388" t="s">
        <v>32</v>
      </c>
      <c r="V2388" t="s">
        <v>33</v>
      </c>
      <c r="W2388" t="s">
        <v>102</v>
      </c>
      <c r="X2388" t="s">
        <v>238</v>
      </c>
      <c r="Y2388" t="s">
        <v>51</v>
      </c>
    </row>
    <row r="2389" spans="1:25" x14ac:dyDescent="0.25">
      <c r="A2389">
        <v>10207</v>
      </c>
      <c r="B2389">
        <v>28</v>
      </c>
      <c r="C2389">
        <v>94.92</v>
      </c>
      <c r="D2389">
        <v>5</v>
      </c>
      <c r="E2389">
        <v>2657.76</v>
      </c>
      <c r="F2389" s="1">
        <v>37964</v>
      </c>
      <c r="G2389" t="s">
        <v>25</v>
      </c>
      <c r="H2389">
        <v>4</v>
      </c>
      <c r="I2389">
        <v>12</v>
      </c>
      <c r="J2389">
        <v>2003</v>
      </c>
      <c r="K2389" t="s">
        <v>504</v>
      </c>
      <c r="L2389">
        <v>115</v>
      </c>
      <c r="M2389" t="s">
        <v>658</v>
      </c>
      <c r="N2389" t="s">
        <v>415</v>
      </c>
      <c r="O2389">
        <v>6175552555</v>
      </c>
      <c r="P2389" t="s">
        <v>416</v>
      </c>
      <c r="R2389" t="s">
        <v>381</v>
      </c>
      <c r="S2389" t="s">
        <v>123</v>
      </c>
      <c r="T2389">
        <v>51003</v>
      </c>
      <c r="U2389" t="s">
        <v>32</v>
      </c>
      <c r="V2389" t="s">
        <v>33</v>
      </c>
      <c r="W2389" t="s">
        <v>417</v>
      </c>
      <c r="X2389" t="s">
        <v>276</v>
      </c>
      <c r="Y2389" t="s">
        <v>36</v>
      </c>
    </row>
    <row r="2390" spans="1:25" x14ac:dyDescent="0.25">
      <c r="A2390">
        <v>10220</v>
      </c>
      <c r="B2390">
        <v>37</v>
      </c>
      <c r="C2390">
        <v>100</v>
      </c>
      <c r="D2390">
        <v>9</v>
      </c>
      <c r="E2390">
        <v>3983.05</v>
      </c>
      <c r="F2390" s="1">
        <v>38029</v>
      </c>
      <c r="G2390" t="s">
        <v>25</v>
      </c>
      <c r="H2390">
        <v>1</v>
      </c>
      <c r="I2390">
        <v>2</v>
      </c>
      <c r="J2390">
        <v>2004</v>
      </c>
      <c r="K2390" t="s">
        <v>504</v>
      </c>
      <c r="L2390">
        <v>115</v>
      </c>
      <c r="M2390" t="s">
        <v>658</v>
      </c>
      <c r="N2390" t="s">
        <v>479</v>
      </c>
      <c r="O2390" t="s">
        <v>480</v>
      </c>
      <c r="P2390" t="s">
        <v>481</v>
      </c>
      <c r="Q2390" t="s">
        <v>482</v>
      </c>
      <c r="R2390" t="s">
        <v>483</v>
      </c>
      <c r="T2390">
        <v>2</v>
      </c>
      <c r="U2390" t="s">
        <v>484</v>
      </c>
      <c r="V2390" t="s">
        <v>42</v>
      </c>
      <c r="W2390" t="s">
        <v>485</v>
      </c>
      <c r="X2390" t="s">
        <v>486</v>
      </c>
      <c r="Y2390" t="s">
        <v>51</v>
      </c>
    </row>
    <row r="2391" spans="1:25" x14ac:dyDescent="0.25">
      <c r="A2391">
        <v>10230</v>
      </c>
      <c r="B2391">
        <v>34</v>
      </c>
      <c r="C2391">
        <v>100</v>
      </c>
      <c r="D2391">
        <v>7</v>
      </c>
      <c r="E2391">
        <v>3974.94</v>
      </c>
      <c r="F2391" s="1">
        <v>38061</v>
      </c>
      <c r="G2391" t="s">
        <v>25</v>
      </c>
      <c r="H2391">
        <v>1</v>
      </c>
      <c r="I2391">
        <v>3</v>
      </c>
      <c r="J2391">
        <v>2004</v>
      </c>
      <c r="K2391" t="s">
        <v>504</v>
      </c>
      <c r="L2391">
        <v>115</v>
      </c>
      <c r="M2391" t="s">
        <v>658</v>
      </c>
      <c r="N2391" t="s">
        <v>462</v>
      </c>
      <c r="O2391" t="s">
        <v>463</v>
      </c>
      <c r="P2391" t="s">
        <v>464</v>
      </c>
      <c r="R2391" t="s">
        <v>465</v>
      </c>
      <c r="T2391">
        <v>60528</v>
      </c>
      <c r="U2391" t="s">
        <v>443</v>
      </c>
      <c r="V2391" t="s">
        <v>42</v>
      </c>
      <c r="W2391" t="s">
        <v>466</v>
      </c>
      <c r="X2391" t="s">
        <v>414</v>
      </c>
      <c r="Y2391" t="s">
        <v>51</v>
      </c>
    </row>
    <row r="2392" spans="1:25" x14ac:dyDescent="0.25">
      <c r="A2392">
        <v>10246</v>
      </c>
      <c r="B2392">
        <v>22</v>
      </c>
      <c r="C2392">
        <v>100</v>
      </c>
      <c r="D2392">
        <v>3</v>
      </c>
      <c r="E2392">
        <v>2928.42</v>
      </c>
      <c r="F2392" s="1">
        <v>38112</v>
      </c>
      <c r="G2392" t="s">
        <v>25</v>
      </c>
      <c r="H2392">
        <v>2</v>
      </c>
      <c r="I2392">
        <v>5</v>
      </c>
      <c r="J2392">
        <v>2004</v>
      </c>
      <c r="K2392" t="s">
        <v>504</v>
      </c>
      <c r="L2392">
        <v>115</v>
      </c>
      <c r="M2392" t="s">
        <v>658</v>
      </c>
      <c r="N2392" t="s">
        <v>174</v>
      </c>
      <c r="O2392" t="s">
        <v>175</v>
      </c>
      <c r="P2392" t="s">
        <v>176</v>
      </c>
      <c r="R2392" t="s">
        <v>177</v>
      </c>
      <c r="T2392">
        <v>28034</v>
      </c>
      <c r="U2392" t="s">
        <v>178</v>
      </c>
      <c r="V2392" t="s">
        <v>42</v>
      </c>
      <c r="W2392" t="s">
        <v>179</v>
      </c>
      <c r="X2392" t="s">
        <v>180</v>
      </c>
      <c r="Y2392" t="s">
        <v>36</v>
      </c>
    </row>
    <row r="2393" spans="1:25" x14ac:dyDescent="0.25">
      <c r="A2393">
        <v>10259</v>
      </c>
      <c r="B2393">
        <v>29</v>
      </c>
      <c r="C2393">
        <v>100</v>
      </c>
      <c r="D2393">
        <v>2</v>
      </c>
      <c r="E2393">
        <v>3054.57</v>
      </c>
      <c r="F2393" s="1">
        <v>38153</v>
      </c>
      <c r="G2393" t="s">
        <v>25</v>
      </c>
      <c r="H2393">
        <v>2</v>
      </c>
      <c r="I2393">
        <v>6</v>
      </c>
      <c r="J2393">
        <v>2004</v>
      </c>
      <c r="K2393" t="s">
        <v>504</v>
      </c>
      <c r="L2393">
        <v>115</v>
      </c>
      <c r="M2393" t="s">
        <v>658</v>
      </c>
      <c r="N2393" t="s">
        <v>418</v>
      </c>
      <c r="O2393" t="s">
        <v>419</v>
      </c>
      <c r="P2393" t="s">
        <v>420</v>
      </c>
      <c r="Q2393" t="s">
        <v>421</v>
      </c>
      <c r="R2393" t="s">
        <v>199</v>
      </c>
      <c r="T2393">
        <v>69045</v>
      </c>
      <c r="U2393" t="s">
        <v>199</v>
      </c>
      <c r="V2393" t="s">
        <v>96</v>
      </c>
      <c r="W2393" t="s">
        <v>422</v>
      </c>
      <c r="X2393" t="s">
        <v>423</v>
      </c>
      <c r="Y2393" t="s">
        <v>51</v>
      </c>
    </row>
    <row r="2394" spans="1:25" x14ac:dyDescent="0.25">
      <c r="A2394">
        <v>10271</v>
      </c>
      <c r="B2394">
        <v>34</v>
      </c>
      <c r="C2394">
        <v>98.39</v>
      </c>
      <c r="D2394">
        <v>3</v>
      </c>
      <c r="E2394">
        <v>3345.26</v>
      </c>
      <c r="F2394" s="1">
        <v>38188</v>
      </c>
      <c r="G2394" t="s">
        <v>25</v>
      </c>
      <c r="H2394">
        <v>3</v>
      </c>
      <c r="I2394">
        <v>7</v>
      </c>
      <c r="J2394">
        <v>2004</v>
      </c>
      <c r="K2394" t="s">
        <v>504</v>
      </c>
      <c r="L2394">
        <v>115</v>
      </c>
      <c r="M2394" t="s">
        <v>658</v>
      </c>
      <c r="N2394" t="s">
        <v>272</v>
      </c>
      <c r="O2394">
        <v>4155551450</v>
      </c>
      <c r="P2394" t="s">
        <v>273</v>
      </c>
      <c r="R2394" t="s">
        <v>274</v>
      </c>
      <c r="S2394" t="s">
        <v>55</v>
      </c>
      <c r="T2394">
        <v>97562</v>
      </c>
      <c r="U2394" t="s">
        <v>32</v>
      </c>
      <c r="V2394" t="s">
        <v>33</v>
      </c>
      <c r="W2394" t="s">
        <v>275</v>
      </c>
      <c r="X2394" t="s">
        <v>276</v>
      </c>
      <c r="Y2394" t="s">
        <v>51</v>
      </c>
    </row>
    <row r="2395" spans="1:25" x14ac:dyDescent="0.25">
      <c r="A2395">
        <v>10282</v>
      </c>
      <c r="B2395">
        <v>38</v>
      </c>
      <c r="C2395">
        <v>100</v>
      </c>
      <c r="D2395">
        <v>12</v>
      </c>
      <c r="E2395">
        <v>4310.72</v>
      </c>
      <c r="F2395" s="1">
        <v>38219</v>
      </c>
      <c r="G2395" t="s">
        <v>25</v>
      </c>
      <c r="H2395">
        <v>3</v>
      </c>
      <c r="I2395">
        <v>8</v>
      </c>
      <c r="J2395">
        <v>2004</v>
      </c>
      <c r="K2395" t="s">
        <v>504</v>
      </c>
      <c r="L2395">
        <v>115</v>
      </c>
      <c r="M2395" t="s">
        <v>658</v>
      </c>
      <c r="N2395" t="s">
        <v>272</v>
      </c>
      <c r="O2395">
        <v>4155551450</v>
      </c>
      <c r="P2395" t="s">
        <v>273</v>
      </c>
      <c r="R2395" t="s">
        <v>274</v>
      </c>
      <c r="S2395" t="s">
        <v>55</v>
      </c>
      <c r="T2395">
        <v>97562</v>
      </c>
      <c r="U2395" t="s">
        <v>32</v>
      </c>
      <c r="V2395" t="s">
        <v>33</v>
      </c>
      <c r="W2395" t="s">
        <v>275</v>
      </c>
      <c r="X2395" t="s">
        <v>276</v>
      </c>
      <c r="Y2395" t="s">
        <v>51</v>
      </c>
    </row>
    <row r="2396" spans="1:25" x14ac:dyDescent="0.25">
      <c r="A2396">
        <v>10292</v>
      </c>
      <c r="B2396">
        <v>41</v>
      </c>
      <c r="C2396">
        <v>100</v>
      </c>
      <c r="D2396">
        <v>6</v>
      </c>
      <c r="E2396">
        <v>4983.1400000000003</v>
      </c>
      <c r="F2396" s="1">
        <v>38238</v>
      </c>
      <c r="G2396" t="s">
        <v>25</v>
      </c>
      <c r="H2396">
        <v>3</v>
      </c>
      <c r="I2396">
        <v>9</v>
      </c>
      <c r="J2396">
        <v>2004</v>
      </c>
      <c r="K2396" t="s">
        <v>504</v>
      </c>
      <c r="L2396">
        <v>115</v>
      </c>
      <c r="M2396" t="s">
        <v>658</v>
      </c>
      <c r="N2396" t="s">
        <v>28</v>
      </c>
      <c r="O2396">
        <v>2125557818</v>
      </c>
      <c r="P2396" t="s">
        <v>29</v>
      </c>
      <c r="R2396" t="s">
        <v>30</v>
      </c>
      <c r="S2396" t="s">
        <v>31</v>
      </c>
      <c r="T2396">
        <v>10022</v>
      </c>
      <c r="U2396" t="s">
        <v>32</v>
      </c>
      <c r="V2396" t="s">
        <v>33</v>
      </c>
      <c r="W2396" t="s">
        <v>34</v>
      </c>
      <c r="X2396" t="s">
        <v>35</v>
      </c>
      <c r="Y2396" t="s">
        <v>51</v>
      </c>
    </row>
    <row r="2397" spans="1:25" x14ac:dyDescent="0.25">
      <c r="A2397">
        <v>10305</v>
      </c>
      <c r="B2397">
        <v>42</v>
      </c>
      <c r="C2397">
        <v>100</v>
      </c>
      <c r="D2397">
        <v>3</v>
      </c>
      <c r="E2397">
        <v>4618.32</v>
      </c>
      <c r="F2397" s="1">
        <v>38273</v>
      </c>
      <c r="G2397" t="s">
        <v>25</v>
      </c>
      <c r="H2397">
        <v>4</v>
      </c>
      <c r="I2397">
        <v>10</v>
      </c>
      <c r="J2397">
        <v>2004</v>
      </c>
      <c r="K2397" t="s">
        <v>504</v>
      </c>
      <c r="L2397">
        <v>115</v>
      </c>
      <c r="M2397" t="s">
        <v>658</v>
      </c>
      <c r="N2397" t="s">
        <v>120</v>
      </c>
      <c r="O2397">
        <v>6175558555</v>
      </c>
      <c r="P2397" t="s">
        <v>121</v>
      </c>
      <c r="R2397" t="s">
        <v>122</v>
      </c>
      <c r="S2397" t="s">
        <v>123</v>
      </c>
      <c r="T2397">
        <v>51247</v>
      </c>
      <c r="U2397" t="s">
        <v>32</v>
      </c>
      <c r="V2397" t="s">
        <v>33</v>
      </c>
      <c r="W2397" t="s">
        <v>124</v>
      </c>
      <c r="X2397" t="s">
        <v>125</v>
      </c>
      <c r="Y2397" t="s">
        <v>51</v>
      </c>
    </row>
    <row r="2398" spans="1:25" x14ac:dyDescent="0.25">
      <c r="A2398">
        <v>10314</v>
      </c>
      <c r="B2398">
        <v>28</v>
      </c>
      <c r="C2398">
        <v>100</v>
      </c>
      <c r="D2398">
        <v>12</v>
      </c>
      <c r="E2398">
        <v>3403.12</v>
      </c>
      <c r="F2398" s="1">
        <v>38282</v>
      </c>
      <c r="G2398" t="s">
        <v>25</v>
      </c>
      <c r="H2398">
        <v>4</v>
      </c>
      <c r="I2398">
        <v>10</v>
      </c>
      <c r="J2398">
        <v>2004</v>
      </c>
      <c r="K2398" t="s">
        <v>504</v>
      </c>
      <c r="L2398">
        <v>115</v>
      </c>
      <c r="M2398" t="s">
        <v>658</v>
      </c>
      <c r="N2398" t="s">
        <v>498</v>
      </c>
      <c r="O2398" t="s">
        <v>499</v>
      </c>
      <c r="P2398" t="s">
        <v>500</v>
      </c>
      <c r="R2398" t="s">
        <v>501</v>
      </c>
      <c r="T2398">
        <v>8200</v>
      </c>
      <c r="U2398" t="s">
        <v>326</v>
      </c>
      <c r="V2398" t="s">
        <v>42</v>
      </c>
      <c r="W2398" t="s">
        <v>502</v>
      </c>
      <c r="X2398" t="s">
        <v>503</v>
      </c>
      <c r="Y2398" t="s">
        <v>51</v>
      </c>
    </row>
    <row r="2399" spans="1:25" x14ac:dyDescent="0.25">
      <c r="A2399">
        <v>10325</v>
      </c>
      <c r="B2399">
        <v>38</v>
      </c>
      <c r="C2399">
        <v>100</v>
      </c>
      <c r="D2399">
        <v>4</v>
      </c>
      <c r="E2399">
        <v>5190.42</v>
      </c>
      <c r="F2399" s="1">
        <v>38296</v>
      </c>
      <c r="G2399" t="s">
        <v>25</v>
      </c>
      <c r="H2399">
        <v>4</v>
      </c>
      <c r="I2399">
        <v>11</v>
      </c>
      <c r="J2399">
        <v>2004</v>
      </c>
      <c r="K2399" t="s">
        <v>504</v>
      </c>
      <c r="L2399">
        <v>115</v>
      </c>
      <c r="M2399" t="s">
        <v>658</v>
      </c>
      <c r="N2399" t="s">
        <v>133</v>
      </c>
      <c r="O2399" t="s">
        <v>134</v>
      </c>
      <c r="P2399" t="s">
        <v>135</v>
      </c>
      <c r="R2399" t="s">
        <v>136</v>
      </c>
      <c r="T2399">
        <v>4110</v>
      </c>
      <c r="U2399" t="s">
        <v>78</v>
      </c>
      <c r="V2399" t="s">
        <v>42</v>
      </c>
      <c r="W2399" t="s">
        <v>137</v>
      </c>
      <c r="X2399" t="s">
        <v>138</v>
      </c>
      <c r="Y2399" t="s">
        <v>51</v>
      </c>
    </row>
    <row r="2400" spans="1:25" x14ac:dyDescent="0.25">
      <c r="A2400">
        <v>10336</v>
      </c>
      <c r="B2400">
        <v>23</v>
      </c>
      <c r="C2400">
        <v>100</v>
      </c>
      <c r="D2400">
        <v>8</v>
      </c>
      <c r="E2400">
        <v>3141.57</v>
      </c>
      <c r="F2400" s="1">
        <v>38311</v>
      </c>
      <c r="G2400" t="s">
        <v>25</v>
      </c>
      <c r="H2400">
        <v>4</v>
      </c>
      <c r="I2400">
        <v>11</v>
      </c>
      <c r="J2400">
        <v>2004</v>
      </c>
      <c r="K2400" t="s">
        <v>504</v>
      </c>
      <c r="L2400">
        <v>115</v>
      </c>
      <c r="M2400" t="s">
        <v>658</v>
      </c>
      <c r="N2400" t="s">
        <v>403</v>
      </c>
      <c r="O2400" t="s">
        <v>404</v>
      </c>
      <c r="P2400" t="s">
        <v>405</v>
      </c>
      <c r="R2400" t="s">
        <v>48</v>
      </c>
      <c r="T2400">
        <v>75012</v>
      </c>
      <c r="U2400" t="s">
        <v>41</v>
      </c>
      <c r="V2400" t="s">
        <v>42</v>
      </c>
      <c r="W2400" t="s">
        <v>406</v>
      </c>
      <c r="X2400" t="s">
        <v>407</v>
      </c>
      <c r="Y2400" t="s">
        <v>51</v>
      </c>
    </row>
    <row r="2401" spans="1:25" x14ac:dyDescent="0.25">
      <c r="A2401">
        <v>10350</v>
      </c>
      <c r="B2401">
        <v>31</v>
      </c>
      <c r="C2401">
        <v>71.400000000000006</v>
      </c>
      <c r="D2401">
        <v>8</v>
      </c>
      <c r="E2401">
        <v>2213.4</v>
      </c>
      <c r="F2401" s="1">
        <v>38323</v>
      </c>
      <c r="G2401" t="s">
        <v>25</v>
      </c>
      <c r="H2401">
        <v>4</v>
      </c>
      <c r="I2401">
        <v>12</v>
      </c>
      <c r="J2401">
        <v>2004</v>
      </c>
      <c r="K2401" t="s">
        <v>504</v>
      </c>
      <c r="L2401">
        <v>115</v>
      </c>
      <c r="M2401" t="s">
        <v>658</v>
      </c>
      <c r="N2401" t="s">
        <v>174</v>
      </c>
      <c r="O2401" t="s">
        <v>175</v>
      </c>
      <c r="P2401" t="s">
        <v>176</v>
      </c>
      <c r="R2401" t="s">
        <v>177</v>
      </c>
      <c r="T2401">
        <v>28034</v>
      </c>
      <c r="U2401" t="s">
        <v>178</v>
      </c>
      <c r="V2401" t="s">
        <v>42</v>
      </c>
      <c r="W2401" t="s">
        <v>179</v>
      </c>
      <c r="X2401" t="s">
        <v>180</v>
      </c>
      <c r="Y2401" t="s">
        <v>36</v>
      </c>
    </row>
    <row r="2402" spans="1:25" x14ac:dyDescent="0.25">
      <c r="A2402">
        <v>10359</v>
      </c>
      <c r="B2402">
        <v>46</v>
      </c>
      <c r="C2402">
        <v>100</v>
      </c>
      <c r="D2402">
        <v>2</v>
      </c>
      <c r="E2402">
        <v>4896.7</v>
      </c>
      <c r="F2402" s="1">
        <v>38336</v>
      </c>
      <c r="G2402" t="s">
        <v>25</v>
      </c>
      <c r="H2402">
        <v>4</v>
      </c>
      <c r="I2402">
        <v>12</v>
      </c>
      <c r="J2402">
        <v>2004</v>
      </c>
      <c r="K2402" t="s">
        <v>504</v>
      </c>
      <c r="L2402">
        <v>115</v>
      </c>
      <c r="M2402" t="s">
        <v>658</v>
      </c>
      <c r="N2402" t="s">
        <v>37</v>
      </c>
      <c r="O2402" t="s">
        <v>38</v>
      </c>
      <c r="P2402" t="s">
        <v>39</v>
      </c>
      <c r="R2402" t="s">
        <v>40</v>
      </c>
      <c r="T2402">
        <v>51100</v>
      </c>
      <c r="U2402" t="s">
        <v>41</v>
      </c>
      <c r="V2402" t="s">
        <v>42</v>
      </c>
      <c r="W2402" t="s">
        <v>43</v>
      </c>
      <c r="X2402" t="s">
        <v>44</v>
      </c>
      <c r="Y2402" t="s">
        <v>51</v>
      </c>
    </row>
    <row r="2403" spans="1:25" x14ac:dyDescent="0.25">
      <c r="A2403">
        <v>10371</v>
      </c>
      <c r="B2403">
        <v>48</v>
      </c>
      <c r="C2403">
        <v>56.55</v>
      </c>
      <c r="D2403">
        <v>10</v>
      </c>
      <c r="E2403">
        <v>2714.4</v>
      </c>
      <c r="F2403" s="1">
        <v>38375</v>
      </c>
      <c r="G2403" t="s">
        <v>25</v>
      </c>
      <c r="H2403">
        <v>1</v>
      </c>
      <c r="I2403">
        <v>1</v>
      </c>
      <c r="J2403">
        <v>2005</v>
      </c>
      <c r="K2403" t="s">
        <v>504</v>
      </c>
      <c r="L2403">
        <v>115</v>
      </c>
      <c r="M2403" t="s">
        <v>658</v>
      </c>
      <c r="N2403" t="s">
        <v>272</v>
      </c>
      <c r="O2403">
        <v>4155551450</v>
      </c>
      <c r="P2403" t="s">
        <v>273</v>
      </c>
      <c r="R2403" t="s">
        <v>274</v>
      </c>
      <c r="S2403" t="s">
        <v>55</v>
      </c>
      <c r="T2403">
        <v>97562</v>
      </c>
      <c r="U2403" t="s">
        <v>32</v>
      </c>
      <c r="V2403" t="s">
        <v>33</v>
      </c>
      <c r="W2403" t="s">
        <v>275</v>
      </c>
      <c r="X2403" t="s">
        <v>276</v>
      </c>
      <c r="Y2403" t="s">
        <v>36</v>
      </c>
    </row>
    <row r="2404" spans="1:25" x14ac:dyDescent="0.25">
      <c r="A2404">
        <v>10383</v>
      </c>
      <c r="B2404">
        <v>29</v>
      </c>
      <c r="C2404">
        <v>100</v>
      </c>
      <c r="D2404">
        <v>13</v>
      </c>
      <c r="E2404">
        <v>3087.05</v>
      </c>
      <c r="F2404" s="1">
        <v>38405</v>
      </c>
      <c r="G2404" t="s">
        <v>25</v>
      </c>
      <c r="H2404">
        <v>1</v>
      </c>
      <c r="I2404">
        <v>2</v>
      </c>
      <c r="J2404">
        <v>2005</v>
      </c>
      <c r="K2404" t="s">
        <v>504</v>
      </c>
      <c r="L2404">
        <v>115</v>
      </c>
      <c r="M2404" t="s">
        <v>658</v>
      </c>
      <c r="N2404" t="s">
        <v>174</v>
      </c>
      <c r="O2404" t="s">
        <v>175</v>
      </c>
      <c r="P2404" t="s">
        <v>176</v>
      </c>
      <c r="R2404" t="s">
        <v>177</v>
      </c>
      <c r="T2404">
        <v>28034</v>
      </c>
      <c r="U2404" t="s">
        <v>178</v>
      </c>
      <c r="V2404" t="s">
        <v>42</v>
      </c>
      <c r="W2404" t="s">
        <v>179</v>
      </c>
      <c r="X2404" t="s">
        <v>180</v>
      </c>
      <c r="Y2404" t="s">
        <v>51</v>
      </c>
    </row>
    <row r="2405" spans="1:25" x14ac:dyDescent="0.25">
      <c r="A2405">
        <v>10395</v>
      </c>
      <c r="B2405">
        <v>46</v>
      </c>
      <c r="C2405">
        <v>100</v>
      </c>
      <c r="D2405">
        <v>4</v>
      </c>
      <c r="E2405">
        <v>5692.96</v>
      </c>
      <c r="F2405" s="1">
        <v>38428</v>
      </c>
      <c r="G2405" t="s">
        <v>25</v>
      </c>
      <c r="H2405">
        <v>1</v>
      </c>
      <c r="I2405">
        <v>3</v>
      </c>
      <c r="J2405">
        <v>2005</v>
      </c>
      <c r="K2405" t="s">
        <v>504</v>
      </c>
      <c r="L2405">
        <v>115</v>
      </c>
      <c r="M2405" t="s">
        <v>658</v>
      </c>
      <c r="N2405" t="s">
        <v>45</v>
      </c>
      <c r="O2405" t="s">
        <v>46</v>
      </c>
      <c r="P2405" t="s">
        <v>47</v>
      </c>
      <c r="R2405" t="s">
        <v>48</v>
      </c>
      <c r="T2405">
        <v>75508</v>
      </c>
      <c r="U2405" t="s">
        <v>41</v>
      </c>
      <c r="V2405" t="s">
        <v>42</v>
      </c>
      <c r="W2405" t="s">
        <v>49</v>
      </c>
      <c r="X2405" t="s">
        <v>50</v>
      </c>
      <c r="Y2405" t="s">
        <v>51</v>
      </c>
    </row>
    <row r="2406" spans="1:25" x14ac:dyDescent="0.25">
      <c r="A2406">
        <v>10412</v>
      </c>
      <c r="B2406">
        <v>26</v>
      </c>
      <c r="C2406">
        <v>100</v>
      </c>
      <c r="D2406">
        <v>3</v>
      </c>
      <c r="E2406">
        <v>3460.86</v>
      </c>
      <c r="F2406" s="1">
        <v>38475</v>
      </c>
      <c r="G2406" t="s">
        <v>25</v>
      </c>
      <c r="H2406">
        <v>2</v>
      </c>
      <c r="I2406">
        <v>5</v>
      </c>
      <c r="J2406">
        <v>2005</v>
      </c>
      <c r="K2406" t="s">
        <v>504</v>
      </c>
      <c r="L2406">
        <v>115</v>
      </c>
      <c r="M2406" t="s">
        <v>658</v>
      </c>
      <c r="N2406" t="s">
        <v>174</v>
      </c>
      <c r="O2406" t="s">
        <v>175</v>
      </c>
      <c r="P2406" t="s">
        <v>176</v>
      </c>
      <c r="R2406" t="s">
        <v>177</v>
      </c>
      <c r="T2406">
        <v>28034</v>
      </c>
      <c r="U2406" t="s">
        <v>178</v>
      </c>
      <c r="V2406" t="s">
        <v>42</v>
      </c>
      <c r="W2406" t="s">
        <v>179</v>
      </c>
      <c r="X2406" t="s">
        <v>180</v>
      </c>
      <c r="Y2406" t="s">
        <v>51</v>
      </c>
    </row>
    <row r="2407" spans="1:25" x14ac:dyDescent="0.25">
      <c r="A2407">
        <v>10425</v>
      </c>
      <c r="B2407">
        <v>18</v>
      </c>
      <c r="C2407">
        <v>100</v>
      </c>
      <c r="D2407">
        <v>2</v>
      </c>
      <c r="E2407">
        <v>1895.94</v>
      </c>
      <c r="F2407" s="1">
        <v>38503</v>
      </c>
      <c r="G2407" t="s">
        <v>300</v>
      </c>
      <c r="H2407">
        <v>2</v>
      </c>
      <c r="I2407">
        <v>5</v>
      </c>
      <c r="J2407">
        <v>2005</v>
      </c>
      <c r="K2407" t="s">
        <v>504</v>
      </c>
      <c r="L2407">
        <v>115</v>
      </c>
      <c r="M2407" t="s">
        <v>658</v>
      </c>
      <c r="N2407" t="s">
        <v>114</v>
      </c>
      <c r="O2407" t="s">
        <v>115</v>
      </c>
      <c r="P2407" t="s">
        <v>116</v>
      </c>
      <c r="R2407" t="s">
        <v>117</v>
      </c>
      <c r="T2407">
        <v>44000</v>
      </c>
      <c r="U2407" t="s">
        <v>41</v>
      </c>
      <c r="V2407" t="s">
        <v>42</v>
      </c>
      <c r="W2407" t="s">
        <v>118</v>
      </c>
      <c r="X2407" t="s">
        <v>119</v>
      </c>
      <c r="Y2407" t="s">
        <v>36</v>
      </c>
    </row>
    <row r="2408" spans="1:25" x14ac:dyDescent="0.25">
      <c r="A2408">
        <v>10104</v>
      </c>
      <c r="B2408">
        <v>32</v>
      </c>
      <c r="C2408">
        <v>53.31</v>
      </c>
      <c r="D2408">
        <v>2</v>
      </c>
      <c r="E2408">
        <v>1705.92</v>
      </c>
      <c r="F2408" s="1">
        <v>37652</v>
      </c>
      <c r="G2408" t="s">
        <v>25</v>
      </c>
      <c r="H2408">
        <v>1</v>
      </c>
      <c r="I2408">
        <v>1</v>
      </c>
      <c r="J2408">
        <v>2003</v>
      </c>
      <c r="K2408" t="s">
        <v>605</v>
      </c>
      <c r="L2408">
        <v>58</v>
      </c>
      <c r="M2408" t="s">
        <v>659</v>
      </c>
      <c r="N2408" t="s">
        <v>174</v>
      </c>
      <c r="O2408" t="s">
        <v>175</v>
      </c>
      <c r="P2408" t="s">
        <v>176</v>
      </c>
      <c r="R2408" t="s">
        <v>177</v>
      </c>
      <c r="T2408">
        <v>28034</v>
      </c>
      <c r="U2408" t="s">
        <v>178</v>
      </c>
      <c r="V2408" t="s">
        <v>42</v>
      </c>
      <c r="W2408" t="s">
        <v>179</v>
      </c>
      <c r="X2408" t="s">
        <v>180</v>
      </c>
      <c r="Y2408" t="s">
        <v>36</v>
      </c>
    </row>
    <row r="2409" spans="1:25" x14ac:dyDescent="0.25">
      <c r="A2409">
        <v>10117</v>
      </c>
      <c r="B2409">
        <v>21</v>
      </c>
      <c r="C2409">
        <v>49.21</v>
      </c>
      <c r="D2409">
        <v>11</v>
      </c>
      <c r="E2409">
        <v>1033.4100000000001</v>
      </c>
      <c r="F2409" s="1">
        <v>37727</v>
      </c>
      <c r="G2409" t="s">
        <v>25</v>
      </c>
      <c r="H2409">
        <v>2</v>
      </c>
      <c r="I2409">
        <v>4</v>
      </c>
      <c r="J2409">
        <v>2003</v>
      </c>
      <c r="K2409" t="s">
        <v>605</v>
      </c>
      <c r="L2409">
        <v>58</v>
      </c>
      <c r="M2409" t="s">
        <v>659</v>
      </c>
      <c r="N2409" t="s">
        <v>196</v>
      </c>
      <c r="O2409" t="s">
        <v>197</v>
      </c>
      <c r="P2409" t="s">
        <v>198</v>
      </c>
      <c r="R2409" t="s">
        <v>199</v>
      </c>
      <c r="T2409">
        <v>79903</v>
      </c>
      <c r="U2409" t="s">
        <v>199</v>
      </c>
      <c r="V2409" t="s">
        <v>200</v>
      </c>
      <c r="W2409" t="s">
        <v>201</v>
      </c>
      <c r="X2409" t="s">
        <v>202</v>
      </c>
      <c r="Y2409" t="s">
        <v>36</v>
      </c>
    </row>
    <row r="2410" spans="1:25" x14ac:dyDescent="0.25">
      <c r="A2410">
        <v>10127</v>
      </c>
      <c r="B2410">
        <v>46</v>
      </c>
      <c r="C2410">
        <v>69.12</v>
      </c>
      <c r="D2410">
        <v>4</v>
      </c>
      <c r="E2410">
        <v>3179.52</v>
      </c>
      <c r="F2410" s="1">
        <v>37775</v>
      </c>
      <c r="G2410" t="s">
        <v>25</v>
      </c>
      <c r="H2410">
        <v>2</v>
      </c>
      <c r="I2410">
        <v>6</v>
      </c>
      <c r="J2410">
        <v>2003</v>
      </c>
      <c r="K2410" t="s">
        <v>605</v>
      </c>
      <c r="L2410">
        <v>58</v>
      </c>
      <c r="M2410" t="s">
        <v>659</v>
      </c>
      <c r="N2410" t="s">
        <v>475</v>
      </c>
      <c r="O2410">
        <v>2125557413</v>
      </c>
      <c r="P2410" t="s">
        <v>476</v>
      </c>
      <c r="Q2410" t="s">
        <v>477</v>
      </c>
      <c r="R2410" t="s">
        <v>30</v>
      </c>
      <c r="S2410" t="s">
        <v>31</v>
      </c>
      <c r="T2410">
        <v>10022</v>
      </c>
      <c r="U2410" t="s">
        <v>32</v>
      </c>
      <c r="V2410" t="s">
        <v>33</v>
      </c>
      <c r="W2410" t="s">
        <v>56</v>
      </c>
      <c r="X2410" t="s">
        <v>478</v>
      </c>
      <c r="Y2410" t="s">
        <v>51</v>
      </c>
    </row>
    <row r="2411" spans="1:25" x14ac:dyDescent="0.25">
      <c r="A2411">
        <v>10142</v>
      </c>
      <c r="B2411">
        <v>42</v>
      </c>
      <c r="C2411">
        <v>49.79</v>
      </c>
      <c r="D2411">
        <v>14</v>
      </c>
      <c r="E2411">
        <v>2091.1799999999998</v>
      </c>
      <c r="F2411" s="1">
        <v>37841</v>
      </c>
      <c r="G2411" t="s">
        <v>25</v>
      </c>
      <c r="H2411">
        <v>3</v>
      </c>
      <c r="I2411">
        <v>8</v>
      </c>
      <c r="J2411">
        <v>2003</v>
      </c>
      <c r="K2411" t="s">
        <v>605</v>
      </c>
      <c r="L2411">
        <v>58</v>
      </c>
      <c r="M2411" t="s">
        <v>659</v>
      </c>
      <c r="N2411" t="s">
        <v>272</v>
      </c>
      <c r="O2411">
        <v>4155551450</v>
      </c>
      <c r="P2411" t="s">
        <v>273</v>
      </c>
      <c r="R2411" t="s">
        <v>274</v>
      </c>
      <c r="S2411" t="s">
        <v>55</v>
      </c>
      <c r="T2411">
        <v>97562</v>
      </c>
      <c r="U2411" t="s">
        <v>32</v>
      </c>
      <c r="V2411" t="s">
        <v>33</v>
      </c>
      <c r="W2411" t="s">
        <v>275</v>
      </c>
      <c r="X2411" t="s">
        <v>276</v>
      </c>
      <c r="Y2411" t="s">
        <v>36</v>
      </c>
    </row>
    <row r="2412" spans="1:25" x14ac:dyDescent="0.25">
      <c r="A2412">
        <v>10153</v>
      </c>
      <c r="B2412">
        <v>31</v>
      </c>
      <c r="C2412">
        <v>57.41</v>
      </c>
      <c r="D2412">
        <v>13</v>
      </c>
      <c r="E2412">
        <v>1779.71</v>
      </c>
      <c r="F2412" s="1">
        <v>37892</v>
      </c>
      <c r="G2412" t="s">
        <v>25</v>
      </c>
      <c r="H2412">
        <v>3</v>
      </c>
      <c r="I2412">
        <v>9</v>
      </c>
      <c r="J2412">
        <v>2003</v>
      </c>
      <c r="K2412" t="s">
        <v>605</v>
      </c>
      <c r="L2412">
        <v>58</v>
      </c>
      <c r="M2412" t="s">
        <v>659</v>
      </c>
      <c r="N2412" t="s">
        <v>174</v>
      </c>
      <c r="O2412" t="s">
        <v>175</v>
      </c>
      <c r="P2412" t="s">
        <v>176</v>
      </c>
      <c r="R2412" t="s">
        <v>177</v>
      </c>
      <c r="T2412">
        <v>28034</v>
      </c>
      <c r="U2412" t="s">
        <v>178</v>
      </c>
      <c r="V2412" t="s">
        <v>42</v>
      </c>
      <c r="W2412" t="s">
        <v>179</v>
      </c>
      <c r="X2412" t="s">
        <v>180</v>
      </c>
      <c r="Y2412" t="s">
        <v>36</v>
      </c>
    </row>
    <row r="2413" spans="1:25" x14ac:dyDescent="0.25">
      <c r="A2413">
        <v>10165</v>
      </c>
      <c r="B2413">
        <v>38</v>
      </c>
      <c r="C2413">
        <v>66.78</v>
      </c>
      <c r="D2413">
        <v>5</v>
      </c>
      <c r="E2413">
        <v>2537.64</v>
      </c>
      <c r="F2413" s="1">
        <v>37916</v>
      </c>
      <c r="G2413" t="s">
        <v>25</v>
      </c>
      <c r="H2413">
        <v>4</v>
      </c>
      <c r="I2413">
        <v>10</v>
      </c>
      <c r="J2413">
        <v>2003</v>
      </c>
      <c r="K2413" t="s">
        <v>605</v>
      </c>
      <c r="L2413">
        <v>58</v>
      </c>
      <c r="M2413" t="s">
        <v>659</v>
      </c>
      <c r="N2413" t="s">
        <v>196</v>
      </c>
      <c r="O2413" t="s">
        <v>197</v>
      </c>
      <c r="P2413" t="s">
        <v>198</v>
      </c>
      <c r="R2413" t="s">
        <v>199</v>
      </c>
      <c r="T2413">
        <v>79903</v>
      </c>
      <c r="U2413" t="s">
        <v>199</v>
      </c>
      <c r="V2413" t="s">
        <v>200</v>
      </c>
      <c r="W2413" t="s">
        <v>201</v>
      </c>
      <c r="X2413" t="s">
        <v>202</v>
      </c>
      <c r="Y2413" t="s">
        <v>36</v>
      </c>
    </row>
    <row r="2414" spans="1:25" x14ac:dyDescent="0.25">
      <c r="A2414">
        <v>10176</v>
      </c>
      <c r="B2414">
        <v>38</v>
      </c>
      <c r="C2414">
        <v>64.44</v>
      </c>
      <c r="D2414">
        <v>4</v>
      </c>
      <c r="E2414">
        <v>2448.7199999999998</v>
      </c>
      <c r="F2414" s="1">
        <v>37931</v>
      </c>
      <c r="G2414" t="s">
        <v>25</v>
      </c>
      <c r="H2414">
        <v>4</v>
      </c>
      <c r="I2414">
        <v>11</v>
      </c>
      <c r="J2414">
        <v>2003</v>
      </c>
      <c r="K2414" t="s">
        <v>605</v>
      </c>
      <c r="L2414">
        <v>58</v>
      </c>
      <c r="M2414" t="s">
        <v>659</v>
      </c>
      <c r="N2414" t="s">
        <v>452</v>
      </c>
      <c r="O2414" t="s">
        <v>453</v>
      </c>
      <c r="P2414" t="s">
        <v>454</v>
      </c>
      <c r="R2414" t="s">
        <v>455</v>
      </c>
      <c r="T2414">
        <v>42100</v>
      </c>
      <c r="U2414" t="s">
        <v>258</v>
      </c>
      <c r="V2414" t="s">
        <v>42</v>
      </c>
      <c r="W2414" t="s">
        <v>456</v>
      </c>
      <c r="X2414" t="s">
        <v>457</v>
      </c>
      <c r="Y2414" t="s">
        <v>36</v>
      </c>
    </row>
    <row r="2415" spans="1:25" x14ac:dyDescent="0.25">
      <c r="A2415">
        <v>10185</v>
      </c>
      <c r="B2415">
        <v>20</v>
      </c>
      <c r="C2415">
        <v>48.62</v>
      </c>
      <c r="D2415">
        <v>15</v>
      </c>
      <c r="E2415">
        <v>972.4</v>
      </c>
      <c r="F2415" s="1">
        <v>37939</v>
      </c>
      <c r="G2415" t="s">
        <v>25</v>
      </c>
      <c r="H2415">
        <v>4</v>
      </c>
      <c r="I2415">
        <v>11</v>
      </c>
      <c r="J2415">
        <v>2003</v>
      </c>
      <c r="K2415" t="s">
        <v>605</v>
      </c>
      <c r="L2415">
        <v>58</v>
      </c>
      <c r="M2415" t="s">
        <v>659</v>
      </c>
      <c r="N2415" t="s">
        <v>335</v>
      </c>
      <c r="O2415">
        <v>5085559555</v>
      </c>
      <c r="P2415" t="s">
        <v>336</v>
      </c>
      <c r="R2415" t="s">
        <v>162</v>
      </c>
      <c r="S2415" t="s">
        <v>123</v>
      </c>
      <c r="T2415">
        <v>50553</v>
      </c>
      <c r="U2415" t="s">
        <v>32</v>
      </c>
      <c r="V2415" t="s">
        <v>33</v>
      </c>
      <c r="W2415" t="s">
        <v>337</v>
      </c>
      <c r="X2415" t="s">
        <v>338</v>
      </c>
      <c r="Y2415" t="s">
        <v>36</v>
      </c>
    </row>
    <row r="2416" spans="1:25" x14ac:dyDescent="0.25">
      <c r="A2416">
        <v>10196</v>
      </c>
      <c r="B2416">
        <v>46</v>
      </c>
      <c r="C2416">
        <v>62.09</v>
      </c>
      <c r="D2416">
        <v>7</v>
      </c>
      <c r="E2416">
        <v>2856.14</v>
      </c>
      <c r="F2416" s="1">
        <v>37951</v>
      </c>
      <c r="G2416" t="s">
        <v>25</v>
      </c>
      <c r="H2416">
        <v>4</v>
      </c>
      <c r="I2416">
        <v>11</v>
      </c>
      <c r="J2416">
        <v>2003</v>
      </c>
      <c r="K2416" t="s">
        <v>605</v>
      </c>
      <c r="L2416">
        <v>58</v>
      </c>
      <c r="M2416" t="s">
        <v>659</v>
      </c>
      <c r="N2416" t="s">
        <v>242</v>
      </c>
      <c r="O2416">
        <v>2035559545</v>
      </c>
      <c r="P2416" t="s">
        <v>243</v>
      </c>
      <c r="R2416" t="s">
        <v>244</v>
      </c>
      <c r="S2416" t="s">
        <v>112</v>
      </c>
      <c r="T2416">
        <v>97823</v>
      </c>
      <c r="U2416" t="s">
        <v>32</v>
      </c>
      <c r="V2416" t="s">
        <v>33</v>
      </c>
      <c r="W2416" t="s">
        <v>83</v>
      </c>
      <c r="X2416" t="s">
        <v>245</v>
      </c>
      <c r="Y2416" t="s">
        <v>36</v>
      </c>
    </row>
    <row r="2417" spans="1:25" x14ac:dyDescent="0.25">
      <c r="A2417">
        <v>10208</v>
      </c>
      <c r="B2417">
        <v>30</v>
      </c>
      <c r="C2417">
        <v>65.61</v>
      </c>
      <c r="D2417">
        <v>15</v>
      </c>
      <c r="E2417">
        <v>1968.3</v>
      </c>
      <c r="F2417" s="1">
        <v>37988</v>
      </c>
      <c r="G2417" t="s">
        <v>25</v>
      </c>
      <c r="H2417">
        <v>1</v>
      </c>
      <c r="I2417">
        <v>1</v>
      </c>
      <c r="J2417">
        <v>2004</v>
      </c>
      <c r="K2417" t="s">
        <v>605</v>
      </c>
      <c r="L2417">
        <v>58</v>
      </c>
      <c r="M2417" t="s">
        <v>659</v>
      </c>
      <c r="N2417" t="s">
        <v>219</v>
      </c>
      <c r="O2417" t="s">
        <v>220</v>
      </c>
      <c r="P2417" t="s">
        <v>221</v>
      </c>
      <c r="R2417" t="s">
        <v>222</v>
      </c>
      <c r="T2417">
        <v>69004</v>
      </c>
      <c r="U2417" t="s">
        <v>41</v>
      </c>
      <c r="V2417" t="s">
        <v>42</v>
      </c>
      <c r="W2417" t="s">
        <v>223</v>
      </c>
      <c r="X2417" t="s">
        <v>224</v>
      </c>
      <c r="Y2417" t="s">
        <v>36</v>
      </c>
    </row>
    <row r="2418" spans="1:25" x14ac:dyDescent="0.25">
      <c r="A2418">
        <v>10220</v>
      </c>
      <c r="B2418">
        <v>30</v>
      </c>
      <c r="C2418">
        <v>68.540000000000006</v>
      </c>
      <c r="D2418">
        <v>4</v>
      </c>
      <c r="E2418">
        <v>2056.1999999999998</v>
      </c>
      <c r="F2418" s="1">
        <v>38029</v>
      </c>
      <c r="G2418" t="s">
        <v>25</v>
      </c>
      <c r="H2418">
        <v>1</v>
      </c>
      <c r="I2418">
        <v>2</v>
      </c>
      <c r="J2418">
        <v>2004</v>
      </c>
      <c r="K2418" t="s">
        <v>605</v>
      </c>
      <c r="L2418">
        <v>58</v>
      </c>
      <c r="M2418" t="s">
        <v>659</v>
      </c>
      <c r="N2418" t="s">
        <v>479</v>
      </c>
      <c r="O2418" t="s">
        <v>480</v>
      </c>
      <c r="P2418" t="s">
        <v>481</v>
      </c>
      <c r="Q2418" t="s">
        <v>482</v>
      </c>
      <c r="R2418" t="s">
        <v>483</v>
      </c>
      <c r="T2418">
        <v>2</v>
      </c>
      <c r="U2418" t="s">
        <v>484</v>
      </c>
      <c r="V2418" t="s">
        <v>42</v>
      </c>
      <c r="W2418" t="s">
        <v>485</v>
      </c>
      <c r="X2418" t="s">
        <v>486</v>
      </c>
      <c r="Y2418" t="s">
        <v>36</v>
      </c>
    </row>
    <row r="2419" spans="1:25" x14ac:dyDescent="0.25">
      <c r="A2419">
        <v>10230</v>
      </c>
      <c r="B2419">
        <v>43</v>
      </c>
      <c r="C2419">
        <v>52.14</v>
      </c>
      <c r="D2419">
        <v>2</v>
      </c>
      <c r="E2419">
        <v>2242.02</v>
      </c>
      <c r="F2419" s="1">
        <v>38061</v>
      </c>
      <c r="G2419" t="s">
        <v>25</v>
      </c>
      <c r="H2419">
        <v>1</v>
      </c>
      <c r="I2419">
        <v>3</v>
      </c>
      <c r="J2419">
        <v>2004</v>
      </c>
      <c r="K2419" t="s">
        <v>605</v>
      </c>
      <c r="L2419">
        <v>58</v>
      </c>
      <c r="M2419" t="s">
        <v>659</v>
      </c>
      <c r="N2419" t="s">
        <v>462</v>
      </c>
      <c r="O2419" t="s">
        <v>463</v>
      </c>
      <c r="P2419" t="s">
        <v>464</v>
      </c>
      <c r="R2419" t="s">
        <v>465</v>
      </c>
      <c r="T2419">
        <v>60528</v>
      </c>
      <c r="U2419" t="s">
        <v>443</v>
      </c>
      <c r="V2419" t="s">
        <v>42</v>
      </c>
      <c r="W2419" t="s">
        <v>466</v>
      </c>
      <c r="X2419" t="s">
        <v>414</v>
      </c>
      <c r="Y2419" t="s">
        <v>36</v>
      </c>
    </row>
    <row r="2420" spans="1:25" x14ac:dyDescent="0.25">
      <c r="A2420">
        <v>10247</v>
      </c>
      <c r="B2420">
        <v>49</v>
      </c>
      <c r="C2420">
        <v>63.85</v>
      </c>
      <c r="D2420">
        <v>4</v>
      </c>
      <c r="E2420">
        <v>3128.65</v>
      </c>
      <c r="F2420" s="1">
        <v>38112</v>
      </c>
      <c r="G2420" t="s">
        <v>25</v>
      </c>
      <c r="H2420">
        <v>2</v>
      </c>
      <c r="I2420">
        <v>5</v>
      </c>
      <c r="J2420">
        <v>2004</v>
      </c>
      <c r="K2420" t="s">
        <v>605</v>
      </c>
      <c r="L2420">
        <v>58</v>
      </c>
      <c r="M2420" t="s">
        <v>659</v>
      </c>
      <c r="N2420" t="s">
        <v>467</v>
      </c>
      <c r="O2420" t="s">
        <v>468</v>
      </c>
      <c r="P2420" t="s">
        <v>469</v>
      </c>
      <c r="R2420" t="s">
        <v>470</v>
      </c>
      <c r="T2420" t="s">
        <v>471</v>
      </c>
      <c r="U2420" t="s">
        <v>130</v>
      </c>
      <c r="V2420" t="s">
        <v>42</v>
      </c>
      <c r="W2420" t="s">
        <v>472</v>
      </c>
      <c r="X2420" t="s">
        <v>473</v>
      </c>
      <c r="Y2420" t="s">
        <v>51</v>
      </c>
    </row>
    <row r="2421" spans="1:25" x14ac:dyDescent="0.25">
      <c r="A2421">
        <v>10272</v>
      </c>
      <c r="B2421">
        <v>43</v>
      </c>
      <c r="C2421">
        <v>56.82</v>
      </c>
      <c r="D2421">
        <v>4</v>
      </c>
      <c r="E2421">
        <v>2443.2600000000002</v>
      </c>
      <c r="F2421" s="1">
        <v>38188</v>
      </c>
      <c r="G2421" t="s">
        <v>25</v>
      </c>
      <c r="H2421">
        <v>3</v>
      </c>
      <c r="I2421">
        <v>7</v>
      </c>
      <c r="J2421">
        <v>2004</v>
      </c>
      <c r="K2421" t="s">
        <v>605</v>
      </c>
      <c r="L2421">
        <v>58</v>
      </c>
      <c r="M2421" t="s">
        <v>659</v>
      </c>
      <c r="N2421" t="s">
        <v>139</v>
      </c>
      <c r="O2421">
        <v>2155551555</v>
      </c>
      <c r="P2421" t="s">
        <v>140</v>
      </c>
      <c r="R2421" t="s">
        <v>141</v>
      </c>
      <c r="S2421" t="s">
        <v>142</v>
      </c>
      <c r="T2421">
        <v>70267</v>
      </c>
      <c r="U2421" t="s">
        <v>32</v>
      </c>
      <c r="V2421" t="s">
        <v>33</v>
      </c>
      <c r="W2421" t="s">
        <v>34</v>
      </c>
      <c r="X2421" t="s">
        <v>143</v>
      </c>
      <c r="Y2421" t="s">
        <v>36</v>
      </c>
    </row>
    <row r="2422" spans="1:25" x14ac:dyDescent="0.25">
      <c r="A2422">
        <v>10282</v>
      </c>
      <c r="B2422">
        <v>37</v>
      </c>
      <c r="C2422">
        <v>66.78</v>
      </c>
      <c r="D2422">
        <v>7</v>
      </c>
      <c r="E2422">
        <v>2470.86</v>
      </c>
      <c r="F2422" s="1">
        <v>38219</v>
      </c>
      <c r="G2422" t="s">
        <v>25</v>
      </c>
      <c r="H2422">
        <v>3</v>
      </c>
      <c r="I2422">
        <v>8</v>
      </c>
      <c r="J2422">
        <v>2004</v>
      </c>
      <c r="K2422" t="s">
        <v>605</v>
      </c>
      <c r="L2422">
        <v>58</v>
      </c>
      <c r="M2422" t="s">
        <v>659</v>
      </c>
      <c r="N2422" t="s">
        <v>272</v>
      </c>
      <c r="O2422">
        <v>4155551450</v>
      </c>
      <c r="P2422" t="s">
        <v>273</v>
      </c>
      <c r="R2422" t="s">
        <v>274</v>
      </c>
      <c r="S2422" t="s">
        <v>55</v>
      </c>
      <c r="T2422">
        <v>97562</v>
      </c>
      <c r="U2422" t="s">
        <v>32</v>
      </c>
      <c r="V2422" t="s">
        <v>33</v>
      </c>
      <c r="W2422" t="s">
        <v>275</v>
      </c>
      <c r="X2422" t="s">
        <v>276</v>
      </c>
      <c r="Y2422" t="s">
        <v>36</v>
      </c>
    </row>
    <row r="2423" spans="1:25" x14ac:dyDescent="0.25">
      <c r="A2423">
        <v>10292</v>
      </c>
      <c r="B2423">
        <v>35</v>
      </c>
      <c r="C2423">
        <v>55.07</v>
      </c>
      <c r="D2423">
        <v>1</v>
      </c>
      <c r="E2423">
        <v>1927.45</v>
      </c>
      <c r="F2423" s="1">
        <v>38238</v>
      </c>
      <c r="G2423" t="s">
        <v>25</v>
      </c>
      <c r="H2423">
        <v>3</v>
      </c>
      <c r="I2423">
        <v>9</v>
      </c>
      <c r="J2423">
        <v>2004</v>
      </c>
      <c r="K2423" t="s">
        <v>605</v>
      </c>
      <c r="L2423">
        <v>58</v>
      </c>
      <c r="M2423" t="s">
        <v>659</v>
      </c>
      <c r="N2423" t="s">
        <v>28</v>
      </c>
      <c r="O2423">
        <v>2125557818</v>
      </c>
      <c r="P2423" t="s">
        <v>29</v>
      </c>
      <c r="R2423" t="s">
        <v>30</v>
      </c>
      <c r="S2423" t="s">
        <v>31</v>
      </c>
      <c r="T2423">
        <v>10022</v>
      </c>
      <c r="U2423" t="s">
        <v>32</v>
      </c>
      <c r="V2423" t="s">
        <v>33</v>
      </c>
      <c r="W2423" t="s">
        <v>34</v>
      </c>
      <c r="X2423" t="s">
        <v>35</v>
      </c>
      <c r="Y2423" t="s">
        <v>36</v>
      </c>
    </row>
    <row r="2424" spans="1:25" x14ac:dyDescent="0.25">
      <c r="A2424">
        <v>10306</v>
      </c>
      <c r="B2424">
        <v>34</v>
      </c>
      <c r="C2424">
        <v>60.34</v>
      </c>
      <c r="D2424">
        <v>15</v>
      </c>
      <c r="E2424">
        <v>2051.56</v>
      </c>
      <c r="F2424" s="1">
        <v>38274</v>
      </c>
      <c r="G2424" t="s">
        <v>25</v>
      </c>
      <c r="H2424">
        <v>4</v>
      </c>
      <c r="I2424">
        <v>10</v>
      </c>
      <c r="J2424">
        <v>2004</v>
      </c>
      <c r="K2424" t="s">
        <v>605</v>
      </c>
      <c r="L2424">
        <v>58</v>
      </c>
      <c r="M2424" t="s">
        <v>659</v>
      </c>
      <c r="N2424" t="s">
        <v>492</v>
      </c>
      <c r="O2424" t="s">
        <v>493</v>
      </c>
      <c r="P2424" t="s">
        <v>494</v>
      </c>
      <c r="R2424" t="s">
        <v>495</v>
      </c>
      <c r="T2424" t="s">
        <v>496</v>
      </c>
      <c r="U2424" t="s">
        <v>170</v>
      </c>
      <c r="V2424" t="s">
        <v>42</v>
      </c>
      <c r="W2424" t="s">
        <v>497</v>
      </c>
      <c r="X2424" t="s">
        <v>94</v>
      </c>
      <c r="Y2424" t="s">
        <v>36</v>
      </c>
    </row>
    <row r="2425" spans="1:25" x14ac:dyDescent="0.25">
      <c r="A2425">
        <v>10314</v>
      </c>
      <c r="B2425">
        <v>38</v>
      </c>
      <c r="C2425">
        <v>61.51</v>
      </c>
      <c r="D2425">
        <v>7</v>
      </c>
      <c r="E2425">
        <v>2337.38</v>
      </c>
      <c r="F2425" s="1">
        <v>38282</v>
      </c>
      <c r="G2425" t="s">
        <v>25</v>
      </c>
      <c r="H2425">
        <v>4</v>
      </c>
      <c r="I2425">
        <v>10</v>
      </c>
      <c r="J2425">
        <v>2004</v>
      </c>
      <c r="K2425" t="s">
        <v>605</v>
      </c>
      <c r="L2425">
        <v>58</v>
      </c>
      <c r="M2425" t="s">
        <v>659</v>
      </c>
      <c r="N2425" t="s">
        <v>498</v>
      </c>
      <c r="O2425" t="s">
        <v>499</v>
      </c>
      <c r="P2425" t="s">
        <v>500</v>
      </c>
      <c r="R2425" t="s">
        <v>501</v>
      </c>
      <c r="T2425">
        <v>8200</v>
      </c>
      <c r="U2425" t="s">
        <v>326</v>
      </c>
      <c r="V2425" t="s">
        <v>42</v>
      </c>
      <c r="W2425" t="s">
        <v>502</v>
      </c>
      <c r="X2425" t="s">
        <v>503</v>
      </c>
      <c r="Y2425" t="s">
        <v>36</v>
      </c>
    </row>
    <row r="2426" spans="1:25" x14ac:dyDescent="0.25">
      <c r="A2426">
        <v>10325</v>
      </c>
      <c r="B2426">
        <v>44</v>
      </c>
      <c r="C2426">
        <v>100</v>
      </c>
      <c r="D2426">
        <v>7</v>
      </c>
      <c r="E2426">
        <v>5932.96</v>
      </c>
      <c r="F2426" s="1">
        <v>38296</v>
      </c>
      <c r="G2426" t="s">
        <v>25</v>
      </c>
      <c r="H2426">
        <v>4</v>
      </c>
      <c r="I2426">
        <v>11</v>
      </c>
      <c r="J2426">
        <v>2004</v>
      </c>
      <c r="K2426" t="s">
        <v>605</v>
      </c>
      <c r="L2426">
        <v>58</v>
      </c>
      <c r="M2426" t="s">
        <v>659</v>
      </c>
      <c r="N2426" t="s">
        <v>133</v>
      </c>
      <c r="O2426" t="s">
        <v>134</v>
      </c>
      <c r="P2426" t="s">
        <v>135</v>
      </c>
      <c r="R2426" t="s">
        <v>136</v>
      </c>
      <c r="T2426">
        <v>4110</v>
      </c>
      <c r="U2426" t="s">
        <v>78</v>
      </c>
      <c r="V2426" t="s">
        <v>42</v>
      </c>
      <c r="W2426" t="s">
        <v>137</v>
      </c>
      <c r="X2426" t="s">
        <v>138</v>
      </c>
      <c r="Y2426" t="s">
        <v>51</v>
      </c>
    </row>
    <row r="2427" spans="1:25" x14ac:dyDescent="0.25">
      <c r="A2427">
        <v>10337</v>
      </c>
      <c r="B2427">
        <v>21</v>
      </c>
      <c r="C2427">
        <v>100</v>
      </c>
      <c r="D2427">
        <v>6</v>
      </c>
      <c r="E2427">
        <v>2296.77</v>
      </c>
      <c r="F2427" s="1">
        <v>38312</v>
      </c>
      <c r="G2427" t="s">
        <v>25</v>
      </c>
      <c r="H2427">
        <v>4</v>
      </c>
      <c r="I2427">
        <v>11</v>
      </c>
      <c r="J2427">
        <v>2004</v>
      </c>
      <c r="K2427" t="s">
        <v>605</v>
      </c>
      <c r="L2427">
        <v>58</v>
      </c>
      <c r="M2427" t="s">
        <v>659</v>
      </c>
      <c r="N2427" t="s">
        <v>203</v>
      </c>
      <c r="O2427">
        <v>2125558493</v>
      </c>
      <c r="P2427" t="s">
        <v>204</v>
      </c>
      <c r="Q2427" t="s">
        <v>205</v>
      </c>
      <c r="R2427" t="s">
        <v>30</v>
      </c>
      <c r="S2427" t="s">
        <v>31</v>
      </c>
      <c r="T2427">
        <v>10022</v>
      </c>
      <c r="U2427" t="s">
        <v>32</v>
      </c>
      <c r="V2427" t="s">
        <v>33</v>
      </c>
      <c r="W2427" t="s">
        <v>124</v>
      </c>
      <c r="X2427" t="s">
        <v>206</v>
      </c>
      <c r="Y2427" t="s">
        <v>36</v>
      </c>
    </row>
    <row r="2428" spans="1:25" x14ac:dyDescent="0.25">
      <c r="A2428">
        <v>10350</v>
      </c>
      <c r="B2428">
        <v>44</v>
      </c>
      <c r="C2428">
        <v>100</v>
      </c>
      <c r="D2428">
        <v>17</v>
      </c>
      <c r="E2428">
        <v>6490.88</v>
      </c>
      <c r="F2428" s="1">
        <v>38323</v>
      </c>
      <c r="G2428" t="s">
        <v>25</v>
      </c>
      <c r="H2428">
        <v>4</v>
      </c>
      <c r="I2428">
        <v>12</v>
      </c>
      <c r="J2428">
        <v>2004</v>
      </c>
      <c r="K2428" t="s">
        <v>605</v>
      </c>
      <c r="L2428">
        <v>58</v>
      </c>
      <c r="M2428" t="s">
        <v>659</v>
      </c>
      <c r="N2428" t="s">
        <v>174</v>
      </c>
      <c r="O2428" t="s">
        <v>175</v>
      </c>
      <c r="P2428" t="s">
        <v>176</v>
      </c>
      <c r="R2428" t="s">
        <v>177</v>
      </c>
      <c r="T2428">
        <v>28034</v>
      </c>
      <c r="U2428" t="s">
        <v>178</v>
      </c>
      <c r="V2428" t="s">
        <v>42</v>
      </c>
      <c r="W2428" t="s">
        <v>179</v>
      </c>
      <c r="X2428" t="s">
        <v>180</v>
      </c>
      <c r="Y2428" t="s">
        <v>51</v>
      </c>
    </row>
    <row r="2429" spans="1:25" x14ac:dyDescent="0.25">
      <c r="A2429">
        <v>10359</v>
      </c>
      <c r="B2429">
        <v>25</v>
      </c>
      <c r="C2429">
        <v>64.930000000000007</v>
      </c>
      <c r="D2429">
        <v>4</v>
      </c>
      <c r="E2429">
        <v>1623.25</v>
      </c>
      <c r="F2429" s="1">
        <v>38336</v>
      </c>
      <c r="G2429" t="s">
        <v>25</v>
      </c>
      <c r="H2429">
        <v>4</v>
      </c>
      <c r="I2429">
        <v>12</v>
      </c>
      <c r="J2429">
        <v>2004</v>
      </c>
      <c r="K2429" t="s">
        <v>605</v>
      </c>
      <c r="L2429">
        <v>58</v>
      </c>
      <c r="M2429" t="s">
        <v>659</v>
      </c>
      <c r="N2429" t="s">
        <v>37</v>
      </c>
      <c r="O2429" t="s">
        <v>38</v>
      </c>
      <c r="P2429" t="s">
        <v>39</v>
      </c>
      <c r="R2429" t="s">
        <v>40</v>
      </c>
      <c r="T2429">
        <v>51100</v>
      </c>
      <c r="U2429" t="s">
        <v>41</v>
      </c>
      <c r="V2429" t="s">
        <v>42</v>
      </c>
      <c r="W2429" t="s">
        <v>43</v>
      </c>
      <c r="X2429" t="s">
        <v>44</v>
      </c>
      <c r="Y2429" t="s">
        <v>36</v>
      </c>
    </row>
    <row r="2430" spans="1:25" x14ac:dyDescent="0.25">
      <c r="A2430">
        <v>10372</v>
      </c>
      <c r="B2430">
        <v>24</v>
      </c>
      <c r="C2430">
        <v>58.58</v>
      </c>
      <c r="D2430">
        <v>9</v>
      </c>
      <c r="E2430">
        <v>1405.92</v>
      </c>
      <c r="F2430" s="1">
        <v>38378</v>
      </c>
      <c r="G2430" t="s">
        <v>25</v>
      </c>
      <c r="H2430">
        <v>1</v>
      </c>
      <c r="I2430">
        <v>1</v>
      </c>
      <c r="J2430">
        <v>2005</v>
      </c>
      <c r="K2430" t="s">
        <v>605</v>
      </c>
      <c r="L2430">
        <v>58</v>
      </c>
      <c r="M2430" t="s">
        <v>659</v>
      </c>
      <c r="N2430" t="s">
        <v>246</v>
      </c>
      <c r="O2430" t="s">
        <v>247</v>
      </c>
      <c r="P2430" t="s">
        <v>248</v>
      </c>
      <c r="R2430" t="s">
        <v>249</v>
      </c>
      <c r="S2430" t="s">
        <v>250</v>
      </c>
      <c r="T2430" t="s">
        <v>251</v>
      </c>
      <c r="U2430" t="s">
        <v>200</v>
      </c>
      <c r="V2430" t="s">
        <v>200</v>
      </c>
      <c r="W2430" t="s">
        <v>252</v>
      </c>
      <c r="X2430" t="s">
        <v>253</v>
      </c>
      <c r="Y2430" t="s">
        <v>36</v>
      </c>
    </row>
    <row r="2431" spans="1:25" x14ac:dyDescent="0.25">
      <c r="A2431">
        <v>10383</v>
      </c>
      <c r="B2431">
        <v>38</v>
      </c>
      <c r="C2431">
        <v>60.06</v>
      </c>
      <c r="D2431">
        <v>10</v>
      </c>
      <c r="E2431">
        <v>2282.2800000000002</v>
      </c>
      <c r="F2431" s="1">
        <v>38405</v>
      </c>
      <c r="G2431" t="s">
        <v>25</v>
      </c>
      <c r="H2431">
        <v>1</v>
      </c>
      <c r="I2431">
        <v>2</v>
      </c>
      <c r="J2431">
        <v>2005</v>
      </c>
      <c r="K2431" t="s">
        <v>605</v>
      </c>
      <c r="L2431">
        <v>58</v>
      </c>
      <c r="M2431" t="s">
        <v>659</v>
      </c>
      <c r="N2431" t="s">
        <v>174</v>
      </c>
      <c r="O2431" t="s">
        <v>175</v>
      </c>
      <c r="P2431" t="s">
        <v>176</v>
      </c>
      <c r="R2431" t="s">
        <v>177</v>
      </c>
      <c r="T2431">
        <v>28034</v>
      </c>
      <c r="U2431" t="s">
        <v>178</v>
      </c>
      <c r="V2431" t="s">
        <v>42</v>
      </c>
      <c r="W2431" t="s">
        <v>179</v>
      </c>
      <c r="X2431" t="s">
        <v>180</v>
      </c>
      <c r="Y2431" t="s">
        <v>36</v>
      </c>
    </row>
    <row r="2432" spans="1:25" x14ac:dyDescent="0.25">
      <c r="A2432">
        <v>10395</v>
      </c>
      <c r="B2432">
        <v>45</v>
      </c>
      <c r="C2432">
        <v>100</v>
      </c>
      <c r="D2432">
        <v>3</v>
      </c>
      <c r="E2432">
        <v>8977.0499999999993</v>
      </c>
      <c r="F2432" s="1">
        <v>38428</v>
      </c>
      <c r="G2432" t="s">
        <v>25</v>
      </c>
      <c r="H2432">
        <v>1</v>
      </c>
      <c r="I2432">
        <v>3</v>
      </c>
      <c r="J2432">
        <v>2005</v>
      </c>
      <c r="K2432" t="s">
        <v>605</v>
      </c>
      <c r="L2432">
        <v>58</v>
      </c>
      <c r="M2432" t="s">
        <v>659</v>
      </c>
      <c r="N2432" t="s">
        <v>45</v>
      </c>
      <c r="O2432" t="s">
        <v>46</v>
      </c>
      <c r="P2432" t="s">
        <v>47</v>
      </c>
      <c r="R2432" t="s">
        <v>48</v>
      </c>
      <c r="T2432">
        <v>75508</v>
      </c>
      <c r="U2432" t="s">
        <v>41</v>
      </c>
      <c r="V2432" t="s">
        <v>42</v>
      </c>
      <c r="W2432" t="s">
        <v>49</v>
      </c>
      <c r="X2432" t="s">
        <v>50</v>
      </c>
      <c r="Y2432" t="s">
        <v>151</v>
      </c>
    </row>
    <row r="2433" spans="1:25" x14ac:dyDescent="0.25">
      <c r="A2433">
        <v>10413</v>
      </c>
      <c r="B2433">
        <v>51</v>
      </c>
      <c r="C2433">
        <v>63.85</v>
      </c>
      <c r="D2433">
        <v>4</v>
      </c>
      <c r="E2433">
        <v>3256.35</v>
      </c>
      <c r="F2433" s="1">
        <v>38477</v>
      </c>
      <c r="G2433" t="s">
        <v>25</v>
      </c>
      <c r="H2433">
        <v>2</v>
      </c>
      <c r="I2433">
        <v>5</v>
      </c>
      <c r="J2433">
        <v>2005</v>
      </c>
      <c r="K2433" t="s">
        <v>605</v>
      </c>
      <c r="L2433">
        <v>58</v>
      </c>
      <c r="M2433" t="s">
        <v>659</v>
      </c>
      <c r="N2433" t="s">
        <v>109</v>
      </c>
      <c r="O2433">
        <v>2035552570</v>
      </c>
      <c r="P2433" t="s">
        <v>110</v>
      </c>
      <c r="R2433" t="s">
        <v>111</v>
      </c>
      <c r="S2433" t="s">
        <v>112</v>
      </c>
      <c r="T2433">
        <v>97562</v>
      </c>
      <c r="U2433" t="s">
        <v>32</v>
      </c>
      <c r="V2433" t="s">
        <v>33</v>
      </c>
      <c r="W2433" t="s">
        <v>113</v>
      </c>
      <c r="X2433" t="s">
        <v>57</v>
      </c>
      <c r="Y2433" t="s">
        <v>51</v>
      </c>
    </row>
    <row r="2434" spans="1:25" x14ac:dyDescent="0.25">
      <c r="A2434">
        <v>10108</v>
      </c>
      <c r="B2434">
        <v>34</v>
      </c>
      <c r="C2434">
        <v>82.99</v>
      </c>
      <c r="D2434">
        <v>14</v>
      </c>
      <c r="E2434">
        <v>2821.66</v>
      </c>
      <c r="F2434" s="1">
        <v>37683</v>
      </c>
      <c r="G2434" t="s">
        <v>25</v>
      </c>
      <c r="H2434">
        <v>1</v>
      </c>
      <c r="I2434">
        <v>3</v>
      </c>
      <c r="J2434">
        <v>2003</v>
      </c>
      <c r="K2434" t="s">
        <v>26</v>
      </c>
      <c r="L2434">
        <v>81</v>
      </c>
      <c r="M2434" t="s">
        <v>660</v>
      </c>
      <c r="N2434" t="s">
        <v>425</v>
      </c>
      <c r="O2434" t="s">
        <v>426</v>
      </c>
      <c r="P2434" t="s">
        <v>427</v>
      </c>
      <c r="R2434" t="s">
        <v>428</v>
      </c>
      <c r="T2434" t="s">
        <v>429</v>
      </c>
      <c r="U2434" t="s">
        <v>430</v>
      </c>
      <c r="V2434" t="s">
        <v>200</v>
      </c>
      <c r="W2434" t="s">
        <v>431</v>
      </c>
      <c r="X2434" t="s">
        <v>432</v>
      </c>
      <c r="Y2434" t="s">
        <v>36</v>
      </c>
    </row>
    <row r="2435" spans="1:25" x14ac:dyDescent="0.25">
      <c r="A2435">
        <v>10121</v>
      </c>
      <c r="B2435">
        <v>44</v>
      </c>
      <c r="C2435">
        <v>74.849999999999994</v>
      </c>
      <c r="D2435">
        <v>1</v>
      </c>
      <c r="E2435">
        <v>3293.4</v>
      </c>
      <c r="F2435" s="1">
        <v>37748</v>
      </c>
      <c r="G2435" t="s">
        <v>25</v>
      </c>
      <c r="H2435">
        <v>2</v>
      </c>
      <c r="I2435">
        <v>5</v>
      </c>
      <c r="J2435">
        <v>2003</v>
      </c>
      <c r="K2435" t="s">
        <v>26</v>
      </c>
      <c r="L2435">
        <v>81</v>
      </c>
      <c r="M2435" t="s">
        <v>660</v>
      </c>
      <c r="N2435" t="s">
        <v>37</v>
      </c>
      <c r="O2435" t="s">
        <v>38</v>
      </c>
      <c r="P2435" t="s">
        <v>39</v>
      </c>
      <c r="R2435" t="s">
        <v>40</v>
      </c>
      <c r="T2435">
        <v>51100</v>
      </c>
      <c r="U2435" t="s">
        <v>41</v>
      </c>
      <c r="V2435" t="s">
        <v>42</v>
      </c>
      <c r="W2435" t="s">
        <v>43</v>
      </c>
      <c r="X2435" t="s">
        <v>44</v>
      </c>
      <c r="Y2435" t="s">
        <v>51</v>
      </c>
    </row>
    <row r="2436" spans="1:25" x14ac:dyDescent="0.25">
      <c r="A2436">
        <v>10135</v>
      </c>
      <c r="B2436">
        <v>44</v>
      </c>
      <c r="C2436">
        <v>96</v>
      </c>
      <c r="D2436">
        <v>15</v>
      </c>
      <c r="E2436">
        <v>4224</v>
      </c>
      <c r="F2436" s="1">
        <v>37804</v>
      </c>
      <c r="G2436" t="s">
        <v>25</v>
      </c>
      <c r="H2436">
        <v>3</v>
      </c>
      <c r="I2436">
        <v>7</v>
      </c>
      <c r="J2436">
        <v>2003</v>
      </c>
      <c r="K2436" t="s">
        <v>26</v>
      </c>
      <c r="L2436">
        <v>81</v>
      </c>
      <c r="M2436" t="s">
        <v>660</v>
      </c>
      <c r="N2436" t="s">
        <v>272</v>
      </c>
      <c r="O2436">
        <v>4155551450</v>
      </c>
      <c r="P2436" t="s">
        <v>273</v>
      </c>
      <c r="R2436" t="s">
        <v>274</v>
      </c>
      <c r="S2436" t="s">
        <v>55</v>
      </c>
      <c r="T2436">
        <v>97562</v>
      </c>
      <c r="U2436" t="s">
        <v>32</v>
      </c>
      <c r="V2436" t="s">
        <v>33</v>
      </c>
      <c r="W2436" t="s">
        <v>275</v>
      </c>
      <c r="X2436" t="s">
        <v>276</v>
      </c>
      <c r="Y2436" t="s">
        <v>51</v>
      </c>
    </row>
    <row r="2437" spans="1:25" x14ac:dyDescent="0.25">
      <c r="A2437">
        <v>10145</v>
      </c>
      <c r="B2437">
        <v>38</v>
      </c>
      <c r="C2437">
        <v>81.36</v>
      </c>
      <c r="D2437">
        <v>2</v>
      </c>
      <c r="E2437">
        <v>3091.68</v>
      </c>
      <c r="F2437" s="1">
        <v>37858</v>
      </c>
      <c r="G2437" t="s">
        <v>25</v>
      </c>
      <c r="H2437">
        <v>3</v>
      </c>
      <c r="I2437">
        <v>8</v>
      </c>
      <c r="J2437">
        <v>2003</v>
      </c>
      <c r="K2437" t="s">
        <v>26</v>
      </c>
      <c r="L2437">
        <v>81</v>
      </c>
      <c r="M2437" t="s">
        <v>660</v>
      </c>
      <c r="N2437" t="s">
        <v>52</v>
      </c>
      <c r="O2437">
        <v>6265557265</v>
      </c>
      <c r="P2437" t="s">
        <v>53</v>
      </c>
      <c r="R2437" t="s">
        <v>54</v>
      </c>
      <c r="S2437" t="s">
        <v>55</v>
      </c>
      <c r="T2437">
        <v>90003</v>
      </c>
      <c r="U2437" t="s">
        <v>32</v>
      </c>
      <c r="V2437" t="s">
        <v>33</v>
      </c>
      <c r="W2437" t="s">
        <v>56</v>
      </c>
      <c r="X2437" t="s">
        <v>57</v>
      </c>
      <c r="Y2437" t="s">
        <v>51</v>
      </c>
    </row>
    <row r="2438" spans="1:25" x14ac:dyDescent="0.25">
      <c r="A2438">
        <v>10159</v>
      </c>
      <c r="B2438">
        <v>31</v>
      </c>
      <c r="C2438">
        <v>71.599999999999994</v>
      </c>
      <c r="D2438">
        <v>10</v>
      </c>
      <c r="E2438">
        <v>2219.6</v>
      </c>
      <c r="F2438" s="1">
        <v>37904</v>
      </c>
      <c r="G2438" t="s">
        <v>25</v>
      </c>
      <c r="H2438">
        <v>4</v>
      </c>
      <c r="I2438">
        <v>10</v>
      </c>
      <c r="J2438">
        <v>2003</v>
      </c>
      <c r="K2438" t="s">
        <v>26</v>
      </c>
      <c r="L2438">
        <v>81</v>
      </c>
      <c r="M2438" t="s">
        <v>660</v>
      </c>
      <c r="N2438" t="s">
        <v>58</v>
      </c>
      <c r="O2438">
        <v>6505551386</v>
      </c>
      <c r="P2438" t="s">
        <v>59</v>
      </c>
      <c r="R2438" t="s">
        <v>60</v>
      </c>
      <c r="S2438" t="s">
        <v>55</v>
      </c>
      <c r="U2438" t="s">
        <v>32</v>
      </c>
      <c r="V2438" t="s">
        <v>33</v>
      </c>
      <c r="W2438" t="s">
        <v>61</v>
      </c>
      <c r="X2438" t="s">
        <v>57</v>
      </c>
      <c r="Y2438" t="s">
        <v>36</v>
      </c>
    </row>
    <row r="2439" spans="1:25" x14ac:dyDescent="0.25">
      <c r="A2439">
        <v>10169</v>
      </c>
      <c r="B2439">
        <v>48</v>
      </c>
      <c r="C2439">
        <v>80.55</v>
      </c>
      <c r="D2439">
        <v>10</v>
      </c>
      <c r="E2439">
        <v>3866.4</v>
      </c>
      <c r="F2439" s="1">
        <v>37929</v>
      </c>
      <c r="G2439" t="s">
        <v>25</v>
      </c>
      <c r="H2439">
        <v>4</v>
      </c>
      <c r="I2439">
        <v>11</v>
      </c>
      <c r="J2439">
        <v>2003</v>
      </c>
      <c r="K2439" t="s">
        <v>26</v>
      </c>
      <c r="L2439">
        <v>81</v>
      </c>
      <c r="M2439" t="s">
        <v>660</v>
      </c>
      <c r="N2439" t="s">
        <v>285</v>
      </c>
      <c r="O2439" t="s">
        <v>286</v>
      </c>
      <c r="P2439" t="s">
        <v>287</v>
      </c>
      <c r="Q2439" t="s">
        <v>288</v>
      </c>
      <c r="R2439" t="s">
        <v>289</v>
      </c>
      <c r="S2439" t="s">
        <v>157</v>
      </c>
      <c r="T2439">
        <v>2060</v>
      </c>
      <c r="U2439" t="s">
        <v>95</v>
      </c>
      <c r="V2439" t="s">
        <v>96</v>
      </c>
      <c r="W2439" t="s">
        <v>290</v>
      </c>
      <c r="X2439" t="s">
        <v>291</v>
      </c>
      <c r="Y2439" t="s">
        <v>51</v>
      </c>
    </row>
    <row r="2440" spans="1:25" x14ac:dyDescent="0.25">
      <c r="A2440">
        <v>10180</v>
      </c>
      <c r="B2440">
        <v>21</v>
      </c>
      <c r="C2440">
        <v>93.56</v>
      </c>
      <c r="D2440">
        <v>5</v>
      </c>
      <c r="E2440">
        <v>1964.76</v>
      </c>
      <c r="F2440" s="1">
        <v>37936</v>
      </c>
      <c r="G2440" t="s">
        <v>25</v>
      </c>
      <c r="H2440">
        <v>4</v>
      </c>
      <c r="I2440">
        <v>11</v>
      </c>
      <c r="J2440">
        <v>2003</v>
      </c>
      <c r="K2440" t="s">
        <v>26</v>
      </c>
      <c r="L2440">
        <v>81</v>
      </c>
      <c r="M2440" t="s">
        <v>660</v>
      </c>
      <c r="N2440" t="s">
        <v>67</v>
      </c>
      <c r="O2440" t="s">
        <v>68</v>
      </c>
      <c r="P2440" t="s">
        <v>69</v>
      </c>
      <c r="R2440" t="s">
        <v>70</v>
      </c>
      <c r="T2440">
        <v>59000</v>
      </c>
      <c r="U2440" t="s">
        <v>41</v>
      </c>
      <c r="V2440" t="s">
        <v>42</v>
      </c>
      <c r="W2440" t="s">
        <v>71</v>
      </c>
      <c r="X2440" t="s">
        <v>72</v>
      </c>
      <c r="Y2440" t="s">
        <v>36</v>
      </c>
    </row>
    <row r="2441" spans="1:25" x14ac:dyDescent="0.25">
      <c r="A2441">
        <v>10190</v>
      </c>
      <c r="B2441">
        <v>40</v>
      </c>
      <c r="C2441">
        <v>66.72</v>
      </c>
      <c r="D2441">
        <v>2</v>
      </c>
      <c r="E2441">
        <v>2668.8</v>
      </c>
      <c r="F2441" s="1">
        <v>37944</v>
      </c>
      <c r="G2441" t="s">
        <v>25</v>
      </c>
      <c r="H2441">
        <v>4</v>
      </c>
      <c r="I2441">
        <v>11</v>
      </c>
      <c r="J2441">
        <v>2003</v>
      </c>
      <c r="K2441" t="s">
        <v>26</v>
      </c>
      <c r="L2441">
        <v>81</v>
      </c>
      <c r="M2441" t="s">
        <v>660</v>
      </c>
      <c r="N2441" t="s">
        <v>174</v>
      </c>
      <c r="O2441" t="s">
        <v>175</v>
      </c>
      <c r="P2441" t="s">
        <v>176</v>
      </c>
      <c r="R2441" t="s">
        <v>177</v>
      </c>
      <c r="T2441">
        <v>28034</v>
      </c>
      <c r="U2441" t="s">
        <v>178</v>
      </c>
      <c r="V2441" t="s">
        <v>42</v>
      </c>
      <c r="W2441" t="s">
        <v>179</v>
      </c>
      <c r="X2441" t="s">
        <v>180</v>
      </c>
      <c r="Y2441" t="s">
        <v>36</v>
      </c>
    </row>
    <row r="2442" spans="1:25" x14ac:dyDescent="0.25">
      <c r="A2442">
        <v>10211</v>
      </c>
      <c r="B2442">
        <v>40</v>
      </c>
      <c r="C2442">
        <v>80.55</v>
      </c>
      <c r="D2442">
        <v>10</v>
      </c>
      <c r="E2442">
        <v>3222</v>
      </c>
      <c r="F2442" s="1">
        <v>38001</v>
      </c>
      <c r="G2442" t="s">
        <v>25</v>
      </c>
      <c r="H2442">
        <v>1</v>
      </c>
      <c r="I2442">
        <v>1</v>
      </c>
      <c r="J2442">
        <v>2004</v>
      </c>
      <c r="K2442" t="s">
        <v>26</v>
      </c>
      <c r="L2442">
        <v>81</v>
      </c>
      <c r="M2442" t="s">
        <v>660</v>
      </c>
      <c r="N2442" t="s">
        <v>84</v>
      </c>
      <c r="O2442" t="s">
        <v>85</v>
      </c>
      <c r="P2442" t="s">
        <v>86</v>
      </c>
      <c r="R2442" t="s">
        <v>48</v>
      </c>
      <c r="T2442">
        <v>75016</v>
      </c>
      <c r="U2442" t="s">
        <v>41</v>
      </c>
      <c r="V2442" t="s">
        <v>42</v>
      </c>
      <c r="W2442" t="s">
        <v>87</v>
      </c>
      <c r="X2442" t="s">
        <v>88</v>
      </c>
      <c r="Y2442" t="s">
        <v>51</v>
      </c>
    </row>
    <row r="2443" spans="1:25" x14ac:dyDescent="0.25">
      <c r="A2443">
        <v>10224</v>
      </c>
      <c r="B2443">
        <v>50</v>
      </c>
      <c r="C2443">
        <v>77.290000000000006</v>
      </c>
      <c r="D2443">
        <v>3</v>
      </c>
      <c r="E2443">
        <v>3864.5</v>
      </c>
      <c r="F2443" s="1">
        <v>38038</v>
      </c>
      <c r="G2443" t="s">
        <v>25</v>
      </c>
      <c r="H2443">
        <v>1</v>
      </c>
      <c r="I2443">
        <v>2</v>
      </c>
      <c r="J2443">
        <v>2004</v>
      </c>
      <c r="K2443" t="s">
        <v>26</v>
      </c>
      <c r="L2443">
        <v>81</v>
      </c>
      <c r="M2443" t="s">
        <v>660</v>
      </c>
      <c r="N2443" t="s">
        <v>67</v>
      </c>
      <c r="O2443" t="s">
        <v>68</v>
      </c>
      <c r="P2443" t="s">
        <v>69</v>
      </c>
      <c r="R2443" t="s">
        <v>70</v>
      </c>
      <c r="T2443">
        <v>59000</v>
      </c>
      <c r="U2443" t="s">
        <v>41</v>
      </c>
      <c r="V2443" t="s">
        <v>42</v>
      </c>
      <c r="W2443" t="s">
        <v>71</v>
      </c>
      <c r="X2443" t="s">
        <v>72</v>
      </c>
      <c r="Y2443" t="s">
        <v>51</v>
      </c>
    </row>
    <row r="2444" spans="1:25" x14ac:dyDescent="0.25">
      <c r="A2444">
        <v>10237</v>
      </c>
      <c r="B2444">
        <v>20</v>
      </c>
      <c r="C2444">
        <v>68.34</v>
      </c>
      <c r="D2444">
        <v>3</v>
      </c>
      <c r="E2444">
        <v>1366.8</v>
      </c>
      <c r="F2444" s="1">
        <v>38082</v>
      </c>
      <c r="G2444" t="s">
        <v>25</v>
      </c>
      <c r="H2444">
        <v>2</v>
      </c>
      <c r="I2444">
        <v>4</v>
      </c>
      <c r="J2444">
        <v>2004</v>
      </c>
      <c r="K2444" t="s">
        <v>26</v>
      </c>
      <c r="L2444">
        <v>81</v>
      </c>
      <c r="M2444" t="s">
        <v>660</v>
      </c>
      <c r="N2444" t="s">
        <v>99</v>
      </c>
      <c r="O2444">
        <v>2125551500</v>
      </c>
      <c r="P2444" t="s">
        <v>100</v>
      </c>
      <c r="Q2444" t="s">
        <v>101</v>
      </c>
      <c r="R2444" t="s">
        <v>30</v>
      </c>
      <c r="S2444" t="s">
        <v>31</v>
      </c>
      <c r="T2444">
        <v>10022</v>
      </c>
      <c r="U2444" t="s">
        <v>32</v>
      </c>
      <c r="V2444" t="s">
        <v>33</v>
      </c>
      <c r="W2444" t="s">
        <v>102</v>
      </c>
      <c r="X2444" t="s">
        <v>103</v>
      </c>
      <c r="Y2444" t="s">
        <v>36</v>
      </c>
    </row>
    <row r="2445" spans="1:25" x14ac:dyDescent="0.25">
      <c r="A2445">
        <v>10252</v>
      </c>
      <c r="B2445">
        <v>48</v>
      </c>
      <c r="C2445">
        <v>72.41</v>
      </c>
      <c r="D2445">
        <v>7</v>
      </c>
      <c r="E2445">
        <v>3475.68</v>
      </c>
      <c r="F2445" s="1">
        <v>38133</v>
      </c>
      <c r="G2445" t="s">
        <v>25</v>
      </c>
      <c r="H2445">
        <v>2</v>
      </c>
      <c r="I2445">
        <v>5</v>
      </c>
      <c r="J2445">
        <v>2004</v>
      </c>
      <c r="K2445" t="s">
        <v>26</v>
      </c>
      <c r="L2445">
        <v>81</v>
      </c>
      <c r="M2445" t="s">
        <v>660</v>
      </c>
      <c r="N2445" t="s">
        <v>84</v>
      </c>
      <c r="O2445" t="s">
        <v>85</v>
      </c>
      <c r="P2445" t="s">
        <v>86</v>
      </c>
      <c r="R2445" t="s">
        <v>48</v>
      </c>
      <c r="T2445">
        <v>75016</v>
      </c>
      <c r="U2445" t="s">
        <v>41</v>
      </c>
      <c r="V2445" t="s">
        <v>42</v>
      </c>
      <c r="W2445" t="s">
        <v>87</v>
      </c>
      <c r="X2445" t="s">
        <v>88</v>
      </c>
      <c r="Y2445" t="s">
        <v>51</v>
      </c>
    </row>
    <row r="2446" spans="1:25" x14ac:dyDescent="0.25">
      <c r="A2446">
        <v>10264</v>
      </c>
      <c r="B2446">
        <v>47</v>
      </c>
      <c r="C2446">
        <v>89.5</v>
      </c>
      <c r="D2446">
        <v>5</v>
      </c>
      <c r="E2446">
        <v>4206.5</v>
      </c>
      <c r="F2446" s="1">
        <v>38168</v>
      </c>
      <c r="G2446" t="s">
        <v>25</v>
      </c>
      <c r="H2446">
        <v>2</v>
      </c>
      <c r="I2446">
        <v>6</v>
      </c>
      <c r="J2446">
        <v>2004</v>
      </c>
      <c r="K2446" t="s">
        <v>26</v>
      </c>
      <c r="L2446">
        <v>81</v>
      </c>
      <c r="M2446" t="s">
        <v>660</v>
      </c>
      <c r="N2446" t="s">
        <v>379</v>
      </c>
      <c r="O2446">
        <v>6175559555</v>
      </c>
      <c r="P2446" t="s">
        <v>380</v>
      </c>
      <c r="R2446" t="s">
        <v>381</v>
      </c>
      <c r="S2446" t="s">
        <v>123</v>
      </c>
      <c r="T2446">
        <v>51003</v>
      </c>
      <c r="U2446" t="s">
        <v>32</v>
      </c>
      <c r="V2446" t="s">
        <v>33</v>
      </c>
      <c r="W2446" t="s">
        <v>382</v>
      </c>
      <c r="X2446" t="s">
        <v>66</v>
      </c>
      <c r="Y2446" t="s">
        <v>51</v>
      </c>
    </row>
    <row r="2447" spans="1:25" x14ac:dyDescent="0.25">
      <c r="A2447">
        <v>10276</v>
      </c>
      <c r="B2447">
        <v>21</v>
      </c>
      <c r="C2447">
        <v>70.78</v>
      </c>
      <c r="D2447">
        <v>11</v>
      </c>
      <c r="E2447">
        <v>1486.38</v>
      </c>
      <c r="F2447" s="1">
        <v>38201</v>
      </c>
      <c r="G2447" t="s">
        <v>25</v>
      </c>
      <c r="H2447">
        <v>3</v>
      </c>
      <c r="I2447">
        <v>8</v>
      </c>
      <c r="J2447">
        <v>2004</v>
      </c>
      <c r="K2447" t="s">
        <v>26</v>
      </c>
      <c r="L2447">
        <v>81</v>
      </c>
      <c r="M2447" t="s">
        <v>660</v>
      </c>
      <c r="N2447" t="s">
        <v>458</v>
      </c>
      <c r="O2447">
        <v>6175557555</v>
      </c>
      <c r="P2447" t="s">
        <v>459</v>
      </c>
      <c r="R2447" t="s">
        <v>283</v>
      </c>
      <c r="S2447" t="s">
        <v>123</v>
      </c>
      <c r="T2447">
        <v>58339</v>
      </c>
      <c r="U2447" t="s">
        <v>32</v>
      </c>
      <c r="V2447" t="s">
        <v>33</v>
      </c>
      <c r="W2447" t="s">
        <v>460</v>
      </c>
      <c r="X2447" t="s">
        <v>461</v>
      </c>
      <c r="Y2447" t="s">
        <v>36</v>
      </c>
    </row>
    <row r="2448" spans="1:25" x14ac:dyDescent="0.25">
      <c r="A2448">
        <v>10285</v>
      </c>
      <c r="B2448">
        <v>39</v>
      </c>
      <c r="C2448">
        <v>78.92</v>
      </c>
      <c r="D2448">
        <v>2</v>
      </c>
      <c r="E2448">
        <v>3077.88</v>
      </c>
      <c r="F2448" s="1">
        <v>38226</v>
      </c>
      <c r="G2448" t="s">
        <v>25</v>
      </c>
      <c r="H2448">
        <v>3</v>
      </c>
      <c r="I2448">
        <v>8</v>
      </c>
      <c r="J2448">
        <v>2004</v>
      </c>
      <c r="K2448" t="s">
        <v>26</v>
      </c>
      <c r="L2448">
        <v>81</v>
      </c>
      <c r="M2448" t="s">
        <v>660</v>
      </c>
      <c r="N2448" t="s">
        <v>120</v>
      </c>
      <c r="O2448">
        <v>6175558555</v>
      </c>
      <c r="P2448" t="s">
        <v>121</v>
      </c>
      <c r="R2448" t="s">
        <v>122</v>
      </c>
      <c r="S2448" t="s">
        <v>123</v>
      </c>
      <c r="T2448">
        <v>51247</v>
      </c>
      <c r="U2448" t="s">
        <v>32</v>
      </c>
      <c r="V2448" t="s">
        <v>33</v>
      </c>
      <c r="W2448" t="s">
        <v>124</v>
      </c>
      <c r="X2448" t="s">
        <v>125</v>
      </c>
      <c r="Y2448" t="s">
        <v>51</v>
      </c>
    </row>
    <row r="2449" spans="1:25" x14ac:dyDescent="0.25">
      <c r="A2449">
        <v>10299</v>
      </c>
      <c r="B2449">
        <v>44</v>
      </c>
      <c r="C2449">
        <v>80.55</v>
      </c>
      <c r="D2449">
        <v>5</v>
      </c>
      <c r="E2449">
        <v>3544.2</v>
      </c>
      <c r="F2449" s="1">
        <v>38260</v>
      </c>
      <c r="G2449" t="s">
        <v>25</v>
      </c>
      <c r="H2449">
        <v>3</v>
      </c>
      <c r="I2449">
        <v>9</v>
      </c>
      <c r="J2449">
        <v>2004</v>
      </c>
      <c r="K2449" t="s">
        <v>26</v>
      </c>
      <c r="L2449">
        <v>81</v>
      </c>
      <c r="M2449" t="s">
        <v>660</v>
      </c>
      <c r="N2449" t="s">
        <v>126</v>
      </c>
      <c r="O2449" t="s">
        <v>127</v>
      </c>
      <c r="P2449" t="s">
        <v>128</v>
      </c>
      <c r="R2449" t="s">
        <v>129</v>
      </c>
      <c r="T2449">
        <v>21240</v>
      </c>
      <c r="U2449" t="s">
        <v>130</v>
      </c>
      <c r="V2449" t="s">
        <v>42</v>
      </c>
      <c r="W2449" t="s">
        <v>131</v>
      </c>
      <c r="X2449" t="s">
        <v>132</v>
      </c>
      <c r="Y2449" t="s">
        <v>51</v>
      </c>
    </row>
    <row r="2450" spans="1:25" x14ac:dyDescent="0.25">
      <c r="A2450">
        <v>10309</v>
      </c>
      <c r="B2450">
        <v>28</v>
      </c>
      <c r="C2450">
        <v>88.68</v>
      </c>
      <c r="D2450">
        <v>1</v>
      </c>
      <c r="E2450">
        <v>2483.04</v>
      </c>
      <c r="F2450" s="1">
        <v>38275</v>
      </c>
      <c r="G2450" t="s">
        <v>25</v>
      </c>
      <c r="H2450">
        <v>4</v>
      </c>
      <c r="I2450">
        <v>10</v>
      </c>
      <c r="J2450">
        <v>2004</v>
      </c>
      <c r="K2450" t="s">
        <v>26</v>
      </c>
      <c r="L2450">
        <v>81</v>
      </c>
      <c r="M2450" t="s">
        <v>660</v>
      </c>
      <c r="N2450" t="s">
        <v>133</v>
      </c>
      <c r="O2450" t="s">
        <v>134</v>
      </c>
      <c r="P2450" t="s">
        <v>135</v>
      </c>
      <c r="R2450" t="s">
        <v>136</v>
      </c>
      <c r="T2450">
        <v>4110</v>
      </c>
      <c r="U2450" t="s">
        <v>78</v>
      </c>
      <c r="V2450" t="s">
        <v>42</v>
      </c>
      <c r="W2450" t="s">
        <v>137</v>
      </c>
      <c r="X2450" t="s">
        <v>138</v>
      </c>
      <c r="Y2450" t="s">
        <v>36</v>
      </c>
    </row>
    <row r="2451" spans="1:25" x14ac:dyDescent="0.25">
      <c r="A2451">
        <v>10319</v>
      </c>
      <c r="B2451">
        <v>45</v>
      </c>
      <c r="C2451">
        <v>77.290000000000006</v>
      </c>
      <c r="D2451">
        <v>6</v>
      </c>
      <c r="E2451">
        <v>3478.05</v>
      </c>
      <c r="F2451" s="1">
        <v>38294</v>
      </c>
      <c r="G2451" t="s">
        <v>25</v>
      </c>
      <c r="H2451">
        <v>4</v>
      </c>
      <c r="I2451">
        <v>11</v>
      </c>
      <c r="J2451">
        <v>2004</v>
      </c>
      <c r="K2451" t="s">
        <v>26</v>
      </c>
      <c r="L2451">
        <v>81</v>
      </c>
      <c r="M2451" t="s">
        <v>660</v>
      </c>
      <c r="N2451" t="s">
        <v>507</v>
      </c>
      <c r="O2451">
        <v>2125551957</v>
      </c>
      <c r="P2451" t="s">
        <v>508</v>
      </c>
      <c r="Q2451" t="s">
        <v>509</v>
      </c>
      <c r="R2451" t="s">
        <v>30</v>
      </c>
      <c r="S2451" t="s">
        <v>31</v>
      </c>
      <c r="T2451">
        <v>10022</v>
      </c>
      <c r="U2451" t="s">
        <v>32</v>
      </c>
      <c r="V2451" t="s">
        <v>33</v>
      </c>
      <c r="W2451" t="s">
        <v>510</v>
      </c>
      <c r="X2451" t="s">
        <v>511</v>
      </c>
      <c r="Y2451" t="s">
        <v>51</v>
      </c>
    </row>
    <row r="2452" spans="1:25" x14ac:dyDescent="0.25">
      <c r="A2452">
        <v>10331</v>
      </c>
      <c r="B2452">
        <v>20</v>
      </c>
      <c r="C2452">
        <v>100</v>
      </c>
      <c r="D2452">
        <v>5</v>
      </c>
      <c r="E2452">
        <v>3657.8</v>
      </c>
      <c r="F2452" s="1">
        <v>38308</v>
      </c>
      <c r="G2452" t="s">
        <v>25</v>
      </c>
      <c r="H2452">
        <v>4</v>
      </c>
      <c r="I2452">
        <v>11</v>
      </c>
      <c r="J2452">
        <v>2004</v>
      </c>
      <c r="K2452" t="s">
        <v>26</v>
      </c>
      <c r="L2452">
        <v>81</v>
      </c>
      <c r="M2452" t="s">
        <v>660</v>
      </c>
      <c r="N2452" t="s">
        <v>309</v>
      </c>
      <c r="O2452">
        <v>2155559857</v>
      </c>
      <c r="P2452" t="s">
        <v>310</v>
      </c>
      <c r="R2452" t="s">
        <v>216</v>
      </c>
      <c r="S2452" t="s">
        <v>142</v>
      </c>
      <c r="T2452">
        <v>71270</v>
      </c>
      <c r="U2452" t="s">
        <v>32</v>
      </c>
      <c r="V2452" t="s">
        <v>33</v>
      </c>
      <c r="W2452" t="s">
        <v>124</v>
      </c>
      <c r="X2452" t="s">
        <v>311</v>
      </c>
      <c r="Y2452" t="s">
        <v>51</v>
      </c>
    </row>
    <row r="2453" spans="1:25" x14ac:dyDescent="0.25">
      <c r="A2453">
        <v>10341</v>
      </c>
      <c r="B2453">
        <v>38</v>
      </c>
      <c r="C2453">
        <v>100</v>
      </c>
      <c r="D2453">
        <v>3</v>
      </c>
      <c r="E2453">
        <v>4682.3599999999997</v>
      </c>
      <c r="F2453" s="1">
        <v>38315</v>
      </c>
      <c r="G2453" t="s">
        <v>25</v>
      </c>
      <c r="H2453">
        <v>4</v>
      </c>
      <c r="I2453">
        <v>11</v>
      </c>
      <c r="J2453">
        <v>2004</v>
      </c>
      <c r="K2453" t="s">
        <v>26</v>
      </c>
      <c r="L2453">
        <v>81</v>
      </c>
      <c r="M2453" t="s">
        <v>660</v>
      </c>
      <c r="N2453" t="s">
        <v>144</v>
      </c>
      <c r="O2453" t="s">
        <v>145</v>
      </c>
      <c r="P2453" t="s">
        <v>146</v>
      </c>
      <c r="R2453" t="s">
        <v>147</v>
      </c>
      <c r="T2453">
        <v>5020</v>
      </c>
      <c r="U2453" t="s">
        <v>148</v>
      </c>
      <c r="V2453" t="s">
        <v>42</v>
      </c>
      <c r="W2453" t="s">
        <v>149</v>
      </c>
      <c r="X2453" t="s">
        <v>150</v>
      </c>
      <c r="Y2453" t="s">
        <v>51</v>
      </c>
    </row>
    <row r="2454" spans="1:25" x14ac:dyDescent="0.25">
      <c r="A2454">
        <v>10356</v>
      </c>
      <c r="B2454">
        <v>26</v>
      </c>
      <c r="C2454">
        <v>100</v>
      </c>
      <c r="D2454">
        <v>4</v>
      </c>
      <c r="E2454">
        <v>3937.7</v>
      </c>
      <c r="F2454" s="1">
        <v>38330</v>
      </c>
      <c r="G2454" t="s">
        <v>25</v>
      </c>
      <c r="H2454">
        <v>4</v>
      </c>
      <c r="I2454">
        <v>12</v>
      </c>
      <c r="J2454">
        <v>2004</v>
      </c>
      <c r="K2454" t="s">
        <v>26</v>
      </c>
      <c r="L2454">
        <v>81</v>
      </c>
      <c r="M2454" t="s">
        <v>660</v>
      </c>
      <c r="N2454" t="s">
        <v>45</v>
      </c>
      <c r="O2454" t="s">
        <v>46</v>
      </c>
      <c r="P2454" t="s">
        <v>47</v>
      </c>
      <c r="R2454" t="s">
        <v>48</v>
      </c>
      <c r="T2454">
        <v>75508</v>
      </c>
      <c r="U2454" t="s">
        <v>41</v>
      </c>
      <c r="V2454" t="s">
        <v>42</v>
      </c>
      <c r="W2454" t="s">
        <v>49</v>
      </c>
      <c r="X2454" t="s">
        <v>50</v>
      </c>
      <c r="Y2454" t="s">
        <v>51</v>
      </c>
    </row>
    <row r="2455" spans="1:25" x14ac:dyDescent="0.25">
      <c r="A2455">
        <v>10365</v>
      </c>
      <c r="B2455">
        <v>44</v>
      </c>
      <c r="C2455">
        <v>100</v>
      </c>
      <c r="D2455">
        <v>2</v>
      </c>
      <c r="E2455">
        <v>4984.32</v>
      </c>
      <c r="F2455" s="1">
        <v>38359</v>
      </c>
      <c r="G2455" t="s">
        <v>25</v>
      </c>
      <c r="H2455">
        <v>1</v>
      </c>
      <c r="I2455">
        <v>1</v>
      </c>
      <c r="J2455">
        <v>2005</v>
      </c>
      <c r="K2455" t="s">
        <v>26</v>
      </c>
      <c r="L2455">
        <v>81</v>
      </c>
      <c r="M2455" t="s">
        <v>660</v>
      </c>
      <c r="N2455" t="s">
        <v>335</v>
      </c>
      <c r="O2455">
        <v>5085559555</v>
      </c>
      <c r="P2455" t="s">
        <v>336</v>
      </c>
      <c r="R2455" t="s">
        <v>162</v>
      </c>
      <c r="S2455" t="s">
        <v>123</v>
      </c>
      <c r="T2455">
        <v>50553</v>
      </c>
      <c r="U2455" t="s">
        <v>32</v>
      </c>
      <c r="V2455" t="s">
        <v>33</v>
      </c>
      <c r="W2455" t="s">
        <v>337</v>
      </c>
      <c r="X2455" t="s">
        <v>338</v>
      </c>
      <c r="Y2455" t="s">
        <v>51</v>
      </c>
    </row>
    <row r="2456" spans="1:25" x14ac:dyDescent="0.25">
      <c r="A2456">
        <v>10375</v>
      </c>
      <c r="B2456">
        <v>49</v>
      </c>
      <c r="C2456">
        <v>100</v>
      </c>
      <c r="D2456">
        <v>8</v>
      </c>
      <c r="E2456">
        <v>5406.66</v>
      </c>
      <c r="F2456" s="1">
        <v>38386</v>
      </c>
      <c r="G2456" t="s">
        <v>25</v>
      </c>
      <c r="H2456">
        <v>1</v>
      </c>
      <c r="I2456">
        <v>2</v>
      </c>
      <c r="J2456">
        <v>2005</v>
      </c>
      <c r="K2456" t="s">
        <v>26</v>
      </c>
      <c r="L2456">
        <v>81</v>
      </c>
      <c r="M2456" t="s">
        <v>660</v>
      </c>
      <c r="N2456" t="s">
        <v>114</v>
      </c>
      <c r="O2456" t="s">
        <v>115</v>
      </c>
      <c r="P2456" t="s">
        <v>116</v>
      </c>
      <c r="R2456" t="s">
        <v>117</v>
      </c>
      <c r="T2456">
        <v>44000</v>
      </c>
      <c r="U2456" t="s">
        <v>41</v>
      </c>
      <c r="V2456" t="s">
        <v>42</v>
      </c>
      <c r="W2456" t="s">
        <v>118</v>
      </c>
      <c r="X2456" t="s">
        <v>119</v>
      </c>
      <c r="Y2456" t="s">
        <v>51</v>
      </c>
    </row>
    <row r="2457" spans="1:25" x14ac:dyDescent="0.25">
      <c r="A2457">
        <v>10390</v>
      </c>
      <c r="B2457">
        <v>22</v>
      </c>
      <c r="C2457">
        <v>100</v>
      </c>
      <c r="D2457">
        <v>13</v>
      </c>
      <c r="E2457">
        <v>3491.18</v>
      </c>
      <c r="F2457" s="1">
        <v>38415</v>
      </c>
      <c r="G2457" t="s">
        <v>25</v>
      </c>
      <c r="H2457">
        <v>1</v>
      </c>
      <c r="I2457">
        <v>3</v>
      </c>
      <c r="J2457">
        <v>2005</v>
      </c>
      <c r="K2457" t="s">
        <v>26</v>
      </c>
      <c r="L2457">
        <v>81</v>
      </c>
      <c r="M2457" t="s">
        <v>660</v>
      </c>
      <c r="N2457" t="s">
        <v>272</v>
      </c>
      <c r="O2457">
        <v>4155551450</v>
      </c>
      <c r="P2457" t="s">
        <v>273</v>
      </c>
      <c r="R2457" t="s">
        <v>274</v>
      </c>
      <c r="S2457" t="s">
        <v>55</v>
      </c>
      <c r="T2457">
        <v>97562</v>
      </c>
      <c r="U2457" t="s">
        <v>32</v>
      </c>
      <c r="V2457" t="s">
        <v>33</v>
      </c>
      <c r="W2457" t="s">
        <v>275</v>
      </c>
      <c r="X2457" t="s">
        <v>276</v>
      </c>
      <c r="Y2457" t="s">
        <v>51</v>
      </c>
    </row>
    <row r="2458" spans="1:25" x14ac:dyDescent="0.25">
      <c r="A2458">
        <v>10403</v>
      </c>
      <c r="B2458">
        <v>31</v>
      </c>
      <c r="C2458">
        <v>68.34</v>
      </c>
      <c r="D2458">
        <v>3</v>
      </c>
      <c r="E2458">
        <v>2118.54</v>
      </c>
      <c r="F2458" s="1">
        <v>38450</v>
      </c>
      <c r="G2458" t="s">
        <v>25</v>
      </c>
      <c r="H2458">
        <v>2</v>
      </c>
      <c r="I2458">
        <v>4</v>
      </c>
      <c r="J2458">
        <v>2005</v>
      </c>
      <c r="K2458" t="s">
        <v>26</v>
      </c>
      <c r="L2458">
        <v>81</v>
      </c>
      <c r="M2458" t="s">
        <v>660</v>
      </c>
      <c r="N2458" t="s">
        <v>165</v>
      </c>
      <c r="O2458" t="s">
        <v>166</v>
      </c>
      <c r="P2458" t="s">
        <v>167</v>
      </c>
      <c r="R2458" t="s">
        <v>168</v>
      </c>
      <c r="T2458" t="s">
        <v>169</v>
      </c>
      <c r="U2458" t="s">
        <v>170</v>
      </c>
      <c r="V2458" t="s">
        <v>42</v>
      </c>
      <c r="W2458" t="s">
        <v>171</v>
      </c>
      <c r="X2458" t="s">
        <v>172</v>
      </c>
      <c r="Y2458" t="s">
        <v>36</v>
      </c>
    </row>
    <row r="2459" spans="1:25" x14ac:dyDescent="0.25">
      <c r="A2459">
        <v>10105</v>
      </c>
      <c r="B2459">
        <v>41</v>
      </c>
      <c r="C2459">
        <v>70.67</v>
      </c>
      <c r="D2459">
        <v>5</v>
      </c>
      <c r="E2459">
        <v>2897.47</v>
      </c>
      <c r="F2459" s="1">
        <v>37663</v>
      </c>
      <c r="G2459" t="s">
        <v>25</v>
      </c>
      <c r="H2459">
        <v>1</v>
      </c>
      <c r="I2459">
        <v>2</v>
      </c>
      <c r="J2459">
        <v>2003</v>
      </c>
      <c r="K2459" t="s">
        <v>598</v>
      </c>
      <c r="L2459">
        <v>66</v>
      </c>
      <c r="M2459" t="s">
        <v>661</v>
      </c>
      <c r="N2459" t="s">
        <v>322</v>
      </c>
      <c r="O2459" t="s">
        <v>323</v>
      </c>
      <c r="P2459" t="s">
        <v>324</v>
      </c>
      <c r="R2459" t="s">
        <v>325</v>
      </c>
      <c r="T2459">
        <v>1734</v>
      </c>
      <c r="U2459" t="s">
        <v>326</v>
      </c>
      <c r="V2459" t="s">
        <v>42</v>
      </c>
      <c r="W2459" t="s">
        <v>327</v>
      </c>
      <c r="X2459" t="s">
        <v>328</v>
      </c>
      <c r="Y2459" t="s">
        <v>36</v>
      </c>
    </row>
    <row r="2460" spans="1:25" x14ac:dyDescent="0.25">
      <c r="A2460">
        <v>10119</v>
      </c>
      <c r="B2460">
        <v>25</v>
      </c>
      <c r="C2460">
        <v>76.67</v>
      </c>
      <c r="D2460">
        <v>14</v>
      </c>
      <c r="E2460">
        <v>1916.75</v>
      </c>
      <c r="F2460" s="1">
        <v>37739</v>
      </c>
      <c r="G2460" t="s">
        <v>25</v>
      </c>
      <c r="H2460">
        <v>2</v>
      </c>
      <c r="I2460">
        <v>4</v>
      </c>
      <c r="J2460">
        <v>2003</v>
      </c>
      <c r="K2460" t="s">
        <v>598</v>
      </c>
      <c r="L2460">
        <v>66</v>
      </c>
      <c r="M2460" t="s">
        <v>661</v>
      </c>
      <c r="N2460" t="s">
        <v>144</v>
      </c>
      <c r="O2460" t="s">
        <v>145</v>
      </c>
      <c r="P2460" t="s">
        <v>146</v>
      </c>
      <c r="R2460" t="s">
        <v>147</v>
      </c>
      <c r="T2460">
        <v>5020</v>
      </c>
      <c r="U2460" t="s">
        <v>148</v>
      </c>
      <c r="V2460" t="s">
        <v>42</v>
      </c>
      <c r="W2460" t="s">
        <v>149</v>
      </c>
      <c r="X2460" t="s">
        <v>150</v>
      </c>
      <c r="Y2460" t="s">
        <v>36</v>
      </c>
    </row>
    <row r="2461" spans="1:25" x14ac:dyDescent="0.25">
      <c r="A2461">
        <v>10129</v>
      </c>
      <c r="B2461">
        <v>31</v>
      </c>
      <c r="C2461">
        <v>60</v>
      </c>
      <c r="D2461">
        <v>5</v>
      </c>
      <c r="E2461">
        <v>1860</v>
      </c>
      <c r="F2461" s="1">
        <v>37784</v>
      </c>
      <c r="G2461" t="s">
        <v>25</v>
      </c>
      <c r="H2461">
        <v>2</v>
      </c>
      <c r="I2461">
        <v>6</v>
      </c>
      <c r="J2461">
        <v>2003</v>
      </c>
      <c r="K2461" t="s">
        <v>598</v>
      </c>
      <c r="L2461">
        <v>66</v>
      </c>
      <c r="M2461" t="s">
        <v>661</v>
      </c>
      <c r="N2461" t="s">
        <v>329</v>
      </c>
      <c r="O2461" t="s">
        <v>330</v>
      </c>
      <c r="P2461" t="s">
        <v>331</v>
      </c>
      <c r="R2461" t="s">
        <v>332</v>
      </c>
      <c r="T2461" t="s">
        <v>333</v>
      </c>
      <c r="U2461" t="s">
        <v>170</v>
      </c>
      <c r="V2461" t="s">
        <v>42</v>
      </c>
      <c r="W2461" t="s">
        <v>61</v>
      </c>
      <c r="X2461" t="s">
        <v>334</v>
      </c>
      <c r="Y2461" t="s">
        <v>36</v>
      </c>
    </row>
    <row r="2462" spans="1:25" x14ac:dyDescent="0.25">
      <c r="A2462">
        <v>10142</v>
      </c>
      <c r="B2462">
        <v>41</v>
      </c>
      <c r="C2462">
        <v>64</v>
      </c>
      <c r="D2462">
        <v>2</v>
      </c>
      <c r="E2462">
        <v>2624</v>
      </c>
      <c r="F2462" s="1">
        <v>37841</v>
      </c>
      <c r="G2462" t="s">
        <v>25</v>
      </c>
      <c r="H2462">
        <v>3</v>
      </c>
      <c r="I2462">
        <v>8</v>
      </c>
      <c r="J2462">
        <v>2003</v>
      </c>
      <c r="K2462" t="s">
        <v>598</v>
      </c>
      <c r="L2462">
        <v>66</v>
      </c>
      <c r="M2462" t="s">
        <v>661</v>
      </c>
      <c r="N2462" t="s">
        <v>272</v>
      </c>
      <c r="O2462">
        <v>4155551450</v>
      </c>
      <c r="P2462" t="s">
        <v>273</v>
      </c>
      <c r="R2462" t="s">
        <v>274</v>
      </c>
      <c r="S2462" t="s">
        <v>55</v>
      </c>
      <c r="T2462">
        <v>97562</v>
      </c>
      <c r="U2462" t="s">
        <v>32</v>
      </c>
      <c r="V2462" t="s">
        <v>33</v>
      </c>
      <c r="W2462" t="s">
        <v>275</v>
      </c>
      <c r="X2462" t="s">
        <v>276</v>
      </c>
      <c r="Y2462" t="s">
        <v>36</v>
      </c>
    </row>
    <row r="2463" spans="1:25" x14ac:dyDescent="0.25">
      <c r="A2463">
        <v>10153</v>
      </c>
      <c r="B2463">
        <v>43</v>
      </c>
      <c r="C2463">
        <v>64.67</v>
      </c>
      <c r="D2463">
        <v>1</v>
      </c>
      <c r="E2463">
        <v>2780.81</v>
      </c>
      <c r="F2463" s="1">
        <v>37892</v>
      </c>
      <c r="G2463" t="s">
        <v>25</v>
      </c>
      <c r="H2463">
        <v>3</v>
      </c>
      <c r="I2463">
        <v>9</v>
      </c>
      <c r="J2463">
        <v>2003</v>
      </c>
      <c r="K2463" t="s">
        <v>598</v>
      </c>
      <c r="L2463">
        <v>66</v>
      </c>
      <c r="M2463" t="s">
        <v>661</v>
      </c>
      <c r="N2463" t="s">
        <v>174</v>
      </c>
      <c r="O2463" t="s">
        <v>175</v>
      </c>
      <c r="P2463" t="s">
        <v>176</v>
      </c>
      <c r="R2463" t="s">
        <v>177</v>
      </c>
      <c r="T2463">
        <v>28034</v>
      </c>
      <c r="U2463" t="s">
        <v>178</v>
      </c>
      <c r="V2463" t="s">
        <v>42</v>
      </c>
      <c r="W2463" t="s">
        <v>179</v>
      </c>
      <c r="X2463" t="s">
        <v>180</v>
      </c>
      <c r="Y2463" t="s">
        <v>36</v>
      </c>
    </row>
    <row r="2464" spans="1:25" x14ac:dyDescent="0.25">
      <c r="A2464">
        <v>10167</v>
      </c>
      <c r="B2464">
        <v>43</v>
      </c>
      <c r="C2464">
        <v>75.34</v>
      </c>
      <c r="D2464">
        <v>12</v>
      </c>
      <c r="E2464">
        <v>3239.62</v>
      </c>
      <c r="F2464" s="1">
        <v>37917</v>
      </c>
      <c r="G2464" t="s">
        <v>339</v>
      </c>
      <c r="H2464">
        <v>4</v>
      </c>
      <c r="I2464">
        <v>10</v>
      </c>
      <c r="J2464">
        <v>2003</v>
      </c>
      <c r="K2464" t="s">
        <v>598</v>
      </c>
      <c r="L2464">
        <v>66</v>
      </c>
      <c r="M2464" t="s">
        <v>661</v>
      </c>
      <c r="N2464" t="s">
        <v>261</v>
      </c>
      <c r="O2464" t="s">
        <v>262</v>
      </c>
      <c r="P2464" t="s">
        <v>263</v>
      </c>
      <c r="R2464" t="s">
        <v>264</v>
      </c>
      <c r="T2464" t="s">
        <v>265</v>
      </c>
      <c r="U2464" t="s">
        <v>188</v>
      </c>
      <c r="V2464" t="s">
        <v>42</v>
      </c>
      <c r="W2464" t="s">
        <v>266</v>
      </c>
      <c r="X2464" t="s">
        <v>206</v>
      </c>
      <c r="Y2464" t="s">
        <v>51</v>
      </c>
    </row>
    <row r="2465" spans="1:25" x14ac:dyDescent="0.25">
      <c r="A2465">
        <v>10177</v>
      </c>
      <c r="B2465">
        <v>24</v>
      </c>
      <c r="C2465">
        <v>76</v>
      </c>
      <c r="D2465">
        <v>3</v>
      </c>
      <c r="E2465">
        <v>1824</v>
      </c>
      <c r="F2465" s="1">
        <v>37932</v>
      </c>
      <c r="G2465" t="s">
        <v>25</v>
      </c>
      <c r="H2465">
        <v>4</v>
      </c>
      <c r="I2465">
        <v>11</v>
      </c>
      <c r="J2465">
        <v>2003</v>
      </c>
      <c r="K2465" t="s">
        <v>598</v>
      </c>
      <c r="L2465">
        <v>66</v>
      </c>
      <c r="M2465" t="s">
        <v>661</v>
      </c>
      <c r="N2465" t="s">
        <v>487</v>
      </c>
      <c r="O2465" t="s">
        <v>488</v>
      </c>
      <c r="P2465" t="s">
        <v>489</v>
      </c>
      <c r="R2465" t="s">
        <v>177</v>
      </c>
      <c r="T2465">
        <v>28023</v>
      </c>
      <c r="U2465" t="s">
        <v>178</v>
      </c>
      <c r="V2465" t="s">
        <v>42</v>
      </c>
      <c r="W2465" t="s">
        <v>490</v>
      </c>
      <c r="X2465" t="s">
        <v>491</v>
      </c>
      <c r="Y2465" t="s">
        <v>36</v>
      </c>
    </row>
    <row r="2466" spans="1:25" x14ac:dyDescent="0.25">
      <c r="A2466">
        <v>10185</v>
      </c>
      <c r="B2466">
        <v>21</v>
      </c>
      <c r="C2466">
        <v>54</v>
      </c>
      <c r="D2466">
        <v>3</v>
      </c>
      <c r="E2466">
        <v>1134</v>
      </c>
      <c r="F2466" s="1">
        <v>37939</v>
      </c>
      <c r="G2466" t="s">
        <v>25</v>
      </c>
      <c r="H2466">
        <v>4</v>
      </c>
      <c r="I2466">
        <v>11</v>
      </c>
      <c r="J2466">
        <v>2003</v>
      </c>
      <c r="K2466" t="s">
        <v>598</v>
      </c>
      <c r="L2466">
        <v>66</v>
      </c>
      <c r="M2466" t="s">
        <v>661</v>
      </c>
      <c r="N2466" t="s">
        <v>335</v>
      </c>
      <c r="O2466">
        <v>5085559555</v>
      </c>
      <c r="P2466" t="s">
        <v>336</v>
      </c>
      <c r="R2466" t="s">
        <v>162</v>
      </c>
      <c r="S2466" t="s">
        <v>123</v>
      </c>
      <c r="T2466">
        <v>50553</v>
      </c>
      <c r="U2466" t="s">
        <v>32</v>
      </c>
      <c r="V2466" t="s">
        <v>33</v>
      </c>
      <c r="W2466" t="s">
        <v>337</v>
      </c>
      <c r="X2466" t="s">
        <v>338</v>
      </c>
      <c r="Y2466" t="s">
        <v>36</v>
      </c>
    </row>
    <row r="2467" spans="1:25" x14ac:dyDescent="0.25">
      <c r="A2467">
        <v>10197</v>
      </c>
      <c r="B2467">
        <v>23</v>
      </c>
      <c r="C2467">
        <v>64.67</v>
      </c>
      <c r="D2467">
        <v>9</v>
      </c>
      <c r="E2467">
        <v>1487.41</v>
      </c>
      <c r="F2467" s="1">
        <v>37951</v>
      </c>
      <c r="G2467" t="s">
        <v>25</v>
      </c>
      <c r="H2467">
        <v>4</v>
      </c>
      <c r="I2467">
        <v>11</v>
      </c>
      <c r="J2467">
        <v>2003</v>
      </c>
      <c r="K2467" t="s">
        <v>598</v>
      </c>
      <c r="L2467">
        <v>66</v>
      </c>
      <c r="M2467" t="s">
        <v>661</v>
      </c>
      <c r="N2467" t="s">
        <v>352</v>
      </c>
      <c r="O2467" t="s">
        <v>353</v>
      </c>
      <c r="P2467" t="s">
        <v>354</v>
      </c>
      <c r="R2467" t="s">
        <v>355</v>
      </c>
      <c r="T2467">
        <v>8022</v>
      </c>
      <c r="U2467" t="s">
        <v>178</v>
      </c>
      <c r="V2467" t="s">
        <v>42</v>
      </c>
      <c r="W2467" t="s">
        <v>356</v>
      </c>
      <c r="X2467" t="s">
        <v>357</v>
      </c>
      <c r="Y2467" t="s">
        <v>36</v>
      </c>
    </row>
    <row r="2468" spans="1:25" x14ac:dyDescent="0.25">
      <c r="A2468">
        <v>10208</v>
      </c>
      <c r="B2468">
        <v>38</v>
      </c>
      <c r="C2468">
        <v>74.67</v>
      </c>
      <c r="D2468">
        <v>3</v>
      </c>
      <c r="E2468">
        <v>2837.46</v>
      </c>
      <c r="F2468" s="1">
        <v>37988</v>
      </c>
      <c r="G2468" t="s">
        <v>25</v>
      </c>
      <c r="H2468">
        <v>1</v>
      </c>
      <c r="I2468">
        <v>1</v>
      </c>
      <c r="J2468">
        <v>2004</v>
      </c>
      <c r="K2468" t="s">
        <v>598</v>
      </c>
      <c r="L2468">
        <v>66</v>
      </c>
      <c r="M2468" t="s">
        <v>661</v>
      </c>
      <c r="N2468" t="s">
        <v>219</v>
      </c>
      <c r="O2468" t="s">
        <v>220</v>
      </c>
      <c r="P2468" t="s">
        <v>221</v>
      </c>
      <c r="R2468" t="s">
        <v>222</v>
      </c>
      <c r="T2468">
        <v>69004</v>
      </c>
      <c r="U2468" t="s">
        <v>41</v>
      </c>
      <c r="V2468" t="s">
        <v>42</v>
      </c>
      <c r="W2468" t="s">
        <v>223</v>
      </c>
      <c r="X2468" t="s">
        <v>224</v>
      </c>
      <c r="Y2468" t="s">
        <v>36</v>
      </c>
    </row>
    <row r="2469" spans="1:25" x14ac:dyDescent="0.25">
      <c r="A2469">
        <v>10222</v>
      </c>
      <c r="B2469">
        <v>31</v>
      </c>
      <c r="C2469">
        <v>62.67</v>
      </c>
      <c r="D2469">
        <v>15</v>
      </c>
      <c r="E2469">
        <v>1942.77</v>
      </c>
      <c r="F2469" s="1">
        <v>38036</v>
      </c>
      <c r="G2469" t="s">
        <v>25</v>
      </c>
      <c r="H2469">
        <v>1</v>
      </c>
      <c r="I2469">
        <v>2</v>
      </c>
      <c r="J2469">
        <v>2004</v>
      </c>
      <c r="K2469" t="s">
        <v>598</v>
      </c>
      <c r="L2469">
        <v>66</v>
      </c>
      <c r="M2469" t="s">
        <v>661</v>
      </c>
      <c r="N2469" t="s">
        <v>362</v>
      </c>
      <c r="O2469">
        <v>7605558146</v>
      </c>
      <c r="P2469" t="s">
        <v>363</v>
      </c>
      <c r="R2469" t="s">
        <v>364</v>
      </c>
      <c r="S2469" t="s">
        <v>55</v>
      </c>
      <c r="T2469">
        <v>91217</v>
      </c>
      <c r="U2469" t="s">
        <v>32</v>
      </c>
      <c r="V2469" t="s">
        <v>33</v>
      </c>
      <c r="W2469" t="s">
        <v>237</v>
      </c>
      <c r="X2469" t="s">
        <v>276</v>
      </c>
      <c r="Y2469" t="s">
        <v>36</v>
      </c>
    </row>
    <row r="2470" spans="1:25" x14ac:dyDescent="0.25">
      <c r="A2470">
        <v>10233</v>
      </c>
      <c r="B2470">
        <v>36</v>
      </c>
      <c r="C2470">
        <v>70.67</v>
      </c>
      <c r="D2470">
        <v>3</v>
      </c>
      <c r="E2470">
        <v>2544.12</v>
      </c>
      <c r="F2470" s="1">
        <v>38075</v>
      </c>
      <c r="G2470" t="s">
        <v>25</v>
      </c>
      <c r="H2470">
        <v>1</v>
      </c>
      <c r="I2470">
        <v>3</v>
      </c>
      <c r="J2470">
        <v>2004</v>
      </c>
      <c r="K2470" t="s">
        <v>598</v>
      </c>
      <c r="L2470">
        <v>66</v>
      </c>
      <c r="M2470" t="s">
        <v>661</v>
      </c>
      <c r="N2470" t="s">
        <v>104</v>
      </c>
      <c r="O2470">
        <v>2015559350</v>
      </c>
      <c r="P2470" t="s">
        <v>105</v>
      </c>
      <c r="R2470" t="s">
        <v>106</v>
      </c>
      <c r="S2470" t="s">
        <v>107</v>
      </c>
      <c r="T2470">
        <v>94019</v>
      </c>
      <c r="U2470" t="s">
        <v>32</v>
      </c>
      <c r="V2470" t="s">
        <v>33</v>
      </c>
      <c r="W2470" t="s">
        <v>61</v>
      </c>
      <c r="X2470" t="s">
        <v>108</v>
      </c>
      <c r="Y2470" t="s">
        <v>36</v>
      </c>
    </row>
    <row r="2471" spans="1:25" x14ac:dyDescent="0.25">
      <c r="A2471">
        <v>10248</v>
      </c>
      <c r="B2471">
        <v>36</v>
      </c>
      <c r="C2471">
        <v>71.34</v>
      </c>
      <c r="D2471">
        <v>6</v>
      </c>
      <c r="E2471">
        <v>2568.2399999999998</v>
      </c>
      <c r="F2471" s="1">
        <v>38114</v>
      </c>
      <c r="G2471" t="s">
        <v>339</v>
      </c>
      <c r="H2471">
        <v>2</v>
      </c>
      <c r="I2471">
        <v>5</v>
      </c>
      <c r="J2471">
        <v>2004</v>
      </c>
      <c r="K2471" t="s">
        <v>598</v>
      </c>
      <c r="L2471">
        <v>66</v>
      </c>
      <c r="M2471" t="s">
        <v>661</v>
      </c>
      <c r="N2471" t="s">
        <v>28</v>
      </c>
      <c r="O2471">
        <v>2125557818</v>
      </c>
      <c r="P2471" t="s">
        <v>29</v>
      </c>
      <c r="R2471" t="s">
        <v>30</v>
      </c>
      <c r="S2471" t="s">
        <v>31</v>
      </c>
      <c r="T2471">
        <v>10022</v>
      </c>
      <c r="U2471" t="s">
        <v>32</v>
      </c>
      <c r="V2471" t="s">
        <v>33</v>
      </c>
      <c r="W2471" t="s">
        <v>34</v>
      </c>
      <c r="X2471" t="s">
        <v>35</v>
      </c>
      <c r="Y2471" t="s">
        <v>36</v>
      </c>
    </row>
    <row r="2472" spans="1:25" x14ac:dyDescent="0.25">
      <c r="A2472">
        <v>10261</v>
      </c>
      <c r="B2472">
        <v>34</v>
      </c>
      <c r="C2472">
        <v>62</v>
      </c>
      <c r="D2472">
        <v>4</v>
      </c>
      <c r="E2472">
        <v>2108</v>
      </c>
      <c r="F2472" s="1">
        <v>38155</v>
      </c>
      <c r="G2472" t="s">
        <v>25</v>
      </c>
      <c r="H2472">
        <v>2</v>
      </c>
      <c r="I2472">
        <v>6</v>
      </c>
      <c r="J2472">
        <v>2004</v>
      </c>
      <c r="K2472" t="s">
        <v>598</v>
      </c>
      <c r="L2472">
        <v>66</v>
      </c>
      <c r="M2472" t="s">
        <v>661</v>
      </c>
      <c r="N2472" t="s">
        <v>292</v>
      </c>
      <c r="O2472" t="s">
        <v>293</v>
      </c>
      <c r="P2472" t="s">
        <v>294</v>
      </c>
      <c r="R2472" t="s">
        <v>295</v>
      </c>
      <c r="S2472" t="s">
        <v>296</v>
      </c>
      <c r="T2472" t="s">
        <v>297</v>
      </c>
      <c r="U2472" t="s">
        <v>231</v>
      </c>
      <c r="V2472" t="s">
        <v>33</v>
      </c>
      <c r="W2472" t="s">
        <v>298</v>
      </c>
      <c r="X2472" t="s">
        <v>299</v>
      </c>
      <c r="Y2472" t="s">
        <v>36</v>
      </c>
    </row>
    <row r="2473" spans="1:25" x14ac:dyDescent="0.25">
      <c r="A2473">
        <v>10273</v>
      </c>
      <c r="B2473">
        <v>21</v>
      </c>
      <c r="C2473">
        <v>65.34</v>
      </c>
      <c r="D2473">
        <v>7</v>
      </c>
      <c r="E2473">
        <v>1372.14</v>
      </c>
      <c r="F2473" s="1">
        <v>38189</v>
      </c>
      <c r="G2473" t="s">
        <v>25</v>
      </c>
      <c r="H2473">
        <v>3</v>
      </c>
      <c r="I2473">
        <v>7</v>
      </c>
      <c r="J2473">
        <v>2004</v>
      </c>
      <c r="K2473" t="s">
        <v>598</v>
      </c>
      <c r="L2473">
        <v>66</v>
      </c>
      <c r="M2473" t="s">
        <v>661</v>
      </c>
      <c r="N2473" t="s">
        <v>365</v>
      </c>
      <c r="O2473" t="s">
        <v>366</v>
      </c>
      <c r="P2473" t="s">
        <v>367</v>
      </c>
      <c r="R2473" t="s">
        <v>368</v>
      </c>
      <c r="T2473" t="s">
        <v>369</v>
      </c>
      <c r="U2473" t="s">
        <v>370</v>
      </c>
      <c r="V2473" t="s">
        <v>42</v>
      </c>
      <c r="W2473" t="s">
        <v>371</v>
      </c>
      <c r="X2473" t="s">
        <v>372</v>
      </c>
      <c r="Y2473" t="s">
        <v>36</v>
      </c>
    </row>
    <row r="2474" spans="1:25" x14ac:dyDescent="0.25">
      <c r="A2474">
        <v>10283</v>
      </c>
      <c r="B2474">
        <v>45</v>
      </c>
      <c r="C2474">
        <v>78.67</v>
      </c>
      <c r="D2474">
        <v>9</v>
      </c>
      <c r="E2474">
        <v>3540.15</v>
      </c>
      <c r="F2474" s="1">
        <v>38219</v>
      </c>
      <c r="G2474" t="s">
        <v>25</v>
      </c>
      <c r="H2474">
        <v>3</v>
      </c>
      <c r="I2474">
        <v>8</v>
      </c>
      <c r="J2474">
        <v>2004</v>
      </c>
      <c r="K2474" t="s">
        <v>598</v>
      </c>
      <c r="L2474">
        <v>66</v>
      </c>
      <c r="M2474" t="s">
        <v>661</v>
      </c>
      <c r="N2474" t="s">
        <v>373</v>
      </c>
      <c r="O2474" t="s">
        <v>374</v>
      </c>
      <c r="P2474" t="s">
        <v>375</v>
      </c>
      <c r="R2474" t="s">
        <v>376</v>
      </c>
      <c r="S2474" t="s">
        <v>229</v>
      </c>
      <c r="T2474" t="s">
        <v>377</v>
      </c>
      <c r="U2474" t="s">
        <v>231</v>
      </c>
      <c r="V2474" t="s">
        <v>33</v>
      </c>
      <c r="W2474" t="s">
        <v>378</v>
      </c>
      <c r="X2474" t="s">
        <v>172</v>
      </c>
      <c r="Y2474" t="s">
        <v>51</v>
      </c>
    </row>
    <row r="2475" spans="1:25" x14ac:dyDescent="0.25">
      <c r="A2475">
        <v>10295</v>
      </c>
      <c r="B2475">
        <v>26</v>
      </c>
      <c r="C2475">
        <v>75.34</v>
      </c>
      <c r="D2475">
        <v>4</v>
      </c>
      <c r="E2475">
        <v>1958.84</v>
      </c>
      <c r="F2475" s="1">
        <v>38240</v>
      </c>
      <c r="G2475" t="s">
        <v>25</v>
      </c>
      <c r="H2475">
        <v>3</v>
      </c>
      <c r="I2475">
        <v>9</v>
      </c>
      <c r="J2475">
        <v>2004</v>
      </c>
      <c r="K2475" t="s">
        <v>598</v>
      </c>
      <c r="L2475">
        <v>66</v>
      </c>
      <c r="M2475" t="s">
        <v>661</v>
      </c>
      <c r="N2475" t="s">
        <v>379</v>
      </c>
      <c r="O2475">
        <v>6175559555</v>
      </c>
      <c r="P2475" t="s">
        <v>380</v>
      </c>
      <c r="R2475" t="s">
        <v>381</v>
      </c>
      <c r="S2475" t="s">
        <v>123</v>
      </c>
      <c r="T2475">
        <v>51003</v>
      </c>
      <c r="U2475" t="s">
        <v>32</v>
      </c>
      <c r="V2475" t="s">
        <v>33</v>
      </c>
      <c r="W2475" t="s">
        <v>382</v>
      </c>
      <c r="X2475" t="s">
        <v>66</v>
      </c>
      <c r="Y2475" t="s">
        <v>36</v>
      </c>
    </row>
    <row r="2476" spans="1:25" x14ac:dyDescent="0.25">
      <c r="A2476">
        <v>10306</v>
      </c>
      <c r="B2476">
        <v>50</v>
      </c>
      <c r="C2476">
        <v>54</v>
      </c>
      <c r="D2476">
        <v>3</v>
      </c>
      <c r="E2476">
        <v>2700</v>
      </c>
      <c r="F2476" s="1">
        <v>38274</v>
      </c>
      <c r="G2476" t="s">
        <v>25</v>
      </c>
      <c r="H2476">
        <v>4</v>
      </c>
      <c r="I2476">
        <v>10</v>
      </c>
      <c r="J2476">
        <v>2004</v>
      </c>
      <c r="K2476" t="s">
        <v>598</v>
      </c>
      <c r="L2476">
        <v>66</v>
      </c>
      <c r="M2476" t="s">
        <v>661</v>
      </c>
      <c r="N2476" t="s">
        <v>492</v>
      </c>
      <c r="O2476" t="s">
        <v>493</v>
      </c>
      <c r="P2476" t="s">
        <v>494</v>
      </c>
      <c r="R2476" t="s">
        <v>495</v>
      </c>
      <c r="T2476" t="s">
        <v>496</v>
      </c>
      <c r="U2476" t="s">
        <v>170</v>
      </c>
      <c r="V2476" t="s">
        <v>42</v>
      </c>
      <c r="W2476" t="s">
        <v>497</v>
      </c>
      <c r="X2476" t="s">
        <v>94</v>
      </c>
      <c r="Y2476" t="s">
        <v>36</v>
      </c>
    </row>
    <row r="2477" spans="1:25" x14ac:dyDescent="0.25">
      <c r="A2477">
        <v>10315</v>
      </c>
      <c r="B2477">
        <v>41</v>
      </c>
      <c r="C2477">
        <v>62</v>
      </c>
      <c r="D2477">
        <v>2</v>
      </c>
      <c r="E2477">
        <v>2542</v>
      </c>
      <c r="F2477" s="1">
        <v>38289</v>
      </c>
      <c r="G2477" t="s">
        <v>25</v>
      </c>
      <c r="H2477">
        <v>4</v>
      </c>
      <c r="I2477">
        <v>10</v>
      </c>
      <c r="J2477">
        <v>2004</v>
      </c>
      <c r="K2477" t="s">
        <v>598</v>
      </c>
      <c r="L2477">
        <v>66</v>
      </c>
      <c r="M2477" t="s">
        <v>661</v>
      </c>
      <c r="N2477" t="s">
        <v>114</v>
      </c>
      <c r="O2477" t="s">
        <v>115</v>
      </c>
      <c r="P2477" t="s">
        <v>116</v>
      </c>
      <c r="R2477" t="s">
        <v>117</v>
      </c>
      <c r="T2477">
        <v>44000</v>
      </c>
      <c r="U2477" t="s">
        <v>41</v>
      </c>
      <c r="V2477" t="s">
        <v>42</v>
      </c>
      <c r="W2477" t="s">
        <v>118</v>
      </c>
      <c r="X2477" t="s">
        <v>119</v>
      </c>
      <c r="Y2477" t="s">
        <v>36</v>
      </c>
    </row>
    <row r="2478" spans="1:25" x14ac:dyDescent="0.25">
      <c r="A2478">
        <v>10326</v>
      </c>
      <c r="B2478">
        <v>39</v>
      </c>
      <c r="C2478">
        <v>60</v>
      </c>
      <c r="D2478">
        <v>1</v>
      </c>
      <c r="E2478">
        <v>2340</v>
      </c>
      <c r="F2478" s="1">
        <v>38300</v>
      </c>
      <c r="G2478" t="s">
        <v>25</v>
      </c>
      <c r="H2478">
        <v>4</v>
      </c>
      <c r="I2478">
        <v>11</v>
      </c>
      <c r="J2478">
        <v>2004</v>
      </c>
      <c r="K2478" t="s">
        <v>598</v>
      </c>
      <c r="L2478">
        <v>66</v>
      </c>
      <c r="M2478" t="s">
        <v>661</v>
      </c>
      <c r="N2478" t="s">
        <v>183</v>
      </c>
      <c r="O2478" t="s">
        <v>184</v>
      </c>
      <c r="P2478" t="s">
        <v>185</v>
      </c>
      <c r="R2478" t="s">
        <v>186</v>
      </c>
      <c r="T2478" t="s">
        <v>187</v>
      </c>
      <c r="U2478" t="s">
        <v>188</v>
      </c>
      <c r="V2478" t="s">
        <v>42</v>
      </c>
      <c r="W2478" t="s">
        <v>189</v>
      </c>
      <c r="X2478" t="s">
        <v>190</v>
      </c>
      <c r="Y2478" t="s">
        <v>36</v>
      </c>
    </row>
    <row r="2479" spans="1:25" x14ac:dyDescent="0.25">
      <c r="A2479">
        <v>10339</v>
      </c>
      <c r="B2479">
        <v>22</v>
      </c>
      <c r="C2479">
        <v>100</v>
      </c>
      <c r="D2479">
        <v>5</v>
      </c>
      <c r="E2479">
        <v>2816.44</v>
      </c>
      <c r="F2479" s="1">
        <v>38314</v>
      </c>
      <c r="G2479" t="s">
        <v>25</v>
      </c>
      <c r="H2479">
        <v>4</v>
      </c>
      <c r="I2479">
        <v>11</v>
      </c>
      <c r="J2479">
        <v>2004</v>
      </c>
      <c r="K2479" t="s">
        <v>598</v>
      </c>
      <c r="L2479">
        <v>66</v>
      </c>
      <c r="M2479" t="s">
        <v>661</v>
      </c>
      <c r="N2479" t="s">
        <v>246</v>
      </c>
      <c r="O2479" t="s">
        <v>247</v>
      </c>
      <c r="P2479" t="s">
        <v>248</v>
      </c>
      <c r="R2479" t="s">
        <v>249</v>
      </c>
      <c r="S2479" t="s">
        <v>250</v>
      </c>
      <c r="T2479" t="s">
        <v>251</v>
      </c>
      <c r="U2479" t="s">
        <v>200</v>
      </c>
      <c r="V2479" t="s">
        <v>200</v>
      </c>
      <c r="W2479" t="s">
        <v>252</v>
      </c>
      <c r="X2479" t="s">
        <v>253</v>
      </c>
      <c r="Y2479" t="s">
        <v>36</v>
      </c>
    </row>
    <row r="2480" spans="1:25" x14ac:dyDescent="0.25">
      <c r="A2480">
        <v>10350</v>
      </c>
      <c r="B2480">
        <v>46</v>
      </c>
      <c r="C2480">
        <v>76.67</v>
      </c>
      <c r="D2480">
        <v>11</v>
      </c>
      <c r="E2480">
        <v>3526.82</v>
      </c>
      <c r="F2480" s="1">
        <v>38323</v>
      </c>
      <c r="G2480" t="s">
        <v>25</v>
      </c>
      <c r="H2480">
        <v>4</v>
      </c>
      <c r="I2480">
        <v>12</v>
      </c>
      <c r="J2480">
        <v>2004</v>
      </c>
      <c r="K2480" t="s">
        <v>598</v>
      </c>
      <c r="L2480">
        <v>66</v>
      </c>
      <c r="M2480" t="s">
        <v>661</v>
      </c>
      <c r="N2480" t="s">
        <v>174</v>
      </c>
      <c r="O2480" t="s">
        <v>175</v>
      </c>
      <c r="P2480" t="s">
        <v>176</v>
      </c>
      <c r="R2480" t="s">
        <v>177</v>
      </c>
      <c r="T2480">
        <v>28034</v>
      </c>
      <c r="U2480" t="s">
        <v>178</v>
      </c>
      <c r="V2480" t="s">
        <v>42</v>
      </c>
      <c r="W2480" t="s">
        <v>179</v>
      </c>
      <c r="X2480" t="s">
        <v>180</v>
      </c>
      <c r="Y2480" t="s">
        <v>51</v>
      </c>
    </row>
    <row r="2481" spans="1:25" x14ac:dyDescent="0.25">
      <c r="A2481">
        <v>10373</v>
      </c>
      <c r="B2481">
        <v>44</v>
      </c>
      <c r="C2481">
        <v>100</v>
      </c>
      <c r="D2481">
        <v>14</v>
      </c>
      <c r="E2481">
        <v>4627.92</v>
      </c>
      <c r="F2481" s="1">
        <v>38383</v>
      </c>
      <c r="G2481" t="s">
        <v>25</v>
      </c>
      <c r="H2481">
        <v>1</v>
      </c>
      <c r="I2481">
        <v>1</v>
      </c>
      <c r="J2481">
        <v>2005</v>
      </c>
      <c r="K2481" t="s">
        <v>598</v>
      </c>
      <c r="L2481">
        <v>66</v>
      </c>
      <c r="M2481" t="s">
        <v>661</v>
      </c>
      <c r="N2481" t="s">
        <v>391</v>
      </c>
      <c r="O2481" t="s">
        <v>392</v>
      </c>
      <c r="P2481" t="s">
        <v>393</v>
      </c>
      <c r="R2481" t="s">
        <v>394</v>
      </c>
      <c r="T2481">
        <v>90110</v>
      </c>
      <c r="U2481" t="s">
        <v>130</v>
      </c>
      <c r="V2481" t="s">
        <v>42</v>
      </c>
      <c r="W2481" t="s">
        <v>395</v>
      </c>
      <c r="X2481" t="s">
        <v>396</v>
      </c>
      <c r="Y2481" t="s">
        <v>51</v>
      </c>
    </row>
    <row r="2482" spans="1:25" x14ac:dyDescent="0.25">
      <c r="A2482">
        <v>10385</v>
      </c>
      <c r="B2482">
        <v>25</v>
      </c>
      <c r="C2482">
        <v>77.34</v>
      </c>
      <c r="D2482">
        <v>1</v>
      </c>
      <c r="E2482">
        <v>1933.5</v>
      </c>
      <c r="F2482" s="1">
        <v>38411</v>
      </c>
      <c r="G2482" t="s">
        <v>25</v>
      </c>
      <c r="H2482">
        <v>1</v>
      </c>
      <c r="I2482">
        <v>2</v>
      </c>
      <c r="J2482">
        <v>2005</v>
      </c>
      <c r="K2482" t="s">
        <v>598</v>
      </c>
      <c r="L2482">
        <v>66</v>
      </c>
      <c r="M2482" t="s">
        <v>661</v>
      </c>
      <c r="N2482" t="s">
        <v>272</v>
      </c>
      <c r="O2482">
        <v>4155551450</v>
      </c>
      <c r="P2482" t="s">
        <v>273</v>
      </c>
      <c r="R2482" t="s">
        <v>274</v>
      </c>
      <c r="S2482" t="s">
        <v>55</v>
      </c>
      <c r="T2482">
        <v>97562</v>
      </c>
      <c r="U2482" t="s">
        <v>32</v>
      </c>
      <c r="V2482" t="s">
        <v>33</v>
      </c>
      <c r="W2482" t="s">
        <v>275</v>
      </c>
      <c r="X2482" t="s">
        <v>276</v>
      </c>
      <c r="Y2482" t="s">
        <v>36</v>
      </c>
    </row>
    <row r="2483" spans="1:25" x14ac:dyDescent="0.25">
      <c r="A2483">
        <v>10396</v>
      </c>
      <c r="B2483">
        <v>39</v>
      </c>
      <c r="C2483">
        <v>66.67</v>
      </c>
      <c r="D2483">
        <v>1</v>
      </c>
      <c r="E2483">
        <v>2600.13</v>
      </c>
      <c r="F2483" s="1">
        <v>38434</v>
      </c>
      <c r="G2483" t="s">
        <v>25</v>
      </c>
      <c r="H2483">
        <v>1</v>
      </c>
      <c r="I2483">
        <v>3</v>
      </c>
      <c r="J2483">
        <v>2005</v>
      </c>
      <c r="K2483" t="s">
        <v>598</v>
      </c>
      <c r="L2483">
        <v>66</v>
      </c>
      <c r="M2483" t="s">
        <v>661</v>
      </c>
      <c r="N2483" t="s">
        <v>272</v>
      </c>
      <c r="O2483">
        <v>4155551450</v>
      </c>
      <c r="P2483" t="s">
        <v>273</v>
      </c>
      <c r="R2483" t="s">
        <v>274</v>
      </c>
      <c r="S2483" t="s">
        <v>55</v>
      </c>
      <c r="T2483">
        <v>97562</v>
      </c>
      <c r="U2483" t="s">
        <v>32</v>
      </c>
      <c r="V2483" t="s">
        <v>33</v>
      </c>
      <c r="W2483" t="s">
        <v>275</v>
      </c>
      <c r="X2483" t="s">
        <v>276</v>
      </c>
      <c r="Y2483" t="s">
        <v>36</v>
      </c>
    </row>
    <row r="2484" spans="1:25" x14ac:dyDescent="0.25">
      <c r="A2484">
        <v>10414</v>
      </c>
      <c r="B2484">
        <v>37</v>
      </c>
      <c r="C2484">
        <v>71.34</v>
      </c>
      <c r="D2484">
        <v>6</v>
      </c>
      <c r="E2484">
        <v>2639.58</v>
      </c>
      <c r="F2484" s="1">
        <v>38478</v>
      </c>
      <c r="G2484" t="s">
        <v>401</v>
      </c>
      <c r="H2484">
        <v>2</v>
      </c>
      <c r="I2484">
        <v>5</v>
      </c>
      <c r="J2484">
        <v>2005</v>
      </c>
      <c r="K2484" t="s">
        <v>598</v>
      </c>
      <c r="L2484">
        <v>66</v>
      </c>
      <c r="M2484" t="s">
        <v>661</v>
      </c>
      <c r="N2484" t="s">
        <v>379</v>
      </c>
      <c r="O2484">
        <v>6175559555</v>
      </c>
      <c r="P2484" t="s">
        <v>380</v>
      </c>
      <c r="R2484" t="s">
        <v>381</v>
      </c>
      <c r="S2484" t="s">
        <v>123</v>
      </c>
      <c r="T2484">
        <v>51003</v>
      </c>
      <c r="U2484" t="s">
        <v>32</v>
      </c>
      <c r="V2484" t="s">
        <v>33</v>
      </c>
      <c r="W2484" t="s">
        <v>382</v>
      </c>
      <c r="X2484" t="s">
        <v>66</v>
      </c>
      <c r="Y2484" t="s">
        <v>36</v>
      </c>
    </row>
    <row r="2485" spans="1:25" x14ac:dyDescent="0.25">
      <c r="A2485">
        <v>10106</v>
      </c>
      <c r="B2485">
        <v>31</v>
      </c>
      <c r="C2485">
        <v>100</v>
      </c>
      <c r="D2485">
        <v>7</v>
      </c>
      <c r="E2485">
        <v>3312.97</v>
      </c>
      <c r="F2485" s="1">
        <v>37669</v>
      </c>
      <c r="G2485" t="s">
        <v>25</v>
      </c>
      <c r="H2485">
        <v>1</v>
      </c>
      <c r="I2485">
        <v>2</v>
      </c>
      <c r="J2485">
        <v>2003</v>
      </c>
      <c r="K2485" t="s">
        <v>566</v>
      </c>
      <c r="L2485">
        <v>91</v>
      </c>
      <c r="M2485" t="s">
        <v>662</v>
      </c>
      <c r="N2485" t="s">
        <v>552</v>
      </c>
      <c r="O2485" t="s">
        <v>553</v>
      </c>
      <c r="P2485" t="s">
        <v>554</v>
      </c>
      <c r="R2485" t="s">
        <v>555</v>
      </c>
      <c r="T2485">
        <v>24100</v>
      </c>
      <c r="U2485" t="s">
        <v>258</v>
      </c>
      <c r="V2485" t="s">
        <v>42</v>
      </c>
      <c r="W2485" t="s">
        <v>556</v>
      </c>
      <c r="X2485" t="s">
        <v>557</v>
      </c>
      <c r="Y2485" t="s">
        <v>51</v>
      </c>
    </row>
    <row r="2486" spans="1:25" x14ac:dyDescent="0.25">
      <c r="A2486">
        <v>10120</v>
      </c>
      <c r="B2486">
        <v>47</v>
      </c>
      <c r="C2486">
        <v>82.21</v>
      </c>
      <c r="D2486">
        <v>13</v>
      </c>
      <c r="E2486">
        <v>3863.87</v>
      </c>
      <c r="F2486" s="1">
        <v>37740</v>
      </c>
      <c r="G2486" t="s">
        <v>25</v>
      </c>
      <c r="H2486">
        <v>2</v>
      </c>
      <c r="I2486">
        <v>4</v>
      </c>
      <c r="J2486">
        <v>2003</v>
      </c>
      <c r="K2486" t="s">
        <v>566</v>
      </c>
      <c r="L2486">
        <v>91</v>
      </c>
      <c r="M2486" t="s">
        <v>662</v>
      </c>
      <c r="N2486" t="s">
        <v>89</v>
      </c>
      <c r="O2486" t="s">
        <v>90</v>
      </c>
      <c r="P2486" t="s">
        <v>91</v>
      </c>
      <c r="Q2486" t="s">
        <v>92</v>
      </c>
      <c r="R2486" t="s">
        <v>93</v>
      </c>
      <c r="S2486" t="s">
        <v>94</v>
      </c>
      <c r="T2486">
        <v>3004</v>
      </c>
      <c r="U2486" t="s">
        <v>95</v>
      </c>
      <c r="V2486" t="s">
        <v>96</v>
      </c>
      <c r="W2486" t="s">
        <v>97</v>
      </c>
      <c r="X2486" t="s">
        <v>98</v>
      </c>
      <c r="Y2486" t="s">
        <v>51</v>
      </c>
    </row>
    <row r="2487" spans="1:25" x14ac:dyDescent="0.25">
      <c r="A2487">
        <v>10133</v>
      </c>
      <c r="B2487">
        <v>24</v>
      </c>
      <c r="C2487">
        <v>77.64</v>
      </c>
      <c r="D2487">
        <v>8</v>
      </c>
      <c r="E2487">
        <v>1863.36</v>
      </c>
      <c r="F2487" s="1">
        <v>37799</v>
      </c>
      <c r="G2487" t="s">
        <v>25</v>
      </c>
      <c r="H2487">
        <v>2</v>
      </c>
      <c r="I2487">
        <v>6</v>
      </c>
      <c r="J2487">
        <v>2003</v>
      </c>
      <c r="K2487" t="s">
        <v>566</v>
      </c>
      <c r="L2487">
        <v>91</v>
      </c>
      <c r="M2487" t="s">
        <v>662</v>
      </c>
      <c r="N2487" t="s">
        <v>174</v>
      </c>
      <c r="O2487" t="s">
        <v>175</v>
      </c>
      <c r="P2487" t="s">
        <v>176</v>
      </c>
      <c r="R2487" t="s">
        <v>177</v>
      </c>
      <c r="T2487">
        <v>28034</v>
      </c>
      <c r="U2487" t="s">
        <v>178</v>
      </c>
      <c r="V2487" t="s">
        <v>42</v>
      </c>
      <c r="W2487" t="s">
        <v>179</v>
      </c>
      <c r="X2487" t="s">
        <v>180</v>
      </c>
      <c r="Y2487" t="s">
        <v>36</v>
      </c>
    </row>
    <row r="2488" spans="1:25" x14ac:dyDescent="0.25">
      <c r="A2488">
        <v>10143</v>
      </c>
      <c r="B2488">
        <v>36</v>
      </c>
      <c r="C2488">
        <v>100</v>
      </c>
      <c r="D2488">
        <v>2</v>
      </c>
      <c r="E2488">
        <v>3945.96</v>
      </c>
      <c r="F2488" s="1">
        <v>37843</v>
      </c>
      <c r="G2488" t="s">
        <v>25</v>
      </c>
      <c r="H2488">
        <v>3</v>
      </c>
      <c r="I2488">
        <v>8</v>
      </c>
      <c r="J2488">
        <v>2003</v>
      </c>
      <c r="K2488" t="s">
        <v>566</v>
      </c>
      <c r="L2488">
        <v>91</v>
      </c>
      <c r="M2488" t="s">
        <v>662</v>
      </c>
      <c r="N2488" t="s">
        <v>335</v>
      </c>
      <c r="O2488">
        <v>5085559555</v>
      </c>
      <c r="P2488" t="s">
        <v>336</v>
      </c>
      <c r="R2488" t="s">
        <v>162</v>
      </c>
      <c r="S2488" t="s">
        <v>123</v>
      </c>
      <c r="T2488">
        <v>50553</v>
      </c>
      <c r="U2488" t="s">
        <v>32</v>
      </c>
      <c r="V2488" t="s">
        <v>33</v>
      </c>
      <c r="W2488" t="s">
        <v>337</v>
      </c>
      <c r="X2488" t="s">
        <v>338</v>
      </c>
      <c r="Y2488" t="s">
        <v>51</v>
      </c>
    </row>
    <row r="2489" spans="1:25" x14ac:dyDescent="0.25">
      <c r="A2489">
        <v>10156</v>
      </c>
      <c r="B2489">
        <v>48</v>
      </c>
      <c r="C2489">
        <v>100</v>
      </c>
      <c r="D2489">
        <v>2</v>
      </c>
      <c r="E2489">
        <v>4954.08</v>
      </c>
      <c r="F2489" s="1">
        <v>37902</v>
      </c>
      <c r="G2489" t="s">
        <v>25</v>
      </c>
      <c r="H2489">
        <v>4</v>
      </c>
      <c r="I2489">
        <v>10</v>
      </c>
      <c r="J2489">
        <v>2003</v>
      </c>
      <c r="K2489" t="s">
        <v>566</v>
      </c>
      <c r="L2489">
        <v>91</v>
      </c>
      <c r="M2489" t="s">
        <v>662</v>
      </c>
      <c r="N2489" t="s">
        <v>174</v>
      </c>
      <c r="O2489" t="s">
        <v>175</v>
      </c>
      <c r="P2489" t="s">
        <v>176</v>
      </c>
      <c r="R2489" t="s">
        <v>177</v>
      </c>
      <c r="T2489">
        <v>28034</v>
      </c>
      <c r="U2489" t="s">
        <v>178</v>
      </c>
      <c r="V2489" t="s">
        <v>42</v>
      </c>
      <c r="W2489" t="s">
        <v>179</v>
      </c>
      <c r="X2489" t="s">
        <v>180</v>
      </c>
      <c r="Y2489" t="s">
        <v>51</v>
      </c>
    </row>
    <row r="2490" spans="1:25" x14ac:dyDescent="0.25">
      <c r="A2490">
        <v>10168</v>
      </c>
      <c r="B2490">
        <v>28</v>
      </c>
      <c r="C2490">
        <v>98.65</v>
      </c>
      <c r="D2490">
        <v>14</v>
      </c>
      <c r="E2490">
        <v>2762.2</v>
      </c>
      <c r="F2490" s="1">
        <v>37922</v>
      </c>
      <c r="G2490" t="s">
        <v>25</v>
      </c>
      <c r="H2490">
        <v>4</v>
      </c>
      <c r="I2490">
        <v>10</v>
      </c>
      <c r="J2490">
        <v>2003</v>
      </c>
      <c r="K2490" t="s">
        <v>566</v>
      </c>
      <c r="L2490">
        <v>91</v>
      </c>
      <c r="M2490" t="s">
        <v>662</v>
      </c>
      <c r="N2490" t="s">
        <v>62</v>
      </c>
      <c r="O2490">
        <v>6505556809</v>
      </c>
      <c r="P2490" t="s">
        <v>63</v>
      </c>
      <c r="R2490" t="s">
        <v>64</v>
      </c>
      <c r="S2490" t="s">
        <v>55</v>
      </c>
      <c r="T2490">
        <v>94217</v>
      </c>
      <c r="U2490" t="s">
        <v>32</v>
      </c>
      <c r="V2490" t="s">
        <v>33</v>
      </c>
      <c r="W2490" t="s">
        <v>65</v>
      </c>
      <c r="X2490" t="s">
        <v>66</v>
      </c>
      <c r="Y2490" t="s">
        <v>36</v>
      </c>
    </row>
    <row r="2491" spans="1:25" x14ac:dyDescent="0.25">
      <c r="A2491">
        <v>10199</v>
      </c>
      <c r="B2491">
        <v>48</v>
      </c>
      <c r="C2491">
        <v>83.12</v>
      </c>
      <c r="D2491">
        <v>2</v>
      </c>
      <c r="E2491">
        <v>3989.76</v>
      </c>
      <c r="F2491" s="1">
        <v>37956</v>
      </c>
      <c r="G2491" t="s">
        <v>25</v>
      </c>
      <c r="H2491">
        <v>4</v>
      </c>
      <c r="I2491">
        <v>12</v>
      </c>
      <c r="J2491">
        <v>2003</v>
      </c>
      <c r="K2491" t="s">
        <v>566</v>
      </c>
      <c r="L2491">
        <v>91</v>
      </c>
      <c r="M2491" t="s">
        <v>662</v>
      </c>
      <c r="N2491" t="s">
        <v>234</v>
      </c>
      <c r="O2491">
        <v>3105553722</v>
      </c>
      <c r="P2491" t="s">
        <v>235</v>
      </c>
      <c r="R2491" t="s">
        <v>236</v>
      </c>
      <c r="S2491" t="s">
        <v>55</v>
      </c>
      <c r="T2491">
        <v>94019</v>
      </c>
      <c r="U2491" t="s">
        <v>32</v>
      </c>
      <c r="V2491" t="s">
        <v>33</v>
      </c>
      <c r="W2491" t="s">
        <v>237</v>
      </c>
      <c r="X2491" t="s">
        <v>238</v>
      </c>
      <c r="Y2491" t="s">
        <v>51</v>
      </c>
    </row>
    <row r="2492" spans="1:25" x14ac:dyDescent="0.25">
      <c r="A2492">
        <v>10210</v>
      </c>
      <c r="B2492">
        <v>21</v>
      </c>
      <c r="C2492">
        <v>78.55</v>
      </c>
      <c r="D2492">
        <v>12</v>
      </c>
      <c r="E2492">
        <v>1649.55</v>
      </c>
      <c r="F2492" s="1">
        <v>37998</v>
      </c>
      <c r="G2492" t="s">
        <v>25</v>
      </c>
      <c r="H2492">
        <v>1</v>
      </c>
      <c r="I2492">
        <v>1</v>
      </c>
      <c r="J2492">
        <v>2004</v>
      </c>
      <c r="K2492" t="s">
        <v>566</v>
      </c>
      <c r="L2492">
        <v>91</v>
      </c>
      <c r="M2492" t="s">
        <v>662</v>
      </c>
      <c r="N2492" t="s">
        <v>302</v>
      </c>
      <c r="O2492" t="s">
        <v>303</v>
      </c>
      <c r="P2492" t="s">
        <v>304</v>
      </c>
      <c r="R2492" t="s">
        <v>305</v>
      </c>
      <c r="S2492" t="s">
        <v>305</v>
      </c>
      <c r="T2492" t="s">
        <v>306</v>
      </c>
      <c r="U2492" t="s">
        <v>200</v>
      </c>
      <c r="V2492" t="s">
        <v>200</v>
      </c>
      <c r="W2492" t="s">
        <v>307</v>
      </c>
      <c r="X2492" t="s">
        <v>308</v>
      </c>
      <c r="Y2492" t="s">
        <v>36</v>
      </c>
    </row>
    <row r="2493" spans="1:25" x14ac:dyDescent="0.25">
      <c r="A2493">
        <v>10223</v>
      </c>
      <c r="B2493">
        <v>25</v>
      </c>
      <c r="C2493">
        <v>100</v>
      </c>
      <c r="D2493">
        <v>14</v>
      </c>
      <c r="E2493">
        <v>2534.75</v>
      </c>
      <c r="F2493" s="1">
        <v>38037</v>
      </c>
      <c r="G2493" t="s">
        <v>25</v>
      </c>
      <c r="H2493">
        <v>1</v>
      </c>
      <c r="I2493">
        <v>2</v>
      </c>
      <c r="J2493">
        <v>2004</v>
      </c>
      <c r="K2493" t="s">
        <v>566</v>
      </c>
      <c r="L2493">
        <v>91</v>
      </c>
      <c r="M2493" t="s">
        <v>662</v>
      </c>
      <c r="N2493" t="s">
        <v>89</v>
      </c>
      <c r="O2493" t="s">
        <v>90</v>
      </c>
      <c r="P2493" t="s">
        <v>91</v>
      </c>
      <c r="Q2493" t="s">
        <v>92</v>
      </c>
      <c r="R2493" t="s">
        <v>93</v>
      </c>
      <c r="S2493" t="s">
        <v>94</v>
      </c>
      <c r="T2493">
        <v>3004</v>
      </c>
      <c r="U2493" t="s">
        <v>95</v>
      </c>
      <c r="V2493" t="s">
        <v>96</v>
      </c>
      <c r="W2493" t="s">
        <v>97</v>
      </c>
      <c r="X2493" t="s">
        <v>98</v>
      </c>
      <c r="Y2493" t="s">
        <v>36</v>
      </c>
    </row>
    <row r="2494" spans="1:25" x14ac:dyDescent="0.25">
      <c r="A2494">
        <v>10235</v>
      </c>
      <c r="B2494">
        <v>25</v>
      </c>
      <c r="C2494">
        <v>100</v>
      </c>
      <c r="D2494">
        <v>8</v>
      </c>
      <c r="E2494">
        <v>2580.25</v>
      </c>
      <c r="F2494" s="1">
        <v>38079</v>
      </c>
      <c r="G2494" t="s">
        <v>25</v>
      </c>
      <c r="H2494">
        <v>2</v>
      </c>
      <c r="I2494">
        <v>4</v>
      </c>
      <c r="J2494">
        <v>2004</v>
      </c>
      <c r="K2494" t="s">
        <v>566</v>
      </c>
      <c r="L2494">
        <v>91</v>
      </c>
      <c r="M2494" t="s">
        <v>662</v>
      </c>
      <c r="N2494" t="s">
        <v>373</v>
      </c>
      <c r="O2494" t="s">
        <v>374</v>
      </c>
      <c r="P2494" t="s">
        <v>375</v>
      </c>
      <c r="R2494" t="s">
        <v>376</v>
      </c>
      <c r="S2494" t="s">
        <v>229</v>
      </c>
      <c r="T2494" t="s">
        <v>377</v>
      </c>
      <c r="U2494" t="s">
        <v>231</v>
      </c>
      <c r="V2494" t="s">
        <v>33</v>
      </c>
      <c r="W2494" t="s">
        <v>378</v>
      </c>
      <c r="X2494" t="s">
        <v>172</v>
      </c>
      <c r="Y2494" t="s">
        <v>36</v>
      </c>
    </row>
    <row r="2495" spans="1:25" x14ac:dyDescent="0.25">
      <c r="A2495">
        <v>10250</v>
      </c>
      <c r="B2495">
        <v>31</v>
      </c>
      <c r="C2495">
        <v>91.34</v>
      </c>
      <c r="D2495">
        <v>9</v>
      </c>
      <c r="E2495">
        <v>2831.54</v>
      </c>
      <c r="F2495" s="1">
        <v>38118</v>
      </c>
      <c r="G2495" t="s">
        <v>25</v>
      </c>
      <c r="H2495">
        <v>2</v>
      </c>
      <c r="I2495">
        <v>5</v>
      </c>
      <c r="J2495">
        <v>2004</v>
      </c>
      <c r="K2495" t="s">
        <v>566</v>
      </c>
      <c r="L2495">
        <v>91</v>
      </c>
      <c r="M2495" t="s">
        <v>662</v>
      </c>
      <c r="N2495" t="s">
        <v>397</v>
      </c>
      <c r="O2495">
        <v>4085553659</v>
      </c>
      <c r="P2495" t="s">
        <v>398</v>
      </c>
      <c r="R2495" t="s">
        <v>399</v>
      </c>
      <c r="S2495" t="s">
        <v>55</v>
      </c>
      <c r="T2495">
        <v>94217</v>
      </c>
      <c r="U2495" t="s">
        <v>32</v>
      </c>
      <c r="V2495" t="s">
        <v>33</v>
      </c>
      <c r="W2495" t="s">
        <v>102</v>
      </c>
      <c r="X2495" t="s">
        <v>400</v>
      </c>
      <c r="Y2495" t="s">
        <v>36</v>
      </c>
    </row>
    <row r="2496" spans="1:25" x14ac:dyDescent="0.25">
      <c r="A2496">
        <v>10262</v>
      </c>
      <c r="B2496">
        <v>40</v>
      </c>
      <c r="C2496">
        <v>84.03</v>
      </c>
      <c r="D2496">
        <v>4</v>
      </c>
      <c r="E2496">
        <v>3361.2</v>
      </c>
      <c r="F2496" s="1">
        <v>38162</v>
      </c>
      <c r="G2496" t="s">
        <v>339</v>
      </c>
      <c r="H2496">
        <v>2</v>
      </c>
      <c r="I2496">
        <v>6</v>
      </c>
      <c r="J2496">
        <v>2004</v>
      </c>
      <c r="K2496" t="s">
        <v>566</v>
      </c>
      <c r="L2496">
        <v>91</v>
      </c>
      <c r="M2496" t="s">
        <v>662</v>
      </c>
      <c r="N2496" t="s">
        <v>174</v>
      </c>
      <c r="O2496" t="s">
        <v>175</v>
      </c>
      <c r="P2496" t="s">
        <v>176</v>
      </c>
      <c r="R2496" t="s">
        <v>177</v>
      </c>
      <c r="T2496">
        <v>28034</v>
      </c>
      <c r="U2496" t="s">
        <v>178</v>
      </c>
      <c r="V2496" t="s">
        <v>42</v>
      </c>
      <c r="W2496" t="s">
        <v>179</v>
      </c>
      <c r="X2496" t="s">
        <v>180</v>
      </c>
      <c r="Y2496" t="s">
        <v>51</v>
      </c>
    </row>
    <row r="2497" spans="1:25" x14ac:dyDescent="0.25">
      <c r="A2497">
        <v>10275</v>
      </c>
      <c r="B2497">
        <v>32</v>
      </c>
      <c r="C2497">
        <v>89.51</v>
      </c>
      <c r="D2497">
        <v>14</v>
      </c>
      <c r="E2497">
        <v>2864.32</v>
      </c>
      <c r="F2497" s="1">
        <v>38191</v>
      </c>
      <c r="G2497" t="s">
        <v>25</v>
      </c>
      <c r="H2497">
        <v>3</v>
      </c>
      <c r="I2497">
        <v>7</v>
      </c>
      <c r="J2497">
        <v>2004</v>
      </c>
      <c r="K2497" t="s">
        <v>566</v>
      </c>
      <c r="L2497">
        <v>91</v>
      </c>
      <c r="M2497" t="s">
        <v>662</v>
      </c>
      <c r="N2497" t="s">
        <v>114</v>
      </c>
      <c r="O2497" t="s">
        <v>115</v>
      </c>
      <c r="P2497" t="s">
        <v>116</v>
      </c>
      <c r="R2497" t="s">
        <v>117</v>
      </c>
      <c r="T2497">
        <v>44000</v>
      </c>
      <c r="U2497" t="s">
        <v>41</v>
      </c>
      <c r="V2497" t="s">
        <v>42</v>
      </c>
      <c r="W2497" t="s">
        <v>118</v>
      </c>
      <c r="X2497" t="s">
        <v>119</v>
      </c>
      <c r="Y2497" t="s">
        <v>36</v>
      </c>
    </row>
    <row r="2498" spans="1:25" x14ac:dyDescent="0.25">
      <c r="A2498">
        <v>10284</v>
      </c>
      <c r="B2498">
        <v>24</v>
      </c>
      <c r="C2498">
        <v>83.12</v>
      </c>
      <c r="D2498">
        <v>6</v>
      </c>
      <c r="E2498">
        <v>1994.88</v>
      </c>
      <c r="F2498" s="1">
        <v>38220</v>
      </c>
      <c r="G2498" t="s">
        <v>25</v>
      </c>
      <c r="H2498">
        <v>3</v>
      </c>
      <c r="I2498">
        <v>8</v>
      </c>
      <c r="J2498">
        <v>2004</v>
      </c>
      <c r="K2498" t="s">
        <v>566</v>
      </c>
      <c r="L2498">
        <v>91</v>
      </c>
      <c r="M2498" t="s">
        <v>662</v>
      </c>
      <c r="N2498" t="s">
        <v>543</v>
      </c>
      <c r="O2498" t="s">
        <v>544</v>
      </c>
      <c r="P2498" t="s">
        <v>545</v>
      </c>
      <c r="R2498" t="s">
        <v>546</v>
      </c>
      <c r="T2498" t="s">
        <v>547</v>
      </c>
      <c r="U2498" t="s">
        <v>78</v>
      </c>
      <c r="V2498" t="s">
        <v>42</v>
      </c>
      <c r="W2498" t="s">
        <v>548</v>
      </c>
      <c r="X2498" t="s">
        <v>549</v>
      </c>
      <c r="Y2498" t="s">
        <v>36</v>
      </c>
    </row>
    <row r="2499" spans="1:25" x14ac:dyDescent="0.25">
      <c r="A2499">
        <v>10296</v>
      </c>
      <c r="B2499">
        <v>42</v>
      </c>
      <c r="C2499">
        <v>100</v>
      </c>
      <c r="D2499">
        <v>2</v>
      </c>
      <c r="E2499">
        <v>4296.6000000000004</v>
      </c>
      <c r="F2499" s="1">
        <v>38245</v>
      </c>
      <c r="G2499" t="s">
        <v>25</v>
      </c>
      <c r="H2499">
        <v>3</v>
      </c>
      <c r="I2499">
        <v>9</v>
      </c>
      <c r="J2499">
        <v>2004</v>
      </c>
      <c r="K2499" t="s">
        <v>566</v>
      </c>
      <c r="L2499">
        <v>91</v>
      </c>
      <c r="M2499" t="s">
        <v>662</v>
      </c>
      <c r="N2499" t="s">
        <v>572</v>
      </c>
      <c r="O2499" t="s">
        <v>573</v>
      </c>
      <c r="P2499" t="s">
        <v>574</v>
      </c>
      <c r="R2499" t="s">
        <v>575</v>
      </c>
      <c r="T2499">
        <v>80686</v>
      </c>
      <c r="U2499" t="s">
        <v>443</v>
      </c>
      <c r="V2499" t="s">
        <v>42</v>
      </c>
      <c r="W2499" t="s">
        <v>576</v>
      </c>
      <c r="X2499" t="s">
        <v>103</v>
      </c>
      <c r="Y2499" t="s">
        <v>51</v>
      </c>
    </row>
    <row r="2500" spans="1:25" x14ac:dyDescent="0.25">
      <c r="A2500">
        <v>10308</v>
      </c>
      <c r="B2500">
        <v>21</v>
      </c>
      <c r="C2500">
        <v>100</v>
      </c>
      <c r="D2500">
        <v>12</v>
      </c>
      <c r="E2500">
        <v>2224.9499999999998</v>
      </c>
      <c r="F2500" s="1">
        <v>38275</v>
      </c>
      <c r="G2500" t="s">
        <v>25</v>
      </c>
      <c r="H2500">
        <v>4</v>
      </c>
      <c r="I2500">
        <v>10</v>
      </c>
      <c r="J2500">
        <v>2004</v>
      </c>
      <c r="K2500" t="s">
        <v>566</v>
      </c>
      <c r="L2500">
        <v>91</v>
      </c>
      <c r="M2500" t="s">
        <v>662</v>
      </c>
      <c r="N2500" t="s">
        <v>317</v>
      </c>
      <c r="O2500">
        <v>9145554562</v>
      </c>
      <c r="P2500" t="s">
        <v>318</v>
      </c>
      <c r="R2500" t="s">
        <v>319</v>
      </c>
      <c r="S2500" t="s">
        <v>31</v>
      </c>
      <c r="T2500">
        <v>24067</v>
      </c>
      <c r="U2500" t="s">
        <v>32</v>
      </c>
      <c r="V2500" t="s">
        <v>33</v>
      </c>
      <c r="W2500" t="s">
        <v>102</v>
      </c>
      <c r="X2500" t="s">
        <v>238</v>
      </c>
      <c r="Y2500" t="s">
        <v>36</v>
      </c>
    </row>
    <row r="2501" spans="1:25" x14ac:dyDescent="0.25">
      <c r="A2501">
        <v>10316</v>
      </c>
      <c r="B2501">
        <v>34</v>
      </c>
      <c r="C2501">
        <v>82.21</v>
      </c>
      <c r="D2501">
        <v>4</v>
      </c>
      <c r="E2501">
        <v>2795.14</v>
      </c>
      <c r="F2501" s="1">
        <v>38292</v>
      </c>
      <c r="G2501" t="s">
        <v>25</v>
      </c>
      <c r="H2501">
        <v>4</v>
      </c>
      <c r="I2501">
        <v>11</v>
      </c>
      <c r="J2501">
        <v>2004</v>
      </c>
      <c r="K2501" t="s">
        <v>566</v>
      </c>
      <c r="L2501">
        <v>91</v>
      </c>
      <c r="M2501" t="s">
        <v>662</v>
      </c>
      <c r="N2501" t="s">
        <v>383</v>
      </c>
      <c r="O2501" t="s">
        <v>384</v>
      </c>
      <c r="P2501" t="s">
        <v>385</v>
      </c>
      <c r="R2501" t="s">
        <v>386</v>
      </c>
      <c r="S2501" t="s">
        <v>387</v>
      </c>
      <c r="T2501" t="s">
        <v>388</v>
      </c>
      <c r="U2501" t="s">
        <v>170</v>
      </c>
      <c r="V2501" t="s">
        <v>42</v>
      </c>
      <c r="W2501" t="s">
        <v>389</v>
      </c>
      <c r="X2501" t="s">
        <v>390</v>
      </c>
      <c r="Y2501" t="s">
        <v>36</v>
      </c>
    </row>
    <row r="2502" spans="1:25" x14ac:dyDescent="0.25">
      <c r="A2502">
        <v>10328</v>
      </c>
      <c r="B2502">
        <v>27</v>
      </c>
      <c r="C2502">
        <v>100</v>
      </c>
      <c r="D2502">
        <v>8</v>
      </c>
      <c r="E2502">
        <v>2762.1</v>
      </c>
      <c r="F2502" s="1">
        <v>38303</v>
      </c>
      <c r="G2502" t="s">
        <v>25</v>
      </c>
      <c r="H2502">
        <v>4</v>
      </c>
      <c r="I2502">
        <v>11</v>
      </c>
      <c r="J2502">
        <v>2004</v>
      </c>
      <c r="K2502" t="s">
        <v>566</v>
      </c>
      <c r="L2502">
        <v>91</v>
      </c>
      <c r="M2502" t="s">
        <v>662</v>
      </c>
      <c r="N2502" t="s">
        <v>552</v>
      </c>
      <c r="O2502" t="s">
        <v>553</v>
      </c>
      <c r="P2502" t="s">
        <v>554</v>
      </c>
      <c r="R2502" t="s">
        <v>555</v>
      </c>
      <c r="T2502">
        <v>24100</v>
      </c>
      <c r="U2502" t="s">
        <v>258</v>
      </c>
      <c r="V2502" t="s">
        <v>42</v>
      </c>
      <c r="W2502" t="s">
        <v>556</v>
      </c>
      <c r="X2502" t="s">
        <v>557</v>
      </c>
      <c r="Y2502" t="s">
        <v>36</v>
      </c>
    </row>
    <row r="2503" spans="1:25" x14ac:dyDescent="0.25">
      <c r="A2503">
        <v>10340</v>
      </c>
      <c r="B2503">
        <v>30</v>
      </c>
      <c r="C2503">
        <v>88.6</v>
      </c>
      <c r="D2503">
        <v>5</v>
      </c>
      <c r="E2503">
        <v>2658</v>
      </c>
      <c r="F2503" s="1">
        <v>38315</v>
      </c>
      <c r="G2503" t="s">
        <v>25</v>
      </c>
      <c r="H2503">
        <v>4</v>
      </c>
      <c r="I2503">
        <v>11</v>
      </c>
      <c r="J2503">
        <v>2004</v>
      </c>
      <c r="K2503" t="s">
        <v>566</v>
      </c>
      <c r="L2503">
        <v>91</v>
      </c>
      <c r="M2503" t="s">
        <v>662</v>
      </c>
      <c r="N2503" t="s">
        <v>352</v>
      </c>
      <c r="O2503" t="s">
        <v>353</v>
      </c>
      <c r="P2503" t="s">
        <v>354</v>
      </c>
      <c r="R2503" t="s">
        <v>355</v>
      </c>
      <c r="T2503">
        <v>8022</v>
      </c>
      <c r="U2503" t="s">
        <v>178</v>
      </c>
      <c r="V2503" t="s">
        <v>42</v>
      </c>
      <c r="W2503" t="s">
        <v>356</v>
      </c>
      <c r="X2503" t="s">
        <v>357</v>
      </c>
      <c r="Y2503" t="s">
        <v>36</v>
      </c>
    </row>
    <row r="2504" spans="1:25" x14ac:dyDescent="0.25">
      <c r="A2504">
        <v>10353</v>
      </c>
      <c r="B2504">
        <v>39</v>
      </c>
      <c r="C2504">
        <v>100</v>
      </c>
      <c r="D2504">
        <v>9</v>
      </c>
      <c r="E2504">
        <v>5043.87</v>
      </c>
      <c r="F2504" s="1">
        <v>38325</v>
      </c>
      <c r="G2504" t="s">
        <v>25</v>
      </c>
      <c r="H2504">
        <v>4</v>
      </c>
      <c r="I2504">
        <v>12</v>
      </c>
      <c r="J2504">
        <v>2004</v>
      </c>
      <c r="K2504" t="s">
        <v>566</v>
      </c>
      <c r="L2504">
        <v>91</v>
      </c>
      <c r="M2504" t="s">
        <v>662</v>
      </c>
      <c r="N2504" t="s">
        <v>568</v>
      </c>
      <c r="O2504">
        <v>2035554407</v>
      </c>
      <c r="P2504" t="s">
        <v>569</v>
      </c>
      <c r="R2504" t="s">
        <v>516</v>
      </c>
      <c r="S2504" t="s">
        <v>112</v>
      </c>
      <c r="T2504">
        <v>97561</v>
      </c>
      <c r="U2504" t="s">
        <v>32</v>
      </c>
      <c r="V2504" t="s">
        <v>33</v>
      </c>
      <c r="W2504" t="s">
        <v>570</v>
      </c>
      <c r="X2504" t="s">
        <v>571</v>
      </c>
      <c r="Y2504" t="s">
        <v>51</v>
      </c>
    </row>
    <row r="2505" spans="1:25" x14ac:dyDescent="0.25">
      <c r="A2505">
        <v>10361</v>
      </c>
      <c r="B2505">
        <v>20</v>
      </c>
      <c r="C2505">
        <v>60.54</v>
      </c>
      <c r="D2505">
        <v>4</v>
      </c>
      <c r="E2505">
        <v>1210.8</v>
      </c>
      <c r="F2505" s="1">
        <v>38338</v>
      </c>
      <c r="G2505" t="s">
        <v>25</v>
      </c>
      <c r="H2505">
        <v>4</v>
      </c>
      <c r="I2505">
        <v>12</v>
      </c>
      <c r="J2505">
        <v>2004</v>
      </c>
      <c r="K2505" t="s">
        <v>566</v>
      </c>
      <c r="L2505">
        <v>91</v>
      </c>
      <c r="M2505" t="s">
        <v>662</v>
      </c>
      <c r="N2505" t="s">
        <v>152</v>
      </c>
      <c r="O2505" t="s">
        <v>153</v>
      </c>
      <c r="P2505" t="s">
        <v>154</v>
      </c>
      <c r="Q2505" t="s">
        <v>155</v>
      </c>
      <c r="R2505" t="s">
        <v>156</v>
      </c>
      <c r="S2505" t="s">
        <v>157</v>
      </c>
      <c r="T2505">
        <v>2067</v>
      </c>
      <c r="U2505" t="s">
        <v>95</v>
      </c>
      <c r="V2505" t="s">
        <v>96</v>
      </c>
      <c r="W2505" t="s">
        <v>158</v>
      </c>
      <c r="X2505" t="s">
        <v>159</v>
      </c>
      <c r="Y2505" t="s">
        <v>36</v>
      </c>
    </row>
    <row r="2506" spans="1:25" x14ac:dyDescent="0.25">
      <c r="A2506">
        <v>10375</v>
      </c>
      <c r="B2506">
        <v>37</v>
      </c>
      <c r="C2506">
        <v>81.87</v>
      </c>
      <c r="D2506">
        <v>6</v>
      </c>
      <c r="E2506">
        <v>3029.19</v>
      </c>
      <c r="F2506" s="1">
        <v>38386</v>
      </c>
      <c r="G2506" t="s">
        <v>25</v>
      </c>
      <c r="H2506">
        <v>1</v>
      </c>
      <c r="I2506">
        <v>2</v>
      </c>
      <c r="J2506">
        <v>2005</v>
      </c>
      <c r="K2506" t="s">
        <v>566</v>
      </c>
      <c r="L2506">
        <v>91</v>
      </c>
      <c r="M2506" t="s">
        <v>662</v>
      </c>
      <c r="N2506" t="s">
        <v>114</v>
      </c>
      <c r="O2506" t="s">
        <v>115</v>
      </c>
      <c r="P2506" t="s">
        <v>116</v>
      </c>
      <c r="R2506" t="s">
        <v>117</v>
      </c>
      <c r="T2506">
        <v>44000</v>
      </c>
      <c r="U2506" t="s">
        <v>41</v>
      </c>
      <c r="V2506" t="s">
        <v>42</v>
      </c>
      <c r="W2506" t="s">
        <v>118</v>
      </c>
      <c r="X2506" t="s">
        <v>119</v>
      </c>
      <c r="Y2506" t="s">
        <v>51</v>
      </c>
    </row>
    <row r="2507" spans="1:25" x14ac:dyDescent="0.25">
      <c r="A2507">
        <v>10388</v>
      </c>
      <c r="B2507">
        <v>46</v>
      </c>
      <c r="C2507">
        <v>100</v>
      </c>
      <c r="D2507">
        <v>2</v>
      </c>
      <c r="E2507">
        <v>10066.6</v>
      </c>
      <c r="F2507" s="1">
        <v>38414</v>
      </c>
      <c r="G2507" t="s">
        <v>25</v>
      </c>
      <c r="H2507">
        <v>1</v>
      </c>
      <c r="I2507">
        <v>3</v>
      </c>
      <c r="J2507">
        <v>2005</v>
      </c>
      <c r="K2507" t="s">
        <v>566</v>
      </c>
      <c r="L2507">
        <v>91</v>
      </c>
      <c r="M2507" t="s">
        <v>662</v>
      </c>
      <c r="N2507" t="s">
        <v>160</v>
      </c>
      <c r="O2507">
        <v>5085552555</v>
      </c>
      <c r="P2507" t="s">
        <v>161</v>
      </c>
      <c r="R2507" t="s">
        <v>162</v>
      </c>
      <c r="S2507" t="s">
        <v>123</v>
      </c>
      <c r="T2507">
        <v>50553</v>
      </c>
      <c r="U2507" t="s">
        <v>32</v>
      </c>
      <c r="V2507" t="s">
        <v>33</v>
      </c>
      <c r="W2507" t="s">
        <v>163</v>
      </c>
      <c r="X2507" t="s">
        <v>164</v>
      </c>
      <c r="Y2507" t="s">
        <v>151</v>
      </c>
    </row>
    <row r="2508" spans="1:25" x14ac:dyDescent="0.25">
      <c r="A2508">
        <v>10398</v>
      </c>
      <c r="B2508">
        <v>47</v>
      </c>
      <c r="C2508">
        <v>87.69</v>
      </c>
      <c r="D2508">
        <v>6</v>
      </c>
      <c r="E2508">
        <v>4121.43</v>
      </c>
      <c r="F2508" s="1">
        <v>38441</v>
      </c>
      <c r="G2508" t="s">
        <v>25</v>
      </c>
      <c r="H2508">
        <v>1</v>
      </c>
      <c r="I2508">
        <v>3</v>
      </c>
      <c r="J2508">
        <v>2005</v>
      </c>
      <c r="K2508" t="s">
        <v>566</v>
      </c>
      <c r="L2508">
        <v>91</v>
      </c>
      <c r="M2508" t="s">
        <v>662</v>
      </c>
      <c r="N2508" t="s">
        <v>37</v>
      </c>
      <c r="O2508" t="s">
        <v>38</v>
      </c>
      <c r="P2508" t="s">
        <v>39</v>
      </c>
      <c r="R2508" t="s">
        <v>40</v>
      </c>
      <c r="T2508">
        <v>51100</v>
      </c>
      <c r="U2508" t="s">
        <v>41</v>
      </c>
      <c r="V2508" t="s">
        <v>42</v>
      </c>
      <c r="W2508" t="s">
        <v>43</v>
      </c>
      <c r="X2508" t="s">
        <v>44</v>
      </c>
      <c r="Y2508" t="s">
        <v>51</v>
      </c>
    </row>
    <row r="2509" spans="1:25" x14ac:dyDescent="0.25">
      <c r="A2509">
        <v>10401</v>
      </c>
      <c r="B2509">
        <v>11</v>
      </c>
      <c r="C2509">
        <v>100</v>
      </c>
      <c r="D2509">
        <v>8</v>
      </c>
      <c r="E2509">
        <v>1135.31</v>
      </c>
      <c r="F2509" s="1">
        <v>38445</v>
      </c>
      <c r="G2509" t="s">
        <v>401</v>
      </c>
      <c r="H2509">
        <v>2</v>
      </c>
      <c r="I2509">
        <v>4</v>
      </c>
      <c r="J2509">
        <v>2005</v>
      </c>
      <c r="K2509" t="s">
        <v>566</v>
      </c>
      <c r="L2509">
        <v>91</v>
      </c>
      <c r="M2509" t="s">
        <v>662</v>
      </c>
      <c r="N2509" t="s">
        <v>104</v>
      </c>
      <c r="O2509">
        <v>2015559350</v>
      </c>
      <c r="P2509" t="s">
        <v>105</v>
      </c>
      <c r="R2509" t="s">
        <v>106</v>
      </c>
      <c r="S2509" t="s">
        <v>107</v>
      </c>
      <c r="T2509">
        <v>94019</v>
      </c>
      <c r="U2509" t="s">
        <v>32</v>
      </c>
      <c r="V2509" t="s">
        <v>33</v>
      </c>
      <c r="W2509" t="s">
        <v>61</v>
      </c>
      <c r="X2509" t="s">
        <v>108</v>
      </c>
      <c r="Y2509" t="s">
        <v>36</v>
      </c>
    </row>
    <row r="2510" spans="1:25" x14ac:dyDescent="0.25">
      <c r="A2510">
        <v>10416</v>
      </c>
      <c r="B2510">
        <v>23</v>
      </c>
      <c r="C2510">
        <v>91.34</v>
      </c>
      <c r="D2510">
        <v>9</v>
      </c>
      <c r="E2510">
        <v>2100.8200000000002</v>
      </c>
      <c r="F2510" s="1">
        <v>38482</v>
      </c>
      <c r="G2510" t="s">
        <v>25</v>
      </c>
      <c r="H2510">
        <v>2</v>
      </c>
      <c r="I2510">
        <v>5</v>
      </c>
      <c r="J2510">
        <v>2005</v>
      </c>
      <c r="K2510" t="s">
        <v>566</v>
      </c>
      <c r="L2510">
        <v>91</v>
      </c>
      <c r="M2510" t="s">
        <v>662</v>
      </c>
      <c r="N2510" t="s">
        <v>452</v>
      </c>
      <c r="O2510" t="s">
        <v>453</v>
      </c>
      <c r="P2510" t="s">
        <v>454</v>
      </c>
      <c r="R2510" t="s">
        <v>455</v>
      </c>
      <c r="T2510">
        <v>42100</v>
      </c>
      <c r="U2510" t="s">
        <v>258</v>
      </c>
      <c r="V2510" t="s">
        <v>42</v>
      </c>
      <c r="W2510" t="s">
        <v>456</v>
      </c>
      <c r="X2510" t="s">
        <v>457</v>
      </c>
      <c r="Y2510" t="s">
        <v>36</v>
      </c>
    </row>
    <row r="2511" spans="1:25" x14ac:dyDescent="0.25">
      <c r="A2511">
        <v>10105</v>
      </c>
      <c r="B2511">
        <v>29</v>
      </c>
      <c r="C2511">
        <v>70.150000000000006</v>
      </c>
      <c r="D2511">
        <v>12</v>
      </c>
      <c r="E2511">
        <v>2034.35</v>
      </c>
      <c r="F2511" s="1">
        <v>37663</v>
      </c>
      <c r="G2511" t="s">
        <v>25</v>
      </c>
      <c r="H2511">
        <v>1</v>
      </c>
      <c r="I2511">
        <v>2</v>
      </c>
      <c r="J2511">
        <v>2003</v>
      </c>
      <c r="K2511" t="s">
        <v>598</v>
      </c>
      <c r="L2511">
        <v>86</v>
      </c>
      <c r="M2511" t="s">
        <v>663</v>
      </c>
      <c r="N2511" t="s">
        <v>322</v>
      </c>
      <c r="O2511" t="s">
        <v>323</v>
      </c>
      <c r="P2511" t="s">
        <v>324</v>
      </c>
      <c r="R2511" t="s">
        <v>325</v>
      </c>
      <c r="T2511">
        <v>1734</v>
      </c>
      <c r="U2511" t="s">
        <v>326</v>
      </c>
      <c r="V2511" t="s">
        <v>42</v>
      </c>
      <c r="W2511" t="s">
        <v>327</v>
      </c>
      <c r="X2511" t="s">
        <v>328</v>
      </c>
      <c r="Y2511" t="s">
        <v>36</v>
      </c>
    </row>
    <row r="2512" spans="1:25" x14ac:dyDescent="0.25">
      <c r="A2512">
        <v>10117</v>
      </c>
      <c r="B2512">
        <v>38</v>
      </c>
      <c r="C2512">
        <v>79.680000000000007</v>
      </c>
      <c r="D2512">
        <v>6</v>
      </c>
      <c r="E2512">
        <v>3027.84</v>
      </c>
      <c r="F2512" s="1">
        <v>37727</v>
      </c>
      <c r="G2512" t="s">
        <v>25</v>
      </c>
      <c r="H2512">
        <v>2</v>
      </c>
      <c r="I2512">
        <v>4</v>
      </c>
      <c r="J2512">
        <v>2003</v>
      </c>
      <c r="K2512" t="s">
        <v>598</v>
      </c>
      <c r="L2512">
        <v>86</v>
      </c>
      <c r="M2512" t="s">
        <v>663</v>
      </c>
      <c r="N2512" t="s">
        <v>196</v>
      </c>
      <c r="O2512" t="s">
        <v>197</v>
      </c>
      <c r="P2512" t="s">
        <v>198</v>
      </c>
      <c r="R2512" t="s">
        <v>199</v>
      </c>
      <c r="T2512">
        <v>79903</v>
      </c>
      <c r="U2512" t="s">
        <v>199</v>
      </c>
      <c r="V2512" t="s">
        <v>200</v>
      </c>
      <c r="W2512" t="s">
        <v>201</v>
      </c>
      <c r="X2512" t="s">
        <v>202</v>
      </c>
      <c r="Y2512" t="s">
        <v>51</v>
      </c>
    </row>
    <row r="2513" spans="1:25" x14ac:dyDescent="0.25">
      <c r="A2513">
        <v>10128</v>
      </c>
      <c r="B2513">
        <v>32</v>
      </c>
      <c r="C2513">
        <v>97</v>
      </c>
      <c r="D2513">
        <v>3</v>
      </c>
      <c r="E2513">
        <v>3104</v>
      </c>
      <c r="F2513" s="1">
        <v>37778</v>
      </c>
      <c r="G2513" t="s">
        <v>25</v>
      </c>
      <c r="H2513">
        <v>2</v>
      </c>
      <c r="I2513">
        <v>6</v>
      </c>
      <c r="J2513">
        <v>2003</v>
      </c>
      <c r="K2513" t="s">
        <v>598</v>
      </c>
      <c r="L2513">
        <v>86</v>
      </c>
      <c r="M2513" t="s">
        <v>663</v>
      </c>
      <c r="N2513" t="s">
        <v>174</v>
      </c>
      <c r="O2513" t="s">
        <v>175</v>
      </c>
      <c r="P2513" t="s">
        <v>176</v>
      </c>
      <c r="R2513" t="s">
        <v>177</v>
      </c>
      <c r="T2513">
        <v>28034</v>
      </c>
      <c r="U2513" t="s">
        <v>178</v>
      </c>
      <c r="V2513" t="s">
        <v>42</v>
      </c>
      <c r="W2513" t="s">
        <v>179</v>
      </c>
      <c r="X2513" t="s">
        <v>180</v>
      </c>
      <c r="Y2513" t="s">
        <v>51</v>
      </c>
    </row>
    <row r="2514" spans="1:25" x14ac:dyDescent="0.25">
      <c r="A2514">
        <v>10142</v>
      </c>
      <c r="B2514">
        <v>43</v>
      </c>
      <c r="C2514">
        <v>84.01</v>
      </c>
      <c r="D2514">
        <v>9</v>
      </c>
      <c r="E2514">
        <v>3612.43</v>
      </c>
      <c r="F2514" s="1">
        <v>37841</v>
      </c>
      <c r="G2514" t="s">
        <v>25</v>
      </c>
      <c r="H2514">
        <v>3</v>
      </c>
      <c r="I2514">
        <v>8</v>
      </c>
      <c r="J2514">
        <v>2003</v>
      </c>
      <c r="K2514" t="s">
        <v>598</v>
      </c>
      <c r="L2514">
        <v>86</v>
      </c>
      <c r="M2514" t="s">
        <v>663</v>
      </c>
      <c r="N2514" t="s">
        <v>272</v>
      </c>
      <c r="O2514">
        <v>4155551450</v>
      </c>
      <c r="P2514" t="s">
        <v>273</v>
      </c>
      <c r="R2514" t="s">
        <v>274</v>
      </c>
      <c r="S2514" t="s">
        <v>55</v>
      </c>
      <c r="T2514">
        <v>97562</v>
      </c>
      <c r="U2514" t="s">
        <v>32</v>
      </c>
      <c r="V2514" t="s">
        <v>33</v>
      </c>
      <c r="W2514" t="s">
        <v>275</v>
      </c>
      <c r="X2514" t="s">
        <v>276</v>
      </c>
      <c r="Y2514" t="s">
        <v>51</v>
      </c>
    </row>
    <row r="2515" spans="1:25" x14ac:dyDescent="0.25">
      <c r="A2515">
        <v>10153</v>
      </c>
      <c r="B2515">
        <v>31</v>
      </c>
      <c r="C2515">
        <v>87.48</v>
      </c>
      <c r="D2515">
        <v>8</v>
      </c>
      <c r="E2515">
        <v>2711.88</v>
      </c>
      <c r="F2515" s="1">
        <v>37892</v>
      </c>
      <c r="G2515" t="s">
        <v>25</v>
      </c>
      <c r="H2515">
        <v>3</v>
      </c>
      <c r="I2515">
        <v>9</v>
      </c>
      <c r="J2515">
        <v>2003</v>
      </c>
      <c r="K2515" t="s">
        <v>598</v>
      </c>
      <c r="L2515">
        <v>86</v>
      </c>
      <c r="M2515" t="s">
        <v>663</v>
      </c>
      <c r="N2515" t="s">
        <v>174</v>
      </c>
      <c r="O2515" t="s">
        <v>175</v>
      </c>
      <c r="P2515" t="s">
        <v>176</v>
      </c>
      <c r="R2515" t="s">
        <v>177</v>
      </c>
      <c r="T2515">
        <v>28034</v>
      </c>
      <c r="U2515" t="s">
        <v>178</v>
      </c>
      <c r="V2515" t="s">
        <v>42</v>
      </c>
      <c r="W2515" t="s">
        <v>179</v>
      </c>
      <c r="X2515" t="s">
        <v>180</v>
      </c>
      <c r="Y2515" t="s">
        <v>36</v>
      </c>
    </row>
    <row r="2516" spans="1:25" x14ac:dyDescent="0.25">
      <c r="A2516">
        <v>10166</v>
      </c>
      <c r="B2516">
        <v>29</v>
      </c>
      <c r="C2516">
        <v>100</v>
      </c>
      <c r="D2516">
        <v>3</v>
      </c>
      <c r="E2516">
        <v>3013.97</v>
      </c>
      <c r="F2516" s="1">
        <v>37915</v>
      </c>
      <c r="G2516" t="s">
        <v>25</v>
      </c>
      <c r="H2516">
        <v>4</v>
      </c>
      <c r="I2516">
        <v>10</v>
      </c>
      <c r="J2516">
        <v>2003</v>
      </c>
      <c r="K2516" t="s">
        <v>598</v>
      </c>
      <c r="L2516">
        <v>86</v>
      </c>
      <c r="M2516" t="s">
        <v>663</v>
      </c>
      <c r="N2516" t="s">
        <v>160</v>
      </c>
      <c r="O2516">
        <v>5085552555</v>
      </c>
      <c r="P2516" t="s">
        <v>161</v>
      </c>
      <c r="R2516" t="s">
        <v>162</v>
      </c>
      <c r="S2516" t="s">
        <v>123</v>
      </c>
      <c r="T2516">
        <v>50553</v>
      </c>
      <c r="U2516" t="s">
        <v>32</v>
      </c>
      <c r="V2516" t="s">
        <v>33</v>
      </c>
      <c r="W2516" t="s">
        <v>163</v>
      </c>
      <c r="X2516" t="s">
        <v>164</v>
      </c>
      <c r="Y2516" t="s">
        <v>51</v>
      </c>
    </row>
    <row r="2517" spans="1:25" x14ac:dyDescent="0.25">
      <c r="A2517">
        <v>10177</v>
      </c>
      <c r="B2517">
        <v>31</v>
      </c>
      <c r="C2517">
        <v>88.34</v>
      </c>
      <c r="D2517">
        <v>10</v>
      </c>
      <c r="E2517">
        <v>2738.54</v>
      </c>
      <c r="F2517" s="1">
        <v>37932</v>
      </c>
      <c r="G2517" t="s">
        <v>25</v>
      </c>
      <c r="H2517">
        <v>4</v>
      </c>
      <c r="I2517">
        <v>11</v>
      </c>
      <c r="J2517">
        <v>2003</v>
      </c>
      <c r="K2517" t="s">
        <v>598</v>
      </c>
      <c r="L2517">
        <v>86</v>
      </c>
      <c r="M2517" t="s">
        <v>663</v>
      </c>
      <c r="N2517" t="s">
        <v>487</v>
      </c>
      <c r="O2517" t="s">
        <v>488</v>
      </c>
      <c r="P2517" t="s">
        <v>489</v>
      </c>
      <c r="R2517" t="s">
        <v>177</v>
      </c>
      <c r="T2517">
        <v>28023</v>
      </c>
      <c r="U2517" t="s">
        <v>178</v>
      </c>
      <c r="V2517" t="s">
        <v>42</v>
      </c>
      <c r="W2517" t="s">
        <v>490</v>
      </c>
      <c r="X2517" t="s">
        <v>491</v>
      </c>
      <c r="Y2517" t="s">
        <v>36</v>
      </c>
    </row>
    <row r="2518" spans="1:25" x14ac:dyDescent="0.25">
      <c r="A2518">
        <v>10185</v>
      </c>
      <c r="B2518">
        <v>30</v>
      </c>
      <c r="C2518">
        <v>94.4</v>
      </c>
      <c r="D2518">
        <v>10</v>
      </c>
      <c r="E2518">
        <v>2832</v>
      </c>
      <c r="F2518" s="1">
        <v>37939</v>
      </c>
      <c r="G2518" t="s">
        <v>25</v>
      </c>
      <c r="H2518">
        <v>4</v>
      </c>
      <c r="I2518">
        <v>11</v>
      </c>
      <c r="J2518">
        <v>2003</v>
      </c>
      <c r="K2518" t="s">
        <v>598</v>
      </c>
      <c r="L2518">
        <v>86</v>
      </c>
      <c r="M2518" t="s">
        <v>663</v>
      </c>
      <c r="N2518" t="s">
        <v>335</v>
      </c>
      <c r="O2518">
        <v>5085559555</v>
      </c>
      <c r="P2518" t="s">
        <v>336</v>
      </c>
      <c r="R2518" t="s">
        <v>162</v>
      </c>
      <c r="S2518" t="s">
        <v>123</v>
      </c>
      <c r="T2518">
        <v>50553</v>
      </c>
      <c r="U2518" t="s">
        <v>32</v>
      </c>
      <c r="V2518" t="s">
        <v>33</v>
      </c>
      <c r="W2518" t="s">
        <v>337</v>
      </c>
      <c r="X2518" t="s">
        <v>338</v>
      </c>
      <c r="Y2518" t="s">
        <v>36</v>
      </c>
    </row>
    <row r="2519" spans="1:25" x14ac:dyDescent="0.25">
      <c r="A2519">
        <v>10196</v>
      </c>
      <c r="B2519">
        <v>50</v>
      </c>
      <c r="C2519">
        <v>94.4</v>
      </c>
      <c r="D2519">
        <v>2</v>
      </c>
      <c r="E2519">
        <v>4720</v>
      </c>
      <c r="F2519" s="1">
        <v>37951</v>
      </c>
      <c r="G2519" t="s">
        <v>25</v>
      </c>
      <c r="H2519">
        <v>4</v>
      </c>
      <c r="I2519">
        <v>11</v>
      </c>
      <c r="J2519">
        <v>2003</v>
      </c>
      <c r="K2519" t="s">
        <v>598</v>
      </c>
      <c r="L2519">
        <v>86</v>
      </c>
      <c r="M2519" t="s">
        <v>663</v>
      </c>
      <c r="N2519" t="s">
        <v>242</v>
      </c>
      <c r="O2519">
        <v>2035559545</v>
      </c>
      <c r="P2519" t="s">
        <v>243</v>
      </c>
      <c r="R2519" t="s">
        <v>244</v>
      </c>
      <c r="S2519" t="s">
        <v>112</v>
      </c>
      <c r="T2519">
        <v>97823</v>
      </c>
      <c r="U2519" t="s">
        <v>32</v>
      </c>
      <c r="V2519" t="s">
        <v>33</v>
      </c>
      <c r="W2519" t="s">
        <v>83</v>
      </c>
      <c r="X2519" t="s">
        <v>245</v>
      </c>
      <c r="Y2519" t="s">
        <v>51</v>
      </c>
    </row>
    <row r="2520" spans="1:25" x14ac:dyDescent="0.25">
      <c r="A2520">
        <v>10208</v>
      </c>
      <c r="B2520">
        <v>40</v>
      </c>
      <c r="C2520">
        <v>80.55</v>
      </c>
      <c r="D2520">
        <v>10</v>
      </c>
      <c r="E2520">
        <v>3222</v>
      </c>
      <c r="F2520" s="1">
        <v>37988</v>
      </c>
      <c r="G2520" t="s">
        <v>25</v>
      </c>
      <c r="H2520">
        <v>1</v>
      </c>
      <c r="I2520">
        <v>1</v>
      </c>
      <c r="J2520">
        <v>2004</v>
      </c>
      <c r="K2520" t="s">
        <v>598</v>
      </c>
      <c r="L2520">
        <v>86</v>
      </c>
      <c r="M2520" t="s">
        <v>663</v>
      </c>
      <c r="N2520" t="s">
        <v>219</v>
      </c>
      <c r="O2520" t="s">
        <v>220</v>
      </c>
      <c r="P2520" t="s">
        <v>221</v>
      </c>
      <c r="R2520" t="s">
        <v>222</v>
      </c>
      <c r="T2520">
        <v>69004</v>
      </c>
      <c r="U2520" t="s">
        <v>41</v>
      </c>
      <c r="V2520" t="s">
        <v>42</v>
      </c>
      <c r="W2520" t="s">
        <v>223</v>
      </c>
      <c r="X2520" t="s">
        <v>224</v>
      </c>
      <c r="Y2520" t="s">
        <v>51</v>
      </c>
    </row>
    <row r="2521" spans="1:25" x14ac:dyDescent="0.25">
      <c r="A2521">
        <v>10221</v>
      </c>
      <c r="B2521">
        <v>23</v>
      </c>
      <c r="C2521">
        <v>97</v>
      </c>
      <c r="D2521">
        <v>4</v>
      </c>
      <c r="E2521">
        <v>2231</v>
      </c>
      <c r="F2521" s="1">
        <v>38035</v>
      </c>
      <c r="G2521" t="s">
        <v>25</v>
      </c>
      <c r="H2521">
        <v>1</v>
      </c>
      <c r="I2521">
        <v>2</v>
      </c>
      <c r="J2521">
        <v>2004</v>
      </c>
      <c r="K2521" t="s">
        <v>598</v>
      </c>
      <c r="L2521">
        <v>86</v>
      </c>
      <c r="M2521" t="s">
        <v>663</v>
      </c>
      <c r="N2521" t="s">
        <v>365</v>
      </c>
      <c r="O2521" t="s">
        <v>366</v>
      </c>
      <c r="P2521" t="s">
        <v>367</v>
      </c>
      <c r="R2521" t="s">
        <v>368</v>
      </c>
      <c r="T2521" t="s">
        <v>369</v>
      </c>
      <c r="U2521" t="s">
        <v>370</v>
      </c>
      <c r="V2521" t="s">
        <v>42</v>
      </c>
      <c r="W2521" t="s">
        <v>371</v>
      </c>
      <c r="X2521" t="s">
        <v>372</v>
      </c>
      <c r="Y2521" t="s">
        <v>36</v>
      </c>
    </row>
    <row r="2522" spans="1:25" x14ac:dyDescent="0.25">
      <c r="A2522">
        <v>10232</v>
      </c>
      <c r="B2522">
        <v>26</v>
      </c>
      <c r="C2522">
        <v>88.34</v>
      </c>
      <c r="D2522">
        <v>7</v>
      </c>
      <c r="E2522">
        <v>2296.84</v>
      </c>
      <c r="F2522" s="1">
        <v>38066</v>
      </c>
      <c r="G2522" t="s">
        <v>25</v>
      </c>
      <c r="H2522">
        <v>1</v>
      </c>
      <c r="I2522">
        <v>3</v>
      </c>
      <c r="J2522">
        <v>2004</v>
      </c>
      <c r="K2522" t="s">
        <v>598</v>
      </c>
      <c r="L2522">
        <v>86</v>
      </c>
      <c r="M2522" t="s">
        <v>663</v>
      </c>
      <c r="N2522" t="s">
        <v>383</v>
      </c>
      <c r="O2522" t="s">
        <v>384</v>
      </c>
      <c r="P2522" t="s">
        <v>385</v>
      </c>
      <c r="R2522" t="s">
        <v>386</v>
      </c>
      <c r="S2522" t="s">
        <v>387</v>
      </c>
      <c r="T2522" t="s">
        <v>388</v>
      </c>
      <c r="U2522" t="s">
        <v>170</v>
      </c>
      <c r="V2522" t="s">
        <v>42</v>
      </c>
      <c r="W2522" t="s">
        <v>389</v>
      </c>
      <c r="X2522" t="s">
        <v>390</v>
      </c>
      <c r="Y2522" t="s">
        <v>36</v>
      </c>
    </row>
    <row r="2523" spans="1:25" x14ac:dyDescent="0.25">
      <c r="A2523">
        <v>10248</v>
      </c>
      <c r="B2523">
        <v>40</v>
      </c>
      <c r="C2523">
        <v>100</v>
      </c>
      <c r="D2523">
        <v>13</v>
      </c>
      <c r="E2523">
        <v>4157.2</v>
      </c>
      <c r="F2523" s="1">
        <v>38114</v>
      </c>
      <c r="G2523" t="s">
        <v>339</v>
      </c>
      <c r="H2523">
        <v>2</v>
      </c>
      <c r="I2523">
        <v>5</v>
      </c>
      <c r="J2523">
        <v>2004</v>
      </c>
      <c r="K2523" t="s">
        <v>598</v>
      </c>
      <c r="L2523">
        <v>86</v>
      </c>
      <c r="M2523" t="s">
        <v>663</v>
      </c>
      <c r="N2523" t="s">
        <v>28</v>
      </c>
      <c r="O2523">
        <v>2125557818</v>
      </c>
      <c r="P2523" t="s">
        <v>29</v>
      </c>
      <c r="R2523" t="s">
        <v>30</v>
      </c>
      <c r="S2523" t="s">
        <v>31</v>
      </c>
      <c r="T2523">
        <v>10022</v>
      </c>
      <c r="U2523" t="s">
        <v>32</v>
      </c>
      <c r="V2523" t="s">
        <v>33</v>
      </c>
      <c r="W2523" t="s">
        <v>34</v>
      </c>
      <c r="X2523" t="s">
        <v>35</v>
      </c>
      <c r="Y2523" t="s">
        <v>51</v>
      </c>
    </row>
    <row r="2524" spans="1:25" x14ac:dyDescent="0.25">
      <c r="A2524">
        <v>10273</v>
      </c>
      <c r="B2524">
        <v>21</v>
      </c>
      <c r="C2524">
        <v>100</v>
      </c>
      <c r="D2524">
        <v>14</v>
      </c>
      <c r="E2524">
        <v>2146.1999999999998</v>
      </c>
      <c r="F2524" s="1">
        <v>38189</v>
      </c>
      <c r="G2524" t="s">
        <v>25</v>
      </c>
      <c r="H2524">
        <v>3</v>
      </c>
      <c r="I2524">
        <v>7</v>
      </c>
      <c r="J2524">
        <v>2004</v>
      </c>
      <c r="K2524" t="s">
        <v>598</v>
      </c>
      <c r="L2524">
        <v>86</v>
      </c>
      <c r="M2524" t="s">
        <v>663</v>
      </c>
      <c r="N2524" t="s">
        <v>365</v>
      </c>
      <c r="O2524" t="s">
        <v>366</v>
      </c>
      <c r="P2524" t="s">
        <v>367</v>
      </c>
      <c r="R2524" t="s">
        <v>368</v>
      </c>
      <c r="T2524" t="s">
        <v>369</v>
      </c>
      <c r="U2524" t="s">
        <v>370</v>
      </c>
      <c r="V2524" t="s">
        <v>42</v>
      </c>
      <c r="W2524" t="s">
        <v>371</v>
      </c>
      <c r="X2524" t="s">
        <v>372</v>
      </c>
      <c r="Y2524" t="s">
        <v>36</v>
      </c>
    </row>
    <row r="2525" spans="1:25" x14ac:dyDescent="0.25">
      <c r="A2525">
        <v>10282</v>
      </c>
      <c r="B2525">
        <v>43</v>
      </c>
      <c r="C2525">
        <v>86.61</v>
      </c>
      <c r="D2525">
        <v>2</v>
      </c>
      <c r="E2525">
        <v>3724.23</v>
      </c>
      <c r="F2525" s="1">
        <v>38219</v>
      </c>
      <c r="G2525" t="s">
        <v>25</v>
      </c>
      <c r="H2525">
        <v>3</v>
      </c>
      <c r="I2525">
        <v>8</v>
      </c>
      <c r="J2525">
        <v>2004</v>
      </c>
      <c r="K2525" t="s">
        <v>598</v>
      </c>
      <c r="L2525">
        <v>86</v>
      </c>
      <c r="M2525" t="s">
        <v>663</v>
      </c>
      <c r="N2525" t="s">
        <v>272</v>
      </c>
      <c r="O2525">
        <v>4155551450</v>
      </c>
      <c r="P2525" t="s">
        <v>273</v>
      </c>
      <c r="R2525" t="s">
        <v>274</v>
      </c>
      <c r="S2525" t="s">
        <v>55</v>
      </c>
      <c r="T2525">
        <v>97562</v>
      </c>
      <c r="U2525" t="s">
        <v>32</v>
      </c>
      <c r="V2525" t="s">
        <v>33</v>
      </c>
      <c r="W2525" t="s">
        <v>275</v>
      </c>
      <c r="X2525" t="s">
        <v>276</v>
      </c>
      <c r="Y2525" t="s">
        <v>51</v>
      </c>
    </row>
    <row r="2526" spans="1:25" x14ac:dyDescent="0.25">
      <c r="A2526">
        <v>10293</v>
      </c>
      <c r="B2526">
        <v>29</v>
      </c>
      <c r="C2526">
        <v>71.89</v>
      </c>
      <c r="D2526">
        <v>5</v>
      </c>
      <c r="E2526">
        <v>2084.81</v>
      </c>
      <c r="F2526" s="1">
        <v>38239</v>
      </c>
      <c r="G2526" t="s">
        <v>25</v>
      </c>
      <c r="H2526">
        <v>3</v>
      </c>
      <c r="I2526">
        <v>9</v>
      </c>
      <c r="J2526">
        <v>2004</v>
      </c>
      <c r="K2526" t="s">
        <v>598</v>
      </c>
      <c r="L2526">
        <v>86</v>
      </c>
      <c r="M2526" t="s">
        <v>663</v>
      </c>
      <c r="N2526" t="s">
        <v>254</v>
      </c>
      <c r="O2526" t="s">
        <v>255</v>
      </c>
      <c r="P2526" t="s">
        <v>256</v>
      </c>
      <c r="R2526" t="s">
        <v>257</v>
      </c>
      <c r="T2526">
        <v>10100</v>
      </c>
      <c r="U2526" t="s">
        <v>258</v>
      </c>
      <c r="V2526" t="s">
        <v>42</v>
      </c>
      <c r="W2526" t="s">
        <v>259</v>
      </c>
      <c r="X2526" t="s">
        <v>260</v>
      </c>
      <c r="Y2526" t="s">
        <v>36</v>
      </c>
    </row>
    <row r="2527" spans="1:25" x14ac:dyDescent="0.25">
      <c r="A2527">
        <v>10306</v>
      </c>
      <c r="B2527">
        <v>38</v>
      </c>
      <c r="C2527">
        <v>91.81</v>
      </c>
      <c r="D2527">
        <v>10</v>
      </c>
      <c r="E2527">
        <v>3488.78</v>
      </c>
      <c r="F2527" s="1">
        <v>38274</v>
      </c>
      <c r="G2527" t="s">
        <v>25</v>
      </c>
      <c r="H2527">
        <v>4</v>
      </c>
      <c r="I2527">
        <v>10</v>
      </c>
      <c r="J2527">
        <v>2004</v>
      </c>
      <c r="K2527" t="s">
        <v>598</v>
      </c>
      <c r="L2527">
        <v>86</v>
      </c>
      <c r="M2527" t="s">
        <v>663</v>
      </c>
      <c r="N2527" t="s">
        <v>492</v>
      </c>
      <c r="O2527" t="s">
        <v>493</v>
      </c>
      <c r="P2527" t="s">
        <v>494</v>
      </c>
      <c r="R2527" t="s">
        <v>495</v>
      </c>
      <c r="T2527" t="s">
        <v>496</v>
      </c>
      <c r="U2527" t="s">
        <v>170</v>
      </c>
      <c r="V2527" t="s">
        <v>42</v>
      </c>
      <c r="W2527" t="s">
        <v>497</v>
      </c>
      <c r="X2527" t="s">
        <v>94</v>
      </c>
      <c r="Y2527" t="s">
        <v>51</v>
      </c>
    </row>
    <row r="2528" spans="1:25" x14ac:dyDescent="0.25">
      <c r="A2528">
        <v>10314</v>
      </c>
      <c r="B2528">
        <v>23</v>
      </c>
      <c r="C2528">
        <v>76.22</v>
      </c>
      <c r="D2528">
        <v>2</v>
      </c>
      <c r="E2528">
        <v>1753.06</v>
      </c>
      <c r="F2528" s="1">
        <v>38282</v>
      </c>
      <c r="G2528" t="s">
        <v>25</v>
      </c>
      <c r="H2528">
        <v>4</v>
      </c>
      <c r="I2528">
        <v>10</v>
      </c>
      <c r="J2528">
        <v>2004</v>
      </c>
      <c r="K2528" t="s">
        <v>598</v>
      </c>
      <c r="L2528">
        <v>86</v>
      </c>
      <c r="M2528" t="s">
        <v>663</v>
      </c>
      <c r="N2528" t="s">
        <v>498</v>
      </c>
      <c r="O2528" t="s">
        <v>499</v>
      </c>
      <c r="P2528" t="s">
        <v>500</v>
      </c>
      <c r="R2528" t="s">
        <v>501</v>
      </c>
      <c r="T2528">
        <v>8200</v>
      </c>
      <c r="U2528" t="s">
        <v>326</v>
      </c>
      <c r="V2528" t="s">
        <v>42</v>
      </c>
      <c r="W2528" t="s">
        <v>502</v>
      </c>
      <c r="X2528" t="s">
        <v>503</v>
      </c>
      <c r="Y2528" t="s">
        <v>36</v>
      </c>
    </row>
    <row r="2529" spans="1:25" x14ac:dyDescent="0.25">
      <c r="A2529">
        <v>10327</v>
      </c>
      <c r="B2529">
        <v>20</v>
      </c>
      <c r="C2529">
        <v>100</v>
      </c>
      <c r="D2529">
        <v>7</v>
      </c>
      <c r="E2529">
        <v>3469.2</v>
      </c>
      <c r="F2529" s="1">
        <v>38301</v>
      </c>
      <c r="G2529" t="s">
        <v>408</v>
      </c>
      <c r="H2529">
        <v>4</v>
      </c>
      <c r="I2529">
        <v>11</v>
      </c>
      <c r="J2529">
        <v>2004</v>
      </c>
      <c r="K2529" t="s">
        <v>598</v>
      </c>
      <c r="L2529">
        <v>86</v>
      </c>
      <c r="M2529" t="s">
        <v>663</v>
      </c>
      <c r="N2529" t="s">
        <v>322</v>
      </c>
      <c r="O2529" t="s">
        <v>323</v>
      </c>
      <c r="P2529" t="s">
        <v>324</v>
      </c>
      <c r="R2529" t="s">
        <v>325</v>
      </c>
      <c r="T2529">
        <v>1734</v>
      </c>
      <c r="U2529" t="s">
        <v>326</v>
      </c>
      <c r="V2529" t="s">
        <v>42</v>
      </c>
      <c r="W2529" t="s">
        <v>327</v>
      </c>
      <c r="X2529" t="s">
        <v>328</v>
      </c>
      <c r="Y2529" t="s">
        <v>51</v>
      </c>
    </row>
    <row r="2530" spans="1:25" x14ac:dyDescent="0.25">
      <c r="A2530">
        <v>10337</v>
      </c>
      <c r="B2530">
        <v>36</v>
      </c>
      <c r="C2530">
        <v>70.3</v>
      </c>
      <c r="D2530">
        <v>9</v>
      </c>
      <c r="E2530">
        <v>2530.8000000000002</v>
      </c>
      <c r="F2530" s="1">
        <v>38312</v>
      </c>
      <c r="G2530" t="s">
        <v>25</v>
      </c>
      <c r="H2530">
        <v>4</v>
      </c>
      <c r="I2530">
        <v>11</v>
      </c>
      <c r="J2530">
        <v>2004</v>
      </c>
      <c r="K2530" t="s">
        <v>598</v>
      </c>
      <c r="L2530">
        <v>86</v>
      </c>
      <c r="M2530" t="s">
        <v>663</v>
      </c>
      <c r="N2530" t="s">
        <v>203</v>
      </c>
      <c r="O2530">
        <v>2125558493</v>
      </c>
      <c r="P2530" t="s">
        <v>204</v>
      </c>
      <c r="Q2530" t="s">
        <v>205</v>
      </c>
      <c r="R2530" t="s">
        <v>30</v>
      </c>
      <c r="S2530" t="s">
        <v>31</v>
      </c>
      <c r="T2530">
        <v>10022</v>
      </c>
      <c r="U2530" t="s">
        <v>32</v>
      </c>
      <c r="V2530" t="s">
        <v>33</v>
      </c>
      <c r="W2530" t="s">
        <v>124</v>
      </c>
      <c r="X2530" t="s">
        <v>206</v>
      </c>
      <c r="Y2530" t="s">
        <v>36</v>
      </c>
    </row>
    <row r="2531" spans="1:25" x14ac:dyDescent="0.25">
      <c r="A2531">
        <v>10350</v>
      </c>
      <c r="B2531">
        <v>28</v>
      </c>
      <c r="C2531">
        <v>100</v>
      </c>
      <c r="D2531">
        <v>4</v>
      </c>
      <c r="E2531">
        <v>2924.32</v>
      </c>
      <c r="F2531" s="1">
        <v>38323</v>
      </c>
      <c r="G2531" t="s">
        <v>25</v>
      </c>
      <c r="H2531">
        <v>4</v>
      </c>
      <c r="I2531">
        <v>12</v>
      </c>
      <c r="J2531">
        <v>2004</v>
      </c>
      <c r="K2531" t="s">
        <v>598</v>
      </c>
      <c r="L2531">
        <v>86</v>
      </c>
      <c r="M2531" t="s">
        <v>663</v>
      </c>
      <c r="N2531" t="s">
        <v>174</v>
      </c>
      <c r="O2531" t="s">
        <v>175</v>
      </c>
      <c r="P2531" t="s">
        <v>176</v>
      </c>
      <c r="R2531" t="s">
        <v>177</v>
      </c>
      <c r="T2531">
        <v>28034</v>
      </c>
      <c r="U2531" t="s">
        <v>178</v>
      </c>
      <c r="V2531" t="s">
        <v>42</v>
      </c>
      <c r="W2531" t="s">
        <v>179</v>
      </c>
      <c r="X2531" t="s">
        <v>180</v>
      </c>
      <c r="Y2531" t="s">
        <v>36</v>
      </c>
    </row>
    <row r="2532" spans="1:25" x14ac:dyDescent="0.25">
      <c r="A2532">
        <v>10372</v>
      </c>
      <c r="B2532">
        <v>44</v>
      </c>
      <c r="C2532">
        <v>100</v>
      </c>
      <c r="D2532">
        <v>2</v>
      </c>
      <c r="E2532">
        <v>4496.8</v>
      </c>
      <c r="F2532" s="1">
        <v>38378</v>
      </c>
      <c r="G2532" t="s">
        <v>25</v>
      </c>
      <c r="H2532">
        <v>1</v>
      </c>
      <c r="I2532">
        <v>1</v>
      </c>
      <c r="J2532">
        <v>2005</v>
      </c>
      <c r="K2532" t="s">
        <v>598</v>
      </c>
      <c r="L2532">
        <v>86</v>
      </c>
      <c r="M2532" t="s">
        <v>663</v>
      </c>
      <c r="N2532" t="s">
        <v>246</v>
      </c>
      <c r="O2532" t="s">
        <v>247</v>
      </c>
      <c r="P2532" t="s">
        <v>248</v>
      </c>
      <c r="R2532" t="s">
        <v>249</v>
      </c>
      <c r="S2532" t="s">
        <v>250</v>
      </c>
      <c r="T2532" t="s">
        <v>251</v>
      </c>
      <c r="U2532" t="s">
        <v>200</v>
      </c>
      <c r="V2532" t="s">
        <v>200</v>
      </c>
      <c r="W2532" t="s">
        <v>252</v>
      </c>
      <c r="X2532" t="s">
        <v>253</v>
      </c>
      <c r="Y2532" t="s">
        <v>51</v>
      </c>
    </row>
    <row r="2533" spans="1:25" x14ac:dyDescent="0.25">
      <c r="A2533">
        <v>10384</v>
      </c>
      <c r="B2533">
        <v>49</v>
      </c>
      <c r="C2533">
        <v>100</v>
      </c>
      <c r="D2533">
        <v>1</v>
      </c>
      <c r="E2533">
        <v>6397.44</v>
      </c>
      <c r="F2533" s="1">
        <v>38406</v>
      </c>
      <c r="G2533" t="s">
        <v>25</v>
      </c>
      <c r="H2533">
        <v>1</v>
      </c>
      <c r="I2533">
        <v>2</v>
      </c>
      <c r="J2533">
        <v>2005</v>
      </c>
      <c r="K2533" t="s">
        <v>598</v>
      </c>
      <c r="L2533">
        <v>86</v>
      </c>
      <c r="M2533" t="s">
        <v>663</v>
      </c>
      <c r="N2533" t="s">
        <v>58</v>
      </c>
      <c r="O2533">
        <v>6505551386</v>
      </c>
      <c r="P2533" t="s">
        <v>59</v>
      </c>
      <c r="R2533" t="s">
        <v>60</v>
      </c>
      <c r="S2533" t="s">
        <v>55</v>
      </c>
      <c r="U2533" t="s">
        <v>32</v>
      </c>
      <c r="V2533" t="s">
        <v>33</v>
      </c>
      <c r="W2533" t="s">
        <v>61</v>
      </c>
      <c r="X2533" t="s">
        <v>57</v>
      </c>
      <c r="Y2533" t="s">
        <v>51</v>
      </c>
    </row>
    <row r="2534" spans="1:25" x14ac:dyDescent="0.25">
      <c r="A2534">
        <v>10397</v>
      </c>
      <c r="B2534">
        <v>32</v>
      </c>
      <c r="C2534">
        <v>80.55</v>
      </c>
      <c r="D2534">
        <v>5</v>
      </c>
      <c r="E2534">
        <v>2577.6</v>
      </c>
      <c r="F2534" s="1">
        <v>38439</v>
      </c>
      <c r="G2534" t="s">
        <v>25</v>
      </c>
      <c r="H2534">
        <v>1</v>
      </c>
      <c r="I2534">
        <v>3</v>
      </c>
      <c r="J2534">
        <v>2005</v>
      </c>
      <c r="K2534" t="s">
        <v>598</v>
      </c>
      <c r="L2534">
        <v>86</v>
      </c>
      <c r="M2534" t="s">
        <v>663</v>
      </c>
      <c r="N2534" t="s">
        <v>340</v>
      </c>
      <c r="O2534" t="s">
        <v>341</v>
      </c>
      <c r="P2534" t="s">
        <v>342</v>
      </c>
      <c r="R2534" t="s">
        <v>343</v>
      </c>
      <c r="T2534">
        <v>31000</v>
      </c>
      <c r="U2534" t="s">
        <v>41</v>
      </c>
      <c r="V2534" t="s">
        <v>42</v>
      </c>
      <c r="W2534" t="s">
        <v>344</v>
      </c>
      <c r="X2534" t="s">
        <v>345</v>
      </c>
      <c r="Y2534" t="s">
        <v>36</v>
      </c>
    </row>
    <row r="2535" spans="1:25" x14ac:dyDescent="0.25">
      <c r="A2535">
        <v>10414</v>
      </c>
      <c r="B2535">
        <v>34</v>
      </c>
      <c r="C2535">
        <v>100</v>
      </c>
      <c r="D2535">
        <v>13</v>
      </c>
      <c r="E2535">
        <v>3533.62</v>
      </c>
      <c r="F2535" s="1">
        <v>38478</v>
      </c>
      <c r="G2535" t="s">
        <v>401</v>
      </c>
      <c r="H2535">
        <v>2</v>
      </c>
      <c r="I2535">
        <v>5</v>
      </c>
      <c r="J2535">
        <v>2005</v>
      </c>
      <c r="K2535" t="s">
        <v>598</v>
      </c>
      <c r="L2535">
        <v>86</v>
      </c>
      <c r="M2535" t="s">
        <v>663</v>
      </c>
      <c r="N2535" t="s">
        <v>379</v>
      </c>
      <c r="O2535">
        <v>6175559555</v>
      </c>
      <c r="P2535" t="s">
        <v>380</v>
      </c>
      <c r="R2535" t="s">
        <v>381</v>
      </c>
      <c r="S2535" t="s">
        <v>123</v>
      </c>
      <c r="T2535">
        <v>51003</v>
      </c>
      <c r="U2535" t="s">
        <v>32</v>
      </c>
      <c r="V2535" t="s">
        <v>33</v>
      </c>
      <c r="W2535" t="s">
        <v>382</v>
      </c>
      <c r="X2535" t="s">
        <v>66</v>
      </c>
      <c r="Y2535" t="s">
        <v>51</v>
      </c>
    </row>
    <row r="2536" spans="1:25" x14ac:dyDescent="0.25">
      <c r="A2536">
        <v>10106</v>
      </c>
      <c r="B2536">
        <v>30</v>
      </c>
      <c r="C2536">
        <v>100</v>
      </c>
      <c r="D2536">
        <v>16</v>
      </c>
      <c r="E2536">
        <v>3177.3</v>
      </c>
      <c r="F2536" s="1">
        <v>37669</v>
      </c>
      <c r="G2536" t="s">
        <v>25</v>
      </c>
      <c r="H2536">
        <v>1</v>
      </c>
      <c r="I2536">
        <v>2</v>
      </c>
      <c r="J2536">
        <v>2003</v>
      </c>
      <c r="K2536" t="s">
        <v>598</v>
      </c>
      <c r="L2536">
        <v>90</v>
      </c>
      <c r="M2536" t="s">
        <v>664</v>
      </c>
      <c r="N2536" t="s">
        <v>552</v>
      </c>
      <c r="O2536" t="s">
        <v>553</v>
      </c>
      <c r="P2536" t="s">
        <v>554</v>
      </c>
      <c r="R2536" t="s">
        <v>555</v>
      </c>
      <c r="T2536">
        <v>24100</v>
      </c>
      <c r="U2536" t="s">
        <v>258</v>
      </c>
      <c r="V2536" t="s">
        <v>42</v>
      </c>
      <c r="W2536" t="s">
        <v>556</v>
      </c>
      <c r="X2536" t="s">
        <v>557</v>
      </c>
      <c r="Y2536" t="s">
        <v>51</v>
      </c>
    </row>
    <row r="2537" spans="1:25" x14ac:dyDescent="0.25">
      <c r="A2537">
        <v>10119</v>
      </c>
      <c r="B2537">
        <v>29</v>
      </c>
      <c r="C2537">
        <v>94.14</v>
      </c>
      <c r="D2537">
        <v>7</v>
      </c>
      <c r="E2537">
        <v>2730.06</v>
      </c>
      <c r="F2537" s="1">
        <v>37739</v>
      </c>
      <c r="G2537" t="s">
        <v>25</v>
      </c>
      <c r="H2537">
        <v>2</v>
      </c>
      <c r="I2537">
        <v>4</v>
      </c>
      <c r="J2537">
        <v>2003</v>
      </c>
      <c r="K2537" t="s">
        <v>598</v>
      </c>
      <c r="L2537">
        <v>90</v>
      </c>
      <c r="M2537" t="s">
        <v>664</v>
      </c>
      <c r="N2537" t="s">
        <v>144</v>
      </c>
      <c r="O2537" t="s">
        <v>145</v>
      </c>
      <c r="P2537" t="s">
        <v>146</v>
      </c>
      <c r="R2537" t="s">
        <v>147</v>
      </c>
      <c r="T2537">
        <v>5020</v>
      </c>
      <c r="U2537" t="s">
        <v>148</v>
      </c>
      <c r="V2537" t="s">
        <v>42</v>
      </c>
      <c r="W2537" t="s">
        <v>149</v>
      </c>
      <c r="X2537" t="s">
        <v>150</v>
      </c>
      <c r="Y2537" t="s">
        <v>36</v>
      </c>
    </row>
    <row r="2538" spans="1:25" x14ac:dyDescent="0.25">
      <c r="A2538">
        <v>10131</v>
      </c>
      <c r="B2538">
        <v>22</v>
      </c>
      <c r="C2538">
        <v>85.99</v>
      </c>
      <c r="D2538">
        <v>8</v>
      </c>
      <c r="E2538">
        <v>1891.78</v>
      </c>
      <c r="F2538" s="1">
        <v>37788</v>
      </c>
      <c r="G2538" t="s">
        <v>25</v>
      </c>
      <c r="H2538">
        <v>2</v>
      </c>
      <c r="I2538">
        <v>6</v>
      </c>
      <c r="J2538">
        <v>2003</v>
      </c>
      <c r="K2538" t="s">
        <v>598</v>
      </c>
      <c r="L2538">
        <v>90</v>
      </c>
      <c r="M2538" t="s">
        <v>664</v>
      </c>
      <c r="N2538" t="s">
        <v>568</v>
      </c>
      <c r="O2538">
        <v>2035554407</v>
      </c>
      <c r="P2538" t="s">
        <v>569</v>
      </c>
      <c r="R2538" t="s">
        <v>516</v>
      </c>
      <c r="S2538" t="s">
        <v>112</v>
      </c>
      <c r="T2538">
        <v>97561</v>
      </c>
      <c r="U2538" t="s">
        <v>32</v>
      </c>
      <c r="V2538" t="s">
        <v>33</v>
      </c>
      <c r="W2538" t="s">
        <v>570</v>
      </c>
      <c r="X2538" t="s">
        <v>571</v>
      </c>
      <c r="Y2538" t="s">
        <v>36</v>
      </c>
    </row>
    <row r="2539" spans="1:25" x14ac:dyDescent="0.25">
      <c r="A2539">
        <v>10143</v>
      </c>
      <c r="B2539">
        <v>26</v>
      </c>
      <c r="C2539">
        <v>100</v>
      </c>
      <c r="D2539">
        <v>11</v>
      </c>
      <c r="E2539">
        <v>2612.48</v>
      </c>
      <c r="F2539" s="1">
        <v>37843</v>
      </c>
      <c r="G2539" t="s">
        <v>25</v>
      </c>
      <c r="H2539">
        <v>3</v>
      </c>
      <c r="I2539">
        <v>8</v>
      </c>
      <c r="J2539">
        <v>2003</v>
      </c>
      <c r="K2539" t="s">
        <v>598</v>
      </c>
      <c r="L2539">
        <v>90</v>
      </c>
      <c r="M2539" t="s">
        <v>664</v>
      </c>
      <c r="N2539" t="s">
        <v>335</v>
      </c>
      <c r="O2539">
        <v>5085559555</v>
      </c>
      <c r="P2539" t="s">
        <v>336</v>
      </c>
      <c r="R2539" t="s">
        <v>162</v>
      </c>
      <c r="S2539" t="s">
        <v>123</v>
      </c>
      <c r="T2539">
        <v>50553</v>
      </c>
      <c r="U2539" t="s">
        <v>32</v>
      </c>
      <c r="V2539" t="s">
        <v>33</v>
      </c>
      <c r="W2539" t="s">
        <v>337</v>
      </c>
      <c r="X2539" t="s">
        <v>338</v>
      </c>
      <c r="Y2539" t="s">
        <v>36</v>
      </c>
    </row>
    <row r="2540" spans="1:25" x14ac:dyDescent="0.25">
      <c r="A2540">
        <v>10155</v>
      </c>
      <c r="B2540">
        <v>32</v>
      </c>
      <c r="C2540">
        <v>91.43</v>
      </c>
      <c r="D2540">
        <v>9</v>
      </c>
      <c r="E2540">
        <v>2925.76</v>
      </c>
      <c r="F2540" s="1">
        <v>37900</v>
      </c>
      <c r="G2540" t="s">
        <v>25</v>
      </c>
      <c r="H2540">
        <v>4</v>
      </c>
      <c r="I2540">
        <v>10</v>
      </c>
      <c r="J2540">
        <v>2003</v>
      </c>
      <c r="K2540" t="s">
        <v>598</v>
      </c>
      <c r="L2540">
        <v>90</v>
      </c>
      <c r="M2540" t="s">
        <v>664</v>
      </c>
      <c r="N2540" t="s">
        <v>126</v>
      </c>
      <c r="O2540" t="s">
        <v>127</v>
      </c>
      <c r="P2540" t="s">
        <v>128</v>
      </c>
      <c r="R2540" t="s">
        <v>129</v>
      </c>
      <c r="T2540">
        <v>21240</v>
      </c>
      <c r="U2540" t="s">
        <v>130</v>
      </c>
      <c r="V2540" t="s">
        <v>42</v>
      </c>
      <c r="W2540" t="s">
        <v>131</v>
      </c>
      <c r="X2540" t="s">
        <v>132</v>
      </c>
      <c r="Y2540" t="s">
        <v>36</v>
      </c>
    </row>
    <row r="2541" spans="1:25" x14ac:dyDescent="0.25">
      <c r="A2541">
        <v>10167</v>
      </c>
      <c r="B2541">
        <v>29</v>
      </c>
      <c r="C2541">
        <v>100</v>
      </c>
      <c r="D2541">
        <v>5</v>
      </c>
      <c r="E2541">
        <v>2940.02</v>
      </c>
      <c r="F2541" s="1">
        <v>37917</v>
      </c>
      <c r="G2541" t="s">
        <v>339</v>
      </c>
      <c r="H2541">
        <v>4</v>
      </c>
      <c r="I2541">
        <v>10</v>
      </c>
      <c r="J2541">
        <v>2003</v>
      </c>
      <c r="K2541" t="s">
        <v>598</v>
      </c>
      <c r="L2541">
        <v>90</v>
      </c>
      <c r="M2541" t="s">
        <v>664</v>
      </c>
      <c r="N2541" t="s">
        <v>261</v>
      </c>
      <c r="O2541" t="s">
        <v>262</v>
      </c>
      <c r="P2541" t="s">
        <v>263</v>
      </c>
      <c r="R2541" t="s">
        <v>264</v>
      </c>
      <c r="T2541" t="s">
        <v>265</v>
      </c>
      <c r="U2541" t="s">
        <v>188</v>
      </c>
      <c r="V2541" t="s">
        <v>42</v>
      </c>
      <c r="W2541" t="s">
        <v>266</v>
      </c>
      <c r="X2541" t="s">
        <v>206</v>
      </c>
      <c r="Y2541" t="s">
        <v>36</v>
      </c>
    </row>
    <row r="2542" spans="1:25" x14ac:dyDescent="0.25">
      <c r="A2542">
        <v>10178</v>
      </c>
      <c r="B2542">
        <v>34</v>
      </c>
      <c r="C2542">
        <v>96.86</v>
      </c>
      <c r="D2542">
        <v>8</v>
      </c>
      <c r="E2542">
        <v>3293.24</v>
      </c>
      <c r="F2542" s="1">
        <v>37933</v>
      </c>
      <c r="G2542" t="s">
        <v>25</v>
      </c>
      <c r="H2542">
        <v>4</v>
      </c>
      <c r="I2542">
        <v>11</v>
      </c>
      <c r="J2542">
        <v>2003</v>
      </c>
      <c r="K2542" t="s">
        <v>598</v>
      </c>
      <c r="L2542">
        <v>90</v>
      </c>
      <c r="M2542" t="s">
        <v>664</v>
      </c>
      <c r="N2542" t="s">
        <v>340</v>
      </c>
      <c r="O2542" t="s">
        <v>341</v>
      </c>
      <c r="P2542" t="s">
        <v>342</v>
      </c>
      <c r="R2542" t="s">
        <v>343</v>
      </c>
      <c r="T2542">
        <v>31000</v>
      </c>
      <c r="U2542" t="s">
        <v>41</v>
      </c>
      <c r="V2542" t="s">
        <v>42</v>
      </c>
      <c r="W2542" t="s">
        <v>344</v>
      </c>
      <c r="X2542" t="s">
        <v>345</v>
      </c>
      <c r="Y2542" t="s">
        <v>51</v>
      </c>
    </row>
    <row r="2543" spans="1:25" x14ac:dyDescent="0.25">
      <c r="A2543">
        <v>10186</v>
      </c>
      <c r="B2543">
        <v>24</v>
      </c>
      <c r="C2543">
        <v>99.57</v>
      </c>
      <c r="D2543">
        <v>5</v>
      </c>
      <c r="E2543">
        <v>2389.6799999999998</v>
      </c>
      <c r="F2543" s="1">
        <v>37939</v>
      </c>
      <c r="G2543" t="s">
        <v>25</v>
      </c>
      <c r="H2543">
        <v>4</v>
      </c>
      <c r="I2543">
        <v>11</v>
      </c>
      <c r="J2543">
        <v>2003</v>
      </c>
      <c r="K2543" t="s">
        <v>598</v>
      </c>
      <c r="L2543">
        <v>90</v>
      </c>
      <c r="M2543" t="s">
        <v>664</v>
      </c>
      <c r="N2543" t="s">
        <v>346</v>
      </c>
      <c r="O2543" t="s">
        <v>347</v>
      </c>
      <c r="P2543" t="s">
        <v>348</v>
      </c>
      <c r="R2543" t="s">
        <v>332</v>
      </c>
      <c r="T2543" t="s">
        <v>349</v>
      </c>
      <c r="U2543" t="s">
        <v>170</v>
      </c>
      <c r="V2543" t="s">
        <v>42</v>
      </c>
      <c r="W2543" t="s">
        <v>350</v>
      </c>
      <c r="X2543" t="s">
        <v>351</v>
      </c>
      <c r="Y2543" t="s">
        <v>36</v>
      </c>
    </row>
    <row r="2544" spans="1:25" x14ac:dyDescent="0.25">
      <c r="A2544">
        <v>10197</v>
      </c>
      <c r="B2544">
        <v>24</v>
      </c>
      <c r="C2544">
        <v>90.52</v>
      </c>
      <c r="D2544">
        <v>2</v>
      </c>
      <c r="E2544">
        <v>2172.48</v>
      </c>
      <c r="F2544" s="1">
        <v>37951</v>
      </c>
      <c r="G2544" t="s">
        <v>25</v>
      </c>
      <c r="H2544">
        <v>4</v>
      </c>
      <c r="I2544">
        <v>11</v>
      </c>
      <c r="J2544">
        <v>2003</v>
      </c>
      <c r="K2544" t="s">
        <v>598</v>
      </c>
      <c r="L2544">
        <v>90</v>
      </c>
      <c r="M2544" t="s">
        <v>664</v>
      </c>
      <c r="N2544" t="s">
        <v>352</v>
      </c>
      <c r="O2544" t="s">
        <v>353</v>
      </c>
      <c r="P2544" t="s">
        <v>354</v>
      </c>
      <c r="R2544" t="s">
        <v>355</v>
      </c>
      <c r="T2544">
        <v>8022</v>
      </c>
      <c r="U2544" t="s">
        <v>178</v>
      </c>
      <c r="V2544" t="s">
        <v>42</v>
      </c>
      <c r="W2544" t="s">
        <v>356</v>
      </c>
      <c r="X2544" t="s">
        <v>357</v>
      </c>
      <c r="Y2544" t="s">
        <v>36</v>
      </c>
    </row>
    <row r="2545" spans="1:25" x14ac:dyDescent="0.25">
      <c r="A2545">
        <v>10209</v>
      </c>
      <c r="B2545">
        <v>33</v>
      </c>
      <c r="C2545">
        <v>88.71</v>
      </c>
      <c r="D2545">
        <v>4</v>
      </c>
      <c r="E2545">
        <v>2927.43</v>
      </c>
      <c r="F2545" s="1">
        <v>37995</v>
      </c>
      <c r="G2545" t="s">
        <v>25</v>
      </c>
      <c r="H2545">
        <v>1</v>
      </c>
      <c r="I2545">
        <v>1</v>
      </c>
      <c r="J2545">
        <v>2004</v>
      </c>
      <c r="K2545" t="s">
        <v>598</v>
      </c>
      <c r="L2545">
        <v>90</v>
      </c>
      <c r="M2545" t="s">
        <v>664</v>
      </c>
      <c r="N2545" t="s">
        <v>358</v>
      </c>
      <c r="O2545">
        <v>2155554369</v>
      </c>
      <c r="P2545" t="s">
        <v>359</v>
      </c>
      <c r="R2545" t="s">
        <v>360</v>
      </c>
      <c r="S2545" t="s">
        <v>55</v>
      </c>
      <c r="U2545" t="s">
        <v>32</v>
      </c>
      <c r="V2545" t="s">
        <v>33</v>
      </c>
      <c r="W2545" t="s">
        <v>361</v>
      </c>
      <c r="X2545" t="s">
        <v>103</v>
      </c>
      <c r="Y2545" t="s">
        <v>36</v>
      </c>
    </row>
    <row r="2546" spans="1:25" x14ac:dyDescent="0.25">
      <c r="A2546">
        <v>10222</v>
      </c>
      <c r="B2546">
        <v>26</v>
      </c>
      <c r="C2546">
        <v>100</v>
      </c>
      <c r="D2546">
        <v>8</v>
      </c>
      <c r="E2546">
        <v>2659.54</v>
      </c>
      <c r="F2546" s="1">
        <v>38036</v>
      </c>
      <c r="G2546" t="s">
        <v>25</v>
      </c>
      <c r="H2546">
        <v>1</v>
      </c>
      <c r="I2546">
        <v>2</v>
      </c>
      <c r="J2546">
        <v>2004</v>
      </c>
      <c r="K2546" t="s">
        <v>598</v>
      </c>
      <c r="L2546">
        <v>90</v>
      </c>
      <c r="M2546" t="s">
        <v>664</v>
      </c>
      <c r="N2546" t="s">
        <v>362</v>
      </c>
      <c r="O2546">
        <v>7605558146</v>
      </c>
      <c r="P2546" t="s">
        <v>363</v>
      </c>
      <c r="R2546" t="s">
        <v>364</v>
      </c>
      <c r="S2546" t="s">
        <v>55</v>
      </c>
      <c r="T2546">
        <v>91217</v>
      </c>
      <c r="U2546" t="s">
        <v>32</v>
      </c>
      <c r="V2546" t="s">
        <v>33</v>
      </c>
      <c r="W2546" t="s">
        <v>237</v>
      </c>
      <c r="X2546" t="s">
        <v>276</v>
      </c>
      <c r="Y2546" t="s">
        <v>36</v>
      </c>
    </row>
    <row r="2547" spans="1:25" x14ac:dyDescent="0.25">
      <c r="A2547">
        <v>10249</v>
      </c>
      <c r="B2547">
        <v>40</v>
      </c>
      <c r="C2547">
        <v>95.95</v>
      </c>
      <c r="D2547">
        <v>4</v>
      </c>
      <c r="E2547">
        <v>3838</v>
      </c>
      <c r="F2547" s="1">
        <v>38115</v>
      </c>
      <c r="G2547" t="s">
        <v>25</v>
      </c>
      <c r="H2547">
        <v>2</v>
      </c>
      <c r="I2547">
        <v>5</v>
      </c>
      <c r="J2547">
        <v>2004</v>
      </c>
      <c r="K2547" t="s">
        <v>598</v>
      </c>
      <c r="L2547">
        <v>90</v>
      </c>
      <c r="M2547" t="s">
        <v>664</v>
      </c>
      <c r="N2547" t="s">
        <v>239</v>
      </c>
      <c r="O2547">
        <v>6175555555</v>
      </c>
      <c r="P2547" t="s">
        <v>240</v>
      </c>
      <c r="R2547" t="s">
        <v>122</v>
      </c>
      <c r="S2547" t="s">
        <v>123</v>
      </c>
      <c r="T2547">
        <v>51247</v>
      </c>
      <c r="U2547" t="s">
        <v>32</v>
      </c>
      <c r="V2547" t="s">
        <v>33</v>
      </c>
      <c r="W2547" t="s">
        <v>241</v>
      </c>
      <c r="X2547" t="s">
        <v>143</v>
      </c>
      <c r="Y2547" t="s">
        <v>51</v>
      </c>
    </row>
    <row r="2548" spans="1:25" x14ac:dyDescent="0.25">
      <c r="A2548">
        <v>10262</v>
      </c>
      <c r="B2548">
        <v>44</v>
      </c>
      <c r="C2548">
        <v>94.14</v>
      </c>
      <c r="D2548">
        <v>13</v>
      </c>
      <c r="E2548">
        <v>4142.16</v>
      </c>
      <c r="F2548" s="1">
        <v>38162</v>
      </c>
      <c r="G2548" t="s">
        <v>339</v>
      </c>
      <c r="H2548">
        <v>2</v>
      </c>
      <c r="I2548">
        <v>6</v>
      </c>
      <c r="J2548">
        <v>2004</v>
      </c>
      <c r="K2548" t="s">
        <v>598</v>
      </c>
      <c r="L2548">
        <v>90</v>
      </c>
      <c r="M2548" t="s">
        <v>664</v>
      </c>
      <c r="N2548" t="s">
        <v>174</v>
      </c>
      <c r="O2548" t="s">
        <v>175</v>
      </c>
      <c r="P2548" t="s">
        <v>176</v>
      </c>
      <c r="R2548" t="s">
        <v>177</v>
      </c>
      <c r="T2548">
        <v>28034</v>
      </c>
      <c r="U2548" t="s">
        <v>178</v>
      </c>
      <c r="V2548" t="s">
        <v>42</v>
      </c>
      <c r="W2548" t="s">
        <v>179</v>
      </c>
      <c r="X2548" t="s">
        <v>180</v>
      </c>
      <c r="Y2548" t="s">
        <v>51</v>
      </c>
    </row>
    <row r="2549" spans="1:25" x14ac:dyDescent="0.25">
      <c r="A2549">
        <v>10274</v>
      </c>
      <c r="B2549">
        <v>24</v>
      </c>
      <c r="C2549">
        <v>90.52</v>
      </c>
      <c r="D2549">
        <v>5</v>
      </c>
      <c r="E2549">
        <v>2172.48</v>
      </c>
      <c r="F2549" s="1">
        <v>38189</v>
      </c>
      <c r="G2549" t="s">
        <v>25</v>
      </c>
      <c r="H2549">
        <v>3</v>
      </c>
      <c r="I2549">
        <v>7</v>
      </c>
      <c r="J2549">
        <v>2004</v>
      </c>
      <c r="K2549" t="s">
        <v>598</v>
      </c>
      <c r="L2549">
        <v>90</v>
      </c>
      <c r="M2549" t="s">
        <v>664</v>
      </c>
      <c r="N2549" t="s">
        <v>281</v>
      </c>
      <c r="O2549">
        <v>6175558555</v>
      </c>
      <c r="P2549" t="s">
        <v>282</v>
      </c>
      <c r="R2549" t="s">
        <v>283</v>
      </c>
      <c r="S2549" t="s">
        <v>123</v>
      </c>
      <c r="T2549">
        <v>58339</v>
      </c>
      <c r="U2549" t="s">
        <v>32</v>
      </c>
      <c r="V2549" t="s">
        <v>33</v>
      </c>
      <c r="W2549" t="s">
        <v>275</v>
      </c>
      <c r="X2549" t="s">
        <v>284</v>
      </c>
      <c r="Y2549" t="s">
        <v>36</v>
      </c>
    </row>
    <row r="2550" spans="1:25" x14ac:dyDescent="0.25">
      <c r="A2550">
        <v>10283</v>
      </c>
      <c r="B2550">
        <v>20</v>
      </c>
      <c r="C2550">
        <v>94.14</v>
      </c>
      <c r="D2550">
        <v>2</v>
      </c>
      <c r="E2550">
        <v>1882.8</v>
      </c>
      <c r="F2550" s="1">
        <v>38219</v>
      </c>
      <c r="G2550" t="s">
        <v>25</v>
      </c>
      <c r="H2550">
        <v>3</v>
      </c>
      <c r="I2550">
        <v>8</v>
      </c>
      <c r="J2550">
        <v>2004</v>
      </c>
      <c r="K2550" t="s">
        <v>598</v>
      </c>
      <c r="L2550">
        <v>90</v>
      </c>
      <c r="M2550" t="s">
        <v>664</v>
      </c>
      <c r="N2550" t="s">
        <v>373</v>
      </c>
      <c r="O2550" t="s">
        <v>374</v>
      </c>
      <c r="P2550" t="s">
        <v>375</v>
      </c>
      <c r="R2550" t="s">
        <v>376</v>
      </c>
      <c r="S2550" t="s">
        <v>229</v>
      </c>
      <c r="T2550" t="s">
        <v>377</v>
      </c>
      <c r="U2550" t="s">
        <v>231</v>
      </c>
      <c r="V2550" t="s">
        <v>33</v>
      </c>
      <c r="W2550" t="s">
        <v>378</v>
      </c>
      <c r="X2550" t="s">
        <v>172</v>
      </c>
      <c r="Y2550" t="s">
        <v>36</v>
      </c>
    </row>
    <row r="2551" spans="1:25" x14ac:dyDescent="0.25">
      <c r="A2551">
        <v>10296</v>
      </c>
      <c r="B2551">
        <v>34</v>
      </c>
      <c r="C2551">
        <v>100</v>
      </c>
      <c r="D2551">
        <v>11</v>
      </c>
      <c r="E2551">
        <v>3477.86</v>
      </c>
      <c r="F2551" s="1">
        <v>38245</v>
      </c>
      <c r="G2551" t="s">
        <v>25</v>
      </c>
      <c r="H2551">
        <v>3</v>
      </c>
      <c r="I2551">
        <v>9</v>
      </c>
      <c r="J2551">
        <v>2004</v>
      </c>
      <c r="K2551" t="s">
        <v>598</v>
      </c>
      <c r="L2551">
        <v>90</v>
      </c>
      <c r="M2551" t="s">
        <v>664</v>
      </c>
      <c r="N2551" t="s">
        <v>572</v>
      </c>
      <c r="O2551" t="s">
        <v>573</v>
      </c>
      <c r="P2551" t="s">
        <v>574</v>
      </c>
      <c r="R2551" t="s">
        <v>575</v>
      </c>
      <c r="T2551">
        <v>80686</v>
      </c>
      <c r="U2551" t="s">
        <v>443</v>
      </c>
      <c r="V2551" t="s">
        <v>42</v>
      </c>
      <c r="W2551" t="s">
        <v>576</v>
      </c>
      <c r="X2551" t="s">
        <v>103</v>
      </c>
      <c r="Y2551" t="s">
        <v>51</v>
      </c>
    </row>
    <row r="2552" spans="1:25" x14ac:dyDescent="0.25">
      <c r="A2552">
        <v>10307</v>
      </c>
      <c r="B2552">
        <v>34</v>
      </c>
      <c r="C2552">
        <v>97.76</v>
      </c>
      <c r="D2552">
        <v>5</v>
      </c>
      <c r="E2552">
        <v>3323.84</v>
      </c>
      <c r="F2552" s="1">
        <v>38274</v>
      </c>
      <c r="G2552" t="s">
        <v>25</v>
      </c>
      <c r="H2552">
        <v>4</v>
      </c>
      <c r="I2552">
        <v>10</v>
      </c>
      <c r="J2552">
        <v>2004</v>
      </c>
      <c r="K2552" t="s">
        <v>598</v>
      </c>
      <c r="L2552">
        <v>90</v>
      </c>
      <c r="M2552" t="s">
        <v>664</v>
      </c>
      <c r="N2552" t="s">
        <v>214</v>
      </c>
      <c r="O2552">
        <v>2155554695</v>
      </c>
      <c r="P2552" t="s">
        <v>215</v>
      </c>
      <c r="R2552" t="s">
        <v>216</v>
      </c>
      <c r="S2552" t="s">
        <v>142</v>
      </c>
      <c r="T2552">
        <v>71270</v>
      </c>
      <c r="U2552" t="s">
        <v>32</v>
      </c>
      <c r="V2552" t="s">
        <v>33</v>
      </c>
      <c r="W2552" t="s">
        <v>217</v>
      </c>
      <c r="X2552" t="s">
        <v>218</v>
      </c>
      <c r="Y2552" t="s">
        <v>51</v>
      </c>
    </row>
    <row r="2553" spans="1:25" x14ac:dyDescent="0.25">
      <c r="A2553">
        <v>10316</v>
      </c>
      <c r="B2553">
        <v>45</v>
      </c>
      <c r="C2553">
        <v>93.24</v>
      </c>
      <c r="D2553">
        <v>13</v>
      </c>
      <c r="E2553">
        <v>4195.8</v>
      </c>
      <c r="F2553" s="1">
        <v>38292</v>
      </c>
      <c r="G2553" t="s">
        <v>25</v>
      </c>
      <c r="H2553">
        <v>4</v>
      </c>
      <c r="I2553">
        <v>11</v>
      </c>
      <c r="J2553">
        <v>2004</v>
      </c>
      <c r="K2553" t="s">
        <v>598</v>
      </c>
      <c r="L2553">
        <v>90</v>
      </c>
      <c r="M2553" t="s">
        <v>664</v>
      </c>
      <c r="N2553" t="s">
        <v>383</v>
      </c>
      <c r="O2553" t="s">
        <v>384</v>
      </c>
      <c r="P2553" t="s">
        <v>385</v>
      </c>
      <c r="R2553" t="s">
        <v>386</v>
      </c>
      <c r="S2553" t="s">
        <v>387</v>
      </c>
      <c r="T2553" t="s">
        <v>388</v>
      </c>
      <c r="U2553" t="s">
        <v>170</v>
      </c>
      <c r="V2553" t="s">
        <v>42</v>
      </c>
      <c r="W2553" t="s">
        <v>389</v>
      </c>
      <c r="X2553" t="s">
        <v>390</v>
      </c>
      <c r="Y2553" t="s">
        <v>51</v>
      </c>
    </row>
    <row r="2554" spans="1:25" x14ac:dyDescent="0.25">
      <c r="A2554">
        <v>10328</v>
      </c>
      <c r="B2554">
        <v>41</v>
      </c>
      <c r="C2554">
        <v>100</v>
      </c>
      <c r="D2554">
        <v>9</v>
      </c>
      <c r="E2554">
        <v>4156.58</v>
      </c>
      <c r="F2554" s="1">
        <v>38303</v>
      </c>
      <c r="G2554" t="s">
        <v>25</v>
      </c>
      <c r="H2554">
        <v>4</v>
      </c>
      <c r="I2554">
        <v>11</v>
      </c>
      <c r="J2554">
        <v>2004</v>
      </c>
      <c r="K2554" t="s">
        <v>598</v>
      </c>
      <c r="L2554">
        <v>90</v>
      </c>
      <c r="M2554" t="s">
        <v>664</v>
      </c>
      <c r="N2554" t="s">
        <v>552</v>
      </c>
      <c r="O2554" t="s">
        <v>553</v>
      </c>
      <c r="P2554" t="s">
        <v>554</v>
      </c>
      <c r="R2554" t="s">
        <v>555</v>
      </c>
      <c r="T2554">
        <v>24100</v>
      </c>
      <c r="U2554" t="s">
        <v>258</v>
      </c>
      <c r="V2554" t="s">
        <v>42</v>
      </c>
      <c r="W2554" t="s">
        <v>556</v>
      </c>
      <c r="X2554" t="s">
        <v>557</v>
      </c>
      <c r="Y2554" t="s">
        <v>51</v>
      </c>
    </row>
    <row r="2555" spans="1:25" x14ac:dyDescent="0.25">
      <c r="A2555">
        <v>10339</v>
      </c>
      <c r="B2555">
        <v>55</v>
      </c>
      <c r="C2555">
        <v>71.25</v>
      </c>
      <c r="D2555">
        <v>15</v>
      </c>
      <c r="E2555">
        <v>3918.75</v>
      </c>
      <c r="F2555" s="1">
        <v>38314</v>
      </c>
      <c r="G2555" t="s">
        <v>25</v>
      </c>
      <c r="H2555">
        <v>4</v>
      </c>
      <c r="I2555">
        <v>11</v>
      </c>
      <c r="J2555">
        <v>2004</v>
      </c>
      <c r="K2555" t="s">
        <v>598</v>
      </c>
      <c r="L2555">
        <v>90</v>
      </c>
      <c r="M2555" t="s">
        <v>664</v>
      </c>
      <c r="N2555" t="s">
        <v>246</v>
      </c>
      <c r="O2555" t="s">
        <v>247</v>
      </c>
      <c r="P2555" t="s">
        <v>248</v>
      </c>
      <c r="R2555" t="s">
        <v>249</v>
      </c>
      <c r="S2555" t="s">
        <v>250</v>
      </c>
      <c r="T2555" t="s">
        <v>251</v>
      </c>
      <c r="U2555" t="s">
        <v>200</v>
      </c>
      <c r="V2555" t="s">
        <v>200</v>
      </c>
      <c r="W2555" t="s">
        <v>252</v>
      </c>
      <c r="X2555" t="s">
        <v>253</v>
      </c>
      <c r="Y2555" t="s">
        <v>51</v>
      </c>
    </row>
    <row r="2556" spans="1:25" x14ac:dyDescent="0.25">
      <c r="A2556">
        <v>10352</v>
      </c>
      <c r="B2556">
        <v>23</v>
      </c>
      <c r="C2556">
        <v>100</v>
      </c>
      <c r="D2556">
        <v>3</v>
      </c>
      <c r="E2556">
        <v>2352.67</v>
      </c>
      <c r="F2556" s="1">
        <v>38324</v>
      </c>
      <c r="G2556" t="s">
        <v>25</v>
      </c>
      <c r="H2556">
        <v>4</v>
      </c>
      <c r="I2556">
        <v>12</v>
      </c>
      <c r="J2556">
        <v>2004</v>
      </c>
      <c r="K2556" t="s">
        <v>598</v>
      </c>
      <c r="L2556">
        <v>90</v>
      </c>
      <c r="M2556" t="s">
        <v>664</v>
      </c>
      <c r="N2556" t="s">
        <v>600</v>
      </c>
      <c r="O2556">
        <v>6175558428</v>
      </c>
      <c r="P2556" t="s">
        <v>601</v>
      </c>
      <c r="R2556" t="s">
        <v>283</v>
      </c>
      <c r="S2556" t="s">
        <v>123</v>
      </c>
      <c r="T2556">
        <v>58339</v>
      </c>
      <c r="U2556" t="s">
        <v>32</v>
      </c>
      <c r="V2556" t="s">
        <v>33</v>
      </c>
      <c r="W2556" t="s">
        <v>529</v>
      </c>
      <c r="X2556" t="s">
        <v>245</v>
      </c>
      <c r="Y2556" t="s">
        <v>36</v>
      </c>
    </row>
    <row r="2557" spans="1:25" x14ac:dyDescent="0.25">
      <c r="A2557">
        <v>10361</v>
      </c>
      <c r="B2557">
        <v>24</v>
      </c>
      <c r="C2557">
        <v>45.39</v>
      </c>
      <c r="D2557">
        <v>14</v>
      </c>
      <c r="E2557">
        <v>1089.3599999999999</v>
      </c>
      <c r="F2557" s="1">
        <v>38338</v>
      </c>
      <c r="G2557" t="s">
        <v>25</v>
      </c>
      <c r="H2557">
        <v>4</v>
      </c>
      <c r="I2557">
        <v>12</v>
      </c>
      <c r="J2557">
        <v>2004</v>
      </c>
      <c r="K2557" t="s">
        <v>598</v>
      </c>
      <c r="L2557">
        <v>90</v>
      </c>
      <c r="M2557" t="s">
        <v>664</v>
      </c>
      <c r="N2557" t="s">
        <v>152</v>
      </c>
      <c r="O2557" t="s">
        <v>153</v>
      </c>
      <c r="P2557" t="s">
        <v>154</v>
      </c>
      <c r="Q2557" t="s">
        <v>155</v>
      </c>
      <c r="R2557" t="s">
        <v>156</v>
      </c>
      <c r="S2557" t="s">
        <v>157</v>
      </c>
      <c r="T2557">
        <v>2067</v>
      </c>
      <c r="U2557" t="s">
        <v>95</v>
      </c>
      <c r="V2557" t="s">
        <v>96</v>
      </c>
      <c r="W2557" t="s">
        <v>158</v>
      </c>
      <c r="X2557" t="s">
        <v>159</v>
      </c>
      <c r="Y2557" t="s">
        <v>36</v>
      </c>
    </row>
    <row r="2558" spans="1:25" x14ac:dyDescent="0.25">
      <c r="A2558">
        <v>10373</v>
      </c>
      <c r="B2558">
        <v>32</v>
      </c>
      <c r="C2558">
        <v>84.41</v>
      </c>
      <c r="D2558">
        <v>15</v>
      </c>
      <c r="E2558">
        <v>2701.12</v>
      </c>
      <c r="F2558" s="1">
        <v>38383</v>
      </c>
      <c r="G2558" t="s">
        <v>25</v>
      </c>
      <c r="H2558">
        <v>1</v>
      </c>
      <c r="I2558">
        <v>1</v>
      </c>
      <c r="J2558">
        <v>2005</v>
      </c>
      <c r="K2558" t="s">
        <v>598</v>
      </c>
      <c r="L2558">
        <v>90</v>
      </c>
      <c r="M2558" t="s">
        <v>664</v>
      </c>
      <c r="N2558" t="s">
        <v>391</v>
      </c>
      <c r="O2558" t="s">
        <v>392</v>
      </c>
      <c r="P2558" t="s">
        <v>393</v>
      </c>
      <c r="R2558" t="s">
        <v>394</v>
      </c>
      <c r="T2558">
        <v>90110</v>
      </c>
      <c r="U2558" t="s">
        <v>130</v>
      </c>
      <c r="V2558" t="s">
        <v>42</v>
      </c>
      <c r="W2558" t="s">
        <v>395</v>
      </c>
      <c r="X2558" t="s">
        <v>396</v>
      </c>
      <c r="Y2558" t="s">
        <v>36</v>
      </c>
    </row>
    <row r="2559" spans="1:25" x14ac:dyDescent="0.25">
      <c r="A2559">
        <v>10386</v>
      </c>
      <c r="B2559">
        <v>29</v>
      </c>
      <c r="C2559">
        <v>85.76</v>
      </c>
      <c r="D2559">
        <v>13</v>
      </c>
      <c r="E2559">
        <v>2487.04</v>
      </c>
      <c r="F2559" s="1">
        <v>38412</v>
      </c>
      <c r="G2559" t="s">
        <v>408</v>
      </c>
      <c r="H2559">
        <v>1</v>
      </c>
      <c r="I2559">
        <v>3</v>
      </c>
      <c r="J2559">
        <v>2005</v>
      </c>
      <c r="K2559" t="s">
        <v>598</v>
      </c>
      <c r="L2559">
        <v>90</v>
      </c>
      <c r="M2559" t="s">
        <v>664</v>
      </c>
      <c r="N2559" t="s">
        <v>174</v>
      </c>
      <c r="O2559" t="s">
        <v>175</v>
      </c>
      <c r="P2559" t="s">
        <v>176</v>
      </c>
      <c r="R2559" t="s">
        <v>177</v>
      </c>
      <c r="T2559">
        <v>28034</v>
      </c>
      <c r="U2559" t="s">
        <v>178</v>
      </c>
      <c r="V2559" t="s">
        <v>42</v>
      </c>
      <c r="W2559" t="s">
        <v>179</v>
      </c>
      <c r="X2559" t="s">
        <v>180</v>
      </c>
      <c r="Y2559" t="s">
        <v>36</v>
      </c>
    </row>
    <row r="2560" spans="1:25" x14ac:dyDescent="0.25">
      <c r="A2560">
        <v>10398</v>
      </c>
      <c r="B2560">
        <v>36</v>
      </c>
      <c r="C2560">
        <v>100</v>
      </c>
      <c r="D2560">
        <v>7</v>
      </c>
      <c r="E2560">
        <v>3910.32</v>
      </c>
      <c r="F2560" s="1">
        <v>38441</v>
      </c>
      <c r="G2560" t="s">
        <v>25</v>
      </c>
      <c r="H2560">
        <v>1</v>
      </c>
      <c r="I2560">
        <v>3</v>
      </c>
      <c r="J2560">
        <v>2005</v>
      </c>
      <c r="K2560" t="s">
        <v>598</v>
      </c>
      <c r="L2560">
        <v>90</v>
      </c>
      <c r="M2560" t="s">
        <v>664</v>
      </c>
      <c r="N2560" t="s">
        <v>37</v>
      </c>
      <c r="O2560" t="s">
        <v>38</v>
      </c>
      <c r="P2560" t="s">
        <v>39</v>
      </c>
      <c r="R2560" t="s">
        <v>40</v>
      </c>
      <c r="T2560">
        <v>51100</v>
      </c>
      <c r="U2560" t="s">
        <v>41</v>
      </c>
      <c r="V2560" t="s">
        <v>42</v>
      </c>
      <c r="W2560" t="s">
        <v>43</v>
      </c>
      <c r="X2560" t="s">
        <v>44</v>
      </c>
      <c r="Y2560" t="s">
        <v>51</v>
      </c>
    </row>
    <row r="2561" spans="1:25" x14ac:dyDescent="0.25">
      <c r="A2561">
        <v>10400</v>
      </c>
      <c r="B2561">
        <v>46</v>
      </c>
      <c r="C2561">
        <v>87.8</v>
      </c>
      <c r="D2561">
        <v>5</v>
      </c>
      <c r="E2561">
        <v>4038.8</v>
      </c>
      <c r="F2561" s="1">
        <v>38443</v>
      </c>
      <c r="G2561" t="s">
        <v>25</v>
      </c>
      <c r="H2561">
        <v>2</v>
      </c>
      <c r="I2561">
        <v>4</v>
      </c>
      <c r="J2561">
        <v>2005</v>
      </c>
      <c r="K2561" t="s">
        <v>598</v>
      </c>
      <c r="L2561">
        <v>90</v>
      </c>
      <c r="M2561" t="s">
        <v>664</v>
      </c>
      <c r="N2561" t="s">
        <v>397</v>
      </c>
      <c r="O2561">
        <v>4085553659</v>
      </c>
      <c r="P2561" t="s">
        <v>398</v>
      </c>
      <c r="R2561" t="s">
        <v>399</v>
      </c>
      <c r="S2561" t="s">
        <v>55</v>
      </c>
      <c r="T2561">
        <v>94217</v>
      </c>
      <c r="U2561" t="s">
        <v>32</v>
      </c>
      <c r="V2561" t="s">
        <v>33</v>
      </c>
      <c r="W2561" t="s">
        <v>102</v>
      </c>
      <c r="X2561" t="s">
        <v>400</v>
      </c>
      <c r="Y2561" t="s">
        <v>51</v>
      </c>
    </row>
    <row r="2562" spans="1:25" x14ac:dyDescent="0.25">
      <c r="A2562">
        <v>10415</v>
      </c>
      <c r="B2562">
        <v>32</v>
      </c>
      <c r="C2562">
        <v>95.95</v>
      </c>
      <c r="D2562">
        <v>4</v>
      </c>
      <c r="E2562">
        <v>3070.4</v>
      </c>
      <c r="F2562" s="1">
        <v>38481</v>
      </c>
      <c r="G2562" t="s">
        <v>173</v>
      </c>
      <c r="H2562">
        <v>2</v>
      </c>
      <c r="I2562">
        <v>5</v>
      </c>
      <c r="J2562">
        <v>2005</v>
      </c>
      <c r="K2562" t="s">
        <v>598</v>
      </c>
      <c r="L2562">
        <v>90</v>
      </c>
      <c r="M2562" t="s">
        <v>664</v>
      </c>
      <c r="N2562" t="s">
        <v>558</v>
      </c>
      <c r="O2562" t="s">
        <v>559</v>
      </c>
      <c r="P2562" t="s">
        <v>560</v>
      </c>
      <c r="R2562" t="s">
        <v>561</v>
      </c>
      <c r="S2562" t="s">
        <v>94</v>
      </c>
      <c r="T2562">
        <v>3150</v>
      </c>
      <c r="U2562" t="s">
        <v>95</v>
      </c>
      <c r="V2562" t="s">
        <v>96</v>
      </c>
      <c r="W2562" t="s">
        <v>562</v>
      </c>
      <c r="X2562" t="s">
        <v>563</v>
      </c>
      <c r="Y2562" t="s">
        <v>51</v>
      </c>
    </row>
    <row r="2563" spans="1:25" x14ac:dyDescent="0.25">
      <c r="A2563">
        <v>10106</v>
      </c>
      <c r="B2563">
        <v>34</v>
      </c>
      <c r="C2563">
        <v>100</v>
      </c>
      <c r="D2563">
        <v>9</v>
      </c>
      <c r="E2563">
        <v>3763.46</v>
      </c>
      <c r="F2563" s="1">
        <v>37669</v>
      </c>
      <c r="G2563" t="s">
        <v>25</v>
      </c>
      <c r="H2563">
        <v>1</v>
      </c>
      <c r="I2563">
        <v>2</v>
      </c>
      <c r="J2563">
        <v>2003</v>
      </c>
      <c r="K2563" t="s">
        <v>566</v>
      </c>
      <c r="L2563">
        <v>99</v>
      </c>
      <c r="M2563" t="s">
        <v>665</v>
      </c>
      <c r="N2563" t="s">
        <v>552</v>
      </c>
      <c r="O2563" t="s">
        <v>553</v>
      </c>
      <c r="P2563" t="s">
        <v>554</v>
      </c>
      <c r="R2563" t="s">
        <v>555</v>
      </c>
      <c r="T2563">
        <v>24100</v>
      </c>
      <c r="U2563" t="s">
        <v>258</v>
      </c>
      <c r="V2563" t="s">
        <v>42</v>
      </c>
      <c r="W2563" t="s">
        <v>556</v>
      </c>
      <c r="X2563" t="s">
        <v>557</v>
      </c>
      <c r="Y2563" t="s">
        <v>51</v>
      </c>
    </row>
    <row r="2564" spans="1:25" x14ac:dyDescent="0.25">
      <c r="A2564">
        <v>10120</v>
      </c>
      <c r="B2564">
        <v>24</v>
      </c>
      <c r="C2564">
        <v>100</v>
      </c>
      <c r="D2564">
        <v>15</v>
      </c>
      <c r="E2564">
        <v>2584.8000000000002</v>
      </c>
      <c r="F2564" s="1">
        <v>37740</v>
      </c>
      <c r="G2564" t="s">
        <v>25</v>
      </c>
      <c r="H2564">
        <v>2</v>
      </c>
      <c r="I2564">
        <v>4</v>
      </c>
      <c r="J2564">
        <v>2003</v>
      </c>
      <c r="K2564" t="s">
        <v>566</v>
      </c>
      <c r="L2564">
        <v>99</v>
      </c>
      <c r="M2564" t="s">
        <v>665</v>
      </c>
      <c r="N2564" t="s">
        <v>89</v>
      </c>
      <c r="O2564" t="s">
        <v>90</v>
      </c>
      <c r="P2564" t="s">
        <v>91</v>
      </c>
      <c r="Q2564" t="s">
        <v>92</v>
      </c>
      <c r="R2564" t="s">
        <v>93</v>
      </c>
      <c r="S2564" t="s">
        <v>94</v>
      </c>
      <c r="T2564">
        <v>3004</v>
      </c>
      <c r="U2564" t="s">
        <v>95</v>
      </c>
      <c r="V2564" t="s">
        <v>96</v>
      </c>
      <c r="W2564" t="s">
        <v>97</v>
      </c>
      <c r="X2564" t="s">
        <v>98</v>
      </c>
      <c r="Y2564" t="s">
        <v>36</v>
      </c>
    </row>
    <row r="2565" spans="1:25" x14ac:dyDescent="0.25">
      <c r="A2565">
        <v>10131</v>
      </c>
      <c r="B2565">
        <v>40</v>
      </c>
      <c r="C2565">
        <v>100</v>
      </c>
      <c r="D2565">
        <v>1</v>
      </c>
      <c r="E2565">
        <v>4427.6000000000004</v>
      </c>
      <c r="F2565" s="1">
        <v>37788</v>
      </c>
      <c r="G2565" t="s">
        <v>25</v>
      </c>
      <c r="H2565">
        <v>2</v>
      </c>
      <c r="I2565">
        <v>6</v>
      </c>
      <c r="J2565">
        <v>2003</v>
      </c>
      <c r="K2565" t="s">
        <v>566</v>
      </c>
      <c r="L2565">
        <v>99</v>
      </c>
      <c r="M2565" t="s">
        <v>665</v>
      </c>
      <c r="N2565" t="s">
        <v>568</v>
      </c>
      <c r="O2565">
        <v>2035554407</v>
      </c>
      <c r="P2565" t="s">
        <v>569</v>
      </c>
      <c r="R2565" t="s">
        <v>516</v>
      </c>
      <c r="S2565" t="s">
        <v>112</v>
      </c>
      <c r="T2565">
        <v>97561</v>
      </c>
      <c r="U2565" t="s">
        <v>32</v>
      </c>
      <c r="V2565" t="s">
        <v>33</v>
      </c>
      <c r="W2565" t="s">
        <v>570</v>
      </c>
      <c r="X2565" t="s">
        <v>571</v>
      </c>
      <c r="Y2565" t="s">
        <v>51</v>
      </c>
    </row>
    <row r="2566" spans="1:25" x14ac:dyDescent="0.25">
      <c r="A2566">
        <v>10143</v>
      </c>
      <c r="B2566">
        <v>26</v>
      </c>
      <c r="C2566">
        <v>82.77</v>
      </c>
      <c r="D2566">
        <v>4</v>
      </c>
      <c r="E2566">
        <v>2152.02</v>
      </c>
      <c r="F2566" s="1">
        <v>37843</v>
      </c>
      <c r="G2566" t="s">
        <v>25</v>
      </c>
      <c r="H2566">
        <v>3</v>
      </c>
      <c r="I2566">
        <v>8</v>
      </c>
      <c r="J2566">
        <v>2003</v>
      </c>
      <c r="K2566" t="s">
        <v>566</v>
      </c>
      <c r="L2566">
        <v>99</v>
      </c>
      <c r="M2566" t="s">
        <v>665</v>
      </c>
      <c r="N2566" t="s">
        <v>335</v>
      </c>
      <c r="O2566">
        <v>5085559555</v>
      </c>
      <c r="P2566" t="s">
        <v>336</v>
      </c>
      <c r="R2566" t="s">
        <v>162</v>
      </c>
      <c r="S2566" t="s">
        <v>123</v>
      </c>
      <c r="T2566">
        <v>50553</v>
      </c>
      <c r="U2566" t="s">
        <v>32</v>
      </c>
      <c r="V2566" t="s">
        <v>33</v>
      </c>
      <c r="W2566" t="s">
        <v>337</v>
      </c>
      <c r="X2566" t="s">
        <v>338</v>
      </c>
      <c r="Y2566" t="s">
        <v>36</v>
      </c>
    </row>
    <row r="2567" spans="1:25" x14ac:dyDescent="0.25">
      <c r="A2567">
        <v>10155</v>
      </c>
      <c r="B2567">
        <v>20</v>
      </c>
      <c r="C2567">
        <v>100</v>
      </c>
      <c r="D2567">
        <v>2</v>
      </c>
      <c r="E2567">
        <v>2353.4</v>
      </c>
      <c r="F2567" s="1">
        <v>37900</v>
      </c>
      <c r="G2567" t="s">
        <v>25</v>
      </c>
      <c r="H2567">
        <v>4</v>
      </c>
      <c r="I2567">
        <v>10</v>
      </c>
      <c r="J2567">
        <v>2003</v>
      </c>
      <c r="K2567" t="s">
        <v>566</v>
      </c>
      <c r="L2567">
        <v>99</v>
      </c>
      <c r="M2567" t="s">
        <v>665</v>
      </c>
      <c r="N2567" t="s">
        <v>126</v>
      </c>
      <c r="O2567" t="s">
        <v>127</v>
      </c>
      <c r="P2567" t="s">
        <v>128</v>
      </c>
      <c r="R2567" t="s">
        <v>129</v>
      </c>
      <c r="T2567">
        <v>21240</v>
      </c>
      <c r="U2567" t="s">
        <v>130</v>
      </c>
      <c r="V2567" t="s">
        <v>42</v>
      </c>
      <c r="W2567" t="s">
        <v>131</v>
      </c>
      <c r="X2567" t="s">
        <v>132</v>
      </c>
      <c r="Y2567" t="s">
        <v>36</v>
      </c>
    </row>
    <row r="2568" spans="1:25" x14ac:dyDescent="0.25">
      <c r="A2568">
        <v>10168</v>
      </c>
      <c r="B2568">
        <v>31</v>
      </c>
      <c r="C2568">
        <v>100</v>
      </c>
      <c r="D2568">
        <v>16</v>
      </c>
      <c r="E2568">
        <v>3431.39</v>
      </c>
      <c r="F2568" s="1">
        <v>37922</v>
      </c>
      <c r="G2568" t="s">
        <v>25</v>
      </c>
      <c r="H2568">
        <v>4</v>
      </c>
      <c r="I2568">
        <v>10</v>
      </c>
      <c r="J2568">
        <v>2003</v>
      </c>
      <c r="K2568" t="s">
        <v>566</v>
      </c>
      <c r="L2568">
        <v>99</v>
      </c>
      <c r="M2568" t="s">
        <v>665</v>
      </c>
      <c r="N2568" t="s">
        <v>62</v>
      </c>
      <c r="O2568">
        <v>6505556809</v>
      </c>
      <c r="P2568" t="s">
        <v>63</v>
      </c>
      <c r="R2568" t="s">
        <v>64</v>
      </c>
      <c r="S2568" t="s">
        <v>55</v>
      </c>
      <c r="T2568">
        <v>94217</v>
      </c>
      <c r="U2568" t="s">
        <v>32</v>
      </c>
      <c r="V2568" t="s">
        <v>33</v>
      </c>
      <c r="W2568" t="s">
        <v>65</v>
      </c>
      <c r="X2568" t="s">
        <v>66</v>
      </c>
      <c r="Y2568" t="s">
        <v>51</v>
      </c>
    </row>
    <row r="2569" spans="1:25" x14ac:dyDescent="0.25">
      <c r="A2569">
        <v>10178</v>
      </c>
      <c r="B2569">
        <v>22</v>
      </c>
      <c r="C2569">
        <v>87.75</v>
      </c>
      <c r="D2569">
        <v>1</v>
      </c>
      <c r="E2569">
        <v>1930.5</v>
      </c>
      <c r="F2569" s="1">
        <v>37933</v>
      </c>
      <c r="G2569" t="s">
        <v>25</v>
      </c>
      <c r="H2569">
        <v>4</v>
      </c>
      <c r="I2569">
        <v>11</v>
      </c>
      <c r="J2569">
        <v>2003</v>
      </c>
      <c r="K2569" t="s">
        <v>566</v>
      </c>
      <c r="L2569">
        <v>99</v>
      </c>
      <c r="M2569" t="s">
        <v>665</v>
      </c>
      <c r="N2569" t="s">
        <v>340</v>
      </c>
      <c r="O2569" t="s">
        <v>341</v>
      </c>
      <c r="P2569" t="s">
        <v>342</v>
      </c>
      <c r="R2569" t="s">
        <v>343</v>
      </c>
      <c r="T2569">
        <v>31000</v>
      </c>
      <c r="U2569" t="s">
        <v>41</v>
      </c>
      <c r="V2569" t="s">
        <v>42</v>
      </c>
      <c r="W2569" t="s">
        <v>344</v>
      </c>
      <c r="X2569" t="s">
        <v>345</v>
      </c>
      <c r="Y2569" t="s">
        <v>36</v>
      </c>
    </row>
    <row r="2570" spans="1:25" x14ac:dyDescent="0.25">
      <c r="A2570">
        <v>10198</v>
      </c>
      <c r="B2570">
        <v>42</v>
      </c>
      <c r="C2570">
        <v>100</v>
      </c>
      <c r="D2570">
        <v>1</v>
      </c>
      <c r="E2570">
        <v>4774.5600000000004</v>
      </c>
      <c r="F2570" s="1">
        <v>37952</v>
      </c>
      <c r="G2570" t="s">
        <v>25</v>
      </c>
      <c r="H2570">
        <v>4</v>
      </c>
      <c r="I2570">
        <v>11</v>
      </c>
      <c r="J2570">
        <v>2003</v>
      </c>
      <c r="K2570" t="s">
        <v>566</v>
      </c>
      <c r="L2570">
        <v>99</v>
      </c>
      <c r="M2570" t="s">
        <v>665</v>
      </c>
      <c r="N2570" t="s">
        <v>425</v>
      </c>
      <c r="O2570" t="s">
        <v>426</v>
      </c>
      <c r="P2570" t="s">
        <v>427</v>
      </c>
      <c r="R2570" t="s">
        <v>428</v>
      </c>
      <c r="T2570" t="s">
        <v>429</v>
      </c>
      <c r="U2570" t="s">
        <v>430</v>
      </c>
      <c r="V2570" t="s">
        <v>200</v>
      </c>
      <c r="W2570" t="s">
        <v>431</v>
      </c>
      <c r="X2570" t="s">
        <v>432</v>
      </c>
      <c r="Y2570" t="s">
        <v>51</v>
      </c>
    </row>
    <row r="2571" spans="1:25" x14ac:dyDescent="0.25">
      <c r="A2571">
        <v>10210</v>
      </c>
      <c r="B2571">
        <v>26</v>
      </c>
      <c r="C2571">
        <v>99.72</v>
      </c>
      <c r="D2571">
        <v>14</v>
      </c>
      <c r="E2571">
        <v>2592.7199999999998</v>
      </c>
      <c r="F2571" s="1">
        <v>37998</v>
      </c>
      <c r="G2571" t="s">
        <v>25</v>
      </c>
      <c r="H2571">
        <v>1</v>
      </c>
      <c r="I2571">
        <v>1</v>
      </c>
      <c r="J2571">
        <v>2004</v>
      </c>
      <c r="K2571" t="s">
        <v>566</v>
      </c>
      <c r="L2571">
        <v>99</v>
      </c>
      <c r="M2571" t="s">
        <v>665</v>
      </c>
      <c r="N2571" t="s">
        <v>302</v>
      </c>
      <c r="O2571" t="s">
        <v>303</v>
      </c>
      <c r="P2571" t="s">
        <v>304</v>
      </c>
      <c r="R2571" t="s">
        <v>305</v>
      </c>
      <c r="S2571" t="s">
        <v>305</v>
      </c>
      <c r="T2571" t="s">
        <v>306</v>
      </c>
      <c r="U2571" t="s">
        <v>200</v>
      </c>
      <c r="V2571" t="s">
        <v>200</v>
      </c>
      <c r="W2571" t="s">
        <v>307</v>
      </c>
      <c r="X2571" t="s">
        <v>308</v>
      </c>
      <c r="Y2571" t="s">
        <v>36</v>
      </c>
    </row>
    <row r="2572" spans="1:25" x14ac:dyDescent="0.25">
      <c r="A2572">
        <v>10222</v>
      </c>
      <c r="B2572">
        <v>37</v>
      </c>
      <c r="C2572">
        <v>87.75</v>
      </c>
      <c r="D2572">
        <v>1</v>
      </c>
      <c r="E2572">
        <v>3246.75</v>
      </c>
      <c r="F2572" s="1">
        <v>38036</v>
      </c>
      <c r="G2572" t="s">
        <v>25</v>
      </c>
      <c r="H2572">
        <v>1</v>
      </c>
      <c r="I2572">
        <v>2</v>
      </c>
      <c r="J2572">
        <v>2004</v>
      </c>
      <c r="K2572" t="s">
        <v>566</v>
      </c>
      <c r="L2572">
        <v>99</v>
      </c>
      <c r="M2572" t="s">
        <v>665</v>
      </c>
      <c r="N2572" t="s">
        <v>362</v>
      </c>
      <c r="O2572">
        <v>7605558146</v>
      </c>
      <c r="P2572" t="s">
        <v>363</v>
      </c>
      <c r="R2572" t="s">
        <v>364</v>
      </c>
      <c r="S2572" t="s">
        <v>55</v>
      </c>
      <c r="T2572">
        <v>91217</v>
      </c>
      <c r="U2572" t="s">
        <v>32</v>
      </c>
      <c r="V2572" t="s">
        <v>33</v>
      </c>
      <c r="W2572" t="s">
        <v>237</v>
      </c>
      <c r="X2572" t="s">
        <v>276</v>
      </c>
      <c r="Y2572" t="s">
        <v>51</v>
      </c>
    </row>
    <row r="2573" spans="1:25" x14ac:dyDescent="0.25">
      <c r="A2573">
        <v>10235</v>
      </c>
      <c r="B2573">
        <v>38</v>
      </c>
      <c r="C2573">
        <v>88.75</v>
      </c>
      <c r="D2573">
        <v>10</v>
      </c>
      <c r="E2573">
        <v>3372.5</v>
      </c>
      <c r="F2573" s="1">
        <v>38079</v>
      </c>
      <c r="G2573" t="s">
        <v>25</v>
      </c>
      <c r="H2573">
        <v>2</v>
      </c>
      <c r="I2573">
        <v>4</v>
      </c>
      <c r="J2573">
        <v>2004</v>
      </c>
      <c r="K2573" t="s">
        <v>566</v>
      </c>
      <c r="L2573">
        <v>99</v>
      </c>
      <c r="M2573" t="s">
        <v>665</v>
      </c>
      <c r="N2573" t="s">
        <v>373</v>
      </c>
      <c r="O2573" t="s">
        <v>374</v>
      </c>
      <c r="P2573" t="s">
        <v>375</v>
      </c>
      <c r="R2573" t="s">
        <v>376</v>
      </c>
      <c r="S2573" t="s">
        <v>229</v>
      </c>
      <c r="T2573" t="s">
        <v>377</v>
      </c>
      <c r="U2573" t="s">
        <v>231</v>
      </c>
      <c r="V2573" t="s">
        <v>33</v>
      </c>
      <c r="W2573" t="s">
        <v>378</v>
      </c>
      <c r="X2573" t="s">
        <v>172</v>
      </c>
      <c r="Y2573" t="s">
        <v>51</v>
      </c>
    </row>
    <row r="2574" spans="1:25" x14ac:dyDescent="0.25">
      <c r="A2574">
        <v>10250</v>
      </c>
      <c r="B2574">
        <v>35</v>
      </c>
      <c r="C2574">
        <v>100</v>
      </c>
      <c r="D2574">
        <v>11</v>
      </c>
      <c r="E2574">
        <v>3909.15</v>
      </c>
      <c r="F2574" s="1">
        <v>38118</v>
      </c>
      <c r="G2574" t="s">
        <v>25</v>
      </c>
      <c r="H2574">
        <v>2</v>
      </c>
      <c r="I2574">
        <v>5</v>
      </c>
      <c r="J2574">
        <v>2004</v>
      </c>
      <c r="K2574" t="s">
        <v>566</v>
      </c>
      <c r="L2574">
        <v>99</v>
      </c>
      <c r="M2574" t="s">
        <v>665</v>
      </c>
      <c r="N2574" t="s">
        <v>397</v>
      </c>
      <c r="O2574">
        <v>4085553659</v>
      </c>
      <c r="P2574" t="s">
        <v>398</v>
      </c>
      <c r="R2574" t="s">
        <v>399</v>
      </c>
      <c r="S2574" t="s">
        <v>55</v>
      </c>
      <c r="T2574">
        <v>94217</v>
      </c>
      <c r="U2574" t="s">
        <v>32</v>
      </c>
      <c r="V2574" t="s">
        <v>33</v>
      </c>
      <c r="W2574" t="s">
        <v>102</v>
      </c>
      <c r="X2574" t="s">
        <v>400</v>
      </c>
      <c r="Y2574" t="s">
        <v>51</v>
      </c>
    </row>
    <row r="2575" spans="1:25" x14ac:dyDescent="0.25">
      <c r="A2575">
        <v>10262</v>
      </c>
      <c r="B2575">
        <v>33</v>
      </c>
      <c r="C2575">
        <v>90.75</v>
      </c>
      <c r="D2575">
        <v>6</v>
      </c>
      <c r="E2575">
        <v>2994.75</v>
      </c>
      <c r="F2575" s="1">
        <v>38162</v>
      </c>
      <c r="G2575" t="s">
        <v>339</v>
      </c>
      <c r="H2575">
        <v>2</v>
      </c>
      <c r="I2575">
        <v>6</v>
      </c>
      <c r="J2575">
        <v>2004</v>
      </c>
      <c r="K2575" t="s">
        <v>566</v>
      </c>
      <c r="L2575">
        <v>99</v>
      </c>
      <c r="M2575" t="s">
        <v>665</v>
      </c>
      <c r="N2575" t="s">
        <v>174</v>
      </c>
      <c r="O2575" t="s">
        <v>175</v>
      </c>
      <c r="P2575" t="s">
        <v>176</v>
      </c>
      <c r="R2575" t="s">
        <v>177</v>
      </c>
      <c r="T2575">
        <v>28034</v>
      </c>
      <c r="U2575" t="s">
        <v>178</v>
      </c>
      <c r="V2575" t="s">
        <v>42</v>
      </c>
      <c r="W2575" t="s">
        <v>179</v>
      </c>
      <c r="X2575" t="s">
        <v>180</v>
      </c>
      <c r="Y2575" t="s">
        <v>36</v>
      </c>
    </row>
    <row r="2576" spans="1:25" x14ac:dyDescent="0.25">
      <c r="A2576">
        <v>10275</v>
      </c>
      <c r="B2576">
        <v>39</v>
      </c>
      <c r="C2576">
        <v>100</v>
      </c>
      <c r="D2576">
        <v>16</v>
      </c>
      <c r="E2576">
        <v>4472.5200000000004</v>
      </c>
      <c r="F2576" s="1">
        <v>38191</v>
      </c>
      <c r="G2576" t="s">
        <v>25</v>
      </c>
      <c r="H2576">
        <v>3</v>
      </c>
      <c r="I2576">
        <v>7</v>
      </c>
      <c r="J2576">
        <v>2004</v>
      </c>
      <c r="K2576" t="s">
        <v>566</v>
      </c>
      <c r="L2576">
        <v>99</v>
      </c>
      <c r="M2576" t="s">
        <v>665</v>
      </c>
      <c r="N2576" t="s">
        <v>114</v>
      </c>
      <c r="O2576" t="s">
        <v>115</v>
      </c>
      <c r="P2576" t="s">
        <v>116</v>
      </c>
      <c r="R2576" t="s">
        <v>117</v>
      </c>
      <c r="T2576">
        <v>44000</v>
      </c>
      <c r="U2576" t="s">
        <v>41</v>
      </c>
      <c r="V2576" t="s">
        <v>42</v>
      </c>
      <c r="W2576" t="s">
        <v>118</v>
      </c>
      <c r="X2576" t="s">
        <v>119</v>
      </c>
      <c r="Y2576" t="s">
        <v>51</v>
      </c>
    </row>
    <row r="2577" spans="1:25" x14ac:dyDescent="0.25">
      <c r="A2577">
        <v>10284</v>
      </c>
      <c r="B2577">
        <v>45</v>
      </c>
      <c r="C2577">
        <v>100</v>
      </c>
      <c r="D2577">
        <v>8</v>
      </c>
      <c r="E2577">
        <v>4576.95</v>
      </c>
      <c r="F2577" s="1">
        <v>38220</v>
      </c>
      <c r="G2577" t="s">
        <v>25</v>
      </c>
      <c r="H2577">
        <v>3</v>
      </c>
      <c r="I2577">
        <v>8</v>
      </c>
      <c r="J2577">
        <v>2004</v>
      </c>
      <c r="K2577" t="s">
        <v>566</v>
      </c>
      <c r="L2577">
        <v>99</v>
      </c>
      <c r="M2577" t="s">
        <v>665</v>
      </c>
      <c r="N2577" t="s">
        <v>543</v>
      </c>
      <c r="O2577" t="s">
        <v>544</v>
      </c>
      <c r="P2577" t="s">
        <v>545</v>
      </c>
      <c r="R2577" t="s">
        <v>546</v>
      </c>
      <c r="T2577" t="s">
        <v>547</v>
      </c>
      <c r="U2577" t="s">
        <v>78</v>
      </c>
      <c r="V2577" t="s">
        <v>42</v>
      </c>
      <c r="W2577" t="s">
        <v>548</v>
      </c>
      <c r="X2577" t="s">
        <v>549</v>
      </c>
      <c r="Y2577" t="s">
        <v>51</v>
      </c>
    </row>
    <row r="2578" spans="1:25" x14ac:dyDescent="0.25">
      <c r="A2578">
        <v>10296</v>
      </c>
      <c r="B2578">
        <v>24</v>
      </c>
      <c r="C2578">
        <v>100</v>
      </c>
      <c r="D2578">
        <v>4</v>
      </c>
      <c r="E2578">
        <v>2441.04</v>
      </c>
      <c r="F2578" s="1">
        <v>38245</v>
      </c>
      <c r="G2578" t="s">
        <v>25</v>
      </c>
      <c r="H2578">
        <v>3</v>
      </c>
      <c r="I2578">
        <v>9</v>
      </c>
      <c r="J2578">
        <v>2004</v>
      </c>
      <c r="K2578" t="s">
        <v>566</v>
      </c>
      <c r="L2578">
        <v>99</v>
      </c>
      <c r="M2578" t="s">
        <v>665</v>
      </c>
      <c r="N2578" t="s">
        <v>572</v>
      </c>
      <c r="O2578" t="s">
        <v>573</v>
      </c>
      <c r="P2578" t="s">
        <v>574</v>
      </c>
      <c r="R2578" t="s">
        <v>575</v>
      </c>
      <c r="T2578">
        <v>80686</v>
      </c>
      <c r="U2578" t="s">
        <v>443</v>
      </c>
      <c r="V2578" t="s">
        <v>42</v>
      </c>
      <c r="W2578" t="s">
        <v>576</v>
      </c>
      <c r="X2578" t="s">
        <v>103</v>
      </c>
      <c r="Y2578" t="s">
        <v>36</v>
      </c>
    </row>
    <row r="2579" spans="1:25" x14ac:dyDescent="0.25">
      <c r="A2579">
        <v>10308</v>
      </c>
      <c r="B2579">
        <v>35</v>
      </c>
      <c r="C2579">
        <v>88.75</v>
      </c>
      <c r="D2579">
        <v>14</v>
      </c>
      <c r="E2579">
        <v>3106.25</v>
      </c>
      <c r="F2579" s="1">
        <v>38275</v>
      </c>
      <c r="G2579" t="s">
        <v>25</v>
      </c>
      <c r="H2579">
        <v>4</v>
      </c>
      <c r="I2579">
        <v>10</v>
      </c>
      <c r="J2579">
        <v>2004</v>
      </c>
      <c r="K2579" t="s">
        <v>566</v>
      </c>
      <c r="L2579">
        <v>99</v>
      </c>
      <c r="M2579" t="s">
        <v>665</v>
      </c>
      <c r="N2579" t="s">
        <v>317</v>
      </c>
      <c r="O2579">
        <v>9145554562</v>
      </c>
      <c r="P2579" t="s">
        <v>318</v>
      </c>
      <c r="R2579" t="s">
        <v>319</v>
      </c>
      <c r="S2579" t="s">
        <v>31</v>
      </c>
      <c r="T2579">
        <v>24067</v>
      </c>
      <c r="U2579" t="s">
        <v>32</v>
      </c>
      <c r="V2579" t="s">
        <v>33</v>
      </c>
      <c r="W2579" t="s">
        <v>102</v>
      </c>
      <c r="X2579" t="s">
        <v>238</v>
      </c>
      <c r="Y2579" t="s">
        <v>51</v>
      </c>
    </row>
    <row r="2580" spans="1:25" x14ac:dyDescent="0.25">
      <c r="A2580">
        <v>10316</v>
      </c>
      <c r="B2580">
        <v>23</v>
      </c>
      <c r="C2580">
        <v>100</v>
      </c>
      <c r="D2580">
        <v>6</v>
      </c>
      <c r="E2580">
        <v>2706.41</v>
      </c>
      <c r="F2580" s="1">
        <v>38292</v>
      </c>
      <c r="G2580" t="s">
        <v>25</v>
      </c>
      <c r="H2580">
        <v>4</v>
      </c>
      <c r="I2580">
        <v>11</v>
      </c>
      <c r="J2580">
        <v>2004</v>
      </c>
      <c r="K2580" t="s">
        <v>566</v>
      </c>
      <c r="L2580">
        <v>99</v>
      </c>
      <c r="M2580" t="s">
        <v>665</v>
      </c>
      <c r="N2580" t="s">
        <v>383</v>
      </c>
      <c r="O2580" t="s">
        <v>384</v>
      </c>
      <c r="P2580" t="s">
        <v>385</v>
      </c>
      <c r="R2580" t="s">
        <v>386</v>
      </c>
      <c r="S2580" t="s">
        <v>387</v>
      </c>
      <c r="T2580" t="s">
        <v>388</v>
      </c>
      <c r="U2580" t="s">
        <v>170</v>
      </c>
      <c r="V2580" t="s">
        <v>42</v>
      </c>
      <c r="W2580" t="s">
        <v>389</v>
      </c>
      <c r="X2580" t="s">
        <v>390</v>
      </c>
      <c r="Y2580" t="s">
        <v>36</v>
      </c>
    </row>
    <row r="2581" spans="1:25" x14ac:dyDescent="0.25">
      <c r="A2581">
        <v>10328</v>
      </c>
      <c r="B2581">
        <v>37</v>
      </c>
      <c r="C2581">
        <v>100</v>
      </c>
      <c r="D2581">
        <v>10</v>
      </c>
      <c r="E2581">
        <v>4021.53</v>
      </c>
      <c r="F2581" s="1">
        <v>38303</v>
      </c>
      <c r="G2581" t="s">
        <v>25</v>
      </c>
      <c r="H2581">
        <v>4</v>
      </c>
      <c r="I2581">
        <v>11</v>
      </c>
      <c r="J2581">
        <v>2004</v>
      </c>
      <c r="K2581" t="s">
        <v>566</v>
      </c>
      <c r="L2581">
        <v>99</v>
      </c>
      <c r="M2581" t="s">
        <v>665</v>
      </c>
      <c r="N2581" t="s">
        <v>552</v>
      </c>
      <c r="O2581" t="s">
        <v>553</v>
      </c>
      <c r="P2581" t="s">
        <v>554</v>
      </c>
      <c r="R2581" t="s">
        <v>555</v>
      </c>
      <c r="T2581">
        <v>24100</v>
      </c>
      <c r="U2581" t="s">
        <v>258</v>
      </c>
      <c r="V2581" t="s">
        <v>42</v>
      </c>
      <c r="W2581" t="s">
        <v>556</v>
      </c>
      <c r="X2581" t="s">
        <v>557</v>
      </c>
      <c r="Y2581" t="s">
        <v>51</v>
      </c>
    </row>
    <row r="2582" spans="1:25" x14ac:dyDescent="0.25">
      <c r="A2582">
        <v>10340</v>
      </c>
      <c r="B2582">
        <v>55</v>
      </c>
      <c r="C2582">
        <v>87.75</v>
      </c>
      <c r="D2582">
        <v>7</v>
      </c>
      <c r="E2582">
        <v>4826.25</v>
      </c>
      <c r="F2582" s="1">
        <v>38315</v>
      </c>
      <c r="G2582" t="s">
        <v>25</v>
      </c>
      <c r="H2582">
        <v>4</v>
      </c>
      <c r="I2582">
        <v>11</v>
      </c>
      <c r="J2582">
        <v>2004</v>
      </c>
      <c r="K2582" t="s">
        <v>566</v>
      </c>
      <c r="L2582">
        <v>99</v>
      </c>
      <c r="M2582" t="s">
        <v>665</v>
      </c>
      <c r="N2582" t="s">
        <v>352</v>
      </c>
      <c r="O2582" t="s">
        <v>353</v>
      </c>
      <c r="P2582" t="s">
        <v>354</v>
      </c>
      <c r="R2582" t="s">
        <v>355</v>
      </c>
      <c r="T2582">
        <v>8022</v>
      </c>
      <c r="U2582" t="s">
        <v>178</v>
      </c>
      <c r="V2582" t="s">
        <v>42</v>
      </c>
      <c r="W2582" t="s">
        <v>356</v>
      </c>
      <c r="X2582" t="s">
        <v>357</v>
      </c>
      <c r="Y2582" t="s">
        <v>51</v>
      </c>
    </row>
    <row r="2583" spans="1:25" x14ac:dyDescent="0.25">
      <c r="A2583">
        <v>10352</v>
      </c>
      <c r="B2583">
        <v>49</v>
      </c>
      <c r="C2583">
        <v>100</v>
      </c>
      <c r="D2583">
        <v>2</v>
      </c>
      <c r="E2583">
        <v>4935.28</v>
      </c>
      <c r="F2583" s="1">
        <v>38324</v>
      </c>
      <c r="G2583" t="s">
        <v>25</v>
      </c>
      <c r="H2583">
        <v>4</v>
      </c>
      <c r="I2583">
        <v>12</v>
      </c>
      <c r="J2583">
        <v>2004</v>
      </c>
      <c r="K2583" t="s">
        <v>566</v>
      </c>
      <c r="L2583">
        <v>99</v>
      </c>
      <c r="M2583" t="s">
        <v>665</v>
      </c>
      <c r="N2583" t="s">
        <v>600</v>
      </c>
      <c r="O2583">
        <v>6175558428</v>
      </c>
      <c r="P2583" t="s">
        <v>601</v>
      </c>
      <c r="R2583" t="s">
        <v>283</v>
      </c>
      <c r="S2583" t="s">
        <v>123</v>
      </c>
      <c r="T2583">
        <v>58339</v>
      </c>
      <c r="U2583" t="s">
        <v>32</v>
      </c>
      <c r="V2583" t="s">
        <v>33</v>
      </c>
      <c r="W2583" t="s">
        <v>529</v>
      </c>
      <c r="X2583" t="s">
        <v>245</v>
      </c>
      <c r="Y2583" t="s">
        <v>51</v>
      </c>
    </row>
    <row r="2584" spans="1:25" x14ac:dyDescent="0.25">
      <c r="A2584">
        <v>10361</v>
      </c>
      <c r="B2584">
        <v>26</v>
      </c>
      <c r="C2584">
        <v>100</v>
      </c>
      <c r="D2584">
        <v>9</v>
      </c>
      <c r="E2584">
        <v>2754.7</v>
      </c>
      <c r="F2584" s="1">
        <v>38338</v>
      </c>
      <c r="G2584" t="s">
        <v>25</v>
      </c>
      <c r="H2584">
        <v>4</v>
      </c>
      <c r="I2584">
        <v>12</v>
      </c>
      <c r="J2584">
        <v>2004</v>
      </c>
      <c r="K2584" t="s">
        <v>566</v>
      </c>
      <c r="L2584">
        <v>99</v>
      </c>
      <c r="M2584" t="s">
        <v>665</v>
      </c>
      <c r="N2584" t="s">
        <v>152</v>
      </c>
      <c r="O2584" t="s">
        <v>153</v>
      </c>
      <c r="P2584" t="s">
        <v>154</v>
      </c>
      <c r="Q2584" t="s">
        <v>155</v>
      </c>
      <c r="R2584" t="s">
        <v>156</v>
      </c>
      <c r="S2584" t="s">
        <v>157</v>
      </c>
      <c r="T2584">
        <v>2067</v>
      </c>
      <c r="U2584" t="s">
        <v>95</v>
      </c>
      <c r="V2584" t="s">
        <v>96</v>
      </c>
      <c r="W2584" t="s">
        <v>158</v>
      </c>
      <c r="X2584" t="s">
        <v>159</v>
      </c>
      <c r="Y2584" t="s">
        <v>36</v>
      </c>
    </row>
    <row r="2585" spans="1:25" x14ac:dyDescent="0.25">
      <c r="A2585">
        <v>10375</v>
      </c>
      <c r="B2585">
        <v>33</v>
      </c>
      <c r="C2585">
        <v>100</v>
      </c>
      <c r="D2585">
        <v>1</v>
      </c>
      <c r="E2585">
        <v>3856.71</v>
      </c>
      <c r="F2585" s="1">
        <v>38386</v>
      </c>
      <c r="G2585" t="s">
        <v>25</v>
      </c>
      <c r="H2585">
        <v>1</v>
      </c>
      <c r="I2585">
        <v>2</v>
      </c>
      <c r="J2585">
        <v>2005</v>
      </c>
      <c r="K2585" t="s">
        <v>566</v>
      </c>
      <c r="L2585">
        <v>99</v>
      </c>
      <c r="M2585" t="s">
        <v>665</v>
      </c>
      <c r="N2585" t="s">
        <v>114</v>
      </c>
      <c r="O2585" t="s">
        <v>115</v>
      </c>
      <c r="P2585" t="s">
        <v>116</v>
      </c>
      <c r="R2585" t="s">
        <v>117</v>
      </c>
      <c r="T2585">
        <v>44000</v>
      </c>
      <c r="U2585" t="s">
        <v>41</v>
      </c>
      <c r="V2585" t="s">
        <v>42</v>
      </c>
      <c r="W2585" t="s">
        <v>118</v>
      </c>
      <c r="X2585" t="s">
        <v>119</v>
      </c>
      <c r="Y2585" t="s">
        <v>51</v>
      </c>
    </row>
    <row r="2586" spans="1:25" x14ac:dyDescent="0.25">
      <c r="A2586">
        <v>10386</v>
      </c>
      <c r="B2586">
        <v>37</v>
      </c>
      <c r="C2586">
        <v>83.84</v>
      </c>
      <c r="D2586">
        <v>14</v>
      </c>
      <c r="E2586">
        <v>3102.08</v>
      </c>
      <c r="F2586" s="1">
        <v>38412</v>
      </c>
      <c r="G2586" t="s">
        <v>408</v>
      </c>
      <c r="H2586">
        <v>1</v>
      </c>
      <c r="I2586">
        <v>3</v>
      </c>
      <c r="J2586">
        <v>2005</v>
      </c>
      <c r="K2586" t="s">
        <v>566</v>
      </c>
      <c r="L2586">
        <v>99</v>
      </c>
      <c r="M2586" t="s">
        <v>665</v>
      </c>
      <c r="N2586" t="s">
        <v>174</v>
      </c>
      <c r="O2586" t="s">
        <v>175</v>
      </c>
      <c r="P2586" t="s">
        <v>176</v>
      </c>
      <c r="R2586" t="s">
        <v>177</v>
      </c>
      <c r="T2586">
        <v>28034</v>
      </c>
      <c r="U2586" t="s">
        <v>178</v>
      </c>
      <c r="V2586" t="s">
        <v>42</v>
      </c>
      <c r="W2586" t="s">
        <v>179</v>
      </c>
      <c r="X2586" t="s">
        <v>180</v>
      </c>
      <c r="Y2586" t="s">
        <v>51</v>
      </c>
    </row>
    <row r="2587" spans="1:25" x14ac:dyDescent="0.25">
      <c r="A2587">
        <v>10398</v>
      </c>
      <c r="B2587">
        <v>22</v>
      </c>
      <c r="C2587">
        <v>86.76</v>
      </c>
      <c r="D2587">
        <v>8</v>
      </c>
      <c r="E2587">
        <v>1908.72</v>
      </c>
      <c r="F2587" s="1">
        <v>38441</v>
      </c>
      <c r="G2587" t="s">
        <v>25</v>
      </c>
      <c r="H2587">
        <v>1</v>
      </c>
      <c r="I2587">
        <v>3</v>
      </c>
      <c r="J2587">
        <v>2005</v>
      </c>
      <c r="K2587" t="s">
        <v>566</v>
      </c>
      <c r="L2587">
        <v>99</v>
      </c>
      <c r="M2587" t="s">
        <v>665</v>
      </c>
      <c r="N2587" t="s">
        <v>37</v>
      </c>
      <c r="O2587" t="s">
        <v>38</v>
      </c>
      <c r="P2587" t="s">
        <v>39</v>
      </c>
      <c r="R2587" t="s">
        <v>40</v>
      </c>
      <c r="T2587">
        <v>51100</v>
      </c>
      <c r="U2587" t="s">
        <v>41</v>
      </c>
      <c r="V2587" t="s">
        <v>42</v>
      </c>
      <c r="W2587" t="s">
        <v>43</v>
      </c>
      <c r="X2587" t="s">
        <v>44</v>
      </c>
      <c r="Y2587" t="s">
        <v>36</v>
      </c>
    </row>
    <row r="2588" spans="1:25" x14ac:dyDescent="0.25">
      <c r="A2588">
        <v>10401</v>
      </c>
      <c r="B2588">
        <v>85</v>
      </c>
      <c r="C2588">
        <v>88.75</v>
      </c>
      <c r="D2588">
        <v>10</v>
      </c>
      <c r="E2588">
        <v>7543.75</v>
      </c>
      <c r="F2588" s="1">
        <v>38445</v>
      </c>
      <c r="G2588" t="s">
        <v>401</v>
      </c>
      <c r="H2588">
        <v>2</v>
      </c>
      <c r="I2588">
        <v>4</v>
      </c>
      <c r="J2588">
        <v>2005</v>
      </c>
      <c r="K2588" t="s">
        <v>566</v>
      </c>
      <c r="L2588">
        <v>99</v>
      </c>
      <c r="M2588" t="s">
        <v>665</v>
      </c>
      <c r="N2588" t="s">
        <v>104</v>
      </c>
      <c r="O2588">
        <v>2015559350</v>
      </c>
      <c r="P2588" t="s">
        <v>105</v>
      </c>
      <c r="R2588" t="s">
        <v>106</v>
      </c>
      <c r="S2588" t="s">
        <v>107</v>
      </c>
      <c r="T2588">
        <v>94019</v>
      </c>
      <c r="U2588" t="s">
        <v>32</v>
      </c>
      <c r="V2588" t="s">
        <v>33</v>
      </c>
      <c r="W2588" t="s">
        <v>61</v>
      </c>
      <c r="X2588" t="s">
        <v>108</v>
      </c>
      <c r="Y2588" t="s">
        <v>151</v>
      </c>
    </row>
    <row r="2589" spans="1:25" x14ac:dyDescent="0.25">
      <c r="A2589">
        <v>10416</v>
      </c>
      <c r="B2589">
        <v>22</v>
      </c>
      <c r="C2589">
        <v>100</v>
      </c>
      <c r="D2589">
        <v>11</v>
      </c>
      <c r="E2589">
        <v>2457.1799999999998</v>
      </c>
      <c r="F2589" s="1">
        <v>38482</v>
      </c>
      <c r="G2589" t="s">
        <v>25</v>
      </c>
      <c r="H2589">
        <v>2</v>
      </c>
      <c r="I2589">
        <v>5</v>
      </c>
      <c r="J2589">
        <v>2005</v>
      </c>
      <c r="K2589" t="s">
        <v>566</v>
      </c>
      <c r="L2589">
        <v>99</v>
      </c>
      <c r="M2589" t="s">
        <v>665</v>
      </c>
      <c r="N2589" t="s">
        <v>452</v>
      </c>
      <c r="O2589" t="s">
        <v>453</v>
      </c>
      <c r="P2589" t="s">
        <v>454</v>
      </c>
      <c r="R2589" t="s">
        <v>455</v>
      </c>
      <c r="T2589">
        <v>42100</v>
      </c>
      <c r="U2589" t="s">
        <v>258</v>
      </c>
      <c r="V2589" t="s">
        <v>42</v>
      </c>
      <c r="W2589" t="s">
        <v>456</v>
      </c>
      <c r="X2589" t="s">
        <v>457</v>
      </c>
      <c r="Y2589" t="s">
        <v>36</v>
      </c>
    </row>
    <row r="2590" spans="1:25" x14ac:dyDescent="0.25">
      <c r="A2590">
        <v>10105</v>
      </c>
      <c r="B2590">
        <v>31</v>
      </c>
      <c r="C2590">
        <v>65.77</v>
      </c>
      <c r="D2590">
        <v>3</v>
      </c>
      <c r="E2590">
        <v>2038.87</v>
      </c>
      <c r="F2590" s="1">
        <v>37663</v>
      </c>
      <c r="G2590" t="s">
        <v>25</v>
      </c>
      <c r="H2590">
        <v>1</v>
      </c>
      <c r="I2590">
        <v>2</v>
      </c>
      <c r="J2590">
        <v>2003</v>
      </c>
      <c r="K2590" t="s">
        <v>598</v>
      </c>
      <c r="L2590">
        <v>72</v>
      </c>
      <c r="M2590" t="s">
        <v>666</v>
      </c>
      <c r="N2590" t="s">
        <v>322</v>
      </c>
      <c r="O2590" t="s">
        <v>323</v>
      </c>
      <c r="P2590" t="s">
        <v>324</v>
      </c>
      <c r="R2590" t="s">
        <v>325</v>
      </c>
      <c r="T2590">
        <v>1734</v>
      </c>
      <c r="U2590" t="s">
        <v>326</v>
      </c>
      <c r="V2590" t="s">
        <v>42</v>
      </c>
      <c r="W2590" t="s">
        <v>327</v>
      </c>
      <c r="X2590" t="s">
        <v>328</v>
      </c>
      <c r="Y2590" t="s">
        <v>36</v>
      </c>
    </row>
    <row r="2591" spans="1:25" x14ac:dyDescent="0.25">
      <c r="A2591">
        <v>10119</v>
      </c>
      <c r="B2591">
        <v>38</v>
      </c>
      <c r="C2591">
        <v>65.77</v>
      </c>
      <c r="D2591">
        <v>12</v>
      </c>
      <c r="E2591">
        <v>2499.2600000000002</v>
      </c>
      <c r="F2591" s="1">
        <v>37739</v>
      </c>
      <c r="G2591" t="s">
        <v>25</v>
      </c>
      <c r="H2591">
        <v>2</v>
      </c>
      <c r="I2591">
        <v>4</v>
      </c>
      <c r="J2591">
        <v>2003</v>
      </c>
      <c r="K2591" t="s">
        <v>598</v>
      </c>
      <c r="L2591">
        <v>72</v>
      </c>
      <c r="M2591" t="s">
        <v>666</v>
      </c>
      <c r="N2591" t="s">
        <v>144</v>
      </c>
      <c r="O2591" t="s">
        <v>145</v>
      </c>
      <c r="P2591" t="s">
        <v>146</v>
      </c>
      <c r="R2591" t="s">
        <v>147</v>
      </c>
      <c r="T2591">
        <v>5020</v>
      </c>
      <c r="U2591" t="s">
        <v>148</v>
      </c>
      <c r="V2591" t="s">
        <v>42</v>
      </c>
      <c r="W2591" t="s">
        <v>149</v>
      </c>
      <c r="X2591" t="s">
        <v>150</v>
      </c>
      <c r="Y2591" t="s">
        <v>36</v>
      </c>
    </row>
    <row r="2592" spans="1:25" x14ac:dyDescent="0.25">
      <c r="A2592">
        <v>10129</v>
      </c>
      <c r="B2592">
        <v>45</v>
      </c>
      <c r="C2592">
        <v>85.29</v>
      </c>
      <c r="D2592">
        <v>3</v>
      </c>
      <c r="E2592">
        <v>3838.05</v>
      </c>
      <c r="F2592" s="1">
        <v>37784</v>
      </c>
      <c r="G2592" t="s">
        <v>25</v>
      </c>
      <c r="H2592">
        <v>2</v>
      </c>
      <c r="I2592">
        <v>6</v>
      </c>
      <c r="J2592">
        <v>2003</v>
      </c>
      <c r="K2592" t="s">
        <v>598</v>
      </c>
      <c r="L2592">
        <v>72</v>
      </c>
      <c r="M2592" t="s">
        <v>666</v>
      </c>
      <c r="N2592" t="s">
        <v>329</v>
      </c>
      <c r="O2592" t="s">
        <v>330</v>
      </c>
      <c r="P2592" t="s">
        <v>331</v>
      </c>
      <c r="R2592" t="s">
        <v>332</v>
      </c>
      <c r="T2592" t="s">
        <v>333</v>
      </c>
      <c r="U2592" t="s">
        <v>170</v>
      </c>
      <c r="V2592" t="s">
        <v>42</v>
      </c>
      <c r="W2592" t="s">
        <v>61</v>
      </c>
      <c r="X2592" t="s">
        <v>334</v>
      </c>
      <c r="Y2592" t="s">
        <v>51</v>
      </c>
    </row>
    <row r="2593" spans="1:25" x14ac:dyDescent="0.25">
      <c r="A2593">
        <v>10143</v>
      </c>
      <c r="B2593">
        <v>31</v>
      </c>
      <c r="C2593">
        <v>85.29</v>
      </c>
      <c r="D2593">
        <v>16</v>
      </c>
      <c r="E2593">
        <v>2643.99</v>
      </c>
      <c r="F2593" s="1">
        <v>37843</v>
      </c>
      <c r="G2593" t="s">
        <v>25</v>
      </c>
      <c r="H2593">
        <v>3</v>
      </c>
      <c r="I2593">
        <v>8</v>
      </c>
      <c r="J2593">
        <v>2003</v>
      </c>
      <c r="K2593" t="s">
        <v>598</v>
      </c>
      <c r="L2593">
        <v>72</v>
      </c>
      <c r="M2593" t="s">
        <v>666</v>
      </c>
      <c r="N2593" t="s">
        <v>335</v>
      </c>
      <c r="O2593">
        <v>5085559555</v>
      </c>
      <c r="P2593" t="s">
        <v>336</v>
      </c>
      <c r="R2593" t="s">
        <v>162</v>
      </c>
      <c r="S2593" t="s">
        <v>123</v>
      </c>
      <c r="T2593">
        <v>50553</v>
      </c>
      <c r="U2593" t="s">
        <v>32</v>
      </c>
      <c r="V2593" t="s">
        <v>33</v>
      </c>
      <c r="W2593" t="s">
        <v>337</v>
      </c>
      <c r="X2593" t="s">
        <v>338</v>
      </c>
      <c r="Y2593" t="s">
        <v>36</v>
      </c>
    </row>
    <row r="2594" spans="1:25" x14ac:dyDescent="0.25">
      <c r="A2594">
        <v>10154</v>
      </c>
      <c r="B2594">
        <v>36</v>
      </c>
      <c r="C2594">
        <v>64.33</v>
      </c>
      <c r="D2594">
        <v>1</v>
      </c>
      <c r="E2594">
        <v>2315.88</v>
      </c>
      <c r="F2594" s="1">
        <v>37896</v>
      </c>
      <c r="G2594" t="s">
        <v>25</v>
      </c>
      <c r="H2594">
        <v>4</v>
      </c>
      <c r="I2594">
        <v>10</v>
      </c>
      <c r="J2594">
        <v>2003</v>
      </c>
      <c r="K2594" t="s">
        <v>598</v>
      </c>
      <c r="L2594">
        <v>72</v>
      </c>
      <c r="M2594" t="s">
        <v>666</v>
      </c>
      <c r="N2594" t="s">
        <v>514</v>
      </c>
      <c r="O2594">
        <v>3105552373</v>
      </c>
      <c r="P2594" t="s">
        <v>515</v>
      </c>
      <c r="R2594" t="s">
        <v>516</v>
      </c>
      <c r="S2594" t="s">
        <v>55</v>
      </c>
      <c r="T2594">
        <v>92561</v>
      </c>
      <c r="U2594" t="s">
        <v>32</v>
      </c>
      <c r="V2594" t="s">
        <v>33</v>
      </c>
      <c r="W2594" t="s">
        <v>56</v>
      </c>
      <c r="X2594" t="s">
        <v>245</v>
      </c>
      <c r="Y2594" t="s">
        <v>36</v>
      </c>
    </row>
    <row r="2595" spans="1:25" x14ac:dyDescent="0.25">
      <c r="A2595">
        <v>10167</v>
      </c>
      <c r="B2595">
        <v>46</v>
      </c>
      <c r="C2595">
        <v>70.11</v>
      </c>
      <c r="D2595">
        <v>10</v>
      </c>
      <c r="E2595">
        <v>3225.06</v>
      </c>
      <c r="F2595" s="1">
        <v>37917</v>
      </c>
      <c r="G2595" t="s">
        <v>339</v>
      </c>
      <c r="H2595">
        <v>4</v>
      </c>
      <c r="I2595">
        <v>10</v>
      </c>
      <c r="J2595">
        <v>2003</v>
      </c>
      <c r="K2595" t="s">
        <v>598</v>
      </c>
      <c r="L2595">
        <v>72</v>
      </c>
      <c r="M2595" t="s">
        <v>666</v>
      </c>
      <c r="N2595" t="s">
        <v>261</v>
      </c>
      <c r="O2595" t="s">
        <v>262</v>
      </c>
      <c r="P2595" t="s">
        <v>263</v>
      </c>
      <c r="R2595" t="s">
        <v>264</v>
      </c>
      <c r="T2595" t="s">
        <v>265</v>
      </c>
      <c r="U2595" t="s">
        <v>188</v>
      </c>
      <c r="V2595" t="s">
        <v>42</v>
      </c>
      <c r="W2595" t="s">
        <v>266</v>
      </c>
      <c r="X2595" t="s">
        <v>206</v>
      </c>
      <c r="Y2595" t="s">
        <v>51</v>
      </c>
    </row>
    <row r="2596" spans="1:25" x14ac:dyDescent="0.25">
      <c r="A2596">
        <v>10177</v>
      </c>
      <c r="B2596">
        <v>32</v>
      </c>
      <c r="C2596">
        <v>76.62</v>
      </c>
      <c r="D2596">
        <v>1</v>
      </c>
      <c r="E2596">
        <v>2451.84</v>
      </c>
      <c r="F2596" s="1">
        <v>37932</v>
      </c>
      <c r="G2596" t="s">
        <v>25</v>
      </c>
      <c r="H2596">
        <v>4</v>
      </c>
      <c r="I2596">
        <v>11</v>
      </c>
      <c r="J2596">
        <v>2003</v>
      </c>
      <c r="K2596" t="s">
        <v>598</v>
      </c>
      <c r="L2596">
        <v>72</v>
      </c>
      <c r="M2596" t="s">
        <v>666</v>
      </c>
      <c r="N2596" t="s">
        <v>487</v>
      </c>
      <c r="O2596" t="s">
        <v>488</v>
      </c>
      <c r="P2596" t="s">
        <v>489</v>
      </c>
      <c r="R2596" t="s">
        <v>177</v>
      </c>
      <c r="T2596">
        <v>28023</v>
      </c>
      <c r="U2596" t="s">
        <v>178</v>
      </c>
      <c r="V2596" t="s">
        <v>42</v>
      </c>
      <c r="W2596" t="s">
        <v>490</v>
      </c>
      <c r="X2596" t="s">
        <v>491</v>
      </c>
      <c r="Y2596" t="s">
        <v>36</v>
      </c>
    </row>
    <row r="2597" spans="1:25" x14ac:dyDescent="0.25">
      <c r="A2597">
        <v>10185</v>
      </c>
      <c r="B2597">
        <v>39</v>
      </c>
      <c r="C2597">
        <v>57.82</v>
      </c>
      <c r="D2597">
        <v>1</v>
      </c>
      <c r="E2597">
        <v>2254.98</v>
      </c>
      <c r="F2597" s="1">
        <v>37939</v>
      </c>
      <c r="G2597" t="s">
        <v>25</v>
      </c>
      <c r="H2597">
        <v>4</v>
      </c>
      <c r="I2597">
        <v>11</v>
      </c>
      <c r="J2597">
        <v>2003</v>
      </c>
      <c r="K2597" t="s">
        <v>598</v>
      </c>
      <c r="L2597">
        <v>72</v>
      </c>
      <c r="M2597" t="s">
        <v>666</v>
      </c>
      <c r="N2597" t="s">
        <v>335</v>
      </c>
      <c r="O2597">
        <v>5085559555</v>
      </c>
      <c r="P2597" t="s">
        <v>336</v>
      </c>
      <c r="R2597" t="s">
        <v>162</v>
      </c>
      <c r="S2597" t="s">
        <v>123</v>
      </c>
      <c r="T2597">
        <v>50553</v>
      </c>
      <c r="U2597" t="s">
        <v>32</v>
      </c>
      <c r="V2597" t="s">
        <v>33</v>
      </c>
      <c r="W2597" t="s">
        <v>337</v>
      </c>
      <c r="X2597" t="s">
        <v>338</v>
      </c>
      <c r="Y2597" t="s">
        <v>36</v>
      </c>
    </row>
    <row r="2598" spans="1:25" x14ac:dyDescent="0.25">
      <c r="A2598">
        <v>10197</v>
      </c>
      <c r="B2598">
        <v>50</v>
      </c>
      <c r="C2598">
        <v>78.790000000000006</v>
      </c>
      <c r="D2598">
        <v>7</v>
      </c>
      <c r="E2598">
        <v>3939.5</v>
      </c>
      <c r="F2598" s="1">
        <v>37951</v>
      </c>
      <c r="G2598" t="s">
        <v>25</v>
      </c>
      <c r="H2598">
        <v>4</v>
      </c>
      <c r="I2598">
        <v>11</v>
      </c>
      <c r="J2598">
        <v>2003</v>
      </c>
      <c r="K2598" t="s">
        <v>598</v>
      </c>
      <c r="L2598">
        <v>72</v>
      </c>
      <c r="M2598" t="s">
        <v>666</v>
      </c>
      <c r="N2598" t="s">
        <v>352</v>
      </c>
      <c r="O2598" t="s">
        <v>353</v>
      </c>
      <c r="P2598" t="s">
        <v>354</v>
      </c>
      <c r="R2598" t="s">
        <v>355</v>
      </c>
      <c r="T2598">
        <v>8022</v>
      </c>
      <c r="U2598" t="s">
        <v>178</v>
      </c>
      <c r="V2598" t="s">
        <v>42</v>
      </c>
      <c r="W2598" t="s">
        <v>356</v>
      </c>
      <c r="X2598" t="s">
        <v>357</v>
      </c>
      <c r="Y2598" t="s">
        <v>51</v>
      </c>
    </row>
    <row r="2599" spans="1:25" x14ac:dyDescent="0.25">
      <c r="A2599">
        <v>10208</v>
      </c>
      <c r="B2599">
        <v>46</v>
      </c>
      <c r="C2599">
        <v>74.45</v>
      </c>
      <c r="D2599">
        <v>1</v>
      </c>
      <c r="E2599">
        <v>3424.7</v>
      </c>
      <c r="F2599" s="1">
        <v>37988</v>
      </c>
      <c r="G2599" t="s">
        <v>25</v>
      </c>
      <c r="H2599">
        <v>1</v>
      </c>
      <c r="I2599">
        <v>1</v>
      </c>
      <c r="J2599">
        <v>2004</v>
      </c>
      <c r="K2599" t="s">
        <v>598</v>
      </c>
      <c r="L2599">
        <v>72</v>
      </c>
      <c r="M2599" t="s">
        <v>666</v>
      </c>
      <c r="N2599" t="s">
        <v>219</v>
      </c>
      <c r="O2599" t="s">
        <v>220</v>
      </c>
      <c r="P2599" t="s">
        <v>221</v>
      </c>
      <c r="R2599" t="s">
        <v>222</v>
      </c>
      <c r="T2599">
        <v>69004</v>
      </c>
      <c r="U2599" t="s">
        <v>41</v>
      </c>
      <c r="V2599" t="s">
        <v>42</v>
      </c>
      <c r="W2599" t="s">
        <v>223</v>
      </c>
      <c r="X2599" t="s">
        <v>224</v>
      </c>
      <c r="Y2599" t="s">
        <v>51</v>
      </c>
    </row>
    <row r="2600" spans="1:25" x14ac:dyDescent="0.25">
      <c r="A2600">
        <v>10222</v>
      </c>
      <c r="B2600">
        <v>36</v>
      </c>
      <c r="C2600">
        <v>80.95</v>
      </c>
      <c r="D2600">
        <v>13</v>
      </c>
      <c r="E2600">
        <v>2914.2</v>
      </c>
      <c r="F2600" s="1">
        <v>38036</v>
      </c>
      <c r="G2600" t="s">
        <v>25</v>
      </c>
      <c r="H2600">
        <v>1</v>
      </c>
      <c r="I2600">
        <v>2</v>
      </c>
      <c r="J2600">
        <v>2004</v>
      </c>
      <c r="K2600" t="s">
        <v>598</v>
      </c>
      <c r="L2600">
        <v>72</v>
      </c>
      <c r="M2600" t="s">
        <v>666</v>
      </c>
      <c r="N2600" t="s">
        <v>362</v>
      </c>
      <c r="O2600">
        <v>7605558146</v>
      </c>
      <c r="P2600" t="s">
        <v>363</v>
      </c>
      <c r="R2600" t="s">
        <v>364</v>
      </c>
      <c r="S2600" t="s">
        <v>55</v>
      </c>
      <c r="T2600">
        <v>91217</v>
      </c>
      <c r="U2600" t="s">
        <v>32</v>
      </c>
      <c r="V2600" t="s">
        <v>33</v>
      </c>
      <c r="W2600" t="s">
        <v>237</v>
      </c>
      <c r="X2600" t="s">
        <v>276</v>
      </c>
      <c r="Y2600" t="s">
        <v>36</v>
      </c>
    </row>
    <row r="2601" spans="1:25" x14ac:dyDescent="0.25">
      <c r="A2601">
        <v>10233</v>
      </c>
      <c r="B2601">
        <v>29</v>
      </c>
      <c r="C2601">
        <v>82.4</v>
      </c>
      <c r="D2601">
        <v>1</v>
      </c>
      <c r="E2601">
        <v>2389.6</v>
      </c>
      <c r="F2601" s="1">
        <v>38075</v>
      </c>
      <c r="G2601" t="s">
        <v>25</v>
      </c>
      <c r="H2601">
        <v>1</v>
      </c>
      <c r="I2601">
        <v>3</v>
      </c>
      <c r="J2601">
        <v>2004</v>
      </c>
      <c r="K2601" t="s">
        <v>598</v>
      </c>
      <c r="L2601">
        <v>72</v>
      </c>
      <c r="M2601" t="s">
        <v>666</v>
      </c>
      <c r="N2601" t="s">
        <v>104</v>
      </c>
      <c r="O2601">
        <v>2015559350</v>
      </c>
      <c r="P2601" t="s">
        <v>105</v>
      </c>
      <c r="R2601" t="s">
        <v>106</v>
      </c>
      <c r="S2601" t="s">
        <v>107</v>
      </c>
      <c r="T2601">
        <v>94019</v>
      </c>
      <c r="U2601" t="s">
        <v>32</v>
      </c>
      <c r="V2601" t="s">
        <v>33</v>
      </c>
      <c r="W2601" t="s">
        <v>61</v>
      </c>
      <c r="X2601" t="s">
        <v>108</v>
      </c>
      <c r="Y2601" t="s">
        <v>36</v>
      </c>
    </row>
    <row r="2602" spans="1:25" x14ac:dyDescent="0.25">
      <c r="A2602">
        <v>10248</v>
      </c>
      <c r="B2602">
        <v>32</v>
      </c>
      <c r="C2602">
        <v>75.89</v>
      </c>
      <c r="D2602">
        <v>4</v>
      </c>
      <c r="E2602">
        <v>2428.48</v>
      </c>
      <c r="F2602" s="1">
        <v>38114</v>
      </c>
      <c r="G2602" t="s">
        <v>339</v>
      </c>
      <c r="H2602">
        <v>2</v>
      </c>
      <c r="I2602">
        <v>5</v>
      </c>
      <c r="J2602">
        <v>2004</v>
      </c>
      <c r="K2602" t="s">
        <v>598</v>
      </c>
      <c r="L2602">
        <v>72</v>
      </c>
      <c r="M2602" t="s">
        <v>666</v>
      </c>
      <c r="N2602" t="s">
        <v>28</v>
      </c>
      <c r="O2602">
        <v>2125557818</v>
      </c>
      <c r="P2602" t="s">
        <v>29</v>
      </c>
      <c r="R2602" t="s">
        <v>30</v>
      </c>
      <c r="S2602" t="s">
        <v>31</v>
      </c>
      <c r="T2602">
        <v>10022</v>
      </c>
      <c r="U2602" t="s">
        <v>32</v>
      </c>
      <c r="V2602" t="s">
        <v>33</v>
      </c>
      <c r="W2602" t="s">
        <v>34</v>
      </c>
      <c r="X2602" t="s">
        <v>35</v>
      </c>
      <c r="Y2602" t="s">
        <v>36</v>
      </c>
    </row>
    <row r="2603" spans="1:25" x14ac:dyDescent="0.25">
      <c r="A2603">
        <v>10261</v>
      </c>
      <c r="B2603">
        <v>44</v>
      </c>
      <c r="C2603">
        <v>68.67</v>
      </c>
      <c r="D2603">
        <v>2</v>
      </c>
      <c r="E2603">
        <v>3021.48</v>
      </c>
      <c r="F2603" s="1">
        <v>38155</v>
      </c>
      <c r="G2603" t="s">
        <v>25</v>
      </c>
      <c r="H2603">
        <v>2</v>
      </c>
      <c r="I2603">
        <v>6</v>
      </c>
      <c r="J2603">
        <v>2004</v>
      </c>
      <c r="K2603" t="s">
        <v>598</v>
      </c>
      <c r="L2603">
        <v>72</v>
      </c>
      <c r="M2603" t="s">
        <v>666</v>
      </c>
      <c r="N2603" t="s">
        <v>292</v>
      </c>
      <c r="O2603" t="s">
        <v>293</v>
      </c>
      <c r="P2603" t="s">
        <v>294</v>
      </c>
      <c r="R2603" t="s">
        <v>295</v>
      </c>
      <c r="S2603" t="s">
        <v>296</v>
      </c>
      <c r="T2603" t="s">
        <v>297</v>
      </c>
      <c r="U2603" t="s">
        <v>231</v>
      </c>
      <c r="V2603" t="s">
        <v>33</v>
      </c>
      <c r="W2603" t="s">
        <v>298</v>
      </c>
      <c r="X2603" t="s">
        <v>299</v>
      </c>
      <c r="Y2603" t="s">
        <v>51</v>
      </c>
    </row>
    <row r="2604" spans="1:25" x14ac:dyDescent="0.25">
      <c r="A2604">
        <v>10273</v>
      </c>
      <c r="B2604">
        <v>42</v>
      </c>
      <c r="C2604">
        <v>62.16</v>
      </c>
      <c r="D2604">
        <v>5</v>
      </c>
      <c r="E2604">
        <v>2610.7199999999998</v>
      </c>
      <c r="F2604" s="1">
        <v>38189</v>
      </c>
      <c r="G2604" t="s">
        <v>25</v>
      </c>
      <c r="H2604">
        <v>3</v>
      </c>
      <c r="I2604">
        <v>7</v>
      </c>
      <c r="J2604">
        <v>2004</v>
      </c>
      <c r="K2604" t="s">
        <v>598</v>
      </c>
      <c r="L2604">
        <v>72</v>
      </c>
      <c r="M2604" t="s">
        <v>666</v>
      </c>
      <c r="N2604" t="s">
        <v>365</v>
      </c>
      <c r="O2604" t="s">
        <v>366</v>
      </c>
      <c r="P2604" t="s">
        <v>367</v>
      </c>
      <c r="R2604" t="s">
        <v>368</v>
      </c>
      <c r="T2604" t="s">
        <v>369</v>
      </c>
      <c r="U2604" t="s">
        <v>370</v>
      </c>
      <c r="V2604" t="s">
        <v>42</v>
      </c>
      <c r="W2604" t="s">
        <v>371</v>
      </c>
      <c r="X2604" t="s">
        <v>372</v>
      </c>
      <c r="Y2604" t="s">
        <v>36</v>
      </c>
    </row>
    <row r="2605" spans="1:25" x14ac:dyDescent="0.25">
      <c r="A2605">
        <v>10283</v>
      </c>
      <c r="B2605">
        <v>47</v>
      </c>
      <c r="C2605">
        <v>65.77</v>
      </c>
      <c r="D2605">
        <v>7</v>
      </c>
      <c r="E2605">
        <v>3091.19</v>
      </c>
      <c r="F2605" s="1">
        <v>38219</v>
      </c>
      <c r="G2605" t="s">
        <v>25</v>
      </c>
      <c r="H2605">
        <v>3</v>
      </c>
      <c r="I2605">
        <v>8</v>
      </c>
      <c r="J2605">
        <v>2004</v>
      </c>
      <c r="K2605" t="s">
        <v>598</v>
      </c>
      <c r="L2605">
        <v>72</v>
      </c>
      <c r="M2605" t="s">
        <v>666</v>
      </c>
      <c r="N2605" t="s">
        <v>373</v>
      </c>
      <c r="O2605" t="s">
        <v>374</v>
      </c>
      <c r="P2605" t="s">
        <v>375</v>
      </c>
      <c r="R2605" t="s">
        <v>376</v>
      </c>
      <c r="S2605" t="s">
        <v>229</v>
      </c>
      <c r="T2605" t="s">
        <v>377</v>
      </c>
      <c r="U2605" t="s">
        <v>231</v>
      </c>
      <c r="V2605" t="s">
        <v>33</v>
      </c>
      <c r="W2605" t="s">
        <v>378</v>
      </c>
      <c r="X2605" t="s">
        <v>172</v>
      </c>
      <c r="Y2605" t="s">
        <v>51</v>
      </c>
    </row>
    <row r="2606" spans="1:25" x14ac:dyDescent="0.25">
      <c r="A2606">
        <v>10295</v>
      </c>
      <c r="B2606">
        <v>44</v>
      </c>
      <c r="C2606">
        <v>58.55</v>
      </c>
      <c r="D2606">
        <v>2</v>
      </c>
      <c r="E2606">
        <v>2576.1999999999998</v>
      </c>
      <c r="F2606" s="1">
        <v>38240</v>
      </c>
      <c r="G2606" t="s">
        <v>25</v>
      </c>
      <c r="H2606">
        <v>3</v>
      </c>
      <c r="I2606">
        <v>9</v>
      </c>
      <c r="J2606">
        <v>2004</v>
      </c>
      <c r="K2606" t="s">
        <v>598</v>
      </c>
      <c r="L2606">
        <v>72</v>
      </c>
      <c r="M2606" t="s">
        <v>666</v>
      </c>
      <c r="N2606" t="s">
        <v>379</v>
      </c>
      <c r="O2606">
        <v>6175559555</v>
      </c>
      <c r="P2606" t="s">
        <v>380</v>
      </c>
      <c r="R2606" t="s">
        <v>381</v>
      </c>
      <c r="S2606" t="s">
        <v>123</v>
      </c>
      <c r="T2606">
        <v>51003</v>
      </c>
      <c r="U2606" t="s">
        <v>32</v>
      </c>
      <c r="V2606" t="s">
        <v>33</v>
      </c>
      <c r="W2606" t="s">
        <v>382</v>
      </c>
      <c r="X2606" t="s">
        <v>66</v>
      </c>
      <c r="Y2606" t="s">
        <v>36</v>
      </c>
    </row>
    <row r="2607" spans="1:25" x14ac:dyDescent="0.25">
      <c r="A2607">
        <v>10306</v>
      </c>
      <c r="B2607">
        <v>43</v>
      </c>
      <c r="C2607">
        <v>75.17</v>
      </c>
      <c r="D2607">
        <v>1</v>
      </c>
      <c r="E2607">
        <v>3232.31</v>
      </c>
      <c r="F2607" s="1">
        <v>38274</v>
      </c>
      <c r="G2607" t="s">
        <v>25</v>
      </c>
      <c r="H2607">
        <v>4</v>
      </c>
      <c r="I2607">
        <v>10</v>
      </c>
      <c r="J2607">
        <v>2004</v>
      </c>
      <c r="K2607" t="s">
        <v>598</v>
      </c>
      <c r="L2607">
        <v>72</v>
      </c>
      <c r="M2607" t="s">
        <v>666</v>
      </c>
      <c r="N2607" t="s">
        <v>492</v>
      </c>
      <c r="O2607" t="s">
        <v>493</v>
      </c>
      <c r="P2607" t="s">
        <v>494</v>
      </c>
      <c r="R2607" t="s">
        <v>495</v>
      </c>
      <c r="T2607" t="s">
        <v>496</v>
      </c>
      <c r="U2607" t="s">
        <v>170</v>
      </c>
      <c r="V2607" t="s">
        <v>42</v>
      </c>
      <c r="W2607" t="s">
        <v>497</v>
      </c>
      <c r="X2607" t="s">
        <v>94</v>
      </c>
      <c r="Y2607" t="s">
        <v>51</v>
      </c>
    </row>
    <row r="2608" spans="1:25" x14ac:dyDescent="0.25">
      <c r="A2608">
        <v>10316</v>
      </c>
      <c r="B2608">
        <v>48</v>
      </c>
      <c r="C2608">
        <v>74.45</v>
      </c>
      <c r="D2608">
        <v>18</v>
      </c>
      <c r="E2608">
        <v>3573.6</v>
      </c>
      <c r="F2608" s="1">
        <v>38292</v>
      </c>
      <c r="G2608" t="s">
        <v>25</v>
      </c>
      <c r="H2608">
        <v>4</v>
      </c>
      <c r="I2608">
        <v>11</v>
      </c>
      <c r="J2608">
        <v>2004</v>
      </c>
      <c r="K2608" t="s">
        <v>598</v>
      </c>
      <c r="L2608">
        <v>72</v>
      </c>
      <c r="M2608" t="s">
        <v>666</v>
      </c>
      <c r="N2608" t="s">
        <v>383</v>
      </c>
      <c r="O2608" t="s">
        <v>384</v>
      </c>
      <c r="P2608" t="s">
        <v>385</v>
      </c>
      <c r="R2608" t="s">
        <v>386</v>
      </c>
      <c r="S2608" t="s">
        <v>387</v>
      </c>
      <c r="T2608" t="s">
        <v>388</v>
      </c>
      <c r="U2608" t="s">
        <v>170</v>
      </c>
      <c r="V2608" t="s">
        <v>42</v>
      </c>
      <c r="W2608" t="s">
        <v>389</v>
      </c>
      <c r="X2608" t="s">
        <v>390</v>
      </c>
      <c r="Y2608" t="s">
        <v>51</v>
      </c>
    </row>
    <row r="2609" spans="1:25" x14ac:dyDescent="0.25">
      <c r="A2609">
        <v>10327</v>
      </c>
      <c r="B2609">
        <v>21</v>
      </c>
      <c r="C2609">
        <v>96.31</v>
      </c>
      <c r="D2609">
        <v>1</v>
      </c>
      <c r="E2609">
        <v>2022.51</v>
      </c>
      <c r="F2609" s="1">
        <v>38301</v>
      </c>
      <c r="G2609" t="s">
        <v>408</v>
      </c>
      <c r="H2609">
        <v>4</v>
      </c>
      <c r="I2609">
        <v>11</v>
      </c>
      <c r="J2609">
        <v>2004</v>
      </c>
      <c r="K2609" t="s">
        <v>598</v>
      </c>
      <c r="L2609">
        <v>72</v>
      </c>
      <c r="M2609" t="s">
        <v>666</v>
      </c>
      <c r="N2609" t="s">
        <v>322</v>
      </c>
      <c r="O2609" t="s">
        <v>323</v>
      </c>
      <c r="P2609" t="s">
        <v>324</v>
      </c>
      <c r="R2609" t="s">
        <v>325</v>
      </c>
      <c r="T2609">
        <v>1734</v>
      </c>
      <c r="U2609" t="s">
        <v>326</v>
      </c>
      <c r="V2609" t="s">
        <v>42</v>
      </c>
      <c r="W2609" t="s">
        <v>327</v>
      </c>
      <c r="X2609" t="s">
        <v>328</v>
      </c>
      <c r="Y2609" t="s">
        <v>36</v>
      </c>
    </row>
    <row r="2610" spans="1:25" x14ac:dyDescent="0.25">
      <c r="A2610">
        <v>10339</v>
      </c>
      <c r="B2610">
        <v>50</v>
      </c>
      <c r="C2610">
        <v>74.349999999999994</v>
      </c>
      <c r="D2610">
        <v>9</v>
      </c>
      <c r="E2610">
        <v>3717.5</v>
      </c>
      <c r="F2610" s="1">
        <v>38314</v>
      </c>
      <c r="G2610" t="s">
        <v>25</v>
      </c>
      <c r="H2610">
        <v>4</v>
      </c>
      <c r="I2610">
        <v>11</v>
      </c>
      <c r="J2610">
        <v>2004</v>
      </c>
      <c r="K2610" t="s">
        <v>598</v>
      </c>
      <c r="L2610">
        <v>72</v>
      </c>
      <c r="M2610" t="s">
        <v>666</v>
      </c>
      <c r="N2610" t="s">
        <v>246</v>
      </c>
      <c r="O2610" t="s">
        <v>247</v>
      </c>
      <c r="P2610" t="s">
        <v>248</v>
      </c>
      <c r="R2610" t="s">
        <v>249</v>
      </c>
      <c r="S2610" t="s">
        <v>250</v>
      </c>
      <c r="T2610" t="s">
        <v>251</v>
      </c>
      <c r="U2610" t="s">
        <v>200</v>
      </c>
      <c r="V2610" t="s">
        <v>200</v>
      </c>
      <c r="W2610" t="s">
        <v>252</v>
      </c>
      <c r="X2610" t="s">
        <v>253</v>
      </c>
      <c r="Y2610" t="s">
        <v>51</v>
      </c>
    </row>
    <row r="2611" spans="1:25" x14ac:dyDescent="0.25">
      <c r="A2611">
        <v>10350</v>
      </c>
      <c r="B2611">
        <v>29</v>
      </c>
      <c r="C2611">
        <v>75.349999999999994</v>
      </c>
      <c r="D2611">
        <v>12</v>
      </c>
      <c r="E2611">
        <v>2185.15</v>
      </c>
      <c r="F2611" s="1">
        <v>38323</v>
      </c>
      <c r="G2611" t="s">
        <v>25</v>
      </c>
      <c r="H2611">
        <v>4</v>
      </c>
      <c r="I2611">
        <v>12</v>
      </c>
      <c r="J2611">
        <v>2004</v>
      </c>
      <c r="K2611" t="s">
        <v>598</v>
      </c>
      <c r="L2611">
        <v>72</v>
      </c>
      <c r="M2611" t="s">
        <v>666</v>
      </c>
      <c r="N2611" t="s">
        <v>174</v>
      </c>
      <c r="O2611" t="s">
        <v>175</v>
      </c>
      <c r="P2611" t="s">
        <v>176</v>
      </c>
      <c r="R2611" t="s">
        <v>177</v>
      </c>
      <c r="T2611">
        <v>28034</v>
      </c>
      <c r="U2611" t="s">
        <v>178</v>
      </c>
      <c r="V2611" t="s">
        <v>42</v>
      </c>
      <c r="W2611" t="s">
        <v>179</v>
      </c>
      <c r="X2611" t="s">
        <v>180</v>
      </c>
      <c r="Y2611" t="s">
        <v>36</v>
      </c>
    </row>
    <row r="2612" spans="1:25" x14ac:dyDescent="0.25">
      <c r="A2612">
        <v>10373</v>
      </c>
      <c r="B2612">
        <v>41</v>
      </c>
      <c r="C2612">
        <v>70.33</v>
      </c>
      <c r="D2612">
        <v>16</v>
      </c>
      <c r="E2612">
        <v>2883.53</v>
      </c>
      <c r="F2612" s="1">
        <v>38383</v>
      </c>
      <c r="G2612" t="s">
        <v>25</v>
      </c>
      <c r="H2612">
        <v>1</v>
      </c>
      <c r="I2612">
        <v>1</v>
      </c>
      <c r="J2612">
        <v>2005</v>
      </c>
      <c r="K2612" t="s">
        <v>598</v>
      </c>
      <c r="L2612">
        <v>72</v>
      </c>
      <c r="M2612" t="s">
        <v>666</v>
      </c>
      <c r="N2612" t="s">
        <v>391</v>
      </c>
      <c r="O2612" t="s">
        <v>392</v>
      </c>
      <c r="P2612" t="s">
        <v>393</v>
      </c>
      <c r="R2612" t="s">
        <v>394</v>
      </c>
      <c r="T2612">
        <v>90110</v>
      </c>
      <c r="U2612" t="s">
        <v>130</v>
      </c>
      <c r="V2612" t="s">
        <v>42</v>
      </c>
      <c r="W2612" t="s">
        <v>395</v>
      </c>
      <c r="X2612" t="s">
        <v>396</v>
      </c>
      <c r="Y2612" t="s">
        <v>36</v>
      </c>
    </row>
    <row r="2613" spans="1:25" x14ac:dyDescent="0.25">
      <c r="A2613">
        <v>10386</v>
      </c>
      <c r="B2613">
        <v>37</v>
      </c>
      <c r="C2613">
        <v>100</v>
      </c>
      <c r="D2613">
        <v>10</v>
      </c>
      <c r="E2613">
        <v>5017.57</v>
      </c>
      <c r="F2613" s="1">
        <v>38412</v>
      </c>
      <c r="G2613" t="s">
        <v>408</v>
      </c>
      <c r="H2613">
        <v>1</v>
      </c>
      <c r="I2613">
        <v>3</v>
      </c>
      <c r="J2613">
        <v>2005</v>
      </c>
      <c r="K2613" t="s">
        <v>598</v>
      </c>
      <c r="L2613">
        <v>72</v>
      </c>
      <c r="M2613" t="s">
        <v>666</v>
      </c>
      <c r="N2613" t="s">
        <v>174</v>
      </c>
      <c r="O2613" t="s">
        <v>175</v>
      </c>
      <c r="P2613" t="s">
        <v>176</v>
      </c>
      <c r="R2613" t="s">
        <v>177</v>
      </c>
      <c r="T2613">
        <v>28034</v>
      </c>
      <c r="U2613" t="s">
        <v>178</v>
      </c>
      <c r="V2613" t="s">
        <v>42</v>
      </c>
      <c r="W2613" t="s">
        <v>179</v>
      </c>
      <c r="X2613" t="s">
        <v>180</v>
      </c>
      <c r="Y2613" t="s">
        <v>51</v>
      </c>
    </row>
    <row r="2614" spans="1:25" x14ac:dyDescent="0.25">
      <c r="A2614">
        <v>10397</v>
      </c>
      <c r="B2614">
        <v>22</v>
      </c>
      <c r="C2614">
        <v>66.5</v>
      </c>
      <c r="D2614">
        <v>4</v>
      </c>
      <c r="E2614">
        <v>1463</v>
      </c>
      <c r="F2614" s="1">
        <v>38439</v>
      </c>
      <c r="G2614" t="s">
        <v>25</v>
      </c>
      <c r="H2614">
        <v>1</v>
      </c>
      <c r="I2614">
        <v>3</v>
      </c>
      <c r="J2614">
        <v>2005</v>
      </c>
      <c r="K2614" t="s">
        <v>598</v>
      </c>
      <c r="L2614">
        <v>72</v>
      </c>
      <c r="M2614" t="s">
        <v>666</v>
      </c>
      <c r="N2614" t="s">
        <v>340</v>
      </c>
      <c r="O2614" t="s">
        <v>341</v>
      </c>
      <c r="P2614" t="s">
        <v>342</v>
      </c>
      <c r="R2614" t="s">
        <v>343</v>
      </c>
      <c r="T2614">
        <v>31000</v>
      </c>
      <c r="U2614" t="s">
        <v>41</v>
      </c>
      <c r="V2614" t="s">
        <v>42</v>
      </c>
      <c r="W2614" t="s">
        <v>344</v>
      </c>
      <c r="X2614" t="s">
        <v>345</v>
      </c>
      <c r="Y2614" t="s">
        <v>36</v>
      </c>
    </row>
    <row r="2615" spans="1:25" x14ac:dyDescent="0.25">
      <c r="A2615">
        <v>10414</v>
      </c>
      <c r="B2615">
        <v>31</v>
      </c>
      <c r="C2615">
        <v>75.89</v>
      </c>
      <c r="D2615">
        <v>4</v>
      </c>
      <c r="E2615">
        <v>2352.59</v>
      </c>
      <c r="F2615" s="1">
        <v>38478</v>
      </c>
      <c r="G2615" t="s">
        <v>401</v>
      </c>
      <c r="H2615">
        <v>2</v>
      </c>
      <c r="I2615">
        <v>5</v>
      </c>
      <c r="J2615">
        <v>2005</v>
      </c>
      <c r="K2615" t="s">
        <v>598</v>
      </c>
      <c r="L2615">
        <v>72</v>
      </c>
      <c r="M2615" t="s">
        <v>666</v>
      </c>
      <c r="N2615" t="s">
        <v>379</v>
      </c>
      <c r="O2615">
        <v>6175559555</v>
      </c>
      <c r="P2615" t="s">
        <v>380</v>
      </c>
      <c r="R2615" t="s">
        <v>381</v>
      </c>
      <c r="S2615" t="s">
        <v>123</v>
      </c>
      <c r="T2615">
        <v>51003</v>
      </c>
      <c r="U2615" t="s">
        <v>32</v>
      </c>
      <c r="V2615" t="s">
        <v>33</v>
      </c>
      <c r="W2615" t="s">
        <v>382</v>
      </c>
      <c r="X2615" t="s">
        <v>66</v>
      </c>
      <c r="Y2615" t="s">
        <v>36</v>
      </c>
    </row>
    <row r="2616" spans="1:25" x14ac:dyDescent="0.25">
      <c r="A2616">
        <v>10103</v>
      </c>
      <c r="B2616">
        <v>42</v>
      </c>
      <c r="C2616">
        <v>100</v>
      </c>
      <c r="D2616">
        <v>6</v>
      </c>
      <c r="E2616">
        <v>4460.82</v>
      </c>
      <c r="F2616" s="1">
        <v>37650</v>
      </c>
      <c r="G2616" t="s">
        <v>25</v>
      </c>
      <c r="H2616">
        <v>1</v>
      </c>
      <c r="I2616">
        <v>1</v>
      </c>
      <c r="J2616">
        <v>2003</v>
      </c>
      <c r="K2616" t="s">
        <v>181</v>
      </c>
      <c r="L2616">
        <v>101</v>
      </c>
      <c r="M2616" t="s">
        <v>667</v>
      </c>
      <c r="N2616" t="s">
        <v>133</v>
      </c>
      <c r="O2616" t="s">
        <v>134</v>
      </c>
      <c r="P2616" t="s">
        <v>135</v>
      </c>
      <c r="R2616" t="s">
        <v>136</v>
      </c>
      <c r="T2616">
        <v>4110</v>
      </c>
      <c r="U2616" t="s">
        <v>78</v>
      </c>
      <c r="V2616" t="s">
        <v>42</v>
      </c>
      <c r="W2616" t="s">
        <v>137</v>
      </c>
      <c r="X2616" t="s">
        <v>138</v>
      </c>
      <c r="Y2616" t="s">
        <v>51</v>
      </c>
    </row>
    <row r="2617" spans="1:25" x14ac:dyDescent="0.25">
      <c r="A2617">
        <v>10114</v>
      </c>
      <c r="B2617">
        <v>42</v>
      </c>
      <c r="C2617">
        <v>100</v>
      </c>
      <c r="D2617">
        <v>10</v>
      </c>
      <c r="E2617">
        <v>4758.18</v>
      </c>
      <c r="F2617" s="1">
        <v>37712</v>
      </c>
      <c r="G2617" t="s">
        <v>25</v>
      </c>
      <c r="H2617">
        <v>2</v>
      </c>
      <c r="I2617">
        <v>4</v>
      </c>
      <c r="J2617">
        <v>2003</v>
      </c>
      <c r="K2617" t="s">
        <v>181</v>
      </c>
      <c r="L2617">
        <v>101</v>
      </c>
      <c r="M2617" t="s">
        <v>667</v>
      </c>
      <c r="N2617" t="s">
        <v>403</v>
      </c>
      <c r="O2617" t="s">
        <v>404</v>
      </c>
      <c r="P2617" t="s">
        <v>405</v>
      </c>
      <c r="R2617" t="s">
        <v>48</v>
      </c>
      <c r="T2617">
        <v>75012</v>
      </c>
      <c r="U2617" t="s">
        <v>41</v>
      </c>
      <c r="V2617" t="s">
        <v>42</v>
      </c>
      <c r="W2617" t="s">
        <v>406</v>
      </c>
      <c r="X2617" t="s">
        <v>407</v>
      </c>
      <c r="Y2617" t="s">
        <v>51</v>
      </c>
    </row>
    <row r="2618" spans="1:25" x14ac:dyDescent="0.25">
      <c r="A2618">
        <v>10126</v>
      </c>
      <c r="B2618">
        <v>45</v>
      </c>
      <c r="C2618">
        <v>100</v>
      </c>
      <c r="D2618">
        <v>6</v>
      </c>
      <c r="E2618">
        <v>4597.2</v>
      </c>
      <c r="F2618" s="1">
        <v>37769</v>
      </c>
      <c r="G2618" t="s">
        <v>25</v>
      </c>
      <c r="H2618">
        <v>2</v>
      </c>
      <c r="I2618">
        <v>5</v>
      </c>
      <c r="J2618">
        <v>2003</v>
      </c>
      <c r="K2618" t="s">
        <v>181</v>
      </c>
      <c r="L2618">
        <v>101</v>
      </c>
      <c r="M2618" t="s">
        <v>667</v>
      </c>
      <c r="N2618" t="s">
        <v>191</v>
      </c>
      <c r="O2618" t="s">
        <v>192</v>
      </c>
      <c r="P2618" t="s">
        <v>193</v>
      </c>
      <c r="R2618" t="s">
        <v>177</v>
      </c>
      <c r="T2618">
        <v>28023</v>
      </c>
      <c r="U2618" t="s">
        <v>178</v>
      </c>
      <c r="V2618" t="s">
        <v>42</v>
      </c>
      <c r="W2618" t="s">
        <v>194</v>
      </c>
      <c r="X2618" t="s">
        <v>195</v>
      </c>
      <c r="Y2618" t="s">
        <v>51</v>
      </c>
    </row>
    <row r="2619" spans="1:25" x14ac:dyDescent="0.25">
      <c r="A2619">
        <v>10140</v>
      </c>
      <c r="B2619">
        <v>36</v>
      </c>
      <c r="C2619">
        <v>100</v>
      </c>
      <c r="D2619">
        <v>6</v>
      </c>
      <c r="E2619">
        <v>4114.8</v>
      </c>
      <c r="F2619" s="1">
        <v>37826</v>
      </c>
      <c r="G2619" t="s">
        <v>25</v>
      </c>
      <c r="H2619">
        <v>3</v>
      </c>
      <c r="I2619">
        <v>7</v>
      </c>
      <c r="J2619">
        <v>2003</v>
      </c>
      <c r="K2619" t="s">
        <v>181</v>
      </c>
      <c r="L2619">
        <v>101</v>
      </c>
      <c r="M2619" t="s">
        <v>667</v>
      </c>
      <c r="N2619" t="s">
        <v>62</v>
      </c>
      <c r="O2619">
        <v>6505556809</v>
      </c>
      <c r="P2619" t="s">
        <v>63</v>
      </c>
      <c r="R2619" t="s">
        <v>64</v>
      </c>
      <c r="S2619" t="s">
        <v>55</v>
      </c>
      <c r="T2619">
        <v>94217</v>
      </c>
      <c r="U2619" t="s">
        <v>32</v>
      </c>
      <c r="V2619" t="s">
        <v>33</v>
      </c>
      <c r="W2619" t="s">
        <v>65</v>
      </c>
      <c r="X2619" t="s">
        <v>66</v>
      </c>
      <c r="Y2619" t="s">
        <v>51</v>
      </c>
    </row>
    <row r="2620" spans="1:25" x14ac:dyDescent="0.25">
      <c r="A2620">
        <v>10150</v>
      </c>
      <c r="B2620">
        <v>20</v>
      </c>
      <c r="C2620">
        <v>100</v>
      </c>
      <c r="D2620">
        <v>3</v>
      </c>
      <c r="E2620">
        <v>2104</v>
      </c>
      <c r="F2620" s="1">
        <v>37883</v>
      </c>
      <c r="G2620" t="s">
        <v>25</v>
      </c>
      <c r="H2620">
        <v>3</v>
      </c>
      <c r="I2620">
        <v>9</v>
      </c>
      <c r="J2620">
        <v>2003</v>
      </c>
      <c r="K2620" t="s">
        <v>181</v>
      </c>
      <c r="L2620">
        <v>101</v>
      </c>
      <c r="M2620" t="s">
        <v>667</v>
      </c>
      <c r="N2620" t="s">
        <v>196</v>
      </c>
      <c r="O2620" t="s">
        <v>197</v>
      </c>
      <c r="P2620" t="s">
        <v>198</v>
      </c>
      <c r="R2620" t="s">
        <v>199</v>
      </c>
      <c r="T2620">
        <v>79903</v>
      </c>
      <c r="U2620" t="s">
        <v>199</v>
      </c>
      <c r="V2620" t="s">
        <v>200</v>
      </c>
      <c r="W2620" t="s">
        <v>201</v>
      </c>
      <c r="X2620" t="s">
        <v>202</v>
      </c>
      <c r="Y2620" t="s">
        <v>36</v>
      </c>
    </row>
    <row r="2621" spans="1:25" x14ac:dyDescent="0.25">
      <c r="A2621">
        <v>10164</v>
      </c>
      <c r="B2621">
        <v>39</v>
      </c>
      <c r="C2621">
        <v>81.93</v>
      </c>
      <c r="D2621">
        <v>4</v>
      </c>
      <c r="E2621">
        <v>3195.27</v>
      </c>
      <c r="F2621" s="1">
        <v>37915</v>
      </c>
      <c r="G2621" t="s">
        <v>408</v>
      </c>
      <c r="H2621">
        <v>4</v>
      </c>
      <c r="I2621">
        <v>10</v>
      </c>
      <c r="J2621">
        <v>2003</v>
      </c>
      <c r="K2621" t="s">
        <v>181</v>
      </c>
      <c r="L2621">
        <v>101</v>
      </c>
      <c r="M2621" t="s">
        <v>667</v>
      </c>
      <c r="N2621" t="s">
        <v>409</v>
      </c>
      <c r="O2621" t="s">
        <v>410</v>
      </c>
      <c r="P2621" t="s">
        <v>411</v>
      </c>
      <c r="R2621" t="s">
        <v>412</v>
      </c>
      <c r="T2621">
        <v>8010</v>
      </c>
      <c r="U2621" t="s">
        <v>148</v>
      </c>
      <c r="V2621" t="s">
        <v>42</v>
      </c>
      <c r="W2621" t="s">
        <v>413</v>
      </c>
      <c r="X2621" t="s">
        <v>414</v>
      </c>
      <c r="Y2621" t="s">
        <v>51</v>
      </c>
    </row>
    <row r="2622" spans="1:25" x14ac:dyDescent="0.25">
      <c r="A2622">
        <v>10175</v>
      </c>
      <c r="B2622">
        <v>42</v>
      </c>
      <c r="C2622">
        <v>85.98</v>
      </c>
      <c r="D2622">
        <v>11</v>
      </c>
      <c r="E2622">
        <v>3611.16</v>
      </c>
      <c r="F2622" s="1">
        <v>37931</v>
      </c>
      <c r="G2622" t="s">
        <v>25</v>
      </c>
      <c r="H2622">
        <v>4</v>
      </c>
      <c r="I2622">
        <v>11</v>
      </c>
      <c r="J2622">
        <v>2003</v>
      </c>
      <c r="K2622" t="s">
        <v>181</v>
      </c>
      <c r="L2622">
        <v>101</v>
      </c>
      <c r="M2622" t="s">
        <v>667</v>
      </c>
      <c r="N2622" t="s">
        <v>329</v>
      </c>
      <c r="O2622" t="s">
        <v>330</v>
      </c>
      <c r="P2622" t="s">
        <v>331</v>
      </c>
      <c r="R2622" t="s">
        <v>332</v>
      </c>
      <c r="T2622" t="s">
        <v>333</v>
      </c>
      <c r="U2622" t="s">
        <v>170</v>
      </c>
      <c r="V2622" t="s">
        <v>42</v>
      </c>
      <c r="W2622" t="s">
        <v>61</v>
      </c>
      <c r="X2622" t="s">
        <v>334</v>
      </c>
      <c r="Y2622" t="s">
        <v>51</v>
      </c>
    </row>
    <row r="2623" spans="1:25" x14ac:dyDescent="0.25">
      <c r="A2623">
        <v>10183</v>
      </c>
      <c r="B2623">
        <v>23</v>
      </c>
      <c r="C2623">
        <v>86.99</v>
      </c>
      <c r="D2623">
        <v>3</v>
      </c>
      <c r="E2623">
        <v>2000.77</v>
      </c>
      <c r="F2623" s="1">
        <v>37938</v>
      </c>
      <c r="G2623" t="s">
        <v>25</v>
      </c>
      <c r="H2623">
        <v>4</v>
      </c>
      <c r="I2623">
        <v>11</v>
      </c>
      <c r="J2623">
        <v>2003</v>
      </c>
      <c r="K2623" t="s">
        <v>181</v>
      </c>
      <c r="L2623">
        <v>101</v>
      </c>
      <c r="M2623" t="s">
        <v>667</v>
      </c>
      <c r="N2623" t="s">
        <v>214</v>
      </c>
      <c r="O2623">
        <v>2155554695</v>
      </c>
      <c r="P2623" t="s">
        <v>215</v>
      </c>
      <c r="R2623" t="s">
        <v>216</v>
      </c>
      <c r="S2623" t="s">
        <v>142</v>
      </c>
      <c r="T2623">
        <v>71270</v>
      </c>
      <c r="U2623" t="s">
        <v>32</v>
      </c>
      <c r="V2623" t="s">
        <v>33</v>
      </c>
      <c r="W2623" t="s">
        <v>217</v>
      </c>
      <c r="X2623" t="s">
        <v>218</v>
      </c>
      <c r="Y2623" t="s">
        <v>36</v>
      </c>
    </row>
    <row r="2624" spans="1:25" x14ac:dyDescent="0.25">
      <c r="A2624">
        <v>10194</v>
      </c>
      <c r="B2624">
        <v>26</v>
      </c>
      <c r="C2624">
        <v>89.01</v>
      </c>
      <c r="D2624">
        <v>6</v>
      </c>
      <c r="E2624">
        <v>2314.2600000000002</v>
      </c>
      <c r="F2624" s="1">
        <v>37950</v>
      </c>
      <c r="G2624" t="s">
        <v>25</v>
      </c>
      <c r="H2624">
        <v>4</v>
      </c>
      <c r="I2624">
        <v>11</v>
      </c>
      <c r="J2624">
        <v>2003</v>
      </c>
      <c r="K2624" t="s">
        <v>181</v>
      </c>
      <c r="L2624">
        <v>101</v>
      </c>
      <c r="M2624" t="s">
        <v>667</v>
      </c>
      <c r="N2624" t="s">
        <v>219</v>
      </c>
      <c r="O2624" t="s">
        <v>220</v>
      </c>
      <c r="P2624" t="s">
        <v>221</v>
      </c>
      <c r="R2624" t="s">
        <v>222</v>
      </c>
      <c r="T2624">
        <v>69004</v>
      </c>
      <c r="U2624" t="s">
        <v>41</v>
      </c>
      <c r="V2624" t="s">
        <v>42</v>
      </c>
      <c r="W2624" t="s">
        <v>223</v>
      </c>
      <c r="X2624" t="s">
        <v>224</v>
      </c>
      <c r="Y2624" t="s">
        <v>36</v>
      </c>
    </row>
    <row r="2625" spans="1:25" x14ac:dyDescent="0.25">
      <c r="A2625">
        <v>10206</v>
      </c>
      <c r="B2625">
        <v>33</v>
      </c>
      <c r="C2625">
        <v>100</v>
      </c>
      <c r="D2625">
        <v>1</v>
      </c>
      <c r="E2625">
        <v>3871.89</v>
      </c>
      <c r="F2625" s="1">
        <v>37960</v>
      </c>
      <c r="G2625" t="s">
        <v>25</v>
      </c>
      <c r="H2625">
        <v>4</v>
      </c>
      <c r="I2625">
        <v>12</v>
      </c>
      <c r="J2625">
        <v>2003</v>
      </c>
      <c r="K2625" t="s">
        <v>181</v>
      </c>
      <c r="L2625">
        <v>101</v>
      </c>
      <c r="M2625" t="s">
        <v>667</v>
      </c>
      <c r="N2625" t="s">
        <v>225</v>
      </c>
      <c r="O2625" t="s">
        <v>226</v>
      </c>
      <c r="P2625" t="s">
        <v>227</v>
      </c>
      <c r="R2625" t="s">
        <v>228</v>
      </c>
      <c r="S2625" t="s">
        <v>229</v>
      </c>
      <c r="T2625" t="s">
        <v>230</v>
      </c>
      <c r="U2625" t="s">
        <v>231</v>
      </c>
      <c r="V2625" t="s">
        <v>33</v>
      </c>
      <c r="W2625" t="s">
        <v>232</v>
      </c>
      <c r="X2625" t="s">
        <v>233</v>
      </c>
      <c r="Y2625" t="s">
        <v>51</v>
      </c>
    </row>
    <row r="2626" spans="1:25" x14ac:dyDescent="0.25">
      <c r="A2626">
        <v>10217</v>
      </c>
      <c r="B2626">
        <v>31</v>
      </c>
      <c r="C2626">
        <v>88</v>
      </c>
      <c r="D2626">
        <v>6</v>
      </c>
      <c r="E2626">
        <v>2728</v>
      </c>
      <c r="F2626" s="1">
        <v>38021</v>
      </c>
      <c r="G2626" t="s">
        <v>25</v>
      </c>
      <c r="H2626">
        <v>1</v>
      </c>
      <c r="I2626">
        <v>2</v>
      </c>
      <c r="J2626">
        <v>2004</v>
      </c>
      <c r="K2626" t="s">
        <v>181</v>
      </c>
      <c r="L2626">
        <v>101</v>
      </c>
      <c r="M2626" t="s">
        <v>667</v>
      </c>
      <c r="N2626" t="s">
        <v>418</v>
      </c>
      <c r="O2626" t="s">
        <v>419</v>
      </c>
      <c r="P2626" t="s">
        <v>420</v>
      </c>
      <c r="Q2626" t="s">
        <v>421</v>
      </c>
      <c r="R2626" t="s">
        <v>199</v>
      </c>
      <c r="T2626">
        <v>69045</v>
      </c>
      <c r="U2626" t="s">
        <v>199</v>
      </c>
      <c r="V2626" t="s">
        <v>96</v>
      </c>
      <c r="W2626" t="s">
        <v>422</v>
      </c>
      <c r="X2626" t="s">
        <v>423</v>
      </c>
      <c r="Y2626" t="s">
        <v>36</v>
      </c>
    </row>
    <row r="2627" spans="1:25" x14ac:dyDescent="0.25">
      <c r="A2627">
        <v>10229</v>
      </c>
      <c r="B2627">
        <v>50</v>
      </c>
      <c r="C2627">
        <v>100</v>
      </c>
      <c r="D2627">
        <v>11</v>
      </c>
      <c r="E2627">
        <v>5614</v>
      </c>
      <c r="F2627" s="1">
        <v>38057</v>
      </c>
      <c r="G2627" t="s">
        <v>25</v>
      </c>
      <c r="H2627">
        <v>1</v>
      </c>
      <c r="I2627">
        <v>3</v>
      </c>
      <c r="J2627">
        <v>2004</v>
      </c>
      <c r="K2627" t="s">
        <v>181</v>
      </c>
      <c r="L2627">
        <v>101</v>
      </c>
      <c r="M2627" t="s">
        <v>667</v>
      </c>
      <c r="N2627" t="s">
        <v>272</v>
      </c>
      <c r="O2627">
        <v>4155551450</v>
      </c>
      <c r="P2627" t="s">
        <v>273</v>
      </c>
      <c r="R2627" t="s">
        <v>274</v>
      </c>
      <c r="S2627" t="s">
        <v>55</v>
      </c>
      <c r="T2627">
        <v>97562</v>
      </c>
      <c r="U2627" t="s">
        <v>32</v>
      </c>
      <c r="V2627" t="s">
        <v>33</v>
      </c>
      <c r="W2627" t="s">
        <v>275</v>
      </c>
      <c r="X2627" t="s">
        <v>276</v>
      </c>
      <c r="Y2627" t="s">
        <v>51</v>
      </c>
    </row>
    <row r="2628" spans="1:25" x14ac:dyDescent="0.25">
      <c r="A2628">
        <v>10245</v>
      </c>
      <c r="B2628">
        <v>44</v>
      </c>
      <c r="C2628">
        <v>100</v>
      </c>
      <c r="D2628">
        <v>4</v>
      </c>
      <c r="E2628">
        <v>4628.8</v>
      </c>
      <c r="F2628" s="1">
        <v>38111</v>
      </c>
      <c r="G2628" t="s">
        <v>25</v>
      </c>
      <c r="H2628">
        <v>2</v>
      </c>
      <c r="I2628">
        <v>5</v>
      </c>
      <c r="J2628">
        <v>2004</v>
      </c>
      <c r="K2628" t="s">
        <v>181</v>
      </c>
      <c r="L2628">
        <v>101</v>
      </c>
      <c r="M2628" t="s">
        <v>667</v>
      </c>
      <c r="N2628" t="s">
        <v>242</v>
      </c>
      <c r="O2628">
        <v>2035559545</v>
      </c>
      <c r="P2628" t="s">
        <v>243</v>
      </c>
      <c r="R2628" t="s">
        <v>244</v>
      </c>
      <c r="S2628" t="s">
        <v>112</v>
      </c>
      <c r="T2628">
        <v>97823</v>
      </c>
      <c r="U2628" t="s">
        <v>32</v>
      </c>
      <c r="V2628" t="s">
        <v>33</v>
      </c>
      <c r="W2628" t="s">
        <v>83</v>
      </c>
      <c r="X2628" t="s">
        <v>245</v>
      </c>
      <c r="Y2628" t="s">
        <v>51</v>
      </c>
    </row>
    <row r="2629" spans="1:25" x14ac:dyDescent="0.25">
      <c r="A2629">
        <v>10258</v>
      </c>
      <c r="B2629">
        <v>45</v>
      </c>
      <c r="C2629">
        <v>80.92</v>
      </c>
      <c r="D2629">
        <v>1</v>
      </c>
      <c r="E2629">
        <v>3641.4</v>
      </c>
      <c r="F2629" s="1">
        <v>38153</v>
      </c>
      <c r="G2629" t="s">
        <v>25</v>
      </c>
      <c r="H2629">
        <v>2</v>
      </c>
      <c r="I2629">
        <v>6</v>
      </c>
      <c r="J2629">
        <v>2004</v>
      </c>
      <c r="K2629" t="s">
        <v>181</v>
      </c>
      <c r="L2629">
        <v>101</v>
      </c>
      <c r="M2629" t="s">
        <v>667</v>
      </c>
      <c r="N2629" t="s">
        <v>246</v>
      </c>
      <c r="O2629" t="s">
        <v>247</v>
      </c>
      <c r="P2629" t="s">
        <v>248</v>
      </c>
      <c r="R2629" t="s">
        <v>249</v>
      </c>
      <c r="S2629" t="s">
        <v>250</v>
      </c>
      <c r="T2629" t="s">
        <v>251</v>
      </c>
      <c r="U2629" t="s">
        <v>200</v>
      </c>
      <c r="V2629" t="s">
        <v>200</v>
      </c>
      <c r="W2629" t="s">
        <v>252</v>
      </c>
      <c r="X2629" t="s">
        <v>253</v>
      </c>
      <c r="Y2629" t="s">
        <v>51</v>
      </c>
    </row>
    <row r="2630" spans="1:25" x14ac:dyDescent="0.25">
      <c r="A2630">
        <v>10270</v>
      </c>
      <c r="B2630">
        <v>46</v>
      </c>
      <c r="C2630">
        <v>88</v>
      </c>
      <c r="D2630">
        <v>4</v>
      </c>
      <c r="E2630">
        <v>4048</v>
      </c>
      <c r="F2630" s="1">
        <v>38187</v>
      </c>
      <c r="G2630" t="s">
        <v>25</v>
      </c>
      <c r="H2630">
        <v>3</v>
      </c>
      <c r="I2630">
        <v>7</v>
      </c>
      <c r="J2630">
        <v>2004</v>
      </c>
      <c r="K2630" t="s">
        <v>181</v>
      </c>
      <c r="L2630">
        <v>101</v>
      </c>
      <c r="M2630" t="s">
        <v>667</v>
      </c>
      <c r="N2630" t="s">
        <v>152</v>
      </c>
      <c r="O2630" t="s">
        <v>153</v>
      </c>
      <c r="P2630" t="s">
        <v>154</v>
      </c>
      <c r="Q2630" t="s">
        <v>155</v>
      </c>
      <c r="R2630" t="s">
        <v>156</v>
      </c>
      <c r="S2630" t="s">
        <v>157</v>
      </c>
      <c r="T2630">
        <v>2067</v>
      </c>
      <c r="U2630" t="s">
        <v>95</v>
      </c>
      <c r="V2630" t="s">
        <v>96</v>
      </c>
      <c r="W2630" t="s">
        <v>158</v>
      </c>
      <c r="X2630" t="s">
        <v>159</v>
      </c>
      <c r="Y2630" t="s">
        <v>51</v>
      </c>
    </row>
    <row r="2631" spans="1:25" x14ac:dyDescent="0.25">
      <c r="A2631">
        <v>10281</v>
      </c>
      <c r="B2631">
        <v>27</v>
      </c>
      <c r="C2631">
        <v>85.98</v>
      </c>
      <c r="D2631">
        <v>11</v>
      </c>
      <c r="E2631">
        <v>2321.46</v>
      </c>
      <c r="F2631" s="1">
        <v>38218</v>
      </c>
      <c r="G2631" t="s">
        <v>25</v>
      </c>
      <c r="H2631">
        <v>3</v>
      </c>
      <c r="I2631">
        <v>8</v>
      </c>
      <c r="J2631">
        <v>2004</v>
      </c>
      <c r="K2631" t="s">
        <v>181</v>
      </c>
      <c r="L2631">
        <v>101</v>
      </c>
      <c r="M2631" t="s">
        <v>667</v>
      </c>
      <c r="N2631" t="s">
        <v>139</v>
      </c>
      <c r="O2631">
        <v>2155551555</v>
      </c>
      <c r="P2631" t="s">
        <v>140</v>
      </c>
      <c r="R2631" t="s">
        <v>141</v>
      </c>
      <c r="S2631" t="s">
        <v>142</v>
      </c>
      <c r="T2631">
        <v>70267</v>
      </c>
      <c r="U2631" t="s">
        <v>32</v>
      </c>
      <c r="V2631" t="s">
        <v>33</v>
      </c>
      <c r="W2631" t="s">
        <v>34</v>
      </c>
      <c r="X2631" t="s">
        <v>143</v>
      </c>
      <c r="Y2631" t="s">
        <v>36</v>
      </c>
    </row>
    <row r="2632" spans="1:25" x14ac:dyDescent="0.25">
      <c r="A2632">
        <v>10291</v>
      </c>
      <c r="B2632">
        <v>28</v>
      </c>
      <c r="C2632">
        <v>100</v>
      </c>
      <c r="D2632">
        <v>6</v>
      </c>
      <c r="E2632">
        <v>3256.96</v>
      </c>
      <c r="F2632" s="1">
        <v>38238</v>
      </c>
      <c r="G2632" t="s">
        <v>25</v>
      </c>
      <c r="H2632">
        <v>3</v>
      </c>
      <c r="I2632">
        <v>9</v>
      </c>
      <c r="J2632">
        <v>2004</v>
      </c>
      <c r="K2632" t="s">
        <v>181</v>
      </c>
      <c r="L2632">
        <v>101</v>
      </c>
      <c r="M2632" t="s">
        <v>667</v>
      </c>
      <c r="N2632" t="s">
        <v>261</v>
      </c>
      <c r="O2632" t="s">
        <v>262</v>
      </c>
      <c r="P2632" t="s">
        <v>263</v>
      </c>
      <c r="R2632" t="s">
        <v>264</v>
      </c>
      <c r="T2632" t="s">
        <v>265</v>
      </c>
      <c r="U2632" t="s">
        <v>188</v>
      </c>
      <c r="V2632" t="s">
        <v>42</v>
      </c>
      <c r="W2632" t="s">
        <v>266</v>
      </c>
      <c r="X2632" t="s">
        <v>206</v>
      </c>
      <c r="Y2632" t="s">
        <v>51</v>
      </c>
    </row>
    <row r="2633" spans="1:25" x14ac:dyDescent="0.25">
      <c r="A2633">
        <v>10304</v>
      </c>
      <c r="B2633">
        <v>40</v>
      </c>
      <c r="C2633">
        <v>100</v>
      </c>
      <c r="D2633">
        <v>1</v>
      </c>
      <c r="E2633">
        <v>4208</v>
      </c>
      <c r="F2633" s="1">
        <v>38271</v>
      </c>
      <c r="G2633" t="s">
        <v>25</v>
      </c>
      <c r="H2633">
        <v>4</v>
      </c>
      <c r="I2633">
        <v>10</v>
      </c>
      <c r="J2633">
        <v>2004</v>
      </c>
      <c r="K2633" t="s">
        <v>181</v>
      </c>
      <c r="L2633">
        <v>101</v>
      </c>
      <c r="M2633" t="s">
        <v>667</v>
      </c>
      <c r="N2633" t="s">
        <v>267</v>
      </c>
      <c r="O2633" t="s">
        <v>268</v>
      </c>
      <c r="P2633" t="s">
        <v>269</v>
      </c>
      <c r="R2633" t="s">
        <v>270</v>
      </c>
      <c r="T2633">
        <v>78000</v>
      </c>
      <c r="U2633" t="s">
        <v>41</v>
      </c>
      <c r="V2633" t="s">
        <v>42</v>
      </c>
      <c r="W2633" t="s">
        <v>271</v>
      </c>
      <c r="X2633" t="s">
        <v>50</v>
      </c>
      <c r="Y2633" t="s">
        <v>51</v>
      </c>
    </row>
    <row r="2634" spans="1:25" x14ac:dyDescent="0.25">
      <c r="A2634">
        <v>10313</v>
      </c>
      <c r="B2634">
        <v>30</v>
      </c>
      <c r="C2634">
        <v>99.13</v>
      </c>
      <c r="D2634">
        <v>9</v>
      </c>
      <c r="E2634">
        <v>2973.9</v>
      </c>
      <c r="F2634" s="1">
        <v>38282</v>
      </c>
      <c r="G2634" t="s">
        <v>25</v>
      </c>
      <c r="H2634">
        <v>4</v>
      </c>
      <c r="I2634">
        <v>10</v>
      </c>
      <c r="J2634">
        <v>2004</v>
      </c>
      <c r="K2634" t="s">
        <v>181</v>
      </c>
      <c r="L2634">
        <v>101</v>
      </c>
      <c r="M2634" t="s">
        <v>667</v>
      </c>
      <c r="N2634" t="s">
        <v>225</v>
      </c>
      <c r="O2634" t="s">
        <v>226</v>
      </c>
      <c r="P2634" t="s">
        <v>227</v>
      </c>
      <c r="R2634" t="s">
        <v>228</v>
      </c>
      <c r="S2634" t="s">
        <v>229</v>
      </c>
      <c r="T2634" t="s">
        <v>230</v>
      </c>
      <c r="U2634" t="s">
        <v>231</v>
      </c>
      <c r="V2634" t="s">
        <v>33</v>
      </c>
      <c r="W2634" t="s">
        <v>232</v>
      </c>
      <c r="X2634" t="s">
        <v>233</v>
      </c>
      <c r="Y2634" t="s">
        <v>36</v>
      </c>
    </row>
    <row r="2635" spans="1:25" x14ac:dyDescent="0.25">
      <c r="A2635">
        <v>10324</v>
      </c>
      <c r="B2635">
        <v>34</v>
      </c>
      <c r="C2635">
        <v>100</v>
      </c>
      <c r="D2635">
        <v>5</v>
      </c>
      <c r="E2635">
        <v>4248.3</v>
      </c>
      <c r="F2635" s="1">
        <v>38296</v>
      </c>
      <c r="G2635" t="s">
        <v>25</v>
      </c>
      <c r="H2635">
        <v>4</v>
      </c>
      <c r="I2635">
        <v>11</v>
      </c>
      <c r="J2635">
        <v>2004</v>
      </c>
      <c r="K2635" t="s">
        <v>181</v>
      </c>
      <c r="L2635">
        <v>101</v>
      </c>
      <c r="M2635" t="s">
        <v>667</v>
      </c>
      <c r="N2635" t="s">
        <v>99</v>
      </c>
      <c r="O2635">
        <v>2125551500</v>
      </c>
      <c r="P2635" t="s">
        <v>100</v>
      </c>
      <c r="Q2635" t="s">
        <v>101</v>
      </c>
      <c r="R2635" t="s">
        <v>30</v>
      </c>
      <c r="S2635" t="s">
        <v>31</v>
      </c>
      <c r="T2635">
        <v>10022</v>
      </c>
      <c r="U2635" t="s">
        <v>32</v>
      </c>
      <c r="V2635" t="s">
        <v>33</v>
      </c>
      <c r="W2635" t="s">
        <v>102</v>
      </c>
      <c r="X2635" t="s">
        <v>103</v>
      </c>
      <c r="Y2635" t="s">
        <v>51</v>
      </c>
    </row>
    <row r="2636" spans="1:25" x14ac:dyDescent="0.25">
      <c r="A2636">
        <v>10336</v>
      </c>
      <c r="B2636">
        <v>46</v>
      </c>
      <c r="C2636">
        <v>100</v>
      </c>
      <c r="D2636">
        <v>2</v>
      </c>
      <c r="E2636">
        <v>9558.7999999999993</v>
      </c>
      <c r="F2636" s="1">
        <v>38311</v>
      </c>
      <c r="G2636" t="s">
        <v>25</v>
      </c>
      <c r="H2636">
        <v>4</v>
      </c>
      <c r="I2636">
        <v>11</v>
      </c>
      <c r="J2636">
        <v>2004</v>
      </c>
      <c r="K2636" t="s">
        <v>181</v>
      </c>
      <c r="L2636">
        <v>101</v>
      </c>
      <c r="M2636" t="s">
        <v>667</v>
      </c>
      <c r="N2636" t="s">
        <v>403</v>
      </c>
      <c r="O2636" t="s">
        <v>404</v>
      </c>
      <c r="P2636" t="s">
        <v>405</v>
      </c>
      <c r="R2636" t="s">
        <v>48</v>
      </c>
      <c r="T2636">
        <v>75012</v>
      </c>
      <c r="U2636" t="s">
        <v>41</v>
      </c>
      <c r="V2636" t="s">
        <v>42</v>
      </c>
      <c r="W2636" t="s">
        <v>406</v>
      </c>
      <c r="X2636" t="s">
        <v>407</v>
      </c>
      <c r="Y2636" t="s">
        <v>151</v>
      </c>
    </row>
    <row r="2637" spans="1:25" x14ac:dyDescent="0.25">
      <c r="A2637">
        <v>10348</v>
      </c>
      <c r="B2637">
        <v>32</v>
      </c>
      <c r="C2637">
        <v>82.83</v>
      </c>
      <c r="D2637">
        <v>7</v>
      </c>
      <c r="E2637">
        <v>2650.56</v>
      </c>
      <c r="F2637" s="1">
        <v>38292</v>
      </c>
      <c r="G2637" t="s">
        <v>25</v>
      </c>
      <c r="H2637">
        <v>4</v>
      </c>
      <c r="I2637">
        <v>11</v>
      </c>
      <c r="J2637">
        <v>2004</v>
      </c>
      <c r="K2637" t="s">
        <v>181</v>
      </c>
      <c r="L2637">
        <v>101</v>
      </c>
      <c r="M2637" t="s">
        <v>667</v>
      </c>
      <c r="N2637" t="s">
        <v>191</v>
      </c>
      <c r="O2637" t="s">
        <v>192</v>
      </c>
      <c r="P2637" t="s">
        <v>193</v>
      </c>
      <c r="R2637" t="s">
        <v>177</v>
      </c>
      <c r="T2637">
        <v>28023</v>
      </c>
      <c r="U2637" t="s">
        <v>178</v>
      </c>
      <c r="V2637" t="s">
        <v>42</v>
      </c>
      <c r="W2637" t="s">
        <v>194</v>
      </c>
      <c r="X2637" t="s">
        <v>195</v>
      </c>
      <c r="Y2637" t="s">
        <v>36</v>
      </c>
    </row>
    <row r="2638" spans="1:25" x14ac:dyDescent="0.25">
      <c r="A2638">
        <v>10358</v>
      </c>
      <c r="B2638">
        <v>27</v>
      </c>
      <c r="C2638">
        <v>100</v>
      </c>
      <c r="D2638">
        <v>3</v>
      </c>
      <c r="E2638">
        <v>3761.37</v>
      </c>
      <c r="F2638" s="1">
        <v>38331</v>
      </c>
      <c r="G2638" t="s">
        <v>25</v>
      </c>
      <c r="H2638">
        <v>4</v>
      </c>
      <c r="I2638">
        <v>12</v>
      </c>
      <c r="J2638">
        <v>2004</v>
      </c>
      <c r="K2638" t="s">
        <v>181</v>
      </c>
      <c r="L2638">
        <v>101</v>
      </c>
      <c r="M2638" t="s">
        <v>667</v>
      </c>
      <c r="N2638" t="s">
        <v>174</v>
      </c>
      <c r="O2638" t="s">
        <v>175</v>
      </c>
      <c r="P2638" t="s">
        <v>176</v>
      </c>
      <c r="R2638" t="s">
        <v>177</v>
      </c>
      <c r="T2638">
        <v>28034</v>
      </c>
      <c r="U2638" t="s">
        <v>178</v>
      </c>
      <c r="V2638" t="s">
        <v>42</v>
      </c>
      <c r="W2638" t="s">
        <v>179</v>
      </c>
      <c r="X2638" t="s">
        <v>180</v>
      </c>
      <c r="Y2638" t="s">
        <v>51</v>
      </c>
    </row>
    <row r="2639" spans="1:25" x14ac:dyDescent="0.25">
      <c r="A2639">
        <v>10371</v>
      </c>
      <c r="B2639">
        <v>34</v>
      </c>
      <c r="C2639">
        <v>100</v>
      </c>
      <c r="D2639">
        <v>3</v>
      </c>
      <c r="E2639">
        <v>4301.34</v>
      </c>
      <c r="F2639" s="1">
        <v>38375</v>
      </c>
      <c r="G2639" t="s">
        <v>25</v>
      </c>
      <c r="H2639">
        <v>1</v>
      </c>
      <c r="I2639">
        <v>1</v>
      </c>
      <c r="J2639">
        <v>2005</v>
      </c>
      <c r="K2639" t="s">
        <v>181</v>
      </c>
      <c r="L2639">
        <v>101</v>
      </c>
      <c r="M2639" t="s">
        <v>667</v>
      </c>
      <c r="N2639" t="s">
        <v>272</v>
      </c>
      <c r="O2639">
        <v>4155551450</v>
      </c>
      <c r="P2639" t="s">
        <v>273</v>
      </c>
      <c r="R2639" t="s">
        <v>274</v>
      </c>
      <c r="S2639" t="s">
        <v>55</v>
      </c>
      <c r="T2639">
        <v>97562</v>
      </c>
      <c r="U2639" t="s">
        <v>32</v>
      </c>
      <c r="V2639" t="s">
        <v>33</v>
      </c>
      <c r="W2639" t="s">
        <v>275</v>
      </c>
      <c r="X2639" t="s">
        <v>276</v>
      </c>
      <c r="Y2639" t="s">
        <v>51</v>
      </c>
    </row>
    <row r="2640" spans="1:25" x14ac:dyDescent="0.25">
      <c r="A2640">
        <v>10382</v>
      </c>
      <c r="B2640">
        <v>34</v>
      </c>
      <c r="C2640">
        <v>54.84</v>
      </c>
      <c r="D2640">
        <v>9</v>
      </c>
      <c r="E2640">
        <v>1864.56</v>
      </c>
      <c r="F2640" s="1">
        <v>38400</v>
      </c>
      <c r="G2640" t="s">
        <v>25</v>
      </c>
      <c r="H2640">
        <v>1</v>
      </c>
      <c r="I2640">
        <v>2</v>
      </c>
      <c r="J2640">
        <v>2005</v>
      </c>
      <c r="K2640" t="s">
        <v>181</v>
      </c>
      <c r="L2640">
        <v>101</v>
      </c>
      <c r="M2640" t="s">
        <v>667</v>
      </c>
      <c r="N2640" t="s">
        <v>272</v>
      </c>
      <c r="O2640">
        <v>4155551450</v>
      </c>
      <c r="P2640" t="s">
        <v>273</v>
      </c>
      <c r="R2640" t="s">
        <v>274</v>
      </c>
      <c r="S2640" t="s">
        <v>55</v>
      </c>
      <c r="T2640">
        <v>97562</v>
      </c>
      <c r="U2640" t="s">
        <v>32</v>
      </c>
      <c r="V2640" t="s">
        <v>33</v>
      </c>
      <c r="W2640" t="s">
        <v>275</v>
      </c>
      <c r="X2640" t="s">
        <v>276</v>
      </c>
      <c r="Y2640" t="s">
        <v>36</v>
      </c>
    </row>
    <row r="2641" spans="1:25" x14ac:dyDescent="0.25">
      <c r="A2641">
        <v>10411</v>
      </c>
      <c r="B2641">
        <v>34</v>
      </c>
      <c r="C2641">
        <v>100</v>
      </c>
      <c r="D2641">
        <v>4</v>
      </c>
      <c r="E2641">
        <v>3576.8</v>
      </c>
      <c r="F2641" s="1">
        <v>38473</v>
      </c>
      <c r="G2641" t="s">
        <v>25</v>
      </c>
      <c r="H2641">
        <v>2</v>
      </c>
      <c r="I2641">
        <v>5</v>
      </c>
      <c r="J2641">
        <v>2005</v>
      </c>
      <c r="K2641" t="s">
        <v>181</v>
      </c>
      <c r="L2641">
        <v>101</v>
      </c>
      <c r="M2641" t="s">
        <v>667</v>
      </c>
      <c r="N2641" t="s">
        <v>292</v>
      </c>
      <c r="O2641" t="s">
        <v>293</v>
      </c>
      <c r="P2641" t="s">
        <v>294</v>
      </c>
      <c r="R2641" t="s">
        <v>295</v>
      </c>
      <c r="S2641" t="s">
        <v>296</v>
      </c>
      <c r="T2641" t="s">
        <v>297</v>
      </c>
      <c r="U2641" t="s">
        <v>231</v>
      </c>
      <c r="V2641" t="s">
        <v>33</v>
      </c>
      <c r="W2641" t="s">
        <v>298</v>
      </c>
      <c r="X2641" t="s">
        <v>299</v>
      </c>
      <c r="Y2641" t="s">
        <v>51</v>
      </c>
    </row>
    <row r="2642" spans="1:25" x14ac:dyDescent="0.25">
      <c r="A2642">
        <v>10424</v>
      </c>
      <c r="B2642">
        <v>46</v>
      </c>
      <c r="C2642">
        <v>80.92</v>
      </c>
      <c r="D2642">
        <v>1</v>
      </c>
      <c r="E2642">
        <v>3722.32</v>
      </c>
      <c r="F2642" s="1">
        <v>38503</v>
      </c>
      <c r="G2642" t="s">
        <v>300</v>
      </c>
      <c r="H2642">
        <v>2</v>
      </c>
      <c r="I2642">
        <v>5</v>
      </c>
      <c r="J2642">
        <v>2005</v>
      </c>
      <c r="K2642" t="s">
        <v>181</v>
      </c>
      <c r="L2642">
        <v>101</v>
      </c>
      <c r="M2642" t="s">
        <v>667</v>
      </c>
      <c r="N2642" t="s">
        <v>174</v>
      </c>
      <c r="O2642" t="s">
        <v>175</v>
      </c>
      <c r="P2642" t="s">
        <v>176</v>
      </c>
      <c r="R2642" t="s">
        <v>177</v>
      </c>
      <c r="T2642">
        <v>28034</v>
      </c>
      <c r="U2642" t="s">
        <v>178</v>
      </c>
      <c r="V2642" t="s">
        <v>42</v>
      </c>
      <c r="W2642" t="s">
        <v>179</v>
      </c>
      <c r="X2642" t="s">
        <v>180</v>
      </c>
      <c r="Y2642" t="s">
        <v>51</v>
      </c>
    </row>
    <row r="2643" spans="1:25" x14ac:dyDescent="0.25">
      <c r="A2643">
        <v>10106</v>
      </c>
      <c r="B2643">
        <v>32</v>
      </c>
      <c r="C2643">
        <v>100</v>
      </c>
      <c r="D2643">
        <v>1</v>
      </c>
      <c r="E2643">
        <v>3986.56</v>
      </c>
      <c r="F2643" s="1">
        <v>37669</v>
      </c>
      <c r="G2643" t="s">
        <v>25</v>
      </c>
      <c r="H2643">
        <v>1</v>
      </c>
      <c r="I2643">
        <v>2</v>
      </c>
      <c r="J2643">
        <v>2003</v>
      </c>
      <c r="K2643" t="s">
        <v>566</v>
      </c>
      <c r="L2643">
        <v>118</v>
      </c>
      <c r="M2643" t="s">
        <v>668</v>
      </c>
      <c r="N2643" t="s">
        <v>552</v>
      </c>
      <c r="O2643" t="s">
        <v>553</v>
      </c>
      <c r="P2643" t="s">
        <v>554</v>
      </c>
      <c r="R2643" t="s">
        <v>555</v>
      </c>
      <c r="T2643">
        <v>24100</v>
      </c>
      <c r="U2643" t="s">
        <v>258</v>
      </c>
      <c r="V2643" t="s">
        <v>42</v>
      </c>
      <c r="W2643" t="s">
        <v>556</v>
      </c>
      <c r="X2643" t="s">
        <v>557</v>
      </c>
      <c r="Y2643" t="s">
        <v>51</v>
      </c>
    </row>
    <row r="2644" spans="1:25" x14ac:dyDescent="0.25">
      <c r="A2644">
        <v>10120</v>
      </c>
      <c r="B2644">
        <v>24</v>
      </c>
      <c r="C2644">
        <v>100</v>
      </c>
      <c r="D2644">
        <v>7</v>
      </c>
      <c r="E2644">
        <v>3417.12</v>
      </c>
      <c r="F2644" s="1">
        <v>37740</v>
      </c>
      <c r="G2644" t="s">
        <v>25</v>
      </c>
      <c r="H2644">
        <v>2</v>
      </c>
      <c r="I2644">
        <v>4</v>
      </c>
      <c r="J2644">
        <v>2003</v>
      </c>
      <c r="K2644" t="s">
        <v>566</v>
      </c>
      <c r="L2644">
        <v>118</v>
      </c>
      <c r="M2644" t="s">
        <v>668</v>
      </c>
      <c r="N2644" t="s">
        <v>89</v>
      </c>
      <c r="O2644" t="s">
        <v>90</v>
      </c>
      <c r="P2644" t="s">
        <v>91</v>
      </c>
      <c r="Q2644" t="s">
        <v>92</v>
      </c>
      <c r="R2644" t="s">
        <v>93</v>
      </c>
      <c r="S2644" t="s">
        <v>94</v>
      </c>
      <c r="T2644">
        <v>3004</v>
      </c>
      <c r="U2644" t="s">
        <v>95</v>
      </c>
      <c r="V2644" t="s">
        <v>96</v>
      </c>
      <c r="W2644" t="s">
        <v>97</v>
      </c>
      <c r="X2644" t="s">
        <v>98</v>
      </c>
      <c r="Y2644" t="s">
        <v>51</v>
      </c>
    </row>
    <row r="2645" spans="1:25" x14ac:dyDescent="0.25">
      <c r="A2645">
        <v>10133</v>
      </c>
      <c r="B2645">
        <v>27</v>
      </c>
      <c r="C2645">
        <v>99.67</v>
      </c>
      <c r="D2645">
        <v>2</v>
      </c>
      <c r="E2645">
        <v>2691.09</v>
      </c>
      <c r="F2645" s="1">
        <v>37799</v>
      </c>
      <c r="G2645" t="s">
        <v>25</v>
      </c>
      <c r="H2645">
        <v>2</v>
      </c>
      <c r="I2645">
        <v>6</v>
      </c>
      <c r="J2645">
        <v>2003</v>
      </c>
      <c r="K2645" t="s">
        <v>566</v>
      </c>
      <c r="L2645">
        <v>118</v>
      </c>
      <c r="M2645" t="s">
        <v>668</v>
      </c>
      <c r="N2645" t="s">
        <v>174</v>
      </c>
      <c r="O2645" t="s">
        <v>175</v>
      </c>
      <c r="P2645" t="s">
        <v>176</v>
      </c>
      <c r="R2645" t="s">
        <v>177</v>
      </c>
      <c r="T2645">
        <v>28034</v>
      </c>
      <c r="U2645" t="s">
        <v>178</v>
      </c>
      <c r="V2645" t="s">
        <v>42</v>
      </c>
      <c r="W2645" t="s">
        <v>179</v>
      </c>
      <c r="X2645" t="s">
        <v>180</v>
      </c>
      <c r="Y2645" t="s">
        <v>36</v>
      </c>
    </row>
    <row r="2646" spans="1:25" x14ac:dyDescent="0.25">
      <c r="A2646">
        <v>10145</v>
      </c>
      <c r="B2646">
        <v>20</v>
      </c>
      <c r="C2646">
        <v>100</v>
      </c>
      <c r="D2646">
        <v>13</v>
      </c>
      <c r="E2646">
        <v>2752.6</v>
      </c>
      <c r="F2646" s="1">
        <v>37858</v>
      </c>
      <c r="G2646" t="s">
        <v>25</v>
      </c>
      <c r="H2646">
        <v>3</v>
      </c>
      <c r="I2646">
        <v>8</v>
      </c>
      <c r="J2646">
        <v>2003</v>
      </c>
      <c r="K2646" t="s">
        <v>566</v>
      </c>
      <c r="L2646">
        <v>118</v>
      </c>
      <c r="M2646" t="s">
        <v>668</v>
      </c>
      <c r="N2646" t="s">
        <v>52</v>
      </c>
      <c r="O2646">
        <v>6265557265</v>
      </c>
      <c r="P2646" t="s">
        <v>53</v>
      </c>
      <c r="R2646" t="s">
        <v>54</v>
      </c>
      <c r="S2646" t="s">
        <v>55</v>
      </c>
      <c r="T2646">
        <v>90003</v>
      </c>
      <c r="U2646" t="s">
        <v>32</v>
      </c>
      <c r="V2646" t="s">
        <v>33</v>
      </c>
      <c r="W2646" t="s">
        <v>56</v>
      </c>
      <c r="X2646" t="s">
        <v>57</v>
      </c>
      <c r="Y2646" t="s">
        <v>36</v>
      </c>
    </row>
    <row r="2647" spans="1:25" x14ac:dyDescent="0.25">
      <c r="A2647">
        <v>10168</v>
      </c>
      <c r="B2647">
        <v>36</v>
      </c>
      <c r="C2647">
        <v>100</v>
      </c>
      <c r="D2647">
        <v>8</v>
      </c>
      <c r="E2647">
        <v>4527.72</v>
      </c>
      <c r="F2647" s="1">
        <v>37922</v>
      </c>
      <c r="G2647" t="s">
        <v>25</v>
      </c>
      <c r="H2647">
        <v>4</v>
      </c>
      <c r="I2647">
        <v>10</v>
      </c>
      <c r="J2647">
        <v>2003</v>
      </c>
      <c r="K2647" t="s">
        <v>566</v>
      </c>
      <c r="L2647">
        <v>118</v>
      </c>
      <c r="M2647" t="s">
        <v>668</v>
      </c>
      <c r="N2647" t="s">
        <v>62</v>
      </c>
      <c r="O2647">
        <v>6505556809</v>
      </c>
      <c r="P2647" t="s">
        <v>63</v>
      </c>
      <c r="R2647" t="s">
        <v>64</v>
      </c>
      <c r="S2647" t="s">
        <v>55</v>
      </c>
      <c r="T2647">
        <v>94217</v>
      </c>
      <c r="U2647" t="s">
        <v>32</v>
      </c>
      <c r="V2647" t="s">
        <v>33</v>
      </c>
      <c r="W2647" t="s">
        <v>65</v>
      </c>
      <c r="X2647" t="s">
        <v>66</v>
      </c>
      <c r="Y2647" t="s">
        <v>51</v>
      </c>
    </row>
    <row r="2648" spans="1:25" x14ac:dyDescent="0.25">
      <c r="A2648">
        <v>10188</v>
      </c>
      <c r="B2648">
        <v>29</v>
      </c>
      <c r="C2648">
        <v>100</v>
      </c>
      <c r="D2648">
        <v>8</v>
      </c>
      <c r="E2648">
        <v>3957.05</v>
      </c>
      <c r="F2648" s="1">
        <v>37943</v>
      </c>
      <c r="G2648" t="s">
        <v>25</v>
      </c>
      <c r="H2648">
        <v>4</v>
      </c>
      <c r="I2648">
        <v>11</v>
      </c>
      <c r="J2648">
        <v>2003</v>
      </c>
      <c r="K2648" t="s">
        <v>566</v>
      </c>
      <c r="L2648">
        <v>118</v>
      </c>
      <c r="M2648" t="s">
        <v>668</v>
      </c>
      <c r="N2648" t="s">
        <v>73</v>
      </c>
      <c r="O2648" t="s">
        <v>74</v>
      </c>
      <c r="P2648" t="s">
        <v>75</v>
      </c>
      <c r="R2648" t="s">
        <v>76</v>
      </c>
      <c r="T2648" t="s">
        <v>77</v>
      </c>
      <c r="U2648" t="s">
        <v>78</v>
      </c>
      <c r="V2648" t="s">
        <v>42</v>
      </c>
      <c r="W2648" t="s">
        <v>79</v>
      </c>
      <c r="X2648" t="s">
        <v>80</v>
      </c>
      <c r="Y2648" t="s">
        <v>51</v>
      </c>
    </row>
    <row r="2649" spans="1:25" x14ac:dyDescent="0.25">
      <c r="A2649">
        <v>10210</v>
      </c>
      <c r="B2649">
        <v>25</v>
      </c>
      <c r="C2649">
        <v>100</v>
      </c>
      <c r="D2649">
        <v>6</v>
      </c>
      <c r="E2649">
        <v>2818</v>
      </c>
      <c r="F2649" s="1">
        <v>37998</v>
      </c>
      <c r="G2649" t="s">
        <v>25</v>
      </c>
      <c r="H2649">
        <v>1</v>
      </c>
      <c r="I2649">
        <v>1</v>
      </c>
      <c r="J2649">
        <v>2004</v>
      </c>
      <c r="K2649" t="s">
        <v>566</v>
      </c>
      <c r="L2649">
        <v>118</v>
      </c>
      <c r="M2649" t="s">
        <v>668</v>
      </c>
      <c r="N2649" t="s">
        <v>302</v>
      </c>
      <c r="O2649" t="s">
        <v>303</v>
      </c>
      <c r="P2649" t="s">
        <v>304</v>
      </c>
      <c r="R2649" t="s">
        <v>305</v>
      </c>
      <c r="S2649" t="s">
        <v>305</v>
      </c>
      <c r="T2649" t="s">
        <v>306</v>
      </c>
      <c r="U2649" t="s">
        <v>200</v>
      </c>
      <c r="V2649" t="s">
        <v>200</v>
      </c>
      <c r="W2649" t="s">
        <v>307</v>
      </c>
      <c r="X2649" t="s">
        <v>308</v>
      </c>
      <c r="Y2649" t="s">
        <v>36</v>
      </c>
    </row>
    <row r="2650" spans="1:25" x14ac:dyDescent="0.25">
      <c r="A2650">
        <v>10223</v>
      </c>
      <c r="B2650">
        <v>29</v>
      </c>
      <c r="C2650">
        <v>100</v>
      </c>
      <c r="D2650">
        <v>8</v>
      </c>
      <c r="E2650">
        <v>3199.86</v>
      </c>
      <c r="F2650" s="1">
        <v>38037</v>
      </c>
      <c r="G2650" t="s">
        <v>25</v>
      </c>
      <c r="H2650">
        <v>1</v>
      </c>
      <c r="I2650">
        <v>2</v>
      </c>
      <c r="J2650">
        <v>2004</v>
      </c>
      <c r="K2650" t="s">
        <v>566</v>
      </c>
      <c r="L2650">
        <v>118</v>
      </c>
      <c r="M2650" t="s">
        <v>668</v>
      </c>
      <c r="N2650" t="s">
        <v>89</v>
      </c>
      <c r="O2650" t="s">
        <v>90</v>
      </c>
      <c r="P2650" t="s">
        <v>91</v>
      </c>
      <c r="Q2650" t="s">
        <v>92</v>
      </c>
      <c r="R2650" t="s">
        <v>93</v>
      </c>
      <c r="S2650" t="s">
        <v>94</v>
      </c>
      <c r="T2650">
        <v>3004</v>
      </c>
      <c r="U2650" t="s">
        <v>95</v>
      </c>
      <c r="V2650" t="s">
        <v>96</v>
      </c>
      <c r="W2650" t="s">
        <v>97</v>
      </c>
      <c r="X2650" t="s">
        <v>98</v>
      </c>
      <c r="Y2650" t="s">
        <v>51</v>
      </c>
    </row>
    <row r="2651" spans="1:25" x14ac:dyDescent="0.25">
      <c r="A2651">
        <v>10235</v>
      </c>
      <c r="B2651">
        <v>25</v>
      </c>
      <c r="C2651">
        <v>96.11</v>
      </c>
      <c r="D2651">
        <v>2</v>
      </c>
      <c r="E2651">
        <v>2402.75</v>
      </c>
      <c r="F2651" s="1">
        <v>38079</v>
      </c>
      <c r="G2651" t="s">
        <v>25</v>
      </c>
      <c r="H2651">
        <v>2</v>
      </c>
      <c r="I2651">
        <v>4</v>
      </c>
      <c r="J2651">
        <v>2004</v>
      </c>
      <c r="K2651" t="s">
        <v>566</v>
      </c>
      <c r="L2651">
        <v>118</v>
      </c>
      <c r="M2651" t="s">
        <v>668</v>
      </c>
      <c r="N2651" t="s">
        <v>373</v>
      </c>
      <c r="O2651" t="s">
        <v>374</v>
      </c>
      <c r="P2651" t="s">
        <v>375</v>
      </c>
      <c r="R2651" t="s">
        <v>376</v>
      </c>
      <c r="S2651" t="s">
        <v>229</v>
      </c>
      <c r="T2651" t="s">
        <v>377</v>
      </c>
      <c r="U2651" t="s">
        <v>231</v>
      </c>
      <c r="V2651" t="s">
        <v>33</v>
      </c>
      <c r="W2651" t="s">
        <v>378</v>
      </c>
      <c r="X2651" t="s">
        <v>172</v>
      </c>
      <c r="Y2651" t="s">
        <v>36</v>
      </c>
    </row>
    <row r="2652" spans="1:25" x14ac:dyDescent="0.25">
      <c r="A2652">
        <v>10250</v>
      </c>
      <c r="B2652">
        <v>44</v>
      </c>
      <c r="C2652">
        <v>100</v>
      </c>
      <c r="D2652">
        <v>3</v>
      </c>
      <c r="E2652">
        <v>6055.72</v>
      </c>
      <c r="F2652" s="1">
        <v>38118</v>
      </c>
      <c r="G2652" t="s">
        <v>25</v>
      </c>
      <c r="H2652">
        <v>2</v>
      </c>
      <c r="I2652">
        <v>5</v>
      </c>
      <c r="J2652">
        <v>2004</v>
      </c>
      <c r="K2652" t="s">
        <v>566</v>
      </c>
      <c r="L2652">
        <v>118</v>
      </c>
      <c r="M2652" t="s">
        <v>668</v>
      </c>
      <c r="N2652" t="s">
        <v>397</v>
      </c>
      <c r="O2652">
        <v>4085553659</v>
      </c>
      <c r="P2652" t="s">
        <v>398</v>
      </c>
      <c r="R2652" t="s">
        <v>399</v>
      </c>
      <c r="S2652" t="s">
        <v>55</v>
      </c>
      <c r="T2652">
        <v>94217</v>
      </c>
      <c r="U2652" t="s">
        <v>32</v>
      </c>
      <c r="V2652" t="s">
        <v>33</v>
      </c>
      <c r="W2652" t="s">
        <v>102</v>
      </c>
      <c r="X2652" t="s">
        <v>400</v>
      </c>
      <c r="Y2652" t="s">
        <v>51</v>
      </c>
    </row>
    <row r="2653" spans="1:25" x14ac:dyDescent="0.25">
      <c r="A2653">
        <v>10263</v>
      </c>
      <c r="B2653">
        <v>47</v>
      </c>
      <c r="C2653">
        <v>100</v>
      </c>
      <c r="D2653">
        <v>9</v>
      </c>
      <c r="E2653">
        <v>5465.16</v>
      </c>
      <c r="F2653" s="1">
        <v>38166</v>
      </c>
      <c r="G2653" t="s">
        <v>25</v>
      </c>
      <c r="H2653">
        <v>2</v>
      </c>
      <c r="I2653">
        <v>6</v>
      </c>
      <c r="J2653">
        <v>2004</v>
      </c>
      <c r="K2653" t="s">
        <v>566</v>
      </c>
      <c r="L2653">
        <v>118</v>
      </c>
      <c r="M2653" t="s">
        <v>668</v>
      </c>
      <c r="N2653" t="s">
        <v>109</v>
      </c>
      <c r="O2653">
        <v>2035552570</v>
      </c>
      <c r="P2653" t="s">
        <v>110</v>
      </c>
      <c r="R2653" t="s">
        <v>111</v>
      </c>
      <c r="S2653" t="s">
        <v>112</v>
      </c>
      <c r="T2653">
        <v>97562</v>
      </c>
      <c r="U2653" t="s">
        <v>32</v>
      </c>
      <c r="V2653" t="s">
        <v>33</v>
      </c>
      <c r="W2653" t="s">
        <v>113</v>
      </c>
      <c r="X2653" t="s">
        <v>57</v>
      </c>
      <c r="Y2653" t="s">
        <v>51</v>
      </c>
    </row>
    <row r="2654" spans="1:25" x14ac:dyDescent="0.25">
      <c r="A2654">
        <v>10275</v>
      </c>
      <c r="B2654">
        <v>48</v>
      </c>
      <c r="C2654">
        <v>100</v>
      </c>
      <c r="D2654">
        <v>8</v>
      </c>
      <c r="E2654">
        <v>6378.72</v>
      </c>
      <c r="F2654" s="1">
        <v>38191</v>
      </c>
      <c r="G2654" t="s">
        <v>25</v>
      </c>
      <c r="H2654">
        <v>3</v>
      </c>
      <c r="I2654">
        <v>7</v>
      </c>
      <c r="J2654">
        <v>2004</v>
      </c>
      <c r="K2654" t="s">
        <v>566</v>
      </c>
      <c r="L2654">
        <v>118</v>
      </c>
      <c r="M2654" t="s">
        <v>668</v>
      </c>
      <c r="N2654" t="s">
        <v>114</v>
      </c>
      <c r="O2654" t="s">
        <v>115</v>
      </c>
      <c r="P2654" t="s">
        <v>116</v>
      </c>
      <c r="R2654" t="s">
        <v>117</v>
      </c>
      <c r="T2654">
        <v>44000</v>
      </c>
      <c r="U2654" t="s">
        <v>41</v>
      </c>
      <c r="V2654" t="s">
        <v>42</v>
      </c>
      <c r="W2654" t="s">
        <v>118</v>
      </c>
      <c r="X2654" t="s">
        <v>119</v>
      </c>
      <c r="Y2654" t="s">
        <v>51</v>
      </c>
    </row>
    <row r="2655" spans="1:25" x14ac:dyDescent="0.25">
      <c r="A2655">
        <v>10285</v>
      </c>
      <c r="B2655">
        <v>45</v>
      </c>
      <c r="C2655">
        <v>100</v>
      </c>
      <c r="D2655">
        <v>13</v>
      </c>
      <c r="E2655">
        <v>5392.8</v>
      </c>
      <c r="F2655" s="1">
        <v>38226</v>
      </c>
      <c r="G2655" t="s">
        <v>25</v>
      </c>
      <c r="H2655">
        <v>3</v>
      </c>
      <c r="I2655">
        <v>8</v>
      </c>
      <c r="J2655">
        <v>2004</v>
      </c>
      <c r="K2655" t="s">
        <v>566</v>
      </c>
      <c r="L2655">
        <v>118</v>
      </c>
      <c r="M2655" t="s">
        <v>668</v>
      </c>
      <c r="N2655" t="s">
        <v>120</v>
      </c>
      <c r="O2655">
        <v>6175558555</v>
      </c>
      <c r="P2655" t="s">
        <v>121</v>
      </c>
      <c r="R2655" t="s">
        <v>122</v>
      </c>
      <c r="S2655" t="s">
        <v>123</v>
      </c>
      <c r="T2655">
        <v>51247</v>
      </c>
      <c r="U2655" t="s">
        <v>32</v>
      </c>
      <c r="V2655" t="s">
        <v>33</v>
      </c>
      <c r="W2655" t="s">
        <v>124</v>
      </c>
      <c r="X2655" t="s">
        <v>125</v>
      </c>
      <c r="Y2655" t="s">
        <v>51</v>
      </c>
    </row>
    <row r="2656" spans="1:25" x14ac:dyDescent="0.25">
      <c r="A2656">
        <v>10297</v>
      </c>
      <c r="B2656">
        <v>35</v>
      </c>
      <c r="C2656">
        <v>100</v>
      </c>
      <c r="D2656">
        <v>3</v>
      </c>
      <c r="E2656">
        <v>3986.5</v>
      </c>
      <c r="F2656" s="1">
        <v>38246</v>
      </c>
      <c r="G2656" t="s">
        <v>25</v>
      </c>
      <c r="H2656">
        <v>3</v>
      </c>
      <c r="I2656">
        <v>9</v>
      </c>
      <c r="J2656">
        <v>2004</v>
      </c>
      <c r="K2656" t="s">
        <v>566</v>
      </c>
      <c r="L2656">
        <v>118</v>
      </c>
      <c r="M2656" t="s">
        <v>668</v>
      </c>
      <c r="N2656" t="s">
        <v>479</v>
      </c>
      <c r="O2656" t="s">
        <v>480</v>
      </c>
      <c r="P2656" t="s">
        <v>481</v>
      </c>
      <c r="Q2656" t="s">
        <v>482</v>
      </c>
      <c r="R2656" t="s">
        <v>483</v>
      </c>
      <c r="T2656">
        <v>2</v>
      </c>
      <c r="U2656" t="s">
        <v>484</v>
      </c>
      <c r="V2656" t="s">
        <v>42</v>
      </c>
      <c r="W2656" t="s">
        <v>485</v>
      </c>
      <c r="X2656" t="s">
        <v>486</v>
      </c>
      <c r="Y2656" t="s">
        <v>51</v>
      </c>
    </row>
    <row r="2657" spans="1:25" x14ac:dyDescent="0.25">
      <c r="A2657">
        <v>10308</v>
      </c>
      <c r="B2657">
        <v>31</v>
      </c>
      <c r="C2657">
        <v>100</v>
      </c>
      <c r="D2657">
        <v>6</v>
      </c>
      <c r="E2657">
        <v>4009.23</v>
      </c>
      <c r="F2657" s="1">
        <v>38275</v>
      </c>
      <c r="G2657" t="s">
        <v>25</v>
      </c>
      <c r="H2657">
        <v>4</v>
      </c>
      <c r="I2657">
        <v>10</v>
      </c>
      <c r="J2657">
        <v>2004</v>
      </c>
      <c r="K2657" t="s">
        <v>566</v>
      </c>
      <c r="L2657">
        <v>118</v>
      </c>
      <c r="M2657" t="s">
        <v>668</v>
      </c>
      <c r="N2657" t="s">
        <v>317</v>
      </c>
      <c r="O2657">
        <v>9145554562</v>
      </c>
      <c r="P2657" t="s">
        <v>318</v>
      </c>
      <c r="R2657" t="s">
        <v>319</v>
      </c>
      <c r="S2657" t="s">
        <v>31</v>
      </c>
      <c r="T2657">
        <v>24067</v>
      </c>
      <c r="U2657" t="s">
        <v>32</v>
      </c>
      <c r="V2657" t="s">
        <v>33</v>
      </c>
      <c r="W2657" t="s">
        <v>102</v>
      </c>
      <c r="X2657" t="s">
        <v>238</v>
      </c>
      <c r="Y2657" t="s">
        <v>51</v>
      </c>
    </row>
    <row r="2658" spans="1:25" x14ac:dyDescent="0.25">
      <c r="A2658">
        <v>10318</v>
      </c>
      <c r="B2658">
        <v>50</v>
      </c>
      <c r="C2658">
        <v>100</v>
      </c>
      <c r="D2658">
        <v>8</v>
      </c>
      <c r="E2658">
        <v>7119</v>
      </c>
      <c r="F2658" s="1">
        <v>38293</v>
      </c>
      <c r="G2658" t="s">
        <v>25</v>
      </c>
      <c r="H2658">
        <v>4</v>
      </c>
      <c r="I2658">
        <v>11</v>
      </c>
      <c r="J2658">
        <v>2004</v>
      </c>
      <c r="K2658" t="s">
        <v>566</v>
      </c>
      <c r="L2658">
        <v>118</v>
      </c>
      <c r="M2658" t="s">
        <v>668</v>
      </c>
      <c r="N2658" t="s">
        <v>139</v>
      </c>
      <c r="O2658">
        <v>2155551555</v>
      </c>
      <c r="P2658" t="s">
        <v>140</v>
      </c>
      <c r="R2658" t="s">
        <v>141</v>
      </c>
      <c r="S2658" t="s">
        <v>142</v>
      </c>
      <c r="T2658">
        <v>70267</v>
      </c>
      <c r="U2658" t="s">
        <v>32</v>
      </c>
      <c r="V2658" t="s">
        <v>33</v>
      </c>
      <c r="W2658" t="s">
        <v>34</v>
      </c>
      <c r="X2658" t="s">
        <v>143</v>
      </c>
      <c r="Y2658" t="s">
        <v>151</v>
      </c>
    </row>
    <row r="2659" spans="1:25" x14ac:dyDescent="0.25">
      <c r="A2659">
        <v>10328</v>
      </c>
      <c r="B2659">
        <v>33</v>
      </c>
      <c r="C2659">
        <v>100</v>
      </c>
      <c r="D2659">
        <v>11</v>
      </c>
      <c r="E2659">
        <v>4072.2</v>
      </c>
      <c r="F2659" s="1">
        <v>38303</v>
      </c>
      <c r="G2659" t="s">
        <v>25</v>
      </c>
      <c r="H2659">
        <v>4</v>
      </c>
      <c r="I2659">
        <v>11</v>
      </c>
      <c r="J2659">
        <v>2004</v>
      </c>
      <c r="K2659" t="s">
        <v>566</v>
      </c>
      <c r="L2659">
        <v>118</v>
      </c>
      <c r="M2659" t="s">
        <v>668</v>
      </c>
      <c r="N2659" t="s">
        <v>552</v>
      </c>
      <c r="O2659" t="s">
        <v>553</v>
      </c>
      <c r="P2659" t="s">
        <v>554</v>
      </c>
      <c r="R2659" t="s">
        <v>555</v>
      </c>
      <c r="T2659">
        <v>24100</v>
      </c>
      <c r="U2659" t="s">
        <v>258</v>
      </c>
      <c r="V2659" t="s">
        <v>42</v>
      </c>
      <c r="W2659" t="s">
        <v>556</v>
      </c>
      <c r="X2659" t="s">
        <v>557</v>
      </c>
      <c r="Y2659" t="s">
        <v>51</v>
      </c>
    </row>
    <row r="2660" spans="1:25" x14ac:dyDescent="0.25">
      <c r="A2660">
        <v>10340</v>
      </c>
      <c r="B2660">
        <v>29</v>
      </c>
      <c r="C2660">
        <v>100</v>
      </c>
      <c r="D2660">
        <v>6</v>
      </c>
      <c r="E2660">
        <v>4094.51</v>
      </c>
      <c r="F2660" s="1">
        <v>38315</v>
      </c>
      <c r="G2660" t="s">
        <v>25</v>
      </c>
      <c r="H2660">
        <v>4</v>
      </c>
      <c r="I2660">
        <v>11</v>
      </c>
      <c r="J2660">
        <v>2004</v>
      </c>
      <c r="K2660" t="s">
        <v>566</v>
      </c>
      <c r="L2660">
        <v>118</v>
      </c>
      <c r="M2660" t="s">
        <v>668</v>
      </c>
      <c r="N2660" t="s">
        <v>352</v>
      </c>
      <c r="O2660" t="s">
        <v>353</v>
      </c>
      <c r="P2660" t="s">
        <v>354</v>
      </c>
      <c r="R2660" t="s">
        <v>355</v>
      </c>
      <c r="T2660">
        <v>8022</v>
      </c>
      <c r="U2660" t="s">
        <v>178</v>
      </c>
      <c r="V2660" t="s">
        <v>42</v>
      </c>
      <c r="W2660" t="s">
        <v>356</v>
      </c>
      <c r="X2660" t="s">
        <v>357</v>
      </c>
      <c r="Y2660" t="s">
        <v>51</v>
      </c>
    </row>
    <row r="2661" spans="1:25" x14ac:dyDescent="0.25">
      <c r="A2661">
        <v>10353</v>
      </c>
      <c r="B2661">
        <v>48</v>
      </c>
      <c r="C2661">
        <v>68.8</v>
      </c>
      <c r="D2661">
        <v>4</v>
      </c>
      <c r="E2661">
        <v>3302.4</v>
      </c>
      <c r="F2661" s="1">
        <v>38325</v>
      </c>
      <c r="G2661" t="s">
        <v>25</v>
      </c>
      <c r="H2661">
        <v>4</v>
      </c>
      <c r="I2661">
        <v>12</v>
      </c>
      <c r="J2661">
        <v>2004</v>
      </c>
      <c r="K2661" t="s">
        <v>566</v>
      </c>
      <c r="L2661">
        <v>118</v>
      </c>
      <c r="M2661" t="s">
        <v>668</v>
      </c>
      <c r="N2661" t="s">
        <v>568</v>
      </c>
      <c r="O2661">
        <v>2035554407</v>
      </c>
      <c r="P2661" t="s">
        <v>569</v>
      </c>
      <c r="R2661" t="s">
        <v>516</v>
      </c>
      <c r="S2661" t="s">
        <v>112</v>
      </c>
      <c r="T2661">
        <v>97561</v>
      </c>
      <c r="U2661" t="s">
        <v>32</v>
      </c>
      <c r="V2661" t="s">
        <v>33</v>
      </c>
      <c r="W2661" t="s">
        <v>570</v>
      </c>
      <c r="X2661" t="s">
        <v>571</v>
      </c>
      <c r="Y2661" t="s">
        <v>51</v>
      </c>
    </row>
    <row r="2662" spans="1:25" x14ac:dyDescent="0.25">
      <c r="A2662">
        <v>10361</v>
      </c>
      <c r="B2662">
        <v>44</v>
      </c>
      <c r="C2662">
        <v>72.42</v>
      </c>
      <c r="D2662">
        <v>5</v>
      </c>
      <c r="E2662">
        <v>3186.48</v>
      </c>
      <c r="F2662" s="1">
        <v>38338</v>
      </c>
      <c r="G2662" t="s">
        <v>25</v>
      </c>
      <c r="H2662">
        <v>4</v>
      </c>
      <c r="I2662">
        <v>12</v>
      </c>
      <c r="J2662">
        <v>2004</v>
      </c>
      <c r="K2662" t="s">
        <v>566</v>
      </c>
      <c r="L2662">
        <v>118</v>
      </c>
      <c r="M2662" t="s">
        <v>668</v>
      </c>
      <c r="N2662" t="s">
        <v>152</v>
      </c>
      <c r="O2662" t="s">
        <v>153</v>
      </c>
      <c r="P2662" t="s">
        <v>154</v>
      </c>
      <c r="Q2662" t="s">
        <v>155</v>
      </c>
      <c r="R2662" t="s">
        <v>156</v>
      </c>
      <c r="S2662" t="s">
        <v>157</v>
      </c>
      <c r="T2662">
        <v>2067</v>
      </c>
      <c r="U2662" t="s">
        <v>95</v>
      </c>
      <c r="V2662" t="s">
        <v>96</v>
      </c>
      <c r="W2662" t="s">
        <v>158</v>
      </c>
      <c r="X2662" t="s">
        <v>159</v>
      </c>
      <c r="Y2662" t="s">
        <v>51</v>
      </c>
    </row>
    <row r="2663" spans="1:25" x14ac:dyDescent="0.25">
      <c r="A2663">
        <v>10375</v>
      </c>
      <c r="B2663">
        <v>25</v>
      </c>
      <c r="C2663">
        <v>66.73</v>
      </c>
      <c r="D2663">
        <v>10</v>
      </c>
      <c r="E2663">
        <v>1668.25</v>
      </c>
      <c r="F2663" s="1">
        <v>38386</v>
      </c>
      <c r="G2663" t="s">
        <v>25</v>
      </c>
      <c r="H2663">
        <v>1</v>
      </c>
      <c r="I2663">
        <v>2</v>
      </c>
      <c r="J2663">
        <v>2005</v>
      </c>
      <c r="K2663" t="s">
        <v>566</v>
      </c>
      <c r="L2663">
        <v>118</v>
      </c>
      <c r="M2663" t="s">
        <v>668</v>
      </c>
      <c r="N2663" t="s">
        <v>114</v>
      </c>
      <c r="O2663" t="s">
        <v>115</v>
      </c>
      <c r="P2663" t="s">
        <v>116</v>
      </c>
      <c r="R2663" t="s">
        <v>117</v>
      </c>
      <c r="T2663">
        <v>44000</v>
      </c>
      <c r="U2663" t="s">
        <v>41</v>
      </c>
      <c r="V2663" t="s">
        <v>42</v>
      </c>
      <c r="W2663" t="s">
        <v>118</v>
      </c>
      <c r="X2663" t="s">
        <v>119</v>
      </c>
      <c r="Y2663" t="s">
        <v>36</v>
      </c>
    </row>
    <row r="2664" spans="1:25" x14ac:dyDescent="0.25">
      <c r="A2664">
        <v>10388</v>
      </c>
      <c r="B2664">
        <v>50</v>
      </c>
      <c r="C2664">
        <v>100</v>
      </c>
      <c r="D2664">
        <v>3</v>
      </c>
      <c r="E2664">
        <v>7154.5</v>
      </c>
      <c r="F2664" s="1">
        <v>38414</v>
      </c>
      <c r="G2664" t="s">
        <v>25</v>
      </c>
      <c r="H2664">
        <v>1</v>
      </c>
      <c r="I2664">
        <v>3</v>
      </c>
      <c r="J2664">
        <v>2005</v>
      </c>
      <c r="K2664" t="s">
        <v>566</v>
      </c>
      <c r="L2664">
        <v>118</v>
      </c>
      <c r="M2664" t="s">
        <v>668</v>
      </c>
      <c r="N2664" t="s">
        <v>160</v>
      </c>
      <c r="O2664">
        <v>5085552555</v>
      </c>
      <c r="P2664" t="s">
        <v>161</v>
      </c>
      <c r="R2664" t="s">
        <v>162</v>
      </c>
      <c r="S2664" t="s">
        <v>123</v>
      </c>
      <c r="T2664">
        <v>50553</v>
      </c>
      <c r="U2664" t="s">
        <v>32</v>
      </c>
      <c r="V2664" t="s">
        <v>33</v>
      </c>
      <c r="W2664" t="s">
        <v>163</v>
      </c>
      <c r="X2664" t="s">
        <v>164</v>
      </c>
      <c r="Y2664" t="s">
        <v>151</v>
      </c>
    </row>
    <row r="2665" spans="1:25" x14ac:dyDescent="0.25">
      <c r="A2665">
        <v>10398</v>
      </c>
      <c r="B2665">
        <v>23</v>
      </c>
      <c r="C2665">
        <v>100</v>
      </c>
      <c r="D2665">
        <v>9</v>
      </c>
      <c r="E2665">
        <v>2810.83</v>
      </c>
      <c r="F2665" s="1">
        <v>38441</v>
      </c>
      <c r="G2665" t="s">
        <v>25</v>
      </c>
      <c r="H2665">
        <v>1</v>
      </c>
      <c r="I2665">
        <v>3</v>
      </c>
      <c r="J2665">
        <v>2005</v>
      </c>
      <c r="K2665" t="s">
        <v>566</v>
      </c>
      <c r="L2665">
        <v>118</v>
      </c>
      <c r="M2665" t="s">
        <v>668</v>
      </c>
      <c r="N2665" t="s">
        <v>37</v>
      </c>
      <c r="O2665" t="s">
        <v>38</v>
      </c>
      <c r="P2665" t="s">
        <v>39</v>
      </c>
      <c r="R2665" t="s">
        <v>40</v>
      </c>
      <c r="T2665">
        <v>51100</v>
      </c>
      <c r="U2665" t="s">
        <v>41</v>
      </c>
      <c r="V2665" t="s">
        <v>42</v>
      </c>
      <c r="W2665" t="s">
        <v>43</v>
      </c>
      <c r="X2665" t="s">
        <v>44</v>
      </c>
      <c r="Y2665" t="s">
        <v>36</v>
      </c>
    </row>
    <row r="2666" spans="1:25" x14ac:dyDescent="0.25">
      <c r="A2666">
        <v>10401</v>
      </c>
      <c r="B2666">
        <v>21</v>
      </c>
      <c r="C2666">
        <v>96.11</v>
      </c>
      <c r="D2666">
        <v>2</v>
      </c>
      <c r="E2666">
        <v>2018.31</v>
      </c>
      <c r="F2666" s="1">
        <v>38445</v>
      </c>
      <c r="G2666" t="s">
        <v>401</v>
      </c>
      <c r="H2666">
        <v>2</v>
      </c>
      <c r="I2666">
        <v>4</v>
      </c>
      <c r="J2666">
        <v>2005</v>
      </c>
      <c r="K2666" t="s">
        <v>566</v>
      </c>
      <c r="L2666">
        <v>118</v>
      </c>
      <c r="M2666" t="s">
        <v>668</v>
      </c>
      <c r="N2666" t="s">
        <v>104</v>
      </c>
      <c r="O2666">
        <v>2015559350</v>
      </c>
      <c r="P2666" t="s">
        <v>105</v>
      </c>
      <c r="R2666" t="s">
        <v>106</v>
      </c>
      <c r="S2666" t="s">
        <v>107</v>
      </c>
      <c r="T2666">
        <v>94019</v>
      </c>
      <c r="U2666" t="s">
        <v>32</v>
      </c>
      <c r="V2666" t="s">
        <v>33</v>
      </c>
      <c r="W2666" t="s">
        <v>61</v>
      </c>
      <c r="X2666" t="s">
        <v>108</v>
      </c>
      <c r="Y2666" t="s">
        <v>36</v>
      </c>
    </row>
    <row r="2667" spans="1:25" x14ac:dyDescent="0.25">
      <c r="A2667">
        <v>10416</v>
      </c>
      <c r="B2667">
        <v>41</v>
      </c>
      <c r="C2667">
        <v>100</v>
      </c>
      <c r="D2667">
        <v>3</v>
      </c>
      <c r="E2667">
        <v>5642.83</v>
      </c>
      <c r="F2667" s="1">
        <v>38482</v>
      </c>
      <c r="G2667" t="s">
        <v>25</v>
      </c>
      <c r="H2667">
        <v>2</v>
      </c>
      <c r="I2667">
        <v>5</v>
      </c>
      <c r="J2667">
        <v>2005</v>
      </c>
      <c r="K2667" t="s">
        <v>566</v>
      </c>
      <c r="L2667">
        <v>118</v>
      </c>
      <c r="M2667" t="s">
        <v>668</v>
      </c>
      <c r="N2667" t="s">
        <v>452</v>
      </c>
      <c r="O2667" t="s">
        <v>453</v>
      </c>
      <c r="P2667" t="s">
        <v>454</v>
      </c>
      <c r="R2667" t="s">
        <v>455</v>
      </c>
      <c r="T2667">
        <v>42100</v>
      </c>
      <c r="U2667" t="s">
        <v>258</v>
      </c>
      <c r="V2667" t="s">
        <v>42</v>
      </c>
      <c r="W2667" t="s">
        <v>456</v>
      </c>
      <c r="X2667" t="s">
        <v>457</v>
      </c>
      <c r="Y2667" t="s">
        <v>51</v>
      </c>
    </row>
    <row r="2668" spans="1:25" x14ac:dyDescent="0.25">
      <c r="A2668">
        <v>10106</v>
      </c>
      <c r="B2668">
        <v>44</v>
      </c>
      <c r="C2668">
        <v>74.400000000000006</v>
      </c>
      <c r="D2668">
        <v>8</v>
      </c>
      <c r="E2668">
        <v>3273.6</v>
      </c>
      <c r="F2668" s="1">
        <v>37669</v>
      </c>
      <c r="G2668" t="s">
        <v>25</v>
      </c>
      <c r="H2668">
        <v>1</v>
      </c>
      <c r="I2668">
        <v>2</v>
      </c>
      <c r="J2668">
        <v>2003</v>
      </c>
      <c r="K2668" t="s">
        <v>566</v>
      </c>
      <c r="L2668">
        <v>80</v>
      </c>
      <c r="M2668" t="s">
        <v>669</v>
      </c>
      <c r="N2668" t="s">
        <v>552</v>
      </c>
      <c r="O2668" t="s">
        <v>553</v>
      </c>
      <c r="P2668" t="s">
        <v>554</v>
      </c>
      <c r="R2668" t="s">
        <v>555</v>
      </c>
      <c r="T2668">
        <v>24100</v>
      </c>
      <c r="U2668" t="s">
        <v>258</v>
      </c>
      <c r="V2668" t="s">
        <v>42</v>
      </c>
      <c r="W2668" t="s">
        <v>556</v>
      </c>
      <c r="X2668" t="s">
        <v>557</v>
      </c>
      <c r="Y2668" t="s">
        <v>51</v>
      </c>
    </row>
    <row r="2669" spans="1:25" x14ac:dyDescent="0.25">
      <c r="A2669">
        <v>10120</v>
      </c>
      <c r="B2669">
        <v>43</v>
      </c>
      <c r="C2669">
        <v>76</v>
      </c>
      <c r="D2669">
        <v>14</v>
      </c>
      <c r="E2669">
        <v>3268</v>
      </c>
      <c r="F2669" s="1">
        <v>37740</v>
      </c>
      <c r="G2669" t="s">
        <v>25</v>
      </c>
      <c r="H2669">
        <v>2</v>
      </c>
      <c r="I2669">
        <v>4</v>
      </c>
      <c r="J2669">
        <v>2003</v>
      </c>
      <c r="K2669" t="s">
        <v>566</v>
      </c>
      <c r="L2669">
        <v>80</v>
      </c>
      <c r="M2669" t="s">
        <v>669</v>
      </c>
      <c r="N2669" t="s">
        <v>89</v>
      </c>
      <c r="O2669" t="s">
        <v>90</v>
      </c>
      <c r="P2669" t="s">
        <v>91</v>
      </c>
      <c r="Q2669" t="s">
        <v>92</v>
      </c>
      <c r="R2669" t="s">
        <v>93</v>
      </c>
      <c r="S2669" t="s">
        <v>94</v>
      </c>
      <c r="T2669">
        <v>3004</v>
      </c>
      <c r="U2669" t="s">
        <v>95</v>
      </c>
      <c r="V2669" t="s">
        <v>96</v>
      </c>
      <c r="W2669" t="s">
        <v>97</v>
      </c>
      <c r="X2669" t="s">
        <v>98</v>
      </c>
      <c r="Y2669" t="s">
        <v>51</v>
      </c>
    </row>
    <row r="2670" spans="1:25" x14ac:dyDescent="0.25">
      <c r="A2670">
        <v>10143</v>
      </c>
      <c r="B2670">
        <v>28</v>
      </c>
      <c r="C2670">
        <v>96</v>
      </c>
      <c r="D2670">
        <v>3</v>
      </c>
      <c r="E2670">
        <v>2688</v>
      </c>
      <c r="F2670" s="1">
        <v>37843</v>
      </c>
      <c r="G2670" t="s">
        <v>25</v>
      </c>
      <c r="H2670">
        <v>3</v>
      </c>
      <c r="I2670">
        <v>8</v>
      </c>
      <c r="J2670">
        <v>2003</v>
      </c>
      <c r="K2670" t="s">
        <v>566</v>
      </c>
      <c r="L2670">
        <v>80</v>
      </c>
      <c r="M2670" t="s">
        <v>669</v>
      </c>
      <c r="N2670" t="s">
        <v>335</v>
      </c>
      <c r="O2670">
        <v>5085559555</v>
      </c>
      <c r="P2670" t="s">
        <v>336</v>
      </c>
      <c r="R2670" t="s">
        <v>162</v>
      </c>
      <c r="S2670" t="s">
        <v>123</v>
      </c>
      <c r="T2670">
        <v>50553</v>
      </c>
      <c r="U2670" t="s">
        <v>32</v>
      </c>
      <c r="V2670" t="s">
        <v>33</v>
      </c>
      <c r="W2670" t="s">
        <v>337</v>
      </c>
      <c r="X2670" t="s">
        <v>338</v>
      </c>
      <c r="Y2670" t="s">
        <v>36</v>
      </c>
    </row>
    <row r="2671" spans="1:25" x14ac:dyDescent="0.25">
      <c r="A2671">
        <v>10155</v>
      </c>
      <c r="B2671">
        <v>43</v>
      </c>
      <c r="C2671">
        <v>86.4</v>
      </c>
      <c r="D2671">
        <v>1</v>
      </c>
      <c r="E2671">
        <v>3715.2</v>
      </c>
      <c r="F2671" s="1">
        <v>37900</v>
      </c>
      <c r="G2671" t="s">
        <v>25</v>
      </c>
      <c r="H2671">
        <v>4</v>
      </c>
      <c r="I2671">
        <v>10</v>
      </c>
      <c r="J2671">
        <v>2003</v>
      </c>
      <c r="K2671" t="s">
        <v>566</v>
      </c>
      <c r="L2671">
        <v>80</v>
      </c>
      <c r="M2671" t="s">
        <v>669</v>
      </c>
      <c r="N2671" t="s">
        <v>126</v>
      </c>
      <c r="O2671" t="s">
        <v>127</v>
      </c>
      <c r="P2671" t="s">
        <v>128</v>
      </c>
      <c r="R2671" t="s">
        <v>129</v>
      </c>
      <c r="T2671">
        <v>21240</v>
      </c>
      <c r="U2671" t="s">
        <v>130</v>
      </c>
      <c r="V2671" t="s">
        <v>42</v>
      </c>
      <c r="W2671" t="s">
        <v>131</v>
      </c>
      <c r="X2671" t="s">
        <v>132</v>
      </c>
      <c r="Y2671" t="s">
        <v>51</v>
      </c>
    </row>
    <row r="2672" spans="1:25" x14ac:dyDescent="0.25">
      <c r="A2672">
        <v>10168</v>
      </c>
      <c r="B2672">
        <v>48</v>
      </c>
      <c r="C2672">
        <v>96</v>
      </c>
      <c r="D2672">
        <v>15</v>
      </c>
      <c r="E2672">
        <v>4608</v>
      </c>
      <c r="F2672" s="1">
        <v>37922</v>
      </c>
      <c r="G2672" t="s">
        <v>25</v>
      </c>
      <c r="H2672">
        <v>4</v>
      </c>
      <c r="I2672">
        <v>10</v>
      </c>
      <c r="J2672">
        <v>2003</v>
      </c>
      <c r="K2672" t="s">
        <v>566</v>
      </c>
      <c r="L2672">
        <v>80</v>
      </c>
      <c r="M2672" t="s">
        <v>669</v>
      </c>
      <c r="N2672" t="s">
        <v>62</v>
      </c>
      <c r="O2672">
        <v>6505556809</v>
      </c>
      <c r="P2672" t="s">
        <v>63</v>
      </c>
      <c r="R2672" t="s">
        <v>64</v>
      </c>
      <c r="S2672" t="s">
        <v>55</v>
      </c>
      <c r="T2672">
        <v>94217</v>
      </c>
      <c r="U2672" t="s">
        <v>32</v>
      </c>
      <c r="V2672" t="s">
        <v>33</v>
      </c>
      <c r="W2672" t="s">
        <v>65</v>
      </c>
      <c r="X2672" t="s">
        <v>66</v>
      </c>
      <c r="Y2672" t="s">
        <v>51</v>
      </c>
    </row>
    <row r="2673" spans="1:25" x14ac:dyDescent="0.25">
      <c r="A2673">
        <v>10199</v>
      </c>
      <c r="B2673">
        <v>38</v>
      </c>
      <c r="C2673">
        <v>82.4</v>
      </c>
      <c r="D2673">
        <v>3</v>
      </c>
      <c r="E2673">
        <v>3131.2</v>
      </c>
      <c r="F2673" s="1">
        <v>37956</v>
      </c>
      <c r="G2673" t="s">
        <v>25</v>
      </c>
      <c r="H2673">
        <v>4</v>
      </c>
      <c r="I2673">
        <v>12</v>
      </c>
      <c r="J2673">
        <v>2003</v>
      </c>
      <c r="K2673" t="s">
        <v>566</v>
      </c>
      <c r="L2673">
        <v>80</v>
      </c>
      <c r="M2673" t="s">
        <v>669</v>
      </c>
      <c r="N2673" t="s">
        <v>234</v>
      </c>
      <c r="O2673">
        <v>3105553722</v>
      </c>
      <c r="P2673" t="s">
        <v>235</v>
      </c>
      <c r="R2673" t="s">
        <v>236</v>
      </c>
      <c r="S2673" t="s">
        <v>55</v>
      </c>
      <c r="T2673">
        <v>94019</v>
      </c>
      <c r="U2673" t="s">
        <v>32</v>
      </c>
      <c r="V2673" t="s">
        <v>33</v>
      </c>
      <c r="W2673" t="s">
        <v>237</v>
      </c>
      <c r="X2673" t="s">
        <v>238</v>
      </c>
      <c r="Y2673" t="s">
        <v>51</v>
      </c>
    </row>
    <row r="2674" spans="1:25" x14ac:dyDescent="0.25">
      <c r="A2674">
        <v>10210</v>
      </c>
      <c r="B2674">
        <v>31</v>
      </c>
      <c r="C2674">
        <v>86.4</v>
      </c>
      <c r="D2674">
        <v>13</v>
      </c>
      <c r="E2674">
        <v>2678.4</v>
      </c>
      <c r="F2674" s="1">
        <v>37998</v>
      </c>
      <c r="G2674" t="s">
        <v>25</v>
      </c>
      <c r="H2674">
        <v>1</v>
      </c>
      <c r="I2674">
        <v>1</v>
      </c>
      <c r="J2674">
        <v>2004</v>
      </c>
      <c r="K2674" t="s">
        <v>566</v>
      </c>
      <c r="L2674">
        <v>80</v>
      </c>
      <c r="M2674" t="s">
        <v>669</v>
      </c>
      <c r="N2674" t="s">
        <v>302</v>
      </c>
      <c r="O2674" t="s">
        <v>303</v>
      </c>
      <c r="P2674" t="s">
        <v>304</v>
      </c>
      <c r="R2674" t="s">
        <v>305</v>
      </c>
      <c r="S2674" t="s">
        <v>305</v>
      </c>
      <c r="T2674" t="s">
        <v>306</v>
      </c>
      <c r="U2674" t="s">
        <v>200</v>
      </c>
      <c r="V2674" t="s">
        <v>200</v>
      </c>
      <c r="W2674" t="s">
        <v>307</v>
      </c>
      <c r="X2674" t="s">
        <v>308</v>
      </c>
      <c r="Y2674" t="s">
        <v>36</v>
      </c>
    </row>
    <row r="2675" spans="1:25" x14ac:dyDescent="0.25">
      <c r="A2675">
        <v>10223</v>
      </c>
      <c r="B2675">
        <v>26</v>
      </c>
      <c r="C2675">
        <v>67.2</v>
      </c>
      <c r="D2675">
        <v>15</v>
      </c>
      <c r="E2675">
        <v>1747.2</v>
      </c>
      <c r="F2675" s="1">
        <v>38037</v>
      </c>
      <c r="G2675" t="s">
        <v>25</v>
      </c>
      <c r="H2675">
        <v>1</v>
      </c>
      <c r="I2675">
        <v>2</v>
      </c>
      <c r="J2675">
        <v>2004</v>
      </c>
      <c r="K2675" t="s">
        <v>566</v>
      </c>
      <c r="L2675">
        <v>80</v>
      </c>
      <c r="M2675" t="s">
        <v>669</v>
      </c>
      <c r="N2675" t="s">
        <v>89</v>
      </c>
      <c r="O2675" t="s">
        <v>90</v>
      </c>
      <c r="P2675" t="s">
        <v>91</v>
      </c>
      <c r="Q2675" t="s">
        <v>92</v>
      </c>
      <c r="R2675" t="s">
        <v>93</v>
      </c>
      <c r="S2675" t="s">
        <v>94</v>
      </c>
      <c r="T2675">
        <v>3004</v>
      </c>
      <c r="U2675" t="s">
        <v>95</v>
      </c>
      <c r="V2675" t="s">
        <v>96</v>
      </c>
      <c r="W2675" t="s">
        <v>97</v>
      </c>
      <c r="X2675" t="s">
        <v>98</v>
      </c>
      <c r="Y2675" t="s">
        <v>36</v>
      </c>
    </row>
    <row r="2676" spans="1:25" x14ac:dyDescent="0.25">
      <c r="A2676">
        <v>10235</v>
      </c>
      <c r="B2676">
        <v>32</v>
      </c>
      <c r="C2676">
        <v>92</v>
      </c>
      <c r="D2676">
        <v>9</v>
      </c>
      <c r="E2676">
        <v>2944</v>
      </c>
      <c r="F2676" s="1">
        <v>38079</v>
      </c>
      <c r="G2676" t="s">
        <v>25</v>
      </c>
      <c r="H2676">
        <v>2</v>
      </c>
      <c r="I2676">
        <v>4</v>
      </c>
      <c r="J2676">
        <v>2004</v>
      </c>
      <c r="K2676" t="s">
        <v>566</v>
      </c>
      <c r="L2676">
        <v>80</v>
      </c>
      <c r="M2676" t="s">
        <v>669</v>
      </c>
      <c r="N2676" t="s">
        <v>373</v>
      </c>
      <c r="O2676" t="s">
        <v>374</v>
      </c>
      <c r="P2676" t="s">
        <v>375</v>
      </c>
      <c r="R2676" t="s">
        <v>376</v>
      </c>
      <c r="S2676" t="s">
        <v>229</v>
      </c>
      <c r="T2676" t="s">
        <v>377</v>
      </c>
      <c r="U2676" t="s">
        <v>231</v>
      </c>
      <c r="V2676" t="s">
        <v>33</v>
      </c>
      <c r="W2676" t="s">
        <v>378</v>
      </c>
      <c r="X2676" t="s">
        <v>172</v>
      </c>
      <c r="Y2676" t="s">
        <v>36</v>
      </c>
    </row>
    <row r="2677" spans="1:25" x14ac:dyDescent="0.25">
      <c r="A2677">
        <v>10250</v>
      </c>
      <c r="B2677">
        <v>44</v>
      </c>
      <c r="C2677">
        <v>67.2</v>
      </c>
      <c r="D2677">
        <v>10</v>
      </c>
      <c r="E2677">
        <v>2956.8</v>
      </c>
      <c r="F2677" s="1">
        <v>38118</v>
      </c>
      <c r="G2677" t="s">
        <v>25</v>
      </c>
      <c r="H2677">
        <v>2</v>
      </c>
      <c r="I2677">
        <v>5</v>
      </c>
      <c r="J2677">
        <v>2004</v>
      </c>
      <c r="K2677" t="s">
        <v>566</v>
      </c>
      <c r="L2677">
        <v>80</v>
      </c>
      <c r="M2677" t="s">
        <v>669</v>
      </c>
      <c r="N2677" t="s">
        <v>397</v>
      </c>
      <c r="O2677">
        <v>4085553659</v>
      </c>
      <c r="P2677" t="s">
        <v>398</v>
      </c>
      <c r="R2677" t="s">
        <v>399</v>
      </c>
      <c r="S2677" t="s">
        <v>55</v>
      </c>
      <c r="T2677">
        <v>94217</v>
      </c>
      <c r="U2677" t="s">
        <v>32</v>
      </c>
      <c r="V2677" t="s">
        <v>33</v>
      </c>
      <c r="W2677" t="s">
        <v>102</v>
      </c>
      <c r="X2677" t="s">
        <v>400</v>
      </c>
      <c r="Y2677" t="s">
        <v>36</v>
      </c>
    </row>
    <row r="2678" spans="1:25" x14ac:dyDescent="0.25">
      <c r="A2678">
        <v>10262</v>
      </c>
      <c r="B2678">
        <v>27</v>
      </c>
      <c r="C2678">
        <v>76</v>
      </c>
      <c r="D2678">
        <v>5</v>
      </c>
      <c r="E2678">
        <v>2052</v>
      </c>
      <c r="F2678" s="1">
        <v>38162</v>
      </c>
      <c r="G2678" t="s">
        <v>339</v>
      </c>
      <c r="H2678">
        <v>2</v>
      </c>
      <c r="I2678">
        <v>6</v>
      </c>
      <c r="J2678">
        <v>2004</v>
      </c>
      <c r="K2678" t="s">
        <v>566</v>
      </c>
      <c r="L2678">
        <v>80</v>
      </c>
      <c r="M2678" t="s">
        <v>669</v>
      </c>
      <c r="N2678" t="s">
        <v>174</v>
      </c>
      <c r="O2678" t="s">
        <v>175</v>
      </c>
      <c r="P2678" t="s">
        <v>176</v>
      </c>
      <c r="R2678" t="s">
        <v>177</v>
      </c>
      <c r="T2678">
        <v>28034</v>
      </c>
      <c r="U2678" t="s">
        <v>178</v>
      </c>
      <c r="V2678" t="s">
        <v>42</v>
      </c>
      <c r="W2678" t="s">
        <v>179</v>
      </c>
      <c r="X2678" t="s">
        <v>180</v>
      </c>
      <c r="Y2678" t="s">
        <v>36</v>
      </c>
    </row>
    <row r="2679" spans="1:25" x14ac:dyDescent="0.25">
      <c r="A2679">
        <v>10275</v>
      </c>
      <c r="B2679">
        <v>43</v>
      </c>
      <c r="C2679">
        <v>73.599999999999994</v>
      </c>
      <c r="D2679">
        <v>15</v>
      </c>
      <c r="E2679">
        <v>3164.8</v>
      </c>
      <c r="F2679" s="1">
        <v>38191</v>
      </c>
      <c r="G2679" t="s">
        <v>25</v>
      </c>
      <c r="H2679">
        <v>3</v>
      </c>
      <c r="I2679">
        <v>7</v>
      </c>
      <c r="J2679">
        <v>2004</v>
      </c>
      <c r="K2679" t="s">
        <v>566</v>
      </c>
      <c r="L2679">
        <v>80</v>
      </c>
      <c r="M2679" t="s">
        <v>669</v>
      </c>
      <c r="N2679" t="s">
        <v>114</v>
      </c>
      <c r="O2679" t="s">
        <v>115</v>
      </c>
      <c r="P2679" t="s">
        <v>116</v>
      </c>
      <c r="R2679" t="s">
        <v>117</v>
      </c>
      <c r="T2679">
        <v>44000</v>
      </c>
      <c r="U2679" t="s">
        <v>41</v>
      </c>
      <c r="V2679" t="s">
        <v>42</v>
      </c>
      <c r="W2679" t="s">
        <v>118</v>
      </c>
      <c r="X2679" t="s">
        <v>119</v>
      </c>
      <c r="Y2679" t="s">
        <v>51</v>
      </c>
    </row>
    <row r="2680" spans="1:25" x14ac:dyDescent="0.25">
      <c r="A2680">
        <v>10284</v>
      </c>
      <c r="B2680">
        <v>25</v>
      </c>
      <c r="C2680">
        <v>69.599999999999994</v>
      </c>
      <c r="D2680">
        <v>7</v>
      </c>
      <c r="E2680">
        <v>1740</v>
      </c>
      <c r="F2680" s="1">
        <v>38220</v>
      </c>
      <c r="G2680" t="s">
        <v>25</v>
      </c>
      <c r="H2680">
        <v>3</v>
      </c>
      <c r="I2680">
        <v>8</v>
      </c>
      <c r="J2680">
        <v>2004</v>
      </c>
      <c r="K2680" t="s">
        <v>566</v>
      </c>
      <c r="L2680">
        <v>80</v>
      </c>
      <c r="M2680" t="s">
        <v>669</v>
      </c>
      <c r="N2680" t="s">
        <v>543</v>
      </c>
      <c r="O2680" t="s">
        <v>544</v>
      </c>
      <c r="P2680" t="s">
        <v>545</v>
      </c>
      <c r="R2680" t="s">
        <v>546</v>
      </c>
      <c r="T2680" t="s">
        <v>547</v>
      </c>
      <c r="U2680" t="s">
        <v>78</v>
      </c>
      <c r="V2680" t="s">
        <v>42</v>
      </c>
      <c r="W2680" t="s">
        <v>548</v>
      </c>
      <c r="X2680" t="s">
        <v>549</v>
      </c>
      <c r="Y2680" t="s">
        <v>36</v>
      </c>
    </row>
    <row r="2681" spans="1:25" x14ac:dyDescent="0.25">
      <c r="A2681">
        <v>10296</v>
      </c>
      <c r="B2681">
        <v>22</v>
      </c>
      <c r="C2681">
        <v>80.8</v>
      </c>
      <c r="D2681">
        <v>3</v>
      </c>
      <c r="E2681">
        <v>1777.6</v>
      </c>
      <c r="F2681" s="1">
        <v>38245</v>
      </c>
      <c r="G2681" t="s">
        <v>25</v>
      </c>
      <c r="H2681">
        <v>3</v>
      </c>
      <c r="I2681">
        <v>9</v>
      </c>
      <c r="J2681">
        <v>2004</v>
      </c>
      <c r="K2681" t="s">
        <v>566</v>
      </c>
      <c r="L2681">
        <v>80</v>
      </c>
      <c r="M2681" t="s">
        <v>669</v>
      </c>
      <c r="N2681" t="s">
        <v>572</v>
      </c>
      <c r="O2681" t="s">
        <v>573</v>
      </c>
      <c r="P2681" t="s">
        <v>574</v>
      </c>
      <c r="R2681" t="s">
        <v>575</v>
      </c>
      <c r="T2681">
        <v>80686</v>
      </c>
      <c r="U2681" t="s">
        <v>443</v>
      </c>
      <c r="V2681" t="s">
        <v>42</v>
      </c>
      <c r="W2681" t="s">
        <v>576</v>
      </c>
      <c r="X2681" t="s">
        <v>103</v>
      </c>
      <c r="Y2681" t="s">
        <v>36</v>
      </c>
    </row>
    <row r="2682" spans="1:25" x14ac:dyDescent="0.25">
      <c r="A2682">
        <v>10308</v>
      </c>
      <c r="B2682">
        <v>21</v>
      </c>
      <c r="C2682">
        <v>87.2</v>
      </c>
      <c r="D2682">
        <v>13</v>
      </c>
      <c r="E2682">
        <v>1831.2</v>
      </c>
      <c r="F2682" s="1">
        <v>38275</v>
      </c>
      <c r="G2682" t="s">
        <v>25</v>
      </c>
      <c r="H2682">
        <v>4</v>
      </c>
      <c r="I2682">
        <v>10</v>
      </c>
      <c r="J2682">
        <v>2004</v>
      </c>
      <c r="K2682" t="s">
        <v>566</v>
      </c>
      <c r="L2682">
        <v>80</v>
      </c>
      <c r="M2682" t="s">
        <v>669</v>
      </c>
      <c r="N2682" t="s">
        <v>317</v>
      </c>
      <c r="O2682">
        <v>9145554562</v>
      </c>
      <c r="P2682" t="s">
        <v>318</v>
      </c>
      <c r="R2682" t="s">
        <v>319</v>
      </c>
      <c r="S2682" t="s">
        <v>31</v>
      </c>
      <c r="T2682">
        <v>24067</v>
      </c>
      <c r="U2682" t="s">
        <v>32</v>
      </c>
      <c r="V2682" t="s">
        <v>33</v>
      </c>
      <c r="W2682" t="s">
        <v>102</v>
      </c>
      <c r="X2682" t="s">
        <v>238</v>
      </c>
      <c r="Y2682" t="s">
        <v>36</v>
      </c>
    </row>
    <row r="2683" spans="1:25" x14ac:dyDescent="0.25">
      <c r="A2683">
        <v>10316</v>
      </c>
      <c r="B2683">
        <v>48</v>
      </c>
      <c r="C2683">
        <v>75.2</v>
      </c>
      <c r="D2683">
        <v>5</v>
      </c>
      <c r="E2683">
        <v>3609.6</v>
      </c>
      <c r="F2683" s="1">
        <v>38292</v>
      </c>
      <c r="G2683" t="s">
        <v>25</v>
      </c>
      <c r="H2683">
        <v>4</v>
      </c>
      <c r="I2683">
        <v>11</v>
      </c>
      <c r="J2683">
        <v>2004</v>
      </c>
      <c r="K2683" t="s">
        <v>566</v>
      </c>
      <c r="L2683">
        <v>80</v>
      </c>
      <c r="M2683" t="s">
        <v>669</v>
      </c>
      <c r="N2683" t="s">
        <v>383</v>
      </c>
      <c r="O2683" t="s">
        <v>384</v>
      </c>
      <c r="P2683" t="s">
        <v>385</v>
      </c>
      <c r="R2683" t="s">
        <v>386</v>
      </c>
      <c r="S2683" t="s">
        <v>387</v>
      </c>
      <c r="T2683" t="s">
        <v>388</v>
      </c>
      <c r="U2683" t="s">
        <v>170</v>
      </c>
      <c r="V2683" t="s">
        <v>42</v>
      </c>
      <c r="W2683" t="s">
        <v>389</v>
      </c>
      <c r="X2683" t="s">
        <v>390</v>
      </c>
      <c r="Y2683" t="s">
        <v>51</v>
      </c>
    </row>
    <row r="2684" spans="1:25" x14ac:dyDescent="0.25">
      <c r="A2684">
        <v>10328</v>
      </c>
      <c r="B2684">
        <v>33</v>
      </c>
      <c r="C2684">
        <v>64</v>
      </c>
      <c r="D2684">
        <v>13</v>
      </c>
      <c r="E2684">
        <v>2112</v>
      </c>
      <c r="F2684" s="1">
        <v>38303</v>
      </c>
      <c r="G2684" t="s">
        <v>25</v>
      </c>
      <c r="H2684">
        <v>4</v>
      </c>
      <c r="I2684">
        <v>11</v>
      </c>
      <c r="J2684">
        <v>2004</v>
      </c>
      <c r="K2684" t="s">
        <v>566</v>
      </c>
      <c r="L2684">
        <v>80</v>
      </c>
      <c r="M2684" t="s">
        <v>669</v>
      </c>
      <c r="N2684" t="s">
        <v>552</v>
      </c>
      <c r="O2684" t="s">
        <v>553</v>
      </c>
      <c r="P2684" t="s">
        <v>554</v>
      </c>
      <c r="R2684" t="s">
        <v>555</v>
      </c>
      <c r="T2684">
        <v>24100</v>
      </c>
      <c r="U2684" t="s">
        <v>258</v>
      </c>
      <c r="V2684" t="s">
        <v>42</v>
      </c>
      <c r="W2684" t="s">
        <v>556</v>
      </c>
      <c r="X2684" t="s">
        <v>557</v>
      </c>
      <c r="Y2684" t="s">
        <v>36</v>
      </c>
    </row>
    <row r="2685" spans="1:25" x14ac:dyDescent="0.25">
      <c r="A2685">
        <v>10341</v>
      </c>
      <c r="B2685">
        <v>34</v>
      </c>
      <c r="C2685">
        <v>100</v>
      </c>
      <c r="D2685">
        <v>5</v>
      </c>
      <c r="E2685">
        <v>3644.12</v>
      </c>
      <c r="F2685" s="1">
        <v>38315</v>
      </c>
      <c r="G2685" t="s">
        <v>25</v>
      </c>
      <c r="H2685">
        <v>4</v>
      </c>
      <c r="I2685">
        <v>11</v>
      </c>
      <c r="J2685">
        <v>2004</v>
      </c>
      <c r="K2685" t="s">
        <v>566</v>
      </c>
      <c r="L2685">
        <v>80</v>
      </c>
      <c r="M2685" t="s">
        <v>669</v>
      </c>
      <c r="N2685" t="s">
        <v>144</v>
      </c>
      <c r="O2685" t="s">
        <v>145</v>
      </c>
      <c r="P2685" t="s">
        <v>146</v>
      </c>
      <c r="R2685" t="s">
        <v>147</v>
      </c>
      <c r="T2685">
        <v>5020</v>
      </c>
      <c r="U2685" t="s">
        <v>148</v>
      </c>
      <c r="V2685" t="s">
        <v>42</v>
      </c>
      <c r="W2685" t="s">
        <v>149</v>
      </c>
      <c r="X2685" t="s">
        <v>150</v>
      </c>
      <c r="Y2685" t="s">
        <v>51</v>
      </c>
    </row>
    <row r="2686" spans="1:25" x14ac:dyDescent="0.25">
      <c r="A2686">
        <v>10353</v>
      </c>
      <c r="B2686">
        <v>43</v>
      </c>
      <c r="C2686">
        <v>81.95</v>
      </c>
      <c r="D2686">
        <v>6</v>
      </c>
      <c r="E2686">
        <v>3523.85</v>
      </c>
      <c r="F2686" s="1">
        <v>38325</v>
      </c>
      <c r="G2686" t="s">
        <v>25</v>
      </c>
      <c r="H2686">
        <v>4</v>
      </c>
      <c r="I2686">
        <v>12</v>
      </c>
      <c r="J2686">
        <v>2004</v>
      </c>
      <c r="K2686" t="s">
        <v>566</v>
      </c>
      <c r="L2686">
        <v>80</v>
      </c>
      <c r="M2686" t="s">
        <v>669</v>
      </c>
      <c r="N2686" t="s">
        <v>568</v>
      </c>
      <c r="O2686">
        <v>2035554407</v>
      </c>
      <c r="P2686" t="s">
        <v>569</v>
      </c>
      <c r="R2686" t="s">
        <v>516</v>
      </c>
      <c r="S2686" t="s">
        <v>112</v>
      </c>
      <c r="T2686">
        <v>97561</v>
      </c>
      <c r="U2686" t="s">
        <v>32</v>
      </c>
      <c r="V2686" t="s">
        <v>33</v>
      </c>
      <c r="W2686" t="s">
        <v>570</v>
      </c>
      <c r="X2686" t="s">
        <v>571</v>
      </c>
      <c r="Y2686" t="s">
        <v>51</v>
      </c>
    </row>
    <row r="2687" spans="1:25" x14ac:dyDescent="0.25">
      <c r="A2687">
        <v>10361</v>
      </c>
      <c r="B2687">
        <v>44</v>
      </c>
      <c r="C2687">
        <v>100</v>
      </c>
      <c r="D2687">
        <v>10</v>
      </c>
      <c r="E2687">
        <v>5001.92</v>
      </c>
      <c r="F2687" s="1">
        <v>38338</v>
      </c>
      <c r="G2687" t="s">
        <v>25</v>
      </c>
      <c r="H2687">
        <v>4</v>
      </c>
      <c r="I2687">
        <v>12</v>
      </c>
      <c r="J2687">
        <v>2004</v>
      </c>
      <c r="K2687" t="s">
        <v>566</v>
      </c>
      <c r="L2687">
        <v>80</v>
      </c>
      <c r="M2687" t="s">
        <v>669</v>
      </c>
      <c r="N2687" t="s">
        <v>152</v>
      </c>
      <c r="O2687" t="s">
        <v>153</v>
      </c>
      <c r="P2687" t="s">
        <v>154</v>
      </c>
      <c r="Q2687" t="s">
        <v>155</v>
      </c>
      <c r="R2687" t="s">
        <v>156</v>
      </c>
      <c r="S2687" t="s">
        <v>157</v>
      </c>
      <c r="T2687">
        <v>2067</v>
      </c>
      <c r="U2687" t="s">
        <v>95</v>
      </c>
      <c r="V2687" t="s">
        <v>96</v>
      </c>
      <c r="W2687" t="s">
        <v>158</v>
      </c>
      <c r="X2687" t="s">
        <v>159</v>
      </c>
      <c r="Y2687" t="s">
        <v>51</v>
      </c>
    </row>
    <row r="2688" spans="1:25" x14ac:dyDescent="0.25">
      <c r="A2688">
        <v>10375</v>
      </c>
      <c r="B2688">
        <v>44</v>
      </c>
      <c r="C2688">
        <v>100</v>
      </c>
      <c r="D2688">
        <v>11</v>
      </c>
      <c r="E2688">
        <v>5208.72</v>
      </c>
      <c r="F2688" s="1">
        <v>38386</v>
      </c>
      <c r="G2688" t="s">
        <v>25</v>
      </c>
      <c r="H2688">
        <v>1</v>
      </c>
      <c r="I2688">
        <v>2</v>
      </c>
      <c r="J2688">
        <v>2005</v>
      </c>
      <c r="K2688" t="s">
        <v>566</v>
      </c>
      <c r="L2688">
        <v>80</v>
      </c>
      <c r="M2688" t="s">
        <v>669</v>
      </c>
      <c r="N2688" t="s">
        <v>114</v>
      </c>
      <c r="O2688" t="s">
        <v>115</v>
      </c>
      <c r="P2688" t="s">
        <v>116</v>
      </c>
      <c r="R2688" t="s">
        <v>117</v>
      </c>
      <c r="T2688">
        <v>44000</v>
      </c>
      <c r="U2688" t="s">
        <v>41</v>
      </c>
      <c r="V2688" t="s">
        <v>42</v>
      </c>
      <c r="W2688" t="s">
        <v>118</v>
      </c>
      <c r="X2688" t="s">
        <v>119</v>
      </c>
      <c r="Y2688" t="s">
        <v>51</v>
      </c>
    </row>
    <row r="2689" spans="1:25" x14ac:dyDescent="0.25">
      <c r="A2689">
        <v>10386</v>
      </c>
      <c r="B2689">
        <v>32</v>
      </c>
      <c r="C2689">
        <v>94.34</v>
      </c>
      <c r="D2689">
        <v>17</v>
      </c>
      <c r="E2689">
        <v>3018.88</v>
      </c>
      <c r="F2689" s="1">
        <v>38412</v>
      </c>
      <c r="G2689" t="s">
        <v>408</v>
      </c>
      <c r="H2689">
        <v>1</v>
      </c>
      <c r="I2689">
        <v>3</v>
      </c>
      <c r="J2689">
        <v>2005</v>
      </c>
      <c r="K2689" t="s">
        <v>566</v>
      </c>
      <c r="L2689">
        <v>80</v>
      </c>
      <c r="M2689" t="s">
        <v>669</v>
      </c>
      <c r="N2689" t="s">
        <v>174</v>
      </c>
      <c r="O2689" t="s">
        <v>175</v>
      </c>
      <c r="P2689" t="s">
        <v>176</v>
      </c>
      <c r="R2689" t="s">
        <v>177</v>
      </c>
      <c r="T2689">
        <v>28034</v>
      </c>
      <c r="U2689" t="s">
        <v>178</v>
      </c>
      <c r="V2689" t="s">
        <v>42</v>
      </c>
      <c r="W2689" t="s">
        <v>179</v>
      </c>
      <c r="X2689" t="s">
        <v>180</v>
      </c>
      <c r="Y2689" t="s">
        <v>51</v>
      </c>
    </row>
    <row r="2690" spans="1:25" x14ac:dyDescent="0.25">
      <c r="A2690">
        <v>10398</v>
      </c>
      <c r="B2690">
        <v>29</v>
      </c>
      <c r="C2690">
        <v>65.599999999999994</v>
      </c>
      <c r="D2690">
        <v>10</v>
      </c>
      <c r="E2690">
        <v>1902.4</v>
      </c>
      <c r="F2690" s="1">
        <v>38441</v>
      </c>
      <c r="G2690" t="s">
        <v>25</v>
      </c>
      <c r="H2690">
        <v>1</v>
      </c>
      <c r="I2690">
        <v>3</v>
      </c>
      <c r="J2690">
        <v>2005</v>
      </c>
      <c r="K2690" t="s">
        <v>566</v>
      </c>
      <c r="L2690">
        <v>80</v>
      </c>
      <c r="M2690" t="s">
        <v>669</v>
      </c>
      <c r="N2690" t="s">
        <v>37</v>
      </c>
      <c r="O2690" t="s">
        <v>38</v>
      </c>
      <c r="P2690" t="s">
        <v>39</v>
      </c>
      <c r="R2690" t="s">
        <v>40</v>
      </c>
      <c r="T2690">
        <v>51100</v>
      </c>
      <c r="U2690" t="s">
        <v>41</v>
      </c>
      <c r="V2690" t="s">
        <v>42</v>
      </c>
      <c r="W2690" t="s">
        <v>43</v>
      </c>
      <c r="X2690" t="s">
        <v>44</v>
      </c>
      <c r="Y2690" t="s">
        <v>36</v>
      </c>
    </row>
    <row r="2691" spans="1:25" x14ac:dyDescent="0.25">
      <c r="A2691">
        <v>10401</v>
      </c>
      <c r="B2691">
        <v>77</v>
      </c>
      <c r="C2691">
        <v>92</v>
      </c>
      <c r="D2691">
        <v>9</v>
      </c>
      <c r="E2691">
        <v>7084</v>
      </c>
      <c r="F2691" s="1">
        <v>38445</v>
      </c>
      <c r="G2691" t="s">
        <v>401</v>
      </c>
      <c r="H2691">
        <v>2</v>
      </c>
      <c r="I2691">
        <v>4</v>
      </c>
      <c r="J2691">
        <v>2005</v>
      </c>
      <c r="K2691" t="s">
        <v>566</v>
      </c>
      <c r="L2691">
        <v>80</v>
      </c>
      <c r="M2691" t="s">
        <v>669</v>
      </c>
      <c r="N2691" t="s">
        <v>104</v>
      </c>
      <c r="O2691">
        <v>2015559350</v>
      </c>
      <c r="P2691" t="s">
        <v>105</v>
      </c>
      <c r="R2691" t="s">
        <v>106</v>
      </c>
      <c r="S2691" t="s">
        <v>107</v>
      </c>
      <c r="T2691">
        <v>94019</v>
      </c>
      <c r="U2691" t="s">
        <v>32</v>
      </c>
      <c r="V2691" t="s">
        <v>33</v>
      </c>
      <c r="W2691" t="s">
        <v>61</v>
      </c>
      <c r="X2691" t="s">
        <v>108</v>
      </c>
      <c r="Y2691" t="s">
        <v>151</v>
      </c>
    </row>
    <row r="2692" spans="1:25" x14ac:dyDescent="0.25">
      <c r="A2692">
        <v>10416</v>
      </c>
      <c r="B2692">
        <v>39</v>
      </c>
      <c r="C2692">
        <v>67.2</v>
      </c>
      <c r="D2692">
        <v>10</v>
      </c>
      <c r="E2692">
        <v>2620.8000000000002</v>
      </c>
      <c r="F2692" s="1">
        <v>38482</v>
      </c>
      <c r="G2692" t="s">
        <v>25</v>
      </c>
      <c r="H2692">
        <v>2</v>
      </c>
      <c r="I2692">
        <v>5</v>
      </c>
      <c r="J2692">
        <v>2005</v>
      </c>
      <c r="K2692" t="s">
        <v>566</v>
      </c>
      <c r="L2692">
        <v>80</v>
      </c>
      <c r="M2692" t="s">
        <v>669</v>
      </c>
      <c r="N2692" t="s">
        <v>452</v>
      </c>
      <c r="O2692" t="s">
        <v>453</v>
      </c>
      <c r="P2692" t="s">
        <v>454</v>
      </c>
      <c r="R2692" t="s">
        <v>455</v>
      </c>
      <c r="T2692">
        <v>42100</v>
      </c>
      <c r="U2692" t="s">
        <v>258</v>
      </c>
      <c r="V2692" t="s">
        <v>42</v>
      </c>
      <c r="W2692" t="s">
        <v>456</v>
      </c>
      <c r="X2692" t="s">
        <v>457</v>
      </c>
      <c r="Y2692" t="s">
        <v>36</v>
      </c>
    </row>
    <row r="2693" spans="1:25" x14ac:dyDescent="0.25">
      <c r="A2693">
        <v>10105</v>
      </c>
      <c r="B2693">
        <v>39</v>
      </c>
      <c r="C2693">
        <v>81.14</v>
      </c>
      <c r="D2693">
        <v>6</v>
      </c>
      <c r="E2693">
        <v>3164.46</v>
      </c>
      <c r="F2693" s="1">
        <v>37663</v>
      </c>
      <c r="G2693" t="s">
        <v>25</v>
      </c>
      <c r="H2693">
        <v>1</v>
      </c>
      <c r="I2693">
        <v>2</v>
      </c>
      <c r="J2693">
        <v>2003</v>
      </c>
      <c r="K2693" t="s">
        <v>598</v>
      </c>
      <c r="L2693">
        <v>100</v>
      </c>
      <c r="M2693" t="s">
        <v>670</v>
      </c>
      <c r="N2693" t="s">
        <v>322</v>
      </c>
      <c r="O2693" t="s">
        <v>323</v>
      </c>
      <c r="P2693" t="s">
        <v>324</v>
      </c>
      <c r="R2693" t="s">
        <v>325</v>
      </c>
      <c r="T2693">
        <v>1734</v>
      </c>
      <c r="U2693" t="s">
        <v>326</v>
      </c>
      <c r="V2693" t="s">
        <v>42</v>
      </c>
      <c r="W2693" t="s">
        <v>327</v>
      </c>
      <c r="X2693" t="s">
        <v>328</v>
      </c>
      <c r="Y2693" t="s">
        <v>51</v>
      </c>
    </row>
    <row r="2694" spans="1:25" x14ac:dyDescent="0.25">
      <c r="A2694">
        <v>10118</v>
      </c>
      <c r="B2694">
        <v>36</v>
      </c>
      <c r="C2694">
        <v>100</v>
      </c>
      <c r="D2694">
        <v>1</v>
      </c>
      <c r="E2694">
        <v>4219.2</v>
      </c>
      <c r="F2694" s="1">
        <v>37732</v>
      </c>
      <c r="G2694" t="s">
        <v>25</v>
      </c>
      <c r="H2694">
        <v>2</v>
      </c>
      <c r="I2694">
        <v>4</v>
      </c>
      <c r="J2694">
        <v>2003</v>
      </c>
      <c r="K2694" t="s">
        <v>598</v>
      </c>
      <c r="L2694">
        <v>100</v>
      </c>
      <c r="M2694" t="s">
        <v>670</v>
      </c>
      <c r="N2694" t="s">
        <v>352</v>
      </c>
      <c r="O2694" t="s">
        <v>353</v>
      </c>
      <c r="P2694" t="s">
        <v>354</v>
      </c>
      <c r="R2694" t="s">
        <v>355</v>
      </c>
      <c r="T2694">
        <v>8022</v>
      </c>
      <c r="U2694" t="s">
        <v>178</v>
      </c>
      <c r="V2694" t="s">
        <v>42</v>
      </c>
      <c r="W2694" t="s">
        <v>356</v>
      </c>
      <c r="X2694" t="s">
        <v>357</v>
      </c>
      <c r="Y2694" t="s">
        <v>51</v>
      </c>
    </row>
    <row r="2695" spans="1:25" x14ac:dyDescent="0.25">
      <c r="A2695">
        <v>10129</v>
      </c>
      <c r="B2695">
        <v>42</v>
      </c>
      <c r="C2695">
        <v>91.15</v>
      </c>
      <c r="D2695">
        <v>6</v>
      </c>
      <c r="E2695">
        <v>3828.3</v>
      </c>
      <c r="F2695" s="1">
        <v>37784</v>
      </c>
      <c r="G2695" t="s">
        <v>25</v>
      </c>
      <c r="H2695">
        <v>2</v>
      </c>
      <c r="I2695">
        <v>6</v>
      </c>
      <c r="J2695">
        <v>2003</v>
      </c>
      <c r="K2695" t="s">
        <v>598</v>
      </c>
      <c r="L2695">
        <v>100</v>
      </c>
      <c r="M2695" t="s">
        <v>670</v>
      </c>
      <c r="N2695" t="s">
        <v>329</v>
      </c>
      <c r="O2695" t="s">
        <v>330</v>
      </c>
      <c r="P2695" t="s">
        <v>331</v>
      </c>
      <c r="R2695" t="s">
        <v>332</v>
      </c>
      <c r="T2695" t="s">
        <v>333</v>
      </c>
      <c r="U2695" t="s">
        <v>170</v>
      </c>
      <c r="V2695" t="s">
        <v>42</v>
      </c>
      <c r="W2695" t="s">
        <v>61</v>
      </c>
      <c r="X2695" t="s">
        <v>334</v>
      </c>
      <c r="Y2695" t="s">
        <v>51</v>
      </c>
    </row>
    <row r="2696" spans="1:25" x14ac:dyDescent="0.25">
      <c r="A2696">
        <v>10142</v>
      </c>
      <c r="B2696">
        <v>21</v>
      </c>
      <c r="C2696">
        <v>100</v>
      </c>
      <c r="D2696">
        <v>3</v>
      </c>
      <c r="E2696">
        <v>2334.9899999999998</v>
      </c>
      <c r="F2696" s="1">
        <v>37841</v>
      </c>
      <c r="G2696" t="s">
        <v>25</v>
      </c>
      <c r="H2696">
        <v>3</v>
      </c>
      <c r="I2696">
        <v>8</v>
      </c>
      <c r="J2696">
        <v>2003</v>
      </c>
      <c r="K2696" t="s">
        <v>598</v>
      </c>
      <c r="L2696">
        <v>100</v>
      </c>
      <c r="M2696" t="s">
        <v>670</v>
      </c>
      <c r="N2696" t="s">
        <v>272</v>
      </c>
      <c r="O2696">
        <v>4155551450</v>
      </c>
      <c r="P2696" t="s">
        <v>273</v>
      </c>
      <c r="R2696" t="s">
        <v>274</v>
      </c>
      <c r="S2696" t="s">
        <v>55</v>
      </c>
      <c r="T2696">
        <v>97562</v>
      </c>
      <c r="U2696" t="s">
        <v>32</v>
      </c>
      <c r="V2696" t="s">
        <v>33</v>
      </c>
      <c r="W2696" t="s">
        <v>275</v>
      </c>
      <c r="X2696" t="s">
        <v>276</v>
      </c>
      <c r="Y2696" t="s">
        <v>36</v>
      </c>
    </row>
    <row r="2697" spans="1:25" x14ac:dyDescent="0.25">
      <c r="A2697">
        <v>10153</v>
      </c>
      <c r="B2697">
        <v>50</v>
      </c>
      <c r="C2697">
        <v>88.15</v>
      </c>
      <c r="D2697">
        <v>2</v>
      </c>
      <c r="E2697">
        <v>4407.5</v>
      </c>
      <c r="F2697" s="1">
        <v>37892</v>
      </c>
      <c r="G2697" t="s">
        <v>25</v>
      </c>
      <c r="H2697">
        <v>3</v>
      </c>
      <c r="I2697">
        <v>9</v>
      </c>
      <c r="J2697">
        <v>2003</v>
      </c>
      <c r="K2697" t="s">
        <v>598</v>
      </c>
      <c r="L2697">
        <v>100</v>
      </c>
      <c r="M2697" t="s">
        <v>670</v>
      </c>
      <c r="N2697" t="s">
        <v>174</v>
      </c>
      <c r="O2697" t="s">
        <v>175</v>
      </c>
      <c r="P2697" t="s">
        <v>176</v>
      </c>
      <c r="R2697" t="s">
        <v>177</v>
      </c>
      <c r="T2697">
        <v>28034</v>
      </c>
      <c r="U2697" t="s">
        <v>178</v>
      </c>
      <c r="V2697" t="s">
        <v>42</v>
      </c>
      <c r="W2697" t="s">
        <v>179</v>
      </c>
      <c r="X2697" t="s">
        <v>180</v>
      </c>
      <c r="Y2697" t="s">
        <v>51</v>
      </c>
    </row>
    <row r="2698" spans="1:25" x14ac:dyDescent="0.25">
      <c r="A2698">
        <v>10167</v>
      </c>
      <c r="B2698">
        <v>24</v>
      </c>
      <c r="C2698">
        <v>100</v>
      </c>
      <c r="D2698">
        <v>13</v>
      </c>
      <c r="E2698">
        <v>2812.8</v>
      </c>
      <c r="F2698" s="1">
        <v>37917</v>
      </c>
      <c r="G2698" t="s">
        <v>339</v>
      </c>
      <c r="H2698">
        <v>4</v>
      </c>
      <c r="I2698">
        <v>10</v>
      </c>
      <c r="J2698">
        <v>2003</v>
      </c>
      <c r="K2698" t="s">
        <v>598</v>
      </c>
      <c r="L2698">
        <v>100</v>
      </c>
      <c r="M2698" t="s">
        <v>670</v>
      </c>
      <c r="N2698" t="s">
        <v>261</v>
      </c>
      <c r="O2698" t="s">
        <v>262</v>
      </c>
      <c r="P2698" t="s">
        <v>263</v>
      </c>
      <c r="R2698" t="s">
        <v>264</v>
      </c>
      <c r="T2698" t="s">
        <v>265</v>
      </c>
      <c r="U2698" t="s">
        <v>188</v>
      </c>
      <c r="V2698" t="s">
        <v>42</v>
      </c>
      <c r="W2698" t="s">
        <v>266</v>
      </c>
      <c r="X2698" t="s">
        <v>206</v>
      </c>
      <c r="Y2698" t="s">
        <v>36</v>
      </c>
    </row>
    <row r="2699" spans="1:25" x14ac:dyDescent="0.25">
      <c r="A2699">
        <v>10177</v>
      </c>
      <c r="B2699">
        <v>44</v>
      </c>
      <c r="C2699">
        <v>92.16</v>
      </c>
      <c r="D2699">
        <v>4</v>
      </c>
      <c r="E2699">
        <v>4055.04</v>
      </c>
      <c r="F2699" s="1">
        <v>37932</v>
      </c>
      <c r="G2699" t="s">
        <v>25</v>
      </c>
      <c r="H2699">
        <v>4</v>
      </c>
      <c r="I2699">
        <v>11</v>
      </c>
      <c r="J2699">
        <v>2003</v>
      </c>
      <c r="K2699" t="s">
        <v>598</v>
      </c>
      <c r="L2699">
        <v>100</v>
      </c>
      <c r="M2699" t="s">
        <v>670</v>
      </c>
      <c r="N2699" t="s">
        <v>487</v>
      </c>
      <c r="O2699" t="s">
        <v>488</v>
      </c>
      <c r="P2699" t="s">
        <v>489</v>
      </c>
      <c r="R2699" t="s">
        <v>177</v>
      </c>
      <c r="T2699">
        <v>28023</v>
      </c>
      <c r="U2699" t="s">
        <v>178</v>
      </c>
      <c r="V2699" t="s">
        <v>42</v>
      </c>
      <c r="W2699" t="s">
        <v>490</v>
      </c>
      <c r="X2699" t="s">
        <v>491</v>
      </c>
      <c r="Y2699" t="s">
        <v>51</v>
      </c>
    </row>
    <row r="2700" spans="1:25" x14ac:dyDescent="0.25">
      <c r="A2700">
        <v>10185</v>
      </c>
      <c r="B2700">
        <v>37</v>
      </c>
      <c r="C2700">
        <v>100</v>
      </c>
      <c r="D2700">
        <v>4</v>
      </c>
      <c r="E2700">
        <v>3891.66</v>
      </c>
      <c r="F2700" s="1">
        <v>37939</v>
      </c>
      <c r="G2700" t="s">
        <v>25</v>
      </c>
      <c r="H2700">
        <v>4</v>
      </c>
      <c r="I2700">
        <v>11</v>
      </c>
      <c r="J2700">
        <v>2003</v>
      </c>
      <c r="K2700" t="s">
        <v>598</v>
      </c>
      <c r="L2700">
        <v>100</v>
      </c>
      <c r="M2700" t="s">
        <v>670</v>
      </c>
      <c r="N2700" t="s">
        <v>335</v>
      </c>
      <c r="O2700">
        <v>5085559555</v>
      </c>
      <c r="P2700" t="s">
        <v>336</v>
      </c>
      <c r="R2700" t="s">
        <v>162</v>
      </c>
      <c r="S2700" t="s">
        <v>123</v>
      </c>
      <c r="T2700">
        <v>50553</v>
      </c>
      <c r="U2700" t="s">
        <v>32</v>
      </c>
      <c r="V2700" t="s">
        <v>33</v>
      </c>
      <c r="W2700" t="s">
        <v>337</v>
      </c>
      <c r="X2700" t="s">
        <v>338</v>
      </c>
      <c r="Y2700" t="s">
        <v>51</v>
      </c>
    </row>
    <row r="2701" spans="1:25" x14ac:dyDescent="0.25">
      <c r="A2701">
        <v>10197</v>
      </c>
      <c r="B2701">
        <v>27</v>
      </c>
      <c r="C2701">
        <v>92.16</v>
      </c>
      <c r="D2701">
        <v>10</v>
      </c>
      <c r="E2701">
        <v>2488.3200000000002</v>
      </c>
      <c r="F2701" s="1">
        <v>37951</v>
      </c>
      <c r="G2701" t="s">
        <v>25</v>
      </c>
      <c r="H2701">
        <v>4</v>
      </c>
      <c r="I2701">
        <v>11</v>
      </c>
      <c r="J2701">
        <v>2003</v>
      </c>
      <c r="K2701" t="s">
        <v>598</v>
      </c>
      <c r="L2701">
        <v>100</v>
      </c>
      <c r="M2701" t="s">
        <v>670</v>
      </c>
      <c r="N2701" t="s">
        <v>352</v>
      </c>
      <c r="O2701" t="s">
        <v>353</v>
      </c>
      <c r="P2701" t="s">
        <v>354</v>
      </c>
      <c r="R2701" t="s">
        <v>355</v>
      </c>
      <c r="T2701">
        <v>8022</v>
      </c>
      <c r="U2701" t="s">
        <v>178</v>
      </c>
      <c r="V2701" t="s">
        <v>42</v>
      </c>
      <c r="W2701" t="s">
        <v>356</v>
      </c>
      <c r="X2701" t="s">
        <v>357</v>
      </c>
      <c r="Y2701" t="s">
        <v>36</v>
      </c>
    </row>
    <row r="2702" spans="1:25" x14ac:dyDescent="0.25">
      <c r="A2702">
        <v>10208</v>
      </c>
      <c r="B2702">
        <v>37</v>
      </c>
      <c r="C2702">
        <v>100</v>
      </c>
      <c r="D2702">
        <v>4</v>
      </c>
      <c r="E2702">
        <v>4447.3999999999996</v>
      </c>
      <c r="F2702" s="1">
        <v>37988</v>
      </c>
      <c r="G2702" t="s">
        <v>25</v>
      </c>
      <c r="H2702">
        <v>1</v>
      </c>
      <c r="I2702">
        <v>1</v>
      </c>
      <c r="J2702">
        <v>2004</v>
      </c>
      <c r="K2702" t="s">
        <v>598</v>
      </c>
      <c r="L2702">
        <v>100</v>
      </c>
      <c r="M2702" t="s">
        <v>670</v>
      </c>
      <c r="N2702" t="s">
        <v>219</v>
      </c>
      <c r="O2702" t="s">
        <v>220</v>
      </c>
      <c r="P2702" t="s">
        <v>221</v>
      </c>
      <c r="R2702" t="s">
        <v>222</v>
      </c>
      <c r="T2702">
        <v>69004</v>
      </c>
      <c r="U2702" t="s">
        <v>41</v>
      </c>
      <c r="V2702" t="s">
        <v>42</v>
      </c>
      <c r="W2702" t="s">
        <v>223</v>
      </c>
      <c r="X2702" t="s">
        <v>224</v>
      </c>
      <c r="Y2702" t="s">
        <v>51</v>
      </c>
    </row>
    <row r="2703" spans="1:25" x14ac:dyDescent="0.25">
      <c r="A2703">
        <v>10222</v>
      </c>
      <c r="B2703">
        <v>38</v>
      </c>
      <c r="C2703">
        <v>100</v>
      </c>
      <c r="D2703">
        <v>16</v>
      </c>
      <c r="E2703">
        <v>4187.22</v>
      </c>
      <c r="F2703" s="1">
        <v>38036</v>
      </c>
      <c r="G2703" t="s">
        <v>25</v>
      </c>
      <c r="H2703">
        <v>1</v>
      </c>
      <c r="I2703">
        <v>2</v>
      </c>
      <c r="J2703">
        <v>2004</v>
      </c>
      <c r="K2703" t="s">
        <v>598</v>
      </c>
      <c r="L2703">
        <v>100</v>
      </c>
      <c r="M2703" t="s">
        <v>670</v>
      </c>
      <c r="N2703" t="s">
        <v>362</v>
      </c>
      <c r="O2703">
        <v>7605558146</v>
      </c>
      <c r="P2703" t="s">
        <v>363</v>
      </c>
      <c r="R2703" t="s">
        <v>364</v>
      </c>
      <c r="S2703" t="s">
        <v>55</v>
      </c>
      <c r="T2703">
        <v>91217</v>
      </c>
      <c r="U2703" t="s">
        <v>32</v>
      </c>
      <c r="V2703" t="s">
        <v>33</v>
      </c>
      <c r="W2703" t="s">
        <v>237</v>
      </c>
      <c r="X2703" t="s">
        <v>276</v>
      </c>
      <c r="Y2703" t="s">
        <v>51</v>
      </c>
    </row>
    <row r="2704" spans="1:25" x14ac:dyDescent="0.25">
      <c r="A2704">
        <v>10232</v>
      </c>
      <c r="B2704">
        <v>48</v>
      </c>
      <c r="C2704">
        <v>96.16</v>
      </c>
      <c r="D2704">
        <v>1</v>
      </c>
      <c r="E2704">
        <v>4615.68</v>
      </c>
      <c r="F2704" s="1">
        <v>38066</v>
      </c>
      <c r="G2704" t="s">
        <v>25</v>
      </c>
      <c r="H2704">
        <v>1</v>
      </c>
      <c r="I2704">
        <v>3</v>
      </c>
      <c r="J2704">
        <v>2004</v>
      </c>
      <c r="K2704" t="s">
        <v>598</v>
      </c>
      <c r="L2704">
        <v>100</v>
      </c>
      <c r="M2704" t="s">
        <v>670</v>
      </c>
      <c r="N2704" t="s">
        <v>383</v>
      </c>
      <c r="O2704" t="s">
        <v>384</v>
      </c>
      <c r="P2704" t="s">
        <v>385</v>
      </c>
      <c r="R2704" t="s">
        <v>386</v>
      </c>
      <c r="S2704" t="s">
        <v>387</v>
      </c>
      <c r="T2704" t="s">
        <v>388</v>
      </c>
      <c r="U2704" t="s">
        <v>170</v>
      </c>
      <c r="V2704" t="s">
        <v>42</v>
      </c>
      <c r="W2704" t="s">
        <v>389</v>
      </c>
      <c r="X2704" t="s">
        <v>390</v>
      </c>
      <c r="Y2704" t="s">
        <v>51</v>
      </c>
    </row>
    <row r="2705" spans="1:25" x14ac:dyDescent="0.25">
      <c r="A2705">
        <v>10248</v>
      </c>
      <c r="B2705">
        <v>30</v>
      </c>
      <c r="C2705">
        <v>100</v>
      </c>
      <c r="D2705">
        <v>7</v>
      </c>
      <c r="E2705">
        <v>3245.4</v>
      </c>
      <c r="F2705" s="1">
        <v>38114</v>
      </c>
      <c r="G2705" t="s">
        <v>339</v>
      </c>
      <c r="H2705">
        <v>2</v>
      </c>
      <c r="I2705">
        <v>5</v>
      </c>
      <c r="J2705">
        <v>2004</v>
      </c>
      <c r="K2705" t="s">
        <v>598</v>
      </c>
      <c r="L2705">
        <v>100</v>
      </c>
      <c r="M2705" t="s">
        <v>670</v>
      </c>
      <c r="N2705" t="s">
        <v>28</v>
      </c>
      <c r="O2705">
        <v>2125557818</v>
      </c>
      <c r="P2705" t="s">
        <v>29</v>
      </c>
      <c r="R2705" t="s">
        <v>30</v>
      </c>
      <c r="S2705" t="s">
        <v>31</v>
      </c>
      <c r="T2705">
        <v>10022</v>
      </c>
      <c r="U2705" t="s">
        <v>32</v>
      </c>
      <c r="V2705" t="s">
        <v>33</v>
      </c>
      <c r="W2705" t="s">
        <v>34</v>
      </c>
      <c r="X2705" t="s">
        <v>35</v>
      </c>
      <c r="Y2705" t="s">
        <v>51</v>
      </c>
    </row>
    <row r="2706" spans="1:25" x14ac:dyDescent="0.25">
      <c r="A2706">
        <v>10261</v>
      </c>
      <c r="B2706">
        <v>25</v>
      </c>
      <c r="C2706">
        <v>88.15</v>
      </c>
      <c r="D2706">
        <v>5</v>
      </c>
      <c r="E2706">
        <v>2203.75</v>
      </c>
      <c r="F2706" s="1">
        <v>38155</v>
      </c>
      <c r="G2706" t="s">
        <v>25</v>
      </c>
      <c r="H2706">
        <v>2</v>
      </c>
      <c r="I2706">
        <v>6</v>
      </c>
      <c r="J2706">
        <v>2004</v>
      </c>
      <c r="K2706" t="s">
        <v>598</v>
      </c>
      <c r="L2706">
        <v>100</v>
      </c>
      <c r="M2706" t="s">
        <v>670</v>
      </c>
      <c r="N2706" t="s">
        <v>292</v>
      </c>
      <c r="O2706" t="s">
        <v>293</v>
      </c>
      <c r="P2706" t="s">
        <v>294</v>
      </c>
      <c r="R2706" t="s">
        <v>295</v>
      </c>
      <c r="S2706" t="s">
        <v>296</v>
      </c>
      <c r="T2706" t="s">
        <v>297</v>
      </c>
      <c r="U2706" t="s">
        <v>231</v>
      </c>
      <c r="V2706" t="s">
        <v>33</v>
      </c>
      <c r="W2706" t="s">
        <v>298</v>
      </c>
      <c r="X2706" t="s">
        <v>299</v>
      </c>
      <c r="Y2706" t="s">
        <v>36</v>
      </c>
    </row>
    <row r="2707" spans="1:25" x14ac:dyDescent="0.25">
      <c r="A2707">
        <v>10273</v>
      </c>
      <c r="B2707">
        <v>40</v>
      </c>
      <c r="C2707">
        <v>86.15</v>
      </c>
      <c r="D2707">
        <v>8</v>
      </c>
      <c r="E2707">
        <v>3446</v>
      </c>
      <c r="F2707" s="1">
        <v>38189</v>
      </c>
      <c r="G2707" t="s">
        <v>25</v>
      </c>
      <c r="H2707">
        <v>3</v>
      </c>
      <c r="I2707">
        <v>7</v>
      </c>
      <c r="J2707">
        <v>2004</v>
      </c>
      <c r="K2707" t="s">
        <v>598</v>
      </c>
      <c r="L2707">
        <v>100</v>
      </c>
      <c r="M2707" t="s">
        <v>670</v>
      </c>
      <c r="N2707" t="s">
        <v>365</v>
      </c>
      <c r="O2707" t="s">
        <v>366</v>
      </c>
      <c r="P2707" t="s">
        <v>367</v>
      </c>
      <c r="R2707" t="s">
        <v>368</v>
      </c>
      <c r="T2707" t="s">
        <v>369</v>
      </c>
      <c r="U2707" t="s">
        <v>370</v>
      </c>
      <c r="V2707" t="s">
        <v>42</v>
      </c>
      <c r="W2707" t="s">
        <v>371</v>
      </c>
      <c r="X2707" t="s">
        <v>372</v>
      </c>
      <c r="Y2707" t="s">
        <v>51</v>
      </c>
    </row>
    <row r="2708" spans="1:25" x14ac:dyDescent="0.25">
      <c r="A2708">
        <v>10283</v>
      </c>
      <c r="B2708">
        <v>22</v>
      </c>
      <c r="C2708">
        <v>88.15</v>
      </c>
      <c r="D2708">
        <v>10</v>
      </c>
      <c r="E2708">
        <v>1939.3</v>
      </c>
      <c r="F2708" s="1">
        <v>38219</v>
      </c>
      <c r="G2708" t="s">
        <v>25</v>
      </c>
      <c r="H2708">
        <v>3</v>
      </c>
      <c r="I2708">
        <v>8</v>
      </c>
      <c r="J2708">
        <v>2004</v>
      </c>
      <c r="K2708" t="s">
        <v>598</v>
      </c>
      <c r="L2708">
        <v>100</v>
      </c>
      <c r="M2708" t="s">
        <v>670</v>
      </c>
      <c r="N2708" t="s">
        <v>373</v>
      </c>
      <c r="O2708" t="s">
        <v>374</v>
      </c>
      <c r="P2708" t="s">
        <v>375</v>
      </c>
      <c r="R2708" t="s">
        <v>376</v>
      </c>
      <c r="S2708" t="s">
        <v>229</v>
      </c>
      <c r="T2708" t="s">
        <v>377</v>
      </c>
      <c r="U2708" t="s">
        <v>231</v>
      </c>
      <c r="V2708" t="s">
        <v>33</v>
      </c>
      <c r="W2708" t="s">
        <v>378</v>
      </c>
      <c r="X2708" t="s">
        <v>172</v>
      </c>
      <c r="Y2708" t="s">
        <v>36</v>
      </c>
    </row>
    <row r="2709" spans="1:25" x14ac:dyDescent="0.25">
      <c r="A2709">
        <v>10295</v>
      </c>
      <c r="B2709">
        <v>34</v>
      </c>
      <c r="C2709">
        <v>100</v>
      </c>
      <c r="D2709">
        <v>5</v>
      </c>
      <c r="E2709">
        <v>3473.78</v>
      </c>
      <c r="F2709" s="1">
        <v>38240</v>
      </c>
      <c r="G2709" t="s">
        <v>25</v>
      </c>
      <c r="H2709">
        <v>3</v>
      </c>
      <c r="I2709">
        <v>9</v>
      </c>
      <c r="J2709">
        <v>2004</v>
      </c>
      <c r="K2709" t="s">
        <v>598</v>
      </c>
      <c r="L2709">
        <v>100</v>
      </c>
      <c r="M2709" t="s">
        <v>670</v>
      </c>
      <c r="N2709" t="s">
        <v>379</v>
      </c>
      <c r="O2709">
        <v>6175559555</v>
      </c>
      <c r="P2709" t="s">
        <v>380</v>
      </c>
      <c r="R2709" t="s">
        <v>381</v>
      </c>
      <c r="S2709" t="s">
        <v>123</v>
      </c>
      <c r="T2709">
        <v>51003</v>
      </c>
      <c r="U2709" t="s">
        <v>32</v>
      </c>
      <c r="V2709" t="s">
        <v>33</v>
      </c>
      <c r="W2709" t="s">
        <v>382</v>
      </c>
      <c r="X2709" t="s">
        <v>66</v>
      </c>
      <c r="Y2709" t="s">
        <v>51</v>
      </c>
    </row>
    <row r="2710" spans="1:25" x14ac:dyDescent="0.25">
      <c r="A2710">
        <v>10306</v>
      </c>
      <c r="B2710">
        <v>32</v>
      </c>
      <c r="C2710">
        <v>90.15</v>
      </c>
      <c r="D2710">
        <v>4</v>
      </c>
      <c r="E2710">
        <v>2884.8</v>
      </c>
      <c r="F2710" s="1">
        <v>38274</v>
      </c>
      <c r="G2710" t="s">
        <v>25</v>
      </c>
      <c r="H2710">
        <v>4</v>
      </c>
      <c r="I2710">
        <v>10</v>
      </c>
      <c r="J2710">
        <v>2004</v>
      </c>
      <c r="K2710" t="s">
        <v>598</v>
      </c>
      <c r="L2710">
        <v>100</v>
      </c>
      <c r="M2710" t="s">
        <v>670</v>
      </c>
      <c r="N2710" t="s">
        <v>492</v>
      </c>
      <c r="O2710" t="s">
        <v>493</v>
      </c>
      <c r="P2710" t="s">
        <v>494</v>
      </c>
      <c r="R2710" t="s">
        <v>495</v>
      </c>
      <c r="T2710" t="s">
        <v>496</v>
      </c>
      <c r="U2710" t="s">
        <v>170</v>
      </c>
      <c r="V2710" t="s">
        <v>42</v>
      </c>
      <c r="W2710" t="s">
        <v>497</v>
      </c>
      <c r="X2710" t="s">
        <v>94</v>
      </c>
      <c r="Y2710" t="s">
        <v>36</v>
      </c>
    </row>
    <row r="2711" spans="1:25" x14ac:dyDescent="0.25">
      <c r="A2711">
        <v>10315</v>
      </c>
      <c r="B2711">
        <v>31</v>
      </c>
      <c r="C2711">
        <v>86.15</v>
      </c>
      <c r="D2711">
        <v>3</v>
      </c>
      <c r="E2711">
        <v>2670.65</v>
      </c>
      <c r="F2711" s="1">
        <v>38289</v>
      </c>
      <c r="G2711" t="s">
        <v>25</v>
      </c>
      <c r="H2711">
        <v>4</v>
      </c>
      <c r="I2711">
        <v>10</v>
      </c>
      <c r="J2711">
        <v>2004</v>
      </c>
      <c r="K2711" t="s">
        <v>598</v>
      </c>
      <c r="L2711">
        <v>100</v>
      </c>
      <c r="M2711" t="s">
        <v>670</v>
      </c>
      <c r="N2711" t="s">
        <v>114</v>
      </c>
      <c r="O2711" t="s">
        <v>115</v>
      </c>
      <c r="P2711" t="s">
        <v>116</v>
      </c>
      <c r="R2711" t="s">
        <v>117</v>
      </c>
      <c r="T2711">
        <v>44000</v>
      </c>
      <c r="U2711" t="s">
        <v>41</v>
      </c>
      <c r="V2711" t="s">
        <v>42</v>
      </c>
      <c r="W2711" t="s">
        <v>118</v>
      </c>
      <c r="X2711" t="s">
        <v>119</v>
      </c>
      <c r="Y2711" t="s">
        <v>36</v>
      </c>
    </row>
    <row r="2712" spans="1:25" x14ac:dyDescent="0.25">
      <c r="A2712">
        <v>10327</v>
      </c>
      <c r="B2712">
        <v>43</v>
      </c>
      <c r="C2712">
        <v>80</v>
      </c>
      <c r="D2712">
        <v>2</v>
      </c>
      <c r="E2712">
        <v>3440</v>
      </c>
      <c r="F2712" s="1">
        <v>38301</v>
      </c>
      <c r="G2712" t="s">
        <v>408</v>
      </c>
      <c r="H2712">
        <v>4</v>
      </c>
      <c r="I2712">
        <v>11</v>
      </c>
      <c r="J2712">
        <v>2004</v>
      </c>
      <c r="K2712" t="s">
        <v>598</v>
      </c>
      <c r="L2712">
        <v>100</v>
      </c>
      <c r="M2712" t="s">
        <v>670</v>
      </c>
      <c r="N2712" t="s">
        <v>322</v>
      </c>
      <c r="O2712" t="s">
        <v>323</v>
      </c>
      <c r="P2712" t="s">
        <v>324</v>
      </c>
      <c r="R2712" t="s">
        <v>325</v>
      </c>
      <c r="T2712">
        <v>1734</v>
      </c>
      <c r="U2712" t="s">
        <v>326</v>
      </c>
      <c r="V2712" t="s">
        <v>42</v>
      </c>
      <c r="W2712" t="s">
        <v>327</v>
      </c>
      <c r="X2712" t="s">
        <v>328</v>
      </c>
      <c r="Y2712" t="s">
        <v>51</v>
      </c>
    </row>
    <row r="2713" spans="1:25" x14ac:dyDescent="0.25">
      <c r="A2713">
        <v>10337</v>
      </c>
      <c r="B2713">
        <v>31</v>
      </c>
      <c r="C2713">
        <v>89.38</v>
      </c>
      <c r="D2713">
        <v>1</v>
      </c>
      <c r="E2713">
        <v>2770.78</v>
      </c>
      <c r="F2713" s="1">
        <v>38312</v>
      </c>
      <c r="G2713" t="s">
        <v>25</v>
      </c>
      <c r="H2713">
        <v>4</v>
      </c>
      <c r="I2713">
        <v>11</v>
      </c>
      <c r="J2713">
        <v>2004</v>
      </c>
      <c r="K2713" t="s">
        <v>598</v>
      </c>
      <c r="L2713">
        <v>100</v>
      </c>
      <c r="M2713" t="s">
        <v>670</v>
      </c>
      <c r="N2713" t="s">
        <v>203</v>
      </c>
      <c r="O2713">
        <v>2125558493</v>
      </c>
      <c r="P2713" t="s">
        <v>204</v>
      </c>
      <c r="Q2713" t="s">
        <v>205</v>
      </c>
      <c r="R2713" t="s">
        <v>30</v>
      </c>
      <c r="S2713" t="s">
        <v>31</v>
      </c>
      <c r="T2713">
        <v>10022</v>
      </c>
      <c r="U2713" t="s">
        <v>32</v>
      </c>
      <c r="V2713" t="s">
        <v>33</v>
      </c>
      <c r="W2713" t="s">
        <v>124</v>
      </c>
      <c r="X2713" t="s">
        <v>206</v>
      </c>
      <c r="Y2713" t="s">
        <v>36</v>
      </c>
    </row>
    <row r="2714" spans="1:25" x14ac:dyDescent="0.25">
      <c r="A2714">
        <v>10350</v>
      </c>
      <c r="B2714">
        <v>31</v>
      </c>
      <c r="C2714">
        <v>77.34</v>
      </c>
      <c r="D2714">
        <v>13</v>
      </c>
      <c r="E2714">
        <v>2397.54</v>
      </c>
      <c r="F2714" s="1">
        <v>38323</v>
      </c>
      <c r="G2714" t="s">
        <v>25</v>
      </c>
      <c r="H2714">
        <v>4</v>
      </c>
      <c r="I2714">
        <v>12</v>
      </c>
      <c r="J2714">
        <v>2004</v>
      </c>
      <c r="K2714" t="s">
        <v>598</v>
      </c>
      <c r="L2714">
        <v>100</v>
      </c>
      <c r="M2714" t="s">
        <v>670</v>
      </c>
      <c r="N2714" t="s">
        <v>174</v>
      </c>
      <c r="O2714" t="s">
        <v>175</v>
      </c>
      <c r="P2714" t="s">
        <v>176</v>
      </c>
      <c r="R2714" t="s">
        <v>177</v>
      </c>
      <c r="T2714">
        <v>28034</v>
      </c>
      <c r="U2714" t="s">
        <v>178</v>
      </c>
      <c r="V2714" t="s">
        <v>42</v>
      </c>
      <c r="W2714" t="s">
        <v>179</v>
      </c>
      <c r="X2714" t="s">
        <v>180</v>
      </c>
      <c r="Y2714" t="s">
        <v>36</v>
      </c>
    </row>
    <row r="2715" spans="1:25" x14ac:dyDescent="0.25">
      <c r="A2715">
        <v>10373</v>
      </c>
      <c r="B2715">
        <v>34</v>
      </c>
      <c r="C2715">
        <v>96.34</v>
      </c>
      <c r="D2715">
        <v>2</v>
      </c>
      <c r="E2715">
        <v>3275.56</v>
      </c>
      <c r="F2715" s="1">
        <v>38383</v>
      </c>
      <c r="G2715" t="s">
        <v>25</v>
      </c>
      <c r="H2715">
        <v>1</v>
      </c>
      <c r="I2715">
        <v>1</v>
      </c>
      <c r="J2715">
        <v>2005</v>
      </c>
      <c r="K2715" t="s">
        <v>598</v>
      </c>
      <c r="L2715">
        <v>100</v>
      </c>
      <c r="M2715" t="s">
        <v>670</v>
      </c>
      <c r="N2715" t="s">
        <v>391</v>
      </c>
      <c r="O2715" t="s">
        <v>392</v>
      </c>
      <c r="P2715" t="s">
        <v>393</v>
      </c>
      <c r="R2715" t="s">
        <v>394</v>
      </c>
      <c r="T2715">
        <v>90110</v>
      </c>
      <c r="U2715" t="s">
        <v>130</v>
      </c>
      <c r="V2715" t="s">
        <v>42</v>
      </c>
      <c r="W2715" t="s">
        <v>395</v>
      </c>
      <c r="X2715" t="s">
        <v>396</v>
      </c>
      <c r="Y2715" t="s">
        <v>51</v>
      </c>
    </row>
    <row r="2716" spans="1:25" x14ac:dyDescent="0.25">
      <c r="A2716">
        <v>10386</v>
      </c>
      <c r="B2716">
        <v>45</v>
      </c>
      <c r="C2716">
        <v>92.08</v>
      </c>
      <c r="D2716">
        <v>2</v>
      </c>
      <c r="E2716">
        <v>4143.6000000000004</v>
      </c>
      <c r="F2716" s="1">
        <v>38412</v>
      </c>
      <c r="G2716" t="s">
        <v>408</v>
      </c>
      <c r="H2716">
        <v>1</v>
      </c>
      <c r="I2716">
        <v>3</v>
      </c>
      <c r="J2716">
        <v>2005</v>
      </c>
      <c r="K2716" t="s">
        <v>598</v>
      </c>
      <c r="L2716">
        <v>100</v>
      </c>
      <c r="M2716" t="s">
        <v>670</v>
      </c>
      <c r="N2716" t="s">
        <v>174</v>
      </c>
      <c r="O2716" t="s">
        <v>175</v>
      </c>
      <c r="P2716" t="s">
        <v>176</v>
      </c>
      <c r="R2716" t="s">
        <v>177</v>
      </c>
      <c r="T2716">
        <v>28034</v>
      </c>
      <c r="U2716" t="s">
        <v>178</v>
      </c>
      <c r="V2716" t="s">
        <v>42</v>
      </c>
      <c r="W2716" t="s">
        <v>179</v>
      </c>
      <c r="X2716" t="s">
        <v>180</v>
      </c>
      <c r="Y2716" t="s">
        <v>51</v>
      </c>
    </row>
    <row r="2717" spans="1:25" x14ac:dyDescent="0.25">
      <c r="A2717">
        <v>10397</v>
      </c>
      <c r="B2717">
        <v>48</v>
      </c>
      <c r="C2717">
        <v>100</v>
      </c>
      <c r="D2717">
        <v>3</v>
      </c>
      <c r="E2717">
        <v>5192.6400000000003</v>
      </c>
      <c r="F2717" s="1">
        <v>38439</v>
      </c>
      <c r="G2717" t="s">
        <v>25</v>
      </c>
      <c r="H2717">
        <v>1</v>
      </c>
      <c r="I2717">
        <v>3</v>
      </c>
      <c r="J2717">
        <v>2005</v>
      </c>
      <c r="K2717" t="s">
        <v>598</v>
      </c>
      <c r="L2717">
        <v>100</v>
      </c>
      <c r="M2717" t="s">
        <v>670</v>
      </c>
      <c r="N2717" t="s">
        <v>340</v>
      </c>
      <c r="O2717" t="s">
        <v>341</v>
      </c>
      <c r="P2717" t="s">
        <v>342</v>
      </c>
      <c r="R2717" t="s">
        <v>343</v>
      </c>
      <c r="T2717">
        <v>31000</v>
      </c>
      <c r="U2717" t="s">
        <v>41</v>
      </c>
      <c r="V2717" t="s">
        <v>42</v>
      </c>
      <c r="W2717" t="s">
        <v>344</v>
      </c>
      <c r="X2717" t="s">
        <v>345</v>
      </c>
      <c r="Y2717" t="s">
        <v>51</v>
      </c>
    </row>
    <row r="2718" spans="1:25" x14ac:dyDescent="0.25">
      <c r="A2718">
        <v>10414</v>
      </c>
      <c r="B2718">
        <v>28</v>
      </c>
      <c r="C2718">
        <v>100</v>
      </c>
      <c r="D2718">
        <v>7</v>
      </c>
      <c r="E2718">
        <v>3029.04</v>
      </c>
      <c r="F2718" s="1">
        <v>38478</v>
      </c>
      <c r="G2718" t="s">
        <v>401</v>
      </c>
      <c r="H2718">
        <v>2</v>
      </c>
      <c r="I2718">
        <v>5</v>
      </c>
      <c r="J2718">
        <v>2005</v>
      </c>
      <c r="K2718" t="s">
        <v>598</v>
      </c>
      <c r="L2718">
        <v>100</v>
      </c>
      <c r="M2718" t="s">
        <v>670</v>
      </c>
      <c r="N2718" t="s">
        <v>379</v>
      </c>
      <c r="O2718">
        <v>6175559555</v>
      </c>
      <c r="P2718" t="s">
        <v>380</v>
      </c>
      <c r="R2718" t="s">
        <v>381</v>
      </c>
      <c r="S2718" t="s">
        <v>123</v>
      </c>
      <c r="T2718">
        <v>51003</v>
      </c>
      <c r="U2718" t="s">
        <v>32</v>
      </c>
      <c r="V2718" t="s">
        <v>33</v>
      </c>
      <c r="W2718" t="s">
        <v>382</v>
      </c>
      <c r="X2718" t="s">
        <v>66</v>
      </c>
      <c r="Y2718" t="s">
        <v>51</v>
      </c>
    </row>
    <row r="2719" spans="1:25" x14ac:dyDescent="0.25">
      <c r="A2719">
        <v>10105</v>
      </c>
      <c r="B2719">
        <v>22</v>
      </c>
      <c r="C2719">
        <v>100</v>
      </c>
      <c r="D2719">
        <v>7</v>
      </c>
      <c r="E2719">
        <v>2556.1799999999998</v>
      </c>
      <c r="F2719" s="1">
        <v>37663</v>
      </c>
      <c r="G2719" t="s">
        <v>25</v>
      </c>
      <c r="H2719">
        <v>1</v>
      </c>
      <c r="I2719">
        <v>2</v>
      </c>
      <c r="J2719">
        <v>2003</v>
      </c>
      <c r="K2719" t="s">
        <v>598</v>
      </c>
      <c r="L2719">
        <v>99</v>
      </c>
      <c r="M2719" t="s">
        <v>671</v>
      </c>
      <c r="N2719" t="s">
        <v>322</v>
      </c>
      <c r="O2719" t="s">
        <v>323</v>
      </c>
      <c r="P2719" t="s">
        <v>324</v>
      </c>
      <c r="R2719" t="s">
        <v>325</v>
      </c>
      <c r="T2719">
        <v>1734</v>
      </c>
      <c r="U2719" t="s">
        <v>326</v>
      </c>
      <c r="V2719" t="s">
        <v>42</v>
      </c>
      <c r="W2719" t="s">
        <v>327</v>
      </c>
      <c r="X2719" t="s">
        <v>328</v>
      </c>
      <c r="Y2719" t="s">
        <v>36</v>
      </c>
    </row>
    <row r="2720" spans="1:25" x14ac:dyDescent="0.25">
      <c r="A2720">
        <v>10117</v>
      </c>
      <c r="B2720">
        <v>45</v>
      </c>
      <c r="C2720">
        <v>83.42</v>
      </c>
      <c r="D2720">
        <v>1</v>
      </c>
      <c r="E2720">
        <v>3753.9</v>
      </c>
      <c r="F2720" s="1">
        <v>37727</v>
      </c>
      <c r="G2720" t="s">
        <v>25</v>
      </c>
      <c r="H2720">
        <v>2</v>
      </c>
      <c r="I2720">
        <v>4</v>
      </c>
      <c r="J2720">
        <v>2003</v>
      </c>
      <c r="K2720" t="s">
        <v>598</v>
      </c>
      <c r="L2720">
        <v>99</v>
      </c>
      <c r="M2720" t="s">
        <v>671</v>
      </c>
      <c r="N2720" t="s">
        <v>196</v>
      </c>
      <c r="O2720" t="s">
        <v>197</v>
      </c>
      <c r="P2720" t="s">
        <v>198</v>
      </c>
      <c r="R2720" t="s">
        <v>199</v>
      </c>
      <c r="T2720">
        <v>79903</v>
      </c>
      <c r="U2720" t="s">
        <v>199</v>
      </c>
      <c r="V2720" t="s">
        <v>200</v>
      </c>
      <c r="W2720" t="s">
        <v>201</v>
      </c>
      <c r="X2720" t="s">
        <v>202</v>
      </c>
      <c r="Y2720" t="s">
        <v>51</v>
      </c>
    </row>
    <row r="2721" spans="1:25" x14ac:dyDescent="0.25">
      <c r="A2721">
        <v>10129</v>
      </c>
      <c r="B2721">
        <v>30</v>
      </c>
      <c r="C2721">
        <v>85.41</v>
      </c>
      <c r="D2721">
        <v>7</v>
      </c>
      <c r="E2721">
        <v>2562.3000000000002</v>
      </c>
      <c r="F2721" s="1">
        <v>37784</v>
      </c>
      <c r="G2721" t="s">
        <v>25</v>
      </c>
      <c r="H2721">
        <v>2</v>
      </c>
      <c r="I2721">
        <v>6</v>
      </c>
      <c r="J2721">
        <v>2003</v>
      </c>
      <c r="K2721" t="s">
        <v>598</v>
      </c>
      <c r="L2721">
        <v>99</v>
      </c>
      <c r="M2721" t="s">
        <v>671</v>
      </c>
      <c r="N2721" t="s">
        <v>329</v>
      </c>
      <c r="O2721" t="s">
        <v>330</v>
      </c>
      <c r="P2721" t="s">
        <v>331</v>
      </c>
      <c r="R2721" t="s">
        <v>332</v>
      </c>
      <c r="T2721" t="s">
        <v>333</v>
      </c>
      <c r="U2721" t="s">
        <v>170</v>
      </c>
      <c r="V2721" t="s">
        <v>42</v>
      </c>
      <c r="W2721" t="s">
        <v>61</v>
      </c>
      <c r="X2721" t="s">
        <v>334</v>
      </c>
      <c r="Y2721" t="s">
        <v>36</v>
      </c>
    </row>
    <row r="2722" spans="1:25" x14ac:dyDescent="0.25">
      <c r="A2722">
        <v>10142</v>
      </c>
      <c r="B2722">
        <v>38</v>
      </c>
      <c r="C2722">
        <v>85.41</v>
      </c>
      <c r="D2722">
        <v>4</v>
      </c>
      <c r="E2722">
        <v>3245.58</v>
      </c>
      <c r="F2722" s="1">
        <v>37841</v>
      </c>
      <c r="G2722" t="s">
        <v>25</v>
      </c>
      <c r="H2722">
        <v>3</v>
      </c>
      <c r="I2722">
        <v>8</v>
      </c>
      <c r="J2722">
        <v>2003</v>
      </c>
      <c r="K2722" t="s">
        <v>598</v>
      </c>
      <c r="L2722">
        <v>99</v>
      </c>
      <c r="M2722" t="s">
        <v>671</v>
      </c>
      <c r="N2722" t="s">
        <v>272</v>
      </c>
      <c r="O2722">
        <v>4155551450</v>
      </c>
      <c r="P2722" t="s">
        <v>273</v>
      </c>
      <c r="R2722" t="s">
        <v>274</v>
      </c>
      <c r="S2722" t="s">
        <v>55</v>
      </c>
      <c r="T2722">
        <v>97562</v>
      </c>
      <c r="U2722" t="s">
        <v>32</v>
      </c>
      <c r="V2722" t="s">
        <v>33</v>
      </c>
      <c r="W2722" t="s">
        <v>275</v>
      </c>
      <c r="X2722" t="s">
        <v>276</v>
      </c>
      <c r="Y2722" t="s">
        <v>51</v>
      </c>
    </row>
    <row r="2723" spans="1:25" x14ac:dyDescent="0.25">
      <c r="A2723">
        <v>10153</v>
      </c>
      <c r="B2723">
        <v>20</v>
      </c>
      <c r="C2723">
        <v>100</v>
      </c>
      <c r="D2723">
        <v>3</v>
      </c>
      <c r="E2723">
        <v>2204.6</v>
      </c>
      <c r="F2723" s="1">
        <v>37892</v>
      </c>
      <c r="G2723" t="s">
        <v>25</v>
      </c>
      <c r="H2723">
        <v>3</v>
      </c>
      <c r="I2723">
        <v>9</v>
      </c>
      <c r="J2723">
        <v>2003</v>
      </c>
      <c r="K2723" t="s">
        <v>598</v>
      </c>
      <c r="L2723">
        <v>99</v>
      </c>
      <c r="M2723" t="s">
        <v>671</v>
      </c>
      <c r="N2723" t="s">
        <v>174</v>
      </c>
      <c r="O2723" t="s">
        <v>175</v>
      </c>
      <c r="P2723" t="s">
        <v>176</v>
      </c>
      <c r="R2723" t="s">
        <v>177</v>
      </c>
      <c r="T2723">
        <v>28034</v>
      </c>
      <c r="U2723" t="s">
        <v>178</v>
      </c>
      <c r="V2723" t="s">
        <v>42</v>
      </c>
      <c r="W2723" t="s">
        <v>179</v>
      </c>
      <c r="X2723" t="s">
        <v>180</v>
      </c>
      <c r="Y2723" t="s">
        <v>36</v>
      </c>
    </row>
    <row r="2724" spans="1:25" x14ac:dyDescent="0.25">
      <c r="A2724">
        <v>10167</v>
      </c>
      <c r="B2724">
        <v>28</v>
      </c>
      <c r="C2724">
        <v>100</v>
      </c>
      <c r="D2724">
        <v>14</v>
      </c>
      <c r="E2724">
        <v>3003</v>
      </c>
      <c r="F2724" s="1">
        <v>37917</v>
      </c>
      <c r="G2724" t="s">
        <v>339</v>
      </c>
      <c r="H2724">
        <v>4</v>
      </c>
      <c r="I2724">
        <v>10</v>
      </c>
      <c r="J2724">
        <v>2003</v>
      </c>
      <c r="K2724" t="s">
        <v>598</v>
      </c>
      <c r="L2724">
        <v>99</v>
      </c>
      <c r="M2724" t="s">
        <v>671</v>
      </c>
      <c r="N2724" t="s">
        <v>261</v>
      </c>
      <c r="O2724" t="s">
        <v>262</v>
      </c>
      <c r="P2724" t="s">
        <v>263</v>
      </c>
      <c r="R2724" t="s">
        <v>264</v>
      </c>
      <c r="T2724" t="s">
        <v>265</v>
      </c>
      <c r="U2724" t="s">
        <v>188</v>
      </c>
      <c r="V2724" t="s">
        <v>42</v>
      </c>
      <c r="W2724" t="s">
        <v>266</v>
      </c>
      <c r="X2724" t="s">
        <v>206</v>
      </c>
      <c r="Y2724" t="s">
        <v>51</v>
      </c>
    </row>
    <row r="2725" spans="1:25" x14ac:dyDescent="0.25">
      <c r="A2725">
        <v>10177</v>
      </c>
      <c r="B2725">
        <v>24</v>
      </c>
      <c r="C2725">
        <v>100</v>
      </c>
      <c r="D2725">
        <v>5</v>
      </c>
      <c r="E2725">
        <v>2526.48</v>
      </c>
      <c r="F2725" s="1">
        <v>37932</v>
      </c>
      <c r="G2725" t="s">
        <v>25</v>
      </c>
      <c r="H2725">
        <v>4</v>
      </c>
      <c r="I2725">
        <v>11</v>
      </c>
      <c r="J2725">
        <v>2003</v>
      </c>
      <c r="K2725" t="s">
        <v>598</v>
      </c>
      <c r="L2725">
        <v>99</v>
      </c>
      <c r="M2725" t="s">
        <v>671</v>
      </c>
      <c r="N2725" t="s">
        <v>487</v>
      </c>
      <c r="O2725" t="s">
        <v>488</v>
      </c>
      <c r="P2725" t="s">
        <v>489</v>
      </c>
      <c r="R2725" t="s">
        <v>177</v>
      </c>
      <c r="T2725">
        <v>28023</v>
      </c>
      <c r="U2725" t="s">
        <v>178</v>
      </c>
      <c r="V2725" t="s">
        <v>42</v>
      </c>
      <c r="W2725" t="s">
        <v>490</v>
      </c>
      <c r="X2725" t="s">
        <v>491</v>
      </c>
      <c r="Y2725" t="s">
        <v>36</v>
      </c>
    </row>
    <row r="2726" spans="1:25" x14ac:dyDescent="0.25">
      <c r="A2726">
        <v>10185</v>
      </c>
      <c r="B2726">
        <v>22</v>
      </c>
      <c r="C2726">
        <v>79.45</v>
      </c>
      <c r="D2726">
        <v>5</v>
      </c>
      <c r="E2726">
        <v>1747.9</v>
      </c>
      <c r="F2726" s="1">
        <v>37939</v>
      </c>
      <c r="G2726" t="s">
        <v>25</v>
      </c>
      <c r="H2726">
        <v>4</v>
      </c>
      <c r="I2726">
        <v>11</v>
      </c>
      <c r="J2726">
        <v>2003</v>
      </c>
      <c r="K2726" t="s">
        <v>598</v>
      </c>
      <c r="L2726">
        <v>99</v>
      </c>
      <c r="M2726" t="s">
        <v>671</v>
      </c>
      <c r="N2726" t="s">
        <v>335</v>
      </c>
      <c r="O2726">
        <v>5085559555</v>
      </c>
      <c r="P2726" t="s">
        <v>336</v>
      </c>
      <c r="R2726" t="s">
        <v>162</v>
      </c>
      <c r="S2726" t="s">
        <v>123</v>
      </c>
      <c r="T2726">
        <v>50553</v>
      </c>
      <c r="U2726" t="s">
        <v>32</v>
      </c>
      <c r="V2726" t="s">
        <v>33</v>
      </c>
      <c r="W2726" t="s">
        <v>337</v>
      </c>
      <c r="X2726" t="s">
        <v>338</v>
      </c>
      <c r="Y2726" t="s">
        <v>36</v>
      </c>
    </row>
    <row r="2727" spans="1:25" x14ac:dyDescent="0.25">
      <c r="A2727">
        <v>10197</v>
      </c>
      <c r="B2727">
        <v>35</v>
      </c>
      <c r="C2727">
        <v>93.35</v>
      </c>
      <c r="D2727">
        <v>11</v>
      </c>
      <c r="E2727">
        <v>3267.25</v>
      </c>
      <c r="F2727" s="1">
        <v>37951</v>
      </c>
      <c r="G2727" t="s">
        <v>25</v>
      </c>
      <c r="H2727">
        <v>4</v>
      </c>
      <c r="I2727">
        <v>11</v>
      </c>
      <c r="J2727">
        <v>2003</v>
      </c>
      <c r="K2727" t="s">
        <v>598</v>
      </c>
      <c r="L2727">
        <v>99</v>
      </c>
      <c r="M2727" t="s">
        <v>671</v>
      </c>
      <c r="N2727" t="s">
        <v>352</v>
      </c>
      <c r="O2727" t="s">
        <v>353</v>
      </c>
      <c r="P2727" t="s">
        <v>354</v>
      </c>
      <c r="R2727" t="s">
        <v>355</v>
      </c>
      <c r="T2727">
        <v>8022</v>
      </c>
      <c r="U2727" t="s">
        <v>178</v>
      </c>
      <c r="V2727" t="s">
        <v>42</v>
      </c>
      <c r="W2727" t="s">
        <v>356</v>
      </c>
      <c r="X2727" t="s">
        <v>357</v>
      </c>
      <c r="Y2727" t="s">
        <v>51</v>
      </c>
    </row>
    <row r="2728" spans="1:25" x14ac:dyDescent="0.25">
      <c r="A2728">
        <v>10208</v>
      </c>
      <c r="B2728">
        <v>33</v>
      </c>
      <c r="C2728">
        <v>85.41</v>
      </c>
      <c r="D2728">
        <v>5</v>
      </c>
      <c r="E2728">
        <v>2818.53</v>
      </c>
      <c r="F2728" s="1">
        <v>37988</v>
      </c>
      <c r="G2728" t="s">
        <v>25</v>
      </c>
      <c r="H2728">
        <v>1</v>
      </c>
      <c r="I2728">
        <v>1</v>
      </c>
      <c r="J2728">
        <v>2004</v>
      </c>
      <c r="K2728" t="s">
        <v>598</v>
      </c>
      <c r="L2728">
        <v>99</v>
      </c>
      <c r="M2728" t="s">
        <v>671</v>
      </c>
      <c r="N2728" t="s">
        <v>219</v>
      </c>
      <c r="O2728" t="s">
        <v>220</v>
      </c>
      <c r="P2728" t="s">
        <v>221</v>
      </c>
      <c r="R2728" t="s">
        <v>222</v>
      </c>
      <c r="T2728">
        <v>69004</v>
      </c>
      <c r="U2728" t="s">
        <v>41</v>
      </c>
      <c r="V2728" t="s">
        <v>42</v>
      </c>
      <c r="W2728" t="s">
        <v>223</v>
      </c>
      <c r="X2728" t="s">
        <v>224</v>
      </c>
      <c r="Y2728" t="s">
        <v>36</v>
      </c>
    </row>
    <row r="2729" spans="1:25" x14ac:dyDescent="0.25">
      <c r="A2729">
        <v>10222</v>
      </c>
      <c r="B2729">
        <v>31</v>
      </c>
      <c r="C2729">
        <v>95.34</v>
      </c>
      <c r="D2729">
        <v>17</v>
      </c>
      <c r="E2729">
        <v>2955.54</v>
      </c>
      <c r="F2729" s="1">
        <v>38036</v>
      </c>
      <c r="G2729" t="s">
        <v>25</v>
      </c>
      <c r="H2729">
        <v>1</v>
      </c>
      <c r="I2729">
        <v>2</v>
      </c>
      <c r="J2729">
        <v>2004</v>
      </c>
      <c r="K2729" t="s">
        <v>598</v>
      </c>
      <c r="L2729">
        <v>99</v>
      </c>
      <c r="M2729" t="s">
        <v>671</v>
      </c>
      <c r="N2729" t="s">
        <v>362</v>
      </c>
      <c r="O2729">
        <v>7605558146</v>
      </c>
      <c r="P2729" t="s">
        <v>363</v>
      </c>
      <c r="R2729" t="s">
        <v>364</v>
      </c>
      <c r="S2729" t="s">
        <v>55</v>
      </c>
      <c r="T2729">
        <v>91217</v>
      </c>
      <c r="U2729" t="s">
        <v>32</v>
      </c>
      <c r="V2729" t="s">
        <v>33</v>
      </c>
      <c r="W2729" t="s">
        <v>237</v>
      </c>
      <c r="X2729" t="s">
        <v>276</v>
      </c>
      <c r="Y2729" t="s">
        <v>36</v>
      </c>
    </row>
    <row r="2730" spans="1:25" x14ac:dyDescent="0.25">
      <c r="A2730">
        <v>10232</v>
      </c>
      <c r="B2730">
        <v>35</v>
      </c>
      <c r="C2730">
        <v>82.43</v>
      </c>
      <c r="D2730">
        <v>2</v>
      </c>
      <c r="E2730">
        <v>2885.05</v>
      </c>
      <c r="F2730" s="1">
        <v>38066</v>
      </c>
      <c r="G2730" t="s">
        <v>25</v>
      </c>
      <c r="H2730">
        <v>1</v>
      </c>
      <c r="I2730">
        <v>3</v>
      </c>
      <c r="J2730">
        <v>2004</v>
      </c>
      <c r="K2730" t="s">
        <v>598</v>
      </c>
      <c r="L2730">
        <v>99</v>
      </c>
      <c r="M2730" t="s">
        <v>671</v>
      </c>
      <c r="N2730" t="s">
        <v>383</v>
      </c>
      <c r="O2730" t="s">
        <v>384</v>
      </c>
      <c r="P2730" t="s">
        <v>385</v>
      </c>
      <c r="R2730" t="s">
        <v>386</v>
      </c>
      <c r="S2730" t="s">
        <v>387</v>
      </c>
      <c r="T2730" t="s">
        <v>388</v>
      </c>
      <c r="U2730" t="s">
        <v>170</v>
      </c>
      <c r="V2730" t="s">
        <v>42</v>
      </c>
      <c r="W2730" t="s">
        <v>389</v>
      </c>
      <c r="X2730" t="s">
        <v>390</v>
      </c>
      <c r="Y2730" t="s">
        <v>36</v>
      </c>
    </row>
    <row r="2731" spans="1:25" x14ac:dyDescent="0.25">
      <c r="A2731">
        <v>10248</v>
      </c>
      <c r="B2731">
        <v>35</v>
      </c>
      <c r="C2731">
        <v>90.37</v>
      </c>
      <c r="D2731">
        <v>8</v>
      </c>
      <c r="E2731">
        <v>3162.95</v>
      </c>
      <c r="F2731" s="1">
        <v>38114</v>
      </c>
      <c r="G2731" t="s">
        <v>339</v>
      </c>
      <c r="H2731">
        <v>2</v>
      </c>
      <c r="I2731">
        <v>5</v>
      </c>
      <c r="J2731">
        <v>2004</v>
      </c>
      <c r="K2731" t="s">
        <v>598</v>
      </c>
      <c r="L2731">
        <v>99</v>
      </c>
      <c r="M2731" t="s">
        <v>671</v>
      </c>
      <c r="N2731" t="s">
        <v>28</v>
      </c>
      <c r="O2731">
        <v>2125557818</v>
      </c>
      <c r="P2731" t="s">
        <v>29</v>
      </c>
      <c r="R2731" t="s">
        <v>30</v>
      </c>
      <c r="S2731" t="s">
        <v>31</v>
      </c>
      <c r="T2731">
        <v>10022</v>
      </c>
      <c r="U2731" t="s">
        <v>32</v>
      </c>
      <c r="V2731" t="s">
        <v>33</v>
      </c>
      <c r="W2731" t="s">
        <v>34</v>
      </c>
      <c r="X2731" t="s">
        <v>35</v>
      </c>
      <c r="Y2731" t="s">
        <v>51</v>
      </c>
    </row>
    <row r="2732" spans="1:25" x14ac:dyDescent="0.25">
      <c r="A2732">
        <v>10261</v>
      </c>
      <c r="B2732">
        <v>50</v>
      </c>
      <c r="C2732">
        <v>81.430000000000007</v>
      </c>
      <c r="D2732">
        <v>6</v>
      </c>
      <c r="E2732">
        <v>4071.5</v>
      </c>
      <c r="F2732" s="1">
        <v>38155</v>
      </c>
      <c r="G2732" t="s">
        <v>25</v>
      </c>
      <c r="H2732">
        <v>2</v>
      </c>
      <c r="I2732">
        <v>6</v>
      </c>
      <c r="J2732">
        <v>2004</v>
      </c>
      <c r="K2732" t="s">
        <v>598</v>
      </c>
      <c r="L2732">
        <v>99</v>
      </c>
      <c r="M2732" t="s">
        <v>671</v>
      </c>
      <c r="N2732" t="s">
        <v>292</v>
      </c>
      <c r="O2732" t="s">
        <v>293</v>
      </c>
      <c r="P2732" t="s">
        <v>294</v>
      </c>
      <c r="R2732" t="s">
        <v>295</v>
      </c>
      <c r="S2732" t="s">
        <v>296</v>
      </c>
      <c r="T2732" t="s">
        <v>297</v>
      </c>
      <c r="U2732" t="s">
        <v>231</v>
      </c>
      <c r="V2732" t="s">
        <v>33</v>
      </c>
      <c r="W2732" t="s">
        <v>298</v>
      </c>
      <c r="X2732" t="s">
        <v>299</v>
      </c>
      <c r="Y2732" t="s">
        <v>51</v>
      </c>
    </row>
    <row r="2733" spans="1:25" x14ac:dyDescent="0.25">
      <c r="A2733">
        <v>10273</v>
      </c>
      <c r="B2733">
        <v>26</v>
      </c>
      <c r="C2733">
        <v>100</v>
      </c>
      <c r="D2733">
        <v>9</v>
      </c>
      <c r="E2733">
        <v>2969.46</v>
      </c>
      <c r="F2733" s="1">
        <v>38189</v>
      </c>
      <c r="G2733" t="s">
        <v>25</v>
      </c>
      <c r="H2733">
        <v>3</v>
      </c>
      <c r="I2733">
        <v>7</v>
      </c>
      <c r="J2733">
        <v>2004</v>
      </c>
      <c r="K2733" t="s">
        <v>598</v>
      </c>
      <c r="L2733">
        <v>99</v>
      </c>
      <c r="M2733" t="s">
        <v>671</v>
      </c>
      <c r="N2733" t="s">
        <v>365</v>
      </c>
      <c r="O2733" t="s">
        <v>366</v>
      </c>
      <c r="P2733" t="s">
        <v>367</v>
      </c>
      <c r="R2733" t="s">
        <v>368</v>
      </c>
      <c r="T2733" t="s">
        <v>369</v>
      </c>
      <c r="U2733" t="s">
        <v>370</v>
      </c>
      <c r="V2733" t="s">
        <v>42</v>
      </c>
      <c r="W2733" t="s">
        <v>371</v>
      </c>
      <c r="X2733" t="s">
        <v>372</v>
      </c>
      <c r="Y2733" t="s">
        <v>36</v>
      </c>
    </row>
    <row r="2734" spans="1:25" x14ac:dyDescent="0.25">
      <c r="A2734">
        <v>10283</v>
      </c>
      <c r="B2734">
        <v>38</v>
      </c>
      <c r="C2734">
        <v>89.38</v>
      </c>
      <c r="D2734">
        <v>11</v>
      </c>
      <c r="E2734">
        <v>3396.44</v>
      </c>
      <c r="F2734" s="1">
        <v>38219</v>
      </c>
      <c r="G2734" t="s">
        <v>25</v>
      </c>
      <c r="H2734">
        <v>3</v>
      </c>
      <c r="I2734">
        <v>8</v>
      </c>
      <c r="J2734">
        <v>2004</v>
      </c>
      <c r="K2734" t="s">
        <v>598</v>
      </c>
      <c r="L2734">
        <v>99</v>
      </c>
      <c r="M2734" t="s">
        <v>671</v>
      </c>
      <c r="N2734" t="s">
        <v>373</v>
      </c>
      <c r="O2734" t="s">
        <v>374</v>
      </c>
      <c r="P2734" t="s">
        <v>375</v>
      </c>
      <c r="R2734" t="s">
        <v>376</v>
      </c>
      <c r="S2734" t="s">
        <v>229</v>
      </c>
      <c r="T2734" t="s">
        <v>377</v>
      </c>
      <c r="U2734" t="s">
        <v>231</v>
      </c>
      <c r="V2734" t="s">
        <v>33</v>
      </c>
      <c r="W2734" t="s">
        <v>378</v>
      </c>
      <c r="X2734" t="s">
        <v>172</v>
      </c>
      <c r="Y2734" t="s">
        <v>51</v>
      </c>
    </row>
    <row r="2735" spans="1:25" x14ac:dyDescent="0.25">
      <c r="A2735">
        <v>10294</v>
      </c>
      <c r="B2735">
        <v>45</v>
      </c>
      <c r="C2735">
        <v>100</v>
      </c>
      <c r="D2735">
        <v>1</v>
      </c>
      <c r="E2735">
        <v>4692.6000000000004</v>
      </c>
      <c r="F2735" s="1">
        <v>38240</v>
      </c>
      <c r="G2735" t="s">
        <v>25</v>
      </c>
      <c r="H2735">
        <v>3</v>
      </c>
      <c r="I2735">
        <v>9</v>
      </c>
      <c r="J2735">
        <v>2004</v>
      </c>
      <c r="K2735" t="s">
        <v>598</v>
      </c>
      <c r="L2735">
        <v>99</v>
      </c>
      <c r="M2735" t="s">
        <v>671</v>
      </c>
      <c r="N2735" t="s">
        <v>458</v>
      </c>
      <c r="O2735">
        <v>6175557555</v>
      </c>
      <c r="P2735" t="s">
        <v>459</v>
      </c>
      <c r="R2735" t="s">
        <v>283</v>
      </c>
      <c r="S2735" t="s">
        <v>123</v>
      </c>
      <c r="T2735">
        <v>58339</v>
      </c>
      <c r="U2735" t="s">
        <v>32</v>
      </c>
      <c r="V2735" t="s">
        <v>33</v>
      </c>
      <c r="W2735" t="s">
        <v>460</v>
      </c>
      <c r="X2735" t="s">
        <v>461</v>
      </c>
      <c r="Y2735" t="s">
        <v>51</v>
      </c>
    </row>
    <row r="2736" spans="1:25" x14ac:dyDescent="0.25">
      <c r="A2736">
        <v>10306</v>
      </c>
      <c r="B2736">
        <v>30</v>
      </c>
      <c r="C2736">
        <v>100</v>
      </c>
      <c r="D2736">
        <v>5</v>
      </c>
      <c r="E2736">
        <v>3515.7</v>
      </c>
      <c r="F2736" s="1">
        <v>38274</v>
      </c>
      <c r="G2736" t="s">
        <v>25</v>
      </c>
      <c r="H2736">
        <v>4</v>
      </c>
      <c r="I2736">
        <v>10</v>
      </c>
      <c r="J2736">
        <v>2004</v>
      </c>
      <c r="K2736" t="s">
        <v>598</v>
      </c>
      <c r="L2736">
        <v>99</v>
      </c>
      <c r="M2736" t="s">
        <v>671</v>
      </c>
      <c r="N2736" t="s">
        <v>492</v>
      </c>
      <c r="O2736" t="s">
        <v>493</v>
      </c>
      <c r="P2736" t="s">
        <v>494</v>
      </c>
      <c r="R2736" t="s">
        <v>495</v>
      </c>
      <c r="T2736" t="s">
        <v>496</v>
      </c>
      <c r="U2736" t="s">
        <v>170</v>
      </c>
      <c r="V2736" t="s">
        <v>42</v>
      </c>
      <c r="W2736" t="s">
        <v>497</v>
      </c>
      <c r="X2736" t="s">
        <v>94</v>
      </c>
      <c r="Y2736" t="s">
        <v>51</v>
      </c>
    </row>
    <row r="2737" spans="1:25" x14ac:dyDescent="0.25">
      <c r="A2737">
        <v>10315</v>
      </c>
      <c r="B2737">
        <v>37</v>
      </c>
      <c r="C2737">
        <v>91.37</v>
      </c>
      <c r="D2737">
        <v>4</v>
      </c>
      <c r="E2737">
        <v>3380.69</v>
      </c>
      <c r="F2737" s="1">
        <v>38289</v>
      </c>
      <c r="G2737" t="s">
        <v>25</v>
      </c>
      <c r="H2737">
        <v>4</v>
      </c>
      <c r="I2737">
        <v>10</v>
      </c>
      <c r="J2737">
        <v>2004</v>
      </c>
      <c r="K2737" t="s">
        <v>598</v>
      </c>
      <c r="L2737">
        <v>99</v>
      </c>
      <c r="M2737" t="s">
        <v>671</v>
      </c>
      <c r="N2737" t="s">
        <v>114</v>
      </c>
      <c r="O2737" t="s">
        <v>115</v>
      </c>
      <c r="P2737" t="s">
        <v>116</v>
      </c>
      <c r="R2737" t="s">
        <v>117</v>
      </c>
      <c r="T2737">
        <v>44000</v>
      </c>
      <c r="U2737" t="s">
        <v>41</v>
      </c>
      <c r="V2737" t="s">
        <v>42</v>
      </c>
      <c r="W2737" t="s">
        <v>118</v>
      </c>
      <c r="X2737" t="s">
        <v>119</v>
      </c>
      <c r="Y2737" t="s">
        <v>51</v>
      </c>
    </row>
    <row r="2738" spans="1:25" x14ac:dyDescent="0.25">
      <c r="A2738">
        <v>10327</v>
      </c>
      <c r="B2738">
        <v>37</v>
      </c>
      <c r="C2738">
        <v>86.61</v>
      </c>
      <c r="D2738">
        <v>3</v>
      </c>
      <c r="E2738">
        <v>3204.57</v>
      </c>
      <c r="F2738" s="1">
        <v>38301</v>
      </c>
      <c r="G2738" t="s">
        <v>408</v>
      </c>
      <c r="H2738">
        <v>4</v>
      </c>
      <c r="I2738">
        <v>11</v>
      </c>
      <c r="J2738">
        <v>2004</v>
      </c>
      <c r="K2738" t="s">
        <v>598</v>
      </c>
      <c r="L2738">
        <v>99</v>
      </c>
      <c r="M2738" t="s">
        <v>671</v>
      </c>
      <c r="N2738" t="s">
        <v>322</v>
      </c>
      <c r="O2738" t="s">
        <v>323</v>
      </c>
      <c r="P2738" t="s">
        <v>324</v>
      </c>
      <c r="R2738" t="s">
        <v>325</v>
      </c>
      <c r="T2738">
        <v>1734</v>
      </c>
      <c r="U2738" t="s">
        <v>326</v>
      </c>
      <c r="V2738" t="s">
        <v>42</v>
      </c>
      <c r="W2738" t="s">
        <v>327</v>
      </c>
      <c r="X2738" t="s">
        <v>328</v>
      </c>
      <c r="Y2738" t="s">
        <v>51</v>
      </c>
    </row>
    <row r="2739" spans="1:25" x14ac:dyDescent="0.25">
      <c r="A2739">
        <v>10337</v>
      </c>
      <c r="B2739">
        <v>36</v>
      </c>
      <c r="C2739">
        <v>71.89</v>
      </c>
      <c r="D2739">
        <v>7</v>
      </c>
      <c r="E2739">
        <v>2588.04</v>
      </c>
      <c r="F2739" s="1">
        <v>38312</v>
      </c>
      <c r="G2739" t="s">
        <v>25</v>
      </c>
      <c r="H2739">
        <v>4</v>
      </c>
      <c r="I2739">
        <v>11</v>
      </c>
      <c r="J2739">
        <v>2004</v>
      </c>
      <c r="K2739" t="s">
        <v>598</v>
      </c>
      <c r="L2739">
        <v>99</v>
      </c>
      <c r="M2739" t="s">
        <v>671</v>
      </c>
      <c r="N2739" t="s">
        <v>203</v>
      </c>
      <c r="O2739">
        <v>2125558493</v>
      </c>
      <c r="P2739" t="s">
        <v>204</v>
      </c>
      <c r="Q2739" t="s">
        <v>205</v>
      </c>
      <c r="R2739" t="s">
        <v>30</v>
      </c>
      <c r="S2739" t="s">
        <v>31</v>
      </c>
      <c r="T2739">
        <v>10022</v>
      </c>
      <c r="U2739" t="s">
        <v>32</v>
      </c>
      <c r="V2739" t="s">
        <v>33</v>
      </c>
      <c r="W2739" t="s">
        <v>124</v>
      </c>
      <c r="X2739" t="s">
        <v>206</v>
      </c>
      <c r="Y2739" t="s">
        <v>36</v>
      </c>
    </row>
    <row r="2740" spans="1:25" x14ac:dyDescent="0.25">
      <c r="A2740">
        <v>10350</v>
      </c>
      <c r="B2740">
        <v>25</v>
      </c>
      <c r="C2740">
        <v>100</v>
      </c>
      <c r="D2740">
        <v>16</v>
      </c>
      <c r="E2740">
        <v>2854.75</v>
      </c>
      <c r="F2740" s="1">
        <v>38323</v>
      </c>
      <c r="G2740" t="s">
        <v>25</v>
      </c>
      <c r="H2740">
        <v>4</v>
      </c>
      <c r="I2740">
        <v>12</v>
      </c>
      <c r="J2740">
        <v>2004</v>
      </c>
      <c r="K2740" t="s">
        <v>598</v>
      </c>
      <c r="L2740">
        <v>99</v>
      </c>
      <c r="M2740" t="s">
        <v>671</v>
      </c>
      <c r="N2740" t="s">
        <v>174</v>
      </c>
      <c r="O2740" t="s">
        <v>175</v>
      </c>
      <c r="P2740" t="s">
        <v>176</v>
      </c>
      <c r="R2740" t="s">
        <v>177</v>
      </c>
      <c r="T2740">
        <v>28034</v>
      </c>
      <c r="U2740" t="s">
        <v>178</v>
      </c>
      <c r="V2740" t="s">
        <v>42</v>
      </c>
      <c r="W2740" t="s">
        <v>179</v>
      </c>
      <c r="X2740" t="s">
        <v>180</v>
      </c>
      <c r="Y2740" t="s">
        <v>36</v>
      </c>
    </row>
    <row r="2741" spans="1:25" x14ac:dyDescent="0.25">
      <c r="A2741">
        <v>10373</v>
      </c>
      <c r="B2741">
        <v>37</v>
      </c>
      <c r="C2741">
        <v>100</v>
      </c>
      <c r="D2741">
        <v>8</v>
      </c>
      <c r="E2741">
        <v>4025.6</v>
      </c>
      <c r="F2741" s="1">
        <v>38383</v>
      </c>
      <c r="G2741" t="s">
        <v>25</v>
      </c>
      <c r="H2741">
        <v>1</v>
      </c>
      <c r="I2741">
        <v>1</v>
      </c>
      <c r="J2741">
        <v>2005</v>
      </c>
      <c r="K2741" t="s">
        <v>598</v>
      </c>
      <c r="L2741">
        <v>99</v>
      </c>
      <c r="M2741" t="s">
        <v>671</v>
      </c>
      <c r="N2741" t="s">
        <v>391</v>
      </c>
      <c r="O2741" t="s">
        <v>392</v>
      </c>
      <c r="P2741" t="s">
        <v>393</v>
      </c>
      <c r="R2741" t="s">
        <v>394</v>
      </c>
      <c r="T2741">
        <v>90110</v>
      </c>
      <c r="U2741" t="s">
        <v>130</v>
      </c>
      <c r="V2741" t="s">
        <v>42</v>
      </c>
      <c r="W2741" t="s">
        <v>395</v>
      </c>
      <c r="X2741" t="s">
        <v>396</v>
      </c>
      <c r="Y2741" t="s">
        <v>51</v>
      </c>
    </row>
    <row r="2742" spans="1:25" x14ac:dyDescent="0.25">
      <c r="A2742">
        <v>10386</v>
      </c>
      <c r="B2742">
        <v>30</v>
      </c>
      <c r="C2742">
        <v>95.48</v>
      </c>
      <c r="D2742">
        <v>3</v>
      </c>
      <c r="E2742">
        <v>2864.4</v>
      </c>
      <c r="F2742" s="1">
        <v>38412</v>
      </c>
      <c r="G2742" t="s">
        <v>408</v>
      </c>
      <c r="H2742">
        <v>1</v>
      </c>
      <c r="I2742">
        <v>3</v>
      </c>
      <c r="J2742">
        <v>2005</v>
      </c>
      <c r="K2742" t="s">
        <v>598</v>
      </c>
      <c r="L2742">
        <v>99</v>
      </c>
      <c r="M2742" t="s">
        <v>671</v>
      </c>
      <c r="N2742" t="s">
        <v>174</v>
      </c>
      <c r="O2742" t="s">
        <v>175</v>
      </c>
      <c r="P2742" t="s">
        <v>176</v>
      </c>
      <c r="R2742" t="s">
        <v>177</v>
      </c>
      <c r="T2742">
        <v>28034</v>
      </c>
      <c r="U2742" t="s">
        <v>178</v>
      </c>
      <c r="V2742" t="s">
        <v>42</v>
      </c>
      <c r="W2742" t="s">
        <v>179</v>
      </c>
      <c r="X2742" t="s">
        <v>180</v>
      </c>
      <c r="Y2742" t="s">
        <v>36</v>
      </c>
    </row>
    <row r="2743" spans="1:25" x14ac:dyDescent="0.25">
      <c r="A2743">
        <v>10397</v>
      </c>
      <c r="B2743">
        <v>36</v>
      </c>
      <c r="C2743">
        <v>100</v>
      </c>
      <c r="D2743">
        <v>2</v>
      </c>
      <c r="E2743">
        <v>3789.72</v>
      </c>
      <c r="F2743" s="1">
        <v>38439</v>
      </c>
      <c r="G2743" t="s">
        <v>25</v>
      </c>
      <c r="H2743">
        <v>1</v>
      </c>
      <c r="I2743">
        <v>3</v>
      </c>
      <c r="J2743">
        <v>2005</v>
      </c>
      <c r="K2743" t="s">
        <v>598</v>
      </c>
      <c r="L2743">
        <v>99</v>
      </c>
      <c r="M2743" t="s">
        <v>671</v>
      </c>
      <c r="N2743" t="s">
        <v>340</v>
      </c>
      <c r="O2743" t="s">
        <v>341</v>
      </c>
      <c r="P2743" t="s">
        <v>342</v>
      </c>
      <c r="R2743" t="s">
        <v>343</v>
      </c>
      <c r="T2743">
        <v>31000</v>
      </c>
      <c r="U2743" t="s">
        <v>41</v>
      </c>
      <c r="V2743" t="s">
        <v>42</v>
      </c>
      <c r="W2743" t="s">
        <v>344</v>
      </c>
      <c r="X2743" t="s">
        <v>345</v>
      </c>
      <c r="Y2743" t="s">
        <v>51</v>
      </c>
    </row>
    <row r="2744" spans="1:25" x14ac:dyDescent="0.25">
      <c r="A2744">
        <v>10414</v>
      </c>
      <c r="B2744">
        <v>27</v>
      </c>
      <c r="C2744">
        <v>90.37</v>
      </c>
      <c r="D2744">
        <v>8</v>
      </c>
      <c r="E2744">
        <v>2439.9899999999998</v>
      </c>
      <c r="F2744" s="1">
        <v>38478</v>
      </c>
      <c r="G2744" t="s">
        <v>401</v>
      </c>
      <c r="H2744">
        <v>2</v>
      </c>
      <c r="I2744">
        <v>5</v>
      </c>
      <c r="J2744">
        <v>2005</v>
      </c>
      <c r="K2744" t="s">
        <v>598</v>
      </c>
      <c r="L2744">
        <v>99</v>
      </c>
      <c r="M2744" t="s">
        <v>671</v>
      </c>
      <c r="N2744" t="s">
        <v>379</v>
      </c>
      <c r="O2744">
        <v>6175559555</v>
      </c>
      <c r="P2744" t="s">
        <v>380</v>
      </c>
      <c r="R2744" t="s">
        <v>381</v>
      </c>
      <c r="S2744" t="s">
        <v>123</v>
      </c>
      <c r="T2744">
        <v>51003</v>
      </c>
      <c r="U2744" t="s">
        <v>32</v>
      </c>
      <c r="V2744" t="s">
        <v>33</v>
      </c>
      <c r="W2744" t="s">
        <v>382</v>
      </c>
      <c r="X2744" t="s">
        <v>66</v>
      </c>
      <c r="Y2744" t="s">
        <v>36</v>
      </c>
    </row>
    <row r="2745" spans="1:25" x14ac:dyDescent="0.25">
      <c r="A2745">
        <v>10106</v>
      </c>
      <c r="B2745">
        <v>48</v>
      </c>
      <c r="C2745">
        <v>61.44</v>
      </c>
      <c r="D2745">
        <v>10</v>
      </c>
      <c r="E2745">
        <v>2949.12</v>
      </c>
      <c r="F2745" s="1">
        <v>37669</v>
      </c>
      <c r="G2745" t="s">
        <v>25</v>
      </c>
      <c r="H2745">
        <v>1</v>
      </c>
      <c r="I2745">
        <v>2</v>
      </c>
      <c r="J2745">
        <v>2003</v>
      </c>
      <c r="K2745" t="s">
        <v>566</v>
      </c>
      <c r="L2745">
        <v>74</v>
      </c>
      <c r="M2745" t="s">
        <v>672</v>
      </c>
      <c r="N2745" t="s">
        <v>552</v>
      </c>
      <c r="O2745" t="s">
        <v>553</v>
      </c>
      <c r="P2745" t="s">
        <v>554</v>
      </c>
      <c r="R2745" t="s">
        <v>555</v>
      </c>
      <c r="T2745">
        <v>24100</v>
      </c>
      <c r="U2745" t="s">
        <v>258</v>
      </c>
      <c r="V2745" t="s">
        <v>42</v>
      </c>
      <c r="W2745" t="s">
        <v>556</v>
      </c>
      <c r="X2745" t="s">
        <v>557</v>
      </c>
      <c r="Y2745" t="s">
        <v>36</v>
      </c>
    </row>
    <row r="2746" spans="1:25" x14ac:dyDescent="0.25">
      <c r="A2746">
        <v>10119</v>
      </c>
      <c r="B2746">
        <v>26</v>
      </c>
      <c r="C2746">
        <v>59.22</v>
      </c>
      <c r="D2746">
        <v>1</v>
      </c>
      <c r="E2746">
        <v>1539.72</v>
      </c>
      <c r="F2746" s="1">
        <v>37739</v>
      </c>
      <c r="G2746" t="s">
        <v>25</v>
      </c>
      <c r="H2746">
        <v>2</v>
      </c>
      <c r="I2746">
        <v>4</v>
      </c>
      <c r="J2746">
        <v>2003</v>
      </c>
      <c r="K2746" t="s">
        <v>566</v>
      </c>
      <c r="L2746">
        <v>74</v>
      </c>
      <c r="M2746" t="s">
        <v>672</v>
      </c>
      <c r="N2746" t="s">
        <v>144</v>
      </c>
      <c r="O2746" t="s">
        <v>145</v>
      </c>
      <c r="P2746" t="s">
        <v>146</v>
      </c>
      <c r="R2746" t="s">
        <v>147</v>
      </c>
      <c r="T2746">
        <v>5020</v>
      </c>
      <c r="U2746" t="s">
        <v>148</v>
      </c>
      <c r="V2746" t="s">
        <v>42</v>
      </c>
      <c r="W2746" t="s">
        <v>149</v>
      </c>
      <c r="X2746" t="s">
        <v>150</v>
      </c>
      <c r="Y2746" t="s">
        <v>36</v>
      </c>
    </row>
    <row r="2747" spans="1:25" x14ac:dyDescent="0.25">
      <c r="A2747">
        <v>10131</v>
      </c>
      <c r="B2747">
        <v>26</v>
      </c>
      <c r="C2747">
        <v>85.13</v>
      </c>
      <c r="D2747">
        <v>2</v>
      </c>
      <c r="E2747">
        <v>2213.38</v>
      </c>
      <c r="F2747" s="1">
        <v>37788</v>
      </c>
      <c r="G2747" t="s">
        <v>25</v>
      </c>
      <c r="H2747">
        <v>2</v>
      </c>
      <c r="I2747">
        <v>6</v>
      </c>
      <c r="J2747">
        <v>2003</v>
      </c>
      <c r="K2747" t="s">
        <v>566</v>
      </c>
      <c r="L2747">
        <v>74</v>
      </c>
      <c r="M2747" t="s">
        <v>672</v>
      </c>
      <c r="N2747" t="s">
        <v>568</v>
      </c>
      <c r="O2747">
        <v>2035554407</v>
      </c>
      <c r="P2747" t="s">
        <v>569</v>
      </c>
      <c r="R2747" t="s">
        <v>516</v>
      </c>
      <c r="S2747" t="s">
        <v>112</v>
      </c>
      <c r="T2747">
        <v>97561</v>
      </c>
      <c r="U2747" t="s">
        <v>32</v>
      </c>
      <c r="V2747" t="s">
        <v>33</v>
      </c>
      <c r="W2747" t="s">
        <v>570</v>
      </c>
      <c r="X2747" t="s">
        <v>571</v>
      </c>
      <c r="Y2747" t="s">
        <v>36</v>
      </c>
    </row>
    <row r="2748" spans="1:25" x14ac:dyDescent="0.25">
      <c r="A2748">
        <v>10143</v>
      </c>
      <c r="B2748">
        <v>34</v>
      </c>
      <c r="C2748">
        <v>85.87</v>
      </c>
      <c r="D2748">
        <v>5</v>
      </c>
      <c r="E2748">
        <v>2919.58</v>
      </c>
      <c r="F2748" s="1">
        <v>37843</v>
      </c>
      <c r="G2748" t="s">
        <v>25</v>
      </c>
      <c r="H2748">
        <v>3</v>
      </c>
      <c r="I2748">
        <v>8</v>
      </c>
      <c r="J2748">
        <v>2003</v>
      </c>
      <c r="K2748" t="s">
        <v>566</v>
      </c>
      <c r="L2748">
        <v>74</v>
      </c>
      <c r="M2748" t="s">
        <v>672</v>
      </c>
      <c r="N2748" t="s">
        <v>335</v>
      </c>
      <c r="O2748">
        <v>5085559555</v>
      </c>
      <c r="P2748" t="s">
        <v>336</v>
      </c>
      <c r="R2748" t="s">
        <v>162</v>
      </c>
      <c r="S2748" t="s">
        <v>123</v>
      </c>
      <c r="T2748">
        <v>50553</v>
      </c>
      <c r="U2748" t="s">
        <v>32</v>
      </c>
      <c r="V2748" t="s">
        <v>33</v>
      </c>
      <c r="W2748" t="s">
        <v>337</v>
      </c>
      <c r="X2748" t="s">
        <v>338</v>
      </c>
      <c r="Y2748" t="s">
        <v>36</v>
      </c>
    </row>
    <row r="2749" spans="1:25" x14ac:dyDescent="0.25">
      <c r="A2749">
        <v>10155</v>
      </c>
      <c r="B2749">
        <v>44</v>
      </c>
      <c r="C2749">
        <v>85.87</v>
      </c>
      <c r="D2749">
        <v>3</v>
      </c>
      <c r="E2749">
        <v>3778.28</v>
      </c>
      <c r="F2749" s="1">
        <v>37900</v>
      </c>
      <c r="G2749" t="s">
        <v>25</v>
      </c>
      <c r="H2749">
        <v>4</v>
      </c>
      <c r="I2749">
        <v>10</v>
      </c>
      <c r="J2749">
        <v>2003</v>
      </c>
      <c r="K2749" t="s">
        <v>566</v>
      </c>
      <c r="L2749">
        <v>74</v>
      </c>
      <c r="M2749" t="s">
        <v>672</v>
      </c>
      <c r="N2749" t="s">
        <v>126</v>
      </c>
      <c r="O2749" t="s">
        <v>127</v>
      </c>
      <c r="P2749" t="s">
        <v>128</v>
      </c>
      <c r="R2749" t="s">
        <v>129</v>
      </c>
      <c r="T2749">
        <v>21240</v>
      </c>
      <c r="U2749" t="s">
        <v>130</v>
      </c>
      <c r="V2749" t="s">
        <v>42</v>
      </c>
      <c r="W2749" t="s">
        <v>131</v>
      </c>
      <c r="X2749" t="s">
        <v>132</v>
      </c>
      <c r="Y2749" t="s">
        <v>51</v>
      </c>
    </row>
    <row r="2750" spans="1:25" x14ac:dyDescent="0.25">
      <c r="A2750">
        <v>10168</v>
      </c>
      <c r="B2750">
        <v>39</v>
      </c>
      <c r="C2750">
        <v>82.91</v>
      </c>
      <c r="D2750">
        <v>17</v>
      </c>
      <c r="E2750">
        <v>3233.49</v>
      </c>
      <c r="F2750" s="1">
        <v>37922</v>
      </c>
      <c r="G2750" t="s">
        <v>25</v>
      </c>
      <c r="H2750">
        <v>4</v>
      </c>
      <c r="I2750">
        <v>10</v>
      </c>
      <c r="J2750">
        <v>2003</v>
      </c>
      <c r="K2750" t="s">
        <v>566</v>
      </c>
      <c r="L2750">
        <v>74</v>
      </c>
      <c r="M2750" t="s">
        <v>672</v>
      </c>
      <c r="N2750" t="s">
        <v>62</v>
      </c>
      <c r="O2750">
        <v>6505556809</v>
      </c>
      <c r="P2750" t="s">
        <v>63</v>
      </c>
      <c r="R2750" t="s">
        <v>64</v>
      </c>
      <c r="S2750" t="s">
        <v>55</v>
      </c>
      <c r="T2750">
        <v>94217</v>
      </c>
      <c r="U2750" t="s">
        <v>32</v>
      </c>
      <c r="V2750" t="s">
        <v>33</v>
      </c>
      <c r="W2750" t="s">
        <v>65</v>
      </c>
      <c r="X2750" t="s">
        <v>66</v>
      </c>
      <c r="Y2750" t="s">
        <v>51</v>
      </c>
    </row>
    <row r="2751" spans="1:25" x14ac:dyDescent="0.25">
      <c r="A2751">
        <v>10178</v>
      </c>
      <c r="B2751">
        <v>45</v>
      </c>
      <c r="C2751">
        <v>76.25</v>
      </c>
      <c r="D2751">
        <v>2</v>
      </c>
      <c r="E2751">
        <v>3431.25</v>
      </c>
      <c r="F2751" s="1">
        <v>37933</v>
      </c>
      <c r="G2751" t="s">
        <v>25</v>
      </c>
      <c r="H2751">
        <v>4</v>
      </c>
      <c r="I2751">
        <v>11</v>
      </c>
      <c r="J2751">
        <v>2003</v>
      </c>
      <c r="K2751" t="s">
        <v>566</v>
      </c>
      <c r="L2751">
        <v>74</v>
      </c>
      <c r="M2751" t="s">
        <v>672</v>
      </c>
      <c r="N2751" t="s">
        <v>340</v>
      </c>
      <c r="O2751" t="s">
        <v>341</v>
      </c>
      <c r="P2751" t="s">
        <v>342</v>
      </c>
      <c r="R2751" t="s">
        <v>343</v>
      </c>
      <c r="T2751">
        <v>31000</v>
      </c>
      <c r="U2751" t="s">
        <v>41</v>
      </c>
      <c r="V2751" t="s">
        <v>42</v>
      </c>
      <c r="W2751" t="s">
        <v>344</v>
      </c>
      <c r="X2751" t="s">
        <v>345</v>
      </c>
      <c r="Y2751" t="s">
        <v>51</v>
      </c>
    </row>
    <row r="2752" spans="1:25" x14ac:dyDescent="0.25">
      <c r="A2752">
        <v>10198</v>
      </c>
      <c r="B2752">
        <v>40</v>
      </c>
      <c r="C2752">
        <v>63.67</v>
      </c>
      <c r="D2752">
        <v>2</v>
      </c>
      <c r="E2752">
        <v>2546.8000000000002</v>
      </c>
      <c r="F2752" s="1">
        <v>37952</v>
      </c>
      <c r="G2752" t="s">
        <v>25</v>
      </c>
      <c r="H2752">
        <v>4</v>
      </c>
      <c r="I2752">
        <v>11</v>
      </c>
      <c r="J2752">
        <v>2003</v>
      </c>
      <c r="K2752" t="s">
        <v>566</v>
      </c>
      <c r="L2752">
        <v>74</v>
      </c>
      <c r="M2752" t="s">
        <v>672</v>
      </c>
      <c r="N2752" t="s">
        <v>425</v>
      </c>
      <c r="O2752" t="s">
        <v>426</v>
      </c>
      <c r="P2752" t="s">
        <v>427</v>
      </c>
      <c r="R2752" t="s">
        <v>428</v>
      </c>
      <c r="T2752" t="s">
        <v>429</v>
      </c>
      <c r="U2752" t="s">
        <v>430</v>
      </c>
      <c r="V2752" t="s">
        <v>200</v>
      </c>
      <c r="W2752" t="s">
        <v>431</v>
      </c>
      <c r="X2752" t="s">
        <v>432</v>
      </c>
      <c r="Y2752" t="s">
        <v>36</v>
      </c>
    </row>
    <row r="2753" spans="1:25" x14ac:dyDescent="0.25">
      <c r="A2753">
        <v>10210</v>
      </c>
      <c r="B2753">
        <v>42</v>
      </c>
      <c r="C2753">
        <v>70.33</v>
      </c>
      <c r="D2753">
        <v>15</v>
      </c>
      <c r="E2753">
        <v>2953.86</v>
      </c>
      <c r="F2753" s="1">
        <v>37998</v>
      </c>
      <c r="G2753" t="s">
        <v>25</v>
      </c>
      <c r="H2753">
        <v>1</v>
      </c>
      <c r="I2753">
        <v>1</v>
      </c>
      <c r="J2753">
        <v>2004</v>
      </c>
      <c r="K2753" t="s">
        <v>566</v>
      </c>
      <c r="L2753">
        <v>74</v>
      </c>
      <c r="M2753" t="s">
        <v>672</v>
      </c>
      <c r="N2753" t="s">
        <v>302</v>
      </c>
      <c r="O2753" t="s">
        <v>303</v>
      </c>
      <c r="P2753" t="s">
        <v>304</v>
      </c>
      <c r="R2753" t="s">
        <v>305</v>
      </c>
      <c r="S2753" t="s">
        <v>305</v>
      </c>
      <c r="T2753" t="s">
        <v>306</v>
      </c>
      <c r="U2753" t="s">
        <v>200</v>
      </c>
      <c r="V2753" t="s">
        <v>200</v>
      </c>
      <c r="W2753" t="s">
        <v>307</v>
      </c>
      <c r="X2753" t="s">
        <v>308</v>
      </c>
      <c r="Y2753" t="s">
        <v>36</v>
      </c>
    </row>
    <row r="2754" spans="1:25" x14ac:dyDescent="0.25">
      <c r="A2754">
        <v>10222</v>
      </c>
      <c r="B2754">
        <v>43</v>
      </c>
      <c r="C2754">
        <v>74.03</v>
      </c>
      <c r="D2754">
        <v>2</v>
      </c>
      <c r="E2754">
        <v>3183.29</v>
      </c>
      <c r="F2754" s="1">
        <v>38036</v>
      </c>
      <c r="G2754" t="s">
        <v>25</v>
      </c>
      <c r="H2754">
        <v>1</v>
      </c>
      <c r="I2754">
        <v>2</v>
      </c>
      <c r="J2754">
        <v>2004</v>
      </c>
      <c r="K2754" t="s">
        <v>566</v>
      </c>
      <c r="L2754">
        <v>74</v>
      </c>
      <c r="M2754" t="s">
        <v>672</v>
      </c>
      <c r="N2754" t="s">
        <v>362</v>
      </c>
      <c r="O2754">
        <v>7605558146</v>
      </c>
      <c r="P2754" t="s">
        <v>363</v>
      </c>
      <c r="R2754" t="s">
        <v>364</v>
      </c>
      <c r="S2754" t="s">
        <v>55</v>
      </c>
      <c r="T2754">
        <v>91217</v>
      </c>
      <c r="U2754" t="s">
        <v>32</v>
      </c>
      <c r="V2754" t="s">
        <v>33</v>
      </c>
      <c r="W2754" t="s">
        <v>237</v>
      </c>
      <c r="X2754" t="s">
        <v>276</v>
      </c>
      <c r="Y2754" t="s">
        <v>51</v>
      </c>
    </row>
    <row r="2755" spans="1:25" x14ac:dyDescent="0.25">
      <c r="A2755">
        <v>10235</v>
      </c>
      <c r="B2755">
        <v>34</v>
      </c>
      <c r="C2755">
        <v>72.55</v>
      </c>
      <c r="D2755">
        <v>11</v>
      </c>
      <c r="E2755">
        <v>2466.6999999999998</v>
      </c>
      <c r="F2755" s="1">
        <v>38079</v>
      </c>
      <c r="G2755" t="s">
        <v>25</v>
      </c>
      <c r="H2755">
        <v>2</v>
      </c>
      <c r="I2755">
        <v>4</v>
      </c>
      <c r="J2755">
        <v>2004</v>
      </c>
      <c r="K2755" t="s">
        <v>566</v>
      </c>
      <c r="L2755">
        <v>74</v>
      </c>
      <c r="M2755" t="s">
        <v>672</v>
      </c>
      <c r="N2755" t="s">
        <v>373</v>
      </c>
      <c r="O2755" t="s">
        <v>374</v>
      </c>
      <c r="P2755" t="s">
        <v>375</v>
      </c>
      <c r="R2755" t="s">
        <v>376</v>
      </c>
      <c r="S2755" t="s">
        <v>229</v>
      </c>
      <c r="T2755" t="s">
        <v>377</v>
      </c>
      <c r="U2755" t="s">
        <v>231</v>
      </c>
      <c r="V2755" t="s">
        <v>33</v>
      </c>
      <c r="W2755" t="s">
        <v>378</v>
      </c>
      <c r="X2755" t="s">
        <v>172</v>
      </c>
      <c r="Y2755" t="s">
        <v>36</v>
      </c>
    </row>
    <row r="2756" spans="1:25" x14ac:dyDescent="0.25">
      <c r="A2756">
        <v>10250</v>
      </c>
      <c r="B2756">
        <v>38</v>
      </c>
      <c r="C2756">
        <v>62.19</v>
      </c>
      <c r="D2756">
        <v>12</v>
      </c>
      <c r="E2756">
        <v>2363.2199999999998</v>
      </c>
      <c r="F2756" s="1">
        <v>38118</v>
      </c>
      <c r="G2756" t="s">
        <v>25</v>
      </c>
      <c r="H2756">
        <v>2</v>
      </c>
      <c r="I2756">
        <v>5</v>
      </c>
      <c r="J2756">
        <v>2004</v>
      </c>
      <c r="K2756" t="s">
        <v>566</v>
      </c>
      <c r="L2756">
        <v>74</v>
      </c>
      <c r="M2756" t="s">
        <v>672</v>
      </c>
      <c r="N2756" t="s">
        <v>397</v>
      </c>
      <c r="O2756">
        <v>4085553659</v>
      </c>
      <c r="P2756" t="s">
        <v>398</v>
      </c>
      <c r="R2756" t="s">
        <v>399</v>
      </c>
      <c r="S2756" t="s">
        <v>55</v>
      </c>
      <c r="T2756">
        <v>94217</v>
      </c>
      <c r="U2756" t="s">
        <v>32</v>
      </c>
      <c r="V2756" t="s">
        <v>33</v>
      </c>
      <c r="W2756" t="s">
        <v>102</v>
      </c>
      <c r="X2756" t="s">
        <v>400</v>
      </c>
      <c r="Y2756" t="s">
        <v>36</v>
      </c>
    </row>
    <row r="2757" spans="1:25" x14ac:dyDescent="0.25">
      <c r="A2757">
        <v>10262</v>
      </c>
      <c r="B2757">
        <v>35</v>
      </c>
      <c r="C2757">
        <v>71.069999999999993</v>
      </c>
      <c r="D2757">
        <v>7</v>
      </c>
      <c r="E2757">
        <v>2487.4499999999998</v>
      </c>
      <c r="F2757" s="1">
        <v>38162</v>
      </c>
      <c r="G2757" t="s">
        <v>339</v>
      </c>
      <c r="H2757">
        <v>2</v>
      </c>
      <c r="I2757">
        <v>6</v>
      </c>
      <c r="J2757">
        <v>2004</v>
      </c>
      <c r="K2757" t="s">
        <v>566</v>
      </c>
      <c r="L2757">
        <v>74</v>
      </c>
      <c r="M2757" t="s">
        <v>672</v>
      </c>
      <c r="N2757" t="s">
        <v>174</v>
      </c>
      <c r="O2757" t="s">
        <v>175</v>
      </c>
      <c r="P2757" t="s">
        <v>176</v>
      </c>
      <c r="R2757" t="s">
        <v>177</v>
      </c>
      <c r="T2757">
        <v>28034</v>
      </c>
      <c r="U2757" t="s">
        <v>178</v>
      </c>
      <c r="V2757" t="s">
        <v>42</v>
      </c>
      <c r="W2757" t="s">
        <v>179</v>
      </c>
      <c r="X2757" t="s">
        <v>180</v>
      </c>
      <c r="Y2757" t="s">
        <v>36</v>
      </c>
    </row>
    <row r="2758" spans="1:25" x14ac:dyDescent="0.25">
      <c r="A2758">
        <v>10275</v>
      </c>
      <c r="B2758">
        <v>31</v>
      </c>
      <c r="C2758">
        <v>72.55</v>
      </c>
      <c r="D2758">
        <v>17</v>
      </c>
      <c r="E2758">
        <v>2249.0500000000002</v>
      </c>
      <c r="F2758" s="1">
        <v>38191</v>
      </c>
      <c r="G2758" t="s">
        <v>25</v>
      </c>
      <c r="H2758">
        <v>3</v>
      </c>
      <c r="I2758">
        <v>7</v>
      </c>
      <c r="J2758">
        <v>2004</v>
      </c>
      <c r="K2758" t="s">
        <v>566</v>
      </c>
      <c r="L2758">
        <v>74</v>
      </c>
      <c r="M2758" t="s">
        <v>672</v>
      </c>
      <c r="N2758" t="s">
        <v>114</v>
      </c>
      <c r="O2758" t="s">
        <v>115</v>
      </c>
      <c r="P2758" t="s">
        <v>116</v>
      </c>
      <c r="R2758" t="s">
        <v>117</v>
      </c>
      <c r="T2758">
        <v>44000</v>
      </c>
      <c r="U2758" t="s">
        <v>41</v>
      </c>
      <c r="V2758" t="s">
        <v>42</v>
      </c>
      <c r="W2758" t="s">
        <v>118</v>
      </c>
      <c r="X2758" t="s">
        <v>119</v>
      </c>
      <c r="Y2758" t="s">
        <v>36</v>
      </c>
    </row>
    <row r="2759" spans="1:25" x14ac:dyDescent="0.25">
      <c r="A2759">
        <v>10284</v>
      </c>
      <c r="B2759">
        <v>32</v>
      </c>
      <c r="C2759">
        <v>64.41</v>
      </c>
      <c r="D2759">
        <v>9</v>
      </c>
      <c r="E2759">
        <v>2061.12</v>
      </c>
      <c r="F2759" s="1">
        <v>38220</v>
      </c>
      <c r="G2759" t="s">
        <v>25</v>
      </c>
      <c r="H2759">
        <v>3</v>
      </c>
      <c r="I2759">
        <v>8</v>
      </c>
      <c r="J2759">
        <v>2004</v>
      </c>
      <c r="K2759" t="s">
        <v>566</v>
      </c>
      <c r="L2759">
        <v>74</v>
      </c>
      <c r="M2759" t="s">
        <v>672</v>
      </c>
      <c r="N2759" t="s">
        <v>543</v>
      </c>
      <c r="O2759" t="s">
        <v>544</v>
      </c>
      <c r="P2759" t="s">
        <v>545</v>
      </c>
      <c r="R2759" t="s">
        <v>546</v>
      </c>
      <c r="T2759" t="s">
        <v>547</v>
      </c>
      <c r="U2759" t="s">
        <v>78</v>
      </c>
      <c r="V2759" t="s">
        <v>42</v>
      </c>
      <c r="W2759" t="s">
        <v>548</v>
      </c>
      <c r="X2759" t="s">
        <v>549</v>
      </c>
      <c r="Y2759" t="s">
        <v>36</v>
      </c>
    </row>
    <row r="2760" spans="1:25" x14ac:dyDescent="0.25">
      <c r="A2760">
        <v>10296</v>
      </c>
      <c r="B2760">
        <v>47</v>
      </c>
      <c r="C2760">
        <v>86.62</v>
      </c>
      <c r="D2760">
        <v>5</v>
      </c>
      <c r="E2760">
        <v>4071.14</v>
      </c>
      <c r="F2760" s="1">
        <v>38245</v>
      </c>
      <c r="G2760" t="s">
        <v>25</v>
      </c>
      <c r="H2760">
        <v>3</v>
      </c>
      <c r="I2760">
        <v>9</v>
      </c>
      <c r="J2760">
        <v>2004</v>
      </c>
      <c r="K2760" t="s">
        <v>566</v>
      </c>
      <c r="L2760">
        <v>74</v>
      </c>
      <c r="M2760" t="s">
        <v>672</v>
      </c>
      <c r="N2760" t="s">
        <v>572</v>
      </c>
      <c r="O2760" t="s">
        <v>573</v>
      </c>
      <c r="P2760" t="s">
        <v>574</v>
      </c>
      <c r="R2760" t="s">
        <v>575</v>
      </c>
      <c r="T2760">
        <v>80686</v>
      </c>
      <c r="U2760" t="s">
        <v>443</v>
      </c>
      <c r="V2760" t="s">
        <v>42</v>
      </c>
      <c r="W2760" t="s">
        <v>576</v>
      </c>
      <c r="X2760" t="s">
        <v>103</v>
      </c>
      <c r="Y2760" t="s">
        <v>51</v>
      </c>
    </row>
    <row r="2761" spans="1:25" x14ac:dyDescent="0.25">
      <c r="A2761">
        <v>10308</v>
      </c>
      <c r="B2761">
        <v>39</v>
      </c>
      <c r="C2761">
        <v>68.11</v>
      </c>
      <c r="D2761">
        <v>15</v>
      </c>
      <c r="E2761">
        <v>2656.29</v>
      </c>
      <c r="F2761" s="1">
        <v>38275</v>
      </c>
      <c r="G2761" t="s">
        <v>25</v>
      </c>
      <c r="H2761">
        <v>4</v>
      </c>
      <c r="I2761">
        <v>10</v>
      </c>
      <c r="J2761">
        <v>2004</v>
      </c>
      <c r="K2761" t="s">
        <v>566</v>
      </c>
      <c r="L2761">
        <v>74</v>
      </c>
      <c r="M2761" t="s">
        <v>672</v>
      </c>
      <c r="N2761" t="s">
        <v>317</v>
      </c>
      <c r="O2761">
        <v>9145554562</v>
      </c>
      <c r="P2761" t="s">
        <v>318</v>
      </c>
      <c r="R2761" t="s">
        <v>319</v>
      </c>
      <c r="S2761" t="s">
        <v>31</v>
      </c>
      <c r="T2761">
        <v>24067</v>
      </c>
      <c r="U2761" t="s">
        <v>32</v>
      </c>
      <c r="V2761" t="s">
        <v>33</v>
      </c>
      <c r="W2761" t="s">
        <v>102</v>
      </c>
      <c r="X2761" t="s">
        <v>238</v>
      </c>
      <c r="Y2761" t="s">
        <v>36</v>
      </c>
    </row>
    <row r="2762" spans="1:25" x14ac:dyDescent="0.25">
      <c r="A2762">
        <v>10316</v>
      </c>
      <c r="B2762">
        <v>44</v>
      </c>
      <c r="C2762">
        <v>62.19</v>
      </c>
      <c r="D2762">
        <v>7</v>
      </c>
      <c r="E2762">
        <v>2736.36</v>
      </c>
      <c r="F2762" s="1">
        <v>38292</v>
      </c>
      <c r="G2762" t="s">
        <v>25</v>
      </c>
      <c r="H2762">
        <v>4</v>
      </c>
      <c r="I2762">
        <v>11</v>
      </c>
      <c r="J2762">
        <v>2004</v>
      </c>
      <c r="K2762" t="s">
        <v>566</v>
      </c>
      <c r="L2762">
        <v>74</v>
      </c>
      <c r="M2762" t="s">
        <v>672</v>
      </c>
      <c r="N2762" t="s">
        <v>383</v>
      </c>
      <c r="O2762" t="s">
        <v>384</v>
      </c>
      <c r="P2762" t="s">
        <v>385</v>
      </c>
      <c r="R2762" t="s">
        <v>386</v>
      </c>
      <c r="S2762" t="s">
        <v>387</v>
      </c>
      <c r="T2762" t="s">
        <v>388</v>
      </c>
      <c r="U2762" t="s">
        <v>170</v>
      </c>
      <c r="V2762" t="s">
        <v>42</v>
      </c>
      <c r="W2762" t="s">
        <v>389</v>
      </c>
      <c r="X2762" t="s">
        <v>390</v>
      </c>
      <c r="Y2762" t="s">
        <v>36</v>
      </c>
    </row>
    <row r="2763" spans="1:25" x14ac:dyDescent="0.25">
      <c r="A2763">
        <v>10328</v>
      </c>
      <c r="B2763">
        <v>39</v>
      </c>
      <c r="C2763">
        <v>85.87</v>
      </c>
      <c r="D2763">
        <v>12</v>
      </c>
      <c r="E2763">
        <v>3348.93</v>
      </c>
      <c r="F2763" s="1">
        <v>38303</v>
      </c>
      <c r="G2763" t="s">
        <v>25</v>
      </c>
      <c r="H2763">
        <v>4</v>
      </c>
      <c r="I2763">
        <v>11</v>
      </c>
      <c r="J2763">
        <v>2004</v>
      </c>
      <c r="K2763" t="s">
        <v>566</v>
      </c>
      <c r="L2763">
        <v>74</v>
      </c>
      <c r="M2763" t="s">
        <v>672</v>
      </c>
      <c r="N2763" t="s">
        <v>552</v>
      </c>
      <c r="O2763" t="s">
        <v>553</v>
      </c>
      <c r="P2763" t="s">
        <v>554</v>
      </c>
      <c r="R2763" t="s">
        <v>555</v>
      </c>
      <c r="T2763">
        <v>24100</v>
      </c>
      <c r="U2763" t="s">
        <v>258</v>
      </c>
      <c r="V2763" t="s">
        <v>42</v>
      </c>
      <c r="W2763" t="s">
        <v>556</v>
      </c>
      <c r="X2763" t="s">
        <v>557</v>
      </c>
      <c r="Y2763" t="s">
        <v>51</v>
      </c>
    </row>
    <row r="2764" spans="1:25" x14ac:dyDescent="0.25">
      <c r="A2764">
        <v>10339</v>
      </c>
      <c r="B2764">
        <v>50</v>
      </c>
      <c r="C2764">
        <v>57.86</v>
      </c>
      <c r="D2764">
        <v>8</v>
      </c>
      <c r="E2764">
        <v>2893</v>
      </c>
      <c r="F2764" s="1">
        <v>38314</v>
      </c>
      <c r="G2764" t="s">
        <v>25</v>
      </c>
      <c r="H2764">
        <v>4</v>
      </c>
      <c r="I2764">
        <v>11</v>
      </c>
      <c r="J2764">
        <v>2004</v>
      </c>
      <c r="K2764" t="s">
        <v>566</v>
      </c>
      <c r="L2764">
        <v>74</v>
      </c>
      <c r="M2764" t="s">
        <v>672</v>
      </c>
      <c r="N2764" t="s">
        <v>246</v>
      </c>
      <c r="O2764" t="s">
        <v>247</v>
      </c>
      <c r="P2764" t="s">
        <v>248</v>
      </c>
      <c r="R2764" t="s">
        <v>249</v>
      </c>
      <c r="S2764" t="s">
        <v>250</v>
      </c>
      <c r="T2764" t="s">
        <v>251</v>
      </c>
      <c r="U2764" t="s">
        <v>200</v>
      </c>
      <c r="V2764" t="s">
        <v>200</v>
      </c>
      <c r="W2764" t="s">
        <v>252</v>
      </c>
      <c r="X2764" t="s">
        <v>253</v>
      </c>
      <c r="Y2764" t="s">
        <v>36</v>
      </c>
    </row>
    <row r="2765" spans="1:25" x14ac:dyDescent="0.25">
      <c r="A2765">
        <v>10352</v>
      </c>
      <c r="B2765">
        <v>22</v>
      </c>
      <c r="C2765">
        <v>75.510000000000005</v>
      </c>
      <c r="D2765">
        <v>1</v>
      </c>
      <c r="E2765">
        <v>1661.22</v>
      </c>
      <c r="F2765" s="1">
        <v>38324</v>
      </c>
      <c r="G2765" t="s">
        <v>25</v>
      </c>
      <c r="H2765">
        <v>4</v>
      </c>
      <c r="I2765">
        <v>12</v>
      </c>
      <c r="J2765">
        <v>2004</v>
      </c>
      <c r="K2765" t="s">
        <v>566</v>
      </c>
      <c r="L2765">
        <v>74</v>
      </c>
      <c r="M2765" t="s">
        <v>672</v>
      </c>
      <c r="N2765" t="s">
        <v>600</v>
      </c>
      <c r="O2765">
        <v>6175558428</v>
      </c>
      <c r="P2765" t="s">
        <v>601</v>
      </c>
      <c r="R2765" t="s">
        <v>283</v>
      </c>
      <c r="S2765" t="s">
        <v>123</v>
      </c>
      <c r="T2765">
        <v>58339</v>
      </c>
      <c r="U2765" t="s">
        <v>32</v>
      </c>
      <c r="V2765" t="s">
        <v>33</v>
      </c>
      <c r="W2765" t="s">
        <v>529</v>
      </c>
      <c r="X2765" t="s">
        <v>245</v>
      </c>
      <c r="Y2765" t="s">
        <v>36</v>
      </c>
    </row>
    <row r="2766" spans="1:25" x14ac:dyDescent="0.25">
      <c r="A2766">
        <v>10361</v>
      </c>
      <c r="B2766">
        <v>35</v>
      </c>
      <c r="C2766">
        <v>100</v>
      </c>
      <c r="D2766">
        <v>11</v>
      </c>
      <c r="E2766">
        <v>4277.3500000000004</v>
      </c>
      <c r="F2766" s="1">
        <v>38338</v>
      </c>
      <c r="G2766" t="s">
        <v>25</v>
      </c>
      <c r="H2766">
        <v>4</v>
      </c>
      <c r="I2766">
        <v>12</v>
      </c>
      <c r="J2766">
        <v>2004</v>
      </c>
      <c r="K2766" t="s">
        <v>566</v>
      </c>
      <c r="L2766">
        <v>74</v>
      </c>
      <c r="M2766" t="s">
        <v>672</v>
      </c>
      <c r="N2766" t="s">
        <v>152</v>
      </c>
      <c r="O2766" t="s">
        <v>153</v>
      </c>
      <c r="P2766" t="s">
        <v>154</v>
      </c>
      <c r="Q2766" t="s">
        <v>155</v>
      </c>
      <c r="R2766" t="s">
        <v>156</v>
      </c>
      <c r="S2766" t="s">
        <v>157</v>
      </c>
      <c r="T2766">
        <v>2067</v>
      </c>
      <c r="U2766" t="s">
        <v>95</v>
      </c>
      <c r="V2766" t="s">
        <v>96</v>
      </c>
      <c r="W2766" t="s">
        <v>158</v>
      </c>
      <c r="X2766" t="s">
        <v>159</v>
      </c>
      <c r="Y2766" t="s">
        <v>51</v>
      </c>
    </row>
    <row r="2767" spans="1:25" x14ac:dyDescent="0.25">
      <c r="A2767">
        <v>10373</v>
      </c>
      <c r="B2767">
        <v>45</v>
      </c>
      <c r="C2767">
        <v>55.62</v>
      </c>
      <c r="D2767">
        <v>17</v>
      </c>
      <c r="E2767">
        <v>2502.9</v>
      </c>
      <c r="F2767" s="1">
        <v>38383</v>
      </c>
      <c r="G2767" t="s">
        <v>25</v>
      </c>
      <c r="H2767">
        <v>1</v>
      </c>
      <c r="I2767">
        <v>1</v>
      </c>
      <c r="J2767">
        <v>2005</v>
      </c>
      <c r="K2767" t="s">
        <v>566</v>
      </c>
      <c r="L2767">
        <v>74</v>
      </c>
      <c r="M2767" t="s">
        <v>672</v>
      </c>
      <c r="N2767" t="s">
        <v>391</v>
      </c>
      <c r="O2767" t="s">
        <v>392</v>
      </c>
      <c r="P2767" t="s">
        <v>393</v>
      </c>
      <c r="R2767" t="s">
        <v>394</v>
      </c>
      <c r="T2767">
        <v>90110</v>
      </c>
      <c r="U2767" t="s">
        <v>130</v>
      </c>
      <c r="V2767" t="s">
        <v>42</v>
      </c>
      <c r="W2767" t="s">
        <v>395</v>
      </c>
      <c r="X2767" t="s">
        <v>396</v>
      </c>
      <c r="Y2767" t="s">
        <v>36</v>
      </c>
    </row>
    <row r="2768" spans="1:25" x14ac:dyDescent="0.25">
      <c r="A2768">
        <v>10386</v>
      </c>
      <c r="B2768">
        <v>44</v>
      </c>
      <c r="C2768">
        <v>86.4</v>
      </c>
      <c r="D2768">
        <v>15</v>
      </c>
      <c r="E2768">
        <v>3801.6</v>
      </c>
      <c r="F2768" s="1">
        <v>38412</v>
      </c>
      <c r="G2768" t="s">
        <v>408</v>
      </c>
      <c r="H2768">
        <v>1</v>
      </c>
      <c r="I2768">
        <v>3</v>
      </c>
      <c r="J2768">
        <v>2005</v>
      </c>
      <c r="K2768" t="s">
        <v>566</v>
      </c>
      <c r="L2768">
        <v>74</v>
      </c>
      <c r="M2768" t="s">
        <v>672</v>
      </c>
      <c r="N2768" t="s">
        <v>174</v>
      </c>
      <c r="O2768" t="s">
        <v>175</v>
      </c>
      <c r="P2768" t="s">
        <v>176</v>
      </c>
      <c r="R2768" t="s">
        <v>177</v>
      </c>
      <c r="T2768">
        <v>28034</v>
      </c>
      <c r="U2768" t="s">
        <v>178</v>
      </c>
      <c r="V2768" t="s">
        <v>42</v>
      </c>
      <c r="W2768" t="s">
        <v>179</v>
      </c>
      <c r="X2768" t="s">
        <v>180</v>
      </c>
      <c r="Y2768" t="s">
        <v>51</v>
      </c>
    </row>
    <row r="2769" spans="1:25" x14ac:dyDescent="0.25">
      <c r="A2769">
        <v>10398</v>
      </c>
      <c r="B2769">
        <v>36</v>
      </c>
      <c r="C2769">
        <v>87.36</v>
      </c>
      <c r="D2769">
        <v>12</v>
      </c>
      <c r="E2769">
        <v>3144.96</v>
      </c>
      <c r="F2769" s="1">
        <v>38441</v>
      </c>
      <c r="G2769" t="s">
        <v>25</v>
      </c>
      <c r="H2769">
        <v>1</v>
      </c>
      <c r="I2769">
        <v>3</v>
      </c>
      <c r="J2769">
        <v>2005</v>
      </c>
      <c r="K2769" t="s">
        <v>566</v>
      </c>
      <c r="L2769">
        <v>74</v>
      </c>
      <c r="M2769" t="s">
        <v>672</v>
      </c>
      <c r="N2769" t="s">
        <v>37</v>
      </c>
      <c r="O2769" t="s">
        <v>38</v>
      </c>
      <c r="P2769" t="s">
        <v>39</v>
      </c>
      <c r="R2769" t="s">
        <v>40</v>
      </c>
      <c r="T2769">
        <v>51100</v>
      </c>
      <c r="U2769" t="s">
        <v>41</v>
      </c>
      <c r="V2769" t="s">
        <v>42</v>
      </c>
      <c r="W2769" t="s">
        <v>43</v>
      </c>
      <c r="X2769" t="s">
        <v>44</v>
      </c>
      <c r="Y2769" t="s">
        <v>51</v>
      </c>
    </row>
    <row r="2770" spans="1:25" x14ac:dyDescent="0.25">
      <c r="A2770">
        <v>10401</v>
      </c>
      <c r="B2770">
        <v>28</v>
      </c>
      <c r="C2770">
        <v>72.55</v>
      </c>
      <c r="D2770">
        <v>11</v>
      </c>
      <c r="E2770">
        <v>2031.4</v>
      </c>
      <c r="F2770" s="1">
        <v>38445</v>
      </c>
      <c r="G2770" t="s">
        <v>401</v>
      </c>
      <c r="H2770">
        <v>2</v>
      </c>
      <c r="I2770">
        <v>4</v>
      </c>
      <c r="J2770">
        <v>2005</v>
      </c>
      <c r="K2770" t="s">
        <v>566</v>
      </c>
      <c r="L2770">
        <v>74</v>
      </c>
      <c r="M2770" t="s">
        <v>672</v>
      </c>
      <c r="N2770" t="s">
        <v>104</v>
      </c>
      <c r="O2770">
        <v>2015559350</v>
      </c>
      <c r="P2770" t="s">
        <v>105</v>
      </c>
      <c r="R2770" t="s">
        <v>106</v>
      </c>
      <c r="S2770" t="s">
        <v>107</v>
      </c>
      <c r="T2770">
        <v>94019</v>
      </c>
      <c r="U2770" t="s">
        <v>32</v>
      </c>
      <c r="V2770" t="s">
        <v>33</v>
      </c>
      <c r="W2770" t="s">
        <v>61</v>
      </c>
      <c r="X2770" t="s">
        <v>108</v>
      </c>
      <c r="Y2770" t="s">
        <v>36</v>
      </c>
    </row>
    <row r="2771" spans="1:25" x14ac:dyDescent="0.25">
      <c r="A2771">
        <v>10416</v>
      </c>
      <c r="B2771">
        <v>43</v>
      </c>
      <c r="C2771">
        <v>62.19</v>
      </c>
      <c r="D2771">
        <v>12</v>
      </c>
      <c r="E2771">
        <v>2674.17</v>
      </c>
      <c r="F2771" s="1">
        <v>38482</v>
      </c>
      <c r="G2771" t="s">
        <v>25</v>
      </c>
      <c r="H2771">
        <v>2</v>
      </c>
      <c r="I2771">
        <v>5</v>
      </c>
      <c r="J2771">
        <v>2005</v>
      </c>
      <c r="K2771" t="s">
        <v>566</v>
      </c>
      <c r="L2771">
        <v>74</v>
      </c>
      <c r="M2771" t="s">
        <v>672</v>
      </c>
      <c r="N2771" t="s">
        <v>452</v>
      </c>
      <c r="O2771" t="s">
        <v>453</v>
      </c>
      <c r="P2771" t="s">
        <v>454</v>
      </c>
      <c r="R2771" t="s">
        <v>455</v>
      </c>
      <c r="T2771">
        <v>42100</v>
      </c>
      <c r="U2771" t="s">
        <v>258</v>
      </c>
      <c r="V2771" t="s">
        <v>42</v>
      </c>
      <c r="W2771" t="s">
        <v>456</v>
      </c>
      <c r="X2771" t="s">
        <v>457</v>
      </c>
      <c r="Y2771" t="s">
        <v>36</v>
      </c>
    </row>
    <row r="2772" spans="1:25" x14ac:dyDescent="0.25">
      <c r="A2772">
        <v>10106</v>
      </c>
      <c r="B2772">
        <v>48</v>
      </c>
      <c r="C2772">
        <v>52.64</v>
      </c>
      <c r="D2772">
        <v>15</v>
      </c>
      <c r="E2772">
        <v>2526.7199999999998</v>
      </c>
      <c r="F2772" s="1">
        <v>37669</v>
      </c>
      <c r="G2772" t="s">
        <v>25</v>
      </c>
      <c r="H2772">
        <v>1</v>
      </c>
      <c r="I2772">
        <v>2</v>
      </c>
      <c r="J2772">
        <v>2003</v>
      </c>
      <c r="K2772" t="s">
        <v>566</v>
      </c>
      <c r="L2772">
        <v>49</v>
      </c>
      <c r="M2772" t="s">
        <v>673</v>
      </c>
      <c r="N2772" t="s">
        <v>552</v>
      </c>
      <c r="O2772" t="s">
        <v>553</v>
      </c>
      <c r="P2772" t="s">
        <v>554</v>
      </c>
      <c r="R2772" t="s">
        <v>555</v>
      </c>
      <c r="T2772">
        <v>24100</v>
      </c>
      <c r="U2772" t="s">
        <v>258</v>
      </c>
      <c r="V2772" t="s">
        <v>42</v>
      </c>
      <c r="W2772" t="s">
        <v>556</v>
      </c>
      <c r="X2772" t="s">
        <v>557</v>
      </c>
      <c r="Y2772" t="s">
        <v>36</v>
      </c>
    </row>
    <row r="2773" spans="1:25" x14ac:dyDescent="0.25">
      <c r="A2773">
        <v>10119</v>
      </c>
      <c r="B2773">
        <v>28</v>
      </c>
      <c r="C2773">
        <v>48.17</v>
      </c>
      <c r="D2773">
        <v>6</v>
      </c>
      <c r="E2773">
        <v>1348.76</v>
      </c>
      <c r="F2773" s="1">
        <v>37739</v>
      </c>
      <c r="G2773" t="s">
        <v>25</v>
      </c>
      <c r="H2773">
        <v>2</v>
      </c>
      <c r="I2773">
        <v>4</v>
      </c>
      <c r="J2773">
        <v>2003</v>
      </c>
      <c r="K2773" t="s">
        <v>566</v>
      </c>
      <c r="L2773">
        <v>49</v>
      </c>
      <c r="M2773" t="s">
        <v>673</v>
      </c>
      <c r="N2773" t="s">
        <v>144</v>
      </c>
      <c r="O2773" t="s">
        <v>145</v>
      </c>
      <c r="P2773" t="s">
        <v>146</v>
      </c>
      <c r="R2773" t="s">
        <v>147</v>
      </c>
      <c r="T2773">
        <v>5020</v>
      </c>
      <c r="U2773" t="s">
        <v>148</v>
      </c>
      <c r="V2773" t="s">
        <v>42</v>
      </c>
      <c r="W2773" t="s">
        <v>149</v>
      </c>
      <c r="X2773" t="s">
        <v>150</v>
      </c>
      <c r="Y2773" t="s">
        <v>36</v>
      </c>
    </row>
    <row r="2774" spans="1:25" x14ac:dyDescent="0.25">
      <c r="A2774">
        <v>10131</v>
      </c>
      <c r="B2774">
        <v>21</v>
      </c>
      <c r="C2774">
        <v>41.71</v>
      </c>
      <c r="D2774">
        <v>7</v>
      </c>
      <c r="E2774">
        <v>875.91</v>
      </c>
      <c r="F2774" s="1">
        <v>37788</v>
      </c>
      <c r="G2774" t="s">
        <v>25</v>
      </c>
      <c r="H2774">
        <v>2</v>
      </c>
      <c r="I2774">
        <v>6</v>
      </c>
      <c r="J2774">
        <v>2003</v>
      </c>
      <c r="K2774" t="s">
        <v>566</v>
      </c>
      <c r="L2774">
        <v>49</v>
      </c>
      <c r="M2774" t="s">
        <v>673</v>
      </c>
      <c r="N2774" t="s">
        <v>568</v>
      </c>
      <c r="O2774">
        <v>2035554407</v>
      </c>
      <c r="P2774" t="s">
        <v>569</v>
      </c>
      <c r="R2774" t="s">
        <v>516</v>
      </c>
      <c r="S2774" t="s">
        <v>112</v>
      </c>
      <c r="T2774">
        <v>97561</v>
      </c>
      <c r="U2774" t="s">
        <v>32</v>
      </c>
      <c r="V2774" t="s">
        <v>33</v>
      </c>
      <c r="W2774" t="s">
        <v>570</v>
      </c>
      <c r="X2774" t="s">
        <v>571</v>
      </c>
      <c r="Y2774" t="s">
        <v>36</v>
      </c>
    </row>
    <row r="2775" spans="1:25" x14ac:dyDescent="0.25">
      <c r="A2775">
        <v>10143</v>
      </c>
      <c r="B2775">
        <v>37</v>
      </c>
      <c r="C2775">
        <v>50.65</v>
      </c>
      <c r="D2775">
        <v>10</v>
      </c>
      <c r="E2775">
        <v>1874.05</v>
      </c>
      <c r="F2775" s="1">
        <v>37843</v>
      </c>
      <c r="G2775" t="s">
        <v>25</v>
      </c>
      <c r="H2775">
        <v>3</v>
      </c>
      <c r="I2775">
        <v>8</v>
      </c>
      <c r="J2775">
        <v>2003</v>
      </c>
      <c r="K2775" t="s">
        <v>566</v>
      </c>
      <c r="L2775">
        <v>49</v>
      </c>
      <c r="M2775" t="s">
        <v>673</v>
      </c>
      <c r="N2775" t="s">
        <v>335</v>
      </c>
      <c r="O2775">
        <v>5085559555</v>
      </c>
      <c r="P2775" t="s">
        <v>336</v>
      </c>
      <c r="R2775" t="s">
        <v>162</v>
      </c>
      <c r="S2775" t="s">
        <v>123</v>
      </c>
      <c r="T2775">
        <v>50553</v>
      </c>
      <c r="U2775" t="s">
        <v>32</v>
      </c>
      <c r="V2775" t="s">
        <v>33</v>
      </c>
      <c r="W2775" t="s">
        <v>337</v>
      </c>
      <c r="X2775" t="s">
        <v>338</v>
      </c>
      <c r="Y2775" t="s">
        <v>36</v>
      </c>
    </row>
    <row r="2776" spans="1:25" x14ac:dyDescent="0.25">
      <c r="A2776">
        <v>10155</v>
      </c>
      <c r="B2776">
        <v>34</v>
      </c>
      <c r="C2776">
        <v>49.16</v>
      </c>
      <c r="D2776">
        <v>8</v>
      </c>
      <c r="E2776">
        <v>1671.44</v>
      </c>
      <c r="F2776" s="1">
        <v>37900</v>
      </c>
      <c r="G2776" t="s">
        <v>25</v>
      </c>
      <c r="H2776">
        <v>4</v>
      </c>
      <c r="I2776">
        <v>10</v>
      </c>
      <c r="J2776">
        <v>2003</v>
      </c>
      <c r="K2776" t="s">
        <v>566</v>
      </c>
      <c r="L2776">
        <v>49</v>
      </c>
      <c r="M2776" t="s">
        <v>673</v>
      </c>
      <c r="N2776" t="s">
        <v>126</v>
      </c>
      <c r="O2776" t="s">
        <v>127</v>
      </c>
      <c r="P2776" t="s">
        <v>128</v>
      </c>
      <c r="R2776" t="s">
        <v>129</v>
      </c>
      <c r="T2776">
        <v>21240</v>
      </c>
      <c r="U2776" t="s">
        <v>130</v>
      </c>
      <c r="V2776" t="s">
        <v>42</v>
      </c>
      <c r="W2776" t="s">
        <v>131</v>
      </c>
      <c r="X2776" t="s">
        <v>132</v>
      </c>
      <c r="Y2776" t="s">
        <v>36</v>
      </c>
    </row>
    <row r="2777" spans="1:25" x14ac:dyDescent="0.25">
      <c r="A2777">
        <v>10167</v>
      </c>
      <c r="B2777">
        <v>40</v>
      </c>
      <c r="C2777">
        <v>41.71</v>
      </c>
      <c r="D2777">
        <v>4</v>
      </c>
      <c r="E2777">
        <v>1668.4</v>
      </c>
      <c r="F2777" s="1">
        <v>37917</v>
      </c>
      <c r="G2777" t="s">
        <v>339</v>
      </c>
      <c r="H2777">
        <v>4</v>
      </c>
      <c r="I2777">
        <v>10</v>
      </c>
      <c r="J2777">
        <v>2003</v>
      </c>
      <c r="K2777" t="s">
        <v>566</v>
      </c>
      <c r="L2777">
        <v>49</v>
      </c>
      <c r="M2777" t="s">
        <v>673</v>
      </c>
      <c r="N2777" t="s">
        <v>261</v>
      </c>
      <c r="O2777" t="s">
        <v>262</v>
      </c>
      <c r="P2777" t="s">
        <v>263</v>
      </c>
      <c r="R2777" t="s">
        <v>264</v>
      </c>
      <c r="T2777" t="s">
        <v>265</v>
      </c>
      <c r="U2777" t="s">
        <v>188</v>
      </c>
      <c r="V2777" t="s">
        <v>42</v>
      </c>
      <c r="W2777" t="s">
        <v>266</v>
      </c>
      <c r="X2777" t="s">
        <v>206</v>
      </c>
      <c r="Y2777" t="s">
        <v>36</v>
      </c>
    </row>
    <row r="2778" spans="1:25" x14ac:dyDescent="0.25">
      <c r="A2778">
        <v>10178</v>
      </c>
      <c r="B2778">
        <v>45</v>
      </c>
      <c r="C2778">
        <v>51.15</v>
      </c>
      <c r="D2778">
        <v>7</v>
      </c>
      <c r="E2778">
        <v>2301.75</v>
      </c>
      <c r="F2778" s="1">
        <v>37933</v>
      </c>
      <c r="G2778" t="s">
        <v>25</v>
      </c>
      <c r="H2778">
        <v>4</v>
      </c>
      <c r="I2778">
        <v>11</v>
      </c>
      <c r="J2778">
        <v>2003</v>
      </c>
      <c r="K2778" t="s">
        <v>566</v>
      </c>
      <c r="L2778">
        <v>49</v>
      </c>
      <c r="M2778" t="s">
        <v>673</v>
      </c>
      <c r="N2778" t="s">
        <v>340</v>
      </c>
      <c r="O2778" t="s">
        <v>341</v>
      </c>
      <c r="P2778" t="s">
        <v>342</v>
      </c>
      <c r="R2778" t="s">
        <v>343</v>
      </c>
      <c r="T2778">
        <v>31000</v>
      </c>
      <c r="U2778" t="s">
        <v>41</v>
      </c>
      <c r="V2778" t="s">
        <v>42</v>
      </c>
      <c r="W2778" t="s">
        <v>344</v>
      </c>
      <c r="X2778" t="s">
        <v>345</v>
      </c>
      <c r="Y2778" t="s">
        <v>36</v>
      </c>
    </row>
    <row r="2779" spans="1:25" x14ac:dyDescent="0.25">
      <c r="A2779">
        <v>10186</v>
      </c>
      <c r="B2779">
        <v>28</v>
      </c>
      <c r="C2779">
        <v>52.14</v>
      </c>
      <c r="D2779">
        <v>4</v>
      </c>
      <c r="E2779">
        <v>1459.92</v>
      </c>
      <c r="F2779" s="1">
        <v>37939</v>
      </c>
      <c r="G2779" t="s">
        <v>25</v>
      </c>
      <c r="H2779">
        <v>4</v>
      </c>
      <c r="I2779">
        <v>11</v>
      </c>
      <c r="J2779">
        <v>2003</v>
      </c>
      <c r="K2779" t="s">
        <v>566</v>
      </c>
      <c r="L2779">
        <v>49</v>
      </c>
      <c r="M2779" t="s">
        <v>673</v>
      </c>
      <c r="N2779" t="s">
        <v>346</v>
      </c>
      <c r="O2779" t="s">
        <v>347</v>
      </c>
      <c r="P2779" t="s">
        <v>348</v>
      </c>
      <c r="R2779" t="s">
        <v>332</v>
      </c>
      <c r="T2779" t="s">
        <v>349</v>
      </c>
      <c r="U2779" t="s">
        <v>170</v>
      </c>
      <c r="V2779" t="s">
        <v>42</v>
      </c>
      <c r="W2779" t="s">
        <v>350</v>
      </c>
      <c r="X2779" t="s">
        <v>351</v>
      </c>
      <c r="Y2779" t="s">
        <v>36</v>
      </c>
    </row>
    <row r="2780" spans="1:25" x14ac:dyDescent="0.25">
      <c r="A2780">
        <v>10197</v>
      </c>
      <c r="B2780">
        <v>29</v>
      </c>
      <c r="C2780">
        <v>41.71</v>
      </c>
      <c r="D2780">
        <v>1</v>
      </c>
      <c r="E2780">
        <v>1209.5899999999999</v>
      </c>
      <c r="F2780" s="1">
        <v>37951</v>
      </c>
      <c r="G2780" t="s">
        <v>25</v>
      </c>
      <c r="H2780">
        <v>4</v>
      </c>
      <c r="I2780">
        <v>11</v>
      </c>
      <c r="J2780">
        <v>2003</v>
      </c>
      <c r="K2780" t="s">
        <v>566</v>
      </c>
      <c r="L2780">
        <v>49</v>
      </c>
      <c r="M2780" t="s">
        <v>673</v>
      </c>
      <c r="N2780" t="s">
        <v>352</v>
      </c>
      <c r="O2780" t="s">
        <v>353</v>
      </c>
      <c r="P2780" t="s">
        <v>354</v>
      </c>
      <c r="R2780" t="s">
        <v>355</v>
      </c>
      <c r="T2780">
        <v>8022</v>
      </c>
      <c r="U2780" t="s">
        <v>178</v>
      </c>
      <c r="V2780" t="s">
        <v>42</v>
      </c>
      <c r="W2780" t="s">
        <v>356</v>
      </c>
      <c r="X2780" t="s">
        <v>357</v>
      </c>
      <c r="Y2780" t="s">
        <v>36</v>
      </c>
    </row>
    <row r="2781" spans="1:25" x14ac:dyDescent="0.25">
      <c r="A2781">
        <v>10209</v>
      </c>
      <c r="B2781">
        <v>48</v>
      </c>
      <c r="C2781">
        <v>44.69</v>
      </c>
      <c r="D2781">
        <v>3</v>
      </c>
      <c r="E2781">
        <v>2145.12</v>
      </c>
      <c r="F2781" s="1">
        <v>37995</v>
      </c>
      <c r="G2781" t="s">
        <v>25</v>
      </c>
      <c r="H2781">
        <v>1</v>
      </c>
      <c r="I2781">
        <v>1</v>
      </c>
      <c r="J2781">
        <v>2004</v>
      </c>
      <c r="K2781" t="s">
        <v>566</v>
      </c>
      <c r="L2781">
        <v>49</v>
      </c>
      <c r="M2781" t="s">
        <v>673</v>
      </c>
      <c r="N2781" t="s">
        <v>358</v>
      </c>
      <c r="O2781">
        <v>2155554369</v>
      </c>
      <c r="P2781" t="s">
        <v>359</v>
      </c>
      <c r="R2781" t="s">
        <v>360</v>
      </c>
      <c r="S2781" t="s">
        <v>55</v>
      </c>
      <c r="U2781" t="s">
        <v>32</v>
      </c>
      <c r="V2781" t="s">
        <v>33</v>
      </c>
      <c r="W2781" t="s">
        <v>361</v>
      </c>
      <c r="X2781" t="s">
        <v>103</v>
      </c>
      <c r="Y2781" t="s">
        <v>36</v>
      </c>
    </row>
    <row r="2782" spans="1:25" x14ac:dyDescent="0.25">
      <c r="A2782">
        <v>10222</v>
      </c>
      <c r="B2782">
        <v>31</v>
      </c>
      <c r="C2782">
        <v>45.69</v>
      </c>
      <c r="D2782">
        <v>7</v>
      </c>
      <c r="E2782">
        <v>1416.39</v>
      </c>
      <c r="F2782" s="1">
        <v>38036</v>
      </c>
      <c r="G2782" t="s">
        <v>25</v>
      </c>
      <c r="H2782">
        <v>1</v>
      </c>
      <c r="I2782">
        <v>2</v>
      </c>
      <c r="J2782">
        <v>2004</v>
      </c>
      <c r="K2782" t="s">
        <v>566</v>
      </c>
      <c r="L2782">
        <v>49</v>
      </c>
      <c r="M2782" t="s">
        <v>673</v>
      </c>
      <c r="N2782" t="s">
        <v>362</v>
      </c>
      <c r="O2782">
        <v>7605558146</v>
      </c>
      <c r="P2782" t="s">
        <v>363</v>
      </c>
      <c r="R2782" t="s">
        <v>364</v>
      </c>
      <c r="S2782" t="s">
        <v>55</v>
      </c>
      <c r="T2782">
        <v>91217</v>
      </c>
      <c r="U2782" t="s">
        <v>32</v>
      </c>
      <c r="V2782" t="s">
        <v>33</v>
      </c>
      <c r="W2782" t="s">
        <v>237</v>
      </c>
      <c r="X2782" t="s">
        <v>276</v>
      </c>
      <c r="Y2782" t="s">
        <v>36</v>
      </c>
    </row>
    <row r="2783" spans="1:25" x14ac:dyDescent="0.25">
      <c r="A2783">
        <v>10249</v>
      </c>
      <c r="B2783">
        <v>32</v>
      </c>
      <c r="C2783">
        <v>57.61</v>
      </c>
      <c r="D2783">
        <v>3</v>
      </c>
      <c r="E2783">
        <v>1843.52</v>
      </c>
      <c r="F2783" s="1">
        <v>38115</v>
      </c>
      <c r="G2783" t="s">
        <v>25</v>
      </c>
      <c r="H2783">
        <v>2</v>
      </c>
      <c r="I2783">
        <v>5</v>
      </c>
      <c r="J2783">
        <v>2004</v>
      </c>
      <c r="K2783" t="s">
        <v>566</v>
      </c>
      <c r="L2783">
        <v>49</v>
      </c>
      <c r="M2783" t="s">
        <v>673</v>
      </c>
      <c r="N2783" t="s">
        <v>239</v>
      </c>
      <c r="O2783">
        <v>6175555555</v>
      </c>
      <c r="P2783" t="s">
        <v>240</v>
      </c>
      <c r="R2783" t="s">
        <v>122</v>
      </c>
      <c r="S2783" t="s">
        <v>123</v>
      </c>
      <c r="T2783">
        <v>51247</v>
      </c>
      <c r="U2783" t="s">
        <v>32</v>
      </c>
      <c r="V2783" t="s">
        <v>33</v>
      </c>
      <c r="W2783" t="s">
        <v>241</v>
      </c>
      <c r="X2783" t="s">
        <v>143</v>
      </c>
      <c r="Y2783" t="s">
        <v>36</v>
      </c>
    </row>
    <row r="2784" spans="1:25" x14ac:dyDescent="0.25">
      <c r="A2784">
        <v>10262</v>
      </c>
      <c r="B2784">
        <v>21</v>
      </c>
      <c r="C2784">
        <v>57.11</v>
      </c>
      <c r="D2784">
        <v>12</v>
      </c>
      <c r="E2784">
        <v>1199.31</v>
      </c>
      <c r="F2784" s="1">
        <v>38162</v>
      </c>
      <c r="G2784" t="s">
        <v>339</v>
      </c>
      <c r="H2784">
        <v>2</v>
      </c>
      <c r="I2784">
        <v>6</v>
      </c>
      <c r="J2784">
        <v>2004</v>
      </c>
      <c r="K2784" t="s">
        <v>566</v>
      </c>
      <c r="L2784">
        <v>49</v>
      </c>
      <c r="M2784" t="s">
        <v>673</v>
      </c>
      <c r="N2784" t="s">
        <v>174</v>
      </c>
      <c r="O2784" t="s">
        <v>175</v>
      </c>
      <c r="P2784" t="s">
        <v>176</v>
      </c>
      <c r="R2784" t="s">
        <v>177</v>
      </c>
      <c r="T2784">
        <v>28034</v>
      </c>
      <c r="U2784" t="s">
        <v>178</v>
      </c>
      <c r="V2784" t="s">
        <v>42</v>
      </c>
      <c r="W2784" t="s">
        <v>179</v>
      </c>
      <c r="X2784" t="s">
        <v>180</v>
      </c>
      <c r="Y2784" t="s">
        <v>36</v>
      </c>
    </row>
    <row r="2785" spans="1:25" x14ac:dyDescent="0.25">
      <c r="A2785">
        <v>10274</v>
      </c>
      <c r="B2785">
        <v>32</v>
      </c>
      <c r="C2785">
        <v>58.6</v>
      </c>
      <c r="D2785">
        <v>4</v>
      </c>
      <c r="E2785">
        <v>1875.2</v>
      </c>
      <c r="F2785" s="1">
        <v>38189</v>
      </c>
      <c r="G2785" t="s">
        <v>25</v>
      </c>
      <c r="H2785">
        <v>3</v>
      </c>
      <c r="I2785">
        <v>7</v>
      </c>
      <c r="J2785">
        <v>2004</v>
      </c>
      <c r="K2785" t="s">
        <v>566</v>
      </c>
      <c r="L2785">
        <v>49</v>
      </c>
      <c r="M2785" t="s">
        <v>673</v>
      </c>
      <c r="N2785" t="s">
        <v>281</v>
      </c>
      <c r="O2785">
        <v>6175558555</v>
      </c>
      <c r="P2785" t="s">
        <v>282</v>
      </c>
      <c r="R2785" t="s">
        <v>283</v>
      </c>
      <c r="S2785" t="s">
        <v>123</v>
      </c>
      <c r="T2785">
        <v>58339</v>
      </c>
      <c r="U2785" t="s">
        <v>32</v>
      </c>
      <c r="V2785" t="s">
        <v>33</v>
      </c>
      <c r="W2785" t="s">
        <v>275</v>
      </c>
      <c r="X2785" t="s">
        <v>284</v>
      </c>
      <c r="Y2785" t="s">
        <v>36</v>
      </c>
    </row>
    <row r="2786" spans="1:25" x14ac:dyDescent="0.25">
      <c r="A2786">
        <v>10283</v>
      </c>
      <c r="B2786">
        <v>43</v>
      </c>
      <c r="C2786">
        <v>57.61</v>
      </c>
      <c r="D2786">
        <v>1</v>
      </c>
      <c r="E2786">
        <v>2477.23</v>
      </c>
      <c r="F2786" s="1">
        <v>38219</v>
      </c>
      <c r="G2786" t="s">
        <v>25</v>
      </c>
      <c r="H2786">
        <v>3</v>
      </c>
      <c r="I2786">
        <v>8</v>
      </c>
      <c r="J2786">
        <v>2004</v>
      </c>
      <c r="K2786" t="s">
        <v>566</v>
      </c>
      <c r="L2786">
        <v>49</v>
      </c>
      <c r="M2786" t="s">
        <v>673</v>
      </c>
      <c r="N2786" t="s">
        <v>373</v>
      </c>
      <c r="O2786" t="s">
        <v>374</v>
      </c>
      <c r="P2786" t="s">
        <v>375</v>
      </c>
      <c r="R2786" t="s">
        <v>376</v>
      </c>
      <c r="S2786" t="s">
        <v>229</v>
      </c>
      <c r="T2786" t="s">
        <v>377</v>
      </c>
      <c r="U2786" t="s">
        <v>231</v>
      </c>
      <c r="V2786" t="s">
        <v>33</v>
      </c>
      <c r="W2786" t="s">
        <v>378</v>
      </c>
      <c r="X2786" t="s">
        <v>172</v>
      </c>
      <c r="Y2786" t="s">
        <v>36</v>
      </c>
    </row>
    <row r="2787" spans="1:25" x14ac:dyDescent="0.25">
      <c r="A2787">
        <v>10296</v>
      </c>
      <c r="B2787">
        <v>21</v>
      </c>
      <c r="C2787">
        <v>45.19</v>
      </c>
      <c r="D2787">
        <v>10</v>
      </c>
      <c r="E2787">
        <v>948.99</v>
      </c>
      <c r="F2787" s="1">
        <v>38245</v>
      </c>
      <c r="G2787" t="s">
        <v>25</v>
      </c>
      <c r="H2787">
        <v>3</v>
      </c>
      <c r="I2787">
        <v>9</v>
      </c>
      <c r="J2787">
        <v>2004</v>
      </c>
      <c r="K2787" t="s">
        <v>566</v>
      </c>
      <c r="L2787">
        <v>49</v>
      </c>
      <c r="M2787" t="s">
        <v>673</v>
      </c>
      <c r="N2787" t="s">
        <v>572</v>
      </c>
      <c r="O2787" t="s">
        <v>573</v>
      </c>
      <c r="P2787" t="s">
        <v>574</v>
      </c>
      <c r="R2787" t="s">
        <v>575</v>
      </c>
      <c r="T2787">
        <v>80686</v>
      </c>
      <c r="U2787" t="s">
        <v>443</v>
      </c>
      <c r="V2787" t="s">
        <v>42</v>
      </c>
      <c r="W2787" t="s">
        <v>576</v>
      </c>
      <c r="X2787" t="s">
        <v>103</v>
      </c>
      <c r="Y2787" t="s">
        <v>36</v>
      </c>
    </row>
    <row r="2788" spans="1:25" x14ac:dyDescent="0.25">
      <c r="A2788">
        <v>10307</v>
      </c>
      <c r="B2788">
        <v>34</v>
      </c>
      <c r="C2788">
        <v>53.63</v>
      </c>
      <c r="D2788">
        <v>4</v>
      </c>
      <c r="E2788">
        <v>1823.42</v>
      </c>
      <c r="F2788" s="1">
        <v>38274</v>
      </c>
      <c r="G2788" t="s">
        <v>25</v>
      </c>
      <c r="H2788">
        <v>4</v>
      </c>
      <c r="I2788">
        <v>10</v>
      </c>
      <c r="J2788">
        <v>2004</v>
      </c>
      <c r="K2788" t="s">
        <v>566</v>
      </c>
      <c r="L2788">
        <v>49</v>
      </c>
      <c r="M2788" t="s">
        <v>673</v>
      </c>
      <c r="N2788" t="s">
        <v>214</v>
      </c>
      <c r="O2788">
        <v>2155554695</v>
      </c>
      <c r="P2788" t="s">
        <v>215</v>
      </c>
      <c r="R2788" t="s">
        <v>216</v>
      </c>
      <c r="S2788" t="s">
        <v>142</v>
      </c>
      <c r="T2788">
        <v>71270</v>
      </c>
      <c r="U2788" t="s">
        <v>32</v>
      </c>
      <c r="V2788" t="s">
        <v>33</v>
      </c>
      <c r="W2788" t="s">
        <v>217</v>
      </c>
      <c r="X2788" t="s">
        <v>218</v>
      </c>
      <c r="Y2788" t="s">
        <v>36</v>
      </c>
    </row>
    <row r="2789" spans="1:25" x14ac:dyDescent="0.25">
      <c r="A2789">
        <v>10316</v>
      </c>
      <c r="B2789">
        <v>34</v>
      </c>
      <c r="C2789">
        <v>43.7</v>
      </c>
      <c r="D2789">
        <v>12</v>
      </c>
      <c r="E2789">
        <v>1485.8</v>
      </c>
      <c r="F2789" s="1">
        <v>38292</v>
      </c>
      <c r="G2789" t="s">
        <v>25</v>
      </c>
      <c r="H2789">
        <v>4</v>
      </c>
      <c r="I2789">
        <v>11</v>
      </c>
      <c r="J2789">
        <v>2004</v>
      </c>
      <c r="K2789" t="s">
        <v>566</v>
      </c>
      <c r="L2789">
        <v>49</v>
      </c>
      <c r="M2789" t="s">
        <v>673</v>
      </c>
      <c r="N2789" t="s">
        <v>383</v>
      </c>
      <c r="O2789" t="s">
        <v>384</v>
      </c>
      <c r="P2789" t="s">
        <v>385</v>
      </c>
      <c r="R2789" t="s">
        <v>386</v>
      </c>
      <c r="S2789" t="s">
        <v>387</v>
      </c>
      <c r="T2789" t="s">
        <v>388</v>
      </c>
      <c r="U2789" t="s">
        <v>170</v>
      </c>
      <c r="V2789" t="s">
        <v>42</v>
      </c>
      <c r="W2789" t="s">
        <v>389</v>
      </c>
      <c r="X2789" t="s">
        <v>390</v>
      </c>
      <c r="Y2789" t="s">
        <v>36</v>
      </c>
    </row>
    <row r="2790" spans="1:25" x14ac:dyDescent="0.25">
      <c r="A2790">
        <v>10329</v>
      </c>
      <c r="B2790">
        <v>44</v>
      </c>
      <c r="C2790">
        <v>86.13</v>
      </c>
      <c r="D2790">
        <v>8</v>
      </c>
      <c r="E2790">
        <v>3789.72</v>
      </c>
      <c r="F2790" s="1">
        <v>38306</v>
      </c>
      <c r="G2790" t="s">
        <v>25</v>
      </c>
      <c r="H2790">
        <v>4</v>
      </c>
      <c r="I2790">
        <v>11</v>
      </c>
      <c r="J2790">
        <v>2004</v>
      </c>
      <c r="K2790" t="s">
        <v>566</v>
      </c>
      <c r="L2790">
        <v>49</v>
      </c>
      <c r="M2790" t="s">
        <v>673</v>
      </c>
      <c r="N2790" t="s">
        <v>28</v>
      </c>
      <c r="O2790">
        <v>2125557818</v>
      </c>
      <c r="P2790" t="s">
        <v>29</v>
      </c>
      <c r="R2790" t="s">
        <v>30</v>
      </c>
      <c r="S2790" t="s">
        <v>31</v>
      </c>
      <c r="T2790">
        <v>10022</v>
      </c>
      <c r="U2790" t="s">
        <v>32</v>
      </c>
      <c r="V2790" t="s">
        <v>33</v>
      </c>
      <c r="W2790" t="s">
        <v>34</v>
      </c>
      <c r="X2790" t="s">
        <v>35</v>
      </c>
      <c r="Y2790" t="s">
        <v>51</v>
      </c>
    </row>
    <row r="2791" spans="1:25" x14ac:dyDescent="0.25">
      <c r="A2791">
        <v>10339</v>
      </c>
      <c r="B2791">
        <v>27</v>
      </c>
      <c r="C2791">
        <v>76.31</v>
      </c>
      <c r="D2791">
        <v>6</v>
      </c>
      <c r="E2791">
        <v>2060.37</v>
      </c>
      <c r="F2791" s="1">
        <v>38314</v>
      </c>
      <c r="G2791" t="s">
        <v>25</v>
      </c>
      <c r="H2791">
        <v>4</v>
      </c>
      <c r="I2791">
        <v>11</v>
      </c>
      <c r="J2791">
        <v>2004</v>
      </c>
      <c r="K2791" t="s">
        <v>566</v>
      </c>
      <c r="L2791">
        <v>49</v>
      </c>
      <c r="M2791" t="s">
        <v>673</v>
      </c>
      <c r="N2791" t="s">
        <v>246</v>
      </c>
      <c r="O2791" t="s">
        <v>247</v>
      </c>
      <c r="P2791" t="s">
        <v>248</v>
      </c>
      <c r="R2791" t="s">
        <v>249</v>
      </c>
      <c r="S2791" t="s">
        <v>250</v>
      </c>
      <c r="T2791" t="s">
        <v>251</v>
      </c>
      <c r="U2791" t="s">
        <v>200</v>
      </c>
      <c r="V2791" t="s">
        <v>200</v>
      </c>
      <c r="W2791" t="s">
        <v>252</v>
      </c>
      <c r="X2791" t="s">
        <v>253</v>
      </c>
      <c r="Y2791" t="s">
        <v>36</v>
      </c>
    </row>
    <row r="2792" spans="1:25" x14ac:dyDescent="0.25">
      <c r="A2792">
        <v>10352</v>
      </c>
      <c r="B2792">
        <v>49</v>
      </c>
      <c r="C2792">
        <v>52.64</v>
      </c>
      <c r="D2792">
        <v>4</v>
      </c>
      <c r="E2792">
        <v>2579.36</v>
      </c>
      <c r="F2792" s="1">
        <v>38324</v>
      </c>
      <c r="G2792" t="s">
        <v>25</v>
      </c>
      <c r="H2792">
        <v>4</v>
      </c>
      <c r="I2792">
        <v>12</v>
      </c>
      <c r="J2792">
        <v>2004</v>
      </c>
      <c r="K2792" t="s">
        <v>566</v>
      </c>
      <c r="L2792">
        <v>49</v>
      </c>
      <c r="M2792" t="s">
        <v>673</v>
      </c>
      <c r="N2792" t="s">
        <v>600</v>
      </c>
      <c r="O2792">
        <v>6175558428</v>
      </c>
      <c r="P2792" t="s">
        <v>601</v>
      </c>
      <c r="R2792" t="s">
        <v>283</v>
      </c>
      <c r="S2792" t="s">
        <v>123</v>
      </c>
      <c r="T2792">
        <v>58339</v>
      </c>
      <c r="U2792" t="s">
        <v>32</v>
      </c>
      <c r="V2792" t="s">
        <v>33</v>
      </c>
      <c r="W2792" t="s">
        <v>529</v>
      </c>
      <c r="X2792" t="s">
        <v>245</v>
      </c>
      <c r="Y2792" t="s">
        <v>36</v>
      </c>
    </row>
    <row r="2793" spans="1:25" x14ac:dyDescent="0.25">
      <c r="A2793">
        <v>10361</v>
      </c>
      <c r="B2793">
        <v>23</v>
      </c>
      <c r="C2793">
        <v>95.2</v>
      </c>
      <c r="D2793">
        <v>12</v>
      </c>
      <c r="E2793">
        <v>2189.6</v>
      </c>
      <c r="F2793" s="1">
        <v>38338</v>
      </c>
      <c r="G2793" t="s">
        <v>25</v>
      </c>
      <c r="H2793">
        <v>4</v>
      </c>
      <c r="I2793">
        <v>12</v>
      </c>
      <c r="J2793">
        <v>2004</v>
      </c>
      <c r="K2793" t="s">
        <v>566</v>
      </c>
      <c r="L2793">
        <v>49</v>
      </c>
      <c r="M2793" t="s">
        <v>673</v>
      </c>
      <c r="N2793" t="s">
        <v>152</v>
      </c>
      <c r="O2793" t="s">
        <v>153</v>
      </c>
      <c r="P2793" t="s">
        <v>154</v>
      </c>
      <c r="Q2793" t="s">
        <v>155</v>
      </c>
      <c r="R2793" t="s">
        <v>156</v>
      </c>
      <c r="S2793" t="s">
        <v>157</v>
      </c>
      <c r="T2793">
        <v>2067</v>
      </c>
      <c r="U2793" t="s">
        <v>95</v>
      </c>
      <c r="V2793" t="s">
        <v>96</v>
      </c>
      <c r="W2793" t="s">
        <v>158</v>
      </c>
      <c r="X2793" t="s">
        <v>159</v>
      </c>
      <c r="Y2793" t="s">
        <v>36</v>
      </c>
    </row>
    <row r="2794" spans="1:25" x14ac:dyDescent="0.25">
      <c r="A2794">
        <v>10373</v>
      </c>
      <c r="B2794">
        <v>25</v>
      </c>
      <c r="C2794">
        <v>64.97</v>
      </c>
      <c r="D2794">
        <v>9</v>
      </c>
      <c r="E2794">
        <v>1624.25</v>
      </c>
      <c r="F2794" s="1">
        <v>38383</v>
      </c>
      <c r="G2794" t="s">
        <v>25</v>
      </c>
      <c r="H2794">
        <v>1</v>
      </c>
      <c r="I2794">
        <v>1</v>
      </c>
      <c r="J2794">
        <v>2005</v>
      </c>
      <c r="K2794" t="s">
        <v>566</v>
      </c>
      <c r="L2794">
        <v>49</v>
      </c>
      <c r="M2794" t="s">
        <v>673</v>
      </c>
      <c r="N2794" t="s">
        <v>391</v>
      </c>
      <c r="O2794" t="s">
        <v>392</v>
      </c>
      <c r="P2794" t="s">
        <v>393</v>
      </c>
      <c r="R2794" t="s">
        <v>394</v>
      </c>
      <c r="T2794">
        <v>90110</v>
      </c>
      <c r="U2794" t="s">
        <v>130</v>
      </c>
      <c r="V2794" t="s">
        <v>42</v>
      </c>
      <c r="W2794" t="s">
        <v>395</v>
      </c>
      <c r="X2794" t="s">
        <v>396</v>
      </c>
      <c r="Y2794" t="s">
        <v>36</v>
      </c>
    </row>
    <row r="2795" spans="1:25" x14ac:dyDescent="0.25">
      <c r="A2795">
        <v>10386</v>
      </c>
      <c r="B2795">
        <v>50</v>
      </c>
      <c r="C2795">
        <v>87.15</v>
      </c>
      <c r="D2795">
        <v>16</v>
      </c>
      <c r="E2795">
        <v>4357.5</v>
      </c>
      <c r="F2795" s="1">
        <v>38412</v>
      </c>
      <c r="G2795" t="s">
        <v>408</v>
      </c>
      <c r="H2795">
        <v>1</v>
      </c>
      <c r="I2795">
        <v>3</v>
      </c>
      <c r="J2795">
        <v>2005</v>
      </c>
      <c r="K2795" t="s">
        <v>566</v>
      </c>
      <c r="L2795">
        <v>49</v>
      </c>
      <c r="M2795" t="s">
        <v>673</v>
      </c>
      <c r="N2795" t="s">
        <v>174</v>
      </c>
      <c r="O2795" t="s">
        <v>175</v>
      </c>
      <c r="P2795" t="s">
        <v>176</v>
      </c>
      <c r="R2795" t="s">
        <v>177</v>
      </c>
      <c r="T2795">
        <v>28034</v>
      </c>
      <c r="U2795" t="s">
        <v>178</v>
      </c>
      <c r="V2795" t="s">
        <v>42</v>
      </c>
      <c r="W2795" t="s">
        <v>179</v>
      </c>
      <c r="X2795" t="s">
        <v>180</v>
      </c>
      <c r="Y2795" t="s">
        <v>51</v>
      </c>
    </row>
    <row r="2796" spans="1:25" x14ac:dyDescent="0.25">
      <c r="A2796">
        <v>10398</v>
      </c>
      <c r="B2796">
        <v>34</v>
      </c>
      <c r="C2796">
        <v>40.22</v>
      </c>
      <c r="D2796">
        <v>1</v>
      </c>
      <c r="E2796">
        <v>1367.48</v>
      </c>
      <c r="F2796" s="1">
        <v>38441</v>
      </c>
      <c r="G2796" t="s">
        <v>25</v>
      </c>
      <c r="H2796">
        <v>1</v>
      </c>
      <c r="I2796">
        <v>3</v>
      </c>
      <c r="J2796">
        <v>2005</v>
      </c>
      <c r="K2796" t="s">
        <v>566</v>
      </c>
      <c r="L2796">
        <v>49</v>
      </c>
      <c r="M2796" t="s">
        <v>673</v>
      </c>
      <c r="N2796" t="s">
        <v>37</v>
      </c>
      <c r="O2796" t="s">
        <v>38</v>
      </c>
      <c r="P2796" t="s">
        <v>39</v>
      </c>
      <c r="R2796" t="s">
        <v>40</v>
      </c>
      <c r="T2796">
        <v>51100</v>
      </c>
      <c r="U2796" t="s">
        <v>41</v>
      </c>
      <c r="V2796" t="s">
        <v>42</v>
      </c>
      <c r="W2796" t="s">
        <v>43</v>
      </c>
      <c r="X2796" t="s">
        <v>44</v>
      </c>
      <c r="Y2796" t="s">
        <v>36</v>
      </c>
    </row>
    <row r="2797" spans="1:25" x14ac:dyDescent="0.25">
      <c r="A2797">
        <v>10400</v>
      </c>
      <c r="B2797">
        <v>20</v>
      </c>
      <c r="C2797">
        <v>56.12</v>
      </c>
      <c r="D2797">
        <v>4</v>
      </c>
      <c r="E2797">
        <v>1122.4000000000001</v>
      </c>
      <c r="F2797" s="1">
        <v>38443</v>
      </c>
      <c r="G2797" t="s">
        <v>25</v>
      </c>
      <c r="H2797">
        <v>2</v>
      </c>
      <c r="I2797">
        <v>4</v>
      </c>
      <c r="J2797">
        <v>2005</v>
      </c>
      <c r="K2797" t="s">
        <v>566</v>
      </c>
      <c r="L2797">
        <v>49</v>
      </c>
      <c r="M2797" t="s">
        <v>673</v>
      </c>
      <c r="N2797" t="s">
        <v>397</v>
      </c>
      <c r="O2797">
        <v>4085553659</v>
      </c>
      <c r="P2797" t="s">
        <v>398</v>
      </c>
      <c r="R2797" t="s">
        <v>399</v>
      </c>
      <c r="S2797" t="s">
        <v>55</v>
      </c>
      <c r="T2797">
        <v>94217</v>
      </c>
      <c r="U2797" t="s">
        <v>32</v>
      </c>
      <c r="V2797" t="s">
        <v>33</v>
      </c>
      <c r="W2797" t="s">
        <v>102</v>
      </c>
      <c r="X2797" t="s">
        <v>400</v>
      </c>
      <c r="Y2797" t="s">
        <v>36</v>
      </c>
    </row>
    <row r="2798" spans="1:25" x14ac:dyDescent="0.25">
      <c r="A2798">
        <v>10415</v>
      </c>
      <c r="B2798">
        <v>42</v>
      </c>
      <c r="C2798">
        <v>57.61</v>
      </c>
      <c r="D2798">
        <v>3</v>
      </c>
      <c r="E2798">
        <v>2419.62</v>
      </c>
      <c r="F2798" s="1">
        <v>38481</v>
      </c>
      <c r="G2798" t="s">
        <v>173</v>
      </c>
      <c r="H2798">
        <v>2</v>
      </c>
      <c r="I2798">
        <v>5</v>
      </c>
      <c r="J2798">
        <v>2005</v>
      </c>
      <c r="K2798" t="s">
        <v>566</v>
      </c>
      <c r="L2798">
        <v>49</v>
      </c>
      <c r="M2798" t="s">
        <v>673</v>
      </c>
      <c r="N2798" t="s">
        <v>558</v>
      </c>
      <c r="O2798" t="s">
        <v>559</v>
      </c>
      <c r="P2798" t="s">
        <v>560</v>
      </c>
      <c r="R2798" t="s">
        <v>561</v>
      </c>
      <c r="S2798" t="s">
        <v>94</v>
      </c>
      <c r="T2798">
        <v>3150</v>
      </c>
      <c r="U2798" t="s">
        <v>95</v>
      </c>
      <c r="V2798" t="s">
        <v>96</v>
      </c>
      <c r="W2798" t="s">
        <v>562</v>
      </c>
      <c r="X2798" t="s">
        <v>563</v>
      </c>
      <c r="Y2798" t="s">
        <v>36</v>
      </c>
    </row>
    <row r="2799" spans="1:25" x14ac:dyDescent="0.25">
      <c r="A2799">
        <v>10105</v>
      </c>
      <c r="B2799">
        <v>25</v>
      </c>
      <c r="C2799">
        <v>56.78</v>
      </c>
      <c r="D2799">
        <v>8</v>
      </c>
      <c r="E2799">
        <v>1419.5</v>
      </c>
      <c r="F2799" s="1">
        <v>37663</v>
      </c>
      <c r="G2799" t="s">
        <v>25</v>
      </c>
      <c r="H2799">
        <v>1</v>
      </c>
      <c r="I2799">
        <v>2</v>
      </c>
      <c r="J2799">
        <v>2003</v>
      </c>
      <c r="K2799" t="s">
        <v>598</v>
      </c>
      <c r="L2799">
        <v>54</v>
      </c>
      <c r="M2799" t="s">
        <v>674</v>
      </c>
      <c r="N2799" t="s">
        <v>322</v>
      </c>
      <c r="O2799" t="s">
        <v>323</v>
      </c>
      <c r="P2799" t="s">
        <v>324</v>
      </c>
      <c r="R2799" t="s">
        <v>325</v>
      </c>
      <c r="T2799">
        <v>1734</v>
      </c>
      <c r="U2799" t="s">
        <v>326</v>
      </c>
      <c r="V2799" t="s">
        <v>42</v>
      </c>
      <c r="W2799" t="s">
        <v>327</v>
      </c>
      <c r="X2799" t="s">
        <v>328</v>
      </c>
      <c r="Y2799" t="s">
        <v>36</v>
      </c>
    </row>
    <row r="2800" spans="1:25" x14ac:dyDescent="0.25">
      <c r="A2800">
        <v>10117</v>
      </c>
      <c r="B2800">
        <v>50</v>
      </c>
      <c r="C2800">
        <v>43.68</v>
      </c>
      <c r="D2800">
        <v>2</v>
      </c>
      <c r="E2800">
        <v>2184</v>
      </c>
      <c r="F2800" s="1">
        <v>37727</v>
      </c>
      <c r="G2800" t="s">
        <v>25</v>
      </c>
      <c r="H2800">
        <v>2</v>
      </c>
      <c r="I2800">
        <v>4</v>
      </c>
      <c r="J2800">
        <v>2003</v>
      </c>
      <c r="K2800" t="s">
        <v>598</v>
      </c>
      <c r="L2800">
        <v>54</v>
      </c>
      <c r="M2800" t="s">
        <v>674</v>
      </c>
      <c r="N2800" t="s">
        <v>196</v>
      </c>
      <c r="O2800" t="s">
        <v>197</v>
      </c>
      <c r="P2800" t="s">
        <v>198</v>
      </c>
      <c r="R2800" t="s">
        <v>199</v>
      </c>
      <c r="T2800">
        <v>79903</v>
      </c>
      <c r="U2800" t="s">
        <v>199</v>
      </c>
      <c r="V2800" t="s">
        <v>200</v>
      </c>
      <c r="W2800" t="s">
        <v>201</v>
      </c>
      <c r="X2800" t="s">
        <v>202</v>
      </c>
      <c r="Y2800" t="s">
        <v>36</v>
      </c>
    </row>
    <row r="2801" spans="1:25" x14ac:dyDescent="0.25">
      <c r="A2801">
        <v>10129</v>
      </c>
      <c r="B2801">
        <v>32</v>
      </c>
      <c r="C2801">
        <v>64.97</v>
      </c>
      <c r="D2801">
        <v>8</v>
      </c>
      <c r="E2801">
        <v>2079.04</v>
      </c>
      <c r="F2801" s="1">
        <v>37784</v>
      </c>
      <c r="G2801" t="s">
        <v>25</v>
      </c>
      <c r="H2801">
        <v>2</v>
      </c>
      <c r="I2801">
        <v>6</v>
      </c>
      <c r="J2801">
        <v>2003</v>
      </c>
      <c r="K2801" t="s">
        <v>598</v>
      </c>
      <c r="L2801">
        <v>54</v>
      </c>
      <c r="M2801" t="s">
        <v>674</v>
      </c>
      <c r="N2801" t="s">
        <v>329</v>
      </c>
      <c r="O2801" t="s">
        <v>330</v>
      </c>
      <c r="P2801" t="s">
        <v>331</v>
      </c>
      <c r="R2801" t="s">
        <v>332</v>
      </c>
      <c r="T2801" t="s">
        <v>333</v>
      </c>
      <c r="U2801" t="s">
        <v>170</v>
      </c>
      <c r="V2801" t="s">
        <v>42</v>
      </c>
      <c r="W2801" t="s">
        <v>61</v>
      </c>
      <c r="X2801" t="s">
        <v>334</v>
      </c>
      <c r="Y2801" t="s">
        <v>36</v>
      </c>
    </row>
    <row r="2802" spans="1:25" x14ac:dyDescent="0.25">
      <c r="A2802">
        <v>10142</v>
      </c>
      <c r="B2802">
        <v>39</v>
      </c>
      <c r="C2802">
        <v>44.23</v>
      </c>
      <c r="D2802">
        <v>5</v>
      </c>
      <c r="E2802">
        <v>1724.97</v>
      </c>
      <c r="F2802" s="1">
        <v>37841</v>
      </c>
      <c r="G2802" t="s">
        <v>25</v>
      </c>
      <c r="H2802">
        <v>3</v>
      </c>
      <c r="I2802">
        <v>8</v>
      </c>
      <c r="J2802">
        <v>2003</v>
      </c>
      <c r="K2802" t="s">
        <v>598</v>
      </c>
      <c r="L2802">
        <v>54</v>
      </c>
      <c r="M2802" t="s">
        <v>674</v>
      </c>
      <c r="N2802" t="s">
        <v>272</v>
      </c>
      <c r="O2802">
        <v>4155551450</v>
      </c>
      <c r="P2802" t="s">
        <v>273</v>
      </c>
      <c r="R2802" t="s">
        <v>274</v>
      </c>
      <c r="S2802" t="s">
        <v>55</v>
      </c>
      <c r="T2802">
        <v>97562</v>
      </c>
      <c r="U2802" t="s">
        <v>32</v>
      </c>
      <c r="V2802" t="s">
        <v>33</v>
      </c>
      <c r="W2802" t="s">
        <v>275</v>
      </c>
      <c r="X2802" t="s">
        <v>276</v>
      </c>
      <c r="Y2802" t="s">
        <v>36</v>
      </c>
    </row>
    <row r="2803" spans="1:25" x14ac:dyDescent="0.25">
      <c r="A2803">
        <v>10153</v>
      </c>
      <c r="B2803">
        <v>50</v>
      </c>
      <c r="C2803">
        <v>60.06</v>
      </c>
      <c r="D2803">
        <v>4</v>
      </c>
      <c r="E2803">
        <v>3003</v>
      </c>
      <c r="F2803" s="1">
        <v>37892</v>
      </c>
      <c r="G2803" t="s">
        <v>25</v>
      </c>
      <c r="H2803">
        <v>3</v>
      </c>
      <c r="I2803">
        <v>9</v>
      </c>
      <c r="J2803">
        <v>2003</v>
      </c>
      <c r="K2803" t="s">
        <v>598</v>
      </c>
      <c r="L2803">
        <v>54</v>
      </c>
      <c r="M2803" t="s">
        <v>674</v>
      </c>
      <c r="N2803" t="s">
        <v>174</v>
      </c>
      <c r="O2803" t="s">
        <v>175</v>
      </c>
      <c r="P2803" t="s">
        <v>176</v>
      </c>
      <c r="R2803" t="s">
        <v>177</v>
      </c>
      <c r="T2803">
        <v>28034</v>
      </c>
      <c r="U2803" t="s">
        <v>178</v>
      </c>
      <c r="V2803" t="s">
        <v>42</v>
      </c>
      <c r="W2803" t="s">
        <v>179</v>
      </c>
      <c r="X2803" t="s">
        <v>180</v>
      </c>
      <c r="Y2803" t="s">
        <v>51</v>
      </c>
    </row>
    <row r="2804" spans="1:25" x14ac:dyDescent="0.25">
      <c r="A2804">
        <v>10167</v>
      </c>
      <c r="B2804">
        <v>38</v>
      </c>
      <c r="C2804">
        <v>48.59</v>
      </c>
      <c r="D2804">
        <v>15</v>
      </c>
      <c r="E2804">
        <v>1846.42</v>
      </c>
      <c r="F2804" s="1">
        <v>37917</v>
      </c>
      <c r="G2804" t="s">
        <v>339</v>
      </c>
      <c r="H2804">
        <v>4</v>
      </c>
      <c r="I2804">
        <v>10</v>
      </c>
      <c r="J2804">
        <v>2003</v>
      </c>
      <c r="K2804" t="s">
        <v>598</v>
      </c>
      <c r="L2804">
        <v>54</v>
      </c>
      <c r="M2804" t="s">
        <v>674</v>
      </c>
      <c r="N2804" t="s">
        <v>261</v>
      </c>
      <c r="O2804" t="s">
        <v>262</v>
      </c>
      <c r="P2804" t="s">
        <v>263</v>
      </c>
      <c r="R2804" t="s">
        <v>264</v>
      </c>
      <c r="T2804" t="s">
        <v>265</v>
      </c>
      <c r="U2804" t="s">
        <v>188</v>
      </c>
      <c r="V2804" t="s">
        <v>42</v>
      </c>
      <c r="W2804" t="s">
        <v>266</v>
      </c>
      <c r="X2804" t="s">
        <v>206</v>
      </c>
      <c r="Y2804" t="s">
        <v>36</v>
      </c>
    </row>
    <row r="2805" spans="1:25" x14ac:dyDescent="0.25">
      <c r="A2805">
        <v>10177</v>
      </c>
      <c r="B2805">
        <v>40</v>
      </c>
      <c r="C2805">
        <v>50.23</v>
      </c>
      <c r="D2805">
        <v>6</v>
      </c>
      <c r="E2805">
        <v>2009.2</v>
      </c>
      <c r="F2805" s="1">
        <v>37932</v>
      </c>
      <c r="G2805" t="s">
        <v>25</v>
      </c>
      <c r="H2805">
        <v>4</v>
      </c>
      <c r="I2805">
        <v>11</v>
      </c>
      <c r="J2805">
        <v>2003</v>
      </c>
      <c r="K2805" t="s">
        <v>598</v>
      </c>
      <c r="L2805">
        <v>54</v>
      </c>
      <c r="M2805" t="s">
        <v>674</v>
      </c>
      <c r="N2805" t="s">
        <v>487</v>
      </c>
      <c r="O2805" t="s">
        <v>488</v>
      </c>
      <c r="P2805" t="s">
        <v>489</v>
      </c>
      <c r="R2805" t="s">
        <v>177</v>
      </c>
      <c r="T2805">
        <v>28023</v>
      </c>
      <c r="U2805" t="s">
        <v>178</v>
      </c>
      <c r="V2805" t="s">
        <v>42</v>
      </c>
      <c r="W2805" t="s">
        <v>490</v>
      </c>
      <c r="X2805" t="s">
        <v>491</v>
      </c>
      <c r="Y2805" t="s">
        <v>36</v>
      </c>
    </row>
    <row r="2806" spans="1:25" x14ac:dyDescent="0.25">
      <c r="A2806">
        <v>10185</v>
      </c>
      <c r="B2806">
        <v>28</v>
      </c>
      <c r="C2806">
        <v>64.430000000000007</v>
      </c>
      <c r="D2806">
        <v>6</v>
      </c>
      <c r="E2806">
        <v>1804.04</v>
      </c>
      <c r="F2806" s="1">
        <v>37939</v>
      </c>
      <c r="G2806" t="s">
        <v>25</v>
      </c>
      <c r="H2806">
        <v>4</v>
      </c>
      <c r="I2806">
        <v>11</v>
      </c>
      <c r="J2806">
        <v>2003</v>
      </c>
      <c r="K2806" t="s">
        <v>598</v>
      </c>
      <c r="L2806">
        <v>54</v>
      </c>
      <c r="M2806" t="s">
        <v>674</v>
      </c>
      <c r="N2806" t="s">
        <v>335</v>
      </c>
      <c r="O2806">
        <v>5085559555</v>
      </c>
      <c r="P2806" t="s">
        <v>336</v>
      </c>
      <c r="R2806" t="s">
        <v>162</v>
      </c>
      <c r="S2806" t="s">
        <v>123</v>
      </c>
      <c r="T2806">
        <v>50553</v>
      </c>
      <c r="U2806" t="s">
        <v>32</v>
      </c>
      <c r="V2806" t="s">
        <v>33</v>
      </c>
      <c r="W2806" t="s">
        <v>337</v>
      </c>
      <c r="X2806" t="s">
        <v>338</v>
      </c>
      <c r="Y2806" t="s">
        <v>36</v>
      </c>
    </row>
    <row r="2807" spans="1:25" x14ac:dyDescent="0.25">
      <c r="A2807">
        <v>10197</v>
      </c>
      <c r="B2807">
        <v>42</v>
      </c>
      <c r="C2807">
        <v>50.23</v>
      </c>
      <c r="D2807">
        <v>12</v>
      </c>
      <c r="E2807">
        <v>2109.66</v>
      </c>
      <c r="F2807" s="1">
        <v>37951</v>
      </c>
      <c r="G2807" t="s">
        <v>25</v>
      </c>
      <c r="H2807">
        <v>4</v>
      </c>
      <c r="I2807">
        <v>11</v>
      </c>
      <c r="J2807">
        <v>2003</v>
      </c>
      <c r="K2807" t="s">
        <v>598</v>
      </c>
      <c r="L2807">
        <v>54</v>
      </c>
      <c r="M2807" t="s">
        <v>674</v>
      </c>
      <c r="N2807" t="s">
        <v>352</v>
      </c>
      <c r="O2807" t="s">
        <v>353</v>
      </c>
      <c r="P2807" t="s">
        <v>354</v>
      </c>
      <c r="R2807" t="s">
        <v>355</v>
      </c>
      <c r="T2807">
        <v>8022</v>
      </c>
      <c r="U2807" t="s">
        <v>178</v>
      </c>
      <c r="V2807" t="s">
        <v>42</v>
      </c>
      <c r="W2807" t="s">
        <v>356</v>
      </c>
      <c r="X2807" t="s">
        <v>357</v>
      </c>
      <c r="Y2807" t="s">
        <v>36</v>
      </c>
    </row>
    <row r="2808" spans="1:25" x14ac:dyDescent="0.25">
      <c r="A2808">
        <v>10208</v>
      </c>
      <c r="B2808">
        <v>42</v>
      </c>
      <c r="C2808">
        <v>63.88</v>
      </c>
      <c r="D2808">
        <v>6</v>
      </c>
      <c r="E2808">
        <v>2682.96</v>
      </c>
      <c r="F2808" s="1">
        <v>37988</v>
      </c>
      <c r="G2808" t="s">
        <v>25</v>
      </c>
      <c r="H2808">
        <v>1</v>
      </c>
      <c r="I2808">
        <v>1</v>
      </c>
      <c r="J2808">
        <v>2004</v>
      </c>
      <c r="K2808" t="s">
        <v>598</v>
      </c>
      <c r="L2808">
        <v>54</v>
      </c>
      <c r="M2808" t="s">
        <v>674</v>
      </c>
      <c r="N2808" t="s">
        <v>219</v>
      </c>
      <c r="O2808" t="s">
        <v>220</v>
      </c>
      <c r="P2808" t="s">
        <v>221</v>
      </c>
      <c r="R2808" t="s">
        <v>222</v>
      </c>
      <c r="T2808">
        <v>69004</v>
      </c>
      <c r="U2808" t="s">
        <v>41</v>
      </c>
      <c r="V2808" t="s">
        <v>42</v>
      </c>
      <c r="W2808" t="s">
        <v>223</v>
      </c>
      <c r="X2808" t="s">
        <v>224</v>
      </c>
      <c r="Y2808" t="s">
        <v>36</v>
      </c>
    </row>
    <row r="2809" spans="1:25" x14ac:dyDescent="0.25">
      <c r="A2809">
        <v>10222</v>
      </c>
      <c r="B2809">
        <v>36</v>
      </c>
      <c r="C2809">
        <v>63.34</v>
      </c>
      <c r="D2809">
        <v>18</v>
      </c>
      <c r="E2809">
        <v>2280.2399999999998</v>
      </c>
      <c r="F2809" s="1">
        <v>38036</v>
      </c>
      <c r="G2809" t="s">
        <v>25</v>
      </c>
      <c r="H2809">
        <v>1</v>
      </c>
      <c r="I2809">
        <v>2</v>
      </c>
      <c r="J2809">
        <v>2004</v>
      </c>
      <c r="K2809" t="s">
        <v>598</v>
      </c>
      <c r="L2809">
        <v>54</v>
      </c>
      <c r="M2809" t="s">
        <v>674</v>
      </c>
      <c r="N2809" t="s">
        <v>362</v>
      </c>
      <c r="O2809">
        <v>7605558146</v>
      </c>
      <c r="P2809" t="s">
        <v>363</v>
      </c>
      <c r="R2809" t="s">
        <v>364</v>
      </c>
      <c r="S2809" t="s">
        <v>55</v>
      </c>
      <c r="T2809">
        <v>91217</v>
      </c>
      <c r="U2809" t="s">
        <v>32</v>
      </c>
      <c r="V2809" t="s">
        <v>33</v>
      </c>
      <c r="W2809" t="s">
        <v>237</v>
      </c>
      <c r="X2809" t="s">
        <v>276</v>
      </c>
      <c r="Y2809" t="s">
        <v>36</v>
      </c>
    </row>
    <row r="2810" spans="1:25" x14ac:dyDescent="0.25">
      <c r="A2810">
        <v>10232</v>
      </c>
      <c r="B2810">
        <v>24</v>
      </c>
      <c r="C2810">
        <v>49.69</v>
      </c>
      <c r="D2810">
        <v>3</v>
      </c>
      <c r="E2810">
        <v>1192.56</v>
      </c>
      <c r="F2810" s="1">
        <v>38066</v>
      </c>
      <c r="G2810" t="s">
        <v>25</v>
      </c>
      <c r="H2810">
        <v>1</v>
      </c>
      <c r="I2810">
        <v>3</v>
      </c>
      <c r="J2810">
        <v>2004</v>
      </c>
      <c r="K2810" t="s">
        <v>598</v>
      </c>
      <c r="L2810">
        <v>54</v>
      </c>
      <c r="M2810" t="s">
        <v>674</v>
      </c>
      <c r="N2810" t="s">
        <v>383</v>
      </c>
      <c r="O2810" t="s">
        <v>384</v>
      </c>
      <c r="P2810" t="s">
        <v>385</v>
      </c>
      <c r="R2810" t="s">
        <v>386</v>
      </c>
      <c r="S2810" t="s">
        <v>387</v>
      </c>
      <c r="T2810" t="s">
        <v>388</v>
      </c>
      <c r="U2810" t="s">
        <v>170</v>
      </c>
      <c r="V2810" t="s">
        <v>42</v>
      </c>
      <c r="W2810" t="s">
        <v>389</v>
      </c>
      <c r="X2810" t="s">
        <v>390</v>
      </c>
      <c r="Y2810" t="s">
        <v>36</v>
      </c>
    </row>
    <row r="2811" spans="1:25" x14ac:dyDescent="0.25">
      <c r="A2811">
        <v>10248</v>
      </c>
      <c r="B2811">
        <v>23</v>
      </c>
      <c r="C2811">
        <v>65.52</v>
      </c>
      <c r="D2811">
        <v>9</v>
      </c>
      <c r="E2811">
        <v>1506.96</v>
      </c>
      <c r="F2811" s="1">
        <v>38114</v>
      </c>
      <c r="G2811" t="s">
        <v>339</v>
      </c>
      <c r="H2811">
        <v>2</v>
      </c>
      <c r="I2811">
        <v>5</v>
      </c>
      <c r="J2811">
        <v>2004</v>
      </c>
      <c r="K2811" t="s">
        <v>598</v>
      </c>
      <c r="L2811">
        <v>54</v>
      </c>
      <c r="M2811" t="s">
        <v>674</v>
      </c>
      <c r="N2811" t="s">
        <v>28</v>
      </c>
      <c r="O2811">
        <v>2125557818</v>
      </c>
      <c r="P2811" t="s">
        <v>29</v>
      </c>
      <c r="R2811" t="s">
        <v>30</v>
      </c>
      <c r="S2811" t="s">
        <v>31</v>
      </c>
      <c r="T2811">
        <v>10022</v>
      </c>
      <c r="U2811" t="s">
        <v>32</v>
      </c>
      <c r="V2811" t="s">
        <v>33</v>
      </c>
      <c r="W2811" t="s">
        <v>34</v>
      </c>
      <c r="X2811" t="s">
        <v>35</v>
      </c>
      <c r="Y2811" t="s">
        <v>36</v>
      </c>
    </row>
    <row r="2812" spans="1:25" x14ac:dyDescent="0.25">
      <c r="A2812">
        <v>10261</v>
      </c>
      <c r="B2812">
        <v>29</v>
      </c>
      <c r="C2812">
        <v>50.78</v>
      </c>
      <c r="D2812">
        <v>7</v>
      </c>
      <c r="E2812">
        <v>1472.62</v>
      </c>
      <c r="F2812" s="1">
        <v>38155</v>
      </c>
      <c r="G2812" t="s">
        <v>25</v>
      </c>
      <c r="H2812">
        <v>2</v>
      </c>
      <c r="I2812">
        <v>6</v>
      </c>
      <c r="J2812">
        <v>2004</v>
      </c>
      <c r="K2812" t="s">
        <v>598</v>
      </c>
      <c r="L2812">
        <v>54</v>
      </c>
      <c r="M2812" t="s">
        <v>674</v>
      </c>
      <c r="N2812" t="s">
        <v>292</v>
      </c>
      <c r="O2812" t="s">
        <v>293</v>
      </c>
      <c r="P2812" t="s">
        <v>294</v>
      </c>
      <c r="R2812" t="s">
        <v>295</v>
      </c>
      <c r="S2812" t="s">
        <v>296</v>
      </c>
      <c r="T2812" t="s">
        <v>297</v>
      </c>
      <c r="U2812" t="s">
        <v>231</v>
      </c>
      <c r="V2812" t="s">
        <v>33</v>
      </c>
      <c r="W2812" t="s">
        <v>298</v>
      </c>
      <c r="X2812" t="s">
        <v>299</v>
      </c>
      <c r="Y2812" t="s">
        <v>36</v>
      </c>
    </row>
    <row r="2813" spans="1:25" x14ac:dyDescent="0.25">
      <c r="A2813">
        <v>10273</v>
      </c>
      <c r="B2813">
        <v>37</v>
      </c>
      <c r="C2813">
        <v>45.86</v>
      </c>
      <c r="D2813">
        <v>10</v>
      </c>
      <c r="E2813">
        <v>1696.82</v>
      </c>
      <c r="F2813" s="1">
        <v>38189</v>
      </c>
      <c r="G2813" t="s">
        <v>25</v>
      </c>
      <c r="H2813">
        <v>3</v>
      </c>
      <c r="I2813">
        <v>7</v>
      </c>
      <c r="J2813">
        <v>2004</v>
      </c>
      <c r="K2813" t="s">
        <v>598</v>
      </c>
      <c r="L2813">
        <v>54</v>
      </c>
      <c r="M2813" t="s">
        <v>674</v>
      </c>
      <c r="N2813" t="s">
        <v>365</v>
      </c>
      <c r="O2813" t="s">
        <v>366</v>
      </c>
      <c r="P2813" t="s">
        <v>367</v>
      </c>
      <c r="R2813" t="s">
        <v>368</v>
      </c>
      <c r="T2813" t="s">
        <v>369</v>
      </c>
      <c r="U2813" t="s">
        <v>370</v>
      </c>
      <c r="V2813" t="s">
        <v>42</v>
      </c>
      <c r="W2813" t="s">
        <v>371</v>
      </c>
      <c r="X2813" t="s">
        <v>372</v>
      </c>
      <c r="Y2813" t="s">
        <v>36</v>
      </c>
    </row>
    <row r="2814" spans="1:25" x14ac:dyDescent="0.25">
      <c r="A2814">
        <v>10283</v>
      </c>
      <c r="B2814">
        <v>33</v>
      </c>
      <c r="C2814">
        <v>51.32</v>
      </c>
      <c r="D2814">
        <v>12</v>
      </c>
      <c r="E2814">
        <v>1693.56</v>
      </c>
      <c r="F2814" s="1">
        <v>38219</v>
      </c>
      <c r="G2814" t="s">
        <v>25</v>
      </c>
      <c r="H2814">
        <v>3</v>
      </c>
      <c r="I2814">
        <v>8</v>
      </c>
      <c r="J2814">
        <v>2004</v>
      </c>
      <c r="K2814" t="s">
        <v>598</v>
      </c>
      <c r="L2814">
        <v>54</v>
      </c>
      <c r="M2814" t="s">
        <v>674</v>
      </c>
      <c r="N2814" t="s">
        <v>373</v>
      </c>
      <c r="O2814" t="s">
        <v>374</v>
      </c>
      <c r="P2814" t="s">
        <v>375</v>
      </c>
      <c r="R2814" t="s">
        <v>376</v>
      </c>
      <c r="S2814" t="s">
        <v>229</v>
      </c>
      <c r="T2814" t="s">
        <v>377</v>
      </c>
      <c r="U2814" t="s">
        <v>231</v>
      </c>
      <c r="V2814" t="s">
        <v>33</v>
      </c>
      <c r="W2814" t="s">
        <v>378</v>
      </c>
      <c r="X2814" t="s">
        <v>172</v>
      </c>
      <c r="Y2814" t="s">
        <v>36</v>
      </c>
    </row>
    <row r="2815" spans="1:25" x14ac:dyDescent="0.25">
      <c r="A2815">
        <v>10293</v>
      </c>
      <c r="B2815">
        <v>32</v>
      </c>
      <c r="C2815">
        <v>60.06</v>
      </c>
      <c r="D2815">
        <v>1</v>
      </c>
      <c r="E2815">
        <v>1921.92</v>
      </c>
      <c r="F2815" s="1">
        <v>38239</v>
      </c>
      <c r="G2815" t="s">
        <v>25</v>
      </c>
      <c r="H2815">
        <v>3</v>
      </c>
      <c r="I2815">
        <v>9</v>
      </c>
      <c r="J2815">
        <v>2004</v>
      </c>
      <c r="K2815" t="s">
        <v>598</v>
      </c>
      <c r="L2815">
        <v>54</v>
      </c>
      <c r="M2815" t="s">
        <v>674</v>
      </c>
      <c r="N2815" t="s">
        <v>254</v>
      </c>
      <c r="O2815" t="s">
        <v>255</v>
      </c>
      <c r="P2815" t="s">
        <v>256</v>
      </c>
      <c r="R2815" t="s">
        <v>257</v>
      </c>
      <c r="T2815">
        <v>10100</v>
      </c>
      <c r="U2815" t="s">
        <v>258</v>
      </c>
      <c r="V2815" t="s">
        <v>42</v>
      </c>
      <c r="W2815" t="s">
        <v>259</v>
      </c>
      <c r="X2815" t="s">
        <v>260</v>
      </c>
      <c r="Y2815" t="s">
        <v>36</v>
      </c>
    </row>
    <row r="2816" spans="1:25" x14ac:dyDescent="0.25">
      <c r="A2816">
        <v>10306</v>
      </c>
      <c r="B2816">
        <v>35</v>
      </c>
      <c r="C2816">
        <v>59.51</v>
      </c>
      <c r="D2816">
        <v>6</v>
      </c>
      <c r="E2816">
        <v>2082.85</v>
      </c>
      <c r="F2816" s="1">
        <v>38274</v>
      </c>
      <c r="G2816" t="s">
        <v>25</v>
      </c>
      <c r="H2816">
        <v>4</v>
      </c>
      <c r="I2816">
        <v>10</v>
      </c>
      <c r="J2816">
        <v>2004</v>
      </c>
      <c r="K2816" t="s">
        <v>598</v>
      </c>
      <c r="L2816">
        <v>54</v>
      </c>
      <c r="M2816" t="s">
        <v>674</v>
      </c>
      <c r="N2816" t="s">
        <v>492</v>
      </c>
      <c r="O2816" t="s">
        <v>493</v>
      </c>
      <c r="P2816" t="s">
        <v>494</v>
      </c>
      <c r="R2816" t="s">
        <v>495</v>
      </c>
      <c r="T2816" t="s">
        <v>496</v>
      </c>
      <c r="U2816" t="s">
        <v>170</v>
      </c>
      <c r="V2816" t="s">
        <v>42</v>
      </c>
      <c r="W2816" t="s">
        <v>497</v>
      </c>
      <c r="X2816" t="s">
        <v>94</v>
      </c>
      <c r="Y2816" t="s">
        <v>36</v>
      </c>
    </row>
    <row r="2817" spans="1:25" x14ac:dyDescent="0.25">
      <c r="A2817">
        <v>10315</v>
      </c>
      <c r="B2817">
        <v>40</v>
      </c>
      <c r="C2817">
        <v>55.69</v>
      </c>
      <c r="D2817">
        <v>5</v>
      </c>
      <c r="E2817">
        <v>2227.6</v>
      </c>
      <c r="F2817" s="1">
        <v>38289</v>
      </c>
      <c r="G2817" t="s">
        <v>25</v>
      </c>
      <c r="H2817">
        <v>4</v>
      </c>
      <c r="I2817">
        <v>10</v>
      </c>
      <c r="J2817">
        <v>2004</v>
      </c>
      <c r="K2817" t="s">
        <v>598</v>
      </c>
      <c r="L2817">
        <v>54</v>
      </c>
      <c r="M2817" t="s">
        <v>674</v>
      </c>
      <c r="N2817" t="s">
        <v>114</v>
      </c>
      <c r="O2817" t="s">
        <v>115</v>
      </c>
      <c r="P2817" t="s">
        <v>116</v>
      </c>
      <c r="R2817" t="s">
        <v>117</v>
      </c>
      <c r="T2817">
        <v>44000</v>
      </c>
      <c r="U2817" t="s">
        <v>41</v>
      </c>
      <c r="V2817" t="s">
        <v>42</v>
      </c>
      <c r="W2817" t="s">
        <v>118</v>
      </c>
      <c r="X2817" t="s">
        <v>119</v>
      </c>
      <c r="Y2817" t="s">
        <v>36</v>
      </c>
    </row>
    <row r="2818" spans="1:25" x14ac:dyDescent="0.25">
      <c r="A2818">
        <v>10327</v>
      </c>
      <c r="B2818">
        <v>37</v>
      </c>
      <c r="C2818">
        <v>86.74</v>
      </c>
      <c r="D2818">
        <v>4</v>
      </c>
      <c r="E2818">
        <v>3209.38</v>
      </c>
      <c r="F2818" s="1">
        <v>38301</v>
      </c>
      <c r="G2818" t="s">
        <v>408</v>
      </c>
      <c r="H2818">
        <v>4</v>
      </c>
      <c r="I2818">
        <v>11</v>
      </c>
      <c r="J2818">
        <v>2004</v>
      </c>
      <c r="K2818" t="s">
        <v>598</v>
      </c>
      <c r="L2818">
        <v>54</v>
      </c>
      <c r="M2818" t="s">
        <v>674</v>
      </c>
      <c r="N2818" t="s">
        <v>322</v>
      </c>
      <c r="O2818" t="s">
        <v>323</v>
      </c>
      <c r="P2818" t="s">
        <v>324</v>
      </c>
      <c r="R2818" t="s">
        <v>325</v>
      </c>
      <c r="T2818">
        <v>1734</v>
      </c>
      <c r="U2818" t="s">
        <v>326</v>
      </c>
      <c r="V2818" t="s">
        <v>42</v>
      </c>
      <c r="W2818" t="s">
        <v>327</v>
      </c>
      <c r="X2818" t="s">
        <v>328</v>
      </c>
      <c r="Y2818" t="s">
        <v>51</v>
      </c>
    </row>
    <row r="2819" spans="1:25" x14ac:dyDescent="0.25">
      <c r="A2819">
        <v>10337</v>
      </c>
      <c r="B2819">
        <v>42</v>
      </c>
      <c r="C2819">
        <v>97.16</v>
      </c>
      <c r="D2819">
        <v>5</v>
      </c>
      <c r="E2819">
        <v>4080.72</v>
      </c>
      <c r="F2819" s="1">
        <v>38312</v>
      </c>
      <c r="G2819" t="s">
        <v>25</v>
      </c>
      <c r="H2819">
        <v>4</v>
      </c>
      <c r="I2819">
        <v>11</v>
      </c>
      <c r="J2819">
        <v>2004</v>
      </c>
      <c r="K2819" t="s">
        <v>598</v>
      </c>
      <c r="L2819">
        <v>54</v>
      </c>
      <c r="M2819" t="s">
        <v>674</v>
      </c>
      <c r="N2819" t="s">
        <v>203</v>
      </c>
      <c r="O2819">
        <v>2125558493</v>
      </c>
      <c r="P2819" t="s">
        <v>204</v>
      </c>
      <c r="Q2819" t="s">
        <v>205</v>
      </c>
      <c r="R2819" t="s">
        <v>30</v>
      </c>
      <c r="S2819" t="s">
        <v>31</v>
      </c>
      <c r="T2819">
        <v>10022</v>
      </c>
      <c r="U2819" t="s">
        <v>32</v>
      </c>
      <c r="V2819" t="s">
        <v>33</v>
      </c>
      <c r="W2819" t="s">
        <v>124</v>
      </c>
      <c r="X2819" t="s">
        <v>206</v>
      </c>
      <c r="Y2819" t="s">
        <v>51</v>
      </c>
    </row>
    <row r="2820" spans="1:25" x14ac:dyDescent="0.25">
      <c r="A2820">
        <v>10350</v>
      </c>
      <c r="B2820">
        <v>20</v>
      </c>
      <c r="C2820">
        <v>100</v>
      </c>
      <c r="D2820">
        <v>15</v>
      </c>
      <c r="E2820">
        <v>2244.4</v>
      </c>
      <c r="F2820" s="1">
        <v>38323</v>
      </c>
      <c r="G2820" t="s">
        <v>25</v>
      </c>
      <c r="H2820">
        <v>4</v>
      </c>
      <c r="I2820">
        <v>12</v>
      </c>
      <c r="J2820">
        <v>2004</v>
      </c>
      <c r="K2820" t="s">
        <v>598</v>
      </c>
      <c r="L2820">
        <v>54</v>
      </c>
      <c r="M2820" t="s">
        <v>674</v>
      </c>
      <c r="N2820" t="s">
        <v>174</v>
      </c>
      <c r="O2820" t="s">
        <v>175</v>
      </c>
      <c r="P2820" t="s">
        <v>176</v>
      </c>
      <c r="R2820" t="s">
        <v>177</v>
      </c>
      <c r="T2820">
        <v>28034</v>
      </c>
      <c r="U2820" t="s">
        <v>178</v>
      </c>
      <c r="V2820" t="s">
        <v>42</v>
      </c>
      <c r="W2820" t="s">
        <v>179</v>
      </c>
      <c r="X2820" t="s">
        <v>180</v>
      </c>
      <c r="Y2820" t="s">
        <v>36</v>
      </c>
    </row>
    <row r="2821" spans="1:25" x14ac:dyDescent="0.25">
      <c r="A2821">
        <v>10373</v>
      </c>
      <c r="B2821">
        <v>29</v>
      </c>
      <c r="C2821">
        <v>100</v>
      </c>
      <c r="D2821">
        <v>1</v>
      </c>
      <c r="E2821">
        <v>3978.51</v>
      </c>
      <c r="F2821" s="1">
        <v>38383</v>
      </c>
      <c r="G2821" t="s">
        <v>25</v>
      </c>
      <c r="H2821">
        <v>1</v>
      </c>
      <c r="I2821">
        <v>1</v>
      </c>
      <c r="J2821">
        <v>2005</v>
      </c>
      <c r="K2821" t="s">
        <v>598</v>
      </c>
      <c r="L2821">
        <v>54</v>
      </c>
      <c r="M2821" t="s">
        <v>674</v>
      </c>
      <c r="N2821" t="s">
        <v>391</v>
      </c>
      <c r="O2821" t="s">
        <v>392</v>
      </c>
      <c r="P2821" t="s">
        <v>393</v>
      </c>
      <c r="R2821" t="s">
        <v>394</v>
      </c>
      <c r="T2821">
        <v>90110</v>
      </c>
      <c r="U2821" t="s">
        <v>130</v>
      </c>
      <c r="V2821" t="s">
        <v>42</v>
      </c>
      <c r="W2821" t="s">
        <v>395</v>
      </c>
      <c r="X2821" t="s">
        <v>396</v>
      </c>
      <c r="Y2821" t="s">
        <v>51</v>
      </c>
    </row>
    <row r="2822" spans="1:25" x14ac:dyDescent="0.25">
      <c r="A2822">
        <v>10386</v>
      </c>
      <c r="B2822">
        <v>43</v>
      </c>
      <c r="C2822">
        <v>100</v>
      </c>
      <c r="D2822">
        <v>4</v>
      </c>
      <c r="E2822">
        <v>5417.57</v>
      </c>
      <c r="F2822" s="1">
        <v>38412</v>
      </c>
      <c r="G2822" t="s">
        <v>408</v>
      </c>
      <c r="H2822">
        <v>1</v>
      </c>
      <c r="I2822">
        <v>3</v>
      </c>
      <c r="J2822">
        <v>2005</v>
      </c>
      <c r="K2822" t="s">
        <v>598</v>
      </c>
      <c r="L2822">
        <v>54</v>
      </c>
      <c r="M2822" t="s">
        <v>674</v>
      </c>
      <c r="N2822" t="s">
        <v>174</v>
      </c>
      <c r="O2822" t="s">
        <v>175</v>
      </c>
      <c r="P2822" t="s">
        <v>176</v>
      </c>
      <c r="R2822" t="s">
        <v>177</v>
      </c>
      <c r="T2822">
        <v>28034</v>
      </c>
      <c r="U2822" t="s">
        <v>178</v>
      </c>
      <c r="V2822" t="s">
        <v>42</v>
      </c>
      <c r="W2822" t="s">
        <v>179</v>
      </c>
      <c r="X2822" t="s">
        <v>180</v>
      </c>
      <c r="Y2822" t="s">
        <v>51</v>
      </c>
    </row>
    <row r="2823" spans="1:25" x14ac:dyDescent="0.25">
      <c r="A2823">
        <v>10397</v>
      </c>
      <c r="B2823">
        <v>34</v>
      </c>
      <c r="C2823">
        <v>62.24</v>
      </c>
      <c r="D2823">
        <v>1</v>
      </c>
      <c r="E2823">
        <v>2116.16</v>
      </c>
      <c r="F2823" s="1">
        <v>38439</v>
      </c>
      <c r="G2823" t="s">
        <v>25</v>
      </c>
      <c r="H2823">
        <v>1</v>
      </c>
      <c r="I2823">
        <v>3</v>
      </c>
      <c r="J2823">
        <v>2005</v>
      </c>
      <c r="K2823" t="s">
        <v>598</v>
      </c>
      <c r="L2823">
        <v>54</v>
      </c>
      <c r="M2823" t="s">
        <v>674</v>
      </c>
      <c r="N2823" t="s">
        <v>340</v>
      </c>
      <c r="O2823" t="s">
        <v>341</v>
      </c>
      <c r="P2823" t="s">
        <v>342</v>
      </c>
      <c r="R2823" t="s">
        <v>343</v>
      </c>
      <c r="T2823">
        <v>31000</v>
      </c>
      <c r="U2823" t="s">
        <v>41</v>
      </c>
      <c r="V2823" t="s">
        <v>42</v>
      </c>
      <c r="W2823" t="s">
        <v>344</v>
      </c>
      <c r="X2823" t="s">
        <v>345</v>
      </c>
      <c r="Y2823" t="s">
        <v>36</v>
      </c>
    </row>
    <row r="2824" spans="1:25" x14ac:dyDescent="0.25">
      <c r="A2824">
        <v>10414</v>
      </c>
      <c r="B2824">
        <v>47</v>
      </c>
      <c r="C2824">
        <v>65.52</v>
      </c>
      <c r="D2824">
        <v>9</v>
      </c>
      <c r="E2824">
        <v>3079.44</v>
      </c>
      <c r="F2824" s="1">
        <v>38478</v>
      </c>
      <c r="G2824" t="s">
        <v>401</v>
      </c>
      <c r="H2824">
        <v>2</v>
      </c>
      <c r="I2824">
        <v>5</v>
      </c>
      <c r="J2824">
        <v>2005</v>
      </c>
      <c r="K2824" t="s">
        <v>598</v>
      </c>
      <c r="L2824">
        <v>54</v>
      </c>
      <c r="M2824" t="s">
        <v>674</v>
      </c>
      <c r="N2824" t="s">
        <v>379</v>
      </c>
      <c r="O2824">
        <v>6175559555</v>
      </c>
      <c r="P2824" t="s">
        <v>380</v>
      </c>
      <c r="R2824" t="s">
        <v>381</v>
      </c>
      <c r="S2824" t="s">
        <v>123</v>
      </c>
      <c r="T2824">
        <v>51003</v>
      </c>
      <c r="U2824" t="s">
        <v>32</v>
      </c>
      <c r="V2824" t="s">
        <v>33</v>
      </c>
      <c r="W2824" t="s">
        <v>382</v>
      </c>
      <c r="X2824" t="s">
        <v>66</v>
      </c>
      <c r="Y2824" t="s">
        <v>51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B7885-DFC3-4711-BFEF-18DB095A7677}">
  <dimension ref="A1:Q2824"/>
  <sheetViews>
    <sheetView topLeftCell="A2" workbookViewId="0">
      <selection activeCell="I4" sqref="I4"/>
    </sheetView>
  </sheetViews>
  <sheetFormatPr defaultRowHeight="15" x14ac:dyDescent="0.25"/>
  <cols>
    <col min="1" max="1" width="17.140625" customWidth="1"/>
    <col min="2" max="2" width="20.7109375" customWidth="1"/>
    <col min="3" max="3" width="12.85546875" customWidth="1"/>
    <col min="4" max="4" width="14.28515625" customWidth="1"/>
    <col min="5" max="5" width="15.5703125" customWidth="1"/>
    <col min="6" max="6" width="13" customWidth="1"/>
    <col min="7" max="7" width="15.85546875" style="2" customWidth="1"/>
    <col min="8" max="8" width="9.85546875" customWidth="1"/>
    <col min="9" max="9" width="12" customWidth="1"/>
    <col min="10" max="10" width="13" customWidth="1"/>
    <col min="11" max="11" width="10.5703125" customWidth="1"/>
    <col min="12" max="12" width="15.42578125" customWidth="1"/>
    <col min="13" max="13" width="15.7109375" bestFit="1" customWidth="1"/>
    <col min="14" max="14" width="31.7109375" bestFit="1" customWidth="1"/>
    <col min="15" max="15" width="11.85546875" customWidth="1"/>
    <col min="16" max="16" width="12.7109375" customWidth="1"/>
    <col min="17" max="17" width="11.140625" customWidth="1"/>
  </cols>
  <sheetData>
    <row r="1" spans="1:17" x14ac:dyDescent="0.25">
      <c r="A1" s="7" t="s">
        <v>0</v>
      </c>
      <c r="B1" s="7" t="s">
        <v>1</v>
      </c>
      <c r="C1" s="7" t="s">
        <v>2</v>
      </c>
      <c r="D1" s="7" t="s">
        <v>696</v>
      </c>
      <c r="E1" s="7" t="s">
        <v>677</v>
      </c>
      <c r="F1" s="7" t="s">
        <v>679</v>
      </c>
      <c r="G1" s="8" t="s">
        <v>5</v>
      </c>
      <c r="H1" s="7" t="s">
        <v>6</v>
      </c>
      <c r="I1" s="7" t="s">
        <v>678</v>
      </c>
      <c r="J1" s="7" t="s">
        <v>8</v>
      </c>
      <c r="K1" s="7" t="s">
        <v>9</v>
      </c>
      <c r="L1" s="7" t="s">
        <v>676</v>
      </c>
      <c r="M1" s="7" t="s">
        <v>10</v>
      </c>
      <c r="N1" s="7" t="s">
        <v>13</v>
      </c>
      <c r="O1" s="7" t="s">
        <v>20</v>
      </c>
      <c r="P1" s="7" t="s">
        <v>21</v>
      </c>
      <c r="Q1" s="7" t="s">
        <v>24</v>
      </c>
    </row>
    <row r="2" spans="1:17" x14ac:dyDescent="0.25">
      <c r="A2" s="3">
        <v>10107</v>
      </c>
      <c r="B2" s="3">
        <v>30</v>
      </c>
      <c r="C2" s="3">
        <v>95.7</v>
      </c>
      <c r="D2" s="3">
        <v>2871</v>
      </c>
      <c r="E2" s="3" t="str">
        <f>IF(D2&gt;=5000,"High",IF(D2&gt;=2000,"Medium","Low"))</f>
        <v>Medium</v>
      </c>
      <c r="F2" s="3">
        <f>(D2*0.3)</f>
        <v>861.3</v>
      </c>
      <c r="G2" s="4">
        <v>37676</v>
      </c>
      <c r="H2" s="3" t="s">
        <v>25</v>
      </c>
      <c r="I2" s="3" t="str">
        <f t="shared" ref="I2:I65" si="0">IF(H2="Shipped","Yes","No")</f>
        <v>Yes</v>
      </c>
      <c r="J2" s="3" t="s">
        <v>681</v>
      </c>
      <c r="K2" s="3">
        <v>2003</v>
      </c>
      <c r="L2" s="3" t="str">
        <f>TEXT(G:G,"MMM-YYYY")</f>
        <v>Feb-2003</v>
      </c>
      <c r="M2" s="3" t="s">
        <v>26</v>
      </c>
      <c r="N2" s="3" t="s">
        <v>28</v>
      </c>
      <c r="O2" s="3" t="s">
        <v>32</v>
      </c>
      <c r="P2" s="3" t="s">
        <v>33</v>
      </c>
      <c r="Q2" s="3" t="s">
        <v>36</v>
      </c>
    </row>
    <row r="3" spans="1:17" x14ac:dyDescent="0.25">
      <c r="A3" s="5">
        <v>10121</v>
      </c>
      <c r="B3" s="5">
        <v>34</v>
      </c>
      <c r="C3" s="5">
        <v>81.349999999999994</v>
      </c>
      <c r="D3" s="5">
        <v>2765.8999999999996</v>
      </c>
      <c r="E3" s="5" t="str">
        <f t="shared" ref="E3:E66" si="1">IF(D3&gt;=5000,"High",IF(D3&gt;=2000,"Medium","Low"))</f>
        <v>Medium</v>
      </c>
      <c r="F3" s="5">
        <f t="shared" ref="F3:F66" si="2">(D3*0.3)</f>
        <v>829.76999999999987</v>
      </c>
      <c r="G3" s="6">
        <v>37748</v>
      </c>
      <c r="H3" s="5" t="s">
        <v>25</v>
      </c>
      <c r="I3" s="5" t="str">
        <f t="shared" si="0"/>
        <v>Yes</v>
      </c>
      <c r="J3" s="5" t="s">
        <v>682</v>
      </c>
      <c r="K3" s="5">
        <v>2003</v>
      </c>
      <c r="L3" s="5" t="str">
        <f t="shared" ref="L3:L66" si="3">TEXT(G:G,"MMM-YYYY")</f>
        <v>May-2003</v>
      </c>
      <c r="M3" s="5" t="s">
        <v>26</v>
      </c>
      <c r="N3" s="5" t="s">
        <v>37</v>
      </c>
      <c r="O3" s="5" t="s">
        <v>41</v>
      </c>
      <c r="P3" s="5" t="s">
        <v>42</v>
      </c>
      <c r="Q3" s="5" t="s">
        <v>36</v>
      </c>
    </row>
    <row r="4" spans="1:17" x14ac:dyDescent="0.25">
      <c r="A4" s="3">
        <v>10134</v>
      </c>
      <c r="B4" s="3">
        <v>41</v>
      </c>
      <c r="C4" s="3">
        <v>94.74</v>
      </c>
      <c r="D4" s="3">
        <v>3884.3399999999997</v>
      </c>
      <c r="E4" s="3" t="str">
        <f t="shared" si="1"/>
        <v>Medium</v>
      </c>
      <c r="F4" s="3">
        <f t="shared" si="2"/>
        <v>1165.3019999999999</v>
      </c>
      <c r="G4" s="4">
        <v>37803</v>
      </c>
      <c r="H4" s="3" t="s">
        <v>25</v>
      </c>
      <c r="I4" s="3" t="str">
        <f t="shared" si="0"/>
        <v>Yes</v>
      </c>
      <c r="J4" s="3" t="s">
        <v>683</v>
      </c>
      <c r="K4" s="3">
        <v>2003</v>
      </c>
      <c r="L4" s="3" t="str">
        <f t="shared" si="3"/>
        <v>Jul-2003</v>
      </c>
      <c r="M4" s="3" t="s">
        <v>26</v>
      </c>
      <c r="N4" s="3" t="s">
        <v>45</v>
      </c>
      <c r="O4" s="3" t="s">
        <v>41</v>
      </c>
      <c r="P4" s="3" t="s">
        <v>42</v>
      </c>
      <c r="Q4" s="3" t="s">
        <v>51</v>
      </c>
    </row>
    <row r="5" spans="1:17" x14ac:dyDescent="0.25">
      <c r="A5" s="5">
        <v>10145</v>
      </c>
      <c r="B5" s="5">
        <v>45</v>
      </c>
      <c r="C5" s="5">
        <v>83.26</v>
      </c>
      <c r="D5" s="5">
        <v>3746.7000000000003</v>
      </c>
      <c r="E5" s="5" t="str">
        <f t="shared" si="1"/>
        <v>Medium</v>
      </c>
      <c r="F5" s="5">
        <f t="shared" si="2"/>
        <v>1124.01</v>
      </c>
      <c r="G5" s="6">
        <v>37858</v>
      </c>
      <c r="H5" s="5" t="s">
        <v>25</v>
      </c>
      <c r="I5" s="5" t="str">
        <f t="shared" si="0"/>
        <v>Yes</v>
      </c>
      <c r="J5" s="5" t="s">
        <v>684</v>
      </c>
      <c r="K5" s="5">
        <v>2003</v>
      </c>
      <c r="L5" s="5" t="str">
        <f t="shared" si="3"/>
        <v>Aug-2003</v>
      </c>
      <c r="M5" s="5" t="s">
        <v>26</v>
      </c>
      <c r="N5" s="5" t="s">
        <v>52</v>
      </c>
      <c r="O5" s="5" t="s">
        <v>32</v>
      </c>
      <c r="P5" s="5" t="s">
        <v>33</v>
      </c>
      <c r="Q5" s="5" t="s">
        <v>51</v>
      </c>
    </row>
    <row r="6" spans="1:17" x14ac:dyDescent="0.25">
      <c r="A6" s="3">
        <v>10159</v>
      </c>
      <c r="B6" s="3">
        <v>49</v>
      </c>
      <c r="C6" s="3">
        <v>100</v>
      </c>
      <c r="D6" s="3">
        <v>4900</v>
      </c>
      <c r="E6" s="3" t="str">
        <f t="shared" si="1"/>
        <v>Medium</v>
      </c>
      <c r="F6" s="3">
        <f t="shared" si="2"/>
        <v>1470</v>
      </c>
      <c r="G6" s="4">
        <v>37904</v>
      </c>
      <c r="H6" s="3" t="s">
        <v>25</v>
      </c>
      <c r="I6" s="3" t="str">
        <f t="shared" si="0"/>
        <v>Yes</v>
      </c>
      <c r="J6" s="3" t="s">
        <v>685</v>
      </c>
      <c r="K6" s="3">
        <v>2003</v>
      </c>
      <c r="L6" s="3" t="str">
        <f t="shared" si="3"/>
        <v>Oct-2003</v>
      </c>
      <c r="M6" s="3" t="s">
        <v>26</v>
      </c>
      <c r="N6" s="3" t="s">
        <v>58</v>
      </c>
      <c r="O6" s="3" t="s">
        <v>32</v>
      </c>
      <c r="P6" s="3" t="s">
        <v>33</v>
      </c>
      <c r="Q6" s="3" t="s">
        <v>51</v>
      </c>
    </row>
    <row r="7" spans="1:17" x14ac:dyDescent="0.25">
      <c r="A7" s="5">
        <v>10168</v>
      </c>
      <c r="B7" s="5">
        <v>36</v>
      </c>
      <c r="C7" s="5">
        <v>96.66</v>
      </c>
      <c r="D7" s="5">
        <v>3479.7599999999998</v>
      </c>
      <c r="E7" s="5" t="str">
        <f t="shared" si="1"/>
        <v>Medium</v>
      </c>
      <c r="F7" s="5">
        <f t="shared" si="2"/>
        <v>1043.9279999999999</v>
      </c>
      <c r="G7" s="6">
        <v>37922</v>
      </c>
      <c r="H7" s="5" t="s">
        <v>25</v>
      </c>
      <c r="I7" s="5" t="str">
        <f t="shared" si="0"/>
        <v>Yes</v>
      </c>
      <c r="J7" s="5" t="s">
        <v>685</v>
      </c>
      <c r="K7" s="5">
        <v>2003</v>
      </c>
      <c r="L7" s="5" t="str">
        <f t="shared" si="3"/>
        <v>Oct-2003</v>
      </c>
      <c r="M7" s="5" t="s">
        <v>26</v>
      </c>
      <c r="N7" s="5" t="s">
        <v>62</v>
      </c>
      <c r="O7" s="5" t="s">
        <v>32</v>
      </c>
      <c r="P7" s="5" t="s">
        <v>33</v>
      </c>
      <c r="Q7" s="5" t="s">
        <v>51</v>
      </c>
    </row>
    <row r="8" spans="1:17" x14ac:dyDescent="0.25">
      <c r="A8" s="3">
        <v>10180</v>
      </c>
      <c r="B8" s="3">
        <v>29</v>
      </c>
      <c r="C8" s="3">
        <v>86.13</v>
      </c>
      <c r="D8" s="3">
        <v>2497.77</v>
      </c>
      <c r="E8" s="3" t="str">
        <f t="shared" si="1"/>
        <v>Medium</v>
      </c>
      <c r="F8" s="3">
        <f t="shared" si="2"/>
        <v>749.33100000000002</v>
      </c>
      <c r="G8" s="4">
        <v>37936</v>
      </c>
      <c r="H8" s="3" t="s">
        <v>25</v>
      </c>
      <c r="I8" s="3" t="str">
        <f t="shared" si="0"/>
        <v>Yes</v>
      </c>
      <c r="J8" s="3" t="s">
        <v>686</v>
      </c>
      <c r="K8" s="3">
        <v>2003</v>
      </c>
      <c r="L8" s="3" t="str">
        <f t="shared" si="3"/>
        <v>Nov-2003</v>
      </c>
      <c r="M8" s="3" t="s">
        <v>26</v>
      </c>
      <c r="N8" s="3" t="s">
        <v>67</v>
      </c>
      <c r="O8" s="3" t="s">
        <v>41</v>
      </c>
      <c r="P8" s="3" t="s">
        <v>42</v>
      </c>
      <c r="Q8" s="3" t="s">
        <v>36</v>
      </c>
    </row>
    <row r="9" spans="1:17" x14ac:dyDescent="0.25">
      <c r="A9" s="5">
        <v>10188</v>
      </c>
      <c r="B9" s="5">
        <v>48</v>
      </c>
      <c r="C9" s="5">
        <v>100</v>
      </c>
      <c r="D9" s="5">
        <v>4800</v>
      </c>
      <c r="E9" s="5" t="str">
        <f t="shared" si="1"/>
        <v>Medium</v>
      </c>
      <c r="F9" s="5">
        <f t="shared" si="2"/>
        <v>1440</v>
      </c>
      <c r="G9" s="6">
        <v>37943</v>
      </c>
      <c r="H9" s="5" t="s">
        <v>25</v>
      </c>
      <c r="I9" s="5" t="str">
        <f t="shared" si="0"/>
        <v>Yes</v>
      </c>
      <c r="J9" s="5" t="s">
        <v>686</v>
      </c>
      <c r="K9" s="5">
        <v>2003</v>
      </c>
      <c r="L9" s="5" t="str">
        <f t="shared" si="3"/>
        <v>Nov-2003</v>
      </c>
      <c r="M9" s="5" t="s">
        <v>26</v>
      </c>
      <c r="N9" s="5" t="s">
        <v>73</v>
      </c>
      <c r="O9" s="5" t="s">
        <v>78</v>
      </c>
      <c r="P9" s="5" t="s">
        <v>42</v>
      </c>
      <c r="Q9" s="5" t="s">
        <v>51</v>
      </c>
    </row>
    <row r="10" spans="1:17" x14ac:dyDescent="0.25">
      <c r="A10" s="3">
        <v>10201</v>
      </c>
      <c r="B10" s="3">
        <v>22</v>
      </c>
      <c r="C10" s="3">
        <v>98.57</v>
      </c>
      <c r="D10" s="3">
        <v>2168.54</v>
      </c>
      <c r="E10" s="3" t="str">
        <f t="shared" si="1"/>
        <v>Medium</v>
      </c>
      <c r="F10" s="3">
        <f t="shared" si="2"/>
        <v>650.56200000000001</v>
      </c>
      <c r="G10" s="4">
        <v>37956</v>
      </c>
      <c r="H10" s="3" t="s">
        <v>25</v>
      </c>
      <c r="I10" s="3" t="str">
        <f t="shared" si="0"/>
        <v>Yes</v>
      </c>
      <c r="J10" s="3" t="s">
        <v>687</v>
      </c>
      <c r="K10" s="3">
        <v>2003</v>
      </c>
      <c r="L10" s="3" t="str">
        <f t="shared" si="3"/>
        <v>Dec-2003</v>
      </c>
      <c r="M10" s="3" t="s">
        <v>26</v>
      </c>
      <c r="N10" s="3" t="s">
        <v>81</v>
      </c>
      <c r="O10" s="3" t="s">
        <v>32</v>
      </c>
      <c r="P10" s="3" t="s">
        <v>33</v>
      </c>
      <c r="Q10" s="3" t="s">
        <v>36</v>
      </c>
    </row>
    <row r="11" spans="1:17" x14ac:dyDescent="0.25">
      <c r="A11" s="5">
        <v>10211</v>
      </c>
      <c r="B11" s="5">
        <v>41</v>
      </c>
      <c r="C11" s="5">
        <v>100</v>
      </c>
      <c r="D11" s="5">
        <v>4100</v>
      </c>
      <c r="E11" s="5" t="str">
        <f t="shared" si="1"/>
        <v>Medium</v>
      </c>
      <c r="F11" s="5">
        <f t="shared" si="2"/>
        <v>1230</v>
      </c>
      <c r="G11" s="6">
        <v>38001</v>
      </c>
      <c r="H11" s="5" t="s">
        <v>25</v>
      </c>
      <c r="I11" s="5" t="str">
        <f t="shared" si="0"/>
        <v>Yes</v>
      </c>
      <c r="J11" s="5" t="s">
        <v>549</v>
      </c>
      <c r="K11" s="5">
        <v>2004</v>
      </c>
      <c r="L11" s="5" t="str">
        <f t="shared" si="3"/>
        <v>Jan-2004</v>
      </c>
      <c r="M11" s="5" t="s">
        <v>26</v>
      </c>
      <c r="N11" s="5" t="s">
        <v>84</v>
      </c>
      <c r="O11" s="5" t="s">
        <v>41</v>
      </c>
      <c r="P11" s="5" t="s">
        <v>42</v>
      </c>
      <c r="Q11" s="5" t="s">
        <v>51</v>
      </c>
    </row>
    <row r="12" spans="1:17" x14ac:dyDescent="0.25">
      <c r="A12" s="3">
        <v>10223</v>
      </c>
      <c r="B12" s="3">
        <v>37</v>
      </c>
      <c r="C12" s="3">
        <v>100</v>
      </c>
      <c r="D12" s="3">
        <v>3700</v>
      </c>
      <c r="E12" s="3" t="str">
        <f t="shared" si="1"/>
        <v>Medium</v>
      </c>
      <c r="F12" s="3">
        <f t="shared" si="2"/>
        <v>1110</v>
      </c>
      <c r="G12" s="4">
        <v>38037</v>
      </c>
      <c r="H12" s="3" t="s">
        <v>25</v>
      </c>
      <c r="I12" s="3" t="str">
        <f t="shared" si="0"/>
        <v>Yes</v>
      </c>
      <c r="J12" s="3" t="s">
        <v>681</v>
      </c>
      <c r="K12" s="3">
        <v>2004</v>
      </c>
      <c r="L12" s="3" t="str">
        <f t="shared" si="3"/>
        <v>Feb-2004</v>
      </c>
      <c r="M12" s="3" t="s">
        <v>26</v>
      </c>
      <c r="N12" s="3" t="s">
        <v>89</v>
      </c>
      <c r="O12" s="3" t="s">
        <v>95</v>
      </c>
      <c r="P12" s="3" t="s">
        <v>96</v>
      </c>
      <c r="Q12" s="3" t="s">
        <v>51</v>
      </c>
    </row>
    <row r="13" spans="1:17" x14ac:dyDescent="0.25">
      <c r="A13" s="5">
        <v>10237</v>
      </c>
      <c r="B13" s="5">
        <v>23</v>
      </c>
      <c r="C13" s="5">
        <v>100</v>
      </c>
      <c r="D13" s="5">
        <v>2300</v>
      </c>
      <c r="E13" s="5" t="str">
        <f t="shared" si="1"/>
        <v>Medium</v>
      </c>
      <c r="F13" s="5">
        <f t="shared" si="2"/>
        <v>690</v>
      </c>
      <c r="G13" s="6">
        <v>38082</v>
      </c>
      <c r="H13" s="5" t="s">
        <v>25</v>
      </c>
      <c r="I13" s="5" t="str">
        <f t="shared" si="0"/>
        <v>Yes</v>
      </c>
      <c r="J13" s="5" t="s">
        <v>688</v>
      </c>
      <c r="K13" s="5">
        <v>2004</v>
      </c>
      <c r="L13" s="5" t="str">
        <f t="shared" si="3"/>
        <v>Apr-2004</v>
      </c>
      <c r="M13" s="5" t="s">
        <v>26</v>
      </c>
      <c r="N13" s="5" t="s">
        <v>99</v>
      </c>
      <c r="O13" s="5" t="s">
        <v>32</v>
      </c>
      <c r="P13" s="5" t="s">
        <v>33</v>
      </c>
      <c r="Q13" s="5" t="s">
        <v>36</v>
      </c>
    </row>
    <row r="14" spans="1:17" x14ac:dyDescent="0.25">
      <c r="A14" s="3">
        <v>10251</v>
      </c>
      <c r="B14" s="3">
        <v>28</v>
      </c>
      <c r="C14" s="3">
        <v>100</v>
      </c>
      <c r="D14" s="3">
        <v>2800</v>
      </c>
      <c r="E14" s="3" t="str">
        <f t="shared" si="1"/>
        <v>Medium</v>
      </c>
      <c r="F14" s="3">
        <f t="shared" si="2"/>
        <v>840</v>
      </c>
      <c r="G14" s="4">
        <v>38125</v>
      </c>
      <c r="H14" s="3" t="s">
        <v>25</v>
      </c>
      <c r="I14" s="3" t="str">
        <f t="shared" si="0"/>
        <v>Yes</v>
      </c>
      <c r="J14" s="3" t="s">
        <v>682</v>
      </c>
      <c r="K14" s="3">
        <v>2004</v>
      </c>
      <c r="L14" s="3" t="str">
        <f t="shared" si="3"/>
        <v>May-2004</v>
      </c>
      <c r="M14" s="3" t="s">
        <v>26</v>
      </c>
      <c r="N14" s="3" t="s">
        <v>104</v>
      </c>
      <c r="O14" s="3" t="s">
        <v>32</v>
      </c>
      <c r="P14" s="3" t="s">
        <v>33</v>
      </c>
      <c r="Q14" s="3" t="s">
        <v>51</v>
      </c>
    </row>
    <row r="15" spans="1:17" x14ac:dyDescent="0.25">
      <c r="A15" s="5">
        <v>10263</v>
      </c>
      <c r="B15" s="5">
        <v>34</v>
      </c>
      <c r="C15" s="5">
        <v>100</v>
      </c>
      <c r="D15" s="5">
        <v>3400</v>
      </c>
      <c r="E15" s="5" t="str">
        <f t="shared" si="1"/>
        <v>Medium</v>
      </c>
      <c r="F15" s="5">
        <f t="shared" si="2"/>
        <v>1020</v>
      </c>
      <c r="G15" s="6">
        <v>38166</v>
      </c>
      <c r="H15" s="5" t="s">
        <v>25</v>
      </c>
      <c r="I15" s="5" t="str">
        <f t="shared" si="0"/>
        <v>Yes</v>
      </c>
      <c r="J15" s="5" t="s">
        <v>689</v>
      </c>
      <c r="K15" s="5">
        <v>2004</v>
      </c>
      <c r="L15" s="5" t="str">
        <f t="shared" si="3"/>
        <v>Jun-2004</v>
      </c>
      <c r="M15" s="5" t="s">
        <v>26</v>
      </c>
      <c r="N15" s="5" t="s">
        <v>109</v>
      </c>
      <c r="O15" s="5" t="s">
        <v>32</v>
      </c>
      <c r="P15" s="5" t="s">
        <v>33</v>
      </c>
      <c r="Q15" s="5" t="s">
        <v>51</v>
      </c>
    </row>
    <row r="16" spans="1:17" x14ac:dyDescent="0.25">
      <c r="A16" s="3">
        <v>10275</v>
      </c>
      <c r="B16" s="3">
        <v>45</v>
      </c>
      <c r="C16" s="3">
        <v>92.83</v>
      </c>
      <c r="D16" s="3">
        <v>4177.3500000000004</v>
      </c>
      <c r="E16" s="3" t="str">
        <f t="shared" si="1"/>
        <v>Medium</v>
      </c>
      <c r="F16" s="3">
        <f t="shared" si="2"/>
        <v>1253.2050000000002</v>
      </c>
      <c r="G16" s="4">
        <v>38191</v>
      </c>
      <c r="H16" s="3" t="s">
        <v>25</v>
      </c>
      <c r="I16" s="3" t="str">
        <f t="shared" si="0"/>
        <v>Yes</v>
      </c>
      <c r="J16" s="3" t="s">
        <v>683</v>
      </c>
      <c r="K16" s="3">
        <v>2004</v>
      </c>
      <c r="L16" s="3" t="str">
        <f t="shared" si="3"/>
        <v>Jul-2004</v>
      </c>
      <c r="M16" s="3" t="s">
        <v>26</v>
      </c>
      <c r="N16" s="3" t="s">
        <v>114</v>
      </c>
      <c r="O16" s="3" t="s">
        <v>41</v>
      </c>
      <c r="P16" s="3" t="s">
        <v>42</v>
      </c>
      <c r="Q16" s="3" t="s">
        <v>51</v>
      </c>
    </row>
    <row r="17" spans="1:17" x14ac:dyDescent="0.25">
      <c r="A17" s="5">
        <v>10285</v>
      </c>
      <c r="B17" s="5">
        <v>36</v>
      </c>
      <c r="C17" s="5">
        <v>100</v>
      </c>
      <c r="D17" s="5">
        <v>3600</v>
      </c>
      <c r="E17" s="5" t="str">
        <f t="shared" si="1"/>
        <v>Medium</v>
      </c>
      <c r="F17" s="5">
        <f t="shared" si="2"/>
        <v>1080</v>
      </c>
      <c r="G17" s="6">
        <v>38226</v>
      </c>
      <c r="H17" s="5" t="s">
        <v>25</v>
      </c>
      <c r="I17" s="5" t="str">
        <f t="shared" si="0"/>
        <v>Yes</v>
      </c>
      <c r="J17" s="5" t="s">
        <v>684</v>
      </c>
      <c r="K17" s="5">
        <v>2004</v>
      </c>
      <c r="L17" s="5" t="str">
        <f t="shared" si="3"/>
        <v>Aug-2004</v>
      </c>
      <c r="M17" s="5" t="s">
        <v>26</v>
      </c>
      <c r="N17" s="5" t="s">
        <v>120</v>
      </c>
      <c r="O17" s="5" t="s">
        <v>32</v>
      </c>
      <c r="P17" s="5" t="s">
        <v>33</v>
      </c>
      <c r="Q17" s="5" t="s">
        <v>51</v>
      </c>
    </row>
    <row r="18" spans="1:17" x14ac:dyDescent="0.25">
      <c r="A18" s="3">
        <v>10299</v>
      </c>
      <c r="B18" s="3">
        <v>23</v>
      </c>
      <c r="C18" s="3">
        <v>100</v>
      </c>
      <c r="D18" s="3">
        <v>2300</v>
      </c>
      <c r="E18" s="3" t="str">
        <f t="shared" si="1"/>
        <v>Medium</v>
      </c>
      <c r="F18" s="3">
        <f t="shared" si="2"/>
        <v>690</v>
      </c>
      <c r="G18" s="4">
        <v>38260</v>
      </c>
      <c r="H18" s="3" t="s">
        <v>25</v>
      </c>
      <c r="I18" s="3" t="str">
        <f t="shared" si="0"/>
        <v>Yes</v>
      </c>
      <c r="J18" s="3" t="s">
        <v>690</v>
      </c>
      <c r="K18" s="3">
        <v>2004</v>
      </c>
      <c r="L18" s="3" t="str">
        <f t="shared" si="3"/>
        <v>Sep-2004</v>
      </c>
      <c r="M18" s="3" t="s">
        <v>26</v>
      </c>
      <c r="N18" s="3" t="s">
        <v>126</v>
      </c>
      <c r="O18" s="3" t="s">
        <v>130</v>
      </c>
      <c r="P18" s="3" t="s">
        <v>42</v>
      </c>
      <c r="Q18" s="3" t="s">
        <v>36</v>
      </c>
    </row>
    <row r="19" spans="1:17" x14ac:dyDescent="0.25">
      <c r="A19" s="5">
        <v>10309</v>
      </c>
      <c r="B19" s="5">
        <v>41</v>
      </c>
      <c r="C19" s="5">
        <v>100</v>
      </c>
      <c r="D19" s="5">
        <v>4100</v>
      </c>
      <c r="E19" s="5" t="str">
        <f t="shared" si="1"/>
        <v>Medium</v>
      </c>
      <c r="F19" s="5">
        <f t="shared" si="2"/>
        <v>1230</v>
      </c>
      <c r="G19" s="6">
        <v>38275</v>
      </c>
      <c r="H19" s="5" t="s">
        <v>25</v>
      </c>
      <c r="I19" s="5" t="str">
        <f t="shared" si="0"/>
        <v>Yes</v>
      </c>
      <c r="J19" s="5" t="s">
        <v>685</v>
      </c>
      <c r="K19" s="5">
        <v>2004</v>
      </c>
      <c r="L19" s="5" t="str">
        <f t="shared" si="3"/>
        <v>Oct-2004</v>
      </c>
      <c r="M19" s="5" t="s">
        <v>26</v>
      </c>
      <c r="N19" s="5" t="s">
        <v>133</v>
      </c>
      <c r="O19" s="5" t="s">
        <v>78</v>
      </c>
      <c r="P19" s="5" t="s">
        <v>42</v>
      </c>
      <c r="Q19" s="5" t="s">
        <v>51</v>
      </c>
    </row>
    <row r="20" spans="1:17" x14ac:dyDescent="0.25">
      <c r="A20" s="3">
        <v>10318</v>
      </c>
      <c r="B20" s="3">
        <v>46</v>
      </c>
      <c r="C20" s="3">
        <v>94.74</v>
      </c>
      <c r="D20" s="3">
        <v>4358.04</v>
      </c>
      <c r="E20" s="3" t="str">
        <f t="shared" si="1"/>
        <v>Medium</v>
      </c>
      <c r="F20" s="3">
        <f t="shared" si="2"/>
        <v>1307.412</v>
      </c>
      <c r="G20" s="4">
        <v>38293</v>
      </c>
      <c r="H20" s="3" t="s">
        <v>25</v>
      </c>
      <c r="I20" s="3" t="str">
        <f t="shared" si="0"/>
        <v>Yes</v>
      </c>
      <c r="J20" s="3" t="s">
        <v>686</v>
      </c>
      <c r="K20" s="3">
        <v>2004</v>
      </c>
      <c r="L20" s="3" t="str">
        <f t="shared" si="3"/>
        <v>Nov-2004</v>
      </c>
      <c r="M20" s="3" t="s">
        <v>26</v>
      </c>
      <c r="N20" s="3" t="s">
        <v>139</v>
      </c>
      <c r="O20" s="3" t="s">
        <v>32</v>
      </c>
      <c r="P20" s="3" t="s">
        <v>33</v>
      </c>
      <c r="Q20" s="3" t="s">
        <v>51</v>
      </c>
    </row>
    <row r="21" spans="1:17" x14ac:dyDescent="0.25">
      <c r="A21" s="5">
        <v>10329</v>
      </c>
      <c r="B21" s="5">
        <v>42</v>
      </c>
      <c r="C21" s="5">
        <v>100</v>
      </c>
      <c r="D21" s="5">
        <v>4200</v>
      </c>
      <c r="E21" s="5" t="str">
        <f t="shared" si="1"/>
        <v>Medium</v>
      </c>
      <c r="F21" s="5">
        <f t="shared" si="2"/>
        <v>1260</v>
      </c>
      <c r="G21" s="6">
        <v>38306</v>
      </c>
      <c r="H21" s="5" t="s">
        <v>25</v>
      </c>
      <c r="I21" s="5" t="str">
        <f t="shared" si="0"/>
        <v>Yes</v>
      </c>
      <c r="J21" s="5" t="s">
        <v>686</v>
      </c>
      <c r="K21" s="5">
        <v>2004</v>
      </c>
      <c r="L21" s="5" t="str">
        <f t="shared" si="3"/>
        <v>Nov-2004</v>
      </c>
      <c r="M21" s="5" t="s">
        <v>26</v>
      </c>
      <c r="N21" s="5" t="s">
        <v>28</v>
      </c>
      <c r="O21" s="5" t="s">
        <v>32</v>
      </c>
      <c r="P21" s="5" t="s">
        <v>33</v>
      </c>
      <c r="Q21" s="5" t="s">
        <v>51</v>
      </c>
    </row>
    <row r="22" spans="1:17" x14ac:dyDescent="0.25">
      <c r="A22" s="3">
        <v>10341</v>
      </c>
      <c r="B22" s="3">
        <v>41</v>
      </c>
      <c r="C22" s="3">
        <v>100</v>
      </c>
      <c r="D22" s="3">
        <v>4100</v>
      </c>
      <c r="E22" s="3" t="str">
        <f t="shared" si="1"/>
        <v>Medium</v>
      </c>
      <c r="F22" s="3">
        <f t="shared" si="2"/>
        <v>1230</v>
      </c>
      <c r="G22" s="4">
        <v>38315</v>
      </c>
      <c r="H22" s="3" t="s">
        <v>25</v>
      </c>
      <c r="I22" s="3" t="str">
        <f t="shared" si="0"/>
        <v>Yes</v>
      </c>
      <c r="J22" s="3" t="s">
        <v>686</v>
      </c>
      <c r="K22" s="3">
        <v>2004</v>
      </c>
      <c r="L22" s="3" t="str">
        <f t="shared" si="3"/>
        <v>Nov-2004</v>
      </c>
      <c r="M22" s="3" t="s">
        <v>26</v>
      </c>
      <c r="N22" s="3" t="s">
        <v>144</v>
      </c>
      <c r="O22" s="3" t="s">
        <v>148</v>
      </c>
      <c r="P22" s="3" t="s">
        <v>42</v>
      </c>
      <c r="Q22" s="3" t="s">
        <v>151</v>
      </c>
    </row>
    <row r="23" spans="1:17" x14ac:dyDescent="0.25">
      <c r="A23" s="5">
        <v>10361</v>
      </c>
      <c r="B23" s="5">
        <v>20</v>
      </c>
      <c r="C23" s="5">
        <v>72.55</v>
      </c>
      <c r="D23" s="5">
        <v>1451</v>
      </c>
      <c r="E23" s="5" t="str">
        <f t="shared" si="1"/>
        <v>Low</v>
      </c>
      <c r="F23" s="5">
        <f t="shared" si="2"/>
        <v>435.3</v>
      </c>
      <c r="G23" s="6">
        <v>38338</v>
      </c>
      <c r="H23" s="5" t="s">
        <v>25</v>
      </c>
      <c r="I23" s="5" t="str">
        <f t="shared" si="0"/>
        <v>Yes</v>
      </c>
      <c r="J23" s="5" t="s">
        <v>687</v>
      </c>
      <c r="K23" s="5">
        <v>2004</v>
      </c>
      <c r="L23" s="5" t="str">
        <f t="shared" si="3"/>
        <v>Dec-2004</v>
      </c>
      <c r="M23" s="5" t="s">
        <v>26</v>
      </c>
      <c r="N23" s="5" t="s">
        <v>152</v>
      </c>
      <c r="O23" s="5" t="s">
        <v>95</v>
      </c>
      <c r="P23" s="5" t="s">
        <v>96</v>
      </c>
      <c r="Q23" s="5" t="s">
        <v>36</v>
      </c>
    </row>
    <row r="24" spans="1:17" x14ac:dyDescent="0.25">
      <c r="A24" s="3">
        <v>10375</v>
      </c>
      <c r="B24" s="3">
        <v>21</v>
      </c>
      <c r="C24" s="3">
        <v>34.909999999999997</v>
      </c>
      <c r="D24" s="3">
        <v>733.1099999999999</v>
      </c>
      <c r="E24" s="3" t="str">
        <f t="shared" si="1"/>
        <v>Low</v>
      </c>
      <c r="F24" s="3">
        <f t="shared" si="2"/>
        <v>219.93299999999996</v>
      </c>
      <c r="G24" s="4">
        <v>38386</v>
      </c>
      <c r="H24" s="3" t="s">
        <v>25</v>
      </c>
      <c r="I24" s="3" t="str">
        <f t="shared" si="0"/>
        <v>Yes</v>
      </c>
      <c r="J24" s="3" t="s">
        <v>681</v>
      </c>
      <c r="K24" s="3">
        <v>2005</v>
      </c>
      <c r="L24" s="3" t="str">
        <f t="shared" si="3"/>
        <v>Feb-2005</v>
      </c>
      <c r="M24" s="3" t="s">
        <v>26</v>
      </c>
      <c r="N24" s="3" t="s">
        <v>114</v>
      </c>
      <c r="O24" s="3" t="s">
        <v>41</v>
      </c>
      <c r="P24" s="3" t="s">
        <v>42</v>
      </c>
      <c r="Q24" s="3" t="s">
        <v>36</v>
      </c>
    </row>
    <row r="25" spans="1:17" x14ac:dyDescent="0.25">
      <c r="A25" s="5">
        <v>10388</v>
      </c>
      <c r="B25" s="5">
        <v>42</v>
      </c>
      <c r="C25" s="5">
        <v>76.36</v>
      </c>
      <c r="D25" s="5">
        <v>3207.12</v>
      </c>
      <c r="E25" s="5" t="str">
        <f t="shared" si="1"/>
        <v>Medium</v>
      </c>
      <c r="F25" s="5">
        <f t="shared" si="2"/>
        <v>962.13599999999997</v>
      </c>
      <c r="G25" s="6">
        <v>38414</v>
      </c>
      <c r="H25" s="5" t="s">
        <v>25</v>
      </c>
      <c r="I25" s="5" t="str">
        <f t="shared" si="0"/>
        <v>Yes</v>
      </c>
      <c r="J25" s="5" t="s">
        <v>691</v>
      </c>
      <c r="K25" s="5">
        <v>2005</v>
      </c>
      <c r="L25" s="5" t="str">
        <f t="shared" si="3"/>
        <v>Mar-2005</v>
      </c>
      <c r="M25" s="5" t="s">
        <v>26</v>
      </c>
      <c r="N25" s="5" t="s">
        <v>160</v>
      </c>
      <c r="O25" s="5" t="s">
        <v>32</v>
      </c>
      <c r="P25" s="5" t="s">
        <v>33</v>
      </c>
      <c r="Q25" s="5" t="s">
        <v>51</v>
      </c>
    </row>
    <row r="26" spans="1:17" x14ac:dyDescent="0.25">
      <c r="A26" s="3">
        <v>10403</v>
      </c>
      <c r="B26" s="3">
        <v>24</v>
      </c>
      <c r="C26" s="3">
        <v>100</v>
      </c>
      <c r="D26" s="3">
        <v>2400</v>
      </c>
      <c r="E26" s="3" t="str">
        <f t="shared" si="1"/>
        <v>Medium</v>
      </c>
      <c r="F26" s="3">
        <f t="shared" si="2"/>
        <v>720</v>
      </c>
      <c r="G26" s="4">
        <v>38450</v>
      </c>
      <c r="H26" s="3" t="s">
        <v>25</v>
      </c>
      <c r="I26" s="3" t="str">
        <f t="shared" si="0"/>
        <v>Yes</v>
      </c>
      <c r="J26" s="3" t="s">
        <v>688</v>
      </c>
      <c r="K26" s="3">
        <v>2005</v>
      </c>
      <c r="L26" s="3" t="str">
        <f t="shared" si="3"/>
        <v>Apr-2005</v>
      </c>
      <c r="M26" s="3" t="s">
        <v>26</v>
      </c>
      <c r="N26" s="3" t="s">
        <v>165</v>
      </c>
      <c r="O26" s="3" t="s">
        <v>170</v>
      </c>
      <c r="P26" s="3" t="s">
        <v>42</v>
      </c>
      <c r="Q26" s="3" t="s">
        <v>36</v>
      </c>
    </row>
    <row r="27" spans="1:17" x14ac:dyDescent="0.25">
      <c r="A27" s="5">
        <v>10417</v>
      </c>
      <c r="B27" s="5">
        <v>66</v>
      </c>
      <c r="C27" s="5">
        <v>100</v>
      </c>
      <c r="D27" s="5">
        <v>6600</v>
      </c>
      <c r="E27" s="5" t="str">
        <f t="shared" si="1"/>
        <v>High</v>
      </c>
      <c r="F27" s="5">
        <f t="shared" si="2"/>
        <v>1980</v>
      </c>
      <c r="G27" s="6">
        <v>38485</v>
      </c>
      <c r="H27" s="5" t="s">
        <v>173</v>
      </c>
      <c r="I27" s="5" t="str">
        <f t="shared" si="0"/>
        <v>No</v>
      </c>
      <c r="J27" s="5" t="s">
        <v>682</v>
      </c>
      <c r="K27" s="5">
        <v>2005</v>
      </c>
      <c r="L27" s="5" t="str">
        <f t="shared" si="3"/>
        <v>May-2005</v>
      </c>
      <c r="M27" s="5" t="s">
        <v>26</v>
      </c>
      <c r="N27" s="5" t="s">
        <v>174</v>
      </c>
      <c r="O27" s="5" t="s">
        <v>178</v>
      </c>
      <c r="P27" s="5" t="s">
        <v>42</v>
      </c>
      <c r="Q27" s="5" t="s">
        <v>151</v>
      </c>
    </row>
    <row r="28" spans="1:17" x14ac:dyDescent="0.25">
      <c r="A28" s="3">
        <v>10103</v>
      </c>
      <c r="B28" s="3">
        <v>26</v>
      </c>
      <c r="C28" s="3">
        <v>100</v>
      </c>
      <c r="D28" s="3">
        <v>2600</v>
      </c>
      <c r="E28" s="3" t="str">
        <f t="shared" si="1"/>
        <v>Medium</v>
      </c>
      <c r="F28" s="3">
        <f t="shared" si="2"/>
        <v>780</v>
      </c>
      <c r="G28" s="4">
        <v>37650</v>
      </c>
      <c r="H28" s="3" t="s">
        <v>25</v>
      </c>
      <c r="I28" s="3" t="str">
        <f t="shared" si="0"/>
        <v>Yes</v>
      </c>
      <c r="J28" s="3" t="s">
        <v>549</v>
      </c>
      <c r="K28" s="3">
        <v>2003</v>
      </c>
      <c r="L28" s="3" t="str">
        <f t="shared" si="3"/>
        <v>Jan-2003</v>
      </c>
      <c r="M28" s="3" t="s">
        <v>181</v>
      </c>
      <c r="N28" s="3" t="s">
        <v>133</v>
      </c>
      <c r="O28" s="3" t="s">
        <v>78</v>
      </c>
      <c r="P28" s="3" t="s">
        <v>42</v>
      </c>
      <c r="Q28" s="3" t="s">
        <v>51</v>
      </c>
    </row>
    <row r="29" spans="1:17" x14ac:dyDescent="0.25">
      <c r="A29" s="5">
        <v>10112</v>
      </c>
      <c r="B29" s="5">
        <v>29</v>
      </c>
      <c r="C29" s="5">
        <v>100</v>
      </c>
      <c r="D29" s="5">
        <v>2900</v>
      </c>
      <c r="E29" s="5" t="str">
        <f t="shared" si="1"/>
        <v>Medium</v>
      </c>
      <c r="F29" s="5">
        <f t="shared" si="2"/>
        <v>870</v>
      </c>
      <c r="G29" s="6">
        <v>37704</v>
      </c>
      <c r="H29" s="5" t="s">
        <v>25</v>
      </c>
      <c r="I29" s="5" t="str">
        <f t="shared" si="0"/>
        <v>Yes</v>
      </c>
      <c r="J29" s="5" t="s">
        <v>691</v>
      </c>
      <c r="K29" s="5">
        <v>2003</v>
      </c>
      <c r="L29" s="5" t="str">
        <f t="shared" si="3"/>
        <v>Mar-2003</v>
      </c>
      <c r="M29" s="5" t="s">
        <v>181</v>
      </c>
      <c r="N29" s="5" t="s">
        <v>183</v>
      </c>
      <c r="O29" s="5" t="s">
        <v>188</v>
      </c>
      <c r="P29" s="5" t="s">
        <v>42</v>
      </c>
      <c r="Q29" s="5" t="s">
        <v>151</v>
      </c>
    </row>
    <row r="30" spans="1:17" x14ac:dyDescent="0.25">
      <c r="A30" s="3">
        <v>10126</v>
      </c>
      <c r="B30" s="3">
        <v>38</v>
      </c>
      <c r="C30" s="3">
        <v>100</v>
      </c>
      <c r="D30" s="3">
        <v>3800</v>
      </c>
      <c r="E30" s="3" t="str">
        <f t="shared" si="1"/>
        <v>Medium</v>
      </c>
      <c r="F30" s="3">
        <f t="shared" si="2"/>
        <v>1140</v>
      </c>
      <c r="G30" s="4">
        <v>37769</v>
      </c>
      <c r="H30" s="3" t="s">
        <v>25</v>
      </c>
      <c r="I30" s="3" t="str">
        <f t="shared" si="0"/>
        <v>Yes</v>
      </c>
      <c r="J30" s="3" t="s">
        <v>682</v>
      </c>
      <c r="K30" s="3">
        <v>2003</v>
      </c>
      <c r="L30" s="3" t="str">
        <f t="shared" si="3"/>
        <v>May-2003</v>
      </c>
      <c r="M30" s="3" t="s">
        <v>181</v>
      </c>
      <c r="N30" s="3" t="s">
        <v>191</v>
      </c>
      <c r="O30" s="3" t="s">
        <v>178</v>
      </c>
      <c r="P30" s="3" t="s">
        <v>42</v>
      </c>
      <c r="Q30" s="3" t="s">
        <v>151</v>
      </c>
    </row>
    <row r="31" spans="1:17" x14ac:dyDescent="0.25">
      <c r="A31" s="5">
        <v>10140</v>
      </c>
      <c r="B31" s="5">
        <v>37</v>
      </c>
      <c r="C31" s="5">
        <v>100</v>
      </c>
      <c r="D31" s="5">
        <v>3700</v>
      </c>
      <c r="E31" s="5" t="str">
        <f t="shared" si="1"/>
        <v>Medium</v>
      </c>
      <c r="F31" s="5">
        <f t="shared" si="2"/>
        <v>1110</v>
      </c>
      <c r="G31" s="6">
        <v>37826</v>
      </c>
      <c r="H31" s="5" t="s">
        <v>25</v>
      </c>
      <c r="I31" s="5" t="str">
        <f t="shared" si="0"/>
        <v>Yes</v>
      </c>
      <c r="J31" s="5" t="s">
        <v>683</v>
      </c>
      <c r="K31" s="5">
        <v>2003</v>
      </c>
      <c r="L31" s="5" t="str">
        <f t="shared" si="3"/>
        <v>Jul-2003</v>
      </c>
      <c r="M31" s="5" t="s">
        <v>181</v>
      </c>
      <c r="N31" s="5" t="s">
        <v>62</v>
      </c>
      <c r="O31" s="5" t="s">
        <v>32</v>
      </c>
      <c r="P31" s="5" t="s">
        <v>33</v>
      </c>
      <c r="Q31" s="5" t="s">
        <v>151</v>
      </c>
    </row>
    <row r="32" spans="1:17" x14ac:dyDescent="0.25">
      <c r="A32" s="3">
        <v>10150</v>
      </c>
      <c r="B32" s="3">
        <v>45</v>
      </c>
      <c r="C32" s="3">
        <v>100</v>
      </c>
      <c r="D32" s="3">
        <v>4500</v>
      </c>
      <c r="E32" s="3" t="str">
        <f t="shared" si="1"/>
        <v>Medium</v>
      </c>
      <c r="F32" s="3">
        <f t="shared" si="2"/>
        <v>1350</v>
      </c>
      <c r="G32" s="4">
        <v>37883</v>
      </c>
      <c r="H32" s="3" t="s">
        <v>25</v>
      </c>
      <c r="I32" s="3" t="str">
        <f t="shared" si="0"/>
        <v>Yes</v>
      </c>
      <c r="J32" s="3" t="s">
        <v>690</v>
      </c>
      <c r="K32" s="3">
        <v>2003</v>
      </c>
      <c r="L32" s="3" t="str">
        <f t="shared" si="3"/>
        <v>Sep-2003</v>
      </c>
      <c r="M32" s="3" t="s">
        <v>181</v>
      </c>
      <c r="N32" s="3" t="s">
        <v>196</v>
      </c>
      <c r="O32" s="3" t="s">
        <v>199</v>
      </c>
      <c r="P32" s="3" t="s">
        <v>675</v>
      </c>
      <c r="Q32" s="3" t="s">
        <v>151</v>
      </c>
    </row>
    <row r="33" spans="1:17" x14ac:dyDescent="0.25">
      <c r="A33" s="5">
        <v>10163</v>
      </c>
      <c r="B33" s="5">
        <v>21</v>
      </c>
      <c r="C33" s="5">
        <v>100</v>
      </c>
      <c r="D33" s="5">
        <v>2100</v>
      </c>
      <c r="E33" s="5" t="str">
        <f t="shared" si="1"/>
        <v>Medium</v>
      </c>
      <c r="F33" s="5">
        <f t="shared" si="2"/>
        <v>630</v>
      </c>
      <c r="G33" s="6">
        <v>37914</v>
      </c>
      <c r="H33" s="5" t="s">
        <v>25</v>
      </c>
      <c r="I33" s="5" t="str">
        <f t="shared" si="0"/>
        <v>Yes</v>
      </c>
      <c r="J33" s="5" t="s">
        <v>685</v>
      </c>
      <c r="K33" s="5">
        <v>2003</v>
      </c>
      <c r="L33" s="5" t="str">
        <f t="shared" si="3"/>
        <v>Oct-2003</v>
      </c>
      <c r="M33" s="5" t="s">
        <v>181</v>
      </c>
      <c r="N33" s="5" t="s">
        <v>203</v>
      </c>
      <c r="O33" s="5" t="s">
        <v>32</v>
      </c>
      <c r="P33" s="5" t="s">
        <v>33</v>
      </c>
      <c r="Q33" s="5" t="s">
        <v>51</v>
      </c>
    </row>
    <row r="34" spans="1:17" x14ac:dyDescent="0.25">
      <c r="A34" s="3">
        <v>10174</v>
      </c>
      <c r="B34" s="3">
        <v>34</v>
      </c>
      <c r="C34" s="3">
        <v>100</v>
      </c>
      <c r="D34" s="3">
        <v>3400</v>
      </c>
      <c r="E34" s="3" t="str">
        <f t="shared" si="1"/>
        <v>Medium</v>
      </c>
      <c r="F34" s="3">
        <f t="shared" si="2"/>
        <v>1020</v>
      </c>
      <c r="G34" s="4">
        <v>37931</v>
      </c>
      <c r="H34" s="3" t="s">
        <v>25</v>
      </c>
      <c r="I34" s="3" t="str">
        <f t="shared" si="0"/>
        <v>Yes</v>
      </c>
      <c r="J34" s="3" t="s">
        <v>686</v>
      </c>
      <c r="K34" s="3">
        <v>2003</v>
      </c>
      <c r="L34" s="3" t="str">
        <f t="shared" si="3"/>
        <v>Nov-2003</v>
      </c>
      <c r="M34" s="3" t="s">
        <v>181</v>
      </c>
      <c r="N34" s="3" t="s">
        <v>207</v>
      </c>
      <c r="O34" s="3" t="s">
        <v>95</v>
      </c>
      <c r="P34" s="3" t="s">
        <v>96</v>
      </c>
      <c r="Q34" s="3" t="s">
        <v>151</v>
      </c>
    </row>
    <row r="35" spans="1:17" x14ac:dyDescent="0.25">
      <c r="A35" s="5">
        <v>10183</v>
      </c>
      <c r="B35" s="5">
        <v>23</v>
      </c>
      <c r="C35" s="5">
        <v>100</v>
      </c>
      <c r="D35" s="5">
        <v>2300</v>
      </c>
      <c r="E35" s="5" t="str">
        <f t="shared" si="1"/>
        <v>Medium</v>
      </c>
      <c r="F35" s="5">
        <f t="shared" si="2"/>
        <v>690</v>
      </c>
      <c r="G35" s="6">
        <v>37938</v>
      </c>
      <c r="H35" s="5" t="s">
        <v>25</v>
      </c>
      <c r="I35" s="5" t="str">
        <f t="shared" si="0"/>
        <v>Yes</v>
      </c>
      <c r="J35" s="5" t="s">
        <v>686</v>
      </c>
      <c r="K35" s="5">
        <v>2003</v>
      </c>
      <c r="L35" s="5" t="str">
        <f t="shared" si="3"/>
        <v>Nov-2003</v>
      </c>
      <c r="M35" s="5" t="s">
        <v>181</v>
      </c>
      <c r="N35" s="5" t="s">
        <v>214</v>
      </c>
      <c r="O35" s="5" t="s">
        <v>32</v>
      </c>
      <c r="P35" s="5" t="s">
        <v>33</v>
      </c>
      <c r="Q35" s="5" t="s">
        <v>51</v>
      </c>
    </row>
    <row r="36" spans="1:17" x14ac:dyDescent="0.25">
      <c r="A36" s="3">
        <v>10194</v>
      </c>
      <c r="B36" s="3">
        <v>42</v>
      </c>
      <c r="C36" s="3">
        <v>100</v>
      </c>
      <c r="D36" s="3">
        <v>4200</v>
      </c>
      <c r="E36" s="3" t="str">
        <f t="shared" si="1"/>
        <v>Medium</v>
      </c>
      <c r="F36" s="3">
        <f t="shared" si="2"/>
        <v>1260</v>
      </c>
      <c r="G36" s="4">
        <v>37950</v>
      </c>
      <c r="H36" s="3" t="s">
        <v>25</v>
      </c>
      <c r="I36" s="3" t="str">
        <f t="shared" si="0"/>
        <v>Yes</v>
      </c>
      <c r="J36" s="3" t="s">
        <v>686</v>
      </c>
      <c r="K36" s="3">
        <v>2003</v>
      </c>
      <c r="L36" s="3" t="str">
        <f t="shared" si="3"/>
        <v>Nov-2003</v>
      </c>
      <c r="M36" s="3" t="s">
        <v>181</v>
      </c>
      <c r="N36" s="3" t="s">
        <v>219</v>
      </c>
      <c r="O36" s="3" t="s">
        <v>41</v>
      </c>
      <c r="P36" s="3" t="s">
        <v>42</v>
      </c>
      <c r="Q36" s="3" t="s">
        <v>151</v>
      </c>
    </row>
    <row r="37" spans="1:17" x14ac:dyDescent="0.25">
      <c r="A37" s="5">
        <v>10206</v>
      </c>
      <c r="B37" s="5">
        <v>47</v>
      </c>
      <c r="C37" s="5">
        <v>100</v>
      </c>
      <c r="D37" s="5">
        <v>4700</v>
      </c>
      <c r="E37" s="5" t="str">
        <f t="shared" si="1"/>
        <v>Medium</v>
      </c>
      <c r="F37" s="5">
        <f t="shared" si="2"/>
        <v>1410</v>
      </c>
      <c r="G37" s="6">
        <v>37960</v>
      </c>
      <c r="H37" s="5" t="s">
        <v>25</v>
      </c>
      <c r="I37" s="5" t="str">
        <f t="shared" si="0"/>
        <v>Yes</v>
      </c>
      <c r="J37" s="5" t="s">
        <v>687</v>
      </c>
      <c r="K37" s="5">
        <v>2003</v>
      </c>
      <c r="L37" s="5" t="str">
        <f t="shared" si="3"/>
        <v>Dec-2003</v>
      </c>
      <c r="M37" s="5" t="s">
        <v>181</v>
      </c>
      <c r="N37" s="5" t="s">
        <v>225</v>
      </c>
      <c r="O37" s="5" t="s">
        <v>231</v>
      </c>
      <c r="P37" s="5" t="s">
        <v>33</v>
      </c>
      <c r="Q37" s="5" t="s">
        <v>151</v>
      </c>
    </row>
    <row r="38" spans="1:17" x14ac:dyDescent="0.25">
      <c r="A38" s="3">
        <v>10215</v>
      </c>
      <c r="B38" s="3">
        <v>35</v>
      </c>
      <c r="C38" s="3">
        <v>100</v>
      </c>
      <c r="D38" s="3">
        <v>3500</v>
      </c>
      <c r="E38" s="3" t="str">
        <f t="shared" si="1"/>
        <v>Medium</v>
      </c>
      <c r="F38" s="3">
        <f t="shared" si="2"/>
        <v>1050</v>
      </c>
      <c r="G38" s="4">
        <v>38015</v>
      </c>
      <c r="H38" s="3" t="s">
        <v>25</v>
      </c>
      <c r="I38" s="3" t="str">
        <f t="shared" si="0"/>
        <v>Yes</v>
      </c>
      <c r="J38" s="3" t="s">
        <v>549</v>
      </c>
      <c r="K38" s="3">
        <v>2004</v>
      </c>
      <c r="L38" s="3" t="str">
        <f t="shared" si="3"/>
        <v>Jan-2004</v>
      </c>
      <c r="M38" s="3" t="s">
        <v>181</v>
      </c>
      <c r="N38" s="3" t="s">
        <v>234</v>
      </c>
      <c r="O38" s="3" t="s">
        <v>32</v>
      </c>
      <c r="P38" s="3" t="s">
        <v>33</v>
      </c>
      <c r="Q38" s="3" t="s">
        <v>51</v>
      </c>
    </row>
    <row r="39" spans="1:17" x14ac:dyDescent="0.25">
      <c r="A39" s="5">
        <v>10228</v>
      </c>
      <c r="B39" s="5">
        <v>29</v>
      </c>
      <c r="C39" s="5">
        <v>100</v>
      </c>
      <c r="D39" s="5">
        <v>2900</v>
      </c>
      <c r="E39" s="5" t="str">
        <f t="shared" si="1"/>
        <v>Medium</v>
      </c>
      <c r="F39" s="5">
        <f t="shared" si="2"/>
        <v>870</v>
      </c>
      <c r="G39" s="6">
        <v>38056</v>
      </c>
      <c r="H39" s="5" t="s">
        <v>25</v>
      </c>
      <c r="I39" s="5" t="str">
        <f t="shared" si="0"/>
        <v>Yes</v>
      </c>
      <c r="J39" s="5" t="s">
        <v>691</v>
      </c>
      <c r="K39" s="5">
        <v>2004</v>
      </c>
      <c r="L39" s="5" t="str">
        <f t="shared" si="3"/>
        <v>Mar-2004</v>
      </c>
      <c r="M39" s="5" t="s">
        <v>181</v>
      </c>
      <c r="N39" s="5" t="s">
        <v>239</v>
      </c>
      <c r="O39" s="5" t="s">
        <v>32</v>
      </c>
      <c r="P39" s="5" t="s">
        <v>33</v>
      </c>
      <c r="Q39" s="5" t="s">
        <v>51</v>
      </c>
    </row>
    <row r="40" spans="1:17" x14ac:dyDescent="0.25">
      <c r="A40" s="3">
        <v>10245</v>
      </c>
      <c r="B40" s="3">
        <v>34</v>
      </c>
      <c r="C40" s="3">
        <v>100</v>
      </c>
      <c r="D40" s="3">
        <v>3400</v>
      </c>
      <c r="E40" s="3" t="str">
        <f t="shared" si="1"/>
        <v>Medium</v>
      </c>
      <c r="F40" s="3">
        <f t="shared" si="2"/>
        <v>1020</v>
      </c>
      <c r="G40" s="4">
        <v>38111</v>
      </c>
      <c r="H40" s="3" t="s">
        <v>25</v>
      </c>
      <c r="I40" s="3" t="str">
        <f t="shared" si="0"/>
        <v>Yes</v>
      </c>
      <c r="J40" s="3" t="s">
        <v>682</v>
      </c>
      <c r="K40" s="3">
        <v>2004</v>
      </c>
      <c r="L40" s="3" t="str">
        <f t="shared" si="3"/>
        <v>May-2004</v>
      </c>
      <c r="M40" s="3" t="s">
        <v>181</v>
      </c>
      <c r="N40" s="3" t="s">
        <v>242</v>
      </c>
      <c r="O40" s="3" t="s">
        <v>32</v>
      </c>
      <c r="P40" s="3" t="s">
        <v>33</v>
      </c>
      <c r="Q40" s="3" t="s">
        <v>51</v>
      </c>
    </row>
    <row r="41" spans="1:17" x14ac:dyDescent="0.25">
      <c r="A41" s="5">
        <v>10258</v>
      </c>
      <c r="B41" s="5">
        <v>32</v>
      </c>
      <c r="C41" s="5">
        <v>100</v>
      </c>
      <c r="D41" s="5">
        <v>3200</v>
      </c>
      <c r="E41" s="5" t="str">
        <f t="shared" si="1"/>
        <v>Medium</v>
      </c>
      <c r="F41" s="5">
        <f t="shared" si="2"/>
        <v>960</v>
      </c>
      <c r="G41" s="6">
        <v>38153</v>
      </c>
      <c r="H41" s="5" t="s">
        <v>25</v>
      </c>
      <c r="I41" s="5" t="str">
        <f t="shared" si="0"/>
        <v>Yes</v>
      </c>
      <c r="J41" s="5" t="s">
        <v>689</v>
      </c>
      <c r="K41" s="5">
        <v>2004</v>
      </c>
      <c r="L41" s="5" t="str">
        <f t="shared" si="3"/>
        <v>Jun-2004</v>
      </c>
      <c r="M41" s="5" t="s">
        <v>181</v>
      </c>
      <c r="N41" s="5" t="s">
        <v>246</v>
      </c>
      <c r="O41" s="5" t="s">
        <v>200</v>
      </c>
      <c r="P41" s="5" t="s">
        <v>675</v>
      </c>
      <c r="Q41" s="5" t="s">
        <v>151</v>
      </c>
    </row>
    <row r="42" spans="1:17" x14ac:dyDescent="0.25">
      <c r="A42" s="3">
        <v>10270</v>
      </c>
      <c r="B42" s="3">
        <v>21</v>
      </c>
      <c r="C42" s="3">
        <v>100</v>
      </c>
      <c r="D42" s="3">
        <v>2100</v>
      </c>
      <c r="E42" s="3" t="str">
        <f t="shared" si="1"/>
        <v>Medium</v>
      </c>
      <c r="F42" s="3">
        <f t="shared" si="2"/>
        <v>630</v>
      </c>
      <c r="G42" s="4">
        <v>38187</v>
      </c>
      <c r="H42" s="3" t="s">
        <v>25</v>
      </c>
      <c r="I42" s="3" t="str">
        <f t="shared" si="0"/>
        <v>Yes</v>
      </c>
      <c r="J42" s="3" t="s">
        <v>683</v>
      </c>
      <c r="K42" s="3">
        <v>2004</v>
      </c>
      <c r="L42" s="3" t="str">
        <f t="shared" si="3"/>
        <v>Jul-2004</v>
      </c>
      <c r="M42" s="3" t="s">
        <v>181</v>
      </c>
      <c r="N42" s="3" t="s">
        <v>152</v>
      </c>
      <c r="O42" s="3" t="s">
        <v>95</v>
      </c>
      <c r="P42" s="3" t="s">
        <v>96</v>
      </c>
      <c r="Q42" s="3" t="s">
        <v>51</v>
      </c>
    </row>
    <row r="43" spans="1:17" x14ac:dyDescent="0.25">
      <c r="A43" s="5">
        <v>10280</v>
      </c>
      <c r="B43" s="5">
        <v>34</v>
      </c>
      <c r="C43" s="5">
        <v>100</v>
      </c>
      <c r="D43" s="5">
        <v>3400</v>
      </c>
      <c r="E43" s="5" t="str">
        <f t="shared" si="1"/>
        <v>Medium</v>
      </c>
      <c r="F43" s="5">
        <f t="shared" si="2"/>
        <v>1020</v>
      </c>
      <c r="G43" s="6">
        <v>38216</v>
      </c>
      <c r="H43" s="5" t="s">
        <v>25</v>
      </c>
      <c r="I43" s="5" t="str">
        <f t="shared" si="0"/>
        <v>Yes</v>
      </c>
      <c r="J43" s="5" t="s">
        <v>684</v>
      </c>
      <c r="K43" s="5">
        <v>2004</v>
      </c>
      <c r="L43" s="5" t="str">
        <f t="shared" si="3"/>
        <v>Aug-2004</v>
      </c>
      <c r="M43" s="5" t="s">
        <v>181</v>
      </c>
      <c r="N43" s="5" t="s">
        <v>254</v>
      </c>
      <c r="O43" s="5" t="s">
        <v>258</v>
      </c>
      <c r="P43" s="5" t="s">
        <v>42</v>
      </c>
      <c r="Q43" s="5" t="s">
        <v>151</v>
      </c>
    </row>
    <row r="44" spans="1:17" x14ac:dyDescent="0.25">
      <c r="A44" s="3">
        <v>10291</v>
      </c>
      <c r="B44" s="3">
        <v>37</v>
      </c>
      <c r="C44" s="3">
        <v>100</v>
      </c>
      <c r="D44" s="3">
        <v>3700</v>
      </c>
      <c r="E44" s="3" t="str">
        <f t="shared" si="1"/>
        <v>Medium</v>
      </c>
      <c r="F44" s="3">
        <f t="shared" si="2"/>
        <v>1110</v>
      </c>
      <c r="G44" s="4">
        <v>38238</v>
      </c>
      <c r="H44" s="3" t="s">
        <v>25</v>
      </c>
      <c r="I44" s="3" t="str">
        <f t="shared" si="0"/>
        <v>Yes</v>
      </c>
      <c r="J44" s="3" t="s">
        <v>690</v>
      </c>
      <c r="K44" s="3">
        <v>2004</v>
      </c>
      <c r="L44" s="3" t="str">
        <f t="shared" si="3"/>
        <v>Sep-2004</v>
      </c>
      <c r="M44" s="3" t="s">
        <v>181</v>
      </c>
      <c r="N44" s="3" t="s">
        <v>261</v>
      </c>
      <c r="O44" s="3" t="s">
        <v>188</v>
      </c>
      <c r="P44" s="3" t="s">
        <v>42</v>
      </c>
      <c r="Q44" s="3" t="s">
        <v>151</v>
      </c>
    </row>
    <row r="45" spans="1:17" x14ac:dyDescent="0.25">
      <c r="A45" s="5">
        <v>10304</v>
      </c>
      <c r="B45" s="5">
        <v>47</v>
      </c>
      <c r="C45" s="5">
        <v>100</v>
      </c>
      <c r="D45" s="5">
        <v>4700</v>
      </c>
      <c r="E45" s="5" t="str">
        <f t="shared" si="1"/>
        <v>Medium</v>
      </c>
      <c r="F45" s="5">
        <f t="shared" si="2"/>
        <v>1410</v>
      </c>
      <c r="G45" s="6">
        <v>38271</v>
      </c>
      <c r="H45" s="5" t="s">
        <v>25</v>
      </c>
      <c r="I45" s="5" t="str">
        <f t="shared" si="0"/>
        <v>Yes</v>
      </c>
      <c r="J45" s="5" t="s">
        <v>685</v>
      </c>
      <c r="K45" s="5">
        <v>2004</v>
      </c>
      <c r="L45" s="5" t="str">
        <f t="shared" si="3"/>
        <v>Oct-2004</v>
      </c>
      <c r="M45" s="5" t="s">
        <v>181</v>
      </c>
      <c r="N45" s="5" t="s">
        <v>267</v>
      </c>
      <c r="O45" s="5" t="s">
        <v>41</v>
      </c>
      <c r="P45" s="5" t="s">
        <v>42</v>
      </c>
      <c r="Q45" s="5" t="s">
        <v>151</v>
      </c>
    </row>
    <row r="46" spans="1:17" x14ac:dyDescent="0.25">
      <c r="A46" s="3">
        <v>10312</v>
      </c>
      <c r="B46" s="3">
        <v>48</v>
      </c>
      <c r="C46" s="3">
        <v>100</v>
      </c>
      <c r="D46" s="3">
        <v>4800</v>
      </c>
      <c r="E46" s="3" t="str">
        <f t="shared" si="1"/>
        <v>Medium</v>
      </c>
      <c r="F46" s="3">
        <f t="shared" si="2"/>
        <v>1440</v>
      </c>
      <c r="G46" s="4">
        <v>38281</v>
      </c>
      <c r="H46" s="3" t="s">
        <v>25</v>
      </c>
      <c r="I46" s="3" t="str">
        <f t="shared" si="0"/>
        <v>Yes</v>
      </c>
      <c r="J46" s="3" t="s">
        <v>685</v>
      </c>
      <c r="K46" s="3">
        <v>2004</v>
      </c>
      <c r="L46" s="3" t="str">
        <f t="shared" si="3"/>
        <v>Oct-2004</v>
      </c>
      <c r="M46" s="3" t="s">
        <v>181</v>
      </c>
      <c r="N46" s="3" t="s">
        <v>272</v>
      </c>
      <c r="O46" s="3" t="s">
        <v>32</v>
      </c>
      <c r="P46" s="3" t="s">
        <v>33</v>
      </c>
      <c r="Q46" s="3" t="s">
        <v>151</v>
      </c>
    </row>
    <row r="47" spans="1:17" x14ac:dyDescent="0.25">
      <c r="A47" s="5">
        <v>10322</v>
      </c>
      <c r="B47" s="5">
        <v>40</v>
      </c>
      <c r="C47" s="5">
        <v>100</v>
      </c>
      <c r="D47" s="5">
        <v>4000</v>
      </c>
      <c r="E47" s="5" t="str">
        <f t="shared" si="1"/>
        <v>Medium</v>
      </c>
      <c r="F47" s="5">
        <f t="shared" si="2"/>
        <v>1200</v>
      </c>
      <c r="G47" s="6">
        <v>38295</v>
      </c>
      <c r="H47" s="5" t="s">
        <v>25</v>
      </c>
      <c r="I47" s="5" t="str">
        <f t="shared" si="0"/>
        <v>Yes</v>
      </c>
      <c r="J47" s="5" t="s">
        <v>686</v>
      </c>
      <c r="K47" s="5">
        <v>2004</v>
      </c>
      <c r="L47" s="5" t="str">
        <f t="shared" si="3"/>
        <v>Nov-2004</v>
      </c>
      <c r="M47" s="5" t="s">
        <v>181</v>
      </c>
      <c r="N47" s="5" t="s">
        <v>277</v>
      </c>
      <c r="O47" s="5" t="s">
        <v>32</v>
      </c>
      <c r="P47" s="5" t="s">
        <v>33</v>
      </c>
      <c r="Q47" s="5" t="s">
        <v>51</v>
      </c>
    </row>
    <row r="48" spans="1:17" x14ac:dyDescent="0.25">
      <c r="A48" s="3">
        <v>10333</v>
      </c>
      <c r="B48" s="3">
        <v>26</v>
      </c>
      <c r="C48" s="3">
        <v>100</v>
      </c>
      <c r="D48" s="3">
        <v>2600</v>
      </c>
      <c r="E48" s="3" t="str">
        <f t="shared" si="1"/>
        <v>Medium</v>
      </c>
      <c r="F48" s="3">
        <f t="shared" si="2"/>
        <v>780</v>
      </c>
      <c r="G48" s="4">
        <v>38309</v>
      </c>
      <c r="H48" s="3" t="s">
        <v>25</v>
      </c>
      <c r="I48" s="3" t="str">
        <f t="shared" si="0"/>
        <v>Yes</v>
      </c>
      <c r="J48" s="3" t="s">
        <v>686</v>
      </c>
      <c r="K48" s="3">
        <v>2004</v>
      </c>
      <c r="L48" s="3" t="str">
        <f t="shared" si="3"/>
        <v>Nov-2004</v>
      </c>
      <c r="M48" s="3" t="s">
        <v>181</v>
      </c>
      <c r="N48" s="3" t="s">
        <v>81</v>
      </c>
      <c r="O48" s="3" t="s">
        <v>32</v>
      </c>
      <c r="P48" s="3" t="s">
        <v>33</v>
      </c>
      <c r="Q48" s="3" t="s">
        <v>51</v>
      </c>
    </row>
    <row r="49" spans="1:17" x14ac:dyDescent="0.25">
      <c r="A49" s="5">
        <v>10347</v>
      </c>
      <c r="B49" s="5">
        <v>30</v>
      </c>
      <c r="C49" s="5">
        <v>100</v>
      </c>
      <c r="D49" s="5">
        <v>3000</v>
      </c>
      <c r="E49" s="5" t="str">
        <f t="shared" si="1"/>
        <v>Medium</v>
      </c>
      <c r="F49" s="5">
        <f t="shared" si="2"/>
        <v>900</v>
      </c>
      <c r="G49" s="6">
        <v>38320</v>
      </c>
      <c r="H49" s="5" t="s">
        <v>25</v>
      </c>
      <c r="I49" s="5" t="str">
        <f t="shared" si="0"/>
        <v>Yes</v>
      </c>
      <c r="J49" s="5" t="s">
        <v>686</v>
      </c>
      <c r="K49" s="5">
        <v>2004</v>
      </c>
      <c r="L49" s="5" t="str">
        <f t="shared" si="3"/>
        <v>Nov-2004</v>
      </c>
      <c r="M49" s="5" t="s">
        <v>181</v>
      </c>
      <c r="N49" s="5" t="s">
        <v>89</v>
      </c>
      <c r="O49" s="5" t="s">
        <v>95</v>
      </c>
      <c r="P49" s="5" t="s">
        <v>96</v>
      </c>
      <c r="Q49" s="5" t="s">
        <v>51</v>
      </c>
    </row>
    <row r="50" spans="1:17" x14ac:dyDescent="0.25">
      <c r="A50" s="3">
        <v>10357</v>
      </c>
      <c r="B50" s="3">
        <v>32</v>
      </c>
      <c r="C50" s="3">
        <v>100</v>
      </c>
      <c r="D50" s="3">
        <v>3200</v>
      </c>
      <c r="E50" s="3" t="str">
        <f t="shared" si="1"/>
        <v>Medium</v>
      </c>
      <c r="F50" s="3">
        <f t="shared" si="2"/>
        <v>960</v>
      </c>
      <c r="G50" s="4">
        <v>38331</v>
      </c>
      <c r="H50" s="3" t="s">
        <v>25</v>
      </c>
      <c r="I50" s="3" t="str">
        <f t="shared" si="0"/>
        <v>Yes</v>
      </c>
      <c r="J50" s="3" t="s">
        <v>687</v>
      </c>
      <c r="K50" s="3">
        <v>2004</v>
      </c>
      <c r="L50" s="3" t="str">
        <f t="shared" si="3"/>
        <v>Dec-2004</v>
      </c>
      <c r="M50" s="3" t="s">
        <v>181</v>
      </c>
      <c r="N50" s="3" t="s">
        <v>272</v>
      </c>
      <c r="O50" s="3" t="s">
        <v>32</v>
      </c>
      <c r="P50" s="3" t="s">
        <v>33</v>
      </c>
      <c r="Q50" s="3" t="s">
        <v>51</v>
      </c>
    </row>
    <row r="51" spans="1:17" x14ac:dyDescent="0.25">
      <c r="A51" s="5">
        <v>10369</v>
      </c>
      <c r="B51" s="5">
        <v>41</v>
      </c>
      <c r="C51" s="5">
        <v>100</v>
      </c>
      <c r="D51" s="5">
        <v>4100</v>
      </c>
      <c r="E51" s="5" t="str">
        <f t="shared" si="1"/>
        <v>Medium</v>
      </c>
      <c r="F51" s="5">
        <f t="shared" si="2"/>
        <v>1230</v>
      </c>
      <c r="G51" s="6">
        <v>38372</v>
      </c>
      <c r="H51" s="5" t="s">
        <v>25</v>
      </c>
      <c r="I51" s="5" t="str">
        <f t="shared" si="0"/>
        <v>Yes</v>
      </c>
      <c r="J51" s="5" t="s">
        <v>549</v>
      </c>
      <c r="K51" s="5">
        <v>2005</v>
      </c>
      <c r="L51" s="5" t="str">
        <f t="shared" si="3"/>
        <v>Jan-2005</v>
      </c>
      <c r="M51" s="5" t="s">
        <v>181</v>
      </c>
      <c r="N51" s="5" t="s">
        <v>281</v>
      </c>
      <c r="O51" s="5" t="s">
        <v>32</v>
      </c>
      <c r="P51" s="5" t="s">
        <v>33</v>
      </c>
      <c r="Q51" s="5" t="s">
        <v>51</v>
      </c>
    </row>
    <row r="52" spans="1:17" x14ac:dyDescent="0.25">
      <c r="A52" s="3">
        <v>10381</v>
      </c>
      <c r="B52" s="3">
        <v>36</v>
      </c>
      <c r="C52" s="3">
        <v>100</v>
      </c>
      <c r="D52" s="3">
        <v>3600</v>
      </c>
      <c r="E52" s="3" t="str">
        <f t="shared" si="1"/>
        <v>Medium</v>
      </c>
      <c r="F52" s="3">
        <f t="shared" si="2"/>
        <v>1080</v>
      </c>
      <c r="G52" s="4">
        <v>38400</v>
      </c>
      <c r="H52" s="3" t="s">
        <v>25</v>
      </c>
      <c r="I52" s="3" t="str">
        <f t="shared" si="0"/>
        <v>Yes</v>
      </c>
      <c r="J52" s="3" t="s">
        <v>681</v>
      </c>
      <c r="K52" s="3">
        <v>2005</v>
      </c>
      <c r="L52" s="3" t="str">
        <f t="shared" si="3"/>
        <v>Feb-2005</v>
      </c>
      <c r="M52" s="3" t="s">
        <v>181</v>
      </c>
      <c r="N52" s="3" t="s">
        <v>58</v>
      </c>
      <c r="O52" s="3" t="s">
        <v>32</v>
      </c>
      <c r="P52" s="3" t="s">
        <v>33</v>
      </c>
      <c r="Q52" s="3" t="s">
        <v>151</v>
      </c>
    </row>
    <row r="53" spans="1:17" x14ac:dyDescent="0.25">
      <c r="A53" s="5">
        <v>10391</v>
      </c>
      <c r="B53" s="5">
        <v>24</v>
      </c>
      <c r="C53" s="5">
        <v>100</v>
      </c>
      <c r="D53" s="5">
        <v>2400</v>
      </c>
      <c r="E53" s="5" t="str">
        <f t="shared" si="1"/>
        <v>Medium</v>
      </c>
      <c r="F53" s="5">
        <f t="shared" si="2"/>
        <v>720</v>
      </c>
      <c r="G53" s="6">
        <v>38420</v>
      </c>
      <c r="H53" s="5" t="s">
        <v>25</v>
      </c>
      <c r="I53" s="5" t="str">
        <f t="shared" si="0"/>
        <v>Yes</v>
      </c>
      <c r="J53" s="5" t="s">
        <v>691</v>
      </c>
      <c r="K53" s="5">
        <v>2005</v>
      </c>
      <c r="L53" s="5" t="str">
        <f t="shared" si="3"/>
        <v>Mar-2005</v>
      </c>
      <c r="M53" s="5" t="s">
        <v>181</v>
      </c>
      <c r="N53" s="5" t="s">
        <v>285</v>
      </c>
      <c r="O53" s="5" t="s">
        <v>95</v>
      </c>
      <c r="P53" s="5" t="s">
        <v>96</v>
      </c>
      <c r="Q53" s="5" t="s">
        <v>36</v>
      </c>
    </row>
    <row r="54" spans="1:17" x14ac:dyDescent="0.25">
      <c r="A54" s="3">
        <v>10411</v>
      </c>
      <c r="B54" s="3">
        <v>23</v>
      </c>
      <c r="C54" s="3">
        <v>100</v>
      </c>
      <c r="D54" s="3">
        <v>2300</v>
      </c>
      <c r="E54" s="3" t="str">
        <f t="shared" si="1"/>
        <v>Medium</v>
      </c>
      <c r="F54" s="3">
        <f t="shared" si="2"/>
        <v>690</v>
      </c>
      <c r="G54" s="4">
        <v>38473</v>
      </c>
      <c r="H54" s="3" t="s">
        <v>25</v>
      </c>
      <c r="I54" s="3" t="str">
        <f t="shared" si="0"/>
        <v>Yes</v>
      </c>
      <c r="J54" s="3" t="s">
        <v>682</v>
      </c>
      <c r="K54" s="3">
        <v>2005</v>
      </c>
      <c r="L54" s="3" t="str">
        <f t="shared" si="3"/>
        <v>May-2005</v>
      </c>
      <c r="M54" s="3" t="s">
        <v>181</v>
      </c>
      <c r="N54" s="3" t="s">
        <v>292</v>
      </c>
      <c r="O54" s="3" t="s">
        <v>231</v>
      </c>
      <c r="P54" s="3" t="s">
        <v>33</v>
      </c>
      <c r="Q54" s="3" t="s">
        <v>51</v>
      </c>
    </row>
    <row r="55" spans="1:17" x14ac:dyDescent="0.25">
      <c r="A55" s="5">
        <v>10424</v>
      </c>
      <c r="B55" s="5">
        <v>50</v>
      </c>
      <c r="C55" s="5">
        <v>100</v>
      </c>
      <c r="D55" s="5">
        <v>5000</v>
      </c>
      <c r="E55" s="5" t="str">
        <f t="shared" si="1"/>
        <v>High</v>
      </c>
      <c r="F55" s="5">
        <f t="shared" si="2"/>
        <v>1500</v>
      </c>
      <c r="G55" s="6">
        <v>38503</v>
      </c>
      <c r="H55" s="5" t="s">
        <v>300</v>
      </c>
      <c r="I55" s="5" t="str">
        <f t="shared" si="0"/>
        <v>No</v>
      </c>
      <c r="J55" s="5" t="s">
        <v>682</v>
      </c>
      <c r="K55" s="5">
        <v>2005</v>
      </c>
      <c r="L55" s="5" t="str">
        <f t="shared" si="3"/>
        <v>May-2005</v>
      </c>
      <c r="M55" s="5" t="s">
        <v>181</v>
      </c>
      <c r="N55" s="5" t="s">
        <v>174</v>
      </c>
      <c r="O55" s="5" t="s">
        <v>178</v>
      </c>
      <c r="P55" s="5" t="s">
        <v>42</v>
      </c>
      <c r="Q55" s="5" t="s">
        <v>151</v>
      </c>
    </row>
    <row r="56" spans="1:17" x14ac:dyDescent="0.25">
      <c r="A56" s="3">
        <v>10107</v>
      </c>
      <c r="B56" s="3">
        <v>39</v>
      </c>
      <c r="C56" s="3">
        <v>99.91</v>
      </c>
      <c r="D56" s="3">
        <v>3896.49</v>
      </c>
      <c r="E56" s="3" t="str">
        <f t="shared" si="1"/>
        <v>Medium</v>
      </c>
      <c r="F56" s="3">
        <f t="shared" si="2"/>
        <v>1168.9469999999999</v>
      </c>
      <c r="G56" s="4">
        <v>37676</v>
      </c>
      <c r="H56" s="3" t="s">
        <v>25</v>
      </c>
      <c r="I56" s="3" t="str">
        <f t="shared" si="0"/>
        <v>Yes</v>
      </c>
      <c r="J56" s="3" t="s">
        <v>681</v>
      </c>
      <c r="K56" s="3">
        <v>2003</v>
      </c>
      <c r="L56" s="3" t="str">
        <f t="shared" si="3"/>
        <v>Feb-2003</v>
      </c>
      <c r="M56" s="3" t="s">
        <v>26</v>
      </c>
      <c r="N56" s="3" t="s">
        <v>28</v>
      </c>
      <c r="O56" s="3" t="s">
        <v>32</v>
      </c>
      <c r="P56" s="3" t="s">
        <v>33</v>
      </c>
      <c r="Q56" s="3" t="s">
        <v>51</v>
      </c>
    </row>
    <row r="57" spans="1:17" x14ac:dyDescent="0.25">
      <c r="A57" s="5">
        <v>10120</v>
      </c>
      <c r="B57" s="5">
        <v>29</v>
      </c>
      <c r="C57" s="5">
        <v>96.34</v>
      </c>
      <c r="D57" s="5">
        <v>2793.86</v>
      </c>
      <c r="E57" s="5" t="str">
        <f t="shared" si="1"/>
        <v>Medium</v>
      </c>
      <c r="F57" s="5">
        <f t="shared" si="2"/>
        <v>838.15800000000002</v>
      </c>
      <c r="G57" s="6">
        <v>37740</v>
      </c>
      <c r="H57" s="5" t="s">
        <v>25</v>
      </c>
      <c r="I57" s="5" t="str">
        <f t="shared" si="0"/>
        <v>Yes</v>
      </c>
      <c r="J57" s="5" t="s">
        <v>688</v>
      </c>
      <c r="K57" s="5">
        <v>2003</v>
      </c>
      <c r="L57" s="5" t="str">
        <f t="shared" si="3"/>
        <v>Apr-2003</v>
      </c>
      <c r="M57" s="5" t="s">
        <v>26</v>
      </c>
      <c r="N57" s="5" t="s">
        <v>89</v>
      </c>
      <c r="O57" s="5" t="s">
        <v>95</v>
      </c>
      <c r="P57" s="5" t="s">
        <v>96</v>
      </c>
      <c r="Q57" s="5" t="s">
        <v>36</v>
      </c>
    </row>
    <row r="58" spans="1:17" x14ac:dyDescent="0.25">
      <c r="A58" s="3">
        <v>10134</v>
      </c>
      <c r="B58" s="3">
        <v>27</v>
      </c>
      <c r="C58" s="3">
        <v>100</v>
      </c>
      <c r="D58" s="3">
        <v>2700</v>
      </c>
      <c r="E58" s="3" t="str">
        <f t="shared" si="1"/>
        <v>Medium</v>
      </c>
      <c r="F58" s="3">
        <f t="shared" si="2"/>
        <v>810</v>
      </c>
      <c r="G58" s="4">
        <v>37803</v>
      </c>
      <c r="H58" s="3" t="s">
        <v>25</v>
      </c>
      <c r="I58" s="3" t="str">
        <f t="shared" si="0"/>
        <v>Yes</v>
      </c>
      <c r="J58" s="3" t="s">
        <v>683</v>
      </c>
      <c r="K58" s="3">
        <v>2003</v>
      </c>
      <c r="L58" s="3" t="str">
        <f t="shared" si="3"/>
        <v>Jul-2003</v>
      </c>
      <c r="M58" s="3" t="s">
        <v>26</v>
      </c>
      <c r="N58" s="3" t="s">
        <v>45</v>
      </c>
      <c r="O58" s="3" t="s">
        <v>41</v>
      </c>
      <c r="P58" s="3" t="s">
        <v>42</v>
      </c>
      <c r="Q58" s="3" t="s">
        <v>51</v>
      </c>
    </row>
    <row r="59" spans="1:17" x14ac:dyDescent="0.25">
      <c r="A59" s="5">
        <v>10145</v>
      </c>
      <c r="B59" s="5">
        <v>37</v>
      </c>
      <c r="C59" s="5">
        <v>100</v>
      </c>
      <c r="D59" s="5">
        <v>3700</v>
      </c>
      <c r="E59" s="5" t="str">
        <f t="shared" si="1"/>
        <v>Medium</v>
      </c>
      <c r="F59" s="5">
        <f t="shared" si="2"/>
        <v>1110</v>
      </c>
      <c r="G59" s="6">
        <v>37858</v>
      </c>
      <c r="H59" s="5" t="s">
        <v>25</v>
      </c>
      <c r="I59" s="5" t="str">
        <f t="shared" si="0"/>
        <v>Yes</v>
      </c>
      <c r="J59" s="5" t="s">
        <v>684</v>
      </c>
      <c r="K59" s="5">
        <v>2003</v>
      </c>
      <c r="L59" s="5" t="str">
        <f t="shared" si="3"/>
        <v>Aug-2003</v>
      </c>
      <c r="M59" s="5" t="s">
        <v>26</v>
      </c>
      <c r="N59" s="5" t="s">
        <v>52</v>
      </c>
      <c r="O59" s="5" t="s">
        <v>32</v>
      </c>
      <c r="P59" s="5" t="s">
        <v>33</v>
      </c>
      <c r="Q59" s="5" t="s">
        <v>51</v>
      </c>
    </row>
    <row r="60" spans="1:17" x14ac:dyDescent="0.25">
      <c r="A60" s="3">
        <v>10159</v>
      </c>
      <c r="B60" s="3">
        <v>37</v>
      </c>
      <c r="C60" s="3">
        <v>100</v>
      </c>
      <c r="D60" s="3">
        <v>3700</v>
      </c>
      <c r="E60" s="3" t="str">
        <f t="shared" si="1"/>
        <v>Medium</v>
      </c>
      <c r="F60" s="3">
        <f t="shared" si="2"/>
        <v>1110</v>
      </c>
      <c r="G60" s="4">
        <v>37904</v>
      </c>
      <c r="H60" s="3" t="s">
        <v>25</v>
      </c>
      <c r="I60" s="3" t="str">
        <f t="shared" si="0"/>
        <v>Yes</v>
      </c>
      <c r="J60" s="3" t="s">
        <v>685</v>
      </c>
      <c r="K60" s="3">
        <v>2003</v>
      </c>
      <c r="L60" s="3" t="str">
        <f t="shared" si="3"/>
        <v>Oct-2003</v>
      </c>
      <c r="M60" s="3" t="s">
        <v>26</v>
      </c>
      <c r="N60" s="3" t="s">
        <v>58</v>
      </c>
      <c r="O60" s="3" t="s">
        <v>32</v>
      </c>
      <c r="P60" s="3" t="s">
        <v>33</v>
      </c>
      <c r="Q60" s="3" t="s">
        <v>51</v>
      </c>
    </row>
    <row r="61" spans="1:17" x14ac:dyDescent="0.25">
      <c r="A61" s="5">
        <v>10168</v>
      </c>
      <c r="B61" s="5">
        <v>27</v>
      </c>
      <c r="C61" s="5">
        <v>100</v>
      </c>
      <c r="D61" s="5">
        <v>2700</v>
      </c>
      <c r="E61" s="5" t="str">
        <f t="shared" si="1"/>
        <v>Medium</v>
      </c>
      <c r="F61" s="5">
        <f t="shared" si="2"/>
        <v>810</v>
      </c>
      <c r="G61" s="6">
        <v>37922</v>
      </c>
      <c r="H61" s="5" t="s">
        <v>25</v>
      </c>
      <c r="I61" s="5" t="str">
        <f t="shared" si="0"/>
        <v>Yes</v>
      </c>
      <c r="J61" s="5" t="s">
        <v>685</v>
      </c>
      <c r="K61" s="5">
        <v>2003</v>
      </c>
      <c r="L61" s="5" t="str">
        <f t="shared" si="3"/>
        <v>Oct-2003</v>
      </c>
      <c r="M61" s="5" t="s">
        <v>26</v>
      </c>
      <c r="N61" s="5" t="s">
        <v>62</v>
      </c>
      <c r="O61" s="5" t="s">
        <v>32</v>
      </c>
      <c r="P61" s="5" t="s">
        <v>33</v>
      </c>
      <c r="Q61" s="5" t="s">
        <v>51</v>
      </c>
    </row>
    <row r="62" spans="1:17" x14ac:dyDescent="0.25">
      <c r="A62" s="3">
        <v>10180</v>
      </c>
      <c r="B62" s="3">
        <v>42</v>
      </c>
      <c r="C62" s="3">
        <v>100</v>
      </c>
      <c r="D62" s="3">
        <v>4200</v>
      </c>
      <c r="E62" s="3" t="str">
        <f t="shared" si="1"/>
        <v>Medium</v>
      </c>
      <c r="F62" s="3">
        <f t="shared" si="2"/>
        <v>1260</v>
      </c>
      <c r="G62" s="4">
        <v>37936</v>
      </c>
      <c r="H62" s="3" t="s">
        <v>25</v>
      </c>
      <c r="I62" s="3" t="str">
        <f t="shared" si="0"/>
        <v>Yes</v>
      </c>
      <c r="J62" s="3" t="s">
        <v>686</v>
      </c>
      <c r="K62" s="3">
        <v>2003</v>
      </c>
      <c r="L62" s="3" t="str">
        <f t="shared" si="3"/>
        <v>Nov-2003</v>
      </c>
      <c r="M62" s="3" t="s">
        <v>26</v>
      </c>
      <c r="N62" s="3" t="s">
        <v>67</v>
      </c>
      <c r="O62" s="3" t="s">
        <v>41</v>
      </c>
      <c r="P62" s="3" t="s">
        <v>42</v>
      </c>
      <c r="Q62" s="3" t="s">
        <v>51</v>
      </c>
    </row>
    <row r="63" spans="1:17" x14ac:dyDescent="0.25">
      <c r="A63" s="5">
        <v>10188</v>
      </c>
      <c r="B63" s="5">
        <v>38</v>
      </c>
      <c r="C63" s="5">
        <v>96.34</v>
      </c>
      <c r="D63" s="5">
        <v>3660.92</v>
      </c>
      <c r="E63" s="5" t="str">
        <f t="shared" si="1"/>
        <v>Medium</v>
      </c>
      <c r="F63" s="5">
        <f t="shared" si="2"/>
        <v>1098.2760000000001</v>
      </c>
      <c r="G63" s="6">
        <v>37943</v>
      </c>
      <c r="H63" s="5" t="s">
        <v>25</v>
      </c>
      <c r="I63" s="5" t="str">
        <f t="shared" si="0"/>
        <v>Yes</v>
      </c>
      <c r="J63" s="5" t="s">
        <v>686</v>
      </c>
      <c r="K63" s="5">
        <v>2003</v>
      </c>
      <c r="L63" s="5" t="str">
        <f t="shared" si="3"/>
        <v>Nov-2003</v>
      </c>
      <c r="M63" s="5" t="s">
        <v>26</v>
      </c>
      <c r="N63" s="5" t="s">
        <v>73</v>
      </c>
      <c r="O63" s="5" t="s">
        <v>78</v>
      </c>
      <c r="P63" s="5" t="s">
        <v>42</v>
      </c>
      <c r="Q63" s="5" t="s">
        <v>51</v>
      </c>
    </row>
    <row r="64" spans="1:17" x14ac:dyDescent="0.25">
      <c r="A64" s="3">
        <v>10201</v>
      </c>
      <c r="B64" s="3">
        <v>24</v>
      </c>
      <c r="C64" s="3">
        <v>100</v>
      </c>
      <c r="D64" s="3">
        <v>2400</v>
      </c>
      <c r="E64" s="3" t="str">
        <f t="shared" si="1"/>
        <v>Medium</v>
      </c>
      <c r="F64" s="3">
        <f t="shared" si="2"/>
        <v>720</v>
      </c>
      <c r="G64" s="4">
        <v>37956</v>
      </c>
      <c r="H64" s="3" t="s">
        <v>25</v>
      </c>
      <c r="I64" s="3" t="str">
        <f t="shared" si="0"/>
        <v>Yes</v>
      </c>
      <c r="J64" s="3" t="s">
        <v>687</v>
      </c>
      <c r="K64" s="3">
        <v>2003</v>
      </c>
      <c r="L64" s="3" t="str">
        <f t="shared" si="3"/>
        <v>Dec-2003</v>
      </c>
      <c r="M64" s="3" t="s">
        <v>26</v>
      </c>
      <c r="N64" s="3" t="s">
        <v>81</v>
      </c>
      <c r="O64" s="3" t="s">
        <v>32</v>
      </c>
      <c r="P64" s="3" t="s">
        <v>33</v>
      </c>
      <c r="Q64" s="3" t="s">
        <v>51</v>
      </c>
    </row>
    <row r="65" spans="1:17" x14ac:dyDescent="0.25">
      <c r="A65" s="5">
        <v>10210</v>
      </c>
      <c r="B65" s="5">
        <v>23</v>
      </c>
      <c r="C65" s="5">
        <v>100</v>
      </c>
      <c r="D65" s="5">
        <v>2300</v>
      </c>
      <c r="E65" s="5" t="str">
        <f t="shared" si="1"/>
        <v>Medium</v>
      </c>
      <c r="F65" s="5">
        <f t="shared" si="2"/>
        <v>690</v>
      </c>
      <c r="G65" s="6">
        <v>37998</v>
      </c>
      <c r="H65" s="5" t="s">
        <v>25</v>
      </c>
      <c r="I65" s="5" t="str">
        <f t="shared" si="0"/>
        <v>Yes</v>
      </c>
      <c r="J65" s="5" t="s">
        <v>549</v>
      </c>
      <c r="K65" s="5">
        <v>2004</v>
      </c>
      <c r="L65" s="5" t="str">
        <f t="shared" si="3"/>
        <v>Jan-2004</v>
      </c>
      <c r="M65" s="5" t="s">
        <v>26</v>
      </c>
      <c r="N65" s="5" t="s">
        <v>302</v>
      </c>
      <c r="O65" s="5" t="s">
        <v>200</v>
      </c>
      <c r="P65" s="5" t="s">
        <v>675</v>
      </c>
      <c r="Q65" s="5" t="s">
        <v>51</v>
      </c>
    </row>
    <row r="66" spans="1:17" x14ac:dyDescent="0.25">
      <c r="A66" s="3">
        <v>10223</v>
      </c>
      <c r="B66" s="3">
        <v>47</v>
      </c>
      <c r="C66" s="3">
        <v>100</v>
      </c>
      <c r="D66" s="3">
        <v>4700</v>
      </c>
      <c r="E66" s="3" t="str">
        <f t="shared" si="1"/>
        <v>Medium</v>
      </c>
      <c r="F66" s="3">
        <f t="shared" si="2"/>
        <v>1410</v>
      </c>
      <c r="G66" s="4">
        <v>38037</v>
      </c>
      <c r="H66" s="3" t="s">
        <v>25</v>
      </c>
      <c r="I66" s="3" t="str">
        <f t="shared" ref="I66:I129" si="4">IF(H66="Shipped","Yes","No")</f>
        <v>Yes</v>
      </c>
      <c r="J66" s="3" t="s">
        <v>681</v>
      </c>
      <c r="K66" s="3">
        <v>2004</v>
      </c>
      <c r="L66" s="3" t="str">
        <f t="shared" si="3"/>
        <v>Feb-2004</v>
      </c>
      <c r="M66" s="3" t="s">
        <v>26</v>
      </c>
      <c r="N66" s="3" t="s">
        <v>89</v>
      </c>
      <c r="O66" s="3" t="s">
        <v>95</v>
      </c>
      <c r="P66" s="3" t="s">
        <v>96</v>
      </c>
      <c r="Q66" s="3" t="s">
        <v>51</v>
      </c>
    </row>
    <row r="67" spans="1:17" x14ac:dyDescent="0.25">
      <c r="A67" s="5">
        <v>10236</v>
      </c>
      <c r="B67" s="5">
        <v>22</v>
      </c>
      <c r="C67" s="5">
        <v>100</v>
      </c>
      <c r="D67" s="5">
        <v>2200</v>
      </c>
      <c r="E67" s="5" t="str">
        <f t="shared" ref="E67:E130" si="5">IF(D67&gt;=5000,"High",IF(D67&gt;=2000,"Medium","Low"))</f>
        <v>Medium</v>
      </c>
      <c r="F67" s="5">
        <f t="shared" ref="F67:F130" si="6">(D67*0.3)</f>
        <v>660</v>
      </c>
      <c r="G67" s="6">
        <v>38080</v>
      </c>
      <c r="H67" s="5" t="s">
        <v>25</v>
      </c>
      <c r="I67" s="5" t="str">
        <f t="shared" si="4"/>
        <v>Yes</v>
      </c>
      <c r="J67" s="5" t="s">
        <v>688</v>
      </c>
      <c r="K67" s="5">
        <v>2004</v>
      </c>
      <c r="L67" s="5" t="str">
        <f t="shared" ref="L67:L130" si="7">TEXT(G:G,"MMM-YYYY")</f>
        <v>Apr-2004</v>
      </c>
      <c r="M67" s="5" t="s">
        <v>26</v>
      </c>
      <c r="N67" s="5" t="s">
        <v>309</v>
      </c>
      <c r="O67" s="5" t="s">
        <v>32</v>
      </c>
      <c r="P67" s="5" t="s">
        <v>33</v>
      </c>
      <c r="Q67" s="5" t="s">
        <v>36</v>
      </c>
    </row>
    <row r="68" spans="1:17" x14ac:dyDescent="0.25">
      <c r="A68" s="3">
        <v>10251</v>
      </c>
      <c r="B68" s="3">
        <v>44</v>
      </c>
      <c r="C68" s="3">
        <v>100</v>
      </c>
      <c r="D68" s="3">
        <v>4400</v>
      </c>
      <c r="E68" s="3" t="str">
        <f t="shared" si="5"/>
        <v>Medium</v>
      </c>
      <c r="F68" s="3">
        <f t="shared" si="6"/>
        <v>1320</v>
      </c>
      <c r="G68" s="4">
        <v>38125</v>
      </c>
      <c r="H68" s="3" t="s">
        <v>25</v>
      </c>
      <c r="I68" s="3" t="str">
        <f t="shared" si="4"/>
        <v>Yes</v>
      </c>
      <c r="J68" s="3" t="s">
        <v>682</v>
      </c>
      <c r="K68" s="3">
        <v>2004</v>
      </c>
      <c r="L68" s="3" t="str">
        <f t="shared" si="7"/>
        <v>May-2004</v>
      </c>
      <c r="M68" s="3" t="s">
        <v>26</v>
      </c>
      <c r="N68" s="3" t="s">
        <v>104</v>
      </c>
      <c r="O68" s="3" t="s">
        <v>32</v>
      </c>
      <c r="P68" s="3" t="s">
        <v>33</v>
      </c>
      <c r="Q68" s="3" t="s">
        <v>51</v>
      </c>
    </row>
    <row r="69" spans="1:17" x14ac:dyDescent="0.25">
      <c r="A69" s="5">
        <v>10263</v>
      </c>
      <c r="B69" s="5">
        <v>40</v>
      </c>
      <c r="C69" s="5">
        <v>100</v>
      </c>
      <c r="D69" s="5">
        <v>4000</v>
      </c>
      <c r="E69" s="5" t="str">
        <f t="shared" si="5"/>
        <v>Medium</v>
      </c>
      <c r="F69" s="5">
        <f t="shared" si="6"/>
        <v>1200</v>
      </c>
      <c r="G69" s="6">
        <v>38166</v>
      </c>
      <c r="H69" s="5" t="s">
        <v>25</v>
      </c>
      <c r="I69" s="5" t="str">
        <f t="shared" si="4"/>
        <v>Yes</v>
      </c>
      <c r="J69" s="5" t="s">
        <v>689</v>
      </c>
      <c r="K69" s="5">
        <v>2004</v>
      </c>
      <c r="L69" s="5" t="str">
        <f t="shared" si="7"/>
        <v>Jun-2004</v>
      </c>
      <c r="M69" s="5" t="s">
        <v>26</v>
      </c>
      <c r="N69" s="5" t="s">
        <v>109</v>
      </c>
      <c r="O69" s="5" t="s">
        <v>32</v>
      </c>
      <c r="P69" s="5" t="s">
        <v>33</v>
      </c>
      <c r="Q69" s="5" t="s">
        <v>51</v>
      </c>
    </row>
    <row r="70" spans="1:17" x14ac:dyDescent="0.25">
      <c r="A70" s="3">
        <v>10275</v>
      </c>
      <c r="B70" s="3">
        <v>22</v>
      </c>
      <c r="C70" s="3">
        <v>100</v>
      </c>
      <c r="D70" s="3">
        <v>2200</v>
      </c>
      <c r="E70" s="3" t="str">
        <f t="shared" si="5"/>
        <v>Medium</v>
      </c>
      <c r="F70" s="3">
        <f t="shared" si="6"/>
        <v>660</v>
      </c>
      <c r="G70" s="4">
        <v>38191</v>
      </c>
      <c r="H70" s="3" t="s">
        <v>25</v>
      </c>
      <c r="I70" s="3" t="str">
        <f t="shared" si="4"/>
        <v>Yes</v>
      </c>
      <c r="J70" s="3" t="s">
        <v>683</v>
      </c>
      <c r="K70" s="3">
        <v>2004</v>
      </c>
      <c r="L70" s="3" t="str">
        <f t="shared" si="7"/>
        <v>Jul-2004</v>
      </c>
      <c r="M70" s="3" t="s">
        <v>26</v>
      </c>
      <c r="N70" s="3" t="s">
        <v>114</v>
      </c>
      <c r="O70" s="3" t="s">
        <v>41</v>
      </c>
      <c r="P70" s="3" t="s">
        <v>42</v>
      </c>
      <c r="Q70" s="3" t="s">
        <v>36</v>
      </c>
    </row>
    <row r="71" spans="1:17" x14ac:dyDescent="0.25">
      <c r="A71" s="5">
        <v>10285</v>
      </c>
      <c r="B71" s="5">
        <v>47</v>
      </c>
      <c r="C71" s="5">
        <v>100</v>
      </c>
      <c r="D71" s="5">
        <v>4700</v>
      </c>
      <c r="E71" s="5" t="str">
        <f t="shared" si="5"/>
        <v>Medium</v>
      </c>
      <c r="F71" s="5">
        <f t="shared" si="6"/>
        <v>1410</v>
      </c>
      <c r="G71" s="6">
        <v>38226</v>
      </c>
      <c r="H71" s="5" t="s">
        <v>25</v>
      </c>
      <c r="I71" s="5" t="str">
        <f t="shared" si="4"/>
        <v>Yes</v>
      </c>
      <c r="J71" s="5" t="s">
        <v>684</v>
      </c>
      <c r="K71" s="5">
        <v>2004</v>
      </c>
      <c r="L71" s="5" t="str">
        <f t="shared" si="7"/>
        <v>Aug-2004</v>
      </c>
      <c r="M71" s="5" t="s">
        <v>26</v>
      </c>
      <c r="N71" s="5" t="s">
        <v>120</v>
      </c>
      <c r="O71" s="5" t="s">
        <v>32</v>
      </c>
      <c r="P71" s="5" t="s">
        <v>33</v>
      </c>
      <c r="Q71" s="5" t="s">
        <v>51</v>
      </c>
    </row>
    <row r="72" spans="1:17" x14ac:dyDescent="0.25">
      <c r="A72" s="3">
        <v>10298</v>
      </c>
      <c r="B72" s="3">
        <v>39</v>
      </c>
      <c r="C72" s="3">
        <v>96.34</v>
      </c>
      <c r="D72" s="3">
        <v>3757.26</v>
      </c>
      <c r="E72" s="3" t="str">
        <f t="shared" si="5"/>
        <v>Medium</v>
      </c>
      <c r="F72" s="3">
        <f t="shared" si="6"/>
        <v>1127.1780000000001</v>
      </c>
      <c r="G72" s="4">
        <v>38257</v>
      </c>
      <c r="H72" s="3" t="s">
        <v>25</v>
      </c>
      <c r="I72" s="3" t="str">
        <f t="shared" si="4"/>
        <v>Yes</v>
      </c>
      <c r="J72" s="3" t="s">
        <v>690</v>
      </c>
      <c r="K72" s="3">
        <v>2004</v>
      </c>
      <c r="L72" s="3" t="str">
        <f t="shared" si="7"/>
        <v>Sep-2004</v>
      </c>
      <c r="M72" s="3" t="s">
        <v>26</v>
      </c>
      <c r="N72" s="3" t="s">
        <v>312</v>
      </c>
      <c r="O72" s="3" t="s">
        <v>41</v>
      </c>
      <c r="P72" s="3" t="s">
        <v>42</v>
      </c>
      <c r="Q72" s="3" t="s">
        <v>51</v>
      </c>
    </row>
    <row r="73" spans="1:17" x14ac:dyDescent="0.25">
      <c r="A73" s="5">
        <v>10308</v>
      </c>
      <c r="B73" s="5">
        <v>34</v>
      </c>
      <c r="C73" s="5">
        <v>100</v>
      </c>
      <c r="D73" s="5">
        <v>3400</v>
      </c>
      <c r="E73" s="5" t="str">
        <f t="shared" si="5"/>
        <v>Medium</v>
      </c>
      <c r="F73" s="5">
        <f t="shared" si="6"/>
        <v>1020</v>
      </c>
      <c r="G73" s="6">
        <v>38275</v>
      </c>
      <c r="H73" s="5" t="s">
        <v>25</v>
      </c>
      <c r="I73" s="5" t="str">
        <f t="shared" si="4"/>
        <v>Yes</v>
      </c>
      <c r="J73" s="5" t="s">
        <v>685</v>
      </c>
      <c r="K73" s="5">
        <v>2004</v>
      </c>
      <c r="L73" s="5" t="str">
        <f t="shared" si="7"/>
        <v>Oct-2004</v>
      </c>
      <c r="M73" s="5" t="s">
        <v>26</v>
      </c>
      <c r="N73" s="5" t="s">
        <v>317</v>
      </c>
      <c r="O73" s="5" t="s">
        <v>32</v>
      </c>
      <c r="P73" s="5" t="s">
        <v>33</v>
      </c>
      <c r="Q73" s="5" t="s">
        <v>51</v>
      </c>
    </row>
    <row r="74" spans="1:17" x14ac:dyDescent="0.25">
      <c r="A74" s="3">
        <v>10318</v>
      </c>
      <c r="B74" s="3">
        <v>45</v>
      </c>
      <c r="C74" s="3">
        <v>100</v>
      </c>
      <c r="D74" s="3">
        <v>4500</v>
      </c>
      <c r="E74" s="3" t="str">
        <f t="shared" si="5"/>
        <v>Medium</v>
      </c>
      <c r="F74" s="3">
        <f t="shared" si="6"/>
        <v>1350</v>
      </c>
      <c r="G74" s="4">
        <v>38293</v>
      </c>
      <c r="H74" s="3" t="s">
        <v>25</v>
      </c>
      <c r="I74" s="3" t="str">
        <f t="shared" si="4"/>
        <v>Yes</v>
      </c>
      <c r="J74" s="3" t="s">
        <v>686</v>
      </c>
      <c r="K74" s="3">
        <v>2004</v>
      </c>
      <c r="L74" s="3" t="str">
        <f t="shared" si="7"/>
        <v>Nov-2004</v>
      </c>
      <c r="M74" s="3" t="s">
        <v>26</v>
      </c>
      <c r="N74" s="3" t="s">
        <v>139</v>
      </c>
      <c r="O74" s="3" t="s">
        <v>32</v>
      </c>
      <c r="P74" s="3" t="s">
        <v>33</v>
      </c>
      <c r="Q74" s="3" t="s">
        <v>51</v>
      </c>
    </row>
    <row r="75" spans="1:17" x14ac:dyDescent="0.25">
      <c r="A75" s="5">
        <v>10329</v>
      </c>
      <c r="B75" s="5">
        <v>20</v>
      </c>
      <c r="C75" s="5">
        <v>100</v>
      </c>
      <c r="D75" s="5">
        <v>2000</v>
      </c>
      <c r="E75" s="5" t="str">
        <f t="shared" si="5"/>
        <v>Medium</v>
      </c>
      <c r="F75" s="5">
        <f t="shared" si="6"/>
        <v>600</v>
      </c>
      <c r="G75" s="6">
        <v>38306</v>
      </c>
      <c r="H75" s="5" t="s">
        <v>25</v>
      </c>
      <c r="I75" s="5" t="str">
        <f t="shared" si="4"/>
        <v>Yes</v>
      </c>
      <c r="J75" s="5" t="s">
        <v>686</v>
      </c>
      <c r="K75" s="5">
        <v>2004</v>
      </c>
      <c r="L75" s="5" t="str">
        <f t="shared" si="7"/>
        <v>Nov-2004</v>
      </c>
      <c r="M75" s="5" t="s">
        <v>26</v>
      </c>
      <c r="N75" s="5" t="s">
        <v>28</v>
      </c>
      <c r="O75" s="5" t="s">
        <v>32</v>
      </c>
      <c r="P75" s="5" t="s">
        <v>33</v>
      </c>
      <c r="Q75" s="5" t="s">
        <v>51</v>
      </c>
    </row>
    <row r="76" spans="1:17" x14ac:dyDescent="0.25">
      <c r="A76" s="3">
        <v>10339</v>
      </c>
      <c r="B76" s="3">
        <v>40</v>
      </c>
      <c r="C76" s="3">
        <v>68.92</v>
      </c>
      <c r="D76" s="3">
        <v>2756.8</v>
      </c>
      <c r="E76" s="3" t="str">
        <f t="shared" si="5"/>
        <v>Medium</v>
      </c>
      <c r="F76" s="3">
        <f t="shared" si="6"/>
        <v>827.04000000000008</v>
      </c>
      <c r="G76" s="4">
        <v>38314</v>
      </c>
      <c r="H76" s="3" t="s">
        <v>25</v>
      </c>
      <c r="I76" s="3" t="str">
        <f t="shared" si="4"/>
        <v>Yes</v>
      </c>
      <c r="J76" s="3" t="s">
        <v>686</v>
      </c>
      <c r="K76" s="3">
        <v>2004</v>
      </c>
      <c r="L76" s="3" t="str">
        <f t="shared" si="7"/>
        <v>Nov-2004</v>
      </c>
      <c r="M76" s="3" t="s">
        <v>26</v>
      </c>
      <c r="N76" s="3" t="s">
        <v>246</v>
      </c>
      <c r="O76" s="3" t="s">
        <v>200</v>
      </c>
      <c r="P76" s="3" t="s">
        <v>675</v>
      </c>
      <c r="Q76" s="3" t="s">
        <v>36</v>
      </c>
    </row>
    <row r="77" spans="1:17" x14ac:dyDescent="0.25">
      <c r="A77" s="5">
        <v>10361</v>
      </c>
      <c r="B77" s="5">
        <v>26</v>
      </c>
      <c r="C77" s="5">
        <v>51.15</v>
      </c>
      <c r="D77" s="5">
        <v>1329.8999999999999</v>
      </c>
      <c r="E77" s="5" t="str">
        <f t="shared" si="5"/>
        <v>Low</v>
      </c>
      <c r="F77" s="5">
        <f t="shared" si="6"/>
        <v>398.96999999999997</v>
      </c>
      <c r="G77" s="6">
        <v>38338</v>
      </c>
      <c r="H77" s="5" t="s">
        <v>25</v>
      </c>
      <c r="I77" s="5" t="str">
        <f t="shared" si="4"/>
        <v>Yes</v>
      </c>
      <c r="J77" s="5" t="s">
        <v>687</v>
      </c>
      <c r="K77" s="5">
        <v>2004</v>
      </c>
      <c r="L77" s="5" t="str">
        <f t="shared" si="7"/>
        <v>Dec-2004</v>
      </c>
      <c r="M77" s="5" t="s">
        <v>26</v>
      </c>
      <c r="N77" s="5" t="s">
        <v>152</v>
      </c>
      <c r="O77" s="5" t="s">
        <v>95</v>
      </c>
      <c r="P77" s="5" t="s">
        <v>96</v>
      </c>
      <c r="Q77" s="5" t="s">
        <v>36</v>
      </c>
    </row>
    <row r="78" spans="1:17" x14ac:dyDescent="0.25">
      <c r="A78" s="3">
        <v>10374</v>
      </c>
      <c r="B78" s="3">
        <v>39</v>
      </c>
      <c r="C78" s="3">
        <v>100</v>
      </c>
      <c r="D78" s="3">
        <v>3900</v>
      </c>
      <c r="E78" s="3" t="str">
        <f t="shared" si="5"/>
        <v>Medium</v>
      </c>
      <c r="F78" s="3">
        <f t="shared" si="6"/>
        <v>1170</v>
      </c>
      <c r="G78" s="4">
        <v>38385</v>
      </c>
      <c r="H78" s="3" t="s">
        <v>25</v>
      </c>
      <c r="I78" s="3" t="str">
        <f t="shared" si="4"/>
        <v>Yes</v>
      </c>
      <c r="J78" s="3" t="s">
        <v>681</v>
      </c>
      <c r="K78" s="3">
        <v>2005</v>
      </c>
      <c r="L78" s="3" t="str">
        <f t="shared" si="7"/>
        <v>Feb-2005</v>
      </c>
      <c r="M78" s="3" t="s">
        <v>26</v>
      </c>
      <c r="N78" s="3" t="s">
        <v>207</v>
      </c>
      <c r="O78" s="3" t="s">
        <v>95</v>
      </c>
      <c r="P78" s="3" t="s">
        <v>96</v>
      </c>
      <c r="Q78" s="3" t="s">
        <v>51</v>
      </c>
    </row>
    <row r="79" spans="1:17" x14ac:dyDescent="0.25">
      <c r="A79" s="5">
        <v>10388</v>
      </c>
      <c r="B79" s="5">
        <v>50</v>
      </c>
      <c r="C79" s="5">
        <v>44.51</v>
      </c>
      <c r="D79" s="5">
        <v>2225.5</v>
      </c>
      <c r="E79" s="5" t="str">
        <f t="shared" si="5"/>
        <v>Medium</v>
      </c>
      <c r="F79" s="5">
        <f t="shared" si="6"/>
        <v>667.65</v>
      </c>
      <c r="G79" s="6">
        <v>38414</v>
      </c>
      <c r="H79" s="5" t="s">
        <v>25</v>
      </c>
      <c r="I79" s="5" t="str">
        <f t="shared" si="4"/>
        <v>Yes</v>
      </c>
      <c r="J79" s="5" t="s">
        <v>691</v>
      </c>
      <c r="K79" s="5">
        <v>2005</v>
      </c>
      <c r="L79" s="5" t="str">
        <f t="shared" si="7"/>
        <v>Mar-2005</v>
      </c>
      <c r="M79" s="5" t="s">
        <v>26</v>
      </c>
      <c r="N79" s="5" t="s">
        <v>160</v>
      </c>
      <c r="O79" s="5" t="s">
        <v>32</v>
      </c>
      <c r="P79" s="5" t="s">
        <v>33</v>
      </c>
      <c r="Q79" s="5" t="s">
        <v>36</v>
      </c>
    </row>
    <row r="80" spans="1:17" x14ac:dyDescent="0.25">
      <c r="A80" s="3">
        <v>10402</v>
      </c>
      <c r="B80" s="3">
        <v>45</v>
      </c>
      <c r="C80" s="3">
        <v>100</v>
      </c>
      <c r="D80" s="3">
        <v>4500</v>
      </c>
      <c r="E80" s="3" t="str">
        <f t="shared" si="5"/>
        <v>Medium</v>
      </c>
      <c r="F80" s="3">
        <f t="shared" si="6"/>
        <v>1350</v>
      </c>
      <c r="G80" s="4">
        <v>38449</v>
      </c>
      <c r="H80" s="3" t="s">
        <v>25</v>
      </c>
      <c r="I80" s="3" t="str">
        <f t="shared" si="4"/>
        <v>Yes</v>
      </c>
      <c r="J80" s="3" t="s">
        <v>688</v>
      </c>
      <c r="K80" s="3">
        <v>2005</v>
      </c>
      <c r="L80" s="3" t="str">
        <f t="shared" si="7"/>
        <v>Apr-2005</v>
      </c>
      <c r="M80" s="3" t="s">
        <v>26</v>
      </c>
      <c r="N80" s="3" t="s">
        <v>84</v>
      </c>
      <c r="O80" s="3" t="s">
        <v>41</v>
      </c>
      <c r="P80" s="3" t="s">
        <v>42</v>
      </c>
      <c r="Q80" s="3" t="s">
        <v>51</v>
      </c>
    </row>
    <row r="81" spans="1:17" x14ac:dyDescent="0.25">
      <c r="A81" s="5">
        <v>10417</v>
      </c>
      <c r="B81" s="5">
        <v>45</v>
      </c>
      <c r="C81" s="5">
        <v>100</v>
      </c>
      <c r="D81" s="5">
        <v>4500</v>
      </c>
      <c r="E81" s="5" t="str">
        <f t="shared" si="5"/>
        <v>Medium</v>
      </c>
      <c r="F81" s="5">
        <f t="shared" si="6"/>
        <v>1350</v>
      </c>
      <c r="G81" s="6">
        <v>38485</v>
      </c>
      <c r="H81" s="5" t="s">
        <v>173</v>
      </c>
      <c r="I81" s="5" t="str">
        <f t="shared" si="4"/>
        <v>No</v>
      </c>
      <c r="J81" s="5" t="s">
        <v>682</v>
      </c>
      <c r="K81" s="5">
        <v>2005</v>
      </c>
      <c r="L81" s="5" t="str">
        <f t="shared" si="7"/>
        <v>May-2005</v>
      </c>
      <c r="M81" s="5" t="s">
        <v>26</v>
      </c>
      <c r="N81" s="5" t="s">
        <v>174</v>
      </c>
      <c r="O81" s="5" t="s">
        <v>178</v>
      </c>
      <c r="P81" s="5" t="s">
        <v>42</v>
      </c>
      <c r="Q81" s="5" t="s">
        <v>51</v>
      </c>
    </row>
    <row r="82" spans="1:17" x14ac:dyDescent="0.25">
      <c r="A82" s="3">
        <v>10107</v>
      </c>
      <c r="B82" s="3">
        <v>27</v>
      </c>
      <c r="C82" s="3">
        <v>100</v>
      </c>
      <c r="D82" s="3">
        <v>2700</v>
      </c>
      <c r="E82" s="3" t="str">
        <f t="shared" si="5"/>
        <v>Medium</v>
      </c>
      <c r="F82" s="3">
        <f t="shared" si="6"/>
        <v>810</v>
      </c>
      <c r="G82" s="4">
        <v>37676</v>
      </c>
      <c r="H82" s="3" t="s">
        <v>25</v>
      </c>
      <c r="I82" s="3" t="str">
        <f t="shared" si="4"/>
        <v>Yes</v>
      </c>
      <c r="J82" s="3" t="s">
        <v>681</v>
      </c>
      <c r="K82" s="3">
        <v>2003</v>
      </c>
      <c r="L82" s="3" t="str">
        <f t="shared" si="7"/>
        <v>Feb-2003</v>
      </c>
      <c r="M82" s="3" t="s">
        <v>26</v>
      </c>
      <c r="N82" s="3" t="s">
        <v>28</v>
      </c>
      <c r="O82" s="3" t="s">
        <v>32</v>
      </c>
      <c r="P82" s="3" t="s">
        <v>33</v>
      </c>
      <c r="Q82" s="3" t="s">
        <v>51</v>
      </c>
    </row>
    <row r="83" spans="1:17" x14ac:dyDescent="0.25">
      <c r="A83" s="5">
        <v>10120</v>
      </c>
      <c r="B83" s="5">
        <v>46</v>
      </c>
      <c r="C83" s="5">
        <v>100</v>
      </c>
      <c r="D83" s="5">
        <v>4600</v>
      </c>
      <c r="E83" s="5" t="str">
        <f t="shared" si="5"/>
        <v>Medium</v>
      </c>
      <c r="F83" s="5">
        <f t="shared" si="6"/>
        <v>1380</v>
      </c>
      <c r="G83" s="6">
        <v>37740</v>
      </c>
      <c r="H83" s="5" t="s">
        <v>25</v>
      </c>
      <c r="I83" s="5" t="str">
        <f t="shared" si="4"/>
        <v>Yes</v>
      </c>
      <c r="J83" s="5" t="s">
        <v>688</v>
      </c>
      <c r="K83" s="5">
        <v>2003</v>
      </c>
      <c r="L83" s="5" t="str">
        <f t="shared" si="7"/>
        <v>Apr-2003</v>
      </c>
      <c r="M83" s="5" t="s">
        <v>26</v>
      </c>
      <c r="N83" s="5" t="s">
        <v>89</v>
      </c>
      <c r="O83" s="5" t="s">
        <v>95</v>
      </c>
      <c r="P83" s="5" t="s">
        <v>96</v>
      </c>
      <c r="Q83" s="5" t="s">
        <v>151</v>
      </c>
    </row>
    <row r="84" spans="1:17" x14ac:dyDescent="0.25">
      <c r="A84" s="3">
        <v>10134</v>
      </c>
      <c r="B84" s="3">
        <v>31</v>
      </c>
      <c r="C84" s="3">
        <v>100</v>
      </c>
      <c r="D84" s="3">
        <v>3100</v>
      </c>
      <c r="E84" s="3" t="str">
        <f t="shared" si="5"/>
        <v>Medium</v>
      </c>
      <c r="F84" s="3">
        <f t="shared" si="6"/>
        <v>930</v>
      </c>
      <c r="G84" s="4">
        <v>37803</v>
      </c>
      <c r="H84" s="3" t="s">
        <v>25</v>
      </c>
      <c r="I84" s="3" t="str">
        <f t="shared" si="4"/>
        <v>Yes</v>
      </c>
      <c r="J84" s="3" t="s">
        <v>683</v>
      </c>
      <c r="K84" s="3">
        <v>2003</v>
      </c>
      <c r="L84" s="3" t="str">
        <f t="shared" si="7"/>
        <v>Jul-2003</v>
      </c>
      <c r="M84" s="3" t="s">
        <v>26</v>
      </c>
      <c r="N84" s="3" t="s">
        <v>45</v>
      </c>
      <c r="O84" s="3" t="s">
        <v>41</v>
      </c>
      <c r="P84" s="3" t="s">
        <v>42</v>
      </c>
      <c r="Q84" s="3" t="s">
        <v>151</v>
      </c>
    </row>
    <row r="85" spans="1:17" x14ac:dyDescent="0.25">
      <c r="A85" s="5">
        <v>10145</v>
      </c>
      <c r="B85" s="5">
        <v>33</v>
      </c>
      <c r="C85" s="5">
        <v>100</v>
      </c>
      <c r="D85" s="5">
        <v>3300</v>
      </c>
      <c r="E85" s="5" t="str">
        <f t="shared" si="5"/>
        <v>Medium</v>
      </c>
      <c r="F85" s="5">
        <f t="shared" si="6"/>
        <v>990</v>
      </c>
      <c r="G85" s="6">
        <v>37858</v>
      </c>
      <c r="H85" s="5" t="s">
        <v>25</v>
      </c>
      <c r="I85" s="5" t="str">
        <f t="shared" si="4"/>
        <v>Yes</v>
      </c>
      <c r="J85" s="5" t="s">
        <v>684</v>
      </c>
      <c r="K85" s="5">
        <v>2003</v>
      </c>
      <c r="L85" s="5" t="str">
        <f t="shared" si="7"/>
        <v>Aug-2003</v>
      </c>
      <c r="M85" s="5" t="s">
        <v>26</v>
      </c>
      <c r="N85" s="5" t="s">
        <v>52</v>
      </c>
      <c r="O85" s="5" t="s">
        <v>32</v>
      </c>
      <c r="P85" s="5" t="s">
        <v>33</v>
      </c>
      <c r="Q85" s="5" t="s">
        <v>51</v>
      </c>
    </row>
    <row r="86" spans="1:17" x14ac:dyDescent="0.25">
      <c r="A86" s="3">
        <v>10159</v>
      </c>
      <c r="B86" s="3">
        <v>22</v>
      </c>
      <c r="C86" s="3">
        <v>100</v>
      </c>
      <c r="D86" s="3">
        <v>2200</v>
      </c>
      <c r="E86" s="3" t="str">
        <f t="shared" si="5"/>
        <v>Medium</v>
      </c>
      <c r="F86" s="3">
        <f t="shared" si="6"/>
        <v>660</v>
      </c>
      <c r="G86" s="4">
        <v>37904</v>
      </c>
      <c r="H86" s="3" t="s">
        <v>25</v>
      </c>
      <c r="I86" s="3" t="str">
        <f t="shared" si="4"/>
        <v>Yes</v>
      </c>
      <c r="J86" s="3" t="s">
        <v>685</v>
      </c>
      <c r="K86" s="3">
        <v>2003</v>
      </c>
      <c r="L86" s="3" t="str">
        <f t="shared" si="7"/>
        <v>Oct-2003</v>
      </c>
      <c r="M86" s="3" t="s">
        <v>26</v>
      </c>
      <c r="N86" s="3" t="s">
        <v>58</v>
      </c>
      <c r="O86" s="3" t="s">
        <v>32</v>
      </c>
      <c r="P86" s="3" t="s">
        <v>33</v>
      </c>
      <c r="Q86" s="3" t="s">
        <v>51</v>
      </c>
    </row>
    <row r="87" spans="1:17" x14ac:dyDescent="0.25">
      <c r="A87" s="5">
        <v>10168</v>
      </c>
      <c r="B87" s="5">
        <v>20</v>
      </c>
      <c r="C87" s="5">
        <v>100</v>
      </c>
      <c r="D87" s="5">
        <v>2000</v>
      </c>
      <c r="E87" s="5" t="str">
        <f t="shared" si="5"/>
        <v>Medium</v>
      </c>
      <c r="F87" s="5">
        <f t="shared" si="6"/>
        <v>600</v>
      </c>
      <c r="G87" s="6">
        <v>37922</v>
      </c>
      <c r="H87" s="5" t="s">
        <v>25</v>
      </c>
      <c r="I87" s="5" t="str">
        <f t="shared" si="4"/>
        <v>Yes</v>
      </c>
      <c r="J87" s="5" t="s">
        <v>685</v>
      </c>
      <c r="K87" s="5">
        <v>2003</v>
      </c>
      <c r="L87" s="5" t="str">
        <f t="shared" si="7"/>
        <v>Oct-2003</v>
      </c>
      <c r="M87" s="5" t="s">
        <v>26</v>
      </c>
      <c r="N87" s="5" t="s">
        <v>62</v>
      </c>
      <c r="O87" s="5" t="s">
        <v>32</v>
      </c>
      <c r="P87" s="5" t="s">
        <v>33</v>
      </c>
      <c r="Q87" s="5" t="s">
        <v>51</v>
      </c>
    </row>
    <row r="88" spans="1:17" x14ac:dyDescent="0.25">
      <c r="A88" s="3">
        <v>10180</v>
      </c>
      <c r="B88" s="3">
        <v>41</v>
      </c>
      <c r="C88" s="3">
        <v>100</v>
      </c>
      <c r="D88" s="3">
        <v>4100</v>
      </c>
      <c r="E88" s="3" t="str">
        <f t="shared" si="5"/>
        <v>Medium</v>
      </c>
      <c r="F88" s="3">
        <f t="shared" si="6"/>
        <v>1230</v>
      </c>
      <c r="G88" s="4">
        <v>37936</v>
      </c>
      <c r="H88" s="3" t="s">
        <v>25</v>
      </c>
      <c r="I88" s="3" t="str">
        <f t="shared" si="4"/>
        <v>Yes</v>
      </c>
      <c r="J88" s="3" t="s">
        <v>686</v>
      </c>
      <c r="K88" s="3">
        <v>2003</v>
      </c>
      <c r="L88" s="3" t="str">
        <f t="shared" si="7"/>
        <v>Nov-2003</v>
      </c>
      <c r="M88" s="3" t="s">
        <v>26</v>
      </c>
      <c r="N88" s="3" t="s">
        <v>67</v>
      </c>
      <c r="O88" s="3" t="s">
        <v>41</v>
      </c>
      <c r="P88" s="3" t="s">
        <v>42</v>
      </c>
      <c r="Q88" s="3" t="s">
        <v>151</v>
      </c>
    </row>
    <row r="89" spans="1:17" x14ac:dyDescent="0.25">
      <c r="A89" s="5">
        <v>10188</v>
      </c>
      <c r="B89" s="5">
        <v>45</v>
      </c>
      <c r="C89" s="5">
        <v>100</v>
      </c>
      <c r="D89" s="5">
        <v>4500</v>
      </c>
      <c r="E89" s="5" t="str">
        <f t="shared" si="5"/>
        <v>Medium</v>
      </c>
      <c r="F89" s="5">
        <f t="shared" si="6"/>
        <v>1350</v>
      </c>
      <c r="G89" s="6">
        <v>37943</v>
      </c>
      <c r="H89" s="5" t="s">
        <v>25</v>
      </c>
      <c r="I89" s="5" t="str">
        <f t="shared" si="4"/>
        <v>Yes</v>
      </c>
      <c r="J89" s="5" t="s">
        <v>686</v>
      </c>
      <c r="K89" s="5">
        <v>2003</v>
      </c>
      <c r="L89" s="5" t="str">
        <f t="shared" si="7"/>
        <v>Nov-2003</v>
      </c>
      <c r="M89" s="5" t="s">
        <v>26</v>
      </c>
      <c r="N89" s="5" t="s">
        <v>73</v>
      </c>
      <c r="O89" s="5" t="s">
        <v>78</v>
      </c>
      <c r="P89" s="5" t="s">
        <v>42</v>
      </c>
      <c r="Q89" s="5" t="s">
        <v>151</v>
      </c>
    </row>
    <row r="90" spans="1:17" x14ac:dyDescent="0.25">
      <c r="A90" s="3">
        <v>10201</v>
      </c>
      <c r="B90" s="3">
        <v>49</v>
      </c>
      <c r="C90" s="3">
        <v>100</v>
      </c>
      <c r="D90" s="3">
        <v>4900</v>
      </c>
      <c r="E90" s="3" t="str">
        <f t="shared" si="5"/>
        <v>Medium</v>
      </c>
      <c r="F90" s="3">
        <f t="shared" si="6"/>
        <v>1470</v>
      </c>
      <c r="G90" s="4">
        <v>37956</v>
      </c>
      <c r="H90" s="3" t="s">
        <v>25</v>
      </c>
      <c r="I90" s="3" t="str">
        <f t="shared" si="4"/>
        <v>Yes</v>
      </c>
      <c r="J90" s="3" t="s">
        <v>687</v>
      </c>
      <c r="K90" s="3">
        <v>2003</v>
      </c>
      <c r="L90" s="3" t="str">
        <f t="shared" si="7"/>
        <v>Dec-2003</v>
      </c>
      <c r="M90" s="3" t="s">
        <v>26</v>
      </c>
      <c r="N90" s="3" t="s">
        <v>81</v>
      </c>
      <c r="O90" s="3" t="s">
        <v>32</v>
      </c>
      <c r="P90" s="3" t="s">
        <v>33</v>
      </c>
      <c r="Q90" s="3" t="s">
        <v>151</v>
      </c>
    </row>
    <row r="91" spans="1:17" x14ac:dyDescent="0.25">
      <c r="A91" s="5">
        <v>10210</v>
      </c>
      <c r="B91" s="5">
        <v>34</v>
      </c>
      <c r="C91" s="5">
        <v>100</v>
      </c>
      <c r="D91" s="5">
        <v>3400</v>
      </c>
      <c r="E91" s="5" t="str">
        <f t="shared" si="5"/>
        <v>Medium</v>
      </c>
      <c r="F91" s="5">
        <f t="shared" si="6"/>
        <v>1020</v>
      </c>
      <c r="G91" s="6">
        <v>37998</v>
      </c>
      <c r="H91" s="5" t="s">
        <v>25</v>
      </c>
      <c r="I91" s="5" t="str">
        <f t="shared" si="4"/>
        <v>Yes</v>
      </c>
      <c r="J91" s="5" t="s">
        <v>549</v>
      </c>
      <c r="K91" s="5">
        <v>2004</v>
      </c>
      <c r="L91" s="5" t="str">
        <f t="shared" si="7"/>
        <v>Jan-2004</v>
      </c>
      <c r="M91" s="5" t="s">
        <v>26</v>
      </c>
      <c r="N91" s="5" t="s">
        <v>302</v>
      </c>
      <c r="O91" s="5" t="s">
        <v>200</v>
      </c>
      <c r="P91" s="5" t="s">
        <v>675</v>
      </c>
      <c r="Q91" s="5" t="s">
        <v>51</v>
      </c>
    </row>
    <row r="92" spans="1:17" x14ac:dyDescent="0.25">
      <c r="A92" s="3">
        <v>10223</v>
      </c>
      <c r="B92" s="3">
        <v>49</v>
      </c>
      <c r="C92" s="3">
        <v>100</v>
      </c>
      <c r="D92" s="3">
        <v>4900</v>
      </c>
      <c r="E92" s="3" t="str">
        <f t="shared" si="5"/>
        <v>Medium</v>
      </c>
      <c r="F92" s="3">
        <f t="shared" si="6"/>
        <v>1470</v>
      </c>
      <c r="G92" s="4">
        <v>38037</v>
      </c>
      <c r="H92" s="3" t="s">
        <v>25</v>
      </c>
      <c r="I92" s="3" t="str">
        <f t="shared" si="4"/>
        <v>Yes</v>
      </c>
      <c r="J92" s="3" t="s">
        <v>681</v>
      </c>
      <c r="K92" s="3">
        <v>2004</v>
      </c>
      <c r="L92" s="3" t="str">
        <f t="shared" si="7"/>
        <v>Feb-2004</v>
      </c>
      <c r="M92" s="3" t="s">
        <v>26</v>
      </c>
      <c r="N92" s="3" t="s">
        <v>89</v>
      </c>
      <c r="O92" s="3" t="s">
        <v>95</v>
      </c>
      <c r="P92" s="3" t="s">
        <v>96</v>
      </c>
      <c r="Q92" s="3" t="s">
        <v>151</v>
      </c>
    </row>
    <row r="93" spans="1:17" x14ac:dyDescent="0.25">
      <c r="A93" s="5">
        <v>10237</v>
      </c>
      <c r="B93" s="5">
        <v>39</v>
      </c>
      <c r="C93" s="5">
        <v>100</v>
      </c>
      <c r="D93" s="5">
        <v>3900</v>
      </c>
      <c r="E93" s="5" t="str">
        <f t="shared" si="5"/>
        <v>Medium</v>
      </c>
      <c r="F93" s="5">
        <f t="shared" si="6"/>
        <v>1170</v>
      </c>
      <c r="G93" s="6">
        <v>38082</v>
      </c>
      <c r="H93" s="5" t="s">
        <v>25</v>
      </c>
      <c r="I93" s="5" t="str">
        <f t="shared" si="4"/>
        <v>Yes</v>
      </c>
      <c r="J93" s="5" t="s">
        <v>688</v>
      </c>
      <c r="K93" s="5">
        <v>2004</v>
      </c>
      <c r="L93" s="5" t="str">
        <f t="shared" si="7"/>
        <v>Apr-2004</v>
      </c>
      <c r="M93" s="5" t="s">
        <v>26</v>
      </c>
      <c r="N93" s="5" t="s">
        <v>99</v>
      </c>
      <c r="O93" s="5" t="s">
        <v>32</v>
      </c>
      <c r="P93" s="5" t="s">
        <v>33</v>
      </c>
      <c r="Q93" s="5" t="s">
        <v>151</v>
      </c>
    </row>
    <row r="94" spans="1:17" x14ac:dyDescent="0.25">
      <c r="A94" s="3">
        <v>10251</v>
      </c>
      <c r="B94" s="3">
        <v>43</v>
      </c>
      <c r="C94" s="3">
        <v>100</v>
      </c>
      <c r="D94" s="3">
        <v>4300</v>
      </c>
      <c r="E94" s="3" t="str">
        <f t="shared" si="5"/>
        <v>Medium</v>
      </c>
      <c r="F94" s="3">
        <f t="shared" si="6"/>
        <v>1290</v>
      </c>
      <c r="G94" s="4">
        <v>38125</v>
      </c>
      <c r="H94" s="3" t="s">
        <v>25</v>
      </c>
      <c r="I94" s="3" t="str">
        <f t="shared" si="4"/>
        <v>Yes</v>
      </c>
      <c r="J94" s="3" t="s">
        <v>682</v>
      </c>
      <c r="K94" s="3">
        <v>2004</v>
      </c>
      <c r="L94" s="3" t="str">
        <f t="shared" si="7"/>
        <v>May-2004</v>
      </c>
      <c r="M94" s="3" t="s">
        <v>26</v>
      </c>
      <c r="N94" s="3" t="s">
        <v>104</v>
      </c>
      <c r="O94" s="3" t="s">
        <v>32</v>
      </c>
      <c r="P94" s="3" t="s">
        <v>33</v>
      </c>
      <c r="Q94" s="3" t="s">
        <v>151</v>
      </c>
    </row>
    <row r="95" spans="1:17" x14ac:dyDescent="0.25">
      <c r="A95" s="5">
        <v>10263</v>
      </c>
      <c r="B95" s="5">
        <v>41</v>
      </c>
      <c r="C95" s="5">
        <v>100</v>
      </c>
      <c r="D95" s="5">
        <v>4100</v>
      </c>
      <c r="E95" s="5" t="str">
        <f t="shared" si="5"/>
        <v>Medium</v>
      </c>
      <c r="F95" s="5">
        <f t="shared" si="6"/>
        <v>1230</v>
      </c>
      <c r="G95" s="6">
        <v>38166</v>
      </c>
      <c r="H95" s="5" t="s">
        <v>25</v>
      </c>
      <c r="I95" s="5" t="str">
        <f t="shared" si="4"/>
        <v>Yes</v>
      </c>
      <c r="J95" s="5" t="s">
        <v>689</v>
      </c>
      <c r="K95" s="5">
        <v>2004</v>
      </c>
      <c r="L95" s="5" t="str">
        <f t="shared" si="7"/>
        <v>Jun-2004</v>
      </c>
      <c r="M95" s="5" t="s">
        <v>26</v>
      </c>
      <c r="N95" s="5" t="s">
        <v>109</v>
      </c>
      <c r="O95" s="5" t="s">
        <v>32</v>
      </c>
      <c r="P95" s="5" t="s">
        <v>33</v>
      </c>
      <c r="Q95" s="5" t="s">
        <v>151</v>
      </c>
    </row>
    <row r="96" spans="1:17" x14ac:dyDescent="0.25">
      <c r="A96" s="3">
        <v>10275</v>
      </c>
      <c r="B96" s="3">
        <v>36</v>
      </c>
      <c r="C96" s="3">
        <v>100</v>
      </c>
      <c r="D96" s="3">
        <v>3600</v>
      </c>
      <c r="E96" s="3" t="str">
        <f t="shared" si="5"/>
        <v>Medium</v>
      </c>
      <c r="F96" s="3">
        <f t="shared" si="6"/>
        <v>1080</v>
      </c>
      <c r="G96" s="4">
        <v>38191</v>
      </c>
      <c r="H96" s="3" t="s">
        <v>25</v>
      </c>
      <c r="I96" s="3" t="str">
        <f t="shared" si="4"/>
        <v>Yes</v>
      </c>
      <c r="J96" s="3" t="s">
        <v>683</v>
      </c>
      <c r="K96" s="3">
        <v>2004</v>
      </c>
      <c r="L96" s="3" t="str">
        <f t="shared" si="7"/>
        <v>Jul-2004</v>
      </c>
      <c r="M96" s="3" t="s">
        <v>26</v>
      </c>
      <c r="N96" s="3" t="s">
        <v>114</v>
      </c>
      <c r="O96" s="3" t="s">
        <v>41</v>
      </c>
      <c r="P96" s="3" t="s">
        <v>42</v>
      </c>
      <c r="Q96" s="3" t="s">
        <v>51</v>
      </c>
    </row>
    <row r="97" spans="1:17" x14ac:dyDescent="0.25">
      <c r="A97" s="5">
        <v>10285</v>
      </c>
      <c r="B97" s="5">
        <v>27</v>
      </c>
      <c r="C97" s="5">
        <v>100</v>
      </c>
      <c r="D97" s="5">
        <v>2700</v>
      </c>
      <c r="E97" s="5" t="str">
        <f t="shared" si="5"/>
        <v>Medium</v>
      </c>
      <c r="F97" s="5">
        <f t="shared" si="6"/>
        <v>810</v>
      </c>
      <c r="G97" s="6">
        <v>38226</v>
      </c>
      <c r="H97" s="5" t="s">
        <v>25</v>
      </c>
      <c r="I97" s="5" t="str">
        <f t="shared" si="4"/>
        <v>Yes</v>
      </c>
      <c r="J97" s="5" t="s">
        <v>684</v>
      </c>
      <c r="K97" s="5">
        <v>2004</v>
      </c>
      <c r="L97" s="5" t="str">
        <f t="shared" si="7"/>
        <v>Aug-2004</v>
      </c>
      <c r="M97" s="5" t="s">
        <v>26</v>
      </c>
      <c r="N97" s="5" t="s">
        <v>120</v>
      </c>
      <c r="O97" s="5" t="s">
        <v>32</v>
      </c>
      <c r="P97" s="5" t="s">
        <v>33</v>
      </c>
      <c r="Q97" s="5" t="s">
        <v>51</v>
      </c>
    </row>
    <row r="98" spans="1:17" x14ac:dyDescent="0.25">
      <c r="A98" s="3">
        <v>10299</v>
      </c>
      <c r="B98" s="3">
        <v>29</v>
      </c>
      <c r="C98" s="3">
        <v>100</v>
      </c>
      <c r="D98" s="3">
        <v>2900</v>
      </c>
      <c r="E98" s="3" t="str">
        <f t="shared" si="5"/>
        <v>Medium</v>
      </c>
      <c r="F98" s="3">
        <f t="shared" si="6"/>
        <v>870</v>
      </c>
      <c r="G98" s="4">
        <v>38260</v>
      </c>
      <c r="H98" s="3" t="s">
        <v>25</v>
      </c>
      <c r="I98" s="3" t="str">
        <f t="shared" si="4"/>
        <v>Yes</v>
      </c>
      <c r="J98" s="3" t="s">
        <v>690</v>
      </c>
      <c r="K98" s="3">
        <v>2004</v>
      </c>
      <c r="L98" s="3" t="str">
        <f t="shared" si="7"/>
        <v>Sep-2004</v>
      </c>
      <c r="M98" s="3" t="s">
        <v>26</v>
      </c>
      <c r="N98" s="3" t="s">
        <v>126</v>
      </c>
      <c r="O98" s="3" t="s">
        <v>130</v>
      </c>
      <c r="P98" s="3" t="s">
        <v>42</v>
      </c>
      <c r="Q98" s="3" t="s">
        <v>51</v>
      </c>
    </row>
    <row r="99" spans="1:17" x14ac:dyDescent="0.25">
      <c r="A99" s="5">
        <v>10308</v>
      </c>
      <c r="B99" s="5">
        <v>20</v>
      </c>
      <c r="C99" s="5">
        <v>100</v>
      </c>
      <c r="D99" s="5">
        <v>2000</v>
      </c>
      <c r="E99" s="5" t="str">
        <f t="shared" si="5"/>
        <v>Medium</v>
      </c>
      <c r="F99" s="5">
        <f t="shared" si="6"/>
        <v>600</v>
      </c>
      <c r="G99" s="6">
        <v>38275</v>
      </c>
      <c r="H99" s="5" t="s">
        <v>25</v>
      </c>
      <c r="I99" s="5" t="str">
        <f t="shared" si="4"/>
        <v>Yes</v>
      </c>
      <c r="J99" s="5" t="s">
        <v>685</v>
      </c>
      <c r="K99" s="5">
        <v>2004</v>
      </c>
      <c r="L99" s="5" t="str">
        <f t="shared" si="7"/>
        <v>Oct-2004</v>
      </c>
      <c r="M99" s="5" t="s">
        <v>26</v>
      </c>
      <c r="N99" s="5" t="s">
        <v>317</v>
      </c>
      <c r="O99" s="5" t="s">
        <v>32</v>
      </c>
      <c r="P99" s="5" t="s">
        <v>33</v>
      </c>
      <c r="Q99" s="5" t="s">
        <v>51</v>
      </c>
    </row>
    <row r="100" spans="1:17" x14ac:dyDescent="0.25">
      <c r="A100" s="3">
        <v>10318</v>
      </c>
      <c r="B100" s="3">
        <v>37</v>
      </c>
      <c r="C100" s="3">
        <v>100</v>
      </c>
      <c r="D100" s="3">
        <v>3700</v>
      </c>
      <c r="E100" s="3" t="str">
        <f t="shared" si="5"/>
        <v>Medium</v>
      </c>
      <c r="F100" s="3">
        <f t="shared" si="6"/>
        <v>1110</v>
      </c>
      <c r="G100" s="4">
        <v>38293</v>
      </c>
      <c r="H100" s="3" t="s">
        <v>25</v>
      </c>
      <c r="I100" s="3" t="str">
        <f t="shared" si="4"/>
        <v>Yes</v>
      </c>
      <c r="J100" s="3" t="s">
        <v>686</v>
      </c>
      <c r="K100" s="3">
        <v>2004</v>
      </c>
      <c r="L100" s="3" t="str">
        <f t="shared" si="7"/>
        <v>Nov-2004</v>
      </c>
      <c r="M100" s="3" t="s">
        <v>26</v>
      </c>
      <c r="N100" s="3" t="s">
        <v>139</v>
      </c>
      <c r="O100" s="3" t="s">
        <v>32</v>
      </c>
      <c r="P100" s="3" t="s">
        <v>33</v>
      </c>
      <c r="Q100" s="3" t="s">
        <v>151</v>
      </c>
    </row>
    <row r="101" spans="1:17" x14ac:dyDescent="0.25">
      <c r="A101" s="5">
        <v>10329</v>
      </c>
      <c r="B101" s="5">
        <v>26</v>
      </c>
      <c r="C101" s="5">
        <v>100</v>
      </c>
      <c r="D101" s="5">
        <v>2600</v>
      </c>
      <c r="E101" s="5" t="str">
        <f t="shared" si="5"/>
        <v>Medium</v>
      </c>
      <c r="F101" s="5">
        <f t="shared" si="6"/>
        <v>780</v>
      </c>
      <c r="G101" s="6">
        <v>38306</v>
      </c>
      <c r="H101" s="5" t="s">
        <v>25</v>
      </c>
      <c r="I101" s="5" t="str">
        <f t="shared" si="4"/>
        <v>Yes</v>
      </c>
      <c r="J101" s="5" t="s">
        <v>686</v>
      </c>
      <c r="K101" s="5">
        <v>2004</v>
      </c>
      <c r="L101" s="5" t="str">
        <f t="shared" si="7"/>
        <v>Nov-2004</v>
      </c>
      <c r="M101" s="5" t="s">
        <v>26</v>
      </c>
      <c r="N101" s="5" t="s">
        <v>28</v>
      </c>
      <c r="O101" s="5" t="s">
        <v>32</v>
      </c>
      <c r="P101" s="5" t="s">
        <v>33</v>
      </c>
      <c r="Q101" s="5" t="s">
        <v>51</v>
      </c>
    </row>
    <row r="102" spans="1:17" x14ac:dyDescent="0.25">
      <c r="A102" s="3">
        <v>10339</v>
      </c>
      <c r="B102" s="3">
        <v>39</v>
      </c>
      <c r="C102" s="3">
        <v>76.67</v>
      </c>
      <c r="D102" s="3">
        <v>2990.13</v>
      </c>
      <c r="E102" s="3" t="str">
        <f t="shared" si="5"/>
        <v>Medium</v>
      </c>
      <c r="F102" s="3">
        <f t="shared" si="6"/>
        <v>897.03899999999999</v>
      </c>
      <c r="G102" s="4">
        <v>38314</v>
      </c>
      <c r="H102" s="3" t="s">
        <v>25</v>
      </c>
      <c r="I102" s="3" t="str">
        <f t="shared" si="4"/>
        <v>Yes</v>
      </c>
      <c r="J102" s="3" t="s">
        <v>686</v>
      </c>
      <c r="K102" s="3">
        <v>2004</v>
      </c>
      <c r="L102" s="3" t="str">
        <f t="shared" si="7"/>
        <v>Nov-2004</v>
      </c>
      <c r="M102" s="3" t="s">
        <v>26</v>
      </c>
      <c r="N102" s="3" t="s">
        <v>246</v>
      </c>
      <c r="O102" s="3" t="s">
        <v>200</v>
      </c>
      <c r="P102" s="3" t="s">
        <v>675</v>
      </c>
      <c r="Q102" s="3" t="s">
        <v>36</v>
      </c>
    </row>
    <row r="103" spans="1:17" x14ac:dyDescent="0.25">
      <c r="A103" s="5">
        <v>10362</v>
      </c>
      <c r="B103" s="5">
        <v>22</v>
      </c>
      <c r="C103" s="5">
        <v>100</v>
      </c>
      <c r="D103" s="5">
        <v>2200</v>
      </c>
      <c r="E103" s="5" t="str">
        <f t="shared" si="5"/>
        <v>Medium</v>
      </c>
      <c r="F103" s="5">
        <f t="shared" si="6"/>
        <v>660</v>
      </c>
      <c r="G103" s="6">
        <v>38357</v>
      </c>
      <c r="H103" s="5" t="s">
        <v>25</v>
      </c>
      <c r="I103" s="5" t="str">
        <f t="shared" si="4"/>
        <v>Yes</v>
      </c>
      <c r="J103" s="5" t="s">
        <v>549</v>
      </c>
      <c r="K103" s="5">
        <v>2005</v>
      </c>
      <c r="L103" s="5" t="str">
        <f t="shared" si="7"/>
        <v>Jan-2005</v>
      </c>
      <c r="M103" s="5" t="s">
        <v>26</v>
      </c>
      <c r="N103" s="5" t="s">
        <v>62</v>
      </c>
      <c r="O103" s="5" t="s">
        <v>32</v>
      </c>
      <c r="P103" s="5" t="s">
        <v>33</v>
      </c>
      <c r="Q103" s="5" t="s">
        <v>51</v>
      </c>
    </row>
    <row r="104" spans="1:17" x14ac:dyDescent="0.25">
      <c r="A104" s="3">
        <v>10374</v>
      </c>
      <c r="B104" s="3">
        <v>22</v>
      </c>
      <c r="C104" s="3">
        <v>100</v>
      </c>
      <c r="D104" s="3">
        <v>2200</v>
      </c>
      <c r="E104" s="3" t="str">
        <f t="shared" si="5"/>
        <v>Medium</v>
      </c>
      <c r="F104" s="3">
        <f t="shared" si="6"/>
        <v>660</v>
      </c>
      <c r="G104" s="4">
        <v>38385</v>
      </c>
      <c r="H104" s="3" t="s">
        <v>25</v>
      </c>
      <c r="I104" s="3" t="str">
        <f t="shared" si="4"/>
        <v>Yes</v>
      </c>
      <c r="J104" s="3" t="s">
        <v>681</v>
      </c>
      <c r="K104" s="3">
        <v>2005</v>
      </c>
      <c r="L104" s="3" t="str">
        <f t="shared" si="7"/>
        <v>Feb-2005</v>
      </c>
      <c r="M104" s="3" t="s">
        <v>26</v>
      </c>
      <c r="N104" s="3" t="s">
        <v>207</v>
      </c>
      <c r="O104" s="3" t="s">
        <v>95</v>
      </c>
      <c r="P104" s="3" t="s">
        <v>96</v>
      </c>
      <c r="Q104" s="3" t="s">
        <v>51</v>
      </c>
    </row>
    <row r="105" spans="1:17" x14ac:dyDescent="0.25">
      <c r="A105" s="5">
        <v>10388</v>
      </c>
      <c r="B105" s="5">
        <v>21</v>
      </c>
      <c r="C105" s="5">
        <v>86.77</v>
      </c>
      <c r="D105" s="5">
        <v>1822.1699999999998</v>
      </c>
      <c r="E105" s="5" t="str">
        <f t="shared" si="5"/>
        <v>Low</v>
      </c>
      <c r="F105" s="5">
        <f t="shared" si="6"/>
        <v>546.65099999999995</v>
      </c>
      <c r="G105" s="6">
        <v>38414</v>
      </c>
      <c r="H105" s="5" t="s">
        <v>25</v>
      </c>
      <c r="I105" s="5" t="str">
        <f t="shared" si="4"/>
        <v>Yes</v>
      </c>
      <c r="J105" s="5" t="s">
        <v>691</v>
      </c>
      <c r="K105" s="5">
        <v>2005</v>
      </c>
      <c r="L105" s="5" t="str">
        <f t="shared" si="7"/>
        <v>Mar-2005</v>
      </c>
      <c r="M105" s="5" t="s">
        <v>26</v>
      </c>
      <c r="N105" s="5" t="s">
        <v>160</v>
      </c>
      <c r="O105" s="5" t="s">
        <v>32</v>
      </c>
      <c r="P105" s="5" t="s">
        <v>33</v>
      </c>
      <c r="Q105" s="5" t="s">
        <v>36</v>
      </c>
    </row>
    <row r="106" spans="1:17" x14ac:dyDescent="0.25">
      <c r="A106" s="3">
        <v>10403</v>
      </c>
      <c r="B106" s="3">
        <v>66</v>
      </c>
      <c r="C106" s="3">
        <v>100</v>
      </c>
      <c r="D106" s="3">
        <v>6600</v>
      </c>
      <c r="E106" s="3" t="str">
        <f t="shared" si="5"/>
        <v>High</v>
      </c>
      <c r="F106" s="3">
        <f t="shared" si="6"/>
        <v>1980</v>
      </c>
      <c r="G106" s="4">
        <v>38450</v>
      </c>
      <c r="H106" s="3" t="s">
        <v>25</v>
      </c>
      <c r="I106" s="3" t="str">
        <f t="shared" si="4"/>
        <v>Yes</v>
      </c>
      <c r="J106" s="3" t="s">
        <v>688</v>
      </c>
      <c r="K106" s="3">
        <v>2005</v>
      </c>
      <c r="L106" s="3" t="str">
        <f t="shared" si="7"/>
        <v>Apr-2005</v>
      </c>
      <c r="M106" s="3" t="s">
        <v>26</v>
      </c>
      <c r="N106" s="3" t="s">
        <v>165</v>
      </c>
      <c r="O106" s="3" t="s">
        <v>170</v>
      </c>
      <c r="P106" s="3" t="s">
        <v>42</v>
      </c>
      <c r="Q106" s="3" t="s">
        <v>151</v>
      </c>
    </row>
    <row r="107" spans="1:17" x14ac:dyDescent="0.25">
      <c r="A107" s="5">
        <v>10417</v>
      </c>
      <c r="B107" s="5">
        <v>56</v>
      </c>
      <c r="C107" s="5">
        <v>100</v>
      </c>
      <c r="D107" s="5">
        <v>5600</v>
      </c>
      <c r="E107" s="5" t="str">
        <f t="shared" si="5"/>
        <v>High</v>
      </c>
      <c r="F107" s="5">
        <f t="shared" si="6"/>
        <v>1680</v>
      </c>
      <c r="G107" s="6">
        <v>38485</v>
      </c>
      <c r="H107" s="5" t="s">
        <v>173</v>
      </c>
      <c r="I107" s="5" t="str">
        <f t="shared" si="4"/>
        <v>No</v>
      </c>
      <c r="J107" s="5" t="s">
        <v>682</v>
      </c>
      <c r="K107" s="5">
        <v>2005</v>
      </c>
      <c r="L107" s="5" t="str">
        <f t="shared" si="7"/>
        <v>May-2005</v>
      </c>
      <c r="M107" s="5" t="s">
        <v>26</v>
      </c>
      <c r="N107" s="5" t="s">
        <v>174</v>
      </c>
      <c r="O107" s="5" t="s">
        <v>178</v>
      </c>
      <c r="P107" s="5" t="s">
        <v>42</v>
      </c>
      <c r="Q107" s="5" t="s">
        <v>151</v>
      </c>
    </row>
    <row r="108" spans="1:17" x14ac:dyDescent="0.25">
      <c r="A108" s="3">
        <v>10105</v>
      </c>
      <c r="B108" s="3">
        <v>50</v>
      </c>
      <c r="C108" s="3">
        <v>100</v>
      </c>
      <c r="D108" s="3">
        <v>5000</v>
      </c>
      <c r="E108" s="3" t="str">
        <f t="shared" si="5"/>
        <v>High</v>
      </c>
      <c r="F108" s="3">
        <f t="shared" si="6"/>
        <v>1500</v>
      </c>
      <c r="G108" s="4">
        <v>37663</v>
      </c>
      <c r="H108" s="3" t="s">
        <v>25</v>
      </c>
      <c r="I108" s="3" t="str">
        <f t="shared" si="4"/>
        <v>Yes</v>
      </c>
      <c r="J108" s="3" t="s">
        <v>681</v>
      </c>
      <c r="K108" s="3">
        <v>2003</v>
      </c>
      <c r="L108" s="3" t="str">
        <f t="shared" si="7"/>
        <v>Feb-2003</v>
      </c>
      <c r="M108" s="3" t="s">
        <v>181</v>
      </c>
      <c r="N108" s="3" t="s">
        <v>322</v>
      </c>
      <c r="O108" s="3" t="s">
        <v>326</v>
      </c>
      <c r="P108" s="3" t="s">
        <v>42</v>
      </c>
      <c r="Q108" s="3" t="s">
        <v>151</v>
      </c>
    </row>
    <row r="109" spans="1:17" x14ac:dyDescent="0.25">
      <c r="A109" s="5">
        <v>10119</v>
      </c>
      <c r="B109" s="5">
        <v>46</v>
      </c>
      <c r="C109" s="5">
        <v>100</v>
      </c>
      <c r="D109" s="5">
        <v>4600</v>
      </c>
      <c r="E109" s="5" t="str">
        <f t="shared" si="5"/>
        <v>Medium</v>
      </c>
      <c r="F109" s="5">
        <f t="shared" si="6"/>
        <v>1380</v>
      </c>
      <c r="G109" s="6">
        <v>37739</v>
      </c>
      <c r="H109" s="5" t="s">
        <v>25</v>
      </c>
      <c r="I109" s="5" t="str">
        <f t="shared" si="4"/>
        <v>Yes</v>
      </c>
      <c r="J109" s="5" t="s">
        <v>688</v>
      </c>
      <c r="K109" s="5">
        <v>2003</v>
      </c>
      <c r="L109" s="5" t="str">
        <f t="shared" si="7"/>
        <v>Apr-2003</v>
      </c>
      <c r="M109" s="5" t="s">
        <v>181</v>
      </c>
      <c r="N109" s="5" t="s">
        <v>144</v>
      </c>
      <c r="O109" s="5" t="s">
        <v>148</v>
      </c>
      <c r="P109" s="5" t="s">
        <v>42</v>
      </c>
      <c r="Q109" s="5" t="s">
        <v>51</v>
      </c>
    </row>
    <row r="110" spans="1:17" x14ac:dyDescent="0.25">
      <c r="A110" s="3">
        <v>10129</v>
      </c>
      <c r="B110" s="3">
        <v>33</v>
      </c>
      <c r="C110" s="3">
        <v>100</v>
      </c>
      <c r="D110" s="3">
        <v>3300</v>
      </c>
      <c r="E110" s="3" t="str">
        <f t="shared" si="5"/>
        <v>Medium</v>
      </c>
      <c r="F110" s="3">
        <f t="shared" si="6"/>
        <v>990</v>
      </c>
      <c r="G110" s="4">
        <v>37784</v>
      </c>
      <c r="H110" s="3" t="s">
        <v>25</v>
      </c>
      <c r="I110" s="3" t="str">
        <f t="shared" si="4"/>
        <v>Yes</v>
      </c>
      <c r="J110" s="3" t="s">
        <v>689</v>
      </c>
      <c r="K110" s="3">
        <v>2003</v>
      </c>
      <c r="L110" s="3" t="str">
        <f t="shared" si="7"/>
        <v>Jun-2003</v>
      </c>
      <c r="M110" s="3" t="s">
        <v>181</v>
      </c>
      <c r="N110" s="3" t="s">
        <v>329</v>
      </c>
      <c r="O110" s="3" t="s">
        <v>170</v>
      </c>
      <c r="P110" s="3" t="s">
        <v>42</v>
      </c>
      <c r="Q110" s="3" t="s">
        <v>51</v>
      </c>
    </row>
    <row r="111" spans="1:17" x14ac:dyDescent="0.25">
      <c r="A111" s="5">
        <v>10143</v>
      </c>
      <c r="B111" s="5">
        <v>49</v>
      </c>
      <c r="C111" s="5">
        <v>100</v>
      </c>
      <c r="D111" s="5">
        <v>4900</v>
      </c>
      <c r="E111" s="5" t="str">
        <f t="shared" si="5"/>
        <v>Medium</v>
      </c>
      <c r="F111" s="5">
        <f t="shared" si="6"/>
        <v>1470</v>
      </c>
      <c r="G111" s="6">
        <v>37843</v>
      </c>
      <c r="H111" s="5" t="s">
        <v>25</v>
      </c>
      <c r="I111" s="5" t="str">
        <f t="shared" si="4"/>
        <v>Yes</v>
      </c>
      <c r="J111" s="5" t="s">
        <v>684</v>
      </c>
      <c r="K111" s="5">
        <v>2003</v>
      </c>
      <c r="L111" s="5" t="str">
        <f t="shared" si="7"/>
        <v>Aug-2003</v>
      </c>
      <c r="M111" s="5" t="s">
        <v>181</v>
      </c>
      <c r="N111" s="5" t="s">
        <v>335</v>
      </c>
      <c r="O111" s="5" t="s">
        <v>32</v>
      </c>
      <c r="P111" s="5" t="s">
        <v>33</v>
      </c>
      <c r="Q111" s="5" t="s">
        <v>51</v>
      </c>
    </row>
    <row r="112" spans="1:17" x14ac:dyDescent="0.25">
      <c r="A112" s="3">
        <v>10155</v>
      </c>
      <c r="B112" s="3">
        <v>32</v>
      </c>
      <c r="C112" s="3">
        <v>100</v>
      </c>
      <c r="D112" s="3">
        <v>3200</v>
      </c>
      <c r="E112" s="3" t="str">
        <f t="shared" si="5"/>
        <v>Medium</v>
      </c>
      <c r="F112" s="3">
        <f t="shared" si="6"/>
        <v>960</v>
      </c>
      <c r="G112" s="4">
        <v>37900</v>
      </c>
      <c r="H112" s="3" t="s">
        <v>25</v>
      </c>
      <c r="I112" s="3" t="str">
        <f t="shared" si="4"/>
        <v>Yes</v>
      </c>
      <c r="J112" s="3" t="s">
        <v>685</v>
      </c>
      <c r="K112" s="3">
        <v>2003</v>
      </c>
      <c r="L112" s="3" t="str">
        <f t="shared" si="7"/>
        <v>Oct-2003</v>
      </c>
      <c r="M112" s="3" t="s">
        <v>181</v>
      </c>
      <c r="N112" s="3" t="s">
        <v>126</v>
      </c>
      <c r="O112" s="3" t="s">
        <v>130</v>
      </c>
      <c r="P112" s="3" t="s">
        <v>42</v>
      </c>
      <c r="Q112" s="3" t="s">
        <v>51</v>
      </c>
    </row>
    <row r="113" spans="1:17" x14ac:dyDescent="0.25">
      <c r="A113" s="5">
        <v>10167</v>
      </c>
      <c r="B113" s="5">
        <v>44</v>
      </c>
      <c r="C113" s="5">
        <v>100</v>
      </c>
      <c r="D113" s="5">
        <v>4400</v>
      </c>
      <c r="E113" s="5" t="str">
        <f t="shared" si="5"/>
        <v>Medium</v>
      </c>
      <c r="F113" s="5">
        <f t="shared" si="6"/>
        <v>1320</v>
      </c>
      <c r="G113" s="6">
        <v>37917</v>
      </c>
      <c r="H113" s="5" t="s">
        <v>339</v>
      </c>
      <c r="I113" s="5" t="str">
        <f t="shared" si="4"/>
        <v>No</v>
      </c>
      <c r="J113" s="5" t="s">
        <v>685</v>
      </c>
      <c r="K113" s="5">
        <v>2003</v>
      </c>
      <c r="L113" s="5" t="str">
        <f t="shared" si="7"/>
        <v>Oct-2003</v>
      </c>
      <c r="M113" s="5" t="s">
        <v>181</v>
      </c>
      <c r="N113" s="5" t="s">
        <v>261</v>
      </c>
      <c r="O113" s="5" t="s">
        <v>188</v>
      </c>
      <c r="P113" s="5" t="s">
        <v>42</v>
      </c>
      <c r="Q113" s="5" t="s">
        <v>51</v>
      </c>
    </row>
    <row r="114" spans="1:17" x14ac:dyDescent="0.25">
      <c r="A114" s="3">
        <v>10178</v>
      </c>
      <c r="B114" s="3">
        <v>24</v>
      </c>
      <c r="C114" s="3">
        <v>100</v>
      </c>
      <c r="D114" s="3">
        <v>2400</v>
      </c>
      <c r="E114" s="3" t="str">
        <f t="shared" si="5"/>
        <v>Medium</v>
      </c>
      <c r="F114" s="3">
        <f t="shared" si="6"/>
        <v>720</v>
      </c>
      <c r="G114" s="4">
        <v>37933</v>
      </c>
      <c r="H114" s="3" t="s">
        <v>25</v>
      </c>
      <c r="I114" s="3" t="str">
        <f t="shared" si="4"/>
        <v>Yes</v>
      </c>
      <c r="J114" s="3" t="s">
        <v>686</v>
      </c>
      <c r="K114" s="3">
        <v>2003</v>
      </c>
      <c r="L114" s="3" t="str">
        <f t="shared" si="7"/>
        <v>Nov-2003</v>
      </c>
      <c r="M114" s="3" t="s">
        <v>181</v>
      </c>
      <c r="N114" s="3" t="s">
        <v>340</v>
      </c>
      <c r="O114" s="3" t="s">
        <v>41</v>
      </c>
      <c r="P114" s="3" t="s">
        <v>42</v>
      </c>
      <c r="Q114" s="3" t="s">
        <v>51</v>
      </c>
    </row>
    <row r="115" spans="1:17" x14ac:dyDescent="0.25">
      <c r="A115" s="5">
        <v>10186</v>
      </c>
      <c r="B115" s="5">
        <v>26</v>
      </c>
      <c r="C115" s="5">
        <v>100</v>
      </c>
      <c r="D115" s="5">
        <v>2600</v>
      </c>
      <c r="E115" s="5" t="str">
        <f t="shared" si="5"/>
        <v>Medium</v>
      </c>
      <c r="F115" s="5">
        <f t="shared" si="6"/>
        <v>780</v>
      </c>
      <c r="G115" s="6">
        <v>37939</v>
      </c>
      <c r="H115" s="5" t="s">
        <v>25</v>
      </c>
      <c r="I115" s="5" t="str">
        <f t="shared" si="4"/>
        <v>Yes</v>
      </c>
      <c r="J115" s="5" t="s">
        <v>686</v>
      </c>
      <c r="K115" s="5">
        <v>2003</v>
      </c>
      <c r="L115" s="5" t="str">
        <f t="shared" si="7"/>
        <v>Nov-2003</v>
      </c>
      <c r="M115" s="5" t="s">
        <v>181</v>
      </c>
      <c r="N115" s="5" t="s">
        <v>346</v>
      </c>
      <c r="O115" s="5" t="s">
        <v>170</v>
      </c>
      <c r="P115" s="5" t="s">
        <v>42</v>
      </c>
      <c r="Q115" s="5" t="s">
        <v>51</v>
      </c>
    </row>
    <row r="116" spans="1:17" x14ac:dyDescent="0.25">
      <c r="A116" s="3">
        <v>10197</v>
      </c>
      <c r="B116" s="3">
        <v>45</v>
      </c>
      <c r="C116" s="3">
        <v>100</v>
      </c>
      <c r="D116" s="3">
        <v>4500</v>
      </c>
      <c r="E116" s="3" t="str">
        <f t="shared" si="5"/>
        <v>Medium</v>
      </c>
      <c r="F116" s="3">
        <f t="shared" si="6"/>
        <v>1350</v>
      </c>
      <c r="G116" s="4">
        <v>37951</v>
      </c>
      <c r="H116" s="3" t="s">
        <v>25</v>
      </c>
      <c r="I116" s="3" t="str">
        <f t="shared" si="4"/>
        <v>Yes</v>
      </c>
      <c r="J116" s="3" t="s">
        <v>686</v>
      </c>
      <c r="K116" s="3">
        <v>2003</v>
      </c>
      <c r="L116" s="3" t="str">
        <f t="shared" si="7"/>
        <v>Nov-2003</v>
      </c>
      <c r="M116" s="3" t="s">
        <v>181</v>
      </c>
      <c r="N116" s="3" t="s">
        <v>352</v>
      </c>
      <c r="O116" s="3" t="s">
        <v>178</v>
      </c>
      <c r="P116" s="3" t="s">
        <v>42</v>
      </c>
      <c r="Q116" s="3" t="s">
        <v>51</v>
      </c>
    </row>
    <row r="117" spans="1:17" x14ac:dyDescent="0.25">
      <c r="A117" s="5">
        <v>10209</v>
      </c>
      <c r="B117" s="5">
        <v>39</v>
      </c>
      <c r="C117" s="5">
        <v>100</v>
      </c>
      <c r="D117" s="5">
        <v>3900</v>
      </c>
      <c r="E117" s="5" t="str">
        <f t="shared" si="5"/>
        <v>Medium</v>
      </c>
      <c r="F117" s="5">
        <f t="shared" si="6"/>
        <v>1170</v>
      </c>
      <c r="G117" s="6">
        <v>37995</v>
      </c>
      <c r="H117" s="5" t="s">
        <v>25</v>
      </c>
      <c r="I117" s="5" t="str">
        <f t="shared" si="4"/>
        <v>Yes</v>
      </c>
      <c r="J117" s="5" t="s">
        <v>549</v>
      </c>
      <c r="K117" s="5">
        <v>2004</v>
      </c>
      <c r="L117" s="5" t="str">
        <f t="shared" si="7"/>
        <v>Jan-2004</v>
      </c>
      <c r="M117" s="5" t="s">
        <v>181</v>
      </c>
      <c r="N117" s="5" t="s">
        <v>358</v>
      </c>
      <c r="O117" s="5" t="s">
        <v>32</v>
      </c>
      <c r="P117" s="5" t="s">
        <v>33</v>
      </c>
      <c r="Q117" s="5" t="s">
        <v>51</v>
      </c>
    </row>
    <row r="118" spans="1:17" x14ac:dyDescent="0.25">
      <c r="A118" s="3">
        <v>10222</v>
      </c>
      <c r="B118" s="3">
        <v>49</v>
      </c>
      <c r="C118" s="3">
        <v>100</v>
      </c>
      <c r="D118" s="3">
        <v>4900</v>
      </c>
      <c r="E118" s="3" t="str">
        <f t="shared" si="5"/>
        <v>Medium</v>
      </c>
      <c r="F118" s="3">
        <f t="shared" si="6"/>
        <v>1470</v>
      </c>
      <c r="G118" s="4">
        <v>38036</v>
      </c>
      <c r="H118" s="3" t="s">
        <v>25</v>
      </c>
      <c r="I118" s="3" t="str">
        <f t="shared" si="4"/>
        <v>Yes</v>
      </c>
      <c r="J118" s="3" t="s">
        <v>681</v>
      </c>
      <c r="K118" s="3">
        <v>2004</v>
      </c>
      <c r="L118" s="3" t="str">
        <f t="shared" si="7"/>
        <v>Feb-2004</v>
      </c>
      <c r="M118" s="3" t="s">
        <v>181</v>
      </c>
      <c r="N118" s="3" t="s">
        <v>362</v>
      </c>
      <c r="O118" s="3" t="s">
        <v>32</v>
      </c>
      <c r="P118" s="3" t="s">
        <v>33</v>
      </c>
      <c r="Q118" s="3" t="s">
        <v>51</v>
      </c>
    </row>
    <row r="119" spans="1:17" x14ac:dyDescent="0.25">
      <c r="A119" s="5">
        <v>10248</v>
      </c>
      <c r="B119" s="5">
        <v>20</v>
      </c>
      <c r="C119" s="5">
        <v>100</v>
      </c>
      <c r="D119" s="5">
        <v>2000</v>
      </c>
      <c r="E119" s="5" t="str">
        <f t="shared" si="5"/>
        <v>Medium</v>
      </c>
      <c r="F119" s="5">
        <f t="shared" si="6"/>
        <v>600</v>
      </c>
      <c r="G119" s="6">
        <v>38114</v>
      </c>
      <c r="H119" s="5" t="s">
        <v>339</v>
      </c>
      <c r="I119" s="5" t="str">
        <f t="shared" si="4"/>
        <v>No</v>
      </c>
      <c r="J119" s="5" t="s">
        <v>682</v>
      </c>
      <c r="K119" s="5">
        <v>2004</v>
      </c>
      <c r="L119" s="5" t="str">
        <f t="shared" si="7"/>
        <v>May-2004</v>
      </c>
      <c r="M119" s="5" t="s">
        <v>181</v>
      </c>
      <c r="N119" s="5" t="s">
        <v>28</v>
      </c>
      <c r="O119" s="5" t="s">
        <v>32</v>
      </c>
      <c r="P119" s="5" t="s">
        <v>33</v>
      </c>
      <c r="Q119" s="5" t="s">
        <v>36</v>
      </c>
    </row>
    <row r="120" spans="1:17" x14ac:dyDescent="0.25">
      <c r="A120" s="3">
        <v>10261</v>
      </c>
      <c r="B120" s="3">
        <v>27</v>
      </c>
      <c r="C120" s="3">
        <v>100</v>
      </c>
      <c r="D120" s="3">
        <v>2700</v>
      </c>
      <c r="E120" s="3" t="str">
        <f t="shared" si="5"/>
        <v>Medium</v>
      </c>
      <c r="F120" s="3">
        <f t="shared" si="6"/>
        <v>810</v>
      </c>
      <c r="G120" s="4">
        <v>38155</v>
      </c>
      <c r="H120" s="3" t="s">
        <v>25</v>
      </c>
      <c r="I120" s="3" t="str">
        <f t="shared" si="4"/>
        <v>Yes</v>
      </c>
      <c r="J120" s="3" t="s">
        <v>689</v>
      </c>
      <c r="K120" s="3">
        <v>2004</v>
      </c>
      <c r="L120" s="3" t="str">
        <f t="shared" si="7"/>
        <v>Jun-2004</v>
      </c>
      <c r="M120" s="3" t="s">
        <v>181</v>
      </c>
      <c r="N120" s="3" t="s">
        <v>292</v>
      </c>
      <c r="O120" s="3" t="s">
        <v>231</v>
      </c>
      <c r="P120" s="3" t="s">
        <v>33</v>
      </c>
      <c r="Q120" s="3" t="s">
        <v>51</v>
      </c>
    </row>
    <row r="121" spans="1:17" x14ac:dyDescent="0.25">
      <c r="A121" s="5">
        <v>10273</v>
      </c>
      <c r="B121" s="5">
        <v>30</v>
      </c>
      <c r="C121" s="5">
        <v>100</v>
      </c>
      <c r="D121" s="5">
        <v>3000</v>
      </c>
      <c r="E121" s="5" t="str">
        <f t="shared" si="5"/>
        <v>Medium</v>
      </c>
      <c r="F121" s="5">
        <f t="shared" si="6"/>
        <v>900</v>
      </c>
      <c r="G121" s="6">
        <v>38189</v>
      </c>
      <c r="H121" s="5" t="s">
        <v>25</v>
      </c>
      <c r="I121" s="5" t="str">
        <f t="shared" si="4"/>
        <v>Yes</v>
      </c>
      <c r="J121" s="5" t="s">
        <v>683</v>
      </c>
      <c r="K121" s="5">
        <v>2004</v>
      </c>
      <c r="L121" s="5" t="str">
        <f t="shared" si="7"/>
        <v>Jul-2004</v>
      </c>
      <c r="M121" s="5" t="s">
        <v>181</v>
      </c>
      <c r="N121" s="5" t="s">
        <v>365</v>
      </c>
      <c r="O121" s="5" t="s">
        <v>370</v>
      </c>
      <c r="P121" s="5" t="s">
        <v>42</v>
      </c>
      <c r="Q121" s="5" t="s">
        <v>51</v>
      </c>
    </row>
    <row r="122" spans="1:17" x14ac:dyDescent="0.25">
      <c r="A122" s="3">
        <v>10283</v>
      </c>
      <c r="B122" s="3">
        <v>25</v>
      </c>
      <c r="C122" s="3">
        <v>100</v>
      </c>
      <c r="D122" s="3">
        <v>2500</v>
      </c>
      <c r="E122" s="3" t="str">
        <f t="shared" si="5"/>
        <v>Medium</v>
      </c>
      <c r="F122" s="3">
        <f t="shared" si="6"/>
        <v>750</v>
      </c>
      <c r="G122" s="4">
        <v>38219</v>
      </c>
      <c r="H122" s="3" t="s">
        <v>25</v>
      </c>
      <c r="I122" s="3" t="str">
        <f t="shared" si="4"/>
        <v>Yes</v>
      </c>
      <c r="J122" s="3" t="s">
        <v>684</v>
      </c>
      <c r="K122" s="3">
        <v>2004</v>
      </c>
      <c r="L122" s="3" t="str">
        <f t="shared" si="7"/>
        <v>Aug-2004</v>
      </c>
      <c r="M122" s="3" t="s">
        <v>181</v>
      </c>
      <c r="N122" s="3" t="s">
        <v>373</v>
      </c>
      <c r="O122" s="3" t="s">
        <v>231</v>
      </c>
      <c r="P122" s="3" t="s">
        <v>33</v>
      </c>
      <c r="Q122" s="3" t="s">
        <v>36</v>
      </c>
    </row>
    <row r="123" spans="1:17" x14ac:dyDescent="0.25">
      <c r="A123" s="5">
        <v>10295</v>
      </c>
      <c r="B123" s="5">
        <v>24</v>
      </c>
      <c r="C123" s="5">
        <v>100</v>
      </c>
      <c r="D123" s="5">
        <v>2400</v>
      </c>
      <c r="E123" s="5" t="str">
        <f t="shared" si="5"/>
        <v>Medium</v>
      </c>
      <c r="F123" s="5">
        <f t="shared" si="6"/>
        <v>720</v>
      </c>
      <c r="G123" s="6">
        <v>38240</v>
      </c>
      <c r="H123" s="5" t="s">
        <v>25</v>
      </c>
      <c r="I123" s="5" t="str">
        <f t="shared" si="4"/>
        <v>Yes</v>
      </c>
      <c r="J123" s="5" t="s">
        <v>690</v>
      </c>
      <c r="K123" s="5">
        <v>2004</v>
      </c>
      <c r="L123" s="5" t="str">
        <f t="shared" si="7"/>
        <v>Sep-2004</v>
      </c>
      <c r="M123" s="5" t="s">
        <v>181</v>
      </c>
      <c r="N123" s="5" t="s">
        <v>379</v>
      </c>
      <c r="O123" s="5" t="s">
        <v>32</v>
      </c>
      <c r="P123" s="5" t="s">
        <v>33</v>
      </c>
      <c r="Q123" s="5" t="s">
        <v>51</v>
      </c>
    </row>
    <row r="124" spans="1:17" x14ac:dyDescent="0.25">
      <c r="A124" s="3">
        <v>10307</v>
      </c>
      <c r="B124" s="3">
        <v>22</v>
      </c>
      <c r="C124" s="3">
        <v>100</v>
      </c>
      <c r="D124" s="3">
        <v>2200</v>
      </c>
      <c r="E124" s="3" t="str">
        <f t="shared" si="5"/>
        <v>Medium</v>
      </c>
      <c r="F124" s="3">
        <f t="shared" si="6"/>
        <v>660</v>
      </c>
      <c r="G124" s="4">
        <v>38274</v>
      </c>
      <c r="H124" s="3" t="s">
        <v>25</v>
      </c>
      <c r="I124" s="3" t="str">
        <f t="shared" si="4"/>
        <v>Yes</v>
      </c>
      <c r="J124" s="3" t="s">
        <v>685</v>
      </c>
      <c r="K124" s="3">
        <v>2004</v>
      </c>
      <c r="L124" s="3" t="str">
        <f t="shared" si="7"/>
        <v>Oct-2004</v>
      </c>
      <c r="M124" s="3" t="s">
        <v>181</v>
      </c>
      <c r="N124" s="3" t="s">
        <v>214</v>
      </c>
      <c r="O124" s="3" t="s">
        <v>32</v>
      </c>
      <c r="P124" s="3" t="s">
        <v>33</v>
      </c>
      <c r="Q124" s="3" t="s">
        <v>36</v>
      </c>
    </row>
    <row r="125" spans="1:17" x14ac:dyDescent="0.25">
      <c r="A125" s="5">
        <v>10316</v>
      </c>
      <c r="B125" s="5">
        <v>33</v>
      </c>
      <c r="C125" s="5">
        <v>100</v>
      </c>
      <c r="D125" s="5">
        <v>3300</v>
      </c>
      <c r="E125" s="5" t="str">
        <f t="shared" si="5"/>
        <v>Medium</v>
      </c>
      <c r="F125" s="5">
        <f t="shared" si="6"/>
        <v>990</v>
      </c>
      <c r="G125" s="6">
        <v>38292</v>
      </c>
      <c r="H125" s="5" t="s">
        <v>25</v>
      </c>
      <c r="I125" s="5" t="str">
        <f t="shared" si="4"/>
        <v>Yes</v>
      </c>
      <c r="J125" s="5" t="s">
        <v>686</v>
      </c>
      <c r="K125" s="5">
        <v>2004</v>
      </c>
      <c r="L125" s="5" t="str">
        <f t="shared" si="7"/>
        <v>Nov-2004</v>
      </c>
      <c r="M125" s="5" t="s">
        <v>181</v>
      </c>
      <c r="N125" s="5" t="s">
        <v>383</v>
      </c>
      <c r="O125" s="5" t="s">
        <v>170</v>
      </c>
      <c r="P125" s="5" t="s">
        <v>42</v>
      </c>
      <c r="Q125" s="5" t="s">
        <v>51</v>
      </c>
    </row>
    <row r="126" spans="1:17" x14ac:dyDescent="0.25">
      <c r="A126" s="3">
        <v>10325</v>
      </c>
      <c r="B126" s="3">
        <v>47</v>
      </c>
      <c r="C126" s="3">
        <v>64.930000000000007</v>
      </c>
      <c r="D126" s="3">
        <v>3051.7100000000005</v>
      </c>
      <c r="E126" s="3" t="str">
        <f t="shared" si="5"/>
        <v>Medium</v>
      </c>
      <c r="F126" s="3">
        <f t="shared" si="6"/>
        <v>915.51300000000015</v>
      </c>
      <c r="G126" s="4">
        <v>38296</v>
      </c>
      <c r="H126" s="3" t="s">
        <v>25</v>
      </c>
      <c r="I126" s="3" t="str">
        <f t="shared" si="4"/>
        <v>Yes</v>
      </c>
      <c r="J126" s="3" t="s">
        <v>686</v>
      </c>
      <c r="K126" s="3">
        <v>2004</v>
      </c>
      <c r="L126" s="3" t="str">
        <f t="shared" si="7"/>
        <v>Nov-2004</v>
      </c>
      <c r="M126" s="3" t="s">
        <v>181</v>
      </c>
      <c r="N126" s="3" t="s">
        <v>133</v>
      </c>
      <c r="O126" s="3" t="s">
        <v>78</v>
      </c>
      <c r="P126" s="3" t="s">
        <v>42</v>
      </c>
      <c r="Q126" s="3" t="s">
        <v>51</v>
      </c>
    </row>
    <row r="127" spans="1:17" x14ac:dyDescent="0.25">
      <c r="A127" s="5">
        <v>10337</v>
      </c>
      <c r="B127" s="5">
        <v>25</v>
      </c>
      <c r="C127" s="5">
        <v>48.05</v>
      </c>
      <c r="D127" s="5">
        <v>1201.25</v>
      </c>
      <c r="E127" s="5" t="str">
        <f t="shared" si="5"/>
        <v>Low</v>
      </c>
      <c r="F127" s="5">
        <f t="shared" si="6"/>
        <v>360.375</v>
      </c>
      <c r="G127" s="6">
        <v>38312</v>
      </c>
      <c r="H127" s="5" t="s">
        <v>25</v>
      </c>
      <c r="I127" s="5" t="str">
        <f t="shared" si="4"/>
        <v>Yes</v>
      </c>
      <c r="J127" s="5" t="s">
        <v>686</v>
      </c>
      <c r="K127" s="5">
        <v>2004</v>
      </c>
      <c r="L127" s="5" t="str">
        <f t="shared" si="7"/>
        <v>Nov-2004</v>
      </c>
      <c r="M127" s="5" t="s">
        <v>181</v>
      </c>
      <c r="N127" s="5" t="s">
        <v>203</v>
      </c>
      <c r="O127" s="5" t="s">
        <v>32</v>
      </c>
      <c r="P127" s="5" t="s">
        <v>33</v>
      </c>
      <c r="Q127" s="5" t="s">
        <v>36</v>
      </c>
    </row>
    <row r="128" spans="1:17" x14ac:dyDescent="0.25">
      <c r="A128" s="3">
        <v>10350</v>
      </c>
      <c r="B128" s="3">
        <v>26</v>
      </c>
      <c r="C128" s="3">
        <v>75.47</v>
      </c>
      <c r="D128" s="3">
        <v>1962.22</v>
      </c>
      <c r="E128" s="3" t="str">
        <f t="shared" si="5"/>
        <v>Low</v>
      </c>
      <c r="F128" s="3">
        <f t="shared" si="6"/>
        <v>588.66599999999994</v>
      </c>
      <c r="G128" s="4">
        <v>38323</v>
      </c>
      <c r="H128" s="3" t="s">
        <v>25</v>
      </c>
      <c r="I128" s="3" t="str">
        <f t="shared" si="4"/>
        <v>Yes</v>
      </c>
      <c r="J128" s="3" t="s">
        <v>687</v>
      </c>
      <c r="K128" s="3">
        <v>2004</v>
      </c>
      <c r="L128" s="3" t="str">
        <f t="shared" si="7"/>
        <v>Dec-2004</v>
      </c>
      <c r="M128" s="3" t="s">
        <v>181</v>
      </c>
      <c r="N128" s="3" t="s">
        <v>174</v>
      </c>
      <c r="O128" s="3" t="s">
        <v>178</v>
      </c>
      <c r="P128" s="3" t="s">
        <v>42</v>
      </c>
      <c r="Q128" s="3" t="s">
        <v>36</v>
      </c>
    </row>
    <row r="129" spans="1:17" x14ac:dyDescent="0.25">
      <c r="A129" s="5">
        <v>10359</v>
      </c>
      <c r="B129" s="5">
        <v>48</v>
      </c>
      <c r="C129" s="5">
        <v>54.68</v>
      </c>
      <c r="D129" s="5">
        <v>2624.64</v>
      </c>
      <c r="E129" s="5" t="str">
        <f t="shared" si="5"/>
        <v>Medium</v>
      </c>
      <c r="F129" s="5">
        <f t="shared" si="6"/>
        <v>787.39199999999994</v>
      </c>
      <c r="G129" s="6">
        <v>38336</v>
      </c>
      <c r="H129" s="5" t="s">
        <v>25</v>
      </c>
      <c r="I129" s="5" t="str">
        <f t="shared" si="4"/>
        <v>Yes</v>
      </c>
      <c r="J129" s="5" t="s">
        <v>687</v>
      </c>
      <c r="K129" s="5">
        <v>2004</v>
      </c>
      <c r="L129" s="5" t="str">
        <f t="shared" si="7"/>
        <v>Dec-2004</v>
      </c>
      <c r="M129" s="5" t="s">
        <v>181</v>
      </c>
      <c r="N129" s="5" t="s">
        <v>37</v>
      </c>
      <c r="O129" s="5" t="s">
        <v>41</v>
      </c>
      <c r="P129" s="5" t="s">
        <v>42</v>
      </c>
      <c r="Q129" s="5" t="s">
        <v>36</v>
      </c>
    </row>
    <row r="130" spans="1:17" x14ac:dyDescent="0.25">
      <c r="A130" s="3">
        <v>10373</v>
      </c>
      <c r="B130" s="3">
        <v>39</v>
      </c>
      <c r="C130" s="3">
        <v>100</v>
      </c>
      <c r="D130" s="3">
        <v>3900</v>
      </c>
      <c r="E130" s="3" t="str">
        <f t="shared" si="5"/>
        <v>Medium</v>
      </c>
      <c r="F130" s="3">
        <f t="shared" si="6"/>
        <v>1170</v>
      </c>
      <c r="G130" s="4">
        <v>38383</v>
      </c>
      <c r="H130" s="3" t="s">
        <v>25</v>
      </c>
      <c r="I130" s="3" t="str">
        <f t="shared" ref="I130:I193" si="8">IF(H130="Shipped","Yes","No")</f>
        <v>Yes</v>
      </c>
      <c r="J130" s="3" t="s">
        <v>549</v>
      </c>
      <c r="K130" s="3">
        <v>2005</v>
      </c>
      <c r="L130" s="3" t="str">
        <f t="shared" si="7"/>
        <v>Jan-2005</v>
      </c>
      <c r="M130" s="3" t="s">
        <v>181</v>
      </c>
      <c r="N130" s="3" t="s">
        <v>391</v>
      </c>
      <c r="O130" s="3" t="s">
        <v>130</v>
      </c>
      <c r="P130" s="3" t="s">
        <v>42</v>
      </c>
      <c r="Q130" s="3" t="s">
        <v>51</v>
      </c>
    </row>
    <row r="131" spans="1:17" x14ac:dyDescent="0.25">
      <c r="A131" s="5">
        <v>10384</v>
      </c>
      <c r="B131" s="5">
        <v>34</v>
      </c>
      <c r="C131" s="5">
        <v>100</v>
      </c>
      <c r="D131" s="5">
        <v>3400</v>
      </c>
      <c r="E131" s="5" t="str">
        <f t="shared" ref="E131:E194" si="9">IF(D131&gt;=5000,"High",IF(D131&gt;=2000,"Medium","Low"))</f>
        <v>Medium</v>
      </c>
      <c r="F131" s="5">
        <f t="shared" ref="F131:F194" si="10">(D131*0.3)</f>
        <v>1020</v>
      </c>
      <c r="G131" s="6">
        <v>38406</v>
      </c>
      <c r="H131" s="5" t="s">
        <v>25</v>
      </c>
      <c r="I131" s="5" t="str">
        <f t="shared" si="8"/>
        <v>Yes</v>
      </c>
      <c r="J131" s="5" t="s">
        <v>681</v>
      </c>
      <c r="K131" s="5">
        <v>2005</v>
      </c>
      <c r="L131" s="5" t="str">
        <f t="shared" ref="L131:L194" si="11">TEXT(G:G,"MMM-YYYY")</f>
        <v>Feb-2005</v>
      </c>
      <c r="M131" s="5" t="s">
        <v>181</v>
      </c>
      <c r="N131" s="5" t="s">
        <v>58</v>
      </c>
      <c r="O131" s="5" t="s">
        <v>32</v>
      </c>
      <c r="P131" s="5" t="s">
        <v>33</v>
      </c>
      <c r="Q131" s="5" t="s">
        <v>51</v>
      </c>
    </row>
    <row r="132" spans="1:17" x14ac:dyDescent="0.25">
      <c r="A132" s="3">
        <v>10395</v>
      </c>
      <c r="B132" s="3">
        <v>32</v>
      </c>
      <c r="C132" s="3">
        <v>100</v>
      </c>
      <c r="D132" s="3">
        <v>3200</v>
      </c>
      <c r="E132" s="3" t="str">
        <f t="shared" si="9"/>
        <v>Medium</v>
      </c>
      <c r="F132" s="3">
        <f t="shared" si="10"/>
        <v>960</v>
      </c>
      <c r="G132" s="4">
        <v>38428</v>
      </c>
      <c r="H132" s="3" t="s">
        <v>25</v>
      </c>
      <c r="I132" s="3" t="str">
        <f t="shared" si="8"/>
        <v>Yes</v>
      </c>
      <c r="J132" s="3" t="s">
        <v>691</v>
      </c>
      <c r="K132" s="3">
        <v>2005</v>
      </c>
      <c r="L132" s="3" t="str">
        <f t="shared" si="11"/>
        <v>Mar-2005</v>
      </c>
      <c r="M132" s="3" t="s">
        <v>181</v>
      </c>
      <c r="N132" s="3" t="s">
        <v>45</v>
      </c>
      <c r="O132" s="3" t="s">
        <v>41</v>
      </c>
      <c r="P132" s="3" t="s">
        <v>42</v>
      </c>
      <c r="Q132" s="3" t="s">
        <v>51</v>
      </c>
    </row>
    <row r="133" spans="1:17" x14ac:dyDescent="0.25">
      <c r="A133" s="5">
        <v>10400</v>
      </c>
      <c r="B133" s="5">
        <v>64</v>
      </c>
      <c r="C133" s="5">
        <v>100</v>
      </c>
      <c r="D133" s="5">
        <v>6400</v>
      </c>
      <c r="E133" s="5" t="str">
        <f t="shared" si="9"/>
        <v>High</v>
      </c>
      <c r="F133" s="5">
        <f t="shared" si="10"/>
        <v>1920</v>
      </c>
      <c r="G133" s="6">
        <v>38443</v>
      </c>
      <c r="H133" s="5" t="s">
        <v>25</v>
      </c>
      <c r="I133" s="5" t="str">
        <f t="shared" si="8"/>
        <v>Yes</v>
      </c>
      <c r="J133" s="5" t="s">
        <v>688</v>
      </c>
      <c r="K133" s="5">
        <v>2005</v>
      </c>
      <c r="L133" s="5" t="str">
        <f t="shared" si="11"/>
        <v>Apr-2005</v>
      </c>
      <c r="M133" s="5" t="s">
        <v>181</v>
      </c>
      <c r="N133" s="5" t="s">
        <v>397</v>
      </c>
      <c r="O133" s="5" t="s">
        <v>32</v>
      </c>
      <c r="P133" s="5" t="s">
        <v>33</v>
      </c>
      <c r="Q133" s="5" t="s">
        <v>151</v>
      </c>
    </row>
    <row r="134" spans="1:17" x14ac:dyDescent="0.25">
      <c r="A134" s="3">
        <v>10414</v>
      </c>
      <c r="B134" s="3">
        <v>19</v>
      </c>
      <c r="C134" s="3">
        <v>100</v>
      </c>
      <c r="D134" s="3">
        <v>1900</v>
      </c>
      <c r="E134" s="3" t="str">
        <f t="shared" si="9"/>
        <v>Low</v>
      </c>
      <c r="F134" s="3">
        <f t="shared" si="10"/>
        <v>570</v>
      </c>
      <c r="G134" s="4">
        <v>38478</v>
      </c>
      <c r="H134" s="3" t="s">
        <v>401</v>
      </c>
      <c r="I134" s="3" t="str">
        <f t="shared" si="8"/>
        <v>No</v>
      </c>
      <c r="J134" s="3" t="s">
        <v>682</v>
      </c>
      <c r="K134" s="3">
        <v>2005</v>
      </c>
      <c r="L134" s="3" t="str">
        <f t="shared" si="11"/>
        <v>May-2005</v>
      </c>
      <c r="M134" s="3" t="s">
        <v>181</v>
      </c>
      <c r="N134" s="3" t="s">
        <v>379</v>
      </c>
      <c r="O134" s="3" t="s">
        <v>32</v>
      </c>
      <c r="P134" s="3" t="s">
        <v>33</v>
      </c>
      <c r="Q134" s="3" t="s">
        <v>36</v>
      </c>
    </row>
    <row r="135" spans="1:17" x14ac:dyDescent="0.25">
      <c r="A135" s="5">
        <v>10103</v>
      </c>
      <c r="B135" s="5">
        <v>42</v>
      </c>
      <c r="C135" s="5">
        <v>100</v>
      </c>
      <c r="D135" s="5">
        <v>4200</v>
      </c>
      <c r="E135" s="5" t="str">
        <f t="shared" si="9"/>
        <v>Medium</v>
      </c>
      <c r="F135" s="5">
        <f t="shared" si="10"/>
        <v>1260</v>
      </c>
      <c r="G135" s="6">
        <v>37650</v>
      </c>
      <c r="H135" s="5" t="s">
        <v>25</v>
      </c>
      <c r="I135" s="5" t="str">
        <f t="shared" si="8"/>
        <v>Yes</v>
      </c>
      <c r="J135" s="5" t="s">
        <v>549</v>
      </c>
      <c r="K135" s="5">
        <v>2003</v>
      </c>
      <c r="L135" s="5" t="str">
        <f t="shared" si="11"/>
        <v>Jan-2003</v>
      </c>
      <c r="M135" s="5" t="s">
        <v>181</v>
      </c>
      <c r="N135" s="5" t="s">
        <v>133</v>
      </c>
      <c r="O135" s="5" t="s">
        <v>78</v>
      </c>
      <c r="P135" s="5" t="s">
        <v>42</v>
      </c>
      <c r="Q135" s="5" t="s">
        <v>51</v>
      </c>
    </row>
    <row r="136" spans="1:17" x14ac:dyDescent="0.25">
      <c r="A136" s="3">
        <v>10114</v>
      </c>
      <c r="B136" s="3">
        <v>31</v>
      </c>
      <c r="C136" s="3">
        <v>100</v>
      </c>
      <c r="D136" s="3">
        <v>3100</v>
      </c>
      <c r="E136" s="3" t="str">
        <f t="shared" si="9"/>
        <v>Medium</v>
      </c>
      <c r="F136" s="3">
        <f t="shared" si="10"/>
        <v>930</v>
      </c>
      <c r="G136" s="4">
        <v>37712</v>
      </c>
      <c r="H136" s="3" t="s">
        <v>25</v>
      </c>
      <c r="I136" s="3" t="str">
        <f t="shared" si="8"/>
        <v>Yes</v>
      </c>
      <c r="J136" s="3" t="s">
        <v>688</v>
      </c>
      <c r="K136" s="3">
        <v>2003</v>
      </c>
      <c r="L136" s="3" t="str">
        <f t="shared" si="11"/>
        <v>Apr-2003</v>
      </c>
      <c r="M136" s="3" t="s">
        <v>181</v>
      </c>
      <c r="N136" s="3" t="s">
        <v>403</v>
      </c>
      <c r="O136" s="3" t="s">
        <v>41</v>
      </c>
      <c r="P136" s="3" t="s">
        <v>42</v>
      </c>
      <c r="Q136" s="3" t="s">
        <v>51</v>
      </c>
    </row>
    <row r="137" spans="1:17" x14ac:dyDescent="0.25">
      <c r="A137" s="5">
        <v>10126</v>
      </c>
      <c r="B137" s="5">
        <v>22</v>
      </c>
      <c r="C137" s="5">
        <v>100</v>
      </c>
      <c r="D137" s="5">
        <v>2200</v>
      </c>
      <c r="E137" s="5" t="str">
        <f t="shared" si="9"/>
        <v>Medium</v>
      </c>
      <c r="F137" s="5">
        <f t="shared" si="10"/>
        <v>660</v>
      </c>
      <c r="G137" s="6">
        <v>37769</v>
      </c>
      <c r="H137" s="5" t="s">
        <v>25</v>
      </c>
      <c r="I137" s="5" t="str">
        <f t="shared" si="8"/>
        <v>Yes</v>
      </c>
      <c r="J137" s="5" t="s">
        <v>682</v>
      </c>
      <c r="K137" s="5">
        <v>2003</v>
      </c>
      <c r="L137" s="5" t="str">
        <f t="shared" si="11"/>
        <v>May-2003</v>
      </c>
      <c r="M137" s="5" t="s">
        <v>181</v>
      </c>
      <c r="N137" s="5" t="s">
        <v>191</v>
      </c>
      <c r="O137" s="5" t="s">
        <v>178</v>
      </c>
      <c r="P137" s="5" t="s">
        <v>42</v>
      </c>
      <c r="Q137" s="5" t="s">
        <v>51</v>
      </c>
    </row>
    <row r="138" spans="1:17" x14ac:dyDescent="0.25">
      <c r="A138" s="3">
        <v>10140</v>
      </c>
      <c r="B138" s="3">
        <v>26</v>
      </c>
      <c r="C138" s="3">
        <v>100</v>
      </c>
      <c r="D138" s="3">
        <v>2600</v>
      </c>
      <c r="E138" s="3" t="str">
        <f t="shared" si="9"/>
        <v>Medium</v>
      </c>
      <c r="F138" s="3">
        <f t="shared" si="10"/>
        <v>780</v>
      </c>
      <c r="G138" s="4">
        <v>37826</v>
      </c>
      <c r="H138" s="3" t="s">
        <v>25</v>
      </c>
      <c r="I138" s="3" t="str">
        <f t="shared" si="8"/>
        <v>Yes</v>
      </c>
      <c r="J138" s="3" t="s">
        <v>683</v>
      </c>
      <c r="K138" s="3">
        <v>2003</v>
      </c>
      <c r="L138" s="3" t="str">
        <f t="shared" si="11"/>
        <v>Jul-2003</v>
      </c>
      <c r="M138" s="3" t="s">
        <v>181</v>
      </c>
      <c r="N138" s="3" t="s">
        <v>62</v>
      </c>
      <c r="O138" s="3" t="s">
        <v>32</v>
      </c>
      <c r="P138" s="3" t="s">
        <v>33</v>
      </c>
      <c r="Q138" s="3" t="s">
        <v>51</v>
      </c>
    </row>
    <row r="139" spans="1:17" x14ac:dyDescent="0.25">
      <c r="A139" s="5">
        <v>10150</v>
      </c>
      <c r="B139" s="5">
        <v>20</v>
      </c>
      <c r="C139" s="5">
        <v>100</v>
      </c>
      <c r="D139" s="5">
        <v>2000</v>
      </c>
      <c r="E139" s="5" t="str">
        <f t="shared" si="9"/>
        <v>Medium</v>
      </c>
      <c r="F139" s="5">
        <f t="shared" si="10"/>
        <v>600</v>
      </c>
      <c r="G139" s="6">
        <v>37883</v>
      </c>
      <c r="H139" s="5" t="s">
        <v>25</v>
      </c>
      <c r="I139" s="5" t="str">
        <f t="shared" si="8"/>
        <v>Yes</v>
      </c>
      <c r="J139" s="5" t="s">
        <v>690</v>
      </c>
      <c r="K139" s="5">
        <v>2003</v>
      </c>
      <c r="L139" s="5" t="str">
        <f t="shared" si="11"/>
        <v>Sep-2003</v>
      </c>
      <c r="M139" s="5" t="s">
        <v>181</v>
      </c>
      <c r="N139" s="5" t="s">
        <v>196</v>
      </c>
      <c r="O139" s="5" t="s">
        <v>199</v>
      </c>
      <c r="P139" s="5" t="s">
        <v>675</v>
      </c>
      <c r="Q139" s="5" t="s">
        <v>51</v>
      </c>
    </row>
    <row r="140" spans="1:17" x14ac:dyDescent="0.25">
      <c r="A140" s="3">
        <v>10164</v>
      </c>
      <c r="B140" s="3">
        <v>21</v>
      </c>
      <c r="C140" s="3">
        <v>100</v>
      </c>
      <c r="D140" s="3">
        <v>2100</v>
      </c>
      <c r="E140" s="3" t="str">
        <f t="shared" si="9"/>
        <v>Medium</v>
      </c>
      <c r="F140" s="3">
        <f t="shared" si="10"/>
        <v>630</v>
      </c>
      <c r="G140" s="4">
        <v>37915</v>
      </c>
      <c r="H140" s="3" t="s">
        <v>408</v>
      </c>
      <c r="I140" s="3" t="str">
        <f t="shared" si="8"/>
        <v>No</v>
      </c>
      <c r="J140" s="3" t="s">
        <v>685</v>
      </c>
      <c r="K140" s="3">
        <v>2003</v>
      </c>
      <c r="L140" s="3" t="str">
        <f t="shared" si="11"/>
        <v>Oct-2003</v>
      </c>
      <c r="M140" s="3" t="s">
        <v>181</v>
      </c>
      <c r="N140" s="3" t="s">
        <v>409</v>
      </c>
      <c r="O140" s="3" t="s">
        <v>148</v>
      </c>
      <c r="P140" s="3" t="s">
        <v>42</v>
      </c>
      <c r="Q140" s="3" t="s">
        <v>51</v>
      </c>
    </row>
    <row r="141" spans="1:17" x14ac:dyDescent="0.25">
      <c r="A141" s="5">
        <v>10175</v>
      </c>
      <c r="B141" s="5">
        <v>33</v>
      </c>
      <c r="C141" s="5">
        <v>100</v>
      </c>
      <c r="D141" s="5">
        <v>3300</v>
      </c>
      <c r="E141" s="5" t="str">
        <f t="shared" si="9"/>
        <v>Medium</v>
      </c>
      <c r="F141" s="5">
        <f t="shared" si="10"/>
        <v>990</v>
      </c>
      <c r="G141" s="6">
        <v>37931</v>
      </c>
      <c r="H141" s="5" t="s">
        <v>25</v>
      </c>
      <c r="I141" s="5" t="str">
        <f t="shared" si="8"/>
        <v>Yes</v>
      </c>
      <c r="J141" s="5" t="s">
        <v>686</v>
      </c>
      <c r="K141" s="5">
        <v>2003</v>
      </c>
      <c r="L141" s="5" t="str">
        <f t="shared" si="11"/>
        <v>Nov-2003</v>
      </c>
      <c r="M141" s="5" t="s">
        <v>181</v>
      </c>
      <c r="N141" s="5" t="s">
        <v>329</v>
      </c>
      <c r="O141" s="5" t="s">
        <v>170</v>
      </c>
      <c r="P141" s="5" t="s">
        <v>42</v>
      </c>
      <c r="Q141" s="5" t="s">
        <v>51</v>
      </c>
    </row>
    <row r="142" spans="1:17" x14ac:dyDescent="0.25">
      <c r="A142" s="3">
        <v>10183</v>
      </c>
      <c r="B142" s="3">
        <v>28</v>
      </c>
      <c r="C142" s="3">
        <v>100</v>
      </c>
      <c r="D142" s="3">
        <v>2800</v>
      </c>
      <c r="E142" s="3" t="str">
        <f t="shared" si="9"/>
        <v>Medium</v>
      </c>
      <c r="F142" s="3">
        <f t="shared" si="10"/>
        <v>840</v>
      </c>
      <c r="G142" s="4">
        <v>37938</v>
      </c>
      <c r="H142" s="3" t="s">
        <v>25</v>
      </c>
      <c r="I142" s="3" t="str">
        <f t="shared" si="8"/>
        <v>Yes</v>
      </c>
      <c r="J142" s="3" t="s">
        <v>686</v>
      </c>
      <c r="K142" s="3">
        <v>2003</v>
      </c>
      <c r="L142" s="3" t="str">
        <f t="shared" si="11"/>
        <v>Nov-2003</v>
      </c>
      <c r="M142" s="3" t="s">
        <v>181</v>
      </c>
      <c r="N142" s="3" t="s">
        <v>214</v>
      </c>
      <c r="O142" s="3" t="s">
        <v>32</v>
      </c>
      <c r="P142" s="3" t="s">
        <v>33</v>
      </c>
      <c r="Q142" s="3" t="s">
        <v>51</v>
      </c>
    </row>
    <row r="143" spans="1:17" x14ac:dyDescent="0.25">
      <c r="A143" s="5">
        <v>10194</v>
      </c>
      <c r="B143" s="5">
        <v>26</v>
      </c>
      <c r="C143" s="5">
        <v>100</v>
      </c>
      <c r="D143" s="5">
        <v>2600</v>
      </c>
      <c r="E143" s="5" t="str">
        <f t="shared" si="9"/>
        <v>Medium</v>
      </c>
      <c r="F143" s="5">
        <f t="shared" si="10"/>
        <v>780</v>
      </c>
      <c r="G143" s="6">
        <v>37950</v>
      </c>
      <c r="H143" s="5" t="s">
        <v>25</v>
      </c>
      <c r="I143" s="5" t="str">
        <f t="shared" si="8"/>
        <v>Yes</v>
      </c>
      <c r="J143" s="5" t="s">
        <v>686</v>
      </c>
      <c r="K143" s="5">
        <v>2003</v>
      </c>
      <c r="L143" s="5" t="str">
        <f t="shared" si="11"/>
        <v>Nov-2003</v>
      </c>
      <c r="M143" s="5" t="s">
        <v>181</v>
      </c>
      <c r="N143" s="5" t="s">
        <v>219</v>
      </c>
      <c r="O143" s="5" t="s">
        <v>41</v>
      </c>
      <c r="P143" s="5" t="s">
        <v>42</v>
      </c>
      <c r="Q143" s="5" t="s">
        <v>51</v>
      </c>
    </row>
    <row r="144" spans="1:17" x14ac:dyDescent="0.25">
      <c r="A144" s="3">
        <v>10207</v>
      </c>
      <c r="B144" s="3">
        <v>31</v>
      </c>
      <c r="C144" s="3">
        <v>100</v>
      </c>
      <c r="D144" s="3">
        <v>3100</v>
      </c>
      <c r="E144" s="3" t="str">
        <f t="shared" si="9"/>
        <v>Medium</v>
      </c>
      <c r="F144" s="3">
        <f t="shared" si="10"/>
        <v>930</v>
      </c>
      <c r="G144" s="4">
        <v>37964</v>
      </c>
      <c r="H144" s="3" t="s">
        <v>25</v>
      </c>
      <c r="I144" s="3" t="str">
        <f t="shared" si="8"/>
        <v>Yes</v>
      </c>
      <c r="J144" s="3" t="s">
        <v>687</v>
      </c>
      <c r="K144" s="3">
        <v>2003</v>
      </c>
      <c r="L144" s="3" t="str">
        <f t="shared" si="11"/>
        <v>Dec-2003</v>
      </c>
      <c r="M144" s="3" t="s">
        <v>181</v>
      </c>
      <c r="N144" s="3" t="s">
        <v>415</v>
      </c>
      <c r="O144" s="3" t="s">
        <v>32</v>
      </c>
      <c r="P144" s="3" t="s">
        <v>33</v>
      </c>
      <c r="Q144" s="3" t="s">
        <v>51</v>
      </c>
    </row>
    <row r="145" spans="1:17" x14ac:dyDescent="0.25">
      <c r="A145" s="5">
        <v>10217</v>
      </c>
      <c r="B145" s="5">
        <v>48</v>
      </c>
      <c r="C145" s="5">
        <v>100</v>
      </c>
      <c r="D145" s="5">
        <v>4800</v>
      </c>
      <c r="E145" s="5" t="str">
        <f t="shared" si="9"/>
        <v>Medium</v>
      </c>
      <c r="F145" s="5">
        <f t="shared" si="10"/>
        <v>1440</v>
      </c>
      <c r="G145" s="6">
        <v>38021</v>
      </c>
      <c r="H145" s="5" t="s">
        <v>25</v>
      </c>
      <c r="I145" s="5" t="str">
        <f t="shared" si="8"/>
        <v>Yes</v>
      </c>
      <c r="J145" s="5" t="s">
        <v>681</v>
      </c>
      <c r="K145" s="5">
        <v>2004</v>
      </c>
      <c r="L145" s="5" t="str">
        <f t="shared" si="11"/>
        <v>Feb-2004</v>
      </c>
      <c r="M145" s="5" t="s">
        <v>181</v>
      </c>
      <c r="N145" s="5" t="s">
        <v>418</v>
      </c>
      <c r="O145" s="5" t="s">
        <v>199</v>
      </c>
      <c r="P145" s="5" t="s">
        <v>96</v>
      </c>
      <c r="Q145" s="5" t="s">
        <v>151</v>
      </c>
    </row>
    <row r="146" spans="1:17" x14ac:dyDescent="0.25">
      <c r="A146" s="3">
        <v>10229</v>
      </c>
      <c r="B146" s="3">
        <v>50</v>
      </c>
      <c r="C146" s="3">
        <v>100</v>
      </c>
      <c r="D146" s="3">
        <v>5000</v>
      </c>
      <c r="E146" s="3" t="str">
        <f t="shared" si="9"/>
        <v>High</v>
      </c>
      <c r="F146" s="3">
        <f t="shared" si="10"/>
        <v>1500</v>
      </c>
      <c r="G146" s="4">
        <v>38057</v>
      </c>
      <c r="H146" s="3" t="s">
        <v>25</v>
      </c>
      <c r="I146" s="3" t="str">
        <f t="shared" si="8"/>
        <v>Yes</v>
      </c>
      <c r="J146" s="3" t="s">
        <v>691</v>
      </c>
      <c r="K146" s="3">
        <v>2004</v>
      </c>
      <c r="L146" s="3" t="str">
        <f t="shared" si="11"/>
        <v>Mar-2004</v>
      </c>
      <c r="M146" s="3" t="s">
        <v>181</v>
      </c>
      <c r="N146" s="3" t="s">
        <v>272</v>
      </c>
      <c r="O146" s="3" t="s">
        <v>32</v>
      </c>
      <c r="P146" s="3" t="s">
        <v>33</v>
      </c>
      <c r="Q146" s="3" t="s">
        <v>51</v>
      </c>
    </row>
    <row r="147" spans="1:17" x14ac:dyDescent="0.25">
      <c r="A147" s="5">
        <v>10245</v>
      </c>
      <c r="B147" s="5">
        <v>28</v>
      </c>
      <c r="C147" s="5">
        <v>100</v>
      </c>
      <c r="D147" s="5">
        <v>2800</v>
      </c>
      <c r="E147" s="5" t="str">
        <f t="shared" si="9"/>
        <v>Medium</v>
      </c>
      <c r="F147" s="5">
        <f t="shared" si="10"/>
        <v>840</v>
      </c>
      <c r="G147" s="6">
        <v>38111</v>
      </c>
      <c r="H147" s="5" t="s">
        <v>25</v>
      </c>
      <c r="I147" s="5" t="str">
        <f t="shared" si="8"/>
        <v>Yes</v>
      </c>
      <c r="J147" s="5" t="s">
        <v>682</v>
      </c>
      <c r="K147" s="5">
        <v>2004</v>
      </c>
      <c r="L147" s="5" t="str">
        <f t="shared" si="11"/>
        <v>May-2004</v>
      </c>
      <c r="M147" s="5" t="s">
        <v>181</v>
      </c>
      <c r="N147" s="5" t="s">
        <v>242</v>
      </c>
      <c r="O147" s="5" t="s">
        <v>32</v>
      </c>
      <c r="P147" s="5" t="s">
        <v>33</v>
      </c>
      <c r="Q147" s="5" t="s">
        <v>51</v>
      </c>
    </row>
    <row r="148" spans="1:17" x14ac:dyDescent="0.25">
      <c r="A148" s="3">
        <v>10259</v>
      </c>
      <c r="B148" s="3">
        <v>26</v>
      </c>
      <c r="C148" s="3">
        <v>100</v>
      </c>
      <c r="D148" s="3">
        <v>2600</v>
      </c>
      <c r="E148" s="3" t="str">
        <f t="shared" si="9"/>
        <v>Medium</v>
      </c>
      <c r="F148" s="3">
        <f t="shared" si="10"/>
        <v>780</v>
      </c>
      <c r="G148" s="4">
        <v>38153</v>
      </c>
      <c r="H148" s="3" t="s">
        <v>25</v>
      </c>
      <c r="I148" s="3" t="str">
        <f t="shared" si="8"/>
        <v>Yes</v>
      </c>
      <c r="J148" s="3" t="s">
        <v>689</v>
      </c>
      <c r="K148" s="3">
        <v>2004</v>
      </c>
      <c r="L148" s="3" t="str">
        <f t="shared" si="11"/>
        <v>Jun-2004</v>
      </c>
      <c r="M148" s="3" t="s">
        <v>181</v>
      </c>
      <c r="N148" s="3" t="s">
        <v>418</v>
      </c>
      <c r="O148" s="3" t="s">
        <v>199</v>
      </c>
      <c r="P148" s="3" t="s">
        <v>96</v>
      </c>
      <c r="Q148" s="3" t="s">
        <v>51</v>
      </c>
    </row>
    <row r="149" spans="1:17" x14ac:dyDescent="0.25">
      <c r="A149" s="5">
        <v>10270</v>
      </c>
      <c r="B149" s="5">
        <v>32</v>
      </c>
      <c r="C149" s="5">
        <v>100</v>
      </c>
      <c r="D149" s="5">
        <v>3200</v>
      </c>
      <c r="E149" s="5" t="str">
        <f t="shared" si="9"/>
        <v>Medium</v>
      </c>
      <c r="F149" s="5">
        <f t="shared" si="10"/>
        <v>960</v>
      </c>
      <c r="G149" s="6">
        <v>38187</v>
      </c>
      <c r="H149" s="5" t="s">
        <v>25</v>
      </c>
      <c r="I149" s="5" t="str">
        <f t="shared" si="8"/>
        <v>Yes</v>
      </c>
      <c r="J149" s="5" t="s">
        <v>683</v>
      </c>
      <c r="K149" s="5">
        <v>2004</v>
      </c>
      <c r="L149" s="5" t="str">
        <f t="shared" si="11"/>
        <v>Jul-2004</v>
      </c>
      <c r="M149" s="5" t="s">
        <v>181</v>
      </c>
      <c r="N149" s="5" t="s">
        <v>152</v>
      </c>
      <c r="O149" s="5" t="s">
        <v>95</v>
      </c>
      <c r="P149" s="5" t="s">
        <v>96</v>
      </c>
      <c r="Q149" s="5" t="s">
        <v>51</v>
      </c>
    </row>
    <row r="150" spans="1:17" x14ac:dyDescent="0.25">
      <c r="A150" s="3">
        <v>10281</v>
      </c>
      <c r="B150" s="3">
        <v>44</v>
      </c>
      <c r="C150" s="3">
        <v>100</v>
      </c>
      <c r="D150" s="3">
        <v>4400</v>
      </c>
      <c r="E150" s="3" t="str">
        <f t="shared" si="9"/>
        <v>Medium</v>
      </c>
      <c r="F150" s="3">
        <f t="shared" si="10"/>
        <v>1320</v>
      </c>
      <c r="G150" s="4">
        <v>38218</v>
      </c>
      <c r="H150" s="3" t="s">
        <v>25</v>
      </c>
      <c r="I150" s="3" t="str">
        <f t="shared" si="8"/>
        <v>Yes</v>
      </c>
      <c r="J150" s="3" t="s">
        <v>684</v>
      </c>
      <c r="K150" s="3">
        <v>2004</v>
      </c>
      <c r="L150" s="3" t="str">
        <f t="shared" si="11"/>
        <v>Aug-2004</v>
      </c>
      <c r="M150" s="3" t="s">
        <v>181</v>
      </c>
      <c r="N150" s="3" t="s">
        <v>139</v>
      </c>
      <c r="O150" s="3" t="s">
        <v>32</v>
      </c>
      <c r="P150" s="3" t="s">
        <v>33</v>
      </c>
      <c r="Q150" s="3" t="s">
        <v>151</v>
      </c>
    </row>
    <row r="151" spans="1:17" x14ac:dyDescent="0.25">
      <c r="A151" s="5">
        <v>10291</v>
      </c>
      <c r="B151" s="5">
        <v>30</v>
      </c>
      <c r="C151" s="5">
        <v>100</v>
      </c>
      <c r="D151" s="5">
        <v>3000</v>
      </c>
      <c r="E151" s="5" t="str">
        <f t="shared" si="9"/>
        <v>Medium</v>
      </c>
      <c r="F151" s="5">
        <f t="shared" si="10"/>
        <v>900</v>
      </c>
      <c r="G151" s="6">
        <v>38238</v>
      </c>
      <c r="H151" s="5" t="s">
        <v>25</v>
      </c>
      <c r="I151" s="5" t="str">
        <f t="shared" si="8"/>
        <v>Yes</v>
      </c>
      <c r="J151" s="5" t="s">
        <v>690</v>
      </c>
      <c r="K151" s="5">
        <v>2004</v>
      </c>
      <c r="L151" s="5" t="str">
        <f t="shared" si="11"/>
        <v>Sep-2004</v>
      </c>
      <c r="M151" s="5" t="s">
        <v>181</v>
      </c>
      <c r="N151" s="5" t="s">
        <v>261</v>
      </c>
      <c r="O151" s="5" t="s">
        <v>188</v>
      </c>
      <c r="P151" s="5" t="s">
        <v>42</v>
      </c>
      <c r="Q151" s="5" t="s">
        <v>51</v>
      </c>
    </row>
    <row r="152" spans="1:17" x14ac:dyDescent="0.25">
      <c r="A152" s="3">
        <v>10305</v>
      </c>
      <c r="B152" s="3">
        <v>38</v>
      </c>
      <c r="C152" s="3">
        <v>100</v>
      </c>
      <c r="D152" s="3">
        <v>3800</v>
      </c>
      <c r="E152" s="3" t="str">
        <f t="shared" si="9"/>
        <v>Medium</v>
      </c>
      <c r="F152" s="3">
        <f t="shared" si="10"/>
        <v>1140</v>
      </c>
      <c r="G152" s="4">
        <v>38273</v>
      </c>
      <c r="H152" s="3" t="s">
        <v>25</v>
      </c>
      <c r="I152" s="3" t="str">
        <f t="shared" si="8"/>
        <v>Yes</v>
      </c>
      <c r="J152" s="3" t="s">
        <v>685</v>
      </c>
      <c r="K152" s="3">
        <v>2004</v>
      </c>
      <c r="L152" s="3" t="str">
        <f t="shared" si="11"/>
        <v>Oct-2004</v>
      </c>
      <c r="M152" s="3" t="s">
        <v>181</v>
      </c>
      <c r="N152" s="3" t="s">
        <v>120</v>
      </c>
      <c r="O152" s="3" t="s">
        <v>32</v>
      </c>
      <c r="P152" s="3" t="s">
        <v>33</v>
      </c>
      <c r="Q152" s="3" t="s">
        <v>51</v>
      </c>
    </row>
    <row r="153" spans="1:17" x14ac:dyDescent="0.25">
      <c r="A153" s="5">
        <v>10313</v>
      </c>
      <c r="B153" s="5">
        <v>40</v>
      </c>
      <c r="C153" s="5">
        <v>100</v>
      </c>
      <c r="D153" s="5">
        <v>4000</v>
      </c>
      <c r="E153" s="5" t="str">
        <f t="shared" si="9"/>
        <v>Medium</v>
      </c>
      <c r="F153" s="5">
        <f t="shared" si="10"/>
        <v>1200</v>
      </c>
      <c r="G153" s="6">
        <v>38282</v>
      </c>
      <c r="H153" s="5" t="s">
        <v>25</v>
      </c>
      <c r="I153" s="5" t="str">
        <f t="shared" si="8"/>
        <v>Yes</v>
      </c>
      <c r="J153" s="5" t="s">
        <v>685</v>
      </c>
      <c r="K153" s="5">
        <v>2004</v>
      </c>
      <c r="L153" s="5" t="str">
        <f t="shared" si="11"/>
        <v>Oct-2004</v>
      </c>
      <c r="M153" s="5" t="s">
        <v>181</v>
      </c>
      <c r="N153" s="5" t="s">
        <v>225</v>
      </c>
      <c r="O153" s="5" t="s">
        <v>231</v>
      </c>
      <c r="P153" s="5" t="s">
        <v>33</v>
      </c>
      <c r="Q153" s="5" t="s">
        <v>51</v>
      </c>
    </row>
    <row r="154" spans="1:17" x14ac:dyDescent="0.25">
      <c r="A154" s="3">
        <v>10322</v>
      </c>
      <c r="B154" s="3">
        <v>46</v>
      </c>
      <c r="C154" s="3">
        <v>61.99</v>
      </c>
      <c r="D154" s="3">
        <v>2851.54</v>
      </c>
      <c r="E154" s="3" t="str">
        <f t="shared" si="9"/>
        <v>Medium</v>
      </c>
      <c r="F154" s="3">
        <f t="shared" si="10"/>
        <v>855.46199999999999</v>
      </c>
      <c r="G154" s="4">
        <v>38295</v>
      </c>
      <c r="H154" s="3" t="s">
        <v>25</v>
      </c>
      <c r="I154" s="3" t="str">
        <f t="shared" si="8"/>
        <v>Yes</v>
      </c>
      <c r="J154" s="3" t="s">
        <v>686</v>
      </c>
      <c r="K154" s="3">
        <v>2004</v>
      </c>
      <c r="L154" s="3" t="str">
        <f t="shared" si="11"/>
        <v>Nov-2004</v>
      </c>
      <c r="M154" s="3" t="s">
        <v>181</v>
      </c>
      <c r="N154" s="3" t="s">
        <v>277</v>
      </c>
      <c r="O154" s="3" t="s">
        <v>32</v>
      </c>
      <c r="P154" s="3" t="s">
        <v>33</v>
      </c>
      <c r="Q154" s="3" t="s">
        <v>36</v>
      </c>
    </row>
    <row r="155" spans="1:17" x14ac:dyDescent="0.25">
      <c r="A155" s="5">
        <v>10334</v>
      </c>
      <c r="B155" s="5">
        <v>26</v>
      </c>
      <c r="C155" s="5">
        <v>100</v>
      </c>
      <c r="D155" s="5">
        <v>2600</v>
      </c>
      <c r="E155" s="5" t="str">
        <f t="shared" si="9"/>
        <v>Medium</v>
      </c>
      <c r="F155" s="5">
        <f t="shared" si="10"/>
        <v>780</v>
      </c>
      <c r="G155" s="6">
        <v>38310</v>
      </c>
      <c r="H155" s="5" t="s">
        <v>401</v>
      </c>
      <c r="I155" s="5" t="str">
        <f t="shared" si="8"/>
        <v>No</v>
      </c>
      <c r="J155" s="5" t="s">
        <v>686</v>
      </c>
      <c r="K155" s="5">
        <v>2004</v>
      </c>
      <c r="L155" s="5" t="str">
        <f t="shared" si="11"/>
        <v>Nov-2004</v>
      </c>
      <c r="M155" s="5" t="s">
        <v>181</v>
      </c>
      <c r="N155" s="5" t="s">
        <v>183</v>
      </c>
      <c r="O155" s="5" t="s">
        <v>188</v>
      </c>
      <c r="P155" s="5" t="s">
        <v>42</v>
      </c>
      <c r="Q155" s="5" t="s">
        <v>51</v>
      </c>
    </row>
    <row r="156" spans="1:17" x14ac:dyDescent="0.25">
      <c r="A156" s="3">
        <v>10347</v>
      </c>
      <c r="B156" s="3">
        <v>27</v>
      </c>
      <c r="C156" s="3">
        <v>100</v>
      </c>
      <c r="D156" s="3">
        <v>2700</v>
      </c>
      <c r="E156" s="3" t="str">
        <f t="shared" si="9"/>
        <v>Medium</v>
      </c>
      <c r="F156" s="3">
        <f t="shared" si="10"/>
        <v>810</v>
      </c>
      <c r="G156" s="4">
        <v>38320</v>
      </c>
      <c r="H156" s="3" t="s">
        <v>25</v>
      </c>
      <c r="I156" s="3" t="str">
        <f t="shared" si="8"/>
        <v>Yes</v>
      </c>
      <c r="J156" s="3" t="s">
        <v>686</v>
      </c>
      <c r="K156" s="3">
        <v>2004</v>
      </c>
      <c r="L156" s="3" t="str">
        <f t="shared" si="11"/>
        <v>Nov-2004</v>
      </c>
      <c r="M156" s="3" t="s">
        <v>181</v>
      </c>
      <c r="N156" s="3" t="s">
        <v>89</v>
      </c>
      <c r="O156" s="3" t="s">
        <v>95</v>
      </c>
      <c r="P156" s="3" t="s">
        <v>96</v>
      </c>
      <c r="Q156" s="3" t="s">
        <v>51</v>
      </c>
    </row>
    <row r="157" spans="1:17" x14ac:dyDescent="0.25">
      <c r="A157" s="5">
        <v>10357</v>
      </c>
      <c r="B157" s="5">
        <v>43</v>
      </c>
      <c r="C157" s="5">
        <v>100</v>
      </c>
      <c r="D157" s="5">
        <v>4300</v>
      </c>
      <c r="E157" s="5" t="str">
        <f t="shared" si="9"/>
        <v>Medium</v>
      </c>
      <c r="F157" s="5">
        <f t="shared" si="10"/>
        <v>1290</v>
      </c>
      <c r="G157" s="6">
        <v>38331</v>
      </c>
      <c r="H157" s="5" t="s">
        <v>25</v>
      </c>
      <c r="I157" s="5" t="str">
        <f t="shared" si="8"/>
        <v>Yes</v>
      </c>
      <c r="J157" s="5" t="s">
        <v>687</v>
      </c>
      <c r="K157" s="5">
        <v>2004</v>
      </c>
      <c r="L157" s="5" t="str">
        <f t="shared" si="11"/>
        <v>Dec-2004</v>
      </c>
      <c r="M157" s="5" t="s">
        <v>181</v>
      </c>
      <c r="N157" s="5" t="s">
        <v>272</v>
      </c>
      <c r="O157" s="5" t="s">
        <v>32</v>
      </c>
      <c r="P157" s="5" t="s">
        <v>33</v>
      </c>
      <c r="Q157" s="5" t="s">
        <v>51</v>
      </c>
    </row>
    <row r="158" spans="1:17" x14ac:dyDescent="0.25">
      <c r="A158" s="3">
        <v>10370</v>
      </c>
      <c r="B158" s="3">
        <v>35</v>
      </c>
      <c r="C158" s="3">
        <v>65.63</v>
      </c>
      <c r="D158" s="3">
        <v>2297.0499999999997</v>
      </c>
      <c r="E158" s="3" t="str">
        <f t="shared" si="9"/>
        <v>Medium</v>
      </c>
      <c r="F158" s="3">
        <f t="shared" si="10"/>
        <v>689.1149999999999</v>
      </c>
      <c r="G158" s="4">
        <v>38372</v>
      </c>
      <c r="H158" s="3" t="s">
        <v>25</v>
      </c>
      <c r="I158" s="3" t="str">
        <f t="shared" si="8"/>
        <v>Yes</v>
      </c>
      <c r="J158" s="3" t="s">
        <v>549</v>
      </c>
      <c r="K158" s="3">
        <v>2005</v>
      </c>
      <c r="L158" s="3" t="str">
        <f t="shared" si="11"/>
        <v>Jan-2005</v>
      </c>
      <c r="M158" s="3" t="s">
        <v>181</v>
      </c>
      <c r="N158" s="3" t="s">
        <v>285</v>
      </c>
      <c r="O158" s="3" t="s">
        <v>95</v>
      </c>
      <c r="P158" s="3" t="s">
        <v>96</v>
      </c>
      <c r="Q158" s="3" t="s">
        <v>36</v>
      </c>
    </row>
    <row r="159" spans="1:17" x14ac:dyDescent="0.25">
      <c r="A159" s="5">
        <v>10381</v>
      </c>
      <c r="B159" s="5">
        <v>37</v>
      </c>
      <c r="C159" s="5">
        <v>100</v>
      </c>
      <c r="D159" s="5">
        <v>3700</v>
      </c>
      <c r="E159" s="5" t="str">
        <f t="shared" si="9"/>
        <v>Medium</v>
      </c>
      <c r="F159" s="5">
        <f t="shared" si="10"/>
        <v>1110</v>
      </c>
      <c r="G159" s="6">
        <v>38400</v>
      </c>
      <c r="H159" s="5" t="s">
        <v>25</v>
      </c>
      <c r="I159" s="5" t="str">
        <f t="shared" si="8"/>
        <v>Yes</v>
      </c>
      <c r="J159" s="5" t="s">
        <v>681</v>
      </c>
      <c r="K159" s="5">
        <v>2005</v>
      </c>
      <c r="L159" s="5" t="str">
        <f t="shared" si="11"/>
        <v>Feb-2005</v>
      </c>
      <c r="M159" s="5" t="s">
        <v>181</v>
      </c>
      <c r="N159" s="5" t="s">
        <v>58</v>
      </c>
      <c r="O159" s="5" t="s">
        <v>32</v>
      </c>
      <c r="P159" s="5" t="s">
        <v>33</v>
      </c>
      <c r="Q159" s="5" t="s">
        <v>51</v>
      </c>
    </row>
    <row r="160" spans="1:17" x14ac:dyDescent="0.25">
      <c r="A160" s="3">
        <v>10391</v>
      </c>
      <c r="B160" s="3">
        <v>37</v>
      </c>
      <c r="C160" s="3">
        <v>46.9</v>
      </c>
      <c r="D160" s="3">
        <v>1735.3</v>
      </c>
      <c r="E160" s="3" t="str">
        <f t="shared" si="9"/>
        <v>Low</v>
      </c>
      <c r="F160" s="3">
        <f t="shared" si="10"/>
        <v>520.58999999999992</v>
      </c>
      <c r="G160" s="4">
        <v>38420</v>
      </c>
      <c r="H160" s="3" t="s">
        <v>25</v>
      </c>
      <c r="I160" s="3" t="str">
        <f t="shared" si="8"/>
        <v>Yes</v>
      </c>
      <c r="J160" s="3" t="s">
        <v>691</v>
      </c>
      <c r="K160" s="3">
        <v>2005</v>
      </c>
      <c r="L160" s="3" t="str">
        <f t="shared" si="11"/>
        <v>Mar-2005</v>
      </c>
      <c r="M160" s="3" t="s">
        <v>181</v>
      </c>
      <c r="N160" s="3" t="s">
        <v>285</v>
      </c>
      <c r="O160" s="3" t="s">
        <v>95</v>
      </c>
      <c r="P160" s="3" t="s">
        <v>96</v>
      </c>
      <c r="Q160" s="3" t="s">
        <v>36</v>
      </c>
    </row>
    <row r="161" spans="1:17" x14ac:dyDescent="0.25">
      <c r="A161" s="5">
        <v>10411</v>
      </c>
      <c r="B161" s="5">
        <v>27</v>
      </c>
      <c r="C161" s="5">
        <v>100</v>
      </c>
      <c r="D161" s="5">
        <v>2700</v>
      </c>
      <c r="E161" s="5" t="str">
        <f t="shared" si="9"/>
        <v>Medium</v>
      </c>
      <c r="F161" s="5">
        <f t="shared" si="10"/>
        <v>810</v>
      </c>
      <c r="G161" s="6">
        <v>38473</v>
      </c>
      <c r="H161" s="5" t="s">
        <v>25</v>
      </c>
      <c r="I161" s="5" t="str">
        <f t="shared" si="8"/>
        <v>Yes</v>
      </c>
      <c r="J161" s="5" t="s">
        <v>682</v>
      </c>
      <c r="K161" s="5">
        <v>2005</v>
      </c>
      <c r="L161" s="5" t="str">
        <f t="shared" si="11"/>
        <v>May-2005</v>
      </c>
      <c r="M161" s="5" t="s">
        <v>181</v>
      </c>
      <c r="N161" s="5" t="s">
        <v>292</v>
      </c>
      <c r="O161" s="5" t="s">
        <v>231</v>
      </c>
      <c r="P161" s="5" t="s">
        <v>33</v>
      </c>
      <c r="Q161" s="5" t="s">
        <v>51</v>
      </c>
    </row>
    <row r="162" spans="1:17" x14ac:dyDescent="0.25">
      <c r="A162" s="3">
        <v>10425</v>
      </c>
      <c r="B162" s="3">
        <v>38</v>
      </c>
      <c r="C162" s="3">
        <v>100</v>
      </c>
      <c r="D162" s="3">
        <v>3800</v>
      </c>
      <c r="E162" s="3" t="str">
        <f t="shared" si="9"/>
        <v>Medium</v>
      </c>
      <c r="F162" s="3">
        <f t="shared" si="10"/>
        <v>1140</v>
      </c>
      <c r="G162" s="4">
        <v>38503</v>
      </c>
      <c r="H162" s="3" t="s">
        <v>300</v>
      </c>
      <c r="I162" s="3" t="str">
        <f t="shared" si="8"/>
        <v>No</v>
      </c>
      <c r="J162" s="3" t="s">
        <v>682</v>
      </c>
      <c r="K162" s="3">
        <v>2005</v>
      </c>
      <c r="L162" s="3" t="str">
        <f t="shared" si="11"/>
        <v>May-2005</v>
      </c>
      <c r="M162" s="3" t="s">
        <v>181</v>
      </c>
      <c r="N162" s="3" t="s">
        <v>114</v>
      </c>
      <c r="O162" s="3" t="s">
        <v>41</v>
      </c>
      <c r="P162" s="3" t="s">
        <v>42</v>
      </c>
      <c r="Q162" s="3" t="s">
        <v>51</v>
      </c>
    </row>
    <row r="163" spans="1:17" x14ac:dyDescent="0.25">
      <c r="A163" s="5">
        <v>10108</v>
      </c>
      <c r="B163" s="5">
        <v>33</v>
      </c>
      <c r="C163" s="5">
        <v>100</v>
      </c>
      <c r="D163" s="5">
        <v>3300</v>
      </c>
      <c r="E163" s="5" t="str">
        <f t="shared" si="9"/>
        <v>Medium</v>
      </c>
      <c r="F163" s="5">
        <f t="shared" si="10"/>
        <v>990</v>
      </c>
      <c r="G163" s="6">
        <v>37683</v>
      </c>
      <c r="H163" s="5" t="s">
        <v>25</v>
      </c>
      <c r="I163" s="5" t="str">
        <f t="shared" si="8"/>
        <v>Yes</v>
      </c>
      <c r="J163" s="5" t="s">
        <v>691</v>
      </c>
      <c r="K163" s="5">
        <v>2003</v>
      </c>
      <c r="L163" s="5" t="str">
        <f t="shared" si="11"/>
        <v>Mar-2003</v>
      </c>
      <c r="M163" s="5" t="s">
        <v>181</v>
      </c>
      <c r="N163" s="5" t="s">
        <v>425</v>
      </c>
      <c r="O163" s="5" t="s">
        <v>430</v>
      </c>
      <c r="P163" s="5" t="s">
        <v>675</v>
      </c>
      <c r="Q163" s="5" t="s">
        <v>51</v>
      </c>
    </row>
    <row r="164" spans="1:17" x14ac:dyDescent="0.25">
      <c r="A164" s="3">
        <v>10122</v>
      </c>
      <c r="B164" s="3">
        <v>42</v>
      </c>
      <c r="C164" s="3">
        <v>100</v>
      </c>
      <c r="D164" s="3">
        <v>4200</v>
      </c>
      <c r="E164" s="3" t="str">
        <f t="shared" si="9"/>
        <v>Medium</v>
      </c>
      <c r="F164" s="3">
        <f t="shared" si="10"/>
        <v>1260</v>
      </c>
      <c r="G164" s="4">
        <v>37749</v>
      </c>
      <c r="H164" s="3" t="s">
        <v>25</v>
      </c>
      <c r="I164" s="3" t="str">
        <f t="shared" si="8"/>
        <v>Yes</v>
      </c>
      <c r="J164" s="3" t="s">
        <v>682</v>
      </c>
      <c r="K164" s="3">
        <v>2003</v>
      </c>
      <c r="L164" s="3" t="str">
        <f t="shared" si="11"/>
        <v>May-2003</v>
      </c>
      <c r="M164" s="3" t="s">
        <v>181</v>
      </c>
      <c r="N164" s="3" t="s">
        <v>433</v>
      </c>
      <c r="O164" s="3" t="s">
        <v>41</v>
      </c>
      <c r="P164" s="3" t="s">
        <v>42</v>
      </c>
      <c r="Q164" s="3" t="s">
        <v>151</v>
      </c>
    </row>
    <row r="165" spans="1:17" x14ac:dyDescent="0.25">
      <c r="A165" s="5">
        <v>10135</v>
      </c>
      <c r="B165" s="5">
        <v>42</v>
      </c>
      <c r="C165" s="5">
        <v>100</v>
      </c>
      <c r="D165" s="5">
        <v>4200</v>
      </c>
      <c r="E165" s="5" t="str">
        <f t="shared" si="9"/>
        <v>Medium</v>
      </c>
      <c r="F165" s="5">
        <f t="shared" si="10"/>
        <v>1260</v>
      </c>
      <c r="G165" s="6">
        <v>37804</v>
      </c>
      <c r="H165" s="5" t="s">
        <v>25</v>
      </c>
      <c r="I165" s="5" t="str">
        <f t="shared" si="8"/>
        <v>Yes</v>
      </c>
      <c r="J165" s="5" t="s">
        <v>683</v>
      </c>
      <c r="K165" s="5">
        <v>2003</v>
      </c>
      <c r="L165" s="5" t="str">
        <f t="shared" si="11"/>
        <v>Jul-2003</v>
      </c>
      <c r="M165" s="5" t="s">
        <v>181</v>
      </c>
      <c r="N165" s="5" t="s">
        <v>272</v>
      </c>
      <c r="O165" s="5" t="s">
        <v>32</v>
      </c>
      <c r="P165" s="5" t="s">
        <v>33</v>
      </c>
      <c r="Q165" s="5" t="s">
        <v>151</v>
      </c>
    </row>
    <row r="166" spans="1:17" x14ac:dyDescent="0.25">
      <c r="A166" s="3">
        <v>10147</v>
      </c>
      <c r="B166" s="3">
        <v>48</v>
      </c>
      <c r="C166" s="3">
        <v>100</v>
      </c>
      <c r="D166" s="3">
        <v>4800</v>
      </c>
      <c r="E166" s="3" t="str">
        <f t="shared" si="9"/>
        <v>Medium</v>
      </c>
      <c r="F166" s="3">
        <f t="shared" si="10"/>
        <v>1440</v>
      </c>
      <c r="G166" s="4">
        <v>37869</v>
      </c>
      <c r="H166" s="3" t="s">
        <v>25</v>
      </c>
      <c r="I166" s="3" t="str">
        <f t="shared" si="8"/>
        <v>Yes</v>
      </c>
      <c r="J166" s="3" t="s">
        <v>690</v>
      </c>
      <c r="K166" s="3">
        <v>2003</v>
      </c>
      <c r="L166" s="3" t="str">
        <f t="shared" si="11"/>
        <v>Sep-2003</v>
      </c>
      <c r="M166" s="3" t="s">
        <v>181</v>
      </c>
      <c r="N166" s="3" t="s">
        <v>281</v>
      </c>
      <c r="O166" s="3" t="s">
        <v>32</v>
      </c>
      <c r="P166" s="3" t="s">
        <v>33</v>
      </c>
      <c r="Q166" s="3" t="s">
        <v>151</v>
      </c>
    </row>
    <row r="167" spans="1:17" x14ac:dyDescent="0.25">
      <c r="A167" s="5">
        <v>10159</v>
      </c>
      <c r="B167" s="5">
        <v>41</v>
      </c>
      <c r="C167" s="5">
        <v>100</v>
      </c>
      <c r="D167" s="5">
        <v>4100</v>
      </c>
      <c r="E167" s="5" t="str">
        <f t="shared" si="9"/>
        <v>Medium</v>
      </c>
      <c r="F167" s="5">
        <f t="shared" si="10"/>
        <v>1230</v>
      </c>
      <c r="G167" s="6">
        <v>37904</v>
      </c>
      <c r="H167" s="5" t="s">
        <v>25</v>
      </c>
      <c r="I167" s="5" t="str">
        <f t="shared" si="8"/>
        <v>Yes</v>
      </c>
      <c r="J167" s="5" t="s">
        <v>685</v>
      </c>
      <c r="K167" s="5">
        <v>2003</v>
      </c>
      <c r="L167" s="5" t="str">
        <f t="shared" si="11"/>
        <v>Oct-2003</v>
      </c>
      <c r="M167" s="5" t="s">
        <v>181</v>
      </c>
      <c r="N167" s="5" t="s">
        <v>58</v>
      </c>
      <c r="O167" s="5" t="s">
        <v>32</v>
      </c>
      <c r="P167" s="5" t="s">
        <v>33</v>
      </c>
      <c r="Q167" s="5" t="s">
        <v>151</v>
      </c>
    </row>
    <row r="168" spans="1:17" x14ac:dyDescent="0.25">
      <c r="A168" s="3">
        <v>10169</v>
      </c>
      <c r="B168" s="3">
        <v>30</v>
      </c>
      <c r="C168" s="3">
        <v>100</v>
      </c>
      <c r="D168" s="3">
        <v>3000</v>
      </c>
      <c r="E168" s="3" t="str">
        <f t="shared" si="9"/>
        <v>Medium</v>
      </c>
      <c r="F168" s="3">
        <f t="shared" si="10"/>
        <v>900</v>
      </c>
      <c r="G168" s="4">
        <v>37929</v>
      </c>
      <c r="H168" s="3" t="s">
        <v>25</v>
      </c>
      <c r="I168" s="3" t="str">
        <f t="shared" si="8"/>
        <v>Yes</v>
      </c>
      <c r="J168" s="3" t="s">
        <v>686</v>
      </c>
      <c r="K168" s="3">
        <v>2003</v>
      </c>
      <c r="L168" s="3" t="str">
        <f t="shared" si="11"/>
        <v>Nov-2003</v>
      </c>
      <c r="M168" s="3" t="s">
        <v>181</v>
      </c>
      <c r="N168" s="3" t="s">
        <v>285</v>
      </c>
      <c r="O168" s="3" t="s">
        <v>95</v>
      </c>
      <c r="P168" s="3" t="s">
        <v>96</v>
      </c>
      <c r="Q168" s="3" t="s">
        <v>51</v>
      </c>
    </row>
    <row r="169" spans="1:17" x14ac:dyDescent="0.25">
      <c r="A169" s="5">
        <v>10181</v>
      </c>
      <c r="B169" s="5">
        <v>27</v>
      </c>
      <c r="C169" s="5">
        <v>100</v>
      </c>
      <c r="D169" s="5">
        <v>2700</v>
      </c>
      <c r="E169" s="5" t="str">
        <f t="shared" si="9"/>
        <v>Medium</v>
      </c>
      <c r="F169" s="5">
        <f t="shared" si="10"/>
        <v>810</v>
      </c>
      <c r="G169" s="6">
        <v>37937</v>
      </c>
      <c r="H169" s="5" t="s">
        <v>25</v>
      </c>
      <c r="I169" s="5" t="str">
        <f t="shared" si="8"/>
        <v>Yes</v>
      </c>
      <c r="J169" s="5" t="s">
        <v>686</v>
      </c>
      <c r="K169" s="5">
        <v>2003</v>
      </c>
      <c r="L169" s="5" t="str">
        <f t="shared" si="11"/>
        <v>Nov-2003</v>
      </c>
      <c r="M169" s="5" t="s">
        <v>181</v>
      </c>
      <c r="N169" s="5" t="s">
        <v>73</v>
      </c>
      <c r="O169" s="5" t="s">
        <v>78</v>
      </c>
      <c r="P169" s="5" t="s">
        <v>42</v>
      </c>
      <c r="Q169" s="5" t="s">
        <v>51</v>
      </c>
    </row>
    <row r="170" spans="1:17" x14ac:dyDescent="0.25">
      <c r="A170" s="3">
        <v>10191</v>
      </c>
      <c r="B170" s="3">
        <v>21</v>
      </c>
      <c r="C170" s="3">
        <v>100</v>
      </c>
      <c r="D170" s="3">
        <v>2100</v>
      </c>
      <c r="E170" s="3" t="str">
        <f t="shared" si="9"/>
        <v>Medium</v>
      </c>
      <c r="F170" s="3">
        <f t="shared" si="10"/>
        <v>630</v>
      </c>
      <c r="G170" s="4">
        <v>37945</v>
      </c>
      <c r="H170" s="3" t="s">
        <v>25</v>
      </c>
      <c r="I170" s="3" t="str">
        <f t="shared" si="8"/>
        <v>Yes</v>
      </c>
      <c r="J170" s="3" t="s">
        <v>686</v>
      </c>
      <c r="K170" s="3">
        <v>2003</v>
      </c>
      <c r="L170" s="3" t="str">
        <f t="shared" si="11"/>
        <v>Nov-2003</v>
      </c>
      <c r="M170" s="3" t="s">
        <v>181</v>
      </c>
      <c r="N170" s="3" t="s">
        <v>439</v>
      </c>
      <c r="O170" s="3" t="s">
        <v>443</v>
      </c>
      <c r="P170" s="3" t="s">
        <v>42</v>
      </c>
      <c r="Q170" s="3" t="s">
        <v>51</v>
      </c>
    </row>
    <row r="171" spans="1:17" x14ac:dyDescent="0.25">
      <c r="A171" s="5">
        <v>10203</v>
      </c>
      <c r="B171" s="5">
        <v>20</v>
      </c>
      <c r="C171" s="5">
        <v>100</v>
      </c>
      <c r="D171" s="5">
        <v>2000</v>
      </c>
      <c r="E171" s="5" t="str">
        <f t="shared" si="9"/>
        <v>Medium</v>
      </c>
      <c r="F171" s="5">
        <f t="shared" si="10"/>
        <v>600</v>
      </c>
      <c r="G171" s="6">
        <v>37957</v>
      </c>
      <c r="H171" s="5" t="s">
        <v>25</v>
      </c>
      <c r="I171" s="5" t="str">
        <f t="shared" si="8"/>
        <v>Yes</v>
      </c>
      <c r="J171" s="5" t="s">
        <v>687</v>
      </c>
      <c r="K171" s="5">
        <v>2003</v>
      </c>
      <c r="L171" s="5" t="str">
        <f t="shared" si="11"/>
        <v>Dec-2003</v>
      </c>
      <c r="M171" s="5" t="s">
        <v>181</v>
      </c>
      <c r="N171" s="5" t="s">
        <v>174</v>
      </c>
      <c r="O171" s="5" t="s">
        <v>178</v>
      </c>
      <c r="P171" s="5" t="s">
        <v>42</v>
      </c>
      <c r="Q171" s="5" t="s">
        <v>51</v>
      </c>
    </row>
    <row r="172" spans="1:17" x14ac:dyDescent="0.25">
      <c r="A172" s="3">
        <v>10211</v>
      </c>
      <c r="B172" s="3">
        <v>41</v>
      </c>
      <c r="C172" s="3">
        <v>100</v>
      </c>
      <c r="D172" s="3">
        <v>4100</v>
      </c>
      <c r="E172" s="3" t="str">
        <f t="shared" si="9"/>
        <v>Medium</v>
      </c>
      <c r="F172" s="3">
        <f t="shared" si="10"/>
        <v>1230</v>
      </c>
      <c r="G172" s="4">
        <v>38001</v>
      </c>
      <c r="H172" s="3" t="s">
        <v>25</v>
      </c>
      <c r="I172" s="3" t="str">
        <f t="shared" si="8"/>
        <v>Yes</v>
      </c>
      <c r="J172" s="3" t="s">
        <v>549</v>
      </c>
      <c r="K172" s="3">
        <v>2004</v>
      </c>
      <c r="L172" s="3" t="str">
        <f t="shared" si="11"/>
        <v>Jan-2004</v>
      </c>
      <c r="M172" s="3" t="s">
        <v>181</v>
      </c>
      <c r="N172" s="3" t="s">
        <v>84</v>
      </c>
      <c r="O172" s="3" t="s">
        <v>41</v>
      </c>
      <c r="P172" s="3" t="s">
        <v>42</v>
      </c>
      <c r="Q172" s="3" t="s">
        <v>151</v>
      </c>
    </row>
    <row r="173" spans="1:17" x14ac:dyDescent="0.25">
      <c r="A173" s="5">
        <v>10225</v>
      </c>
      <c r="B173" s="5">
        <v>27</v>
      </c>
      <c r="C173" s="5">
        <v>100</v>
      </c>
      <c r="D173" s="5">
        <v>2700</v>
      </c>
      <c r="E173" s="5" t="str">
        <f t="shared" si="9"/>
        <v>Medium</v>
      </c>
      <c r="F173" s="5">
        <f t="shared" si="10"/>
        <v>810</v>
      </c>
      <c r="G173" s="6">
        <v>38039</v>
      </c>
      <c r="H173" s="5" t="s">
        <v>25</v>
      </c>
      <c r="I173" s="5" t="str">
        <f t="shared" si="8"/>
        <v>Yes</v>
      </c>
      <c r="J173" s="5" t="s">
        <v>681</v>
      </c>
      <c r="K173" s="5">
        <v>2004</v>
      </c>
      <c r="L173" s="5" t="str">
        <f t="shared" si="11"/>
        <v>Feb-2004</v>
      </c>
      <c r="M173" s="5" t="s">
        <v>181</v>
      </c>
      <c r="N173" s="5" t="s">
        <v>446</v>
      </c>
      <c r="O173" s="5" t="s">
        <v>450</v>
      </c>
      <c r="P173" s="5" t="s">
        <v>42</v>
      </c>
      <c r="Q173" s="5" t="s">
        <v>51</v>
      </c>
    </row>
    <row r="174" spans="1:17" x14ac:dyDescent="0.25">
      <c r="A174" s="3">
        <v>10238</v>
      </c>
      <c r="B174" s="3">
        <v>28</v>
      </c>
      <c r="C174" s="3">
        <v>100</v>
      </c>
      <c r="D174" s="3">
        <v>2800</v>
      </c>
      <c r="E174" s="3" t="str">
        <f t="shared" si="9"/>
        <v>Medium</v>
      </c>
      <c r="F174" s="3">
        <f t="shared" si="10"/>
        <v>840</v>
      </c>
      <c r="G174" s="4">
        <v>38086</v>
      </c>
      <c r="H174" s="3" t="s">
        <v>25</v>
      </c>
      <c r="I174" s="3" t="str">
        <f t="shared" si="8"/>
        <v>Yes</v>
      </c>
      <c r="J174" s="3" t="s">
        <v>688</v>
      </c>
      <c r="K174" s="3">
        <v>2004</v>
      </c>
      <c r="L174" s="3" t="str">
        <f t="shared" si="11"/>
        <v>Apr-2004</v>
      </c>
      <c r="M174" s="3" t="s">
        <v>181</v>
      </c>
      <c r="N174" s="3" t="s">
        <v>322</v>
      </c>
      <c r="O174" s="3" t="s">
        <v>326</v>
      </c>
      <c r="P174" s="3" t="s">
        <v>42</v>
      </c>
      <c r="Q174" s="3" t="s">
        <v>51</v>
      </c>
    </row>
    <row r="175" spans="1:17" x14ac:dyDescent="0.25">
      <c r="A175" s="5">
        <v>10253</v>
      </c>
      <c r="B175" s="5">
        <v>24</v>
      </c>
      <c r="C175" s="5">
        <v>100</v>
      </c>
      <c r="D175" s="5">
        <v>2400</v>
      </c>
      <c r="E175" s="5" t="str">
        <f t="shared" si="9"/>
        <v>Medium</v>
      </c>
      <c r="F175" s="5">
        <f t="shared" si="10"/>
        <v>720</v>
      </c>
      <c r="G175" s="6">
        <v>38139</v>
      </c>
      <c r="H175" s="5" t="s">
        <v>339</v>
      </c>
      <c r="I175" s="5" t="str">
        <f t="shared" si="8"/>
        <v>No</v>
      </c>
      <c r="J175" s="5" t="s">
        <v>689</v>
      </c>
      <c r="K175" s="5">
        <v>2004</v>
      </c>
      <c r="L175" s="5" t="str">
        <f t="shared" si="11"/>
        <v>Jun-2004</v>
      </c>
      <c r="M175" s="5" t="s">
        <v>181</v>
      </c>
      <c r="N175" s="5" t="s">
        <v>165</v>
      </c>
      <c r="O175" s="5" t="s">
        <v>170</v>
      </c>
      <c r="P175" s="5" t="s">
        <v>42</v>
      </c>
      <c r="Q175" s="5" t="s">
        <v>51</v>
      </c>
    </row>
    <row r="176" spans="1:17" x14ac:dyDescent="0.25">
      <c r="A176" s="3">
        <v>10266</v>
      </c>
      <c r="B176" s="3">
        <v>44</v>
      </c>
      <c r="C176" s="3">
        <v>100</v>
      </c>
      <c r="D176" s="3">
        <v>4400</v>
      </c>
      <c r="E176" s="3" t="str">
        <f t="shared" si="9"/>
        <v>Medium</v>
      </c>
      <c r="F176" s="3">
        <f t="shared" si="10"/>
        <v>1320</v>
      </c>
      <c r="G176" s="4">
        <v>38174</v>
      </c>
      <c r="H176" s="3" t="s">
        <v>25</v>
      </c>
      <c r="I176" s="3" t="str">
        <f t="shared" si="8"/>
        <v>Yes</v>
      </c>
      <c r="J176" s="3" t="s">
        <v>683</v>
      </c>
      <c r="K176" s="3">
        <v>2004</v>
      </c>
      <c r="L176" s="3" t="str">
        <f t="shared" si="11"/>
        <v>Jul-2004</v>
      </c>
      <c r="M176" s="3" t="s">
        <v>181</v>
      </c>
      <c r="N176" s="3" t="s">
        <v>452</v>
      </c>
      <c r="O176" s="3" t="s">
        <v>258</v>
      </c>
      <c r="P176" s="3" t="s">
        <v>42</v>
      </c>
      <c r="Q176" s="3" t="s">
        <v>151</v>
      </c>
    </row>
    <row r="177" spans="1:17" x14ac:dyDescent="0.25">
      <c r="A177" s="5">
        <v>10276</v>
      </c>
      <c r="B177" s="5">
        <v>50</v>
      </c>
      <c r="C177" s="5">
        <v>100</v>
      </c>
      <c r="D177" s="5">
        <v>5000</v>
      </c>
      <c r="E177" s="5" t="str">
        <f t="shared" si="9"/>
        <v>High</v>
      </c>
      <c r="F177" s="5">
        <f t="shared" si="10"/>
        <v>1500</v>
      </c>
      <c r="G177" s="6">
        <v>38201</v>
      </c>
      <c r="H177" s="5" t="s">
        <v>25</v>
      </c>
      <c r="I177" s="5" t="str">
        <f t="shared" si="8"/>
        <v>Yes</v>
      </c>
      <c r="J177" s="5" t="s">
        <v>684</v>
      </c>
      <c r="K177" s="5">
        <v>2004</v>
      </c>
      <c r="L177" s="5" t="str">
        <f t="shared" si="11"/>
        <v>Aug-2004</v>
      </c>
      <c r="M177" s="5" t="s">
        <v>181</v>
      </c>
      <c r="N177" s="5" t="s">
        <v>458</v>
      </c>
      <c r="O177" s="5" t="s">
        <v>32</v>
      </c>
      <c r="P177" s="5" t="s">
        <v>33</v>
      </c>
      <c r="Q177" s="5" t="s">
        <v>151</v>
      </c>
    </row>
    <row r="178" spans="1:17" x14ac:dyDescent="0.25">
      <c r="A178" s="3">
        <v>10287</v>
      </c>
      <c r="B178" s="3">
        <v>21</v>
      </c>
      <c r="C178" s="3">
        <v>100</v>
      </c>
      <c r="D178" s="3">
        <v>2100</v>
      </c>
      <c r="E178" s="3" t="str">
        <f t="shared" si="9"/>
        <v>Medium</v>
      </c>
      <c r="F178" s="3">
        <f t="shared" si="10"/>
        <v>630</v>
      </c>
      <c r="G178" s="4">
        <v>38229</v>
      </c>
      <c r="H178" s="3" t="s">
        <v>25</v>
      </c>
      <c r="I178" s="3" t="str">
        <f t="shared" si="8"/>
        <v>Yes</v>
      </c>
      <c r="J178" s="3" t="s">
        <v>684</v>
      </c>
      <c r="K178" s="3">
        <v>2004</v>
      </c>
      <c r="L178" s="3" t="str">
        <f t="shared" si="11"/>
        <v>Aug-2004</v>
      </c>
      <c r="M178" s="3" t="s">
        <v>181</v>
      </c>
      <c r="N178" s="3" t="s">
        <v>446</v>
      </c>
      <c r="O178" s="3" t="s">
        <v>450</v>
      </c>
      <c r="P178" s="3" t="s">
        <v>42</v>
      </c>
      <c r="Q178" s="3" t="s">
        <v>51</v>
      </c>
    </row>
    <row r="179" spans="1:17" x14ac:dyDescent="0.25">
      <c r="A179" s="5">
        <v>10300</v>
      </c>
      <c r="B179" s="5">
        <v>33</v>
      </c>
      <c r="C179" s="5">
        <v>100</v>
      </c>
      <c r="D179" s="5">
        <v>3300</v>
      </c>
      <c r="E179" s="5" t="str">
        <f t="shared" si="9"/>
        <v>Medium</v>
      </c>
      <c r="F179" s="5">
        <f t="shared" si="10"/>
        <v>990</v>
      </c>
      <c r="G179" s="6">
        <v>37898</v>
      </c>
      <c r="H179" s="5" t="s">
        <v>25</v>
      </c>
      <c r="I179" s="5" t="str">
        <f t="shared" si="8"/>
        <v>Yes</v>
      </c>
      <c r="J179" s="5" t="s">
        <v>685</v>
      </c>
      <c r="K179" s="5">
        <v>2003</v>
      </c>
      <c r="L179" s="5" t="str">
        <f t="shared" si="11"/>
        <v>Oct-2003</v>
      </c>
      <c r="M179" s="5" t="s">
        <v>181</v>
      </c>
      <c r="N179" s="5" t="s">
        <v>462</v>
      </c>
      <c r="O179" s="5" t="s">
        <v>443</v>
      </c>
      <c r="P179" s="5" t="s">
        <v>42</v>
      </c>
      <c r="Q179" s="5" t="s">
        <v>51</v>
      </c>
    </row>
    <row r="180" spans="1:17" x14ac:dyDescent="0.25">
      <c r="A180" s="3">
        <v>10310</v>
      </c>
      <c r="B180" s="3">
        <v>33</v>
      </c>
      <c r="C180" s="3">
        <v>100</v>
      </c>
      <c r="D180" s="3">
        <v>3300</v>
      </c>
      <c r="E180" s="3" t="str">
        <f t="shared" si="9"/>
        <v>Medium</v>
      </c>
      <c r="F180" s="3">
        <f t="shared" si="10"/>
        <v>990</v>
      </c>
      <c r="G180" s="4">
        <v>38276</v>
      </c>
      <c r="H180" s="3" t="s">
        <v>25</v>
      </c>
      <c r="I180" s="3" t="str">
        <f t="shared" si="8"/>
        <v>Yes</v>
      </c>
      <c r="J180" s="3" t="s">
        <v>685</v>
      </c>
      <c r="K180" s="3">
        <v>2004</v>
      </c>
      <c r="L180" s="3" t="str">
        <f t="shared" si="11"/>
        <v>Oct-2004</v>
      </c>
      <c r="M180" s="3" t="s">
        <v>181</v>
      </c>
      <c r="N180" s="3" t="s">
        <v>439</v>
      </c>
      <c r="O180" s="3" t="s">
        <v>443</v>
      </c>
      <c r="P180" s="3" t="s">
        <v>42</v>
      </c>
      <c r="Q180" s="3" t="s">
        <v>51</v>
      </c>
    </row>
    <row r="181" spans="1:17" x14ac:dyDescent="0.25">
      <c r="A181" s="5">
        <v>10320</v>
      </c>
      <c r="B181" s="5">
        <v>31</v>
      </c>
      <c r="C181" s="5">
        <v>100</v>
      </c>
      <c r="D181" s="5">
        <v>3100</v>
      </c>
      <c r="E181" s="5" t="str">
        <f t="shared" si="9"/>
        <v>Medium</v>
      </c>
      <c r="F181" s="5">
        <f t="shared" si="10"/>
        <v>930</v>
      </c>
      <c r="G181" s="6">
        <v>38294</v>
      </c>
      <c r="H181" s="5" t="s">
        <v>25</v>
      </c>
      <c r="I181" s="5" t="str">
        <f t="shared" si="8"/>
        <v>Yes</v>
      </c>
      <c r="J181" s="5" t="s">
        <v>686</v>
      </c>
      <c r="K181" s="5">
        <v>2004</v>
      </c>
      <c r="L181" s="5" t="str">
        <f t="shared" si="11"/>
        <v>Nov-2004</v>
      </c>
      <c r="M181" s="5" t="s">
        <v>181</v>
      </c>
      <c r="N181" s="5" t="s">
        <v>183</v>
      </c>
      <c r="O181" s="5" t="s">
        <v>188</v>
      </c>
      <c r="P181" s="5" t="s">
        <v>42</v>
      </c>
      <c r="Q181" s="5" t="s">
        <v>51</v>
      </c>
    </row>
    <row r="182" spans="1:17" x14ac:dyDescent="0.25">
      <c r="A182" s="3">
        <v>10329</v>
      </c>
      <c r="B182" s="3">
        <v>41</v>
      </c>
      <c r="C182" s="3">
        <v>71.47</v>
      </c>
      <c r="D182" s="3">
        <v>2930.27</v>
      </c>
      <c r="E182" s="3" t="str">
        <f t="shared" si="9"/>
        <v>Medium</v>
      </c>
      <c r="F182" s="3">
        <f t="shared" si="10"/>
        <v>879.08100000000002</v>
      </c>
      <c r="G182" s="4">
        <v>38306</v>
      </c>
      <c r="H182" s="3" t="s">
        <v>25</v>
      </c>
      <c r="I182" s="3" t="str">
        <f t="shared" si="8"/>
        <v>Yes</v>
      </c>
      <c r="J182" s="3" t="s">
        <v>686</v>
      </c>
      <c r="K182" s="3">
        <v>2004</v>
      </c>
      <c r="L182" s="3" t="str">
        <f t="shared" si="11"/>
        <v>Nov-2004</v>
      </c>
      <c r="M182" s="3" t="s">
        <v>181</v>
      </c>
      <c r="N182" s="3" t="s">
        <v>28</v>
      </c>
      <c r="O182" s="3" t="s">
        <v>32</v>
      </c>
      <c r="P182" s="3" t="s">
        <v>33</v>
      </c>
      <c r="Q182" s="3" t="s">
        <v>36</v>
      </c>
    </row>
    <row r="183" spans="1:17" x14ac:dyDescent="0.25">
      <c r="A183" s="5">
        <v>10341</v>
      </c>
      <c r="B183" s="5">
        <v>45</v>
      </c>
      <c r="C183" s="5">
        <v>79.650000000000006</v>
      </c>
      <c r="D183" s="5">
        <v>3584.2500000000005</v>
      </c>
      <c r="E183" s="5" t="str">
        <f t="shared" si="9"/>
        <v>Medium</v>
      </c>
      <c r="F183" s="5">
        <f t="shared" si="10"/>
        <v>1075.2750000000001</v>
      </c>
      <c r="G183" s="6">
        <v>38315</v>
      </c>
      <c r="H183" s="5" t="s">
        <v>25</v>
      </c>
      <c r="I183" s="5" t="str">
        <f t="shared" si="8"/>
        <v>Yes</v>
      </c>
      <c r="J183" s="5" t="s">
        <v>686</v>
      </c>
      <c r="K183" s="5">
        <v>2004</v>
      </c>
      <c r="L183" s="5" t="str">
        <f t="shared" si="11"/>
        <v>Nov-2004</v>
      </c>
      <c r="M183" s="5" t="s">
        <v>181</v>
      </c>
      <c r="N183" s="5" t="s">
        <v>144</v>
      </c>
      <c r="O183" s="5" t="s">
        <v>148</v>
      </c>
      <c r="P183" s="5" t="s">
        <v>42</v>
      </c>
      <c r="Q183" s="5" t="s">
        <v>51</v>
      </c>
    </row>
    <row r="184" spans="1:17" x14ac:dyDescent="0.25">
      <c r="A184" s="3">
        <v>10363</v>
      </c>
      <c r="B184" s="3">
        <v>33</v>
      </c>
      <c r="C184" s="3">
        <v>85.39</v>
      </c>
      <c r="D184" s="3">
        <v>2817.87</v>
      </c>
      <c r="E184" s="3" t="str">
        <f t="shared" si="9"/>
        <v>Medium</v>
      </c>
      <c r="F184" s="3">
        <f t="shared" si="10"/>
        <v>845.36099999999999</v>
      </c>
      <c r="G184" s="4">
        <v>38358</v>
      </c>
      <c r="H184" s="3" t="s">
        <v>25</v>
      </c>
      <c r="I184" s="3" t="str">
        <f t="shared" si="8"/>
        <v>Yes</v>
      </c>
      <c r="J184" s="3" t="s">
        <v>549</v>
      </c>
      <c r="K184" s="3">
        <v>2005</v>
      </c>
      <c r="L184" s="3" t="str">
        <f t="shared" si="11"/>
        <v>Jan-2005</v>
      </c>
      <c r="M184" s="3" t="s">
        <v>181</v>
      </c>
      <c r="N184" s="3" t="s">
        <v>467</v>
      </c>
      <c r="O184" s="3" t="s">
        <v>130</v>
      </c>
      <c r="P184" s="3" t="s">
        <v>42</v>
      </c>
      <c r="Q184" s="3" t="s">
        <v>36</v>
      </c>
    </row>
    <row r="185" spans="1:17" x14ac:dyDescent="0.25">
      <c r="A185" s="5">
        <v>10375</v>
      </c>
      <c r="B185" s="5">
        <v>45</v>
      </c>
      <c r="C185" s="5">
        <v>76</v>
      </c>
      <c r="D185" s="5">
        <v>3420</v>
      </c>
      <c r="E185" s="5" t="str">
        <f t="shared" si="9"/>
        <v>Medium</v>
      </c>
      <c r="F185" s="5">
        <f t="shared" si="10"/>
        <v>1026</v>
      </c>
      <c r="G185" s="6">
        <v>38386</v>
      </c>
      <c r="H185" s="5" t="s">
        <v>25</v>
      </c>
      <c r="I185" s="5" t="str">
        <f t="shared" si="8"/>
        <v>Yes</v>
      </c>
      <c r="J185" s="5" t="s">
        <v>681</v>
      </c>
      <c r="K185" s="5">
        <v>2005</v>
      </c>
      <c r="L185" s="5" t="str">
        <f t="shared" si="11"/>
        <v>Feb-2005</v>
      </c>
      <c r="M185" s="5" t="s">
        <v>181</v>
      </c>
      <c r="N185" s="5" t="s">
        <v>114</v>
      </c>
      <c r="O185" s="5" t="s">
        <v>41</v>
      </c>
      <c r="P185" s="5" t="s">
        <v>42</v>
      </c>
      <c r="Q185" s="5" t="s">
        <v>51</v>
      </c>
    </row>
    <row r="186" spans="1:17" x14ac:dyDescent="0.25">
      <c r="A186" s="3">
        <v>10389</v>
      </c>
      <c r="B186" s="3">
        <v>26</v>
      </c>
      <c r="C186" s="3">
        <v>99.04</v>
      </c>
      <c r="D186" s="3">
        <v>2575.04</v>
      </c>
      <c r="E186" s="3" t="str">
        <f t="shared" si="9"/>
        <v>Medium</v>
      </c>
      <c r="F186" s="3">
        <f t="shared" si="10"/>
        <v>772.51199999999994</v>
      </c>
      <c r="G186" s="4">
        <v>38414</v>
      </c>
      <c r="H186" s="3" t="s">
        <v>25</v>
      </c>
      <c r="I186" s="3" t="str">
        <f t="shared" si="8"/>
        <v>Yes</v>
      </c>
      <c r="J186" s="3" t="s">
        <v>691</v>
      </c>
      <c r="K186" s="3">
        <v>2005</v>
      </c>
      <c r="L186" s="3" t="str">
        <f t="shared" si="11"/>
        <v>Mar-2005</v>
      </c>
      <c r="M186" s="3" t="s">
        <v>181</v>
      </c>
      <c r="N186" s="3" t="s">
        <v>261</v>
      </c>
      <c r="O186" s="3" t="s">
        <v>188</v>
      </c>
      <c r="P186" s="3" t="s">
        <v>42</v>
      </c>
      <c r="Q186" s="3" t="s">
        <v>36</v>
      </c>
    </row>
    <row r="187" spans="1:17" x14ac:dyDescent="0.25">
      <c r="A187" s="5">
        <v>10419</v>
      </c>
      <c r="B187" s="5">
        <v>12</v>
      </c>
      <c r="C187" s="5">
        <v>100</v>
      </c>
      <c r="D187" s="5">
        <v>1200</v>
      </c>
      <c r="E187" s="5" t="str">
        <f t="shared" si="9"/>
        <v>Low</v>
      </c>
      <c r="F187" s="5">
        <f t="shared" si="10"/>
        <v>360</v>
      </c>
      <c r="G187" s="6">
        <v>38489</v>
      </c>
      <c r="H187" s="5" t="s">
        <v>25</v>
      </c>
      <c r="I187" s="5" t="str">
        <f t="shared" si="8"/>
        <v>Yes</v>
      </c>
      <c r="J187" s="5" t="s">
        <v>682</v>
      </c>
      <c r="K187" s="5">
        <v>2005</v>
      </c>
      <c r="L187" s="5" t="str">
        <f t="shared" si="11"/>
        <v>May-2005</v>
      </c>
      <c r="M187" s="5" t="s">
        <v>181</v>
      </c>
      <c r="N187" s="5" t="s">
        <v>144</v>
      </c>
      <c r="O187" s="5" t="s">
        <v>148</v>
      </c>
      <c r="P187" s="5" t="s">
        <v>42</v>
      </c>
      <c r="Q187" s="5" t="s">
        <v>36</v>
      </c>
    </row>
    <row r="188" spans="1:17" x14ac:dyDescent="0.25">
      <c r="A188" s="3">
        <v>10105</v>
      </c>
      <c r="B188" s="3">
        <v>41</v>
      </c>
      <c r="C188" s="3">
        <v>100</v>
      </c>
      <c r="D188" s="3">
        <v>4100</v>
      </c>
      <c r="E188" s="3" t="str">
        <f t="shared" si="9"/>
        <v>Medium</v>
      </c>
      <c r="F188" s="3">
        <f t="shared" si="10"/>
        <v>1230</v>
      </c>
      <c r="G188" s="4">
        <v>37663</v>
      </c>
      <c r="H188" s="3" t="s">
        <v>25</v>
      </c>
      <c r="I188" s="3" t="str">
        <f t="shared" si="8"/>
        <v>Yes</v>
      </c>
      <c r="J188" s="3" t="s">
        <v>681</v>
      </c>
      <c r="K188" s="3">
        <v>2003</v>
      </c>
      <c r="L188" s="3" t="str">
        <f t="shared" si="11"/>
        <v>Feb-2003</v>
      </c>
      <c r="M188" s="3" t="s">
        <v>181</v>
      </c>
      <c r="N188" s="3" t="s">
        <v>322</v>
      </c>
      <c r="O188" s="3" t="s">
        <v>326</v>
      </c>
      <c r="P188" s="3" t="s">
        <v>42</v>
      </c>
      <c r="Q188" s="3" t="s">
        <v>151</v>
      </c>
    </row>
    <row r="189" spans="1:17" x14ac:dyDescent="0.25">
      <c r="A189" s="5">
        <v>10117</v>
      </c>
      <c r="B189" s="5">
        <v>33</v>
      </c>
      <c r="C189" s="5">
        <v>100</v>
      </c>
      <c r="D189" s="5">
        <v>3300</v>
      </c>
      <c r="E189" s="5" t="str">
        <f t="shared" si="9"/>
        <v>Medium</v>
      </c>
      <c r="F189" s="5">
        <f t="shared" si="10"/>
        <v>990</v>
      </c>
      <c r="G189" s="6">
        <v>37727</v>
      </c>
      <c r="H189" s="5" t="s">
        <v>25</v>
      </c>
      <c r="I189" s="5" t="str">
        <f t="shared" si="8"/>
        <v>Yes</v>
      </c>
      <c r="J189" s="5" t="s">
        <v>688</v>
      </c>
      <c r="K189" s="5">
        <v>2003</v>
      </c>
      <c r="L189" s="5" t="str">
        <f t="shared" si="11"/>
        <v>Apr-2003</v>
      </c>
      <c r="M189" s="5" t="s">
        <v>181</v>
      </c>
      <c r="N189" s="5" t="s">
        <v>196</v>
      </c>
      <c r="O189" s="5" t="s">
        <v>199</v>
      </c>
      <c r="P189" s="5" t="s">
        <v>675</v>
      </c>
      <c r="Q189" s="5" t="s">
        <v>51</v>
      </c>
    </row>
    <row r="190" spans="1:17" x14ac:dyDescent="0.25">
      <c r="A190" s="3">
        <v>10127</v>
      </c>
      <c r="B190" s="3">
        <v>46</v>
      </c>
      <c r="C190" s="3">
        <v>100</v>
      </c>
      <c r="D190" s="3">
        <v>4600</v>
      </c>
      <c r="E190" s="3" t="str">
        <f t="shared" si="9"/>
        <v>Medium</v>
      </c>
      <c r="F190" s="3">
        <f t="shared" si="10"/>
        <v>1380</v>
      </c>
      <c r="G190" s="4">
        <v>37775</v>
      </c>
      <c r="H190" s="3" t="s">
        <v>25</v>
      </c>
      <c r="I190" s="3" t="str">
        <f t="shared" si="8"/>
        <v>Yes</v>
      </c>
      <c r="J190" s="3" t="s">
        <v>689</v>
      </c>
      <c r="K190" s="3">
        <v>2003</v>
      </c>
      <c r="L190" s="3" t="str">
        <f t="shared" si="11"/>
        <v>Jun-2003</v>
      </c>
      <c r="M190" s="3" t="s">
        <v>181</v>
      </c>
      <c r="N190" s="3" t="s">
        <v>475</v>
      </c>
      <c r="O190" s="3" t="s">
        <v>32</v>
      </c>
      <c r="P190" s="3" t="s">
        <v>33</v>
      </c>
      <c r="Q190" s="3" t="s">
        <v>151</v>
      </c>
    </row>
    <row r="191" spans="1:17" x14ac:dyDescent="0.25">
      <c r="A191" s="5">
        <v>10142</v>
      </c>
      <c r="B191" s="5">
        <v>33</v>
      </c>
      <c r="C191" s="5">
        <v>100</v>
      </c>
      <c r="D191" s="5">
        <v>3300</v>
      </c>
      <c r="E191" s="5" t="str">
        <f t="shared" si="9"/>
        <v>Medium</v>
      </c>
      <c r="F191" s="5">
        <f t="shared" si="10"/>
        <v>990</v>
      </c>
      <c r="G191" s="6">
        <v>37841</v>
      </c>
      <c r="H191" s="5" t="s">
        <v>25</v>
      </c>
      <c r="I191" s="5" t="str">
        <f t="shared" si="8"/>
        <v>Yes</v>
      </c>
      <c r="J191" s="5" t="s">
        <v>684</v>
      </c>
      <c r="K191" s="5">
        <v>2003</v>
      </c>
      <c r="L191" s="5" t="str">
        <f t="shared" si="11"/>
        <v>Aug-2003</v>
      </c>
      <c r="M191" s="5" t="s">
        <v>181</v>
      </c>
      <c r="N191" s="5" t="s">
        <v>272</v>
      </c>
      <c r="O191" s="5" t="s">
        <v>32</v>
      </c>
      <c r="P191" s="5" t="s">
        <v>33</v>
      </c>
      <c r="Q191" s="5" t="s">
        <v>151</v>
      </c>
    </row>
    <row r="192" spans="1:17" x14ac:dyDescent="0.25">
      <c r="A192" s="3">
        <v>10153</v>
      </c>
      <c r="B192" s="3">
        <v>20</v>
      </c>
      <c r="C192" s="3">
        <v>100</v>
      </c>
      <c r="D192" s="3">
        <v>2000</v>
      </c>
      <c r="E192" s="3" t="str">
        <f t="shared" si="9"/>
        <v>Medium</v>
      </c>
      <c r="F192" s="3">
        <f t="shared" si="10"/>
        <v>600</v>
      </c>
      <c r="G192" s="4">
        <v>37892</v>
      </c>
      <c r="H192" s="3" t="s">
        <v>25</v>
      </c>
      <c r="I192" s="3" t="str">
        <f t="shared" si="8"/>
        <v>Yes</v>
      </c>
      <c r="J192" s="3" t="s">
        <v>690</v>
      </c>
      <c r="K192" s="3">
        <v>2003</v>
      </c>
      <c r="L192" s="3" t="str">
        <f t="shared" si="11"/>
        <v>Sep-2003</v>
      </c>
      <c r="M192" s="3" t="s">
        <v>181</v>
      </c>
      <c r="N192" s="3" t="s">
        <v>174</v>
      </c>
      <c r="O192" s="3" t="s">
        <v>178</v>
      </c>
      <c r="P192" s="3" t="s">
        <v>42</v>
      </c>
      <c r="Q192" s="3" t="s">
        <v>51</v>
      </c>
    </row>
    <row r="193" spans="1:17" x14ac:dyDescent="0.25">
      <c r="A193" s="5">
        <v>10165</v>
      </c>
      <c r="B193" s="5">
        <v>44</v>
      </c>
      <c r="C193" s="5">
        <v>100</v>
      </c>
      <c r="D193" s="5">
        <v>4400</v>
      </c>
      <c r="E193" s="5" t="str">
        <f t="shared" si="9"/>
        <v>Medium</v>
      </c>
      <c r="F193" s="5">
        <f t="shared" si="10"/>
        <v>1320</v>
      </c>
      <c r="G193" s="6">
        <v>37916</v>
      </c>
      <c r="H193" s="5" t="s">
        <v>25</v>
      </c>
      <c r="I193" s="5" t="str">
        <f t="shared" si="8"/>
        <v>Yes</v>
      </c>
      <c r="J193" s="5" t="s">
        <v>685</v>
      </c>
      <c r="K193" s="5">
        <v>2003</v>
      </c>
      <c r="L193" s="5" t="str">
        <f t="shared" si="11"/>
        <v>Oct-2003</v>
      </c>
      <c r="M193" s="5" t="s">
        <v>181</v>
      </c>
      <c r="N193" s="5" t="s">
        <v>196</v>
      </c>
      <c r="O193" s="5" t="s">
        <v>199</v>
      </c>
      <c r="P193" s="5" t="s">
        <v>675</v>
      </c>
      <c r="Q193" s="5" t="s">
        <v>151</v>
      </c>
    </row>
    <row r="194" spans="1:17" x14ac:dyDescent="0.25">
      <c r="A194" s="3">
        <v>10176</v>
      </c>
      <c r="B194" s="3">
        <v>33</v>
      </c>
      <c r="C194" s="3">
        <v>100</v>
      </c>
      <c r="D194" s="3">
        <v>3300</v>
      </c>
      <c r="E194" s="3" t="str">
        <f t="shared" si="9"/>
        <v>Medium</v>
      </c>
      <c r="F194" s="3">
        <f t="shared" si="10"/>
        <v>990</v>
      </c>
      <c r="G194" s="4">
        <v>37931</v>
      </c>
      <c r="H194" s="3" t="s">
        <v>25</v>
      </c>
      <c r="I194" s="3" t="str">
        <f t="shared" ref="I194:I257" si="12">IF(H194="Shipped","Yes","No")</f>
        <v>Yes</v>
      </c>
      <c r="J194" s="3" t="s">
        <v>686</v>
      </c>
      <c r="K194" s="3">
        <v>2003</v>
      </c>
      <c r="L194" s="3" t="str">
        <f t="shared" si="11"/>
        <v>Nov-2003</v>
      </c>
      <c r="M194" s="3" t="s">
        <v>181</v>
      </c>
      <c r="N194" s="3" t="s">
        <v>452</v>
      </c>
      <c r="O194" s="3" t="s">
        <v>258</v>
      </c>
      <c r="P194" s="3" t="s">
        <v>42</v>
      </c>
      <c r="Q194" s="3" t="s">
        <v>151</v>
      </c>
    </row>
    <row r="195" spans="1:17" x14ac:dyDescent="0.25">
      <c r="A195" s="5">
        <v>10185</v>
      </c>
      <c r="B195" s="5">
        <v>21</v>
      </c>
      <c r="C195" s="5">
        <v>100</v>
      </c>
      <c r="D195" s="5">
        <v>2100</v>
      </c>
      <c r="E195" s="5" t="str">
        <f t="shared" ref="E195:E258" si="13">IF(D195&gt;=5000,"High",IF(D195&gt;=2000,"Medium","Low"))</f>
        <v>Medium</v>
      </c>
      <c r="F195" s="5">
        <f t="shared" ref="F195:F258" si="14">(D195*0.3)</f>
        <v>630</v>
      </c>
      <c r="G195" s="6">
        <v>37939</v>
      </c>
      <c r="H195" s="5" t="s">
        <v>25</v>
      </c>
      <c r="I195" s="5" t="str">
        <f t="shared" si="12"/>
        <v>Yes</v>
      </c>
      <c r="J195" s="5" t="s">
        <v>686</v>
      </c>
      <c r="K195" s="5">
        <v>2003</v>
      </c>
      <c r="L195" s="5" t="str">
        <f t="shared" ref="L195:L258" si="15">TEXT(G:G,"MMM-YYYY")</f>
        <v>Nov-2003</v>
      </c>
      <c r="M195" s="5" t="s">
        <v>181</v>
      </c>
      <c r="N195" s="5" t="s">
        <v>335</v>
      </c>
      <c r="O195" s="5" t="s">
        <v>32</v>
      </c>
      <c r="P195" s="5" t="s">
        <v>33</v>
      </c>
      <c r="Q195" s="5" t="s">
        <v>51</v>
      </c>
    </row>
    <row r="196" spans="1:17" x14ac:dyDescent="0.25">
      <c r="A196" s="3">
        <v>10196</v>
      </c>
      <c r="B196" s="3">
        <v>47</v>
      </c>
      <c r="C196" s="3">
        <v>100</v>
      </c>
      <c r="D196" s="3">
        <v>4700</v>
      </c>
      <c r="E196" s="3" t="str">
        <f t="shared" si="13"/>
        <v>Medium</v>
      </c>
      <c r="F196" s="3">
        <f t="shared" si="14"/>
        <v>1410</v>
      </c>
      <c r="G196" s="4">
        <v>37951</v>
      </c>
      <c r="H196" s="3" t="s">
        <v>25</v>
      </c>
      <c r="I196" s="3" t="str">
        <f t="shared" si="12"/>
        <v>Yes</v>
      </c>
      <c r="J196" s="3" t="s">
        <v>686</v>
      </c>
      <c r="K196" s="3">
        <v>2003</v>
      </c>
      <c r="L196" s="3" t="str">
        <f t="shared" si="15"/>
        <v>Nov-2003</v>
      </c>
      <c r="M196" s="3" t="s">
        <v>181</v>
      </c>
      <c r="N196" s="3" t="s">
        <v>242</v>
      </c>
      <c r="O196" s="3" t="s">
        <v>32</v>
      </c>
      <c r="P196" s="3" t="s">
        <v>33</v>
      </c>
      <c r="Q196" s="3" t="s">
        <v>151</v>
      </c>
    </row>
    <row r="197" spans="1:17" x14ac:dyDescent="0.25">
      <c r="A197" s="5">
        <v>10208</v>
      </c>
      <c r="B197" s="5">
        <v>46</v>
      </c>
      <c r="C197" s="5">
        <v>100</v>
      </c>
      <c r="D197" s="5">
        <v>4600</v>
      </c>
      <c r="E197" s="5" t="str">
        <f t="shared" si="13"/>
        <v>Medium</v>
      </c>
      <c r="F197" s="5">
        <f t="shared" si="14"/>
        <v>1380</v>
      </c>
      <c r="G197" s="6">
        <v>37988</v>
      </c>
      <c r="H197" s="5" t="s">
        <v>25</v>
      </c>
      <c r="I197" s="5" t="str">
        <f t="shared" si="12"/>
        <v>Yes</v>
      </c>
      <c r="J197" s="5" t="s">
        <v>549</v>
      </c>
      <c r="K197" s="5">
        <v>2004</v>
      </c>
      <c r="L197" s="5" t="str">
        <f t="shared" si="15"/>
        <v>Jan-2004</v>
      </c>
      <c r="M197" s="5" t="s">
        <v>181</v>
      </c>
      <c r="N197" s="5" t="s">
        <v>219</v>
      </c>
      <c r="O197" s="5" t="s">
        <v>41</v>
      </c>
      <c r="P197" s="5" t="s">
        <v>42</v>
      </c>
      <c r="Q197" s="5" t="s">
        <v>151</v>
      </c>
    </row>
    <row r="198" spans="1:17" x14ac:dyDescent="0.25">
      <c r="A198" s="3">
        <v>10220</v>
      </c>
      <c r="B198" s="3">
        <v>32</v>
      </c>
      <c r="C198" s="3">
        <v>100</v>
      </c>
      <c r="D198" s="3">
        <v>3200</v>
      </c>
      <c r="E198" s="3" t="str">
        <f t="shared" si="13"/>
        <v>Medium</v>
      </c>
      <c r="F198" s="3">
        <f t="shared" si="14"/>
        <v>960</v>
      </c>
      <c r="G198" s="4">
        <v>38029</v>
      </c>
      <c r="H198" s="3" t="s">
        <v>25</v>
      </c>
      <c r="I198" s="3" t="str">
        <f t="shared" si="12"/>
        <v>Yes</v>
      </c>
      <c r="J198" s="3" t="s">
        <v>681</v>
      </c>
      <c r="K198" s="3">
        <v>2004</v>
      </c>
      <c r="L198" s="3" t="str">
        <f t="shared" si="15"/>
        <v>Feb-2004</v>
      </c>
      <c r="M198" s="3" t="s">
        <v>181</v>
      </c>
      <c r="N198" s="3" t="s">
        <v>479</v>
      </c>
      <c r="O198" s="3" t="s">
        <v>484</v>
      </c>
      <c r="P198" s="3" t="s">
        <v>42</v>
      </c>
      <c r="Q198" s="3" t="s">
        <v>151</v>
      </c>
    </row>
    <row r="199" spans="1:17" x14ac:dyDescent="0.25">
      <c r="A199" s="5">
        <v>10231</v>
      </c>
      <c r="B199" s="5">
        <v>42</v>
      </c>
      <c r="C199" s="5">
        <v>100</v>
      </c>
      <c r="D199" s="5">
        <v>4200</v>
      </c>
      <c r="E199" s="5" t="str">
        <f t="shared" si="13"/>
        <v>Medium</v>
      </c>
      <c r="F199" s="5">
        <f t="shared" si="14"/>
        <v>1260</v>
      </c>
      <c r="G199" s="6">
        <v>38065</v>
      </c>
      <c r="H199" s="5" t="s">
        <v>25</v>
      </c>
      <c r="I199" s="5" t="str">
        <f t="shared" si="12"/>
        <v>Yes</v>
      </c>
      <c r="J199" s="5" t="s">
        <v>691</v>
      </c>
      <c r="K199" s="5">
        <v>2004</v>
      </c>
      <c r="L199" s="5" t="str">
        <f t="shared" si="15"/>
        <v>Mar-2004</v>
      </c>
      <c r="M199" s="5" t="s">
        <v>181</v>
      </c>
      <c r="N199" s="5" t="s">
        <v>487</v>
      </c>
      <c r="O199" s="5" t="s">
        <v>178</v>
      </c>
      <c r="P199" s="5" t="s">
        <v>42</v>
      </c>
      <c r="Q199" s="5" t="s">
        <v>151</v>
      </c>
    </row>
    <row r="200" spans="1:17" x14ac:dyDescent="0.25">
      <c r="A200" s="3">
        <v>10247</v>
      </c>
      <c r="B200" s="3">
        <v>44</v>
      </c>
      <c r="C200" s="3">
        <v>100</v>
      </c>
      <c r="D200" s="3">
        <v>4400</v>
      </c>
      <c r="E200" s="3" t="str">
        <f t="shared" si="13"/>
        <v>Medium</v>
      </c>
      <c r="F200" s="3">
        <f t="shared" si="14"/>
        <v>1320</v>
      </c>
      <c r="G200" s="4">
        <v>38112</v>
      </c>
      <c r="H200" s="3" t="s">
        <v>25</v>
      </c>
      <c r="I200" s="3" t="str">
        <f t="shared" si="12"/>
        <v>Yes</v>
      </c>
      <c r="J200" s="3" t="s">
        <v>682</v>
      </c>
      <c r="K200" s="3">
        <v>2004</v>
      </c>
      <c r="L200" s="3" t="str">
        <f t="shared" si="15"/>
        <v>May-2004</v>
      </c>
      <c r="M200" s="3" t="s">
        <v>181</v>
      </c>
      <c r="N200" s="3" t="s">
        <v>467</v>
      </c>
      <c r="O200" s="3" t="s">
        <v>130</v>
      </c>
      <c r="P200" s="3" t="s">
        <v>42</v>
      </c>
      <c r="Q200" s="3" t="s">
        <v>151</v>
      </c>
    </row>
    <row r="201" spans="1:17" x14ac:dyDescent="0.25">
      <c r="A201" s="5">
        <v>10272</v>
      </c>
      <c r="B201" s="5">
        <v>35</v>
      </c>
      <c r="C201" s="5">
        <v>100</v>
      </c>
      <c r="D201" s="5">
        <v>3500</v>
      </c>
      <c r="E201" s="5" t="str">
        <f t="shared" si="13"/>
        <v>Medium</v>
      </c>
      <c r="F201" s="5">
        <f t="shared" si="14"/>
        <v>1050</v>
      </c>
      <c r="G201" s="6">
        <v>38188</v>
      </c>
      <c r="H201" s="5" t="s">
        <v>25</v>
      </c>
      <c r="I201" s="5" t="str">
        <f t="shared" si="12"/>
        <v>Yes</v>
      </c>
      <c r="J201" s="5" t="s">
        <v>683</v>
      </c>
      <c r="K201" s="5">
        <v>2004</v>
      </c>
      <c r="L201" s="5" t="str">
        <f t="shared" si="15"/>
        <v>Jul-2004</v>
      </c>
      <c r="M201" s="5" t="s">
        <v>181</v>
      </c>
      <c r="N201" s="5" t="s">
        <v>139</v>
      </c>
      <c r="O201" s="5" t="s">
        <v>32</v>
      </c>
      <c r="P201" s="5" t="s">
        <v>33</v>
      </c>
      <c r="Q201" s="5" t="s">
        <v>51</v>
      </c>
    </row>
    <row r="202" spans="1:17" x14ac:dyDescent="0.25">
      <c r="A202" s="3">
        <v>10282</v>
      </c>
      <c r="B202" s="3">
        <v>41</v>
      </c>
      <c r="C202" s="3">
        <v>100</v>
      </c>
      <c r="D202" s="3">
        <v>4100</v>
      </c>
      <c r="E202" s="3" t="str">
        <f t="shared" si="13"/>
        <v>Medium</v>
      </c>
      <c r="F202" s="3">
        <f t="shared" si="14"/>
        <v>1230</v>
      </c>
      <c r="G202" s="4">
        <v>38219</v>
      </c>
      <c r="H202" s="3" t="s">
        <v>25</v>
      </c>
      <c r="I202" s="3" t="str">
        <f t="shared" si="12"/>
        <v>Yes</v>
      </c>
      <c r="J202" s="3" t="s">
        <v>684</v>
      </c>
      <c r="K202" s="3">
        <v>2004</v>
      </c>
      <c r="L202" s="3" t="str">
        <f t="shared" si="15"/>
        <v>Aug-2004</v>
      </c>
      <c r="M202" s="3" t="s">
        <v>181</v>
      </c>
      <c r="N202" s="3" t="s">
        <v>272</v>
      </c>
      <c r="O202" s="3" t="s">
        <v>32</v>
      </c>
      <c r="P202" s="3" t="s">
        <v>33</v>
      </c>
      <c r="Q202" s="3" t="s">
        <v>151</v>
      </c>
    </row>
    <row r="203" spans="1:17" x14ac:dyDescent="0.25">
      <c r="A203" s="5">
        <v>10293</v>
      </c>
      <c r="B203" s="5">
        <v>46</v>
      </c>
      <c r="C203" s="5">
        <v>100</v>
      </c>
      <c r="D203" s="5">
        <v>4600</v>
      </c>
      <c r="E203" s="5" t="str">
        <f t="shared" si="13"/>
        <v>Medium</v>
      </c>
      <c r="F203" s="5">
        <f t="shared" si="14"/>
        <v>1380</v>
      </c>
      <c r="G203" s="6">
        <v>38239</v>
      </c>
      <c r="H203" s="5" t="s">
        <v>25</v>
      </c>
      <c r="I203" s="5" t="str">
        <f t="shared" si="12"/>
        <v>Yes</v>
      </c>
      <c r="J203" s="5" t="s">
        <v>690</v>
      </c>
      <c r="K203" s="5">
        <v>2004</v>
      </c>
      <c r="L203" s="5" t="str">
        <f t="shared" si="15"/>
        <v>Sep-2004</v>
      </c>
      <c r="M203" s="5" t="s">
        <v>181</v>
      </c>
      <c r="N203" s="5" t="s">
        <v>254</v>
      </c>
      <c r="O203" s="5" t="s">
        <v>258</v>
      </c>
      <c r="P203" s="5" t="s">
        <v>42</v>
      </c>
      <c r="Q203" s="5" t="s">
        <v>151</v>
      </c>
    </row>
    <row r="204" spans="1:17" x14ac:dyDescent="0.25">
      <c r="A204" s="3">
        <v>10306</v>
      </c>
      <c r="B204" s="3">
        <v>31</v>
      </c>
      <c r="C204" s="3">
        <v>100</v>
      </c>
      <c r="D204" s="3">
        <v>3100</v>
      </c>
      <c r="E204" s="3" t="str">
        <f t="shared" si="13"/>
        <v>Medium</v>
      </c>
      <c r="F204" s="3">
        <f t="shared" si="14"/>
        <v>930</v>
      </c>
      <c r="G204" s="4">
        <v>38274</v>
      </c>
      <c r="H204" s="3" t="s">
        <v>25</v>
      </c>
      <c r="I204" s="3" t="str">
        <f t="shared" si="12"/>
        <v>Yes</v>
      </c>
      <c r="J204" s="3" t="s">
        <v>685</v>
      </c>
      <c r="K204" s="3">
        <v>2004</v>
      </c>
      <c r="L204" s="3" t="str">
        <f t="shared" si="15"/>
        <v>Oct-2004</v>
      </c>
      <c r="M204" s="3" t="s">
        <v>181</v>
      </c>
      <c r="N204" s="3" t="s">
        <v>492</v>
      </c>
      <c r="O204" s="3" t="s">
        <v>170</v>
      </c>
      <c r="P204" s="3" t="s">
        <v>42</v>
      </c>
      <c r="Q204" s="3" t="s">
        <v>51</v>
      </c>
    </row>
    <row r="205" spans="1:17" x14ac:dyDescent="0.25">
      <c r="A205" s="5">
        <v>10314</v>
      </c>
      <c r="B205" s="5">
        <v>38</v>
      </c>
      <c r="C205" s="5">
        <v>100</v>
      </c>
      <c r="D205" s="5">
        <v>3800</v>
      </c>
      <c r="E205" s="5" t="str">
        <f t="shared" si="13"/>
        <v>Medium</v>
      </c>
      <c r="F205" s="5">
        <f t="shared" si="14"/>
        <v>1140</v>
      </c>
      <c r="G205" s="6">
        <v>38282</v>
      </c>
      <c r="H205" s="5" t="s">
        <v>25</v>
      </c>
      <c r="I205" s="5" t="str">
        <f t="shared" si="12"/>
        <v>Yes</v>
      </c>
      <c r="J205" s="5" t="s">
        <v>685</v>
      </c>
      <c r="K205" s="5">
        <v>2004</v>
      </c>
      <c r="L205" s="5" t="str">
        <f t="shared" si="15"/>
        <v>Oct-2004</v>
      </c>
      <c r="M205" s="5" t="s">
        <v>181</v>
      </c>
      <c r="N205" s="5" t="s">
        <v>498</v>
      </c>
      <c r="O205" s="5" t="s">
        <v>326</v>
      </c>
      <c r="P205" s="5" t="s">
        <v>42</v>
      </c>
      <c r="Q205" s="5" t="s">
        <v>151</v>
      </c>
    </row>
    <row r="206" spans="1:17" x14ac:dyDescent="0.25">
      <c r="A206" s="3">
        <v>10325</v>
      </c>
      <c r="B206" s="3">
        <v>42</v>
      </c>
      <c r="C206" s="3">
        <v>64</v>
      </c>
      <c r="D206" s="3">
        <v>2688</v>
      </c>
      <c r="E206" s="3" t="str">
        <f t="shared" si="13"/>
        <v>Medium</v>
      </c>
      <c r="F206" s="3">
        <f t="shared" si="14"/>
        <v>806.4</v>
      </c>
      <c r="G206" s="4">
        <v>38296</v>
      </c>
      <c r="H206" s="3" t="s">
        <v>25</v>
      </c>
      <c r="I206" s="3" t="str">
        <f t="shared" si="12"/>
        <v>Yes</v>
      </c>
      <c r="J206" s="3" t="s">
        <v>686</v>
      </c>
      <c r="K206" s="3">
        <v>2004</v>
      </c>
      <c r="L206" s="3" t="str">
        <f t="shared" si="15"/>
        <v>Nov-2004</v>
      </c>
      <c r="M206" s="3" t="s">
        <v>181</v>
      </c>
      <c r="N206" s="3" t="s">
        <v>133</v>
      </c>
      <c r="O206" s="3" t="s">
        <v>78</v>
      </c>
      <c r="P206" s="3" t="s">
        <v>42</v>
      </c>
      <c r="Q206" s="3" t="s">
        <v>36</v>
      </c>
    </row>
    <row r="207" spans="1:17" x14ac:dyDescent="0.25">
      <c r="A207" s="5">
        <v>10336</v>
      </c>
      <c r="B207" s="5">
        <v>33</v>
      </c>
      <c r="C207" s="5">
        <v>57.22</v>
      </c>
      <c r="D207" s="5">
        <v>1888.26</v>
      </c>
      <c r="E207" s="5" t="str">
        <f t="shared" si="13"/>
        <v>Low</v>
      </c>
      <c r="F207" s="5">
        <f t="shared" si="14"/>
        <v>566.47799999999995</v>
      </c>
      <c r="G207" s="6">
        <v>38311</v>
      </c>
      <c r="H207" s="5" t="s">
        <v>25</v>
      </c>
      <c r="I207" s="5" t="str">
        <f t="shared" si="12"/>
        <v>Yes</v>
      </c>
      <c r="J207" s="5" t="s">
        <v>686</v>
      </c>
      <c r="K207" s="5">
        <v>2004</v>
      </c>
      <c r="L207" s="5" t="str">
        <f t="shared" si="15"/>
        <v>Nov-2004</v>
      </c>
      <c r="M207" s="5" t="s">
        <v>181</v>
      </c>
      <c r="N207" s="5" t="s">
        <v>403</v>
      </c>
      <c r="O207" s="5" t="s">
        <v>41</v>
      </c>
      <c r="P207" s="5" t="s">
        <v>42</v>
      </c>
      <c r="Q207" s="5" t="s">
        <v>36</v>
      </c>
    </row>
    <row r="208" spans="1:17" x14ac:dyDescent="0.25">
      <c r="A208" s="3">
        <v>10348</v>
      </c>
      <c r="B208" s="3">
        <v>48</v>
      </c>
      <c r="C208" s="3">
        <v>52.36</v>
      </c>
      <c r="D208" s="3">
        <v>2513.2799999999997</v>
      </c>
      <c r="E208" s="3" t="str">
        <f t="shared" si="13"/>
        <v>Medium</v>
      </c>
      <c r="F208" s="3">
        <f t="shared" si="14"/>
        <v>753.98399999999992</v>
      </c>
      <c r="G208" s="4">
        <v>38292</v>
      </c>
      <c r="H208" s="3" t="s">
        <v>25</v>
      </c>
      <c r="I208" s="3" t="str">
        <f t="shared" si="12"/>
        <v>Yes</v>
      </c>
      <c r="J208" s="3" t="s">
        <v>686</v>
      </c>
      <c r="K208" s="3">
        <v>2004</v>
      </c>
      <c r="L208" s="3" t="str">
        <f t="shared" si="15"/>
        <v>Nov-2004</v>
      </c>
      <c r="M208" s="3" t="s">
        <v>181</v>
      </c>
      <c r="N208" s="3" t="s">
        <v>191</v>
      </c>
      <c r="O208" s="3" t="s">
        <v>178</v>
      </c>
      <c r="P208" s="3" t="s">
        <v>42</v>
      </c>
      <c r="Q208" s="3" t="s">
        <v>36</v>
      </c>
    </row>
    <row r="209" spans="1:17" x14ac:dyDescent="0.25">
      <c r="A209" s="5">
        <v>10359</v>
      </c>
      <c r="B209" s="5">
        <v>42</v>
      </c>
      <c r="C209" s="5">
        <v>100</v>
      </c>
      <c r="D209" s="5">
        <v>4200</v>
      </c>
      <c r="E209" s="5" t="str">
        <f t="shared" si="13"/>
        <v>Medium</v>
      </c>
      <c r="F209" s="5">
        <f t="shared" si="14"/>
        <v>1260</v>
      </c>
      <c r="G209" s="6">
        <v>38336</v>
      </c>
      <c r="H209" s="5" t="s">
        <v>25</v>
      </c>
      <c r="I209" s="5" t="str">
        <f t="shared" si="12"/>
        <v>Yes</v>
      </c>
      <c r="J209" s="5" t="s">
        <v>687</v>
      </c>
      <c r="K209" s="5">
        <v>2004</v>
      </c>
      <c r="L209" s="5" t="str">
        <f t="shared" si="15"/>
        <v>Dec-2004</v>
      </c>
      <c r="M209" s="5" t="s">
        <v>181</v>
      </c>
      <c r="N209" s="5" t="s">
        <v>37</v>
      </c>
      <c r="O209" s="5" t="s">
        <v>41</v>
      </c>
      <c r="P209" s="5" t="s">
        <v>42</v>
      </c>
      <c r="Q209" s="5" t="s">
        <v>51</v>
      </c>
    </row>
    <row r="210" spans="1:17" x14ac:dyDescent="0.25">
      <c r="A210" s="3">
        <v>10371</v>
      </c>
      <c r="B210" s="3">
        <v>32</v>
      </c>
      <c r="C210" s="3">
        <v>100</v>
      </c>
      <c r="D210" s="3">
        <v>3200</v>
      </c>
      <c r="E210" s="3" t="str">
        <f t="shared" si="13"/>
        <v>Medium</v>
      </c>
      <c r="F210" s="3">
        <f t="shared" si="14"/>
        <v>960</v>
      </c>
      <c r="G210" s="4">
        <v>38375</v>
      </c>
      <c r="H210" s="3" t="s">
        <v>25</v>
      </c>
      <c r="I210" s="3" t="str">
        <f t="shared" si="12"/>
        <v>Yes</v>
      </c>
      <c r="J210" s="3" t="s">
        <v>549</v>
      </c>
      <c r="K210" s="3">
        <v>2005</v>
      </c>
      <c r="L210" s="3" t="str">
        <f t="shared" si="15"/>
        <v>Jan-2005</v>
      </c>
      <c r="M210" s="3" t="s">
        <v>181</v>
      </c>
      <c r="N210" s="3" t="s">
        <v>272</v>
      </c>
      <c r="O210" s="3" t="s">
        <v>32</v>
      </c>
      <c r="P210" s="3" t="s">
        <v>33</v>
      </c>
      <c r="Q210" s="3" t="s">
        <v>51</v>
      </c>
    </row>
    <row r="211" spans="1:17" x14ac:dyDescent="0.25">
      <c r="A211" s="5">
        <v>10382</v>
      </c>
      <c r="B211" s="5">
        <v>34</v>
      </c>
      <c r="C211" s="5">
        <v>100</v>
      </c>
      <c r="D211" s="5">
        <v>3400</v>
      </c>
      <c r="E211" s="5" t="str">
        <f t="shared" si="13"/>
        <v>Medium</v>
      </c>
      <c r="F211" s="5">
        <f t="shared" si="14"/>
        <v>1020</v>
      </c>
      <c r="G211" s="6">
        <v>38400</v>
      </c>
      <c r="H211" s="5" t="s">
        <v>25</v>
      </c>
      <c r="I211" s="5" t="str">
        <f t="shared" si="12"/>
        <v>Yes</v>
      </c>
      <c r="J211" s="5" t="s">
        <v>681</v>
      </c>
      <c r="K211" s="5">
        <v>2005</v>
      </c>
      <c r="L211" s="5" t="str">
        <f t="shared" si="15"/>
        <v>Feb-2005</v>
      </c>
      <c r="M211" s="5" t="s">
        <v>181</v>
      </c>
      <c r="N211" s="5" t="s">
        <v>272</v>
      </c>
      <c r="O211" s="5" t="s">
        <v>32</v>
      </c>
      <c r="P211" s="5" t="s">
        <v>33</v>
      </c>
      <c r="Q211" s="5" t="s">
        <v>51</v>
      </c>
    </row>
    <row r="212" spans="1:17" x14ac:dyDescent="0.25">
      <c r="A212" s="3">
        <v>10395</v>
      </c>
      <c r="B212" s="3">
        <v>33</v>
      </c>
      <c r="C212" s="3">
        <v>69.12</v>
      </c>
      <c r="D212" s="3">
        <v>2280.96</v>
      </c>
      <c r="E212" s="3" t="str">
        <f t="shared" si="13"/>
        <v>Medium</v>
      </c>
      <c r="F212" s="3">
        <f t="shared" si="14"/>
        <v>684.28800000000001</v>
      </c>
      <c r="G212" s="4">
        <v>38428</v>
      </c>
      <c r="H212" s="3" t="s">
        <v>25</v>
      </c>
      <c r="I212" s="3" t="str">
        <f t="shared" si="12"/>
        <v>Yes</v>
      </c>
      <c r="J212" s="3" t="s">
        <v>691</v>
      </c>
      <c r="K212" s="3">
        <v>2005</v>
      </c>
      <c r="L212" s="3" t="str">
        <f t="shared" si="15"/>
        <v>Mar-2005</v>
      </c>
      <c r="M212" s="3" t="s">
        <v>181</v>
      </c>
      <c r="N212" s="3" t="s">
        <v>45</v>
      </c>
      <c r="O212" s="3" t="s">
        <v>41</v>
      </c>
      <c r="P212" s="3" t="s">
        <v>42</v>
      </c>
      <c r="Q212" s="3" t="s">
        <v>36</v>
      </c>
    </row>
    <row r="213" spans="1:17" x14ac:dyDescent="0.25">
      <c r="A213" s="5">
        <v>10413</v>
      </c>
      <c r="B213" s="5">
        <v>36</v>
      </c>
      <c r="C213" s="5">
        <v>100</v>
      </c>
      <c r="D213" s="5">
        <v>3600</v>
      </c>
      <c r="E213" s="5" t="str">
        <f t="shared" si="13"/>
        <v>Medium</v>
      </c>
      <c r="F213" s="5">
        <f t="shared" si="14"/>
        <v>1080</v>
      </c>
      <c r="G213" s="6">
        <v>38477</v>
      </c>
      <c r="H213" s="5" t="s">
        <v>25</v>
      </c>
      <c r="I213" s="5" t="str">
        <f t="shared" si="12"/>
        <v>Yes</v>
      </c>
      <c r="J213" s="5" t="s">
        <v>682</v>
      </c>
      <c r="K213" s="5">
        <v>2005</v>
      </c>
      <c r="L213" s="5" t="str">
        <f t="shared" si="15"/>
        <v>May-2005</v>
      </c>
      <c r="M213" s="5" t="s">
        <v>181</v>
      </c>
      <c r="N213" s="5" t="s">
        <v>109</v>
      </c>
      <c r="O213" s="5" t="s">
        <v>32</v>
      </c>
      <c r="P213" s="5" t="s">
        <v>33</v>
      </c>
      <c r="Q213" s="5" t="s">
        <v>151</v>
      </c>
    </row>
    <row r="214" spans="1:17" x14ac:dyDescent="0.25">
      <c r="A214" s="3">
        <v>10103</v>
      </c>
      <c r="B214" s="3">
        <v>27</v>
      </c>
      <c r="C214" s="3">
        <v>100</v>
      </c>
      <c r="D214" s="3">
        <v>2700</v>
      </c>
      <c r="E214" s="3" t="str">
        <f t="shared" si="13"/>
        <v>Medium</v>
      </c>
      <c r="F214" s="3">
        <f t="shared" si="14"/>
        <v>810</v>
      </c>
      <c r="G214" s="4">
        <v>37650</v>
      </c>
      <c r="H214" s="3" t="s">
        <v>25</v>
      </c>
      <c r="I214" s="3" t="str">
        <f t="shared" si="12"/>
        <v>Yes</v>
      </c>
      <c r="J214" s="3" t="s">
        <v>549</v>
      </c>
      <c r="K214" s="3">
        <v>2003</v>
      </c>
      <c r="L214" s="3" t="str">
        <f t="shared" si="15"/>
        <v>Jan-2003</v>
      </c>
      <c r="M214" s="3" t="s">
        <v>504</v>
      </c>
      <c r="N214" s="3" t="s">
        <v>133</v>
      </c>
      <c r="O214" s="3" t="s">
        <v>78</v>
      </c>
      <c r="P214" s="3" t="s">
        <v>42</v>
      </c>
      <c r="Q214" s="3" t="s">
        <v>51</v>
      </c>
    </row>
    <row r="215" spans="1:17" x14ac:dyDescent="0.25">
      <c r="A215" s="5">
        <v>10113</v>
      </c>
      <c r="B215" s="5">
        <v>21</v>
      </c>
      <c r="C215" s="5">
        <v>100</v>
      </c>
      <c r="D215" s="5">
        <v>2100</v>
      </c>
      <c r="E215" s="5" t="str">
        <f t="shared" si="13"/>
        <v>Medium</v>
      </c>
      <c r="F215" s="5">
        <f t="shared" si="14"/>
        <v>630</v>
      </c>
      <c r="G215" s="6">
        <v>37706</v>
      </c>
      <c r="H215" s="5" t="s">
        <v>25</v>
      </c>
      <c r="I215" s="5" t="str">
        <f t="shared" si="12"/>
        <v>Yes</v>
      </c>
      <c r="J215" s="5" t="s">
        <v>691</v>
      </c>
      <c r="K215" s="5">
        <v>2003</v>
      </c>
      <c r="L215" s="5" t="str">
        <f t="shared" si="15"/>
        <v>Mar-2003</v>
      </c>
      <c r="M215" s="5" t="s">
        <v>504</v>
      </c>
      <c r="N215" s="5" t="s">
        <v>272</v>
      </c>
      <c r="O215" s="5" t="s">
        <v>32</v>
      </c>
      <c r="P215" s="5" t="s">
        <v>33</v>
      </c>
      <c r="Q215" s="5" t="s">
        <v>51</v>
      </c>
    </row>
    <row r="216" spans="1:17" x14ac:dyDescent="0.25">
      <c r="A216" s="3">
        <v>10126</v>
      </c>
      <c r="B216" s="3">
        <v>21</v>
      </c>
      <c r="C216" s="3">
        <v>100</v>
      </c>
      <c r="D216" s="3">
        <v>2100</v>
      </c>
      <c r="E216" s="3" t="str">
        <f t="shared" si="13"/>
        <v>Medium</v>
      </c>
      <c r="F216" s="3">
        <f t="shared" si="14"/>
        <v>630</v>
      </c>
      <c r="G216" s="4">
        <v>37769</v>
      </c>
      <c r="H216" s="3" t="s">
        <v>25</v>
      </c>
      <c r="I216" s="3" t="str">
        <f t="shared" si="12"/>
        <v>Yes</v>
      </c>
      <c r="J216" s="3" t="s">
        <v>682</v>
      </c>
      <c r="K216" s="3">
        <v>2003</v>
      </c>
      <c r="L216" s="3" t="str">
        <f t="shared" si="15"/>
        <v>May-2003</v>
      </c>
      <c r="M216" s="3" t="s">
        <v>504</v>
      </c>
      <c r="N216" s="3" t="s">
        <v>191</v>
      </c>
      <c r="O216" s="3" t="s">
        <v>178</v>
      </c>
      <c r="P216" s="3" t="s">
        <v>42</v>
      </c>
      <c r="Q216" s="3" t="s">
        <v>36</v>
      </c>
    </row>
    <row r="217" spans="1:17" x14ac:dyDescent="0.25">
      <c r="A217" s="5">
        <v>10140</v>
      </c>
      <c r="B217" s="5">
        <v>38</v>
      </c>
      <c r="C217" s="5">
        <v>100</v>
      </c>
      <c r="D217" s="5">
        <v>3800</v>
      </c>
      <c r="E217" s="5" t="str">
        <f t="shared" si="13"/>
        <v>Medium</v>
      </c>
      <c r="F217" s="5">
        <f t="shared" si="14"/>
        <v>1140</v>
      </c>
      <c r="G217" s="6">
        <v>37826</v>
      </c>
      <c r="H217" s="5" t="s">
        <v>25</v>
      </c>
      <c r="I217" s="5" t="str">
        <f t="shared" si="12"/>
        <v>Yes</v>
      </c>
      <c r="J217" s="5" t="s">
        <v>683</v>
      </c>
      <c r="K217" s="5">
        <v>2003</v>
      </c>
      <c r="L217" s="5" t="str">
        <f t="shared" si="15"/>
        <v>Jul-2003</v>
      </c>
      <c r="M217" s="5" t="s">
        <v>504</v>
      </c>
      <c r="N217" s="5" t="s">
        <v>62</v>
      </c>
      <c r="O217" s="5" t="s">
        <v>32</v>
      </c>
      <c r="P217" s="5" t="s">
        <v>33</v>
      </c>
      <c r="Q217" s="5" t="s">
        <v>51</v>
      </c>
    </row>
    <row r="218" spans="1:17" x14ac:dyDescent="0.25">
      <c r="A218" s="3">
        <v>10150</v>
      </c>
      <c r="B218" s="3">
        <v>30</v>
      </c>
      <c r="C218" s="3">
        <v>100</v>
      </c>
      <c r="D218" s="3">
        <v>3000</v>
      </c>
      <c r="E218" s="3" t="str">
        <f t="shared" si="13"/>
        <v>Medium</v>
      </c>
      <c r="F218" s="3">
        <f t="shared" si="14"/>
        <v>900</v>
      </c>
      <c r="G218" s="4">
        <v>37883</v>
      </c>
      <c r="H218" s="3" t="s">
        <v>25</v>
      </c>
      <c r="I218" s="3" t="str">
        <f t="shared" si="12"/>
        <v>Yes</v>
      </c>
      <c r="J218" s="3" t="s">
        <v>690</v>
      </c>
      <c r="K218" s="3">
        <v>2003</v>
      </c>
      <c r="L218" s="3" t="str">
        <f t="shared" si="15"/>
        <v>Sep-2003</v>
      </c>
      <c r="M218" s="3" t="s">
        <v>504</v>
      </c>
      <c r="N218" s="3" t="s">
        <v>196</v>
      </c>
      <c r="O218" s="3" t="s">
        <v>199</v>
      </c>
      <c r="P218" s="3" t="s">
        <v>675</v>
      </c>
      <c r="Q218" s="3" t="s">
        <v>51</v>
      </c>
    </row>
    <row r="219" spans="1:17" x14ac:dyDescent="0.25">
      <c r="A219" s="5">
        <v>10164</v>
      </c>
      <c r="B219" s="5">
        <v>49</v>
      </c>
      <c r="C219" s="5">
        <v>100</v>
      </c>
      <c r="D219" s="5">
        <v>4900</v>
      </c>
      <c r="E219" s="5" t="str">
        <f t="shared" si="13"/>
        <v>Medium</v>
      </c>
      <c r="F219" s="5">
        <f t="shared" si="14"/>
        <v>1470</v>
      </c>
      <c r="G219" s="6">
        <v>37915</v>
      </c>
      <c r="H219" s="5" t="s">
        <v>408</v>
      </c>
      <c r="I219" s="5" t="str">
        <f t="shared" si="12"/>
        <v>No</v>
      </c>
      <c r="J219" s="5" t="s">
        <v>685</v>
      </c>
      <c r="K219" s="5">
        <v>2003</v>
      </c>
      <c r="L219" s="5" t="str">
        <f t="shared" si="15"/>
        <v>Oct-2003</v>
      </c>
      <c r="M219" s="5" t="s">
        <v>504</v>
      </c>
      <c r="N219" s="5" t="s">
        <v>409</v>
      </c>
      <c r="O219" s="5" t="s">
        <v>148</v>
      </c>
      <c r="P219" s="5" t="s">
        <v>42</v>
      </c>
      <c r="Q219" s="5" t="s">
        <v>51</v>
      </c>
    </row>
    <row r="220" spans="1:17" x14ac:dyDescent="0.25">
      <c r="A220" s="3">
        <v>10174</v>
      </c>
      <c r="B220" s="3">
        <v>43</v>
      </c>
      <c r="C220" s="3">
        <v>100</v>
      </c>
      <c r="D220" s="3">
        <v>4300</v>
      </c>
      <c r="E220" s="3" t="str">
        <f t="shared" si="13"/>
        <v>Medium</v>
      </c>
      <c r="F220" s="3">
        <f t="shared" si="14"/>
        <v>1290</v>
      </c>
      <c r="G220" s="4">
        <v>37931</v>
      </c>
      <c r="H220" s="3" t="s">
        <v>25</v>
      </c>
      <c r="I220" s="3" t="str">
        <f t="shared" si="12"/>
        <v>Yes</v>
      </c>
      <c r="J220" s="3" t="s">
        <v>686</v>
      </c>
      <c r="K220" s="3">
        <v>2003</v>
      </c>
      <c r="L220" s="3" t="str">
        <f t="shared" si="15"/>
        <v>Nov-2003</v>
      </c>
      <c r="M220" s="3" t="s">
        <v>504</v>
      </c>
      <c r="N220" s="3" t="s">
        <v>207</v>
      </c>
      <c r="O220" s="3" t="s">
        <v>95</v>
      </c>
      <c r="P220" s="3" t="s">
        <v>96</v>
      </c>
      <c r="Q220" s="3" t="s">
        <v>51</v>
      </c>
    </row>
    <row r="221" spans="1:17" x14ac:dyDescent="0.25">
      <c r="A221" s="5">
        <v>10183</v>
      </c>
      <c r="B221" s="5">
        <v>41</v>
      </c>
      <c r="C221" s="5">
        <v>100</v>
      </c>
      <c r="D221" s="5">
        <v>4100</v>
      </c>
      <c r="E221" s="5" t="str">
        <f t="shared" si="13"/>
        <v>Medium</v>
      </c>
      <c r="F221" s="5">
        <f t="shared" si="14"/>
        <v>1230</v>
      </c>
      <c r="G221" s="6">
        <v>37938</v>
      </c>
      <c r="H221" s="5" t="s">
        <v>25</v>
      </c>
      <c r="I221" s="5" t="str">
        <f t="shared" si="12"/>
        <v>Yes</v>
      </c>
      <c r="J221" s="5" t="s">
        <v>686</v>
      </c>
      <c r="K221" s="5">
        <v>2003</v>
      </c>
      <c r="L221" s="5" t="str">
        <f t="shared" si="15"/>
        <v>Nov-2003</v>
      </c>
      <c r="M221" s="5" t="s">
        <v>504</v>
      </c>
      <c r="N221" s="5" t="s">
        <v>214</v>
      </c>
      <c r="O221" s="5" t="s">
        <v>32</v>
      </c>
      <c r="P221" s="5" t="s">
        <v>33</v>
      </c>
      <c r="Q221" s="5" t="s">
        <v>51</v>
      </c>
    </row>
    <row r="222" spans="1:17" x14ac:dyDescent="0.25">
      <c r="A222" s="3">
        <v>10194</v>
      </c>
      <c r="B222" s="3">
        <v>38</v>
      </c>
      <c r="C222" s="3">
        <v>100</v>
      </c>
      <c r="D222" s="3">
        <v>3800</v>
      </c>
      <c r="E222" s="3" t="str">
        <f t="shared" si="13"/>
        <v>Medium</v>
      </c>
      <c r="F222" s="3">
        <f t="shared" si="14"/>
        <v>1140</v>
      </c>
      <c r="G222" s="4">
        <v>37950</v>
      </c>
      <c r="H222" s="3" t="s">
        <v>25</v>
      </c>
      <c r="I222" s="3" t="str">
        <f t="shared" si="12"/>
        <v>Yes</v>
      </c>
      <c r="J222" s="3" t="s">
        <v>686</v>
      </c>
      <c r="K222" s="3">
        <v>2003</v>
      </c>
      <c r="L222" s="3" t="str">
        <f t="shared" si="15"/>
        <v>Nov-2003</v>
      </c>
      <c r="M222" s="3" t="s">
        <v>504</v>
      </c>
      <c r="N222" s="3" t="s">
        <v>219</v>
      </c>
      <c r="O222" s="3" t="s">
        <v>41</v>
      </c>
      <c r="P222" s="3" t="s">
        <v>42</v>
      </c>
      <c r="Q222" s="3" t="s">
        <v>51</v>
      </c>
    </row>
    <row r="223" spans="1:17" x14ac:dyDescent="0.25">
      <c r="A223" s="5">
        <v>10206</v>
      </c>
      <c r="B223" s="5">
        <v>28</v>
      </c>
      <c r="C223" s="5">
        <v>100</v>
      </c>
      <c r="D223" s="5">
        <v>2800</v>
      </c>
      <c r="E223" s="5" t="str">
        <f t="shared" si="13"/>
        <v>Medium</v>
      </c>
      <c r="F223" s="5">
        <f t="shared" si="14"/>
        <v>840</v>
      </c>
      <c r="G223" s="6">
        <v>37960</v>
      </c>
      <c r="H223" s="5" t="s">
        <v>25</v>
      </c>
      <c r="I223" s="5" t="str">
        <f t="shared" si="12"/>
        <v>Yes</v>
      </c>
      <c r="J223" s="5" t="s">
        <v>687</v>
      </c>
      <c r="K223" s="5">
        <v>2003</v>
      </c>
      <c r="L223" s="5" t="str">
        <f t="shared" si="15"/>
        <v>Dec-2003</v>
      </c>
      <c r="M223" s="5" t="s">
        <v>504</v>
      </c>
      <c r="N223" s="5" t="s">
        <v>225</v>
      </c>
      <c r="O223" s="5" t="s">
        <v>231</v>
      </c>
      <c r="P223" s="5" t="s">
        <v>33</v>
      </c>
      <c r="Q223" s="5" t="s">
        <v>51</v>
      </c>
    </row>
    <row r="224" spans="1:17" x14ac:dyDescent="0.25">
      <c r="A224" s="3">
        <v>10216</v>
      </c>
      <c r="B224" s="3">
        <v>43</v>
      </c>
      <c r="C224" s="3">
        <v>100</v>
      </c>
      <c r="D224" s="3">
        <v>4300</v>
      </c>
      <c r="E224" s="3" t="str">
        <f t="shared" si="13"/>
        <v>Medium</v>
      </c>
      <c r="F224" s="3">
        <f t="shared" si="14"/>
        <v>1290</v>
      </c>
      <c r="G224" s="4">
        <v>38019</v>
      </c>
      <c r="H224" s="3" t="s">
        <v>25</v>
      </c>
      <c r="I224" s="3" t="str">
        <f t="shared" si="12"/>
        <v>Yes</v>
      </c>
      <c r="J224" s="3" t="s">
        <v>681</v>
      </c>
      <c r="K224" s="3">
        <v>2004</v>
      </c>
      <c r="L224" s="3" t="str">
        <f t="shared" si="15"/>
        <v>Feb-2004</v>
      </c>
      <c r="M224" s="3" t="s">
        <v>504</v>
      </c>
      <c r="N224" s="3" t="s">
        <v>267</v>
      </c>
      <c r="O224" s="3" t="s">
        <v>41</v>
      </c>
      <c r="P224" s="3" t="s">
        <v>42</v>
      </c>
      <c r="Q224" s="3" t="s">
        <v>51</v>
      </c>
    </row>
    <row r="225" spans="1:17" x14ac:dyDescent="0.25">
      <c r="A225" s="5">
        <v>10229</v>
      </c>
      <c r="B225" s="5">
        <v>25</v>
      </c>
      <c r="C225" s="5">
        <v>100</v>
      </c>
      <c r="D225" s="5">
        <v>2500</v>
      </c>
      <c r="E225" s="5" t="str">
        <f t="shared" si="13"/>
        <v>Medium</v>
      </c>
      <c r="F225" s="5">
        <f t="shared" si="14"/>
        <v>750</v>
      </c>
      <c r="G225" s="6">
        <v>38057</v>
      </c>
      <c r="H225" s="5" t="s">
        <v>25</v>
      </c>
      <c r="I225" s="5" t="str">
        <f t="shared" si="12"/>
        <v>Yes</v>
      </c>
      <c r="J225" s="5" t="s">
        <v>691</v>
      </c>
      <c r="K225" s="5">
        <v>2004</v>
      </c>
      <c r="L225" s="5" t="str">
        <f t="shared" si="15"/>
        <v>Mar-2004</v>
      </c>
      <c r="M225" s="5" t="s">
        <v>504</v>
      </c>
      <c r="N225" s="5" t="s">
        <v>272</v>
      </c>
      <c r="O225" s="5" t="s">
        <v>32</v>
      </c>
      <c r="P225" s="5" t="s">
        <v>33</v>
      </c>
      <c r="Q225" s="5" t="s">
        <v>51</v>
      </c>
    </row>
    <row r="226" spans="1:17" x14ac:dyDescent="0.25">
      <c r="A226" s="3">
        <v>10245</v>
      </c>
      <c r="B226" s="3">
        <v>38</v>
      </c>
      <c r="C226" s="3">
        <v>100</v>
      </c>
      <c r="D226" s="3">
        <v>3800</v>
      </c>
      <c r="E226" s="3" t="str">
        <f t="shared" si="13"/>
        <v>Medium</v>
      </c>
      <c r="F226" s="3">
        <f t="shared" si="14"/>
        <v>1140</v>
      </c>
      <c r="G226" s="4">
        <v>38111</v>
      </c>
      <c r="H226" s="3" t="s">
        <v>25</v>
      </c>
      <c r="I226" s="3" t="str">
        <f t="shared" si="12"/>
        <v>Yes</v>
      </c>
      <c r="J226" s="3" t="s">
        <v>682</v>
      </c>
      <c r="K226" s="3">
        <v>2004</v>
      </c>
      <c r="L226" s="3" t="str">
        <f t="shared" si="15"/>
        <v>May-2004</v>
      </c>
      <c r="M226" s="3" t="s">
        <v>504</v>
      </c>
      <c r="N226" s="3" t="s">
        <v>242</v>
      </c>
      <c r="O226" s="3" t="s">
        <v>32</v>
      </c>
      <c r="P226" s="3" t="s">
        <v>33</v>
      </c>
      <c r="Q226" s="3" t="s">
        <v>51</v>
      </c>
    </row>
    <row r="227" spans="1:17" x14ac:dyDescent="0.25">
      <c r="A227" s="5">
        <v>10258</v>
      </c>
      <c r="B227" s="5">
        <v>41</v>
      </c>
      <c r="C227" s="5">
        <v>100</v>
      </c>
      <c r="D227" s="5">
        <v>4100</v>
      </c>
      <c r="E227" s="5" t="str">
        <f t="shared" si="13"/>
        <v>Medium</v>
      </c>
      <c r="F227" s="5">
        <f t="shared" si="14"/>
        <v>1230</v>
      </c>
      <c r="G227" s="6">
        <v>38153</v>
      </c>
      <c r="H227" s="5" t="s">
        <v>25</v>
      </c>
      <c r="I227" s="5" t="str">
        <f t="shared" si="12"/>
        <v>Yes</v>
      </c>
      <c r="J227" s="5" t="s">
        <v>689</v>
      </c>
      <c r="K227" s="5">
        <v>2004</v>
      </c>
      <c r="L227" s="5" t="str">
        <f t="shared" si="15"/>
        <v>Jun-2004</v>
      </c>
      <c r="M227" s="5" t="s">
        <v>504</v>
      </c>
      <c r="N227" s="5" t="s">
        <v>246</v>
      </c>
      <c r="O227" s="5" t="s">
        <v>200</v>
      </c>
      <c r="P227" s="5" t="s">
        <v>675</v>
      </c>
      <c r="Q227" s="5" t="s">
        <v>51</v>
      </c>
    </row>
    <row r="228" spans="1:17" x14ac:dyDescent="0.25">
      <c r="A228" s="3">
        <v>10270</v>
      </c>
      <c r="B228" s="3">
        <v>28</v>
      </c>
      <c r="C228" s="3">
        <v>100</v>
      </c>
      <c r="D228" s="3">
        <v>2800</v>
      </c>
      <c r="E228" s="3" t="str">
        <f t="shared" si="13"/>
        <v>Medium</v>
      </c>
      <c r="F228" s="3">
        <f t="shared" si="14"/>
        <v>840</v>
      </c>
      <c r="G228" s="4">
        <v>38187</v>
      </c>
      <c r="H228" s="3" t="s">
        <v>25</v>
      </c>
      <c r="I228" s="3" t="str">
        <f t="shared" si="12"/>
        <v>Yes</v>
      </c>
      <c r="J228" s="3" t="s">
        <v>683</v>
      </c>
      <c r="K228" s="3">
        <v>2004</v>
      </c>
      <c r="L228" s="3" t="str">
        <f t="shared" si="15"/>
        <v>Jul-2004</v>
      </c>
      <c r="M228" s="3" t="s">
        <v>504</v>
      </c>
      <c r="N228" s="3" t="s">
        <v>152</v>
      </c>
      <c r="O228" s="3" t="s">
        <v>95</v>
      </c>
      <c r="P228" s="3" t="s">
        <v>96</v>
      </c>
      <c r="Q228" s="3" t="s">
        <v>51</v>
      </c>
    </row>
    <row r="229" spans="1:17" x14ac:dyDescent="0.25">
      <c r="A229" s="5">
        <v>10281</v>
      </c>
      <c r="B229" s="5">
        <v>25</v>
      </c>
      <c r="C229" s="5">
        <v>100</v>
      </c>
      <c r="D229" s="5">
        <v>2500</v>
      </c>
      <c r="E229" s="5" t="str">
        <f t="shared" si="13"/>
        <v>Medium</v>
      </c>
      <c r="F229" s="5">
        <f t="shared" si="14"/>
        <v>750</v>
      </c>
      <c r="G229" s="6">
        <v>38218</v>
      </c>
      <c r="H229" s="5" t="s">
        <v>25</v>
      </c>
      <c r="I229" s="5" t="str">
        <f t="shared" si="12"/>
        <v>Yes</v>
      </c>
      <c r="J229" s="5" t="s">
        <v>684</v>
      </c>
      <c r="K229" s="5">
        <v>2004</v>
      </c>
      <c r="L229" s="5" t="str">
        <f t="shared" si="15"/>
        <v>Aug-2004</v>
      </c>
      <c r="M229" s="5" t="s">
        <v>504</v>
      </c>
      <c r="N229" s="5" t="s">
        <v>139</v>
      </c>
      <c r="O229" s="5" t="s">
        <v>32</v>
      </c>
      <c r="P229" s="5" t="s">
        <v>33</v>
      </c>
      <c r="Q229" s="5" t="s">
        <v>36</v>
      </c>
    </row>
    <row r="230" spans="1:17" x14ac:dyDescent="0.25">
      <c r="A230" s="3">
        <v>10291</v>
      </c>
      <c r="B230" s="3">
        <v>41</v>
      </c>
      <c r="C230" s="3">
        <v>100</v>
      </c>
      <c r="D230" s="3">
        <v>4100</v>
      </c>
      <c r="E230" s="3" t="str">
        <f t="shared" si="13"/>
        <v>Medium</v>
      </c>
      <c r="F230" s="3">
        <f t="shared" si="14"/>
        <v>1230</v>
      </c>
      <c r="G230" s="4">
        <v>38238</v>
      </c>
      <c r="H230" s="3" t="s">
        <v>25</v>
      </c>
      <c r="I230" s="3" t="str">
        <f t="shared" si="12"/>
        <v>Yes</v>
      </c>
      <c r="J230" s="3" t="s">
        <v>690</v>
      </c>
      <c r="K230" s="3">
        <v>2004</v>
      </c>
      <c r="L230" s="3" t="str">
        <f t="shared" si="15"/>
        <v>Sep-2004</v>
      </c>
      <c r="M230" s="3" t="s">
        <v>504</v>
      </c>
      <c r="N230" s="3" t="s">
        <v>261</v>
      </c>
      <c r="O230" s="3" t="s">
        <v>188</v>
      </c>
      <c r="P230" s="3" t="s">
        <v>42</v>
      </c>
      <c r="Q230" s="3" t="s">
        <v>51</v>
      </c>
    </row>
    <row r="231" spans="1:17" x14ac:dyDescent="0.25">
      <c r="A231" s="5">
        <v>10304</v>
      </c>
      <c r="B231" s="5">
        <v>39</v>
      </c>
      <c r="C231" s="5">
        <v>100</v>
      </c>
      <c r="D231" s="5">
        <v>3900</v>
      </c>
      <c r="E231" s="5" t="str">
        <f t="shared" si="13"/>
        <v>Medium</v>
      </c>
      <c r="F231" s="5">
        <f t="shared" si="14"/>
        <v>1170</v>
      </c>
      <c r="G231" s="6">
        <v>38271</v>
      </c>
      <c r="H231" s="5" t="s">
        <v>25</v>
      </c>
      <c r="I231" s="5" t="str">
        <f t="shared" si="12"/>
        <v>Yes</v>
      </c>
      <c r="J231" s="5" t="s">
        <v>685</v>
      </c>
      <c r="K231" s="5">
        <v>2004</v>
      </c>
      <c r="L231" s="5" t="str">
        <f t="shared" si="15"/>
        <v>Oct-2004</v>
      </c>
      <c r="M231" s="5" t="s">
        <v>504</v>
      </c>
      <c r="N231" s="5" t="s">
        <v>267</v>
      </c>
      <c r="O231" s="5" t="s">
        <v>41</v>
      </c>
      <c r="P231" s="5" t="s">
        <v>42</v>
      </c>
      <c r="Q231" s="5" t="s">
        <v>51</v>
      </c>
    </row>
    <row r="232" spans="1:17" x14ac:dyDescent="0.25">
      <c r="A232" s="3">
        <v>10313</v>
      </c>
      <c r="B232" s="3">
        <v>21</v>
      </c>
      <c r="C232" s="3">
        <v>100</v>
      </c>
      <c r="D232" s="3">
        <v>2100</v>
      </c>
      <c r="E232" s="3" t="str">
        <f t="shared" si="13"/>
        <v>Medium</v>
      </c>
      <c r="F232" s="3">
        <f t="shared" si="14"/>
        <v>630</v>
      </c>
      <c r="G232" s="4">
        <v>38282</v>
      </c>
      <c r="H232" s="3" t="s">
        <v>25</v>
      </c>
      <c r="I232" s="3" t="str">
        <f t="shared" si="12"/>
        <v>Yes</v>
      </c>
      <c r="J232" s="3" t="s">
        <v>685</v>
      </c>
      <c r="K232" s="3">
        <v>2004</v>
      </c>
      <c r="L232" s="3" t="str">
        <f t="shared" si="15"/>
        <v>Oct-2004</v>
      </c>
      <c r="M232" s="3" t="s">
        <v>504</v>
      </c>
      <c r="N232" s="3" t="s">
        <v>225</v>
      </c>
      <c r="O232" s="3" t="s">
        <v>231</v>
      </c>
      <c r="P232" s="3" t="s">
        <v>33</v>
      </c>
      <c r="Q232" s="3" t="s">
        <v>36</v>
      </c>
    </row>
    <row r="233" spans="1:17" x14ac:dyDescent="0.25">
      <c r="A233" s="5">
        <v>10322</v>
      </c>
      <c r="B233" s="5">
        <v>27</v>
      </c>
      <c r="C233" s="5">
        <v>100</v>
      </c>
      <c r="D233" s="5">
        <v>2700</v>
      </c>
      <c r="E233" s="5" t="str">
        <f t="shared" si="13"/>
        <v>Medium</v>
      </c>
      <c r="F233" s="5">
        <f t="shared" si="14"/>
        <v>810</v>
      </c>
      <c r="G233" s="6">
        <v>38295</v>
      </c>
      <c r="H233" s="5" t="s">
        <v>25</v>
      </c>
      <c r="I233" s="5" t="str">
        <f t="shared" si="12"/>
        <v>Yes</v>
      </c>
      <c r="J233" s="5" t="s">
        <v>686</v>
      </c>
      <c r="K233" s="5">
        <v>2004</v>
      </c>
      <c r="L233" s="5" t="str">
        <f t="shared" si="15"/>
        <v>Nov-2004</v>
      </c>
      <c r="M233" s="5" t="s">
        <v>504</v>
      </c>
      <c r="N233" s="5" t="s">
        <v>277</v>
      </c>
      <c r="O233" s="5" t="s">
        <v>32</v>
      </c>
      <c r="P233" s="5" t="s">
        <v>33</v>
      </c>
      <c r="Q233" s="5" t="s">
        <v>51</v>
      </c>
    </row>
    <row r="234" spans="1:17" x14ac:dyDescent="0.25">
      <c r="A234" s="3">
        <v>10333</v>
      </c>
      <c r="B234" s="3">
        <v>33</v>
      </c>
      <c r="C234" s="3">
        <v>99.21</v>
      </c>
      <c r="D234" s="3">
        <v>3273.93</v>
      </c>
      <c r="E234" s="3" t="str">
        <f t="shared" si="13"/>
        <v>Medium</v>
      </c>
      <c r="F234" s="3">
        <f t="shared" si="14"/>
        <v>982.17899999999986</v>
      </c>
      <c r="G234" s="4">
        <v>38309</v>
      </c>
      <c r="H234" s="3" t="s">
        <v>25</v>
      </c>
      <c r="I234" s="3" t="str">
        <f t="shared" si="12"/>
        <v>Yes</v>
      </c>
      <c r="J234" s="3" t="s">
        <v>686</v>
      </c>
      <c r="K234" s="3">
        <v>2004</v>
      </c>
      <c r="L234" s="3" t="str">
        <f t="shared" si="15"/>
        <v>Nov-2004</v>
      </c>
      <c r="M234" s="3" t="s">
        <v>504</v>
      </c>
      <c r="N234" s="3" t="s">
        <v>81</v>
      </c>
      <c r="O234" s="3" t="s">
        <v>32</v>
      </c>
      <c r="P234" s="3" t="s">
        <v>33</v>
      </c>
      <c r="Q234" s="3" t="s">
        <v>51</v>
      </c>
    </row>
    <row r="235" spans="1:17" x14ac:dyDescent="0.25">
      <c r="A235" s="5">
        <v>10347</v>
      </c>
      <c r="B235" s="5">
        <v>29</v>
      </c>
      <c r="C235" s="5">
        <v>100</v>
      </c>
      <c r="D235" s="5">
        <v>2900</v>
      </c>
      <c r="E235" s="5" t="str">
        <f t="shared" si="13"/>
        <v>Medium</v>
      </c>
      <c r="F235" s="5">
        <f t="shared" si="14"/>
        <v>870</v>
      </c>
      <c r="G235" s="6">
        <v>38320</v>
      </c>
      <c r="H235" s="5" t="s">
        <v>25</v>
      </c>
      <c r="I235" s="5" t="str">
        <f t="shared" si="12"/>
        <v>Yes</v>
      </c>
      <c r="J235" s="5" t="s">
        <v>686</v>
      </c>
      <c r="K235" s="5">
        <v>2004</v>
      </c>
      <c r="L235" s="5" t="str">
        <f t="shared" si="15"/>
        <v>Nov-2004</v>
      </c>
      <c r="M235" s="5" t="s">
        <v>504</v>
      </c>
      <c r="N235" s="5" t="s">
        <v>89</v>
      </c>
      <c r="O235" s="5" t="s">
        <v>95</v>
      </c>
      <c r="P235" s="5" t="s">
        <v>96</v>
      </c>
      <c r="Q235" s="5" t="s">
        <v>51</v>
      </c>
    </row>
    <row r="236" spans="1:17" x14ac:dyDescent="0.25">
      <c r="A236" s="3">
        <v>10357</v>
      </c>
      <c r="B236" s="3">
        <v>49</v>
      </c>
      <c r="C236" s="3">
        <v>100</v>
      </c>
      <c r="D236" s="3">
        <v>4900</v>
      </c>
      <c r="E236" s="3" t="str">
        <f t="shared" si="13"/>
        <v>Medium</v>
      </c>
      <c r="F236" s="3">
        <f t="shared" si="14"/>
        <v>1470</v>
      </c>
      <c r="G236" s="4">
        <v>38331</v>
      </c>
      <c r="H236" s="3" t="s">
        <v>25</v>
      </c>
      <c r="I236" s="3" t="str">
        <f t="shared" si="12"/>
        <v>Yes</v>
      </c>
      <c r="J236" s="3" t="s">
        <v>687</v>
      </c>
      <c r="K236" s="3">
        <v>2004</v>
      </c>
      <c r="L236" s="3" t="str">
        <f t="shared" si="15"/>
        <v>Dec-2004</v>
      </c>
      <c r="M236" s="3" t="s">
        <v>504</v>
      </c>
      <c r="N236" s="3" t="s">
        <v>272</v>
      </c>
      <c r="O236" s="3" t="s">
        <v>32</v>
      </c>
      <c r="P236" s="3" t="s">
        <v>33</v>
      </c>
      <c r="Q236" s="3" t="s">
        <v>51</v>
      </c>
    </row>
    <row r="237" spans="1:17" x14ac:dyDescent="0.25">
      <c r="A237" s="5">
        <v>10370</v>
      </c>
      <c r="B237" s="5">
        <v>49</v>
      </c>
      <c r="C237" s="5">
        <v>100</v>
      </c>
      <c r="D237" s="5">
        <v>4900</v>
      </c>
      <c r="E237" s="5" t="str">
        <f t="shared" si="13"/>
        <v>Medium</v>
      </c>
      <c r="F237" s="5">
        <f t="shared" si="14"/>
        <v>1470</v>
      </c>
      <c r="G237" s="6">
        <v>38372</v>
      </c>
      <c r="H237" s="5" t="s">
        <v>25</v>
      </c>
      <c r="I237" s="5" t="str">
        <f t="shared" si="12"/>
        <v>Yes</v>
      </c>
      <c r="J237" s="5" t="s">
        <v>549</v>
      </c>
      <c r="K237" s="5">
        <v>2005</v>
      </c>
      <c r="L237" s="5" t="str">
        <f t="shared" si="15"/>
        <v>Jan-2005</v>
      </c>
      <c r="M237" s="5" t="s">
        <v>504</v>
      </c>
      <c r="N237" s="5" t="s">
        <v>285</v>
      </c>
      <c r="O237" s="5" t="s">
        <v>95</v>
      </c>
      <c r="P237" s="5" t="s">
        <v>96</v>
      </c>
      <c r="Q237" s="5" t="s">
        <v>151</v>
      </c>
    </row>
    <row r="238" spans="1:17" x14ac:dyDescent="0.25">
      <c r="A238" s="3">
        <v>10381</v>
      </c>
      <c r="B238" s="3">
        <v>20</v>
      </c>
      <c r="C238" s="3">
        <v>100</v>
      </c>
      <c r="D238" s="3">
        <v>2000</v>
      </c>
      <c r="E238" s="3" t="str">
        <f t="shared" si="13"/>
        <v>Medium</v>
      </c>
      <c r="F238" s="3">
        <f t="shared" si="14"/>
        <v>600</v>
      </c>
      <c r="G238" s="4">
        <v>38400</v>
      </c>
      <c r="H238" s="3" t="s">
        <v>25</v>
      </c>
      <c r="I238" s="3" t="str">
        <f t="shared" si="12"/>
        <v>Yes</v>
      </c>
      <c r="J238" s="3" t="s">
        <v>681</v>
      </c>
      <c r="K238" s="3">
        <v>2005</v>
      </c>
      <c r="L238" s="3" t="str">
        <f t="shared" si="15"/>
        <v>Feb-2005</v>
      </c>
      <c r="M238" s="3" t="s">
        <v>504</v>
      </c>
      <c r="N238" s="3" t="s">
        <v>58</v>
      </c>
      <c r="O238" s="3" t="s">
        <v>32</v>
      </c>
      <c r="P238" s="3" t="s">
        <v>33</v>
      </c>
      <c r="Q238" s="3" t="s">
        <v>36</v>
      </c>
    </row>
    <row r="239" spans="1:17" x14ac:dyDescent="0.25">
      <c r="A239" s="5">
        <v>10391</v>
      </c>
      <c r="B239" s="5">
        <v>39</v>
      </c>
      <c r="C239" s="5">
        <v>63.2</v>
      </c>
      <c r="D239" s="5">
        <v>2464.8000000000002</v>
      </c>
      <c r="E239" s="5" t="str">
        <f t="shared" si="13"/>
        <v>Medium</v>
      </c>
      <c r="F239" s="5">
        <f t="shared" si="14"/>
        <v>739.44</v>
      </c>
      <c r="G239" s="6">
        <v>38420</v>
      </c>
      <c r="H239" s="5" t="s">
        <v>25</v>
      </c>
      <c r="I239" s="5" t="str">
        <f t="shared" si="12"/>
        <v>Yes</v>
      </c>
      <c r="J239" s="5" t="s">
        <v>691</v>
      </c>
      <c r="K239" s="5">
        <v>2005</v>
      </c>
      <c r="L239" s="5" t="str">
        <f t="shared" si="15"/>
        <v>Mar-2005</v>
      </c>
      <c r="M239" s="5" t="s">
        <v>504</v>
      </c>
      <c r="N239" s="5" t="s">
        <v>285</v>
      </c>
      <c r="O239" s="5" t="s">
        <v>95</v>
      </c>
      <c r="P239" s="5" t="s">
        <v>96</v>
      </c>
      <c r="Q239" s="5" t="s">
        <v>36</v>
      </c>
    </row>
    <row r="240" spans="1:17" x14ac:dyDescent="0.25">
      <c r="A240" s="3">
        <v>10411</v>
      </c>
      <c r="B240" s="3">
        <v>40</v>
      </c>
      <c r="C240" s="3">
        <v>100</v>
      </c>
      <c r="D240" s="3">
        <v>4000</v>
      </c>
      <c r="E240" s="3" t="str">
        <f t="shared" si="13"/>
        <v>Medium</v>
      </c>
      <c r="F240" s="3">
        <f t="shared" si="14"/>
        <v>1200</v>
      </c>
      <c r="G240" s="4">
        <v>38473</v>
      </c>
      <c r="H240" s="3" t="s">
        <v>25</v>
      </c>
      <c r="I240" s="3" t="str">
        <f t="shared" si="12"/>
        <v>Yes</v>
      </c>
      <c r="J240" s="3" t="s">
        <v>682</v>
      </c>
      <c r="K240" s="3">
        <v>2005</v>
      </c>
      <c r="L240" s="3" t="str">
        <f t="shared" si="15"/>
        <v>May-2005</v>
      </c>
      <c r="M240" s="3" t="s">
        <v>504</v>
      </c>
      <c r="N240" s="3" t="s">
        <v>292</v>
      </c>
      <c r="O240" s="3" t="s">
        <v>231</v>
      </c>
      <c r="P240" s="3" t="s">
        <v>33</v>
      </c>
      <c r="Q240" s="3" t="s">
        <v>51</v>
      </c>
    </row>
    <row r="241" spans="1:17" x14ac:dyDescent="0.25">
      <c r="A241" s="5">
        <v>10424</v>
      </c>
      <c r="B241" s="5">
        <v>49</v>
      </c>
      <c r="C241" s="5">
        <v>100</v>
      </c>
      <c r="D241" s="5">
        <v>4900</v>
      </c>
      <c r="E241" s="5" t="str">
        <f t="shared" si="13"/>
        <v>Medium</v>
      </c>
      <c r="F241" s="5">
        <f t="shared" si="14"/>
        <v>1470</v>
      </c>
      <c r="G241" s="6">
        <v>38503</v>
      </c>
      <c r="H241" s="5" t="s">
        <v>300</v>
      </c>
      <c r="I241" s="5" t="str">
        <f t="shared" si="12"/>
        <v>No</v>
      </c>
      <c r="J241" s="5" t="s">
        <v>682</v>
      </c>
      <c r="K241" s="5">
        <v>2005</v>
      </c>
      <c r="L241" s="5" t="str">
        <f t="shared" si="15"/>
        <v>May-2005</v>
      </c>
      <c r="M241" s="5" t="s">
        <v>504</v>
      </c>
      <c r="N241" s="5" t="s">
        <v>174</v>
      </c>
      <c r="O241" s="5" t="s">
        <v>178</v>
      </c>
      <c r="P241" s="5" t="s">
        <v>42</v>
      </c>
      <c r="Q241" s="5" t="s">
        <v>151</v>
      </c>
    </row>
    <row r="242" spans="1:17" x14ac:dyDescent="0.25">
      <c r="A242" s="3">
        <v>10107</v>
      </c>
      <c r="B242" s="3">
        <v>21</v>
      </c>
      <c r="C242" s="3">
        <v>100</v>
      </c>
      <c r="D242" s="3">
        <v>2100</v>
      </c>
      <c r="E242" s="3" t="str">
        <f t="shared" si="13"/>
        <v>Medium</v>
      </c>
      <c r="F242" s="3">
        <f t="shared" si="14"/>
        <v>630</v>
      </c>
      <c r="G242" s="4">
        <v>37676</v>
      </c>
      <c r="H242" s="3" t="s">
        <v>25</v>
      </c>
      <c r="I242" s="3" t="str">
        <f t="shared" si="12"/>
        <v>Yes</v>
      </c>
      <c r="J242" s="3" t="s">
        <v>681</v>
      </c>
      <c r="K242" s="3">
        <v>2003</v>
      </c>
      <c r="L242" s="3" t="str">
        <f t="shared" si="15"/>
        <v>Feb-2003</v>
      </c>
      <c r="M242" s="3" t="s">
        <v>26</v>
      </c>
      <c r="N242" s="3" t="s">
        <v>28</v>
      </c>
      <c r="O242" s="3" t="s">
        <v>32</v>
      </c>
      <c r="P242" s="3" t="s">
        <v>33</v>
      </c>
      <c r="Q242" s="3" t="s">
        <v>51</v>
      </c>
    </row>
    <row r="243" spans="1:17" x14ac:dyDescent="0.25">
      <c r="A243" s="5">
        <v>10121</v>
      </c>
      <c r="B243" s="5">
        <v>50</v>
      </c>
      <c r="C243" s="5">
        <v>100</v>
      </c>
      <c r="D243" s="5">
        <v>5000</v>
      </c>
      <c r="E243" s="5" t="str">
        <f t="shared" si="13"/>
        <v>High</v>
      </c>
      <c r="F243" s="5">
        <f t="shared" si="14"/>
        <v>1500</v>
      </c>
      <c r="G243" s="6">
        <v>37748</v>
      </c>
      <c r="H243" s="5" t="s">
        <v>25</v>
      </c>
      <c r="I243" s="5" t="str">
        <f t="shared" si="12"/>
        <v>Yes</v>
      </c>
      <c r="J243" s="5" t="s">
        <v>682</v>
      </c>
      <c r="K243" s="5">
        <v>2003</v>
      </c>
      <c r="L243" s="5" t="str">
        <f t="shared" si="15"/>
        <v>May-2003</v>
      </c>
      <c r="M243" s="5" t="s">
        <v>26</v>
      </c>
      <c r="N243" s="5" t="s">
        <v>37</v>
      </c>
      <c r="O243" s="5" t="s">
        <v>41</v>
      </c>
      <c r="P243" s="5" t="s">
        <v>42</v>
      </c>
      <c r="Q243" s="5" t="s">
        <v>151</v>
      </c>
    </row>
    <row r="244" spans="1:17" x14ac:dyDescent="0.25">
      <c r="A244" s="3">
        <v>10134</v>
      </c>
      <c r="B244" s="3">
        <v>20</v>
      </c>
      <c r="C244" s="3">
        <v>100</v>
      </c>
      <c r="D244" s="3">
        <v>2000</v>
      </c>
      <c r="E244" s="3" t="str">
        <f t="shared" si="13"/>
        <v>Medium</v>
      </c>
      <c r="F244" s="3">
        <f t="shared" si="14"/>
        <v>600</v>
      </c>
      <c r="G244" s="4">
        <v>37803</v>
      </c>
      <c r="H244" s="3" t="s">
        <v>25</v>
      </c>
      <c r="I244" s="3" t="str">
        <f t="shared" si="12"/>
        <v>Yes</v>
      </c>
      <c r="J244" s="3" t="s">
        <v>683</v>
      </c>
      <c r="K244" s="3">
        <v>2003</v>
      </c>
      <c r="L244" s="3" t="str">
        <f t="shared" si="15"/>
        <v>Jul-2003</v>
      </c>
      <c r="M244" s="3" t="s">
        <v>26</v>
      </c>
      <c r="N244" s="3" t="s">
        <v>45</v>
      </c>
      <c r="O244" s="3" t="s">
        <v>41</v>
      </c>
      <c r="P244" s="3" t="s">
        <v>42</v>
      </c>
      <c r="Q244" s="3" t="s">
        <v>36</v>
      </c>
    </row>
    <row r="245" spans="1:17" x14ac:dyDescent="0.25">
      <c r="A245" s="5">
        <v>10145</v>
      </c>
      <c r="B245" s="5">
        <v>49</v>
      </c>
      <c r="C245" s="5">
        <v>100</v>
      </c>
      <c r="D245" s="5">
        <v>4900</v>
      </c>
      <c r="E245" s="5" t="str">
        <f t="shared" si="13"/>
        <v>Medium</v>
      </c>
      <c r="F245" s="5">
        <f t="shared" si="14"/>
        <v>1470</v>
      </c>
      <c r="G245" s="6">
        <v>37858</v>
      </c>
      <c r="H245" s="5" t="s">
        <v>25</v>
      </c>
      <c r="I245" s="5" t="str">
        <f t="shared" si="12"/>
        <v>Yes</v>
      </c>
      <c r="J245" s="5" t="s">
        <v>684</v>
      </c>
      <c r="K245" s="5">
        <v>2003</v>
      </c>
      <c r="L245" s="5" t="str">
        <f t="shared" si="15"/>
        <v>Aug-2003</v>
      </c>
      <c r="M245" s="5" t="s">
        <v>26</v>
      </c>
      <c r="N245" s="5" t="s">
        <v>52</v>
      </c>
      <c r="O245" s="5" t="s">
        <v>32</v>
      </c>
      <c r="P245" s="5" t="s">
        <v>33</v>
      </c>
      <c r="Q245" s="5" t="s">
        <v>151</v>
      </c>
    </row>
    <row r="246" spans="1:17" x14ac:dyDescent="0.25">
      <c r="A246" s="3">
        <v>10159</v>
      </c>
      <c r="B246" s="3">
        <v>38</v>
      </c>
      <c r="C246" s="3">
        <v>100</v>
      </c>
      <c r="D246" s="3">
        <v>3800</v>
      </c>
      <c r="E246" s="3" t="str">
        <f t="shared" si="13"/>
        <v>Medium</v>
      </c>
      <c r="F246" s="3">
        <f t="shared" si="14"/>
        <v>1140</v>
      </c>
      <c r="G246" s="4">
        <v>37904</v>
      </c>
      <c r="H246" s="3" t="s">
        <v>25</v>
      </c>
      <c r="I246" s="3" t="str">
        <f t="shared" si="12"/>
        <v>Yes</v>
      </c>
      <c r="J246" s="3" t="s">
        <v>685</v>
      </c>
      <c r="K246" s="3">
        <v>2003</v>
      </c>
      <c r="L246" s="3" t="str">
        <f t="shared" si="15"/>
        <v>Oct-2003</v>
      </c>
      <c r="M246" s="3" t="s">
        <v>26</v>
      </c>
      <c r="N246" s="3" t="s">
        <v>58</v>
      </c>
      <c r="O246" s="3" t="s">
        <v>32</v>
      </c>
      <c r="P246" s="3" t="s">
        <v>33</v>
      </c>
      <c r="Q246" s="3" t="s">
        <v>51</v>
      </c>
    </row>
    <row r="247" spans="1:17" x14ac:dyDescent="0.25">
      <c r="A247" s="5">
        <v>10169</v>
      </c>
      <c r="B247" s="5">
        <v>35</v>
      </c>
      <c r="C247" s="5">
        <v>100</v>
      </c>
      <c r="D247" s="5">
        <v>3500</v>
      </c>
      <c r="E247" s="5" t="str">
        <f t="shared" si="13"/>
        <v>Medium</v>
      </c>
      <c r="F247" s="5">
        <f t="shared" si="14"/>
        <v>1050</v>
      </c>
      <c r="G247" s="6">
        <v>37929</v>
      </c>
      <c r="H247" s="5" t="s">
        <v>25</v>
      </c>
      <c r="I247" s="5" t="str">
        <f t="shared" si="12"/>
        <v>Yes</v>
      </c>
      <c r="J247" s="5" t="s">
        <v>686</v>
      </c>
      <c r="K247" s="5">
        <v>2003</v>
      </c>
      <c r="L247" s="5" t="str">
        <f t="shared" si="15"/>
        <v>Nov-2003</v>
      </c>
      <c r="M247" s="5" t="s">
        <v>26</v>
      </c>
      <c r="N247" s="5" t="s">
        <v>285</v>
      </c>
      <c r="O247" s="5" t="s">
        <v>95</v>
      </c>
      <c r="P247" s="5" t="s">
        <v>96</v>
      </c>
      <c r="Q247" s="5" t="s">
        <v>51</v>
      </c>
    </row>
    <row r="248" spans="1:17" x14ac:dyDescent="0.25">
      <c r="A248" s="3">
        <v>10180</v>
      </c>
      <c r="B248" s="3">
        <v>40</v>
      </c>
      <c r="C248" s="3">
        <v>100</v>
      </c>
      <c r="D248" s="3">
        <v>4000</v>
      </c>
      <c r="E248" s="3" t="str">
        <f t="shared" si="13"/>
        <v>Medium</v>
      </c>
      <c r="F248" s="3">
        <f t="shared" si="14"/>
        <v>1200</v>
      </c>
      <c r="G248" s="4">
        <v>37936</v>
      </c>
      <c r="H248" s="3" t="s">
        <v>25</v>
      </c>
      <c r="I248" s="3" t="str">
        <f t="shared" si="12"/>
        <v>Yes</v>
      </c>
      <c r="J248" s="3" t="s">
        <v>686</v>
      </c>
      <c r="K248" s="3">
        <v>2003</v>
      </c>
      <c r="L248" s="3" t="str">
        <f t="shared" si="15"/>
        <v>Nov-2003</v>
      </c>
      <c r="M248" s="3" t="s">
        <v>26</v>
      </c>
      <c r="N248" s="3" t="s">
        <v>67</v>
      </c>
      <c r="O248" s="3" t="s">
        <v>41</v>
      </c>
      <c r="P248" s="3" t="s">
        <v>42</v>
      </c>
      <c r="Q248" s="3" t="s">
        <v>51</v>
      </c>
    </row>
    <row r="249" spans="1:17" x14ac:dyDescent="0.25">
      <c r="A249" s="5">
        <v>10189</v>
      </c>
      <c r="B249" s="5">
        <v>28</v>
      </c>
      <c r="C249" s="5">
        <v>100</v>
      </c>
      <c r="D249" s="5">
        <v>2800</v>
      </c>
      <c r="E249" s="5" t="str">
        <f t="shared" si="13"/>
        <v>Medium</v>
      </c>
      <c r="F249" s="5">
        <f t="shared" si="14"/>
        <v>840</v>
      </c>
      <c r="G249" s="6">
        <v>37943</v>
      </c>
      <c r="H249" s="5" t="s">
        <v>25</v>
      </c>
      <c r="I249" s="5" t="str">
        <f t="shared" si="12"/>
        <v>Yes</v>
      </c>
      <c r="J249" s="5" t="s">
        <v>686</v>
      </c>
      <c r="K249" s="5">
        <v>2003</v>
      </c>
      <c r="L249" s="5" t="str">
        <f t="shared" si="15"/>
        <v>Nov-2003</v>
      </c>
      <c r="M249" s="5" t="s">
        <v>26</v>
      </c>
      <c r="N249" s="5" t="s">
        <v>52</v>
      </c>
      <c r="O249" s="5" t="s">
        <v>32</v>
      </c>
      <c r="P249" s="5" t="s">
        <v>33</v>
      </c>
      <c r="Q249" s="5" t="s">
        <v>51</v>
      </c>
    </row>
    <row r="250" spans="1:17" x14ac:dyDescent="0.25">
      <c r="A250" s="3">
        <v>10201</v>
      </c>
      <c r="B250" s="3">
        <v>25</v>
      </c>
      <c r="C250" s="3">
        <v>100</v>
      </c>
      <c r="D250" s="3">
        <v>2500</v>
      </c>
      <c r="E250" s="3" t="str">
        <f t="shared" si="13"/>
        <v>Medium</v>
      </c>
      <c r="F250" s="3">
        <f t="shared" si="14"/>
        <v>750</v>
      </c>
      <c r="G250" s="4">
        <v>37956</v>
      </c>
      <c r="H250" s="3" t="s">
        <v>25</v>
      </c>
      <c r="I250" s="3" t="str">
        <f t="shared" si="12"/>
        <v>Yes</v>
      </c>
      <c r="J250" s="3" t="s">
        <v>687</v>
      </c>
      <c r="K250" s="3">
        <v>2003</v>
      </c>
      <c r="L250" s="3" t="str">
        <f t="shared" si="15"/>
        <v>Dec-2003</v>
      </c>
      <c r="M250" s="3" t="s">
        <v>26</v>
      </c>
      <c r="N250" s="3" t="s">
        <v>81</v>
      </c>
      <c r="O250" s="3" t="s">
        <v>32</v>
      </c>
      <c r="P250" s="3" t="s">
        <v>33</v>
      </c>
      <c r="Q250" s="3" t="s">
        <v>51</v>
      </c>
    </row>
    <row r="251" spans="1:17" x14ac:dyDescent="0.25">
      <c r="A251" s="5">
        <v>10211</v>
      </c>
      <c r="B251" s="5">
        <v>36</v>
      </c>
      <c r="C251" s="5">
        <v>100</v>
      </c>
      <c r="D251" s="5">
        <v>3600</v>
      </c>
      <c r="E251" s="5" t="str">
        <f t="shared" si="13"/>
        <v>Medium</v>
      </c>
      <c r="F251" s="5">
        <f t="shared" si="14"/>
        <v>1080</v>
      </c>
      <c r="G251" s="6">
        <v>38001</v>
      </c>
      <c r="H251" s="5" t="s">
        <v>25</v>
      </c>
      <c r="I251" s="5" t="str">
        <f t="shared" si="12"/>
        <v>Yes</v>
      </c>
      <c r="J251" s="5" t="s">
        <v>549</v>
      </c>
      <c r="K251" s="5">
        <v>2004</v>
      </c>
      <c r="L251" s="5" t="str">
        <f t="shared" si="15"/>
        <v>Jan-2004</v>
      </c>
      <c r="M251" s="5" t="s">
        <v>26</v>
      </c>
      <c r="N251" s="5" t="s">
        <v>84</v>
      </c>
      <c r="O251" s="5" t="s">
        <v>41</v>
      </c>
      <c r="P251" s="5" t="s">
        <v>42</v>
      </c>
      <c r="Q251" s="5" t="s">
        <v>51</v>
      </c>
    </row>
    <row r="252" spans="1:17" x14ac:dyDescent="0.25">
      <c r="A252" s="3">
        <v>10224</v>
      </c>
      <c r="B252" s="3">
        <v>43</v>
      </c>
      <c r="C252" s="3">
        <v>100</v>
      </c>
      <c r="D252" s="3">
        <v>4300</v>
      </c>
      <c r="E252" s="3" t="str">
        <f t="shared" si="13"/>
        <v>Medium</v>
      </c>
      <c r="F252" s="3">
        <f t="shared" si="14"/>
        <v>1290</v>
      </c>
      <c r="G252" s="4">
        <v>38038</v>
      </c>
      <c r="H252" s="3" t="s">
        <v>25</v>
      </c>
      <c r="I252" s="3" t="str">
        <f t="shared" si="12"/>
        <v>Yes</v>
      </c>
      <c r="J252" s="3" t="s">
        <v>681</v>
      </c>
      <c r="K252" s="3">
        <v>2004</v>
      </c>
      <c r="L252" s="3" t="str">
        <f t="shared" si="15"/>
        <v>Feb-2004</v>
      </c>
      <c r="M252" s="3" t="s">
        <v>26</v>
      </c>
      <c r="N252" s="3" t="s">
        <v>67</v>
      </c>
      <c r="O252" s="3" t="s">
        <v>41</v>
      </c>
      <c r="P252" s="3" t="s">
        <v>42</v>
      </c>
      <c r="Q252" s="3" t="s">
        <v>51</v>
      </c>
    </row>
    <row r="253" spans="1:17" x14ac:dyDescent="0.25">
      <c r="A253" s="5">
        <v>10237</v>
      </c>
      <c r="B253" s="5">
        <v>32</v>
      </c>
      <c r="C253" s="5">
        <v>100</v>
      </c>
      <c r="D253" s="5">
        <v>3200</v>
      </c>
      <c r="E253" s="5" t="str">
        <f t="shared" si="13"/>
        <v>Medium</v>
      </c>
      <c r="F253" s="5">
        <f t="shared" si="14"/>
        <v>960</v>
      </c>
      <c r="G253" s="6">
        <v>38082</v>
      </c>
      <c r="H253" s="5" t="s">
        <v>25</v>
      </c>
      <c r="I253" s="5" t="str">
        <f t="shared" si="12"/>
        <v>Yes</v>
      </c>
      <c r="J253" s="5" t="s">
        <v>688</v>
      </c>
      <c r="K253" s="5">
        <v>2004</v>
      </c>
      <c r="L253" s="5" t="str">
        <f t="shared" si="15"/>
        <v>Apr-2004</v>
      </c>
      <c r="M253" s="5" t="s">
        <v>26</v>
      </c>
      <c r="N253" s="5" t="s">
        <v>99</v>
      </c>
      <c r="O253" s="5" t="s">
        <v>32</v>
      </c>
      <c r="P253" s="5" t="s">
        <v>33</v>
      </c>
      <c r="Q253" s="5" t="s">
        <v>51</v>
      </c>
    </row>
    <row r="254" spans="1:17" x14ac:dyDescent="0.25">
      <c r="A254" s="3">
        <v>10251</v>
      </c>
      <c r="B254" s="3">
        <v>46</v>
      </c>
      <c r="C254" s="3">
        <v>100</v>
      </c>
      <c r="D254" s="3">
        <v>4600</v>
      </c>
      <c r="E254" s="3" t="str">
        <f t="shared" si="13"/>
        <v>Medium</v>
      </c>
      <c r="F254" s="3">
        <f t="shared" si="14"/>
        <v>1380</v>
      </c>
      <c r="G254" s="4">
        <v>38125</v>
      </c>
      <c r="H254" s="3" t="s">
        <v>25</v>
      </c>
      <c r="I254" s="3" t="str">
        <f t="shared" si="12"/>
        <v>Yes</v>
      </c>
      <c r="J254" s="3" t="s">
        <v>682</v>
      </c>
      <c r="K254" s="3">
        <v>2004</v>
      </c>
      <c r="L254" s="3" t="str">
        <f t="shared" si="15"/>
        <v>May-2004</v>
      </c>
      <c r="M254" s="3" t="s">
        <v>26</v>
      </c>
      <c r="N254" s="3" t="s">
        <v>104</v>
      </c>
      <c r="O254" s="3" t="s">
        <v>32</v>
      </c>
      <c r="P254" s="3" t="s">
        <v>33</v>
      </c>
      <c r="Q254" s="3" t="s">
        <v>151</v>
      </c>
    </row>
    <row r="255" spans="1:17" x14ac:dyDescent="0.25">
      <c r="A255" s="5">
        <v>10263</v>
      </c>
      <c r="B255" s="5">
        <v>48</v>
      </c>
      <c r="C255" s="5">
        <v>100</v>
      </c>
      <c r="D255" s="5">
        <v>4800</v>
      </c>
      <c r="E255" s="5" t="str">
        <f t="shared" si="13"/>
        <v>Medium</v>
      </c>
      <c r="F255" s="5">
        <f t="shared" si="14"/>
        <v>1440</v>
      </c>
      <c r="G255" s="6">
        <v>38166</v>
      </c>
      <c r="H255" s="5" t="s">
        <v>25</v>
      </c>
      <c r="I255" s="5" t="str">
        <f t="shared" si="12"/>
        <v>Yes</v>
      </c>
      <c r="J255" s="5" t="s">
        <v>689</v>
      </c>
      <c r="K255" s="5">
        <v>2004</v>
      </c>
      <c r="L255" s="5" t="str">
        <f t="shared" si="15"/>
        <v>Jun-2004</v>
      </c>
      <c r="M255" s="5" t="s">
        <v>26</v>
      </c>
      <c r="N255" s="5" t="s">
        <v>109</v>
      </c>
      <c r="O255" s="5" t="s">
        <v>32</v>
      </c>
      <c r="P255" s="5" t="s">
        <v>33</v>
      </c>
      <c r="Q255" s="5" t="s">
        <v>51</v>
      </c>
    </row>
    <row r="256" spans="1:17" x14ac:dyDescent="0.25">
      <c r="A256" s="3">
        <v>10276</v>
      </c>
      <c r="B256" s="3">
        <v>43</v>
      </c>
      <c r="C256" s="3">
        <v>100</v>
      </c>
      <c r="D256" s="3">
        <v>4300</v>
      </c>
      <c r="E256" s="3" t="str">
        <f t="shared" si="13"/>
        <v>Medium</v>
      </c>
      <c r="F256" s="3">
        <f t="shared" si="14"/>
        <v>1290</v>
      </c>
      <c r="G256" s="4">
        <v>38201</v>
      </c>
      <c r="H256" s="3" t="s">
        <v>25</v>
      </c>
      <c r="I256" s="3" t="str">
        <f t="shared" si="12"/>
        <v>Yes</v>
      </c>
      <c r="J256" s="3" t="s">
        <v>684</v>
      </c>
      <c r="K256" s="3">
        <v>2004</v>
      </c>
      <c r="L256" s="3" t="str">
        <f t="shared" si="15"/>
        <v>Aug-2004</v>
      </c>
      <c r="M256" s="3" t="s">
        <v>26</v>
      </c>
      <c r="N256" s="3" t="s">
        <v>458</v>
      </c>
      <c r="O256" s="3" t="s">
        <v>32</v>
      </c>
      <c r="P256" s="3" t="s">
        <v>33</v>
      </c>
      <c r="Q256" s="3" t="s">
        <v>51</v>
      </c>
    </row>
    <row r="257" spans="1:17" x14ac:dyDescent="0.25">
      <c r="A257" s="5">
        <v>10285</v>
      </c>
      <c r="B257" s="5">
        <v>49</v>
      </c>
      <c r="C257" s="5">
        <v>100</v>
      </c>
      <c r="D257" s="5">
        <v>4900</v>
      </c>
      <c r="E257" s="5" t="str">
        <f t="shared" si="13"/>
        <v>Medium</v>
      </c>
      <c r="F257" s="5">
        <f t="shared" si="14"/>
        <v>1470</v>
      </c>
      <c r="G257" s="6">
        <v>38226</v>
      </c>
      <c r="H257" s="5" t="s">
        <v>25</v>
      </c>
      <c r="I257" s="5" t="str">
        <f t="shared" si="12"/>
        <v>Yes</v>
      </c>
      <c r="J257" s="5" t="s">
        <v>684</v>
      </c>
      <c r="K257" s="5">
        <v>2004</v>
      </c>
      <c r="L257" s="5" t="str">
        <f t="shared" si="15"/>
        <v>Aug-2004</v>
      </c>
      <c r="M257" s="5" t="s">
        <v>26</v>
      </c>
      <c r="N257" s="5" t="s">
        <v>120</v>
      </c>
      <c r="O257" s="5" t="s">
        <v>32</v>
      </c>
      <c r="P257" s="5" t="s">
        <v>33</v>
      </c>
      <c r="Q257" s="5" t="s">
        <v>51</v>
      </c>
    </row>
    <row r="258" spans="1:17" x14ac:dyDescent="0.25">
      <c r="A258" s="3">
        <v>10299</v>
      </c>
      <c r="B258" s="3">
        <v>24</v>
      </c>
      <c r="C258" s="3">
        <v>100</v>
      </c>
      <c r="D258" s="3">
        <v>2400</v>
      </c>
      <c r="E258" s="3" t="str">
        <f t="shared" si="13"/>
        <v>Medium</v>
      </c>
      <c r="F258" s="3">
        <f t="shared" si="14"/>
        <v>720</v>
      </c>
      <c r="G258" s="4">
        <v>38260</v>
      </c>
      <c r="H258" s="3" t="s">
        <v>25</v>
      </c>
      <c r="I258" s="3" t="str">
        <f t="shared" ref="I258:I321" si="16">IF(H258="Shipped","Yes","No")</f>
        <v>Yes</v>
      </c>
      <c r="J258" s="3" t="s">
        <v>690</v>
      </c>
      <c r="K258" s="3">
        <v>2004</v>
      </c>
      <c r="L258" s="3" t="str">
        <f t="shared" si="15"/>
        <v>Sep-2004</v>
      </c>
      <c r="M258" s="3" t="s">
        <v>26</v>
      </c>
      <c r="N258" s="3" t="s">
        <v>126</v>
      </c>
      <c r="O258" s="3" t="s">
        <v>130</v>
      </c>
      <c r="P258" s="3" t="s">
        <v>42</v>
      </c>
      <c r="Q258" s="3" t="s">
        <v>51</v>
      </c>
    </row>
    <row r="259" spans="1:17" x14ac:dyDescent="0.25">
      <c r="A259" s="5">
        <v>10309</v>
      </c>
      <c r="B259" s="5">
        <v>26</v>
      </c>
      <c r="C259" s="5">
        <v>100</v>
      </c>
      <c r="D259" s="5">
        <v>2600</v>
      </c>
      <c r="E259" s="5" t="str">
        <f t="shared" ref="E259:E322" si="17">IF(D259&gt;=5000,"High",IF(D259&gt;=2000,"Medium","Low"))</f>
        <v>Medium</v>
      </c>
      <c r="F259" s="5">
        <f t="shared" ref="F259:F322" si="18">(D259*0.3)</f>
        <v>780</v>
      </c>
      <c r="G259" s="6">
        <v>38275</v>
      </c>
      <c r="H259" s="5" t="s">
        <v>25</v>
      </c>
      <c r="I259" s="5" t="str">
        <f t="shared" si="16"/>
        <v>Yes</v>
      </c>
      <c r="J259" s="5" t="s">
        <v>685</v>
      </c>
      <c r="K259" s="5">
        <v>2004</v>
      </c>
      <c r="L259" s="5" t="str">
        <f t="shared" ref="L259:L322" si="19">TEXT(G:G,"MMM-YYYY")</f>
        <v>Oct-2004</v>
      </c>
      <c r="M259" s="5" t="s">
        <v>26</v>
      </c>
      <c r="N259" s="5" t="s">
        <v>133</v>
      </c>
      <c r="O259" s="5" t="s">
        <v>78</v>
      </c>
      <c r="P259" s="5" t="s">
        <v>42</v>
      </c>
      <c r="Q259" s="5" t="s">
        <v>51</v>
      </c>
    </row>
    <row r="260" spans="1:17" x14ac:dyDescent="0.25">
      <c r="A260" s="3">
        <v>10319</v>
      </c>
      <c r="B260" s="3">
        <v>30</v>
      </c>
      <c r="C260" s="3">
        <v>100</v>
      </c>
      <c r="D260" s="3">
        <v>3000</v>
      </c>
      <c r="E260" s="3" t="str">
        <f t="shared" si="17"/>
        <v>Medium</v>
      </c>
      <c r="F260" s="3">
        <f t="shared" si="18"/>
        <v>900</v>
      </c>
      <c r="G260" s="4">
        <v>38294</v>
      </c>
      <c r="H260" s="3" t="s">
        <v>25</v>
      </c>
      <c r="I260" s="3" t="str">
        <f t="shared" si="16"/>
        <v>Yes</v>
      </c>
      <c r="J260" s="3" t="s">
        <v>686</v>
      </c>
      <c r="K260" s="3">
        <v>2004</v>
      </c>
      <c r="L260" s="3" t="str">
        <f t="shared" si="19"/>
        <v>Nov-2004</v>
      </c>
      <c r="M260" s="3" t="s">
        <v>26</v>
      </c>
      <c r="N260" s="3" t="s">
        <v>507</v>
      </c>
      <c r="O260" s="3" t="s">
        <v>32</v>
      </c>
      <c r="P260" s="3" t="s">
        <v>33</v>
      </c>
      <c r="Q260" s="3" t="s">
        <v>51</v>
      </c>
    </row>
    <row r="261" spans="1:17" x14ac:dyDescent="0.25">
      <c r="A261" s="5">
        <v>10329</v>
      </c>
      <c r="B261" s="5">
        <v>24</v>
      </c>
      <c r="C261" s="5">
        <v>100</v>
      </c>
      <c r="D261" s="5">
        <v>2400</v>
      </c>
      <c r="E261" s="5" t="str">
        <f t="shared" si="17"/>
        <v>Medium</v>
      </c>
      <c r="F261" s="5">
        <f t="shared" si="18"/>
        <v>720</v>
      </c>
      <c r="G261" s="6">
        <v>38306</v>
      </c>
      <c r="H261" s="5" t="s">
        <v>25</v>
      </c>
      <c r="I261" s="5" t="str">
        <f t="shared" si="16"/>
        <v>Yes</v>
      </c>
      <c r="J261" s="5" t="s">
        <v>686</v>
      </c>
      <c r="K261" s="5">
        <v>2004</v>
      </c>
      <c r="L261" s="5" t="str">
        <f t="shared" si="19"/>
        <v>Nov-2004</v>
      </c>
      <c r="M261" s="5" t="s">
        <v>26</v>
      </c>
      <c r="N261" s="5" t="s">
        <v>28</v>
      </c>
      <c r="O261" s="5" t="s">
        <v>32</v>
      </c>
      <c r="P261" s="5" t="s">
        <v>33</v>
      </c>
      <c r="Q261" s="5" t="s">
        <v>51</v>
      </c>
    </row>
    <row r="262" spans="1:17" x14ac:dyDescent="0.25">
      <c r="A262" s="3">
        <v>10341</v>
      </c>
      <c r="B262" s="3">
        <v>55</v>
      </c>
      <c r="C262" s="3">
        <v>100</v>
      </c>
      <c r="D262" s="3">
        <v>5500</v>
      </c>
      <c r="E262" s="3" t="str">
        <f t="shared" si="17"/>
        <v>High</v>
      </c>
      <c r="F262" s="3">
        <f t="shared" si="18"/>
        <v>1650</v>
      </c>
      <c r="G262" s="4">
        <v>38315</v>
      </c>
      <c r="H262" s="3" t="s">
        <v>25</v>
      </c>
      <c r="I262" s="3" t="str">
        <f t="shared" si="16"/>
        <v>Yes</v>
      </c>
      <c r="J262" s="3" t="s">
        <v>686</v>
      </c>
      <c r="K262" s="3">
        <v>2004</v>
      </c>
      <c r="L262" s="3" t="str">
        <f t="shared" si="19"/>
        <v>Nov-2004</v>
      </c>
      <c r="M262" s="3" t="s">
        <v>26</v>
      </c>
      <c r="N262" s="3" t="s">
        <v>144</v>
      </c>
      <c r="O262" s="3" t="s">
        <v>148</v>
      </c>
      <c r="P262" s="3" t="s">
        <v>42</v>
      </c>
      <c r="Q262" s="3" t="s">
        <v>151</v>
      </c>
    </row>
    <row r="263" spans="1:17" x14ac:dyDescent="0.25">
      <c r="A263" s="5">
        <v>10362</v>
      </c>
      <c r="B263" s="5">
        <v>22</v>
      </c>
      <c r="C263" s="5">
        <v>100</v>
      </c>
      <c r="D263" s="5">
        <v>2200</v>
      </c>
      <c r="E263" s="5" t="str">
        <f t="shared" si="17"/>
        <v>Medium</v>
      </c>
      <c r="F263" s="5">
        <f t="shared" si="18"/>
        <v>660</v>
      </c>
      <c r="G263" s="6">
        <v>38357</v>
      </c>
      <c r="H263" s="5" t="s">
        <v>25</v>
      </c>
      <c r="I263" s="5" t="str">
        <f t="shared" si="16"/>
        <v>Yes</v>
      </c>
      <c r="J263" s="5" t="s">
        <v>549</v>
      </c>
      <c r="K263" s="5">
        <v>2005</v>
      </c>
      <c r="L263" s="5" t="str">
        <f t="shared" si="19"/>
        <v>Jan-2005</v>
      </c>
      <c r="M263" s="5" t="s">
        <v>26</v>
      </c>
      <c r="N263" s="5" t="s">
        <v>62</v>
      </c>
      <c r="O263" s="5" t="s">
        <v>32</v>
      </c>
      <c r="P263" s="5" t="s">
        <v>33</v>
      </c>
      <c r="Q263" s="5" t="s">
        <v>51</v>
      </c>
    </row>
    <row r="264" spans="1:17" x14ac:dyDescent="0.25">
      <c r="A264" s="3">
        <v>10375</v>
      </c>
      <c r="B264" s="3">
        <v>49</v>
      </c>
      <c r="C264" s="3">
        <v>78.92</v>
      </c>
      <c r="D264" s="3">
        <v>3867.08</v>
      </c>
      <c r="E264" s="3" t="str">
        <f t="shared" si="17"/>
        <v>Medium</v>
      </c>
      <c r="F264" s="3">
        <f t="shared" si="18"/>
        <v>1160.124</v>
      </c>
      <c r="G264" s="4">
        <v>38386</v>
      </c>
      <c r="H264" s="3" t="s">
        <v>25</v>
      </c>
      <c r="I264" s="3" t="str">
        <f t="shared" si="16"/>
        <v>Yes</v>
      </c>
      <c r="J264" s="3" t="s">
        <v>681</v>
      </c>
      <c r="K264" s="3">
        <v>2005</v>
      </c>
      <c r="L264" s="3" t="str">
        <f t="shared" si="19"/>
        <v>Feb-2005</v>
      </c>
      <c r="M264" s="3" t="s">
        <v>26</v>
      </c>
      <c r="N264" s="3" t="s">
        <v>114</v>
      </c>
      <c r="O264" s="3" t="s">
        <v>41</v>
      </c>
      <c r="P264" s="3" t="s">
        <v>42</v>
      </c>
      <c r="Q264" s="3" t="s">
        <v>51</v>
      </c>
    </row>
    <row r="265" spans="1:17" x14ac:dyDescent="0.25">
      <c r="A265" s="5">
        <v>10388</v>
      </c>
      <c r="B265" s="5">
        <v>44</v>
      </c>
      <c r="C265" s="5">
        <v>100</v>
      </c>
      <c r="D265" s="5">
        <v>4400</v>
      </c>
      <c r="E265" s="5" t="str">
        <f t="shared" si="17"/>
        <v>Medium</v>
      </c>
      <c r="F265" s="5">
        <f t="shared" si="18"/>
        <v>1320</v>
      </c>
      <c r="G265" s="6">
        <v>38414</v>
      </c>
      <c r="H265" s="5" t="s">
        <v>25</v>
      </c>
      <c r="I265" s="5" t="str">
        <f t="shared" si="16"/>
        <v>Yes</v>
      </c>
      <c r="J265" s="5" t="s">
        <v>691</v>
      </c>
      <c r="K265" s="5">
        <v>2005</v>
      </c>
      <c r="L265" s="5" t="str">
        <f t="shared" si="19"/>
        <v>Mar-2005</v>
      </c>
      <c r="M265" s="5" t="s">
        <v>26</v>
      </c>
      <c r="N265" s="5" t="s">
        <v>160</v>
      </c>
      <c r="O265" s="5" t="s">
        <v>32</v>
      </c>
      <c r="P265" s="5" t="s">
        <v>33</v>
      </c>
      <c r="Q265" s="5" t="s">
        <v>51</v>
      </c>
    </row>
    <row r="266" spans="1:17" x14ac:dyDescent="0.25">
      <c r="A266" s="3">
        <v>10403</v>
      </c>
      <c r="B266" s="3">
        <v>66</v>
      </c>
      <c r="C266" s="3">
        <v>100</v>
      </c>
      <c r="D266" s="3">
        <v>6600</v>
      </c>
      <c r="E266" s="3" t="str">
        <f t="shared" si="17"/>
        <v>High</v>
      </c>
      <c r="F266" s="3">
        <f t="shared" si="18"/>
        <v>1980</v>
      </c>
      <c r="G266" s="4">
        <v>38450</v>
      </c>
      <c r="H266" s="3" t="s">
        <v>25</v>
      </c>
      <c r="I266" s="3" t="str">
        <f t="shared" si="16"/>
        <v>Yes</v>
      </c>
      <c r="J266" s="3" t="s">
        <v>688</v>
      </c>
      <c r="K266" s="3">
        <v>2005</v>
      </c>
      <c r="L266" s="3" t="str">
        <f t="shared" si="19"/>
        <v>Apr-2005</v>
      </c>
      <c r="M266" s="3" t="s">
        <v>26</v>
      </c>
      <c r="N266" s="3" t="s">
        <v>165</v>
      </c>
      <c r="O266" s="3" t="s">
        <v>170</v>
      </c>
      <c r="P266" s="3" t="s">
        <v>42</v>
      </c>
      <c r="Q266" s="3" t="s">
        <v>151</v>
      </c>
    </row>
    <row r="267" spans="1:17" x14ac:dyDescent="0.25">
      <c r="A267" s="5">
        <v>10417</v>
      </c>
      <c r="B267" s="5">
        <v>21</v>
      </c>
      <c r="C267" s="5">
        <v>100</v>
      </c>
      <c r="D267" s="5">
        <v>2100</v>
      </c>
      <c r="E267" s="5" t="str">
        <f t="shared" si="17"/>
        <v>Medium</v>
      </c>
      <c r="F267" s="5">
        <f t="shared" si="18"/>
        <v>630</v>
      </c>
      <c r="G267" s="6">
        <v>38485</v>
      </c>
      <c r="H267" s="5" t="s">
        <v>173</v>
      </c>
      <c r="I267" s="5" t="str">
        <f t="shared" si="16"/>
        <v>No</v>
      </c>
      <c r="J267" s="5" t="s">
        <v>682</v>
      </c>
      <c r="K267" s="5">
        <v>2005</v>
      </c>
      <c r="L267" s="5" t="str">
        <f t="shared" si="19"/>
        <v>May-2005</v>
      </c>
      <c r="M267" s="5" t="s">
        <v>26</v>
      </c>
      <c r="N267" s="5" t="s">
        <v>174</v>
      </c>
      <c r="O267" s="5" t="s">
        <v>178</v>
      </c>
      <c r="P267" s="5" t="s">
        <v>42</v>
      </c>
      <c r="Q267" s="5" t="s">
        <v>51</v>
      </c>
    </row>
    <row r="268" spans="1:17" x14ac:dyDescent="0.25">
      <c r="A268" s="3">
        <v>10104</v>
      </c>
      <c r="B268" s="3">
        <v>34</v>
      </c>
      <c r="C268" s="3">
        <v>100</v>
      </c>
      <c r="D268" s="3">
        <v>3400</v>
      </c>
      <c r="E268" s="3" t="str">
        <f t="shared" si="17"/>
        <v>Medium</v>
      </c>
      <c r="F268" s="3">
        <f t="shared" si="18"/>
        <v>1020</v>
      </c>
      <c r="G268" s="4">
        <v>37652</v>
      </c>
      <c r="H268" s="3" t="s">
        <v>25</v>
      </c>
      <c r="I268" s="3" t="str">
        <f t="shared" si="16"/>
        <v>Yes</v>
      </c>
      <c r="J268" s="3" t="s">
        <v>549</v>
      </c>
      <c r="K268" s="3">
        <v>2003</v>
      </c>
      <c r="L268" s="3" t="str">
        <f t="shared" si="19"/>
        <v>Jan-2003</v>
      </c>
      <c r="M268" s="3" t="s">
        <v>181</v>
      </c>
      <c r="N268" s="3" t="s">
        <v>174</v>
      </c>
      <c r="O268" s="3" t="s">
        <v>178</v>
      </c>
      <c r="P268" s="3" t="s">
        <v>42</v>
      </c>
      <c r="Q268" s="3" t="s">
        <v>51</v>
      </c>
    </row>
    <row r="269" spans="1:17" x14ac:dyDescent="0.25">
      <c r="A269" s="5">
        <v>10117</v>
      </c>
      <c r="B269" s="5">
        <v>43</v>
      </c>
      <c r="C269" s="5">
        <v>100</v>
      </c>
      <c r="D269" s="5">
        <v>4300</v>
      </c>
      <c r="E269" s="5" t="str">
        <f t="shared" si="17"/>
        <v>Medium</v>
      </c>
      <c r="F269" s="5">
        <f t="shared" si="18"/>
        <v>1290</v>
      </c>
      <c r="G269" s="6">
        <v>37727</v>
      </c>
      <c r="H269" s="5" t="s">
        <v>25</v>
      </c>
      <c r="I269" s="5" t="str">
        <f t="shared" si="16"/>
        <v>Yes</v>
      </c>
      <c r="J269" s="5" t="s">
        <v>688</v>
      </c>
      <c r="K269" s="5">
        <v>2003</v>
      </c>
      <c r="L269" s="5" t="str">
        <f t="shared" si="19"/>
        <v>Apr-2003</v>
      </c>
      <c r="M269" s="5" t="s">
        <v>181</v>
      </c>
      <c r="N269" s="5" t="s">
        <v>196</v>
      </c>
      <c r="O269" s="5" t="s">
        <v>199</v>
      </c>
      <c r="P269" s="5" t="s">
        <v>675</v>
      </c>
      <c r="Q269" s="5" t="s">
        <v>51</v>
      </c>
    </row>
    <row r="270" spans="1:17" x14ac:dyDescent="0.25">
      <c r="A270" s="3">
        <v>10127</v>
      </c>
      <c r="B270" s="3">
        <v>46</v>
      </c>
      <c r="C270" s="3">
        <v>100</v>
      </c>
      <c r="D270" s="3">
        <v>4600</v>
      </c>
      <c r="E270" s="3" t="str">
        <f t="shared" si="17"/>
        <v>Medium</v>
      </c>
      <c r="F270" s="3">
        <f t="shared" si="18"/>
        <v>1380</v>
      </c>
      <c r="G270" s="4">
        <v>37775</v>
      </c>
      <c r="H270" s="3" t="s">
        <v>25</v>
      </c>
      <c r="I270" s="3" t="str">
        <f t="shared" si="16"/>
        <v>Yes</v>
      </c>
      <c r="J270" s="3" t="s">
        <v>689</v>
      </c>
      <c r="K270" s="3">
        <v>2003</v>
      </c>
      <c r="L270" s="3" t="str">
        <f t="shared" si="19"/>
        <v>Jun-2003</v>
      </c>
      <c r="M270" s="3" t="s">
        <v>181</v>
      </c>
      <c r="N270" s="3" t="s">
        <v>475</v>
      </c>
      <c r="O270" s="3" t="s">
        <v>32</v>
      </c>
      <c r="P270" s="3" t="s">
        <v>33</v>
      </c>
      <c r="Q270" s="3" t="s">
        <v>151</v>
      </c>
    </row>
    <row r="271" spans="1:17" x14ac:dyDescent="0.25">
      <c r="A271" s="5">
        <v>10142</v>
      </c>
      <c r="B271" s="5">
        <v>33</v>
      </c>
      <c r="C271" s="5">
        <v>100</v>
      </c>
      <c r="D271" s="5">
        <v>3300</v>
      </c>
      <c r="E271" s="5" t="str">
        <f t="shared" si="17"/>
        <v>Medium</v>
      </c>
      <c r="F271" s="5">
        <f t="shared" si="18"/>
        <v>990</v>
      </c>
      <c r="G271" s="6">
        <v>37841</v>
      </c>
      <c r="H271" s="5" t="s">
        <v>25</v>
      </c>
      <c r="I271" s="5" t="str">
        <f t="shared" si="16"/>
        <v>Yes</v>
      </c>
      <c r="J271" s="5" t="s">
        <v>684</v>
      </c>
      <c r="K271" s="5">
        <v>2003</v>
      </c>
      <c r="L271" s="5" t="str">
        <f t="shared" si="19"/>
        <v>Aug-2003</v>
      </c>
      <c r="M271" s="5" t="s">
        <v>181</v>
      </c>
      <c r="N271" s="5" t="s">
        <v>272</v>
      </c>
      <c r="O271" s="5" t="s">
        <v>32</v>
      </c>
      <c r="P271" s="5" t="s">
        <v>33</v>
      </c>
      <c r="Q271" s="5" t="s">
        <v>51</v>
      </c>
    </row>
    <row r="272" spans="1:17" x14ac:dyDescent="0.25">
      <c r="A272" s="3">
        <v>10153</v>
      </c>
      <c r="B272" s="3">
        <v>42</v>
      </c>
      <c r="C272" s="3">
        <v>100</v>
      </c>
      <c r="D272" s="3">
        <v>4200</v>
      </c>
      <c r="E272" s="3" t="str">
        <f t="shared" si="17"/>
        <v>Medium</v>
      </c>
      <c r="F272" s="3">
        <f t="shared" si="18"/>
        <v>1260</v>
      </c>
      <c r="G272" s="4">
        <v>37892</v>
      </c>
      <c r="H272" s="3" t="s">
        <v>25</v>
      </c>
      <c r="I272" s="3" t="str">
        <f t="shared" si="16"/>
        <v>Yes</v>
      </c>
      <c r="J272" s="3" t="s">
        <v>690</v>
      </c>
      <c r="K272" s="3">
        <v>2003</v>
      </c>
      <c r="L272" s="3" t="str">
        <f t="shared" si="19"/>
        <v>Sep-2003</v>
      </c>
      <c r="M272" s="3" t="s">
        <v>181</v>
      </c>
      <c r="N272" s="3" t="s">
        <v>174</v>
      </c>
      <c r="O272" s="3" t="s">
        <v>178</v>
      </c>
      <c r="P272" s="3" t="s">
        <v>42</v>
      </c>
      <c r="Q272" s="3" t="s">
        <v>51</v>
      </c>
    </row>
    <row r="273" spans="1:17" x14ac:dyDescent="0.25">
      <c r="A273" s="5">
        <v>10165</v>
      </c>
      <c r="B273" s="5">
        <v>34</v>
      </c>
      <c r="C273" s="5">
        <v>100</v>
      </c>
      <c r="D273" s="5">
        <v>3400</v>
      </c>
      <c r="E273" s="5" t="str">
        <f t="shared" si="17"/>
        <v>Medium</v>
      </c>
      <c r="F273" s="5">
        <f t="shared" si="18"/>
        <v>1020</v>
      </c>
      <c r="G273" s="6">
        <v>37916</v>
      </c>
      <c r="H273" s="5" t="s">
        <v>25</v>
      </c>
      <c r="I273" s="5" t="str">
        <f t="shared" si="16"/>
        <v>Yes</v>
      </c>
      <c r="J273" s="5" t="s">
        <v>685</v>
      </c>
      <c r="K273" s="5">
        <v>2003</v>
      </c>
      <c r="L273" s="5" t="str">
        <f t="shared" si="19"/>
        <v>Oct-2003</v>
      </c>
      <c r="M273" s="5" t="s">
        <v>181</v>
      </c>
      <c r="N273" s="5" t="s">
        <v>196</v>
      </c>
      <c r="O273" s="5" t="s">
        <v>199</v>
      </c>
      <c r="P273" s="5" t="s">
        <v>675</v>
      </c>
      <c r="Q273" s="5" t="s">
        <v>51</v>
      </c>
    </row>
    <row r="274" spans="1:17" x14ac:dyDescent="0.25">
      <c r="A274" s="3">
        <v>10176</v>
      </c>
      <c r="B274" s="3">
        <v>47</v>
      </c>
      <c r="C274" s="3">
        <v>100</v>
      </c>
      <c r="D274" s="3">
        <v>4700</v>
      </c>
      <c r="E274" s="3" t="str">
        <f t="shared" si="17"/>
        <v>Medium</v>
      </c>
      <c r="F274" s="3">
        <f t="shared" si="18"/>
        <v>1410</v>
      </c>
      <c r="G274" s="4">
        <v>37931</v>
      </c>
      <c r="H274" s="3" t="s">
        <v>25</v>
      </c>
      <c r="I274" s="3" t="str">
        <f t="shared" si="16"/>
        <v>Yes</v>
      </c>
      <c r="J274" s="3" t="s">
        <v>686</v>
      </c>
      <c r="K274" s="3">
        <v>2003</v>
      </c>
      <c r="L274" s="3" t="str">
        <f t="shared" si="19"/>
        <v>Nov-2003</v>
      </c>
      <c r="M274" s="3" t="s">
        <v>181</v>
      </c>
      <c r="N274" s="3" t="s">
        <v>452</v>
      </c>
      <c r="O274" s="3" t="s">
        <v>258</v>
      </c>
      <c r="P274" s="3" t="s">
        <v>42</v>
      </c>
      <c r="Q274" s="3" t="s">
        <v>151</v>
      </c>
    </row>
    <row r="275" spans="1:17" x14ac:dyDescent="0.25">
      <c r="A275" s="5">
        <v>10185</v>
      </c>
      <c r="B275" s="5">
        <v>33</v>
      </c>
      <c r="C275" s="5">
        <v>100</v>
      </c>
      <c r="D275" s="5">
        <v>3300</v>
      </c>
      <c r="E275" s="5" t="str">
        <f t="shared" si="17"/>
        <v>Medium</v>
      </c>
      <c r="F275" s="5">
        <f t="shared" si="18"/>
        <v>990</v>
      </c>
      <c r="G275" s="6">
        <v>37939</v>
      </c>
      <c r="H275" s="5" t="s">
        <v>25</v>
      </c>
      <c r="I275" s="5" t="str">
        <f t="shared" si="16"/>
        <v>Yes</v>
      </c>
      <c r="J275" s="5" t="s">
        <v>686</v>
      </c>
      <c r="K275" s="5">
        <v>2003</v>
      </c>
      <c r="L275" s="5" t="str">
        <f t="shared" si="19"/>
        <v>Nov-2003</v>
      </c>
      <c r="M275" s="5" t="s">
        <v>181</v>
      </c>
      <c r="N275" s="5" t="s">
        <v>335</v>
      </c>
      <c r="O275" s="5" t="s">
        <v>32</v>
      </c>
      <c r="P275" s="5" t="s">
        <v>33</v>
      </c>
      <c r="Q275" s="5" t="s">
        <v>51</v>
      </c>
    </row>
    <row r="276" spans="1:17" x14ac:dyDescent="0.25">
      <c r="A276" s="3">
        <v>10196</v>
      </c>
      <c r="B276" s="3">
        <v>24</v>
      </c>
      <c r="C276" s="3">
        <v>100</v>
      </c>
      <c r="D276" s="3">
        <v>2400</v>
      </c>
      <c r="E276" s="3" t="str">
        <f t="shared" si="17"/>
        <v>Medium</v>
      </c>
      <c r="F276" s="3">
        <f t="shared" si="18"/>
        <v>720</v>
      </c>
      <c r="G276" s="4">
        <v>37951</v>
      </c>
      <c r="H276" s="3" t="s">
        <v>25</v>
      </c>
      <c r="I276" s="3" t="str">
        <f t="shared" si="16"/>
        <v>Yes</v>
      </c>
      <c r="J276" s="3" t="s">
        <v>686</v>
      </c>
      <c r="K276" s="3">
        <v>2003</v>
      </c>
      <c r="L276" s="3" t="str">
        <f t="shared" si="19"/>
        <v>Nov-2003</v>
      </c>
      <c r="M276" s="3" t="s">
        <v>181</v>
      </c>
      <c r="N276" s="3" t="s">
        <v>242</v>
      </c>
      <c r="O276" s="3" t="s">
        <v>32</v>
      </c>
      <c r="P276" s="3" t="s">
        <v>33</v>
      </c>
      <c r="Q276" s="3" t="s">
        <v>51</v>
      </c>
    </row>
    <row r="277" spans="1:17" x14ac:dyDescent="0.25">
      <c r="A277" s="5">
        <v>10208</v>
      </c>
      <c r="B277" s="5">
        <v>26</v>
      </c>
      <c r="C277" s="5">
        <v>100</v>
      </c>
      <c r="D277" s="5">
        <v>2600</v>
      </c>
      <c r="E277" s="5" t="str">
        <f t="shared" si="17"/>
        <v>Medium</v>
      </c>
      <c r="F277" s="5">
        <f t="shared" si="18"/>
        <v>780</v>
      </c>
      <c r="G277" s="6">
        <v>37988</v>
      </c>
      <c r="H277" s="5" t="s">
        <v>25</v>
      </c>
      <c r="I277" s="5" t="str">
        <f t="shared" si="16"/>
        <v>Yes</v>
      </c>
      <c r="J277" s="5" t="s">
        <v>549</v>
      </c>
      <c r="K277" s="5">
        <v>2004</v>
      </c>
      <c r="L277" s="5" t="str">
        <f t="shared" si="19"/>
        <v>Jan-2004</v>
      </c>
      <c r="M277" s="5" t="s">
        <v>181</v>
      </c>
      <c r="N277" s="5" t="s">
        <v>219</v>
      </c>
      <c r="O277" s="5" t="s">
        <v>41</v>
      </c>
      <c r="P277" s="5" t="s">
        <v>42</v>
      </c>
      <c r="Q277" s="5" t="s">
        <v>51</v>
      </c>
    </row>
    <row r="278" spans="1:17" x14ac:dyDescent="0.25">
      <c r="A278" s="3">
        <v>10220</v>
      </c>
      <c r="B278" s="3">
        <v>30</v>
      </c>
      <c r="C278" s="3">
        <v>100</v>
      </c>
      <c r="D278" s="3">
        <v>3000</v>
      </c>
      <c r="E278" s="3" t="str">
        <f t="shared" si="17"/>
        <v>Medium</v>
      </c>
      <c r="F278" s="3">
        <f t="shared" si="18"/>
        <v>900</v>
      </c>
      <c r="G278" s="4">
        <v>38029</v>
      </c>
      <c r="H278" s="3" t="s">
        <v>25</v>
      </c>
      <c r="I278" s="3" t="str">
        <f t="shared" si="16"/>
        <v>Yes</v>
      </c>
      <c r="J278" s="3" t="s">
        <v>681</v>
      </c>
      <c r="K278" s="3">
        <v>2004</v>
      </c>
      <c r="L278" s="3" t="str">
        <f t="shared" si="19"/>
        <v>Feb-2004</v>
      </c>
      <c r="M278" s="3" t="s">
        <v>181</v>
      </c>
      <c r="N278" s="3" t="s">
        <v>479</v>
      </c>
      <c r="O278" s="3" t="s">
        <v>484</v>
      </c>
      <c r="P278" s="3" t="s">
        <v>42</v>
      </c>
      <c r="Q278" s="3" t="s">
        <v>51</v>
      </c>
    </row>
    <row r="279" spans="1:17" x14ac:dyDescent="0.25">
      <c r="A279" s="5">
        <v>10230</v>
      </c>
      <c r="B279" s="5">
        <v>43</v>
      </c>
      <c r="C279" s="5">
        <v>100</v>
      </c>
      <c r="D279" s="5">
        <v>4300</v>
      </c>
      <c r="E279" s="5" t="str">
        <f t="shared" si="17"/>
        <v>Medium</v>
      </c>
      <c r="F279" s="5">
        <f t="shared" si="18"/>
        <v>1290</v>
      </c>
      <c r="G279" s="6">
        <v>38061</v>
      </c>
      <c r="H279" s="5" t="s">
        <v>25</v>
      </c>
      <c r="I279" s="5" t="str">
        <f t="shared" si="16"/>
        <v>Yes</v>
      </c>
      <c r="J279" s="5" t="s">
        <v>691</v>
      </c>
      <c r="K279" s="5">
        <v>2004</v>
      </c>
      <c r="L279" s="5" t="str">
        <f t="shared" si="19"/>
        <v>Mar-2004</v>
      </c>
      <c r="M279" s="5" t="s">
        <v>181</v>
      </c>
      <c r="N279" s="5" t="s">
        <v>462</v>
      </c>
      <c r="O279" s="5" t="s">
        <v>443</v>
      </c>
      <c r="P279" s="5" t="s">
        <v>42</v>
      </c>
      <c r="Q279" s="5" t="s">
        <v>151</v>
      </c>
    </row>
    <row r="280" spans="1:17" x14ac:dyDescent="0.25">
      <c r="A280" s="3">
        <v>10247</v>
      </c>
      <c r="B280" s="3">
        <v>25</v>
      </c>
      <c r="C280" s="3">
        <v>100</v>
      </c>
      <c r="D280" s="3">
        <v>2500</v>
      </c>
      <c r="E280" s="3" t="str">
        <f t="shared" si="17"/>
        <v>Medium</v>
      </c>
      <c r="F280" s="3">
        <f t="shared" si="18"/>
        <v>750</v>
      </c>
      <c r="G280" s="4">
        <v>38112</v>
      </c>
      <c r="H280" s="3" t="s">
        <v>25</v>
      </c>
      <c r="I280" s="3" t="str">
        <f t="shared" si="16"/>
        <v>Yes</v>
      </c>
      <c r="J280" s="3" t="s">
        <v>682</v>
      </c>
      <c r="K280" s="3">
        <v>2004</v>
      </c>
      <c r="L280" s="3" t="str">
        <f t="shared" si="19"/>
        <v>May-2004</v>
      </c>
      <c r="M280" s="3" t="s">
        <v>181</v>
      </c>
      <c r="N280" s="3" t="s">
        <v>467</v>
      </c>
      <c r="O280" s="3" t="s">
        <v>130</v>
      </c>
      <c r="P280" s="3" t="s">
        <v>42</v>
      </c>
      <c r="Q280" s="3" t="s">
        <v>51</v>
      </c>
    </row>
    <row r="281" spans="1:17" x14ac:dyDescent="0.25">
      <c r="A281" s="5">
        <v>10272</v>
      </c>
      <c r="B281" s="5">
        <v>27</v>
      </c>
      <c r="C281" s="5">
        <v>100</v>
      </c>
      <c r="D281" s="5">
        <v>2700</v>
      </c>
      <c r="E281" s="5" t="str">
        <f t="shared" si="17"/>
        <v>Medium</v>
      </c>
      <c r="F281" s="5">
        <f t="shared" si="18"/>
        <v>810</v>
      </c>
      <c r="G281" s="6">
        <v>38188</v>
      </c>
      <c r="H281" s="5" t="s">
        <v>25</v>
      </c>
      <c r="I281" s="5" t="str">
        <f t="shared" si="16"/>
        <v>Yes</v>
      </c>
      <c r="J281" s="5" t="s">
        <v>683</v>
      </c>
      <c r="K281" s="5">
        <v>2004</v>
      </c>
      <c r="L281" s="5" t="str">
        <f t="shared" si="19"/>
        <v>Jul-2004</v>
      </c>
      <c r="M281" s="5" t="s">
        <v>181</v>
      </c>
      <c r="N281" s="5" t="s">
        <v>139</v>
      </c>
      <c r="O281" s="5" t="s">
        <v>32</v>
      </c>
      <c r="P281" s="5" t="s">
        <v>33</v>
      </c>
      <c r="Q281" s="5" t="s">
        <v>51</v>
      </c>
    </row>
    <row r="282" spans="1:17" x14ac:dyDescent="0.25">
      <c r="A282" s="3">
        <v>10282</v>
      </c>
      <c r="B282" s="3">
        <v>27</v>
      </c>
      <c r="C282" s="3">
        <v>100</v>
      </c>
      <c r="D282" s="3">
        <v>2700</v>
      </c>
      <c r="E282" s="3" t="str">
        <f t="shared" si="17"/>
        <v>Medium</v>
      </c>
      <c r="F282" s="3">
        <f t="shared" si="18"/>
        <v>810</v>
      </c>
      <c r="G282" s="4">
        <v>38219</v>
      </c>
      <c r="H282" s="3" t="s">
        <v>25</v>
      </c>
      <c r="I282" s="3" t="str">
        <f t="shared" si="16"/>
        <v>Yes</v>
      </c>
      <c r="J282" s="3" t="s">
        <v>684</v>
      </c>
      <c r="K282" s="3">
        <v>2004</v>
      </c>
      <c r="L282" s="3" t="str">
        <f t="shared" si="19"/>
        <v>Aug-2004</v>
      </c>
      <c r="M282" s="3" t="s">
        <v>181</v>
      </c>
      <c r="N282" s="3" t="s">
        <v>272</v>
      </c>
      <c r="O282" s="3" t="s">
        <v>32</v>
      </c>
      <c r="P282" s="3" t="s">
        <v>33</v>
      </c>
      <c r="Q282" s="3" t="s">
        <v>51</v>
      </c>
    </row>
    <row r="283" spans="1:17" x14ac:dyDescent="0.25">
      <c r="A283" s="5">
        <v>10293</v>
      </c>
      <c r="B283" s="5">
        <v>24</v>
      </c>
      <c r="C283" s="5">
        <v>100</v>
      </c>
      <c r="D283" s="5">
        <v>2400</v>
      </c>
      <c r="E283" s="5" t="str">
        <f t="shared" si="17"/>
        <v>Medium</v>
      </c>
      <c r="F283" s="5">
        <f t="shared" si="18"/>
        <v>720</v>
      </c>
      <c r="G283" s="6">
        <v>38239</v>
      </c>
      <c r="H283" s="5" t="s">
        <v>25</v>
      </c>
      <c r="I283" s="5" t="str">
        <f t="shared" si="16"/>
        <v>Yes</v>
      </c>
      <c r="J283" s="5" t="s">
        <v>690</v>
      </c>
      <c r="K283" s="5">
        <v>2004</v>
      </c>
      <c r="L283" s="5" t="str">
        <f t="shared" si="19"/>
        <v>Sep-2004</v>
      </c>
      <c r="M283" s="5" t="s">
        <v>181</v>
      </c>
      <c r="N283" s="5" t="s">
        <v>254</v>
      </c>
      <c r="O283" s="5" t="s">
        <v>258</v>
      </c>
      <c r="P283" s="5" t="s">
        <v>42</v>
      </c>
      <c r="Q283" s="5" t="s">
        <v>51</v>
      </c>
    </row>
    <row r="284" spans="1:17" x14ac:dyDescent="0.25">
      <c r="A284" s="3">
        <v>10306</v>
      </c>
      <c r="B284" s="3">
        <v>34</v>
      </c>
      <c r="C284" s="3">
        <v>100</v>
      </c>
      <c r="D284" s="3">
        <v>3400</v>
      </c>
      <c r="E284" s="3" t="str">
        <f t="shared" si="17"/>
        <v>Medium</v>
      </c>
      <c r="F284" s="3">
        <f t="shared" si="18"/>
        <v>1020</v>
      </c>
      <c r="G284" s="4">
        <v>38274</v>
      </c>
      <c r="H284" s="3" t="s">
        <v>25</v>
      </c>
      <c r="I284" s="3" t="str">
        <f t="shared" si="16"/>
        <v>Yes</v>
      </c>
      <c r="J284" s="3" t="s">
        <v>685</v>
      </c>
      <c r="K284" s="3">
        <v>2004</v>
      </c>
      <c r="L284" s="3" t="str">
        <f t="shared" si="19"/>
        <v>Oct-2004</v>
      </c>
      <c r="M284" s="3" t="s">
        <v>181</v>
      </c>
      <c r="N284" s="3" t="s">
        <v>492</v>
      </c>
      <c r="O284" s="3" t="s">
        <v>170</v>
      </c>
      <c r="P284" s="3" t="s">
        <v>42</v>
      </c>
      <c r="Q284" s="3" t="s">
        <v>51</v>
      </c>
    </row>
    <row r="285" spans="1:17" x14ac:dyDescent="0.25">
      <c r="A285" s="5">
        <v>10314</v>
      </c>
      <c r="B285" s="5">
        <v>46</v>
      </c>
      <c r="C285" s="5">
        <v>100</v>
      </c>
      <c r="D285" s="5">
        <v>4600</v>
      </c>
      <c r="E285" s="5" t="str">
        <f t="shared" si="17"/>
        <v>Medium</v>
      </c>
      <c r="F285" s="5">
        <f t="shared" si="18"/>
        <v>1380</v>
      </c>
      <c r="G285" s="6">
        <v>38282</v>
      </c>
      <c r="H285" s="5" t="s">
        <v>25</v>
      </c>
      <c r="I285" s="5" t="str">
        <f t="shared" si="16"/>
        <v>Yes</v>
      </c>
      <c r="J285" s="5" t="s">
        <v>685</v>
      </c>
      <c r="K285" s="5">
        <v>2004</v>
      </c>
      <c r="L285" s="5" t="str">
        <f t="shared" si="19"/>
        <v>Oct-2004</v>
      </c>
      <c r="M285" s="5" t="s">
        <v>181</v>
      </c>
      <c r="N285" s="5" t="s">
        <v>498</v>
      </c>
      <c r="O285" s="5" t="s">
        <v>326</v>
      </c>
      <c r="P285" s="5" t="s">
        <v>42</v>
      </c>
      <c r="Q285" s="5" t="s">
        <v>51</v>
      </c>
    </row>
    <row r="286" spans="1:17" x14ac:dyDescent="0.25">
      <c r="A286" s="3">
        <v>10324</v>
      </c>
      <c r="B286" s="3">
        <v>27</v>
      </c>
      <c r="C286" s="3">
        <v>54.33</v>
      </c>
      <c r="D286" s="3">
        <v>1466.9099999999999</v>
      </c>
      <c r="E286" s="3" t="str">
        <f t="shared" si="17"/>
        <v>Low</v>
      </c>
      <c r="F286" s="3">
        <f t="shared" si="18"/>
        <v>440.07299999999992</v>
      </c>
      <c r="G286" s="4">
        <v>38296</v>
      </c>
      <c r="H286" s="3" t="s">
        <v>25</v>
      </c>
      <c r="I286" s="3" t="str">
        <f t="shared" si="16"/>
        <v>Yes</v>
      </c>
      <c r="J286" s="3" t="s">
        <v>686</v>
      </c>
      <c r="K286" s="3">
        <v>2004</v>
      </c>
      <c r="L286" s="3" t="str">
        <f t="shared" si="19"/>
        <v>Nov-2004</v>
      </c>
      <c r="M286" s="3" t="s">
        <v>181</v>
      </c>
      <c r="N286" s="3" t="s">
        <v>99</v>
      </c>
      <c r="O286" s="3" t="s">
        <v>32</v>
      </c>
      <c r="P286" s="3" t="s">
        <v>33</v>
      </c>
      <c r="Q286" s="3" t="s">
        <v>36</v>
      </c>
    </row>
    <row r="287" spans="1:17" x14ac:dyDescent="0.25">
      <c r="A287" s="5">
        <v>10336</v>
      </c>
      <c r="B287" s="5">
        <v>33</v>
      </c>
      <c r="C287" s="5">
        <v>100</v>
      </c>
      <c r="D287" s="5">
        <v>3300</v>
      </c>
      <c r="E287" s="5" t="str">
        <f t="shared" si="17"/>
        <v>Medium</v>
      </c>
      <c r="F287" s="5">
        <f t="shared" si="18"/>
        <v>990</v>
      </c>
      <c r="G287" s="6">
        <v>38311</v>
      </c>
      <c r="H287" s="5" t="s">
        <v>25</v>
      </c>
      <c r="I287" s="5" t="str">
        <f t="shared" si="16"/>
        <v>Yes</v>
      </c>
      <c r="J287" s="5" t="s">
        <v>686</v>
      </c>
      <c r="K287" s="5">
        <v>2004</v>
      </c>
      <c r="L287" s="5" t="str">
        <f t="shared" si="19"/>
        <v>Nov-2004</v>
      </c>
      <c r="M287" s="5" t="s">
        <v>181</v>
      </c>
      <c r="N287" s="5" t="s">
        <v>403</v>
      </c>
      <c r="O287" s="5" t="s">
        <v>41</v>
      </c>
      <c r="P287" s="5" t="s">
        <v>42</v>
      </c>
      <c r="Q287" s="5" t="s">
        <v>51</v>
      </c>
    </row>
    <row r="288" spans="1:17" x14ac:dyDescent="0.25">
      <c r="A288" s="3">
        <v>10348</v>
      </c>
      <c r="B288" s="3">
        <v>47</v>
      </c>
      <c r="C288" s="3">
        <v>100</v>
      </c>
      <c r="D288" s="3">
        <v>4700</v>
      </c>
      <c r="E288" s="3" t="str">
        <f t="shared" si="17"/>
        <v>Medium</v>
      </c>
      <c r="F288" s="3">
        <f t="shared" si="18"/>
        <v>1410</v>
      </c>
      <c r="G288" s="4">
        <v>38292</v>
      </c>
      <c r="H288" s="3" t="s">
        <v>25</v>
      </c>
      <c r="I288" s="3" t="str">
        <f t="shared" si="16"/>
        <v>Yes</v>
      </c>
      <c r="J288" s="3" t="s">
        <v>686</v>
      </c>
      <c r="K288" s="3">
        <v>2004</v>
      </c>
      <c r="L288" s="3" t="str">
        <f t="shared" si="19"/>
        <v>Nov-2004</v>
      </c>
      <c r="M288" s="3" t="s">
        <v>181</v>
      </c>
      <c r="N288" s="3" t="s">
        <v>191</v>
      </c>
      <c r="O288" s="3" t="s">
        <v>178</v>
      </c>
      <c r="P288" s="3" t="s">
        <v>42</v>
      </c>
      <c r="Q288" s="3" t="s">
        <v>51</v>
      </c>
    </row>
    <row r="289" spans="1:17" x14ac:dyDescent="0.25">
      <c r="A289" s="5">
        <v>10358</v>
      </c>
      <c r="B289" s="5">
        <v>49</v>
      </c>
      <c r="C289" s="5">
        <v>55.34</v>
      </c>
      <c r="D289" s="5">
        <v>2711.6600000000003</v>
      </c>
      <c r="E289" s="5" t="str">
        <f t="shared" si="17"/>
        <v>Medium</v>
      </c>
      <c r="F289" s="5">
        <f t="shared" si="18"/>
        <v>813.49800000000005</v>
      </c>
      <c r="G289" s="6">
        <v>38331</v>
      </c>
      <c r="H289" s="5" t="s">
        <v>25</v>
      </c>
      <c r="I289" s="5" t="str">
        <f t="shared" si="16"/>
        <v>Yes</v>
      </c>
      <c r="J289" s="5" t="s">
        <v>687</v>
      </c>
      <c r="K289" s="5">
        <v>2004</v>
      </c>
      <c r="L289" s="5" t="str">
        <f t="shared" si="19"/>
        <v>Dec-2004</v>
      </c>
      <c r="M289" s="5" t="s">
        <v>181</v>
      </c>
      <c r="N289" s="5" t="s">
        <v>174</v>
      </c>
      <c r="O289" s="5" t="s">
        <v>178</v>
      </c>
      <c r="P289" s="5" t="s">
        <v>42</v>
      </c>
      <c r="Q289" s="5" t="s">
        <v>36</v>
      </c>
    </row>
    <row r="290" spans="1:17" x14ac:dyDescent="0.25">
      <c r="A290" s="3">
        <v>10372</v>
      </c>
      <c r="B290" s="3">
        <v>40</v>
      </c>
      <c r="C290" s="3">
        <v>100</v>
      </c>
      <c r="D290" s="3">
        <v>4000</v>
      </c>
      <c r="E290" s="3" t="str">
        <f t="shared" si="17"/>
        <v>Medium</v>
      </c>
      <c r="F290" s="3">
        <f t="shared" si="18"/>
        <v>1200</v>
      </c>
      <c r="G290" s="4">
        <v>38378</v>
      </c>
      <c r="H290" s="3" t="s">
        <v>25</v>
      </c>
      <c r="I290" s="3" t="str">
        <f t="shared" si="16"/>
        <v>Yes</v>
      </c>
      <c r="J290" s="3" t="s">
        <v>549</v>
      </c>
      <c r="K290" s="3">
        <v>2005</v>
      </c>
      <c r="L290" s="3" t="str">
        <f t="shared" si="19"/>
        <v>Jan-2005</v>
      </c>
      <c r="M290" s="3" t="s">
        <v>181</v>
      </c>
      <c r="N290" s="3" t="s">
        <v>246</v>
      </c>
      <c r="O290" s="3" t="s">
        <v>200</v>
      </c>
      <c r="P290" s="3" t="s">
        <v>675</v>
      </c>
      <c r="Q290" s="3" t="s">
        <v>51</v>
      </c>
    </row>
    <row r="291" spans="1:17" x14ac:dyDescent="0.25">
      <c r="A291" s="5">
        <v>10382</v>
      </c>
      <c r="B291" s="5">
        <v>37</v>
      </c>
      <c r="C291" s="5">
        <v>100</v>
      </c>
      <c r="D291" s="5">
        <v>3700</v>
      </c>
      <c r="E291" s="5" t="str">
        <f t="shared" si="17"/>
        <v>Medium</v>
      </c>
      <c r="F291" s="5">
        <f t="shared" si="18"/>
        <v>1110</v>
      </c>
      <c r="G291" s="6">
        <v>38400</v>
      </c>
      <c r="H291" s="5" t="s">
        <v>25</v>
      </c>
      <c r="I291" s="5" t="str">
        <f t="shared" si="16"/>
        <v>Yes</v>
      </c>
      <c r="J291" s="5" t="s">
        <v>681</v>
      </c>
      <c r="K291" s="5">
        <v>2005</v>
      </c>
      <c r="L291" s="5" t="str">
        <f t="shared" si="19"/>
        <v>Feb-2005</v>
      </c>
      <c r="M291" s="5" t="s">
        <v>181</v>
      </c>
      <c r="N291" s="5" t="s">
        <v>272</v>
      </c>
      <c r="O291" s="5" t="s">
        <v>32</v>
      </c>
      <c r="P291" s="5" t="s">
        <v>33</v>
      </c>
      <c r="Q291" s="5" t="s">
        <v>51</v>
      </c>
    </row>
    <row r="292" spans="1:17" x14ac:dyDescent="0.25">
      <c r="A292" s="3">
        <v>10413</v>
      </c>
      <c r="B292" s="3">
        <v>47</v>
      </c>
      <c r="C292" s="3">
        <v>100</v>
      </c>
      <c r="D292" s="3">
        <v>4700</v>
      </c>
      <c r="E292" s="3" t="str">
        <f t="shared" si="17"/>
        <v>Medium</v>
      </c>
      <c r="F292" s="3">
        <f t="shared" si="18"/>
        <v>1410</v>
      </c>
      <c r="G292" s="4">
        <v>38477</v>
      </c>
      <c r="H292" s="3" t="s">
        <v>25</v>
      </c>
      <c r="I292" s="3" t="str">
        <f t="shared" si="16"/>
        <v>Yes</v>
      </c>
      <c r="J292" s="3" t="s">
        <v>682</v>
      </c>
      <c r="K292" s="3">
        <v>2005</v>
      </c>
      <c r="L292" s="3" t="str">
        <f t="shared" si="19"/>
        <v>May-2005</v>
      </c>
      <c r="M292" s="3" t="s">
        <v>181</v>
      </c>
      <c r="N292" s="3" t="s">
        <v>109</v>
      </c>
      <c r="O292" s="3" t="s">
        <v>32</v>
      </c>
      <c r="P292" s="3" t="s">
        <v>33</v>
      </c>
      <c r="Q292" s="3" t="s">
        <v>151</v>
      </c>
    </row>
    <row r="293" spans="1:17" x14ac:dyDescent="0.25">
      <c r="A293" s="5">
        <v>10108</v>
      </c>
      <c r="B293" s="5">
        <v>45</v>
      </c>
      <c r="C293" s="5">
        <v>100</v>
      </c>
      <c r="D293" s="5">
        <v>4500</v>
      </c>
      <c r="E293" s="5" t="str">
        <f t="shared" si="17"/>
        <v>Medium</v>
      </c>
      <c r="F293" s="5">
        <f t="shared" si="18"/>
        <v>1350</v>
      </c>
      <c r="G293" s="6">
        <v>37683</v>
      </c>
      <c r="H293" s="5" t="s">
        <v>25</v>
      </c>
      <c r="I293" s="5" t="str">
        <f t="shared" si="16"/>
        <v>Yes</v>
      </c>
      <c r="J293" s="5" t="s">
        <v>691</v>
      </c>
      <c r="K293" s="5">
        <v>2003</v>
      </c>
      <c r="L293" s="5" t="str">
        <f t="shared" si="19"/>
        <v>Mar-2003</v>
      </c>
      <c r="M293" s="5" t="s">
        <v>181</v>
      </c>
      <c r="N293" s="5" t="s">
        <v>425</v>
      </c>
      <c r="O293" s="5" t="s">
        <v>430</v>
      </c>
      <c r="P293" s="5" t="s">
        <v>675</v>
      </c>
      <c r="Q293" s="5" t="s">
        <v>51</v>
      </c>
    </row>
    <row r="294" spans="1:17" x14ac:dyDescent="0.25">
      <c r="A294" s="3">
        <v>10122</v>
      </c>
      <c r="B294" s="3">
        <v>37</v>
      </c>
      <c r="C294" s="3">
        <v>99.82</v>
      </c>
      <c r="D294" s="3">
        <v>3693.3399999999997</v>
      </c>
      <c r="E294" s="3" t="str">
        <f t="shared" si="17"/>
        <v>Medium</v>
      </c>
      <c r="F294" s="3">
        <f t="shared" si="18"/>
        <v>1108.002</v>
      </c>
      <c r="G294" s="4">
        <v>37749</v>
      </c>
      <c r="H294" s="3" t="s">
        <v>25</v>
      </c>
      <c r="I294" s="3" t="str">
        <f t="shared" si="16"/>
        <v>Yes</v>
      </c>
      <c r="J294" s="3" t="s">
        <v>682</v>
      </c>
      <c r="K294" s="3">
        <v>2003</v>
      </c>
      <c r="L294" s="3" t="str">
        <f t="shared" si="19"/>
        <v>May-2003</v>
      </c>
      <c r="M294" s="3" t="s">
        <v>181</v>
      </c>
      <c r="N294" s="3" t="s">
        <v>433</v>
      </c>
      <c r="O294" s="3" t="s">
        <v>41</v>
      </c>
      <c r="P294" s="3" t="s">
        <v>42</v>
      </c>
      <c r="Q294" s="3" t="s">
        <v>51</v>
      </c>
    </row>
    <row r="295" spans="1:17" x14ac:dyDescent="0.25">
      <c r="A295" s="5">
        <v>10135</v>
      </c>
      <c r="B295" s="5">
        <v>48</v>
      </c>
      <c r="C295" s="5">
        <v>100</v>
      </c>
      <c r="D295" s="5">
        <v>4800</v>
      </c>
      <c r="E295" s="5" t="str">
        <f t="shared" si="17"/>
        <v>Medium</v>
      </c>
      <c r="F295" s="5">
        <f t="shared" si="18"/>
        <v>1440</v>
      </c>
      <c r="G295" s="6">
        <v>37804</v>
      </c>
      <c r="H295" s="5" t="s">
        <v>25</v>
      </c>
      <c r="I295" s="5" t="str">
        <f t="shared" si="16"/>
        <v>Yes</v>
      </c>
      <c r="J295" s="5" t="s">
        <v>683</v>
      </c>
      <c r="K295" s="5">
        <v>2003</v>
      </c>
      <c r="L295" s="5" t="str">
        <f t="shared" si="19"/>
        <v>Jul-2003</v>
      </c>
      <c r="M295" s="5" t="s">
        <v>181</v>
      </c>
      <c r="N295" s="5" t="s">
        <v>272</v>
      </c>
      <c r="O295" s="5" t="s">
        <v>32</v>
      </c>
      <c r="P295" s="5" t="s">
        <v>33</v>
      </c>
      <c r="Q295" s="5" t="s">
        <v>51</v>
      </c>
    </row>
    <row r="296" spans="1:17" x14ac:dyDescent="0.25">
      <c r="A296" s="3">
        <v>10147</v>
      </c>
      <c r="B296" s="3">
        <v>31</v>
      </c>
      <c r="C296" s="3">
        <v>100</v>
      </c>
      <c r="D296" s="3">
        <v>3100</v>
      </c>
      <c r="E296" s="3" t="str">
        <f t="shared" si="17"/>
        <v>Medium</v>
      </c>
      <c r="F296" s="3">
        <f t="shared" si="18"/>
        <v>930</v>
      </c>
      <c r="G296" s="4">
        <v>37869</v>
      </c>
      <c r="H296" s="3" t="s">
        <v>25</v>
      </c>
      <c r="I296" s="3" t="str">
        <f t="shared" si="16"/>
        <v>Yes</v>
      </c>
      <c r="J296" s="3" t="s">
        <v>690</v>
      </c>
      <c r="K296" s="3">
        <v>2003</v>
      </c>
      <c r="L296" s="3" t="str">
        <f t="shared" si="19"/>
        <v>Sep-2003</v>
      </c>
      <c r="M296" s="3" t="s">
        <v>181</v>
      </c>
      <c r="N296" s="3" t="s">
        <v>281</v>
      </c>
      <c r="O296" s="3" t="s">
        <v>32</v>
      </c>
      <c r="P296" s="3" t="s">
        <v>33</v>
      </c>
      <c r="Q296" s="3" t="s">
        <v>51</v>
      </c>
    </row>
    <row r="297" spans="1:17" x14ac:dyDescent="0.25">
      <c r="A297" s="5">
        <v>10160</v>
      </c>
      <c r="B297" s="5">
        <v>46</v>
      </c>
      <c r="C297" s="5">
        <v>100</v>
      </c>
      <c r="D297" s="5">
        <v>4600</v>
      </c>
      <c r="E297" s="5" t="str">
        <f t="shared" si="17"/>
        <v>Medium</v>
      </c>
      <c r="F297" s="5">
        <f t="shared" si="18"/>
        <v>1380</v>
      </c>
      <c r="G297" s="6">
        <v>37905</v>
      </c>
      <c r="H297" s="5" t="s">
        <v>25</v>
      </c>
      <c r="I297" s="5" t="str">
        <f t="shared" si="16"/>
        <v>Yes</v>
      </c>
      <c r="J297" s="5" t="s">
        <v>685</v>
      </c>
      <c r="K297" s="5">
        <v>2003</v>
      </c>
      <c r="L297" s="5" t="str">
        <f t="shared" si="19"/>
        <v>Oct-2003</v>
      </c>
      <c r="M297" s="5" t="s">
        <v>181</v>
      </c>
      <c r="N297" s="5" t="s">
        <v>358</v>
      </c>
      <c r="O297" s="5" t="s">
        <v>32</v>
      </c>
      <c r="P297" s="5" t="s">
        <v>33</v>
      </c>
      <c r="Q297" s="5" t="s">
        <v>51</v>
      </c>
    </row>
    <row r="298" spans="1:17" x14ac:dyDescent="0.25">
      <c r="A298" s="3">
        <v>10170</v>
      </c>
      <c r="B298" s="3">
        <v>47</v>
      </c>
      <c r="C298" s="3">
        <v>100</v>
      </c>
      <c r="D298" s="3">
        <v>4700</v>
      </c>
      <c r="E298" s="3" t="str">
        <f t="shared" si="17"/>
        <v>Medium</v>
      </c>
      <c r="F298" s="3">
        <f t="shared" si="18"/>
        <v>1410</v>
      </c>
      <c r="G298" s="4">
        <v>37929</v>
      </c>
      <c r="H298" s="3" t="s">
        <v>25</v>
      </c>
      <c r="I298" s="3" t="str">
        <f t="shared" si="16"/>
        <v>Yes</v>
      </c>
      <c r="J298" s="3" t="s">
        <v>686</v>
      </c>
      <c r="K298" s="3">
        <v>2003</v>
      </c>
      <c r="L298" s="3" t="str">
        <f t="shared" si="19"/>
        <v>Nov-2003</v>
      </c>
      <c r="M298" s="3" t="s">
        <v>181</v>
      </c>
      <c r="N298" s="3" t="s">
        <v>409</v>
      </c>
      <c r="O298" s="3" t="s">
        <v>148</v>
      </c>
      <c r="P298" s="3" t="s">
        <v>42</v>
      </c>
      <c r="Q298" s="3" t="s">
        <v>51</v>
      </c>
    </row>
    <row r="299" spans="1:17" x14ac:dyDescent="0.25">
      <c r="A299" s="5">
        <v>10181</v>
      </c>
      <c r="B299" s="5">
        <v>28</v>
      </c>
      <c r="C299" s="5">
        <v>100</v>
      </c>
      <c r="D299" s="5">
        <v>2800</v>
      </c>
      <c r="E299" s="5" t="str">
        <f t="shared" si="17"/>
        <v>Medium</v>
      </c>
      <c r="F299" s="5">
        <f t="shared" si="18"/>
        <v>840</v>
      </c>
      <c r="G299" s="6">
        <v>37937</v>
      </c>
      <c r="H299" s="5" t="s">
        <v>25</v>
      </c>
      <c r="I299" s="5" t="str">
        <f t="shared" si="16"/>
        <v>Yes</v>
      </c>
      <c r="J299" s="5" t="s">
        <v>686</v>
      </c>
      <c r="K299" s="5">
        <v>2003</v>
      </c>
      <c r="L299" s="5" t="str">
        <f t="shared" si="19"/>
        <v>Nov-2003</v>
      </c>
      <c r="M299" s="5" t="s">
        <v>181</v>
      </c>
      <c r="N299" s="5" t="s">
        <v>73</v>
      </c>
      <c r="O299" s="5" t="s">
        <v>78</v>
      </c>
      <c r="P299" s="5" t="s">
        <v>42</v>
      </c>
      <c r="Q299" s="5" t="s">
        <v>36</v>
      </c>
    </row>
    <row r="300" spans="1:17" x14ac:dyDescent="0.25">
      <c r="A300" s="3">
        <v>10191</v>
      </c>
      <c r="B300" s="3">
        <v>40</v>
      </c>
      <c r="C300" s="3">
        <v>100</v>
      </c>
      <c r="D300" s="3">
        <v>4000</v>
      </c>
      <c r="E300" s="3" t="str">
        <f t="shared" si="17"/>
        <v>Medium</v>
      </c>
      <c r="F300" s="3">
        <f t="shared" si="18"/>
        <v>1200</v>
      </c>
      <c r="G300" s="4">
        <v>37945</v>
      </c>
      <c r="H300" s="3" t="s">
        <v>25</v>
      </c>
      <c r="I300" s="3" t="str">
        <f t="shared" si="16"/>
        <v>Yes</v>
      </c>
      <c r="J300" s="3" t="s">
        <v>686</v>
      </c>
      <c r="K300" s="3">
        <v>2003</v>
      </c>
      <c r="L300" s="3" t="str">
        <f t="shared" si="19"/>
        <v>Nov-2003</v>
      </c>
      <c r="M300" s="3" t="s">
        <v>181</v>
      </c>
      <c r="N300" s="3" t="s">
        <v>439</v>
      </c>
      <c r="O300" s="3" t="s">
        <v>443</v>
      </c>
      <c r="P300" s="3" t="s">
        <v>42</v>
      </c>
      <c r="Q300" s="3" t="s">
        <v>51</v>
      </c>
    </row>
    <row r="301" spans="1:17" x14ac:dyDescent="0.25">
      <c r="A301" s="5">
        <v>10203</v>
      </c>
      <c r="B301" s="5">
        <v>20</v>
      </c>
      <c r="C301" s="5">
        <v>100</v>
      </c>
      <c r="D301" s="5">
        <v>2000</v>
      </c>
      <c r="E301" s="5" t="str">
        <f t="shared" si="17"/>
        <v>Medium</v>
      </c>
      <c r="F301" s="5">
        <f t="shared" si="18"/>
        <v>600</v>
      </c>
      <c r="G301" s="6">
        <v>37957</v>
      </c>
      <c r="H301" s="5" t="s">
        <v>25</v>
      </c>
      <c r="I301" s="5" t="str">
        <f t="shared" si="16"/>
        <v>Yes</v>
      </c>
      <c r="J301" s="5" t="s">
        <v>687</v>
      </c>
      <c r="K301" s="5">
        <v>2003</v>
      </c>
      <c r="L301" s="5" t="str">
        <f t="shared" si="19"/>
        <v>Dec-2003</v>
      </c>
      <c r="M301" s="5" t="s">
        <v>181</v>
      </c>
      <c r="N301" s="5" t="s">
        <v>174</v>
      </c>
      <c r="O301" s="5" t="s">
        <v>178</v>
      </c>
      <c r="P301" s="5" t="s">
        <v>42</v>
      </c>
      <c r="Q301" s="5" t="s">
        <v>36</v>
      </c>
    </row>
    <row r="302" spans="1:17" x14ac:dyDescent="0.25">
      <c r="A302" s="3">
        <v>10212</v>
      </c>
      <c r="B302" s="3">
        <v>39</v>
      </c>
      <c r="C302" s="3">
        <v>100</v>
      </c>
      <c r="D302" s="3">
        <v>3900</v>
      </c>
      <c r="E302" s="3" t="str">
        <f t="shared" si="17"/>
        <v>Medium</v>
      </c>
      <c r="F302" s="3">
        <f t="shared" si="18"/>
        <v>1170</v>
      </c>
      <c r="G302" s="4">
        <v>38002</v>
      </c>
      <c r="H302" s="3" t="s">
        <v>25</v>
      </c>
      <c r="I302" s="3" t="str">
        <f t="shared" si="16"/>
        <v>Yes</v>
      </c>
      <c r="J302" s="3" t="s">
        <v>549</v>
      </c>
      <c r="K302" s="3">
        <v>2004</v>
      </c>
      <c r="L302" s="3" t="str">
        <f t="shared" si="19"/>
        <v>Jan-2004</v>
      </c>
      <c r="M302" s="3" t="s">
        <v>181</v>
      </c>
      <c r="N302" s="3" t="s">
        <v>174</v>
      </c>
      <c r="O302" s="3" t="s">
        <v>178</v>
      </c>
      <c r="P302" s="3" t="s">
        <v>42</v>
      </c>
      <c r="Q302" s="3" t="s">
        <v>51</v>
      </c>
    </row>
    <row r="303" spans="1:17" x14ac:dyDescent="0.25">
      <c r="A303" s="5">
        <v>10225</v>
      </c>
      <c r="B303" s="5">
        <v>25</v>
      </c>
      <c r="C303" s="5">
        <v>99.82</v>
      </c>
      <c r="D303" s="5">
        <v>2495.5</v>
      </c>
      <c r="E303" s="5" t="str">
        <f t="shared" si="17"/>
        <v>Medium</v>
      </c>
      <c r="F303" s="5">
        <f t="shared" si="18"/>
        <v>748.65</v>
      </c>
      <c r="G303" s="6">
        <v>38039</v>
      </c>
      <c r="H303" s="5" t="s">
        <v>25</v>
      </c>
      <c r="I303" s="5" t="str">
        <f t="shared" si="16"/>
        <v>Yes</v>
      </c>
      <c r="J303" s="5" t="s">
        <v>681</v>
      </c>
      <c r="K303" s="5">
        <v>2004</v>
      </c>
      <c r="L303" s="5" t="str">
        <f t="shared" si="19"/>
        <v>Feb-2004</v>
      </c>
      <c r="M303" s="5" t="s">
        <v>181</v>
      </c>
      <c r="N303" s="5" t="s">
        <v>446</v>
      </c>
      <c r="O303" s="5" t="s">
        <v>450</v>
      </c>
      <c r="P303" s="5" t="s">
        <v>42</v>
      </c>
      <c r="Q303" s="5" t="s">
        <v>36</v>
      </c>
    </row>
    <row r="304" spans="1:17" x14ac:dyDescent="0.25">
      <c r="A304" s="3">
        <v>10238</v>
      </c>
      <c r="B304" s="3">
        <v>29</v>
      </c>
      <c r="C304" s="3">
        <v>100</v>
      </c>
      <c r="D304" s="3">
        <v>2900</v>
      </c>
      <c r="E304" s="3" t="str">
        <f t="shared" si="17"/>
        <v>Medium</v>
      </c>
      <c r="F304" s="3">
        <f t="shared" si="18"/>
        <v>870</v>
      </c>
      <c r="G304" s="4">
        <v>38086</v>
      </c>
      <c r="H304" s="3" t="s">
        <v>25</v>
      </c>
      <c r="I304" s="3" t="str">
        <f t="shared" si="16"/>
        <v>Yes</v>
      </c>
      <c r="J304" s="3" t="s">
        <v>688</v>
      </c>
      <c r="K304" s="3">
        <v>2004</v>
      </c>
      <c r="L304" s="3" t="str">
        <f t="shared" si="19"/>
        <v>Apr-2004</v>
      </c>
      <c r="M304" s="3" t="s">
        <v>181</v>
      </c>
      <c r="N304" s="3" t="s">
        <v>322</v>
      </c>
      <c r="O304" s="3" t="s">
        <v>326</v>
      </c>
      <c r="P304" s="3" t="s">
        <v>42</v>
      </c>
      <c r="Q304" s="3" t="s">
        <v>51</v>
      </c>
    </row>
    <row r="305" spans="1:17" x14ac:dyDescent="0.25">
      <c r="A305" s="5">
        <v>10253</v>
      </c>
      <c r="B305" s="5">
        <v>22</v>
      </c>
      <c r="C305" s="5">
        <v>100</v>
      </c>
      <c r="D305" s="5">
        <v>2200</v>
      </c>
      <c r="E305" s="5" t="str">
        <f t="shared" si="17"/>
        <v>Medium</v>
      </c>
      <c r="F305" s="5">
        <f t="shared" si="18"/>
        <v>660</v>
      </c>
      <c r="G305" s="6">
        <v>38139</v>
      </c>
      <c r="H305" s="5" t="s">
        <v>339</v>
      </c>
      <c r="I305" s="5" t="str">
        <f t="shared" si="16"/>
        <v>No</v>
      </c>
      <c r="J305" s="5" t="s">
        <v>689</v>
      </c>
      <c r="K305" s="5">
        <v>2004</v>
      </c>
      <c r="L305" s="5" t="str">
        <f t="shared" si="19"/>
        <v>Jun-2004</v>
      </c>
      <c r="M305" s="5" t="s">
        <v>181</v>
      </c>
      <c r="N305" s="5" t="s">
        <v>165</v>
      </c>
      <c r="O305" s="5" t="s">
        <v>170</v>
      </c>
      <c r="P305" s="5" t="s">
        <v>42</v>
      </c>
      <c r="Q305" s="5" t="s">
        <v>36</v>
      </c>
    </row>
    <row r="306" spans="1:17" x14ac:dyDescent="0.25">
      <c r="A306" s="3">
        <v>10266</v>
      </c>
      <c r="B306" s="3">
        <v>22</v>
      </c>
      <c r="C306" s="3">
        <v>100</v>
      </c>
      <c r="D306" s="3">
        <v>2200</v>
      </c>
      <c r="E306" s="3" t="str">
        <f t="shared" si="17"/>
        <v>Medium</v>
      </c>
      <c r="F306" s="3">
        <f t="shared" si="18"/>
        <v>660</v>
      </c>
      <c r="G306" s="4">
        <v>38174</v>
      </c>
      <c r="H306" s="3" t="s">
        <v>25</v>
      </c>
      <c r="I306" s="3" t="str">
        <f t="shared" si="16"/>
        <v>Yes</v>
      </c>
      <c r="J306" s="3" t="s">
        <v>683</v>
      </c>
      <c r="K306" s="3">
        <v>2004</v>
      </c>
      <c r="L306" s="3" t="str">
        <f t="shared" si="19"/>
        <v>Jul-2004</v>
      </c>
      <c r="M306" s="3" t="s">
        <v>181</v>
      </c>
      <c r="N306" s="3" t="s">
        <v>452</v>
      </c>
      <c r="O306" s="3" t="s">
        <v>258</v>
      </c>
      <c r="P306" s="3" t="s">
        <v>42</v>
      </c>
      <c r="Q306" s="3" t="s">
        <v>36</v>
      </c>
    </row>
    <row r="307" spans="1:17" x14ac:dyDescent="0.25">
      <c r="A307" s="5">
        <v>10276</v>
      </c>
      <c r="B307" s="5">
        <v>47</v>
      </c>
      <c r="C307" s="5">
        <v>100</v>
      </c>
      <c r="D307" s="5">
        <v>4700</v>
      </c>
      <c r="E307" s="5" t="str">
        <f t="shared" si="17"/>
        <v>Medium</v>
      </c>
      <c r="F307" s="5">
        <f t="shared" si="18"/>
        <v>1410</v>
      </c>
      <c r="G307" s="6">
        <v>38201</v>
      </c>
      <c r="H307" s="5" t="s">
        <v>25</v>
      </c>
      <c r="I307" s="5" t="str">
        <f t="shared" si="16"/>
        <v>Yes</v>
      </c>
      <c r="J307" s="5" t="s">
        <v>684</v>
      </c>
      <c r="K307" s="5">
        <v>2004</v>
      </c>
      <c r="L307" s="5" t="str">
        <f t="shared" si="19"/>
        <v>Aug-2004</v>
      </c>
      <c r="M307" s="5" t="s">
        <v>181</v>
      </c>
      <c r="N307" s="5" t="s">
        <v>458</v>
      </c>
      <c r="O307" s="5" t="s">
        <v>32</v>
      </c>
      <c r="P307" s="5" t="s">
        <v>33</v>
      </c>
      <c r="Q307" s="5" t="s">
        <v>51</v>
      </c>
    </row>
    <row r="308" spans="1:17" x14ac:dyDescent="0.25">
      <c r="A308" s="3">
        <v>10287</v>
      </c>
      <c r="B308" s="3">
        <v>45</v>
      </c>
      <c r="C308" s="3">
        <v>100</v>
      </c>
      <c r="D308" s="3">
        <v>4500</v>
      </c>
      <c r="E308" s="3" t="str">
        <f t="shared" si="17"/>
        <v>Medium</v>
      </c>
      <c r="F308" s="3">
        <f t="shared" si="18"/>
        <v>1350</v>
      </c>
      <c r="G308" s="4">
        <v>38229</v>
      </c>
      <c r="H308" s="3" t="s">
        <v>25</v>
      </c>
      <c r="I308" s="3" t="str">
        <f t="shared" si="16"/>
        <v>Yes</v>
      </c>
      <c r="J308" s="3" t="s">
        <v>684</v>
      </c>
      <c r="K308" s="3">
        <v>2004</v>
      </c>
      <c r="L308" s="3" t="str">
        <f t="shared" si="19"/>
        <v>Aug-2004</v>
      </c>
      <c r="M308" s="3" t="s">
        <v>181</v>
      </c>
      <c r="N308" s="3" t="s">
        <v>446</v>
      </c>
      <c r="O308" s="3" t="s">
        <v>450</v>
      </c>
      <c r="P308" s="3" t="s">
        <v>42</v>
      </c>
      <c r="Q308" s="3" t="s">
        <v>51</v>
      </c>
    </row>
    <row r="309" spans="1:17" x14ac:dyDescent="0.25">
      <c r="A309" s="5">
        <v>10300</v>
      </c>
      <c r="B309" s="5">
        <v>29</v>
      </c>
      <c r="C309" s="5">
        <v>100</v>
      </c>
      <c r="D309" s="5">
        <v>2900</v>
      </c>
      <c r="E309" s="5" t="str">
        <f t="shared" si="17"/>
        <v>Medium</v>
      </c>
      <c r="F309" s="5">
        <f t="shared" si="18"/>
        <v>870</v>
      </c>
      <c r="G309" s="6">
        <v>37898</v>
      </c>
      <c r="H309" s="5" t="s">
        <v>25</v>
      </c>
      <c r="I309" s="5" t="str">
        <f t="shared" si="16"/>
        <v>Yes</v>
      </c>
      <c r="J309" s="5" t="s">
        <v>685</v>
      </c>
      <c r="K309" s="5">
        <v>2003</v>
      </c>
      <c r="L309" s="5" t="str">
        <f t="shared" si="19"/>
        <v>Oct-2003</v>
      </c>
      <c r="M309" s="5" t="s">
        <v>181</v>
      </c>
      <c r="N309" s="5" t="s">
        <v>462</v>
      </c>
      <c r="O309" s="5" t="s">
        <v>443</v>
      </c>
      <c r="P309" s="5" t="s">
        <v>42</v>
      </c>
      <c r="Q309" s="5" t="s">
        <v>51</v>
      </c>
    </row>
    <row r="310" spans="1:17" x14ac:dyDescent="0.25">
      <c r="A310" s="3">
        <v>10310</v>
      </c>
      <c r="B310" s="3">
        <v>24</v>
      </c>
      <c r="C310" s="3">
        <v>100</v>
      </c>
      <c r="D310" s="3">
        <v>2400</v>
      </c>
      <c r="E310" s="3" t="str">
        <f t="shared" si="17"/>
        <v>Medium</v>
      </c>
      <c r="F310" s="3">
        <f t="shared" si="18"/>
        <v>720</v>
      </c>
      <c r="G310" s="4">
        <v>38276</v>
      </c>
      <c r="H310" s="3" t="s">
        <v>25</v>
      </c>
      <c r="I310" s="3" t="str">
        <f t="shared" si="16"/>
        <v>Yes</v>
      </c>
      <c r="J310" s="3" t="s">
        <v>685</v>
      </c>
      <c r="K310" s="3">
        <v>2004</v>
      </c>
      <c r="L310" s="3" t="str">
        <f t="shared" si="19"/>
        <v>Oct-2004</v>
      </c>
      <c r="M310" s="3" t="s">
        <v>181</v>
      </c>
      <c r="N310" s="3" t="s">
        <v>439</v>
      </c>
      <c r="O310" s="3" t="s">
        <v>443</v>
      </c>
      <c r="P310" s="3" t="s">
        <v>42</v>
      </c>
      <c r="Q310" s="3" t="s">
        <v>51</v>
      </c>
    </row>
    <row r="311" spans="1:17" x14ac:dyDescent="0.25">
      <c r="A311" s="5">
        <v>10320</v>
      </c>
      <c r="B311" s="5">
        <v>35</v>
      </c>
      <c r="C311" s="5">
        <v>100</v>
      </c>
      <c r="D311" s="5">
        <v>3500</v>
      </c>
      <c r="E311" s="5" t="str">
        <f t="shared" si="17"/>
        <v>Medium</v>
      </c>
      <c r="F311" s="5">
        <f t="shared" si="18"/>
        <v>1050</v>
      </c>
      <c r="G311" s="6">
        <v>38294</v>
      </c>
      <c r="H311" s="5" t="s">
        <v>25</v>
      </c>
      <c r="I311" s="5" t="str">
        <f t="shared" si="16"/>
        <v>Yes</v>
      </c>
      <c r="J311" s="5" t="s">
        <v>686</v>
      </c>
      <c r="K311" s="5">
        <v>2004</v>
      </c>
      <c r="L311" s="5" t="str">
        <f t="shared" si="19"/>
        <v>Nov-2004</v>
      </c>
      <c r="M311" s="5" t="s">
        <v>181</v>
      </c>
      <c r="N311" s="5" t="s">
        <v>183</v>
      </c>
      <c r="O311" s="5" t="s">
        <v>188</v>
      </c>
      <c r="P311" s="5" t="s">
        <v>42</v>
      </c>
      <c r="Q311" s="5" t="s">
        <v>51</v>
      </c>
    </row>
    <row r="312" spans="1:17" x14ac:dyDescent="0.25">
      <c r="A312" s="3">
        <v>10329</v>
      </c>
      <c r="B312" s="3">
        <v>46</v>
      </c>
      <c r="C312" s="3">
        <v>83.63</v>
      </c>
      <c r="D312" s="3">
        <v>3846.9799999999996</v>
      </c>
      <c r="E312" s="3" t="str">
        <f t="shared" si="17"/>
        <v>Medium</v>
      </c>
      <c r="F312" s="3">
        <f t="shared" si="18"/>
        <v>1154.0939999999998</v>
      </c>
      <c r="G312" s="4">
        <v>38306</v>
      </c>
      <c r="H312" s="3" t="s">
        <v>25</v>
      </c>
      <c r="I312" s="3" t="str">
        <f t="shared" si="16"/>
        <v>Yes</v>
      </c>
      <c r="J312" s="3" t="s">
        <v>686</v>
      </c>
      <c r="K312" s="3">
        <v>2004</v>
      </c>
      <c r="L312" s="3" t="str">
        <f t="shared" si="19"/>
        <v>Nov-2004</v>
      </c>
      <c r="M312" s="3" t="s">
        <v>181</v>
      </c>
      <c r="N312" s="3" t="s">
        <v>28</v>
      </c>
      <c r="O312" s="3" t="s">
        <v>32</v>
      </c>
      <c r="P312" s="3" t="s">
        <v>33</v>
      </c>
      <c r="Q312" s="3" t="s">
        <v>51</v>
      </c>
    </row>
    <row r="313" spans="1:17" x14ac:dyDescent="0.25">
      <c r="A313" s="5">
        <v>10341</v>
      </c>
      <c r="B313" s="5">
        <v>44</v>
      </c>
      <c r="C313" s="5">
        <v>95.93</v>
      </c>
      <c r="D313" s="5">
        <v>4220.92</v>
      </c>
      <c r="E313" s="5" t="str">
        <f t="shared" si="17"/>
        <v>Medium</v>
      </c>
      <c r="F313" s="5">
        <f t="shared" si="18"/>
        <v>1266.2760000000001</v>
      </c>
      <c r="G313" s="6">
        <v>38315</v>
      </c>
      <c r="H313" s="5" t="s">
        <v>25</v>
      </c>
      <c r="I313" s="5" t="str">
        <f t="shared" si="16"/>
        <v>Yes</v>
      </c>
      <c r="J313" s="5" t="s">
        <v>686</v>
      </c>
      <c r="K313" s="5">
        <v>2004</v>
      </c>
      <c r="L313" s="5" t="str">
        <f t="shared" si="19"/>
        <v>Nov-2004</v>
      </c>
      <c r="M313" s="5" t="s">
        <v>181</v>
      </c>
      <c r="N313" s="5" t="s">
        <v>144</v>
      </c>
      <c r="O313" s="5" t="s">
        <v>148</v>
      </c>
      <c r="P313" s="5" t="s">
        <v>42</v>
      </c>
      <c r="Q313" s="5" t="s">
        <v>51</v>
      </c>
    </row>
    <row r="314" spans="1:17" x14ac:dyDescent="0.25">
      <c r="A314" s="3">
        <v>10363</v>
      </c>
      <c r="B314" s="3">
        <v>34</v>
      </c>
      <c r="C314" s="3">
        <v>96.73</v>
      </c>
      <c r="D314" s="3">
        <v>3288.82</v>
      </c>
      <c r="E314" s="3" t="str">
        <f t="shared" si="17"/>
        <v>Medium</v>
      </c>
      <c r="F314" s="3">
        <f t="shared" si="18"/>
        <v>986.64599999999996</v>
      </c>
      <c r="G314" s="4">
        <v>38358</v>
      </c>
      <c r="H314" s="3" t="s">
        <v>25</v>
      </c>
      <c r="I314" s="3" t="str">
        <f t="shared" si="16"/>
        <v>Yes</v>
      </c>
      <c r="J314" s="3" t="s">
        <v>549</v>
      </c>
      <c r="K314" s="3">
        <v>2005</v>
      </c>
      <c r="L314" s="3" t="str">
        <f t="shared" si="19"/>
        <v>Jan-2005</v>
      </c>
      <c r="M314" s="3" t="s">
        <v>181</v>
      </c>
      <c r="N314" s="3" t="s">
        <v>467</v>
      </c>
      <c r="O314" s="3" t="s">
        <v>130</v>
      </c>
      <c r="P314" s="3" t="s">
        <v>42</v>
      </c>
      <c r="Q314" s="3" t="s">
        <v>51</v>
      </c>
    </row>
    <row r="315" spans="1:17" x14ac:dyDescent="0.25">
      <c r="A315" s="5">
        <v>10376</v>
      </c>
      <c r="B315" s="5">
        <v>35</v>
      </c>
      <c r="C315" s="5">
        <v>100</v>
      </c>
      <c r="D315" s="5">
        <v>3500</v>
      </c>
      <c r="E315" s="5" t="str">
        <f t="shared" si="17"/>
        <v>Medium</v>
      </c>
      <c r="F315" s="5">
        <f t="shared" si="18"/>
        <v>1050</v>
      </c>
      <c r="G315" s="6">
        <v>38391</v>
      </c>
      <c r="H315" s="5" t="s">
        <v>25</v>
      </c>
      <c r="I315" s="5" t="str">
        <f t="shared" si="16"/>
        <v>Yes</v>
      </c>
      <c r="J315" s="5" t="s">
        <v>681</v>
      </c>
      <c r="K315" s="5">
        <v>2005</v>
      </c>
      <c r="L315" s="5" t="str">
        <f t="shared" si="19"/>
        <v>Feb-2005</v>
      </c>
      <c r="M315" s="5" t="s">
        <v>181</v>
      </c>
      <c r="N315" s="5" t="s">
        <v>514</v>
      </c>
      <c r="O315" s="5" t="s">
        <v>32</v>
      </c>
      <c r="P315" s="5" t="s">
        <v>33</v>
      </c>
      <c r="Q315" s="5" t="s">
        <v>51</v>
      </c>
    </row>
    <row r="316" spans="1:17" x14ac:dyDescent="0.25">
      <c r="A316" s="3">
        <v>10389</v>
      </c>
      <c r="B316" s="3">
        <v>25</v>
      </c>
      <c r="C316" s="3">
        <v>72.38</v>
      </c>
      <c r="D316" s="3">
        <v>1809.5</v>
      </c>
      <c r="E316" s="3" t="str">
        <f t="shared" si="17"/>
        <v>Low</v>
      </c>
      <c r="F316" s="3">
        <f t="shared" si="18"/>
        <v>542.85</v>
      </c>
      <c r="G316" s="4">
        <v>38414</v>
      </c>
      <c r="H316" s="3" t="s">
        <v>25</v>
      </c>
      <c r="I316" s="3" t="str">
        <f t="shared" si="16"/>
        <v>Yes</v>
      </c>
      <c r="J316" s="3" t="s">
        <v>691</v>
      </c>
      <c r="K316" s="3">
        <v>2005</v>
      </c>
      <c r="L316" s="3" t="str">
        <f t="shared" si="19"/>
        <v>Mar-2005</v>
      </c>
      <c r="M316" s="3" t="s">
        <v>181</v>
      </c>
      <c r="N316" s="3" t="s">
        <v>261</v>
      </c>
      <c r="O316" s="3" t="s">
        <v>188</v>
      </c>
      <c r="P316" s="3" t="s">
        <v>42</v>
      </c>
      <c r="Q316" s="3" t="s">
        <v>36</v>
      </c>
    </row>
    <row r="317" spans="1:17" x14ac:dyDescent="0.25">
      <c r="A317" s="5">
        <v>10419</v>
      </c>
      <c r="B317" s="5">
        <v>10</v>
      </c>
      <c r="C317" s="5">
        <v>100</v>
      </c>
      <c r="D317" s="5">
        <v>1000</v>
      </c>
      <c r="E317" s="5" t="str">
        <f t="shared" si="17"/>
        <v>Low</v>
      </c>
      <c r="F317" s="5">
        <f t="shared" si="18"/>
        <v>300</v>
      </c>
      <c r="G317" s="6">
        <v>38489</v>
      </c>
      <c r="H317" s="5" t="s">
        <v>25</v>
      </c>
      <c r="I317" s="5" t="str">
        <f t="shared" si="16"/>
        <v>Yes</v>
      </c>
      <c r="J317" s="5" t="s">
        <v>682</v>
      </c>
      <c r="K317" s="5">
        <v>2005</v>
      </c>
      <c r="L317" s="5" t="str">
        <f t="shared" si="19"/>
        <v>May-2005</v>
      </c>
      <c r="M317" s="5" t="s">
        <v>181</v>
      </c>
      <c r="N317" s="5" t="s">
        <v>144</v>
      </c>
      <c r="O317" s="5" t="s">
        <v>148</v>
      </c>
      <c r="P317" s="5" t="s">
        <v>42</v>
      </c>
      <c r="Q317" s="5" t="s">
        <v>36</v>
      </c>
    </row>
    <row r="318" spans="1:17" x14ac:dyDescent="0.25">
      <c r="A318" s="3">
        <v>10105</v>
      </c>
      <c r="B318" s="3">
        <v>29</v>
      </c>
      <c r="C318" s="3">
        <v>100</v>
      </c>
      <c r="D318" s="3">
        <v>2900</v>
      </c>
      <c r="E318" s="3" t="str">
        <f t="shared" si="17"/>
        <v>Medium</v>
      </c>
      <c r="F318" s="3">
        <f t="shared" si="18"/>
        <v>870</v>
      </c>
      <c r="G318" s="4">
        <v>37663</v>
      </c>
      <c r="H318" s="3" t="s">
        <v>25</v>
      </c>
      <c r="I318" s="3" t="str">
        <f t="shared" si="16"/>
        <v>Yes</v>
      </c>
      <c r="J318" s="3" t="s">
        <v>681</v>
      </c>
      <c r="K318" s="3">
        <v>2003</v>
      </c>
      <c r="L318" s="3" t="str">
        <f t="shared" si="19"/>
        <v>Feb-2003</v>
      </c>
      <c r="M318" s="3" t="s">
        <v>181</v>
      </c>
      <c r="N318" s="3" t="s">
        <v>322</v>
      </c>
      <c r="O318" s="3" t="s">
        <v>326</v>
      </c>
      <c r="P318" s="3" t="s">
        <v>42</v>
      </c>
      <c r="Q318" s="3" t="s">
        <v>51</v>
      </c>
    </row>
    <row r="319" spans="1:17" x14ac:dyDescent="0.25">
      <c r="A319" s="5">
        <v>10117</v>
      </c>
      <c r="B319" s="5">
        <v>39</v>
      </c>
      <c r="C319" s="5">
        <v>100</v>
      </c>
      <c r="D319" s="5">
        <v>3900</v>
      </c>
      <c r="E319" s="5" t="str">
        <f t="shared" si="17"/>
        <v>Medium</v>
      </c>
      <c r="F319" s="5">
        <f t="shared" si="18"/>
        <v>1170</v>
      </c>
      <c r="G319" s="6">
        <v>37727</v>
      </c>
      <c r="H319" s="5" t="s">
        <v>25</v>
      </c>
      <c r="I319" s="5" t="str">
        <f t="shared" si="16"/>
        <v>Yes</v>
      </c>
      <c r="J319" s="5" t="s">
        <v>688</v>
      </c>
      <c r="K319" s="5">
        <v>2003</v>
      </c>
      <c r="L319" s="5" t="str">
        <f t="shared" si="19"/>
        <v>Apr-2003</v>
      </c>
      <c r="M319" s="5" t="s">
        <v>181</v>
      </c>
      <c r="N319" s="5" t="s">
        <v>196</v>
      </c>
      <c r="O319" s="5" t="s">
        <v>199</v>
      </c>
      <c r="P319" s="5" t="s">
        <v>675</v>
      </c>
      <c r="Q319" s="5" t="s">
        <v>51</v>
      </c>
    </row>
    <row r="320" spans="1:17" x14ac:dyDescent="0.25">
      <c r="A320" s="3">
        <v>10127</v>
      </c>
      <c r="B320" s="3">
        <v>42</v>
      </c>
      <c r="C320" s="3">
        <v>100</v>
      </c>
      <c r="D320" s="3">
        <v>4200</v>
      </c>
      <c r="E320" s="3" t="str">
        <f t="shared" si="17"/>
        <v>Medium</v>
      </c>
      <c r="F320" s="3">
        <f t="shared" si="18"/>
        <v>1260</v>
      </c>
      <c r="G320" s="4">
        <v>37775</v>
      </c>
      <c r="H320" s="3" t="s">
        <v>25</v>
      </c>
      <c r="I320" s="3" t="str">
        <f t="shared" si="16"/>
        <v>Yes</v>
      </c>
      <c r="J320" s="3" t="s">
        <v>689</v>
      </c>
      <c r="K320" s="3">
        <v>2003</v>
      </c>
      <c r="L320" s="3" t="str">
        <f t="shared" si="19"/>
        <v>Jun-2003</v>
      </c>
      <c r="M320" s="3" t="s">
        <v>181</v>
      </c>
      <c r="N320" s="3" t="s">
        <v>475</v>
      </c>
      <c r="O320" s="3" t="s">
        <v>32</v>
      </c>
      <c r="P320" s="3" t="s">
        <v>33</v>
      </c>
      <c r="Q320" s="3" t="s">
        <v>151</v>
      </c>
    </row>
    <row r="321" spans="1:17" x14ac:dyDescent="0.25">
      <c r="A321" s="5">
        <v>10142</v>
      </c>
      <c r="B321" s="5">
        <v>46</v>
      </c>
      <c r="C321" s="5">
        <v>100</v>
      </c>
      <c r="D321" s="5">
        <v>4600</v>
      </c>
      <c r="E321" s="5" t="str">
        <f t="shared" si="17"/>
        <v>Medium</v>
      </c>
      <c r="F321" s="5">
        <f t="shared" si="18"/>
        <v>1380</v>
      </c>
      <c r="G321" s="6">
        <v>37841</v>
      </c>
      <c r="H321" s="5" t="s">
        <v>25</v>
      </c>
      <c r="I321" s="5" t="str">
        <f t="shared" si="16"/>
        <v>Yes</v>
      </c>
      <c r="J321" s="5" t="s">
        <v>684</v>
      </c>
      <c r="K321" s="5">
        <v>2003</v>
      </c>
      <c r="L321" s="5" t="str">
        <f t="shared" si="19"/>
        <v>Aug-2003</v>
      </c>
      <c r="M321" s="5" t="s">
        <v>181</v>
      </c>
      <c r="N321" s="5" t="s">
        <v>272</v>
      </c>
      <c r="O321" s="5" t="s">
        <v>32</v>
      </c>
      <c r="P321" s="5" t="s">
        <v>33</v>
      </c>
      <c r="Q321" s="5" t="s">
        <v>151</v>
      </c>
    </row>
    <row r="322" spans="1:17" x14ac:dyDescent="0.25">
      <c r="A322" s="3">
        <v>10153</v>
      </c>
      <c r="B322" s="3">
        <v>49</v>
      </c>
      <c r="C322" s="3">
        <v>100</v>
      </c>
      <c r="D322" s="3">
        <v>4900</v>
      </c>
      <c r="E322" s="3" t="str">
        <f t="shared" si="17"/>
        <v>Medium</v>
      </c>
      <c r="F322" s="3">
        <f t="shared" si="18"/>
        <v>1470</v>
      </c>
      <c r="G322" s="4">
        <v>37892</v>
      </c>
      <c r="H322" s="3" t="s">
        <v>25</v>
      </c>
      <c r="I322" s="3" t="str">
        <f t="shared" ref="I322:I385" si="20">IF(H322="Shipped","Yes","No")</f>
        <v>Yes</v>
      </c>
      <c r="J322" s="3" t="s">
        <v>690</v>
      </c>
      <c r="K322" s="3">
        <v>2003</v>
      </c>
      <c r="L322" s="3" t="str">
        <f t="shared" si="19"/>
        <v>Sep-2003</v>
      </c>
      <c r="M322" s="3" t="s">
        <v>181</v>
      </c>
      <c r="N322" s="3" t="s">
        <v>174</v>
      </c>
      <c r="O322" s="3" t="s">
        <v>178</v>
      </c>
      <c r="P322" s="3" t="s">
        <v>42</v>
      </c>
      <c r="Q322" s="3" t="s">
        <v>151</v>
      </c>
    </row>
    <row r="323" spans="1:17" x14ac:dyDescent="0.25">
      <c r="A323" s="5">
        <v>10165</v>
      </c>
      <c r="B323" s="5">
        <v>27</v>
      </c>
      <c r="C323" s="5">
        <v>100</v>
      </c>
      <c r="D323" s="5">
        <v>2700</v>
      </c>
      <c r="E323" s="5" t="str">
        <f t="shared" ref="E323:E386" si="21">IF(D323&gt;=5000,"High",IF(D323&gt;=2000,"Medium","Low"))</f>
        <v>Medium</v>
      </c>
      <c r="F323" s="5">
        <f t="shared" ref="F323:F386" si="22">(D323*0.3)</f>
        <v>810</v>
      </c>
      <c r="G323" s="6">
        <v>37916</v>
      </c>
      <c r="H323" s="5" t="s">
        <v>25</v>
      </c>
      <c r="I323" s="5" t="str">
        <f t="shared" si="20"/>
        <v>Yes</v>
      </c>
      <c r="J323" s="5" t="s">
        <v>685</v>
      </c>
      <c r="K323" s="5">
        <v>2003</v>
      </c>
      <c r="L323" s="5" t="str">
        <f t="shared" ref="L323:L386" si="23">TEXT(G:G,"MMM-YYYY")</f>
        <v>Oct-2003</v>
      </c>
      <c r="M323" s="5" t="s">
        <v>181</v>
      </c>
      <c r="N323" s="5" t="s">
        <v>196</v>
      </c>
      <c r="O323" s="5" t="s">
        <v>199</v>
      </c>
      <c r="P323" s="5" t="s">
        <v>675</v>
      </c>
      <c r="Q323" s="5" t="s">
        <v>51</v>
      </c>
    </row>
    <row r="324" spans="1:17" x14ac:dyDescent="0.25">
      <c r="A324" s="3">
        <v>10176</v>
      </c>
      <c r="B324" s="3">
        <v>50</v>
      </c>
      <c r="C324" s="3">
        <v>100</v>
      </c>
      <c r="D324" s="3">
        <v>5000</v>
      </c>
      <c r="E324" s="3" t="str">
        <f t="shared" si="21"/>
        <v>High</v>
      </c>
      <c r="F324" s="3">
        <f t="shared" si="22"/>
        <v>1500</v>
      </c>
      <c r="G324" s="4">
        <v>37931</v>
      </c>
      <c r="H324" s="3" t="s">
        <v>25</v>
      </c>
      <c r="I324" s="3" t="str">
        <f t="shared" si="20"/>
        <v>Yes</v>
      </c>
      <c r="J324" s="3" t="s">
        <v>686</v>
      </c>
      <c r="K324" s="3">
        <v>2003</v>
      </c>
      <c r="L324" s="3" t="str">
        <f t="shared" si="23"/>
        <v>Nov-2003</v>
      </c>
      <c r="M324" s="3" t="s">
        <v>181</v>
      </c>
      <c r="N324" s="3" t="s">
        <v>452</v>
      </c>
      <c r="O324" s="3" t="s">
        <v>258</v>
      </c>
      <c r="P324" s="3" t="s">
        <v>42</v>
      </c>
      <c r="Q324" s="3" t="s">
        <v>151</v>
      </c>
    </row>
    <row r="325" spans="1:17" x14ac:dyDescent="0.25">
      <c r="A325" s="5">
        <v>10185</v>
      </c>
      <c r="B325" s="5">
        <v>43</v>
      </c>
      <c r="C325" s="5">
        <v>100</v>
      </c>
      <c r="D325" s="5">
        <v>4300</v>
      </c>
      <c r="E325" s="5" t="str">
        <f t="shared" si="21"/>
        <v>Medium</v>
      </c>
      <c r="F325" s="5">
        <f t="shared" si="22"/>
        <v>1290</v>
      </c>
      <c r="G325" s="6">
        <v>37939</v>
      </c>
      <c r="H325" s="5" t="s">
        <v>25</v>
      </c>
      <c r="I325" s="5" t="str">
        <f t="shared" si="20"/>
        <v>Yes</v>
      </c>
      <c r="J325" s="5" t="s">
        <v>686</v>
      </c>
      <c r="K325" s="5">
        <v>2003</v>
      </c>
      <c r="L325" s="5" t="str">
        <f t="shared" si="23"/>
        <v>Nov-2003</v>
      </c>
      <c r="M325" s="5" t="s">
        <v>181</v>
      </c>
      <c r="N325" s="5" t="s">
        <v>335</v>
      </c>
      <c r="O325" s="5" t="s">
        <v>32</v>
      </c>
      <c r="P325" s="5" t="s">
        <v>33</v>
      </c>
      <c r="Q325" s="5" t="s">
        <v>151</v>
      </c>
    </row>
    <row r="326" spans="1:17" x14ac:dyDescent="0.25">
      <c r="A326" s="3">
        <v>10196</v>
      </c>
      <c r="B326" s="3">
        <v>38</v>
      </c>
      <c r="C326" s="3">
        <v>100</v>
      </c>
      <c r="D326" s="3">
        <v>3800</v>
      </c>
      <c r="E326" s="3" t="str">
        <f t="shared" si="21"/>
        <v>Medium</v>
      </c>
      <c r="F326" s="3">
        <f t="shared" si="22"/>
        <v>1140</v>
      </c>
      <c r="G326" s="4">
        <v>37951</v>
      </c>
      <c r="H326" s="3" t="s">
        <v>25</v>
      </c>
      <c r="I326" s="3" t="str">
        <f t="shared" si="20"/>
        <v>Yes</v>
      </c>
      <c r="J326" s="3" t="s">
        <v>686</v>
      </c>
      <c r="K326" s="3">
        <v>2003</v>
      </c>
      <c r="L326" s="3" t="str">
        <f t="shared" si="23"/>
        <v>Nov-2003</v>
      </c>
      <c r="M326" s="3" t="s">
        <v>181</v>
      </c>
      <c r="N326" s="3" t="s">
        <v>242</v>
      </c>
      <c r="O326" s="3" t="s">
        <v>32</v>
      </c>
      <c r="P326" s="3" t="s">
        <v>33</v>
      </c>
      <c r="Q326" s="3" t="s">
        <v>151</v>
      </c>
    </row>
    <row r="327" spans="1:17" x14ac:dyDescent="0.25">
      <c r="A327" s="5">
        <v>10208</v>
      </c>
      <c r="B327" s="5">
        <v>20</v>
      </c>
      <c r="C327" s="5">
        <v>100</v>
      </c>
      <c r="D327" s="5">
        <v>2000</v>
      </c>
      <c r="E327" s="5" t="str">
        <f t="shared" si="21"/>
        <v>Medium</v>
      </c>
      <c r="F327" s="5">
        <f t="shared" si="22"/>
        <v>600</v>
      </c>
      <c r="G327" s="6">
        <v>37988</v>
      </c>
      <c r="H327" s="5" t="s">
        <v>25</v>
      </c>
      <c r="I327" s="5" t="str">
        <f t="shared" si="20"/>
        <v>Yes</v>
      </c>
      <c r="J327" s="5" t="s">
        <v>549</v>
      </c>
      <c r="K327" s="5">
        <v>2004</v>
      </c>
      <c r="L327" s="5" t="str">
        <f t="shared" si="23"/>
        <v>Jan-2004</v>
      </c>
      <c r="M327" s="5" t="s">
        <v>181</v>
      </c>
      <c r="N327" s="5" t="s">
        <v>219</v>
      </c>
      <c r="O327" s="5" t="s">
        <v>41</v>
      </c>
      <c r="P327" s="5" t="s">
        <v>42</v>
      </c>
      <c r="Q327" s="5" t="s">
        <v>51</v>
      </c>
    </row>
    <row r="328" spans="1:17" x14ac:dyDescent="0.25">
      <c r="A328" s="3">
        <v>10220</v>
      </c>
      <c r="B328" s="3">
        <v>27</v>
      </c>
      <c r="C328" s="3">
        <v>100</v>
      </c>
      <c r="D328" s="3">
        <v>2700</v>
      </c>
      <c r="E328" s="3" t="str">
        <f t="shared" si="21"/>
        <v>Medium</v>
      </c>
      <c r="F328" s="3">
        <f t="shared" si="22"/>
        <v>810</v>
      </c>
      <c r="G328" s="4">
        <v>38029</v>
      </c>
      <c r="H328" s="3" t="s">
        <v>25</v>
      </c>
      <c r="I328" s="3" t="str">
        <f t="shared" si="20"/>
        <v>Yes</v>
      </c>
      <c r="J328" s="3" t="s">
        <v>681</v>
      </c>
      <c r="K328" s="3">
        <v>2004</v>
      </c>
      <c r="L328" s="3" t="str">
        <f t="shared" si="23"/>
        <v>Feb-2004</v>
      </c>
      <c r="M328" s="3" t="s">
        <v>181</v>
      </c>
      <c r="N328" s="3" t="s">
        <v>479</v>
      </c>
      <c r="O328" s="3" t="s">
        <v>484</v>
      </c>
      <c r="P328" s="3" t="s">
        <v>42</v>
      </c>
      <c r="Q328" s="3" t="s">
        <v>51</v>
      </c>
    </row>
    <row r="329" spans="1:17" x14ac:dyDescent="0.25">
      <c r="A329" s="5">
        <v>10231</v>
      </c>
      <c r="B329" s="5">
        <v>49</v>
      </c>
      <c r="C329" s="5">
        <v>100</v>
      </c>
      <c r="D329" s="5">
        <v>4900</v>
      </c>
      <c r="E329" s="5" t="str">
        <f t="shared" si="21"/>
        <v>Medium</v>
      </c>
      <c r="F329" s="5">
        <f t="shared" si="22"/>
        <v>1470</v>
      </c>
      <c r="G329" s="6">
        <v>38065</v>
      </c>
      <c r="H329" s="5" t="s">
        <v>25</v>
      </c>
      <c r="I329" s="5" t="str">
        <f t="shared" si="20"/>
        <v>Yes</v>
      </c>
      <c r="J329" s="5" t="s">
        <v>691</v>
      </c>
      <c r="K329" s="5">
        <v>2004</v>
      </c>
      <c r="L329" s="5" t="str">
        <f t="shared" si="23"/>
        <v>Mar-2004</v>
      </c>
      <c r="M329" s="5" t="s">
        <v>181</v>
      </c>
      <c r="N329" s="5" t="s">
        <v>487</v>
      </c>
      <c r="O329" s="5" t="s">
        <v>178</v>
      </c>
      <c r="P329" s="5" t="s">
        <v>42</v>
      </c>
      <c r="Q329" s="5" t="s">
        <v>51</v>
      </c>
    </row>
    <row r="330" spans="1:17" x14ac:dyDescent="0.25">
      <c r="A330" s="3">
        <v>10247</v>
      </c>
      <c r="B330" s="3">
        <v>27</v>
      </c>
      <c r="C330" s="3">
        <v>100</v>
      </c>
      <c r="D330" s="3">
        <v>2700</v>
      </c>
      <c r="E330" s="3" t="str">
        <f t="shared" si="21"/>
        <v>Medium</v>
      </c>
      <c r="F330" s="3">
        <f t="shared" si="22"/>
        <v>810</v>
      </c>
      <c r="G330" s="4">
        <v>38112</v>
      </c>
      <c r="H330" s="3" t="s">
        <v>25</v>
      </c>
      <c r="I330" s="3" t="str">
        <f t="shared" si="20"/>
        <v>Yes</v>
      </c>
      <c r="J330" s="3" t="s">
        <v>682</v>
      </c>
      <c r="K330" s="3">
        <v>2004</v>
      </c>
      <c r="L330" s="3" t="str">
        <f t="shared" si="23"/>
        <v>May-2004</v>
      </c>
      <c r="M330" s="3" t="s">
        <v>181</v>
      </c>
      <c r="N330" s="3" t="s">
        <v>467</v>
      </c>
      <c r="O330" s="3" t="s">
        <v>130</v>
      </c>
      <c r="P330" s="3" t="s">
        <v>42</v>
      </c>
      <c r="Q330" s="3" t="s">
        <v>51</v>
      </c>
    </row>
    <row r="331" spans="1:17" x14ac:dyDescent="0.25">
      <c r="A331" s="5">
        <v>10272</v>
      </c>
      <c r="B331" s="5">
        <v>39</v>
      </c>
      <c r="C331" s="5">
        <v>100</v>
      </c>
      <c r="D331" s="5">
        <v>3900</v>
      </c>
      <c r="E331" s="5" t="str">
        <f t="shared" si="21"/>
        <v>Medium</v>
      </c>
      <c r="F331" s="5">
        <f t="shared" si="22"/>
        <v>1170</v>
      </c>
      <c r="G331" s="6">
        <v>38188</v>
      </c>
      <c r="H331" s="5" t="s">
        <v>25</v>
      </c>
      <c r="I331" s="5" t="str">
        <f t="shared" si="20"/>
        <v>Yes</v>
      </c>
      <c r="J331" s="5" t="s">
        <v>683</v>
      </c>
      <c r="K331" s="5">
        <v>2004</v>
      </c>
      <c r="L331" s="5" t="str">
        <f t="shared" si="23"/>
        <v>Jul-2004</v>
      </c>
      <c r="M331" s="5" t="s">
        <v>181</v>
      </c>
      <c r="N331" s="5" t="s">
        <v>139</v>
      </c>
      <c r="O331" s="5" t="s">
        <v>32</v>
      </c>
      <c r="P331" s="5" t="s">
        <v>33</v>
      </c>
      <c r="Q331" s="5" t="s">
        <v>151</v>
      </c>
    </row>
    <row r="332" spans="1:17" x14ac:dyDescent="0.25">
      <c r="A332" s="3">
        <v>10282</v>
      </c>
      <c r="B332" s="3">
        <v>24</v>
      </c>
      <c r="C332" s="3">
        <v>100</v>
      </c>
      <c r="D332" s="3">
        <v>2400</v>
      </c>
      <c r="E332" s="3" t="str">
        <f t="shared" si="21"/>
        <v>Medium</v>
      </c>
      <c r="F332" s="3">
        <f t="shared" si="22"/>
        <v>720</v>
      </c>
      <c r="G332" s="4">
        <v>38219</v>
      </c>
      <c r="H332" s="3" t="s">
        <v>25</v>
      </c>
      <c r="I332" s="3" t="str">
        <f t="shared" si="20"/>
        <v>Yes</v>
      </c>
      <c r="J332" s="3" t="s">
        <v>684</v>
      </c>
      <c r="K332" s="3">
        <v>2004</v>
      </c>
      <c r="L332" s="3" t="str">
        <f t="shared" si="23"/>
        <v>Aug-2004</v>
      </c>
      <c r="M332" s="3" t="s">
        <v>181</v>
      </c>
      <c r="N332" s="3" t="s">
        <v>272</v>
      </c>
      <c r="O332" s="3" t="s">
        <v>32</v>
      </c>
      <c r="P332" s="3" t="s">
        <v>33</v>
      </c>
      <c r="Q332" s="3" t="s">
        <v>51</v>
      </c>
    </row>
    <row r="333" spans="1:17" x14ac:dyDescent="0.25">
      <c r="A333" s="5">
        <v>10293</v>
      </c>
      <c r="B333" s="5">
        <v>45</v>
      </c>
      <c r="C333" s="5">
        <v>100</v>
      </c>
      <c r="D333" s="5">
        <v>4500</v>
      </c>
      <c r="E333" s="5" t="str">
        <f t="shared" si="21"/>
        <v>Medium</v>
      </c>
      <c r="F333" s="5">
        <f t="shared" si="22"/>
        <v>1350</v>
      </c>
      <c r="G333" s="6">
        <v>38239</v>
      </c>
      <c r="H333" s="5" t="s">
        <v>25</v>
      </c>
      <c r="I333" s="5" t="str">
        <f t="shared" si="20"/>
        <v>Yes</v>
      </c>
      <c r="J333" s="5" t="s">
        <v>690</v>
      </c>
      <c r="K333" s="5">
        <v>2004</v>
      </c>
      <c r="L333" s="5" t="str">
        <f t="shared" si="23"/>
        <v>Sep-2004</v>
      </c>
      <c r="M333" s="5" t="s">
        <v>181</v>
      </c>
      <c r="N333" s="5" t="s">
        <v>254</v>
      </c>
      <c r="O333" s="5" t="s">
        <v>258</v>
      </c>
      <c r="P333" s="5" t="s">
        <v>42</v>
      </c>
      <c r="Q333" s="5" t="s">
        <v>151</v>
      </c>
    </row>
    <row r="334" spans="1:17" x14ac:dyDescent="0.25">
      <c r="A334" s="3">
        <v>10306</v>
      </c>
      <c r="B334" s="3">
        <v>20</v>
      </c>
      <c r="C334" s="3">
        <v>100</v>
      </c>
      <c r="D334" s="3">
        <v>2000</v>
      </c>
      <c r="E334" s="3" t="str">
        <f t="shared" si="21"/>
        <v>Medium</v>
      </c>
      <c r="F334" s="3">
        <f t="shared" si="22"/>
        <v>600</v>
      </c>
      <c r="G334" s="4">
        <v>38274</v>
      </c>
      <c r="H334" s="3" t="s">
        <v>25</v>
      </c>
      <c r="I334" s="3" t="str">
        <f t="shared" si="20"/>
        <v>Yes</v>
      </c>
      <c r="J334" s="3" t="s">
        <v>685</v>
      </c>
      <c r="K334" s="3">
        <v>2004</v>
      </c>
      <c r="L334" s="3" t="str">
        <f t="shared" si="23"/>
        <v>Oct-2004</v>
      </c>
      <c r="M334" s="3" t="s">
        <v>181</v>
      </c>
      <c r="N334" s="3" t="s">
        <v>492</v>
      </c>
      <c r="O334" s="3" t="s">
        <v>170</v>
      </c>
      <c r="P334" s="3" t="s">
        <v>42</v>
      </c>
      <c r="Q334" s="3" t="s">
        <v>51</v>
      </c>
    </row>
    <row r="335" spans="1:17" x14ac:dyDescent="0.25">
      <c r="A335" s="5">
        <v>10314</v>
      </c>
      <c r="B335" s="5">
        <v>36</v>
      </c>
      <c r="C335" s="5">
        <v>100</v>
      </c>
      <c r="D335" s="5">
        <v>3600</v>
      </c>
      <c r="E335" s="5" t="str">
        <f t="shared" si="21"/>
        <v>Medium</v>
      </c>
      <c r="F335" s="5">
        <f t="shared" si="22"/>
        <v>1080</v>
      </c>
      <c r="G335" s="6">
        <v>38282</v>
      </c>
      <c r="H335" s="5" t="s">
        <v>25</v>
      </c>
      <c r="I335" s="5" t="str">
        <f t="shared" si="20"/>
        <v>Yes</v>
      </c>
      <c r="J335" s="5" t="s">
        <v>685</v>
      </c>
      <c r="K335" s="5">
        <v>2004</v>
      </c>
      <c r="L335" s="5" t="str">
        <f t="shared" si="23"/>
        <v>Oct-2004</v>
      </c>
      <c r="M335" s="5" t="s">
        <v>181</v>
      </c>
      <c r="N335" s="5" t="s">
        <v>498</v>
      </c>
      <c r="O335" s="5" t="s">
        <v>326</v>
      </c>
      <c r="P335" s="5" t="s">
        <v>42</v>
      </c>
      <c r="Q335" s="5" t="s">
        <v>51</v>
      </c>
    </row>
    <row r="336" spans="1:17" x14ac:dyDescent="0.25">
      <c r="A336" s="3">
        <v>10325</v>
      </c>
      <c r="B336" s="3">
        <v>24</v>
      </c>
      <c r="C336" s="3">
        <v>100</v>
      </c>
      <c r="D336" s="3">
        <v>2400</v>
      </c>
      <c r="E336" s="3" t="str">
        <f t="shared" si="21"/>
        <v>Medium</v>
      </c>
      <c r="F336" s="3">
        <f t="shared" si="22"/>
        <v>720</v>
      </c>
      <c r="G336" s="4">
        <v>38296</v>
      </c>
      <c r="H336" s="3" t="s">
        <v>25</v>
      </c>
      <c r="I336" s="3" t="str">
        <f t="shared" si="20"/>
        <v>Yes</v>
      </c>
      <c r="J336" s="3" t="s">
        <v>686</v>
      </c>
      <c r="K336" s="3">
        <v>2004</v>
      </c>
      <c r="L336" s="3" t="str">
        <f t="shared" si="23"/>
        <v>Nov-2004</v>
      </c>
      <c r="M336" s="3" t="s">
        <v>181</v>
      </c>
      <c r="N336" s="3" t="s">
        <v>133</v>
      </c>
      <c r="O336" s="3" t="s">
        <v>78</v>
      </c>
      <c r="P336" s="3" t="s">
        <v>42</v>
      </c>
      <c r="Q336" s="3" t="s">
        <v>36</v>
      </c>
    </row>
    <row r="337" spans="1:17" x14ac:dyDescent="0.25">
      <c r="A337" s="5">
        <v>10336</v>
      </c>
      <c r="B337" s="5">
        <v>49</v>
      </c>
      <c r="C337" s="5">
        <v>63.38</v>
      </c>
      <c r="D337" s="5">
        <v>3105.6200000000003</v>
      </c>
      <c r="E337" s="5" t="str">
        <f t="shared" si="21"/>
        <v>Medium</v>
      </c>
      <c r="F337" s="5">
        <f t="shared" si="22"/>
        <v>931.68600000000004</v>
      </c>
      <c r="G337" s="6">
        <v>38311</v>
      </c>
      <c r="H337" s="5" t="s">
        <v>25</v>
      </c>
      <c r="I337" s="5" t="str">
        <f t="shared" si="20"/>
        <v>Yes</v>
      </c>
      <c r="J337" s="5" t="s">
        <v>686</v>
      </c>
      <c r="K337" s="5">
        <v>2004</v>
      </c>
      <c r="L337" s="5" t="str">
        <f t="shared" si="23"/>
        <v>Nov-2004</v>
      </c>
      <c r="M337" s="5" t="s">
        <v>181</v>
      </c>
      <c r="N337" s="5" t="s">
        <v>403</v>
      </c>
      <c r="O337" s="5" t="s">
        <v>41</v>
      </c>
      <c r="P337" s="5" t="s">
        <v>42</v>
      </c>
      <c r="Q337" s="5" t="s">
        <v>51</v>
      </c>
    </row>
    <row r="338" spans="1:17" x14ac:dyDescent="0.25">
      <c r="A338" s="3">
        <v>10349</v>
      </c>
      <c r="B338" s="3">
        <v>26</v>
      </c>
      <c r="C338" s="3">
        <v>100</v>
      </c>
      <c r="D338" s="3">
        <v>2600</v>
      </c>
      <c r="E338" s="3" t="str">
        <f t="shared" si="21"/>
        <v>Medium</v>
      </c>
      <c r="F338" s="3">
        <f t="shared" si="22"/>
        <v>780</v>
      </c>
      <c r="G338" s="4">
        <v>38322</v>
      </c>
      <c r="H338" s="3" t="s">
        <v>25</v>
      </c>
      <c r="I338" s="3" t="str">
        <f t="shared" si="20"/>
        <v>Yes</v>
      </c>
      <c r="J338" s="3" t="s">
        <v>687</v>
      </c>
      <c r="K338" s="3">
        <v>2004</v>
      </c>
      <c r="L338" s="3" t="str">
        <f t="shared" si="23"/>
        <v>Dec-2004</v>
      </c>
      <c r="M338" s="3" t="s">
        <v>181</v>
      </c>
      <c r="N338" s="3" t="s">
        <v>475</v>
      </c>
      <c r="O338" s="3" t="s">
        <v>32</v>
      </c>
      <c r="P338" s="3" t="s">
        <v>33</v>
      </c>
      <c r="Q338" s="3" t="s">
        <v>51</v>
      </c>
    </row>
    <row r="339" spans="1:17" x14ac:dyDescent="0.25">
      <c r="A339" s="5">
        <v>10359</v>
      </c>
      <c r="B339" s="5">
        <v>49</v>
      </c>
      <c r="C339" s="5">
        <v>62.09</v>
      </c>
      <c r="D339" s="5">
        <v>3042.4100000000003</v>
      </c>
      <c r="E339" s="5" t="str">
        <f t="shared" si="21"/>
        <v>Medium</v>
      </c>
      <c r="F339" s="5">
        <f t="shared" si="22"/>
        <v>912.72300000000007</v>
      </c>
      <c r="G339" s="6">
        <v>38336</v>
      </c>
      <c r="H339" s="5" t="s">
        <v>25</v>
      </c>
      <c r="I339" s="5" t="str">
        <f t="shared" si="20"/>
        <v>Yes</v>
      </c>
      <c r="J339" s="5" t="s">
        <v>687</v>
      </c>
      <c r="K339" s="5">
        <v>2004</v>
      </c>
      <c r="L339" s="5" t="str">
        <f t="shared" si="23"/>
        <v>Dec-2004</v>
      </c>
      <c r="M339" s="5" t="s">
        <v>181</v>
      </c>
      <c r="N339" s="5" t="s">
        <v>37</v>
      </c>
      <c r="O339" s="5" t="s">
        <v>41</v>
      </c>
      <c r="P339" s="5" t="s">
        <v>42</v>
      </c>
      <c r="Q339" s="5" t="s">
        <v>51</v>
      </c>
    </row>
    <row r="340" spans="1:17" x14ac:dyDescent="0.25">
      <c r="A340" s="3">
        <v>10372</v>
      </c>
      <c r="B340" s="3">
        <v>34</v>
      </c>
      <c r="C340" s="3">
        <v>100</v>
      </c>
      <c r="D340" s="3">
        <v>3400</v>
      </c>
      <c r="E340" s="3" t="str">
        <f t="shared" si="21"/>
        <v>Medium</v>
      </c>
      <c r="F340" s="3">
        <f t="shared" si="22"/>
        <v>1020</v>
      </c>
      <c r="G340" s="4">
        <v>38378</v>
      </c>
      <c r="H340" s="3" t="s">
        <v>25</v>
      </c>
      <c r="I340" s="3" t="str">
        <f t="shared" si="20"/>
        <v>Yes</v>
      </c>
      <c r="J340" s="3" t="s">
        <v>549</v>
      </c>
      <c r="K340" s="3">
        <v>2005</v>
      </c>
      <c r="L340" s="3" t="str">
        <f t="shared" si="23"/>
        <v>Jan-2005</v>
      </c>
      <c r="M340" s="3" t="s">
        <v>181</v>
      </c>
      <c r="N340" s="3" t="s">
        <v>246</v>
      </c>
      <c r="O340" s="3" t="s">
        <v>200</v>
      </c>
      <c r="P340" s="3" t="s">
        <v>675</v>
      </c>
      <c r="Q340" s="3" t="s">
        <v>51</v>
      </c>
    </row>
    <row r="341" spans="1:17" x14ac:dyDescent="0.25">
      <c r="A341" s="5">
        <v>10382</v>
      </c>
      <c r="B341" s="5">
        <v>34</v>
      </c>
      <c r="C341" s="5">
        <v>95.35</v>
      </c>
      <c r="D341" s="5">
        <v>3241.8999999999996</v>
      </c>
      <c r="E341" s="5" t="str">
        <f t="shared" si="21"/>
        <v>Medium</v>
      </c>
      <c r="F341" s="5">
        <f t="shared" si="22"/>
        <v>972.56999999999982</v>
      </c>
      <c r="G341" s="6">
        <v>38400</v>
      </c>
      <c r="H341" s="5" t="s">
        <v>25</v>
      </c>
      <c r="I341" s="5" t="str">
        <f t="shared" si="20"/>
        <v>Yes</v>
      </c>
      <c r="J341" s="5" t="s">
        <v>681</v>
      </c>
      <c r="K341" s="5">
        <v>2005</v>
      </c>
      <c r="L341" s="5" t="str">
        <f t="shared" si="23"/>
        <v>Feb-2005</v>
      </c>
      <c r="M341" s="5" t="s">
        <v>181</v>
      </c>
      <c r="N341" s="5" t="s">
        <v>272</v>
      </c>
      <c r="O341" s="5" t="s">
        <v>32</v>
      </c>
      <c r="P341" s="5" t="s">
        <v>33</v>
      </c>
      <c r="Q341" s="5" t="s">
        <v>51</v>
      </c>
    </row>
    <row r="342" spans="1:17" x14ac:dyDescent="0.25">
      <c r="A342" s="3">
        <v>10396</v>
      </c>
      <c r="B342" s="3">
        <v>33</v>
      </c>
      <c r="C342" s="3">
        <v>100</v>
      </c>
      <c r="D342" s="3">
        <v>3300</v>
      </c>
      <c r="E342" s="3" t="str">
        <f t="shared" si="21"/>
        <v>Medium</v>
      </c>
      <c r="F342" s="3">
        <f t="shared" si="22"/>
        <v>990</v>
      </c>
      <c r="G342" s="4">
        <v>38434</v>
      </c>
      <c r="H342" s="3" t="s">
        <v>25</v>
      </c>
      <c r="I342" s="3" t="str">
        <f t="shared" si="20"/>
        <v>Yes</v>
      </c>
      <c r="J342" s="3" t="s">
        <v>691</v>
      </c>
      <c r="K342" s="3">
        <v>2005</v>
      </c>
      <c r="L342" s="3" t="str">
        <f t="shared" si="23"/>
        <v>Mar-2005</v>
      </c>
      <c r="M342" s="3" t="s">
        <v>181</v>
      </c>
      <c r="N342" s="3" t="s">
        <v>272</v>
      </c>
      <c r="O342" s="3" t="s">
        <v>32</v>
      </c>
      <c r="P342" s="3" t="s">
        <v>33</v>
      </c>
      <c r="Q342" s="3" t="s">
        <v>51</v>
      </c>
    </row>
    <row r="343" spans="1:17" x14ac:dyDescent="0.25">
      <c r="A343" s="5">
        <v>10413</v>
      </c>
      <c r="B343" s="5">
        <v>22</v>
      </c>
      <c r="C343" s="5">
        <v>100</v>
      </c>
      <c r="D343" s="5">
        <v>2200</v>
      </c>
      <c r="E343" s="5" t="str">
        <f t="shared" si="21"/>
        <v>Medium</v>
      </c>
      <c r="F343" s="5">
        <f t="shared" si="22"/>
        <v>660</v>
      </c>
      <c r="G343" s="6">
        <v>38477</v>
      </c>
      <c r="H343" s="5" t="s">
        <v>25</v>
      </c>
      <c r="I343" s="5" t="str">
        <f t="shared" si="20"/>
        <v>Yes</v>
      </c>
      <c r="J343" s="5" t="s">
        <v>682</v>
      </c>
      <c r="K343" s="5">
        <v>2005</v>
      </c>
      <c r="L343" s="5" t="str">
        <f t="shared" si="23"/>
        <v>May-2005</v>
      </c>
      <c r="M343" s="5" t="s">
        <v>181</v>
      </c>
      <c r="N343" s="5" t="s">
        <v>109</v>
      </c>
      <c r="O343" s="5" t="s">
        <v>32</v>
      </c>
      <c r="P343" s="5" t="s">
        <v>33</v>
      </c>
      <c r="Q343" s="5" t="s">
        <v>51</v>
      </c>
    </row>
    <row r="344" spans="1:17" x14ac:dyDescent="0.25">
      <c r="A344" s="3">
        <v>10108</v>
      </c>
      <c r="B344" s="3">
        <v>39</v>
      </c>
      <c r="C344" s="3">
        <v>89.38</v>
      </c>
      <c r="D344" s="3">
        <v>3485.8199999999997</v>
      </c>
      <c r="E344" s="3" t="str">
        <f t="shared" si="21"/>
        <v>Medium</v>
      </c>
      <c r="F344" s="3">
        <f t="shared" si="22"/>
        <v>1045.7459999999999</v>
      </c>
      <c r="G344" s="4">
        <v>37683</v>
      </c>
      <c r="H344" s="3" t="s">
        <v>25</v>
      </c>
      <c r="I344" s="3" t="str">
        <f t="shared" si="20"/>
        <v>Yes</v>
      </c>
      <c r="J344" s="3" t="s">
        <v>691</v>
      </c>
      <c r="K344" s="3">
        <v>2003</v>
      </c>
      <c r="L344" s="3" t="str">
        <f t="shared" si="23"/>
        <v>Mar-2003</v>
      </c>
      <c r="M344" s="3" t="s">
        <v>181</v>
      </c>
      <c r="N344" s="3" t="s">
        <v>425</v>
      </c>
      <c r="O344" s="3" t="s">
        <v>430</v>
      </c>
      <c r="P344" s="3" t="s">
        <v>675</v>
      </c>
      <c r="Q344" s="3" t="s">
        <v>51</v>
      </c>
    </row>
    <row r="345" spans="1:17" x14ac:dyDescent="0.25">
      <c r="A345" s="5">
        <v>10122</v>
      </c>
      <c r="B345" s="5">
        <v>32</v>
      </c>
      <c r="C345" s="5">
        <v>63.84</v>
      </c>
      <c r="D345" s="5">
        <v>2042.88</v>
      </c>
      <c r="E345" s="5" t="str">
        <f t="shared" si="21"/>
        <v>Medium</v>
      </c>
      <c r="F345" s="5">
        <f t="shared" si="22"/>
        <v>612.86400000000003</v>
      </c>
      <c r="G345" s="6">
        <v>37749</v>
      </c>
      <c r="H345" s="5" t="s">
        <v>25</v>
      </c>
      <c r="I345" s="5" t="str">
        <f t="shared" si="20"/>
        <v>Yes</v>
      </c>
      <c r="J345" s="5" t="s">
        <v>682</v>
      </c>
      <c r="K345" s="5">
        <v>2003</v>
      </c>
      <c r="L345" s="5" t="str">
        <f t="shared" si="23"/>
        <v>May-2003</v>
      </c>
      <c r="M345" s="5" t="s">
        <v>181</v>
      </c>
      <c r="N345" s="5" t="s">
        <v>433</v>
      </c>
      <c r="O345" s="5" t="s">
        <v>41</v>
      </c>
      <c r="P345" s="5" t="s">
        <v>42</v>
      </c>
      <c r="Q345" s="5" t="s">
        <v>36</v>
      </c>
    </row>
    <row r="346" spans="1:17" x14ac:dyDescent="0.25">
      <c r="A346" s="3">
        <v>10135</v>
      </c>
      <c r="B346" s="3">
        <v>24</v>
      </c>
      <c r="C346" s="3">
        <v>75.010000000000005</v>
      </c>
      <c r="D346" s="3">
        <v>1800.2400000000002</v>
      </c>
      <c r="E346" s="3" t="str">
        <f t="shared" si="21"/>
        <v>Low</v>
      </c>
      <c r="F346" s="3">
        <f t="shared" si="22"/>
        <v>540.072</v>
      </c>
      <c r="G346" s="4">
        <v>37804</v>
      </c>
      <c r="H346" s="3" t="s">
        <v>25</v>
      </c>
      <c r="I346" s="3" t="str">
        <f t="shared" si="20"/>
        <v>Yes</v>
      </c>
      <c r="J346" s="3" t="s">
        <v>683</v>
      </c>
      <c r="K346" s="3">
        <v>2003</v>
      </c>
      <c r="L346" s="3" t="str">
        <f t="shared" si="23"/>
        <v>Jul-2003</v>
      </c>
      <c r="M346" s="3" t="s">
        <v>181</v>
      </c>
      <c r="N346" s="3" t="s">
        <v>272</v>
      </c>
      <c r="O346" s="3" t="s">
        <v>32</v>
      </c>
      <c r="P346" s="3" t="s">
        <v>33</v>
      </c>
      <c r="Q346" s="3" t="s">
        <v>36</v>
      </c>
    </row>
    <row r="347" spans="1:17" x14ac:dyDescent="0.25">
      <c r="A347" s="5">
        <v>10147</v>
      </c>
      <c r="B347" s="5">
        <v>21</v>
      </c>
      <c r="C347" s="5">
        <v>63.84</v>
      </c>
      <c r="D347" s="5">
        <v>1340.64</v>
      </c>
      <c r="E347" s="5" t="str">
        <f t="shared" si="21"/>
        <v>Low</v>
      </c>
      <c r="F347" s="5">
        <f t="shared" si="22"/>
        <v>402.19200000000001</v>
      </c>
      <c r="G347" s="6">
        <v>37869</v>
      </c>
      <c r="H347" s="5" t="s">
        <v>25</v>
      </c>
      <c r="I347" s="5" t="str">
        <f t="shared" si="20"/>
        <v>Yes</v>
      </c>
      <c r="J347" s="5" t="s">
        <v>690</v>
      </c>
      <c r="K347" s="5">
        <v>2003</v>
      </c>
      <c r="L347" s="5" t="str">
        <f t="shared" si="23"/>
        <v>Sep-2003</v>
      </c>
      <c r="M347" s="5" t="s">
        <v>181</v>
      </c>
      <c r="N347" s="5" t="s">
        <v>281</v>
      </c>
      <c r="O347" s="5" t="s">
        <v>32</v>
      </c>
      <c r="P347" s="5" t="s">
        <v>33</v>
      </c>
      <c r="Q347" s="5" t="s">
        <v>36</v>
      </c>
    </row>
    <row r="348" spans="1:17" x14ac:dyDescent="0.25">
      <c r="A348" s="3">
        <v>10159</v>
      </c>
      <c r="B348" s="3">
        <v>24</v>
      </c>
      <c r="C348" s="3">
        <v>73.42</v>
      </c>
      <c r="D348" s="3">
        <v>1762.08</v>
      </c>
      <c r="E348" s="3" t="str">
        <f t="shared" si="21"/>
        <v>Low</v>
      </c>
      <c r="F348" s="3">
        <f t="shared" si="22"/>
        <v>528.62399999999991</v>
      </c>
      <c r="G348" s="4">
        <v>37904</v>
      </c>
      <c r="H348" s="3" t="s">
        <v>25</v>
      </c>
      <c r="I348" s="3" t="str">
        <f t="shared" si="20"/>
        <v>Yes</v>
      </c>
      <c r="J348" s="3" t="s">
        <v>685</v>
      </c>
      <c r="K348" s="3">
        <v>2003</v>
      </c>
      <c r="L348" s="3" t="str">
        <f t="shared" si="23"/>
        <v>Oct-2003</v>
      </c>
      <c r="M348" s="3" t="s">
        <v>181</v>
      </c>
      <c r="N348" s="3" t="s">
        <v>58</v>
      </c>
      <c r="O348" s="3" t="s">
        <v>32</v>
      </c>
      <c r="P348" s="3" t="s">
        <v>33</v>
      </c>
      <c r="Q348" s="3" t="s">
        <v>36</v>
      </c>
    </row>
    <row r="349" spans="1:17" x14ac:dyDescent="0.25">
      <c r="A349" s="5">
        <v>10169</v>
      </c>
      <c r="B349" s="5">
        <v>36</v>
      </c>
      <c r="C349" s="5">
        <v>63.84</v>
      </c>
      <c r="D349" s="5">
        <v>2298.2400000000002</v>
      </c>
      <c r="E349" s="5" t="str">
        <f t="shared" si="21"/>
        <v>Medium</v>
      </c>
      <c r="F349" s="5">
        <f t="shared" si="22"/>
        <v>689.47200000000009</v>
      </c>
      <c r="G349" s="6">
        <v>37929</v>
      </c>
      <c r="H349" s="5" t="s">
        <v>25</v>
      </c>
      <c r="I349" s="5" t="str">
        <f t="shared" si="20"/>
        <v>Yes</v>
      </c>
      <c r="J349" s="5" t="s">
        <v>686</v>
      </c>
      <c r="K349" s="5">
        <v>2003</v>
      </c>
      <c r="L349" s="5" t="str">
        <f t="shared" si="23"/>
        <v>Nov-2003</v>
      </c>
      <c r="M349" s="5" t="s">
        <v>181</v>
      </c>
      <c r="N349" s="5" t="s">
        <v>285</v>
      </c>
      <c r="O349" s="5" t="s">
        <v>95</v>
      </c>
      <c r="P349" s="5" t="s">
        <v>96</v>
      </c>
      <c r="Q349" s="5" t="s">
        <v>36</v>
      </c>
    </row>
    <row r="350" spans="1:17" x14ac:dyDescent="0.25">
      <c r="A350" s="3">
        <v>10181</v>
      </c>
      <c r="B350" s="3">
        <v>20</v>
      </c>
      <c r="C350" s="3">
        <v>81.400000000000006</v>
      </c>
      <c r="D350" s="3">
        <v>1628</v>
      </c>
      <c r="E350" s="3" t="str">
        <f t="shared" si="21"/>
        <v>Low</v>
      </c>
      <c r="F350" s="3">
        <f t="shared" si="22"/>
        <v>488.4</v>
      </c>
      <c r="G350" s="4">
        <v>37937</v>
      </c>
      <c r="H350" s="3" t="s">
        <v>25</v>
      </c>
      <c r="I350" s="3" t="str">
        <f t="shared" si="20"/>
        <v>Yes</v>
      </c>
      <c r="J350" s="3" t="s">
        <v>686</v>
      </c>
      <c r="K350" s="3">
        <v>2003</v>
      </c>
      <c r="L350" s="3" t="str">
        <f t="shared" si="23"/>
        <v>Nov-2003</v>
      </c>
      <c r="M350" s="3" t="s">
        <v>181</v>
      </c>
      <c r="N350" s="3" t="s">
        <v>73</v>
      </c>
      <c r="O350" s="3" t="s">
        <v>78</v>
      </c>
      <c r="P350" s="3" t="s">
        <v>42</v>
      </c>
      <c r="Q350" s="3" t="s">
        <v>36</v>
      </c>
    </row>
    <row r="351" spans="1:17" x14ac:dyDescent="0.25">
      <c r="A351" s="5">
        <v>10191</v>
      </c>
      <c r="B351" s="5">
        <v>30</v>
      </c>
      <c r="C351" s="5">
        <v>64.64</v>
      </c>
      <c r="D351" s="5">
        <v>1939.2</v>
      </c>
      <c r="E351" s="5" t="str">
        <f t="shared" si="21"/>
        <v>Low</v>
      </c>
      <c r="F351" s="5">
        <f t="shared" si="22"/>
        <v>581.76</v>
      </c>
      <c r="G351" s="6">
        <v>37945</v>
      </c>
      <c r="H351" s="5" t="s">
        <v>25</v>
      </c>
      <c r="I351" s="5" t="str">
        <f t="shared" si="20"/>
        <v>Yes</v>
      </c>
      <c r="J351" s="5" t="s">
        <v>686</v>
      </c>
      <c r="K351" s="5">
        <v>2003</v>
      </c>
      <c r="L351" s="5" t="str">
        <f t="shared" si="23"/>
        <v>Nov-2003</v>
      </c>
      <c r="M351" s="5" t="s">
        <v>181</v>
      </c>
      <c r="N351" s="5" t="s">
        <v>439</v>
      </c>
      <c r="O351" s="5" t="s">
        <v>443</v>
      </c>
      <c r="P351" s="5" t="s">
        <v>42</v>
      </c>
      <c r="Q351" s="5" t="s">
        <v>36</v>
      </c>
    </row>
    <row r="352" spans="1:17" x14ac:dyDescent="0.25">
      <c r="A352" s="3">
        <v>10203</v>
      </c>
      <c r="B352" s="3">
        <v>44</v>
      </c>
      <c r="C352" s="3">
        <v>82.99</v>
      </c>
      <c r="D352" s="3">
        <v>3651.56</v>
      </c>
      <c r="E352" s="3" t="str">
        <f t="shared" si="21"/>
        <v>Medium</v>
      </c>
      <c r="F352" s="3">
        <f t="shared" si="22"/>
        <v>1095.4679999999998</v>
      </c>
      <c r="G352" s="4">
        <v>37957</v>
      </c>
      <c r="H352" s="3" t="s">
        <v>25</v>
      </c>
      <c r="I352" s="3" t="str">
        <f t="shared" si="20"/>
        <v>Yes</v>
      </c>
      <c r="J352" s="3" t="s">
        <v>687</v>
      </c>
      <c r="K352" s="3">
        <v>2003</v>
      </c>
      <c r="L352" s="3" t="str">
        <f t="shared" si="23"/>
        <v>Dec-2003</v>
      </c>
      <c r="M352" s="3" t="s">
        <v>181</v>
      </c>
      <c r="N352" s="3" t="s">
        <v>174</v>
      </c>
      <c r="O352" s="3" t="s">
        <v>178</v>
      </c>
      <c r="P352" s="3" t="s">
        <v>42</v>
      </c>
      <c r="Q352" s="3" t="s">
        <v>51</v>
      </c>
    </row>
    <row r="353" spans="1:17" x14ac:dyDescent="0.25">
      <c r="A353" s="5">
        <v>10211</v>
      </c>
      <c r="B353" s="5">
        <v>28</v>
      </c>
      <c r="C353" s="5">
        <v>92.57</v>
      </c>
      <c r="D353" s="5">
        <v>2591.96</v>
      </c>
      <c r="E353" s="5" t="str">
        <f t="shared" si="21"/>
        <v>Medium</v>
      </c>
      <c r="F353" s="5">
        <f t="shared" si="22"/>
        <v>777.58799999999997</v>
      </c>
      <c r="G353" s="6">
        <v>38001</v>
      </c>
      <c r="H353" s="5" t="s">
        <v>25</v>
      </c>
      <c r="I353" s="5" t="str">
        <f t="shared" si="20"/>
        <v>Yes</v>
      </c>
      <c r="J353" s="5" t="s">
        <v>549</v>
      </c>
      <c r="K353" s="5">
        <v>2004</v>
      </c>
      <c r="L353" s="5" t="str">
        <f t="shared" si="23"/>
        <v>Jan-2004</v>
      </c>
      <c r="M353" s="5" t="s">
        <v>181</v>
      </c>
      <c r="N353" s="5" t="s">
        <v>84</v>
      </c>
      <c r="O353" s="5" t="s">
        <v>41</v>
      </c>
      <c r="P353" s="5" t="s">
        <v>42</v>
      </c>
      <c r="Q353" s="5" t="s">
        <v>36</v>
      </c>
    </row>
    <row r="354" spans="1:17" x14ac:dyDescent="0.25">
      <c r="A354" s="3">
        <v>10225</v>
      </c>
      <c r="B354" s="3">
        <v>37</v>
      </c>
      <c r="C354" s="3">
        <v>77.41</v>
      </c>
      <c r="D354" s="3">
        <v>2864.17</v>
      </c>
      <c r="E354" s="3" t="str">
        <f t="shared" si="21"/>
        <v>Medium</v>
      </c>
      <c r="F354" s="3">
        <f t="shared" si="22"/>
        <v>859.25099999999998</v>
      </c>
      <c r="G354" s="4">
        <v>38039</v>
      </c>
      <c r="H354" s="3" t="s">
        <v>25</v>
      </c>
      <c r="I354" s="3" t="str">
        <f t="shared" si="20"/>
        <v>Yes</v>
      </c>
      <c r="J354" s="3" t="s">
        <v>681</v>
      </c>
      <c r="K354" s="3">
        <v>2004</v>
      </c>
      <c r="L354" s="3" t="str">
        <f t="shared" si="23"/>
        <v>Feb-2004</v>
      </c>
      <c r="M354" s="3" t="s">
        <v>181</v>
      </c>
      <c r="N354" s="3" t="s">
        <v>446</v>
      </c>
      <c r="O354" s="3" t="s">
        <v>450</v>
      </c>
      <c r="P354" s="3" t="s">
        <v>42</v>
      </c>
      <c r="Q354" s="3" t="s">
        <v>36</v>
      </c>
    </row>
    <row r="355" spans="1:17" x14ac:dyDescent="0.25">
      <c r="A355" s="5">
        <v>10238</v>
      </c>
      <c r="B355" s="5">
        <v>20</v>
      </c>
      <c r="C355" s="5">
        <v>74.209999999999994</v>
      </c>
      <c r="D355" s="5">
        <v>1484.1999999999998</v>
      </c>
      <c r="E355" s="5" t="str">
        <f t="shared" si="21"/>
        <v>Low</v>
      </c>
      <c r="F355" s="5">
        <f t="shared" si="22"/>
        <v>445.25999999999993</v>
      </c>
      <c r="G355" s="6">
        <v>38086</v>
      </c>
      <c r="H355" s="5" t="s">
        <v>25</v>
      </c>
      <c r="I355" s="5" t="str">
        <f t="shared" si="20"/>
        <v>Yes</v>
      </c>
      <c r="J355" s="5" t="s">
        <v>688</v>
      </c>
      <c r="K355" s="5">
        <v>2004</v>
      </c>
      <c r="L355" s="5" t="str">
        <f t="shared" si="23"/>
        <v>Apr-2004</v>
      </c>
      <c r="M355" s="5" t="s">
        <v>181</v>
      </c>
      <c r="N355" s="5" t="s">
        <v>322</v>
      </c>
      <c r="O355" s="5" t="s">
        <v>326</v>
      </c>
      <c r="P355" s="5" t="s">
        <v>42</v>
      </c>
      <c r="Q355" s="5" t="s">
        <v>36</v>
      </c>
    </row>
    <row r="356" spans="1:17" x14ac:dyDescent="0.25">
      <c r="A356" s="3">
        <v>10253</v>
      </c>
      <c r="B356" s="3">
        <v>25</v>
      </c>
      <c r="C356" s="3">
        <v>90.17</v>
      </c>
      <c r="D356" s="3">
        <v>2254.25</v>
      </c>
      <c r="E356" s="3" t="str">
        <f t="shared" si="21"/>
        <v>Medium</v>
      </c>
      <c r="F356" s="3">
        <f t="shared" si="22"/>
        <v>676.27499999999998</v>
      </c>
      <c r="G356" s="4">
        <v>38139</v>
      </c>
      <c r="H356" s="3" t="s">
        <v>339</v>
      </c>
      <c r="I356" s="3" t="str">
        <f t="shared" si="20"/>
        <v>No</v>
      </c>
      <c r="J356" s="3" t="s">
        <v>689</v>
      </c>
      <c r="K356" s="3">
        <v>2004</v>
      </c>
      <c r="L356" s="3" t="str">
        <f t="shared" si="23"/>
        <v>Jun-2004</v>
      </c>
      <c r="M356" s="3" t="s">
        <v>181</v>
      </c>
      <c r="N356" s="3" t="s">
        <v>165</v>
      </c>
      <c r="O356" s="3" t="s">
        <v>170</v>
      </c>
      <c r="P356" s="3" t="s">
        <v>42</v>
      </c>
      <c r="Q356" s="3" t="s">
        <v>36</v>
      </c>
    </row>
    <row r="357" spans="1:17" x14ac:dyDescent="0.25">
      <c r="A357" s="5">
        <v>10266</v>
      </c>
      <c r="B357" s="5">
        <v>35</v>
      </c>
      <c r="C357" s="5">
        <v>76.61</v>
      </c>
      <c r="D357" s="5">
        <v>2681.35</v>
      </c>
      <c r="E357" s="5" t="str">
        <f t="shared" si="21"/>
        <v>Medium</v>
      </c>
      <c r="F357" s="5">
        <f t="shared" si="22"/>
        <v>804.40499999999997</v>
      </c>
      <c r="G357" s="6">
        <v>38174</v>
      </c>
      <c r="H357" s="5" t="s">
        <v>25</v>
      </c>
      <c r="I357" s="5" t="str">
        <f t="shared" si="20"/>
        <v>Yes</v>
      </c>
      <c r="J357" s="5" t="s">
        <v>683</v>
      </c>
      <c r="K357" s="5">
        <v>2004</v>
      </c>
      <c r="L357" s="5" t="str">
        <f t="shared" si="23"/>
        <v>Jul-2004</v>
      </c>
      <c r="M357" s="5" t="s">
        <v>181</v>
      </c>
      <c r="N357" s="5" t="s">
        <v>452</v>
      </c>
      <c r="O357" s="5" t="s">
        <v>258</v>
      </c>
      <c r="P357" s="5" t="s">
        <v>42</v>
      </c>
      <c r="Q357" s="5" t="s">
        <v>36</v>
      </c>
    </row>
    <row r="358" spans="1:17" x14ac:dyDescent="0.25">
      <c r="A358" s="3">
        <v>10276</v>
      </c>
      <c r="B358" s="3">
        <v>38</v>
      </c>
      <c r="C358" s="3">
        <v>83.79</v>
      </c>
      <c r="D358" s="3">
        <v>3184.0200000000004</v>
      </c>
      <c r="E358" s="3" t="str">
        <f t="shared" si="21"/>
        <v>Medium</v>
      </c>
      <c r="F358" s="3">
        <f t="shared" si="22"/>
        <v>955.20600000000013</v>
      </c>
      <c r="G358" s="4">
        <v>38201</v>
      </c>
      <c r="H358" s="3" t="s">
        <v>25</v>
      </c>
      <c r="I358" s="3" t="str">
        <f t="shared" si="20"/>
        <v>Yes</v>
      </c>
      <c r="J358" s="3" t="s">
        <v>684</v>
      </c>
      <c r="K358" s="3">
        <v>2004</v>
      </c>
      <c r="L358" s="3" t="str">
        <f t="shared" si="23"/>
        <v>Aug-2004</v>
      </c>
      <c r="M358" s="3" t="s">
        <v>181</v>
      </c>
      <c r="N358" s="3" t="s">
        <v>458</v>
      </c>
      <c r="O358" s="3" t="s">
        <v>32</v>
      </c>
      <c r="P358" s="3" t="s">
        <v>33</v>
      </c>
      <c r="Q358" s="3" t="s">
        <v>51</v>
      </c>
    </row>
    <row r="359" spans="1:17" x14ac:dyDescent="0.25">
      <c r="A359" s="5">
        <v>10287</v>
      </c>
      <c r="B359" s="5">
        <v>41</v>
      </c>
      <c r="C359" s="5">
        <v>69.430000000000007</v>
      </c>
      <c r="D359" s="5">
        <v>2846.63</v>
      </c>
      <c r="E359" s="5" t="str">
        <f t="shared" si="21"/>
        <v>Medium</v>
      </c>
      <c r="F359" s="5">
        <f t="shared" si="22"/>
        <v>853.98900000000003</v>
      </c>
      <c r="G359" s="6">
        <v>38229</v>
      </c>
      <c r="H359" s="5" t="s">
        <v>25</v>
      </c>
      <c r="I359" s="5" t="str">
        <f t="shared" si="20"/>
        <v>Yes</v>
      </c>
      <c r="J359" s="5" t="s">
        <v>684</v>
      </c>
      <c r="K359" s="5">
        <v>2004</v>
      </c>
      <c r="L359" s="5" t="str">
        <f t="shared" si="23"/>
        <v>Aug-2004</v>
      </c>
      <c r="M359" s="5" t="s">
        <v>181</v>
      </c>
      <c r="N359" s="5" t="s">
        <v>446</v>
      </c>
      <c r="O359" s="5" t="s">
        <v>450</v>
      </c>
      <c r="P359" s="5" t="s">
        <v>42</v>
      </c>
      <c r="Q359" s="5" t="s">
        <v>36</v>
      </c>
    </row>
    <row r="360" spans="1:17" x14ac:dyDescent="0.25">
      <c r="A360" s="3">
        <v>10300</v>
      </c>
      <c r="B360" s="3">
        <v>22</v>
      </c>
      <c r="C360" s="3">
        <v>76.61</v>
      </c>
      <c r="D360" s="3">
        <v>1685.42</v>
      </c>
      <c r="E360" s="3" t="str">
        <f t="shared" si="21"/>
        <v>Low</v>
      </c>
      <c r="F360" s="3">
        <f t="shared" si="22"/>
        <v>505.62599999999998</v>
      </c>
      <c r="G360" s="4">
        <v>37898</v>
      </c>
      <c r="H360" s="3" t="s">
        <v>25</v>
      </c>
      <c r="I360" s="3" t="str">
        <f t="shared" si="20"/>
        <v>Yes</v>
      </c>
      <c r="J360" s="3" t="s">
        <v>685</v>
      </c>
      <c r="K360" s="3">
        <v>2003</v>
      </c>
      <c r="L360" s="3" t="str">
        <f t="shared" si="23"/>
        <v>Oct-2003</v>
      </c>
      <c r="M360" s="3" t="s">
        <v>181</v>
      </c>
      <c r="N360" s="3" t="s">
        <v>462</v>
      </c>
      <c r="O360" s="3" t="s">
        <v>443</v>
      </c>
      <c r="P360" s="3" t="s">
        <v>42</v>
      </c>
      <c r="Q360" s="3" t="s">
        <v>36</v>
      </c>
    </row>
    <row r="361" spans="1:17" x14ac:dyDescent="0.25">
      <c r="A361" s="5">
        <v>10310</v>
      </c>
      <c r="B361" s="5">
        <v>49</v>
      </c>
      <c r="C361" s="5">
        <v>81.400000000000006</v>
      </c>
      <c r="D361" s="5">
        <v>3988.6000000000004</v>
      </c>
      <c r="E361" s="5" t="str">
        <f t="shared" si="21"/>
        <v>Medium</v>
      </c>
      <c r="F361" s="5">
        <f t="shared" si="22"/>
        <v>1196.5800000000002</v>
      </c>
      <c r="G361" s="6">
        <v>38276</v>
      </c>
      <c r="H361" s="5" t="s">
        <v>25</v>
      </c>
      <c r="I361" s="5" t="str">
        <f t="shared" si="20"/>
        <v>Yes</v>
      </c>
      <c r="J361" s="5" t="s">
        <v>685</v>
      </c>
      <c r="K361" s="5">
        <v>2004</v>
      </c>
      <c r="L361" s="5" t="str">
        <f t="shared" si="23"/>
        <v>Oct-2004</v>
      </c>
      <c r="M361" s="5" t="s">
        <v>181</v>
      </c>
      <c r="N361" s="5" t="s">
        <v>439</v>
      </c>
      <c r="O361" s="5" t="s">
        <v>443</v>
      </c>
      <c r="P361" s="5" t="s">
        <v>42</v>
      </c>
      <c r="Q361" s="5" t="s">
        <v>51</v>
      </c>
    </row>
    <row r="362" spans="1:17" x14ac:dyDescent="0.25">
      <c r="A362" s="3">
        <v>10320</v>
      </c>
      <c r="B362" s="3">
        <v>38</v>
      </c>
      <c r="C362" s="3">
        <v>73.42</v>
      </c>
      <c r="D362" s="3">
        <v>2789.96</v>
      </c>
      <c r="E362" s="3" t="str">
        <f t="shared" si="21"/>
        <v>Medium</v>
      </c>
      <c r="F362" s="3">
        <f t="shared" si="22"/>
        <v>836.98799999999994</v>
      </c>
      <c r="G362" s="4">
        <v>38294</v>
      </c>
      <c r="H362" s="3" t="s">
        <v>25</v>
      </c>
      <c r="I362" s="3" t="str">
        <f t="shared" si="20"/>
        <v>Yes</v>
      </c>
      <c r="J362" s="3" t="s">
        <v>686</v>
      </c>
      <c r="K362" s="3">
        <v>2004</v>
      </c>
      <c r="L362" s="3" t="str">
        <f t="shared" si="23"/>
        <v>Nov-2004</v>
      </c>
      <c r="M362" s="3" t="s">
        <v>181</v>
      </c>
      <c r="N362" s="3" t="s">
        <v>183</v>
      </c>
      <c r="O362" s="3" t="s">
        <v>188</v>
      </c>
      <c r="P362" s="3" t="s">
        <v>42</v>
      </c>
      <c r="Q362" s="3" t="s">
        <v>36</v>
      </c>
    </row>
    <row r="363" spans="1:17" x14ac:dyDescent="0.25">
      <c r="A363" s="5">
        <v>10329</v>
      </c>
      <c r="B363" s="5">
        <v>33</v>
      </c>
      <c r="C363" s="5">
        <v>100</v>
      </c>
      <c r="D363" s="5">
        <v>3300</v>
      </c>
      <c r="E363" s="5" t="str">
        <f t="shared" si="21"/>
        <v>Medium</v>
      </c>
      <c r="F363" s="5">
        <f t="shared" si="22"/>
        <v>990</v>
      </c>
      <c r="G363" s="6">
        <v>38306</v>
      </c>
      <c r="H363" s="5" t="s">
        <v>25</v>
      </c>
      <c r="I363" s="5" t="str">
        <f t="shared" si="20"/>
        <v>Yes</v>
      </c>
      <c r="J363" s="5" t="s">
        <v>686</v>
      </c>
      <c r="K363" s="5">
        <v>2004</v>
      </c>
      <c r="L363" s="5" t="str">
        <f t="shared" si="23"/>
        <v>Nov-2004</v>
      </c>
      <c r="M363" s="5" t="s">
        <v>181</v>
      </c>
      <c r="N363" s="5" t="s">
        <v>28</v>
      </c>
      <c r="O363" s="5" t="s">
        <v>32</v>
      </c>
      <c r="P363" s="5" t="s">
        <v>33</v>
      </c>
      <c r="Q363" s="5" t="s">
        <v>51</v>
      </c>
    </row>
    <row r="364" spans="1:17" x14ac:dyDescent="0.25">
      <c r="A364" s="3">
        <v>10341</v>
      </c>
      <c r="B364" s="3">
        <v>36</v>
      </c>
      <c r="C364" s="3">
        <v>93.56</v>
      </c>
      <c r="D364" s="3">
        <v>3368.16</v>
      </c>
      <c r="E364" s="3" t="str">
        <f t="shared" si="21"/>
        <v>Medium</v>
      </c>
      <c r="F364" s="3">
        <f t="shared" si="22"/>
        <v>1010.4479999999999</v>
      </c>
      <c r="G364" s="4">
        <v>38315</v>
      </c>
      <c r="H364" s="3" t="s">
        <v>25</v>
      </c>
      <c r="I364" s="3" t="str">
        <f t="shared" si="20"/>
        <v>Yes</v>
      </c>
      <c r="J364" s="3" t="s">
        <v>686</v>
      </c>
      <c r="K364" s="3">
        <v>2004</v>
      </c>
      <c r="L364" s="3" t="str">
        <f t="shared" si="23"/>
        <v>Nov-2004</v>
      </c>
      <c r="M364" s="3" t="s">
        <v>181</v>
      </c>
      <c r="N364" s="3" t="s">
        <v>144</v>
      </c>
      <c r="O364" s="3" t="s">
        <v>148</v>
      </c>
      <c r="P364" s="3" t="s">
        <v>42</v>
      </c>
      <c r="Q364" s="3" t="s">
        <v>51</v>
      </c>
    </row>
    <row r="365" spans="1:17" x14ac:dyDescent="0.25">
      <c r="A365" s="5">
        <v>10363</v>
      </c>
      <c r="B365" s="5">
        <v>34</v>
      </c>
      <c r="C365" s="5">
        <v>81.62</v>
      </c>
      <c r="D365" s="5">
        <v>2775.08</v>
      </c>
      <c r="E365" s="5" t="str">
        <f t="shared" si="21"/>
        <v>Medium</v>
      </c>
      <c r="F365" s="5">
        <f t="shared" si="22"/>
        <v>832.524</v>
      </c>
      <c r="G365" s="6">
        <v>38358</v>
      </c>
      <c r="H365" s="5" t="s">
        <v>25</v>
      </c>
      <c r="I365" s="5" t="str">
        <f t="shared" si="20"/>
        <v>Yes</v>
      </c>
      <c r="J365" s="5" t="s">
        <v>549</v>
      </c>
      <c r="K365" s="5">
        <v>2005</v>
      </c>
      <c r="L365" s="5" t="str">
        <f t="shared" si="23"/>
        <v>Jan-2005</v>
      </c>
      <c r="M365" s="5" t="s">
        <v>181</v>
      </c>
      <c r="N365" s="5" t="s">
        <v>467</v>
      </c>
      <c r="O365" s="5" t="s">
        <v>130</v>
      </c>
      <c r="P365" s="5" t="s">
        <v>42</v>
      </c>
      <c r="Q365" s="5" t="s">
        <v>36</v>
      </c>
    </row>
    <row r="366" spans="1:17" x14ac:dyDescent="0.25">
      <c r="A366" s="3">
        <v>10377</v>
      </c>
      <c r="B366" s="3">
        <v>24</v>
      </c>
      <c r="C366" s="3">
        <v>67.83</v>
      </c>
      <c r="D366" s="3">
        <v>1627.92</v>
      </c>
      <c r="E366" s="3" t="str">
        <f t="shared" si="21"/>
        <v>Low</v>
      </c>
      <c r="F366" s="3">
        <f t="shared" si="22"/>
        <v>488.37599999999998</v>
      </c>
      <c r="G366" s="4">
        <v>38392</v>
      </c>
      <c r="H366" s="3" t="s">
        <v>25</v>
      </c>
      <c r="I366" s="3" t="str">
        <f t="shared" si="20"/>
        <v>Yes</v>
      </c>
      <c r="J366" s="3" t="s">
        <v>681</v>
      </c>
      <c r="K366" s="3">
        <v>2005</v>
      </c>
      <c r="L366" s="3" t="str">
        <f t="shared" si="23"/>
        <v>Feb-2005</v>
      </c>
      <c r="M366" s="3" t="s">
        <v>181</v>
      </c>
      <c r="N366" s="3" t="s">
        <v>126</v>
      </c>
      <c r="O366" s="3" t="s">
        <v>130</v>
      </c>
      <c r="P366" s="3" t="s">
        <v>42</v>
      </c>
      <c r="Q366" s="3" t="s">
        <v>36</v>
      </c>
    </row>
    <row r="367" spans="1:17" x14ac:dyDescent="0.25">
      <c r="A367" s="5">
        <v>10389</v>
      </c>
      <c r="B367" s="5">
        <v>36</v>
      </c>
      <c r="C367" s="5">
        <v>70.260000000000005</v>
      </c>
      <c r="D367" s="5">
        <v>2529.36</v>
      </c>
      <c r="E367" s="5" t="str">
        <f t="shared" si="21"/>
        <v>Medium</v>
      </c>
      <c r="F367" s="5">
        <f t="shared" si="22"/>
        <v>758.80799999999999</v>
      </c>
      <c r="G367" s="6">
        <v>38414</v>
      </c>
      <c r="H367" s="5" t="s">
        <v>25</v>
      </c>
      <c r="I367" s="5" t="str">
        <f t="shared" si="20"/>
        <v>Yes</v>
      </c>
      <c r="J367" s="5" t="s">
        <v>691</v>
      </c>
      <c r="K367" s="5">
        <v>2005</v>
      </c>
      <c r="L367" s="5" t="str">
        <f t="shared" si="23"/>
        <v>Mar-2005</v>
      </c>
      <c r="M367" s="5" t="s">
        <v>181</v>
      </c>
      <c r="N367" s="5" t="s">
        <v>261</v>
      </c>
      <c r="O367" s="5" t="s">
        <v>188</v>
      </c>
      <c r="P367" s="5" t="s">
        <v>42</v>
      </c>
      <c r="Q367" s="5" t="s">
        <v>36</v>
      </c>
    </row>
    <row r="368" spans="1:17" x14ac:dyDescent="0.25">
      <c r="A368" s="3">
        <v>10419</v>
      </c>
      <c r="B368" s="3">
        <v>34</v>
      </c>
      <c r="C368" s="3">
        <v>90.17</v>
      </c>
      <c r="D368" s="3">
        <v>3065.78</v>
      </c>
      <c r="E368" s="3" t="str">
        <f t="shared" si="21"/>
        <v>Medium</v>
      </c>
      <c r="F368" s="3">
        <f t="shared" si="22"/>
        <v>919.73400000000004</v>
      </c>
      <c r="G368" s="4">
        <v>38489</v>
      </c>
      <c r="H368" s="3" t="s">
        <v>25</v>
      </c>
      <c r="I368" s="3" t="str">
        <f t="shared" si="20"/>
        <v>Yes</v>
      </c>
      <c r="J368" s="3" t="s">
        <v>682</v>
      </c>
      <c r="K368" s="3">
        <v>2005</v>
      </c>
      <c r="L368" s="3" t="str">
        <f t="shared" si="23"/>
        <v>May-2005</v>
      </c>
      <c r="M368" s="3" t="s">
        <v>181</v>
      </c>
      <c r="N368" s="3" t="s">
        <v>144</v>
      </c>
      <c r="O368" s="3" t="s">
        <v>148</v>
      </c>
      <c r="P368" s="3" t="s">
        <v>42</v>
      </c>
      <c r="Q368" s="3" t="s">
        <v>51</v>
      </c>
    </row>
    <row r="369" spans="1:17" x14ac:dyDescent="0.25">
      <c r="A369" s="5">
        <v>10104</v>
      </c>
      <c r="B369" s="5">
        <v>41</v>
      </c>
      <c r="C369" s="5">
        <v>100</v>
      </c>
      <c r="D369" s="5">
        <v>4100</v>
      </c>
      <c r="E369" s="5" t="str">
        <f t="shared" si="21"/>
        <v>Medium</v>
      </c>
      <c r="F369" s="5">
        <f t="shared" si="22"/>
        <v>1230</v>
      </c>
      <c r="G369" s="6">
        <v>37652</v>
      </c>
      <c r="H369" s="5" t="s">
        <v>25</v>
      </c>
      <c r="I369" s="5" t="str">
        <f t="shared" si="20"/>
        <v>Yes</v>
      </c>
      <c r="J369" s="5" t="s">
        <v>549</v>
      </c>
      <c r="K369" s="5">
        <v>2003</v>
      </c>
      <c r="L369" s="5" t="str">
        <f t="shared" si="23"/>
        <v>Jan-2003</v>
      </c>
      <c r="M369" s="5" t="s">
        <v>504</v>
      </c>
      <c r="N369" s="5" t="s">
        <v>174</v>
      </c>
      <c r="O369" s="5" t="s">
        <v>178</v>
      </c>
      <c r="P369" s="5" t="s">
        <v>42</v>
      </c>
      <c r="Q369" s="5" t="s">
        <v>51</v>
      </c>
    </row>
    <row r="370" spans="1:17" x14ac:dyDescent="0.25">
      <c r="A370" s="3">
        <v>10115</v>
      </c>
      <c r="B370" s="3">
        <v>46</v>
      </c>
      <c r="C370" s="3">
        <v>100</v>
      </c>
      <c r="D370" s="3">
        <v>4600</v>
      </c>
      <c r="E370" s="3" t="str">
        <f t="shared" si="21"/>
        <v>Medium</v>
      </c>
      <c r="F370" s="3">
        <f t="shared" si="22"/>
        <v>1380</v>
      </c>
      <c r="G370" s="4">
        <v>37715</v>
      </c>
      <c r="H370" s="3" t="s">
        <v>25</v>
      </c>
      <c r="I370" s="3" t="str">
        <f t="shared" si="20"/>
        <v>Yes</v>
      </c>
      <c r="J370" s="3" t="s">
        <v>688</v>
      </c>
      <c r="K370" s="3">
        <v>2003</v>
      </c>
      <c r="L370" s="3" t="str">
        <f t="shared" si="23"/>
        <v>Apr-2003</v>
      </c>
      <c r="M370" s="3" t="s">
        <v>504</v>
      </c>
      <c r="N370" s="3" t="s">
        <v>203</v>
      </c>
      <c r="O370" s="3" t="s">
        <v>32</v>
      </c>
      <c r="P370" s="3" t="s">
        <v>33</v>
      </c>
      <c r="Q370" s="3" t="s">
        <v>51</v>
      </c>
    </row>
    <row r="371" spans="1:17" x14ac:dyDescent="0.25">
      <c r="A371" s="5">
        <v>10127</v>
      </c>
      <c r="B371" s="5">
        <v>24</v>
      </c>
      <c r="C371" s="5">
        <v>100</v>
      </c>
      <c r="D371" s="5">
        <v>2400</v>
      </c>
      <c r="E371" s="5" t="str">
        <f t="shared" si="21"/>
        <v>Medium</v>
      </c>
      <c r="F371" s="5">
        <f t="shared" si="22"/>
        <v>720</v>
      </c>
      <c r="G371" s="6">
        <v>37775</v>
      </c>
      <c r="H371" s="5" t="s">
        <v>25</v>
      </c>
      <c r="I371" s="5" t="str">
        <f t="shared" si="20"/>
        <v>Yes</v>
      </c>
      <c r="J371" s="5" t="s">
        <v>689</v>
      </c>
      <c r="K371" s="5">
        <v>2003</v>
      </c>
      <c r="L371" s="5" t="str">
        <f t="shared" si="23"/>
        <v>Jun-2003</v>
      </c>
      <c r="M371" s="5" t="s">
        <v>504</v>
      </c>
      <c r="N371" s="5" t="s">
        <v>475</v>
      </c>
      <c r="O371" s="5" t="s">
        <v>32</v>
      </c>
      <c r="P371" s="5" t="s">
        <v>33</v>
      </c>
      <c r="Q371" s="5" t="s">
        <v>36</v>
      </c>
    </row>
    <row r="372" spans="1:17" x14ac:dyDescent="0.25">
      <c r="A372" s="3">
        <v>10141</v>
      </c>
      <c r="B372" s="3">
        <v>21</v>
      </c>
      <c r="C372" s="3">
        <v>100</v>
      </c>
      <c r="D372" s="3">
        <v>2100</v>
      </c>
      <c r="E372" s="3" t="str">
        <f t="shared" si="21"/>
        <v>Medium</v>
      </c>
      <c r="F372" s="3">
        <f t="shared" si="22"/>
        <v>630</v>
      </c>
      <c r="G372" s="4">
        <v>37834</v>
      </c>
      <c r="H372" s="3" t="s">
        <v>25</v>
      </c>
      <c r="I372" s="3" t="str">
        <f t="shared" si="20"/>
        <v>Yes</v>
      </c>
      <c r="J372" s="3" t="s">
        <v>684</v>
      </c>
      <c r="K372" s="3">
        <v>2003</v>
      </c>
      <c r="L372" s="3" t="str">
        <f t="shared" si="23"/>
        <v>Aug-2003</v>
      </c>
      <c r="M372" s="3" t="s">
        <v>504</v>
      </c>
      <c r="N372" s="3" t="s">
        <v>467</v>
      </c>
      <c r="O372" s="3" t="s">
        <v>130</v>
      </c>
      <c r="P372" s="3" t="s">
        <v>42</v>
      </c>
      <c r="Q372" s="3" t="s">
        <v>36</v>
      </c>
    </row>
    <row r="373" spans="1:17" x14ac:dyDescent="0.25">
      <c r="A373" s="5">
        <v>10151</v>
      </c>
      <c r="B373" s="5">
        <v>24</v>
      </c>
      <c r="C373" s="5">
        <v>100</v>
      </c>
      <c r="D373" s="5">
        <v>2400</v>
      </c>
      <c r="E373" s="5" t="str">
        <f t="shared" si="21"/>
        <v>Medium</v>
      </c>
      <c r="F373" s="5">
        <f t="shared" si="22"/>
        <v>720</v>
      </c>
      <c r="G373" s="6">
        <v>37885</v>
      </c>
      <c r="H373" s="5" t="s">
        <v>25</v>
      </c>
      <c r="I373" s="5" t="str">
        <f t="shared" si="20"/>
        <v>Yes</v>
      </c>
      <c r="J373" s="5" t="s">
        <v>690</v>
      </c>
      <c r="K373" s="5">
        <v>2003</v>
      </c>
      <c r="L373" s="5" t="str">
        <f t="shared" si="23"/>
        <v>Sep-2003</v>
      </c>
      <c r="M373" s="5" t="s">
        <v>504</v>
      </c>
      <c r="N373" s="5" t="s">
        <v>391</v>
      </c>
      <c r="O373" s="5" t="s">
        <v>130</v>
      </c>
      <c r="P373" s="5" t="s">
        <v>42</v>
      </c>
      <c r="Q373" s="5" t="s">
        <v>51</v>
      </c>
    </row>
    <row r="374" spans="1:17" x14ac:dyDescent="0.25">
      <c r="A374" s="3">
        <v>10165</v>
      </c>
      <c r="B374" s="3">
        <v>48</v>
      </c>
      <c r="C374" s="3">
        <v>100</v>
      </c>
      <c r="D374" s="3">
        <v>4800</v>
      </c>
      <c r="E374" s="3" t="str">
        <f t="shared" si="21"/>
        <v>Medium</v>
      </c>
      <c r="F374" s="3">
        <f t="shared" si="22"/>
        <v>1440</v>
      </c>
      <c r="G374" s="4">
        <v>37916</v>
      </c>
      <c r="H374" s="3" t="s">
        <v>25</v>
      </c>
      <c r="I374" s="3" t="str">
        <f t="shared" si="20"/>
        <v>Yes</v>
      </c>
      <c r="J374" s="3" t="s">
        <v>685</v>
      </c>
      <c r="K374" s="3">
        <v>2003</v>
      </c>
      <c r="L374" s="3" t="str">
        <f t="shared" si="23"/>
        <v>Oct-2003</v>
      </c>
      <c r="M374" s="3" t="s">
        <v>504</v>
      </c>
      <c r="N374" s="3" t="s">
        <v>196</v>
      </c>
      <c r="O374" s="3" t="s">
        <v>199</v>
      </c>
      <c r="P374" s="3" t="s">
        <v>675</v>
      </c>
      <c r="Q374" s="3" t="s">
        <v>51</v>
      </c>
    </row>
    <row r="375" spans="1:17" x14ac:dyDescent="0.25">
      <c r="A375" s="5">
        <v>10175</v>
      </c>
      <c r="B375" s="5">
        <v>26</v>
      </c>
      <c r="C375" s="5">
        <v>100</v>
      </c>
      <c r="D375" s="5">
        <v>2600</v>
      </c>
      <c r="E375" s="5" t="str">
        <f t="shared" si="21"/>
        <v>Medium</v>
      </c>
      <c r="F375" s="5">
        <f t="shared" si="22"/>
        <v>780</v>
      </c>
      <c r="G375" s="6">
        <v>37931</v>
      </c>
      <c r="H375" s="5" t="s">
        <v>25</v>
      </c>
      <c r="I375" s="5" t="str">
        <f t="shared" si="20"/>
        <v>Yes</v>
      </c>
      <c r="J375" s="5" t="s">
        <v>686</v>
      </c>
      <c r="K375" s="5">
        <v>2003</v>
      </c>
      <c r="L375" s="5" t="str">
        <f t="shared" si="23"/>
        <v>Nov-2003</v>
      </c>
      <c r="M375" s="5" t="s">
        <v>504</v>
      </c>
      <c r="N375" s="5" t="s">
        <v>329</v>
      </c>
      <c r="O375" s="5" t="s">
        <v>170</v>
      </c>
      <c r="P375" s="5" t="s">
        <v>42</v>
      </c>
      <c r="Q375" s="5" t="s">
        <v>51</v>
      </c>
    </row>
    <row r="376" spans="1:17" x14ac:dyDescent="0.25">
      <c r="A376" s="3">
        <v>10184</v>
      </c>
      <c r="B376" s="3">
        <v>37</v>
      </c>
      <c r="C376" s="3">
        <v>100</v>
      </c>
      <c r="D376" s="3">
        <v>3700</v>
      </c>
      <c r="E376" s="3" t="str">
        <f t="shared" si="21"/>
        <v>Medium</v>
      </c>
      <c r="F376" s="3">
        <f t="shared" si="22"/>
        <v>1110</v>
      </c>
      <c r="G376" s="4">
        <v>37939</v>
      </c>
      <c r="H376" s="3" t="s">
        <v>25</v>
      </c>
      <c r="I376" s="3" t="str">
        <f t="shared" si="20"/>
        <v>Yes</v>
      </c>
      <c r="J376" s="3" t="s">
        <v>686</v>
      </c>
      <c r="K376" s="3">
        <v>2003</v>
      </c>
      <c r="L376" s="3" t="str">
        <f t="shared" si="23"/>
        <v>Nov-2003</v>
      </c>
      <c r="M376" s="3" t="s">
        <v>504</v>
      </c>
      <c r="N376" s="3" t="s">
        <v>520</v>
      </c>
      <c r="O376" s="3" t="s">
        <v>178</v>
      </c>
      <c r="P376" s="3" t="s">
        <v>42</v>
      </c>
      <c r="Q376" s="3" t="s">
        <v>51</v>
      </c>
    </row>
    <row r="377" spans="1:17" x14ac:dyDescent="0.25">
      <c r="A377" s="5">
        <v>10195</v>
      </c>
      <c r="B377" s="5">
        <v>49</v>
      </c>
      <c r="C377" s="5">
        <v>100</v>
      </c>
      <c r="D377" s="5">
        <v>4900</v>
      </c>
      <c r="E377" s="5" t="str">
        <f t="shared" si="21"/>
        <v>Medium</v>
      </c>
      <c r="F377" s="5">
        <f t="shared" si="22"/>
        <v>1470</v>
      </c>
      <c r="G377" s="6">
        <v>37950</v>
      </c>
      <c r="H377" s="5" t="s">
        <v>25</v>
      </c>
      <c r="I377" s="5" t="str">
        <f t="shared" si="20"/>
        <v>Yes</v>
      </c>
      <c r="J377" s="5" t="s">
        <v>686</v>
      </c>
      <c r="K377" s="5">
        <v>2003</v>
      </c>
      <c r="L377" s="5" t="str">
        <f t="shared" si="23"/>
        <v>Nov-2003</v>
      </c>
      <c r="M377" s="5" t="s">
        <v>504</v>
      </c>
      <c r="N377" s="5" t="s">
        <v>317</v>
      </c>
      <c r="O377" s="5" t="s">
        <v>32</v>
      </c>
      <c r="P377" s="5" t="s">
        <v>33</v>
      </c>
      <c r="Q377" s="5" t="s">
        <v>51</v>
      </c>
    </row>
    <row r="378" spans="1:17" x14ac:dyDescent="0.25">
      <c r="A378" s="3">
        <v>10207</v>
      </c>
      <c r="B378" s="3">
        <v>34</v>
      </c>
      <c r="C378" s="3">
        <v>99.54</v>
      </c>
      <c r="D378" s="3">
        <v>3384.36</v>
      </c>
      <c r="E378" s="3" t="str">
        <f t="shared" si="21"/>
        <v>Medium</v>
      </c>
      <c r="F378" s="3">
        <f t="shared" si="22"/>
        <v>1015.308</v>
      </c>
      <c r="G378" s="4">
        <v>37964</v>
      </c>
      <c r="H378" s="3" t="s">
        <v>25</v>
      </c>
      <c r="I378" s="3" t="str">
        <f t="shared" si="20"/>
        <v>Yes</v>
      </c>
      <c r="J378" s="3" t="s">
        <v>687</v>
      </c>
      <c r="K378" s="3">
        <v>2003</v>
      </c>
      <c r="L378" s="3" t="str">
        <f t="shared" si="23"/>
        <v>Dec-2003</v>
      </c>
      <c r="M378" s="3" t="s">
        <v>504</v>
      </c>
      <c r="N378" s="3" t="s">
        <v>415</v>
      </c>
      <c r="O378" s="3" t="s">
        <v>32</v>
      </c>
      <c r="P378" s="3" t="s">
        <v>33</v>
      </c>
      <c r="Q378" s="3" t="s">
        <v>51</v>
      </c>
    </row>
    <row r="379" spans="1:17" x14ac:dyDescent="0.25">
      <c r="A379" s="5">
        <v>10219</v>
      </c>
      <c r="B379" s="5">
        <v>48</v>
      </c>
      <c r="C379" s="5">
        <v>100</v>
      </c>
      <c r="D379" s="5">
        <v>4800</v>
      </c>
      <c r="E379" s="5" t="str">
        <f t="shared" si="21"/>
        <v>Medium</v>
      </c>
      <c r="F379" s="5">
        <f t="shared" si="22"/>
        <v>1440</v>
      </c>
      <c r="G379" s="6">
        <v>38027</v>
      </c>
      <c r="H379" s="5" t="s">
        <v>25</v>
      </c>
      <c r="I379" s="5" t="str">
        <f t="shared" si="20"/>
        <v>Yes</v>
      </c>
      <c r="J379" s="5" t="s">
        <v>681</v>
      </c>
      <c r="K379" s="5">
        <v>2004</v>
      </c>
      <c r="L379" s="5" t="str">
        <f t="shared" si="23"/>
        <v>Feb-2004</v>
      </c>
      <c r="M379" s="5" t="s">
        <v>504</v>
      </c>
      <c r="N379" s="5" t="s">
        <v>526</v>
      </c>
      <c r="O379" s="5" t="s">
        <v>32</v>
      </c>
      <c r="P379" s="5" t="s">
        <v>33</v>
      </c>
      <c r="Q379" s="5" t="s">
        <v>51</v>
      </c>
    </row>
    <row r="380" spans="1:17" x14ac:dyDescent="0.25">
      <c r="A380" s="3">
        <v>10229</v>
      </c>
      <c r="B380" s="3">
        <v>36</v>
      </c>
      <c r="C380" s="3">
        <v>100</v>
      </c>
      <c r="D380" s="3">
        <v>3600</v>
      </c>
      <c r="E380" s="3" t="str">
        <f t="shared" si="21"/>
        <v>Medium</v>
      </c>
      <c r="F380" s="3">
        <f t="shared" si="22"/>
        <v>1080</v>
      </c>
      <c r="G380" s="4">
        <v>38057</v>
      </c>
      <c r="H380" s="3" t="s">
        <v>25</v>
      </c>
      <c r="I380" s="3" t="str">
        <f t="shared" si="20"/>
        <v>Yes</v>
      </c>
      <c r="J380" s="3" t="s">
        <v>691</v>
      </c>
      <c r="K380" s="3">
        <v>2004</v>
      </c>
      <c r="L380" s="3" t="str">
        <f t="shared" si="23"/>
        <v>Mar-2004</v>
      </c>
      <c r="M380" s="3" t="s">
        <v>504</v>
      </c>
      <c r="N380" s="3" t="s">
        <v>272</v>
      </c>
      <c r="O380" s="3" t="s">
        <v>32</v>
      </c>
      <c r="P380" s="3" t="s">
        <v>33</v>
      </c>
      <c r="Q380" s="3" t="s">
        <v>51</v>
      </c>
    </row>
    <row r="381" spans="1:17" x14ac:dyDescent="0.25">
      <c r="A381" s="5">
        <v>10246</v>
      </c>
      <c r="B381" s="5">
        <v>46</v>
      </c>
      <c r="C381" s="5">
        <v>100</v>
      </c>
      <c r="D381" s="5">
        <v>4600</v>
      </c>
      <c r="E381" s="5" t="str">
        <f t="shared" si="21"/>
        <v>Medium</v>
      </c>
      <c r="F381" s="5">
        <f t="shared" si="22"/>
        <v>1380</v>
      </c>
      <c r="G381" s="6">
        <v>38112</v>
      </c>
      <c r="H381" s="5" t="s">
        <v>25</v>
      </c>
      <c r="I381" s="5" t="str">
        <f t="shared" si="20"/>
        <v>Yes</v>
      </c>
      <c r="J381" s="5" t="s">
        <v>682</v>
      </c>
      <c r="K381" s="5">
        <v>2004</v>
      </c>
      <c r="L381" s="5" t="str">
        <f t="shared" si="23"/>
        <v>May-2004</v>
      </c>
      <c r="M381" s="5" t="s">
        <v>504</v>
      </c>
      <c r="N381" s="5" t="s">
        <v>174</v>
      </c>
      <c r="O381" s="5" t="s">
        <v>178</v>
      </c>
      <c r="P381" s="5" t="s">
        <v>42</v>
      </c>
      <c r="Q381" s="5" t="s">
        <v>51</v>
      </c>
    </row>
    <row r="382" spans="1:17" x14ac:dyDescent="0.25">
      <c r="A382" s="3">
        <v>10259</v>
      </c>
      <c r="B382" s="3">
        <v>46</v>
      </c>
      <c r="C382" s="3">
        <v>100</v>
      </c>
      <c r="D382" s="3">
        <v>4600</v>
      </c>
      <c r="E382" s="3" t="str">
        <f t="shared" si="21"/>
        <v>Medium</v>
      </c>
      <c r="F382" s="3">
        <f t="shared" si="22"/>
        <v>1380</v>
      </c>
      <c r="G382" s="4">
        <v>38153</v>
      </c>
      <c r="H382" s="3" t="s">
        <v>25</v>
      </c>
      <c r="I382" s="3" t="str">
        <f t="shared" si="20"/>
        <v>Yes</v>
      </c>
      <c r="J382" s="3" t="s">
        <v>689</v>
      </c>
      <c r="K382" s="3">
        <v>2004</v>
      </c>
      <c r="L382" s="3" t="str">
        <f t="shared" si="23"/>
        <v>Jun-2004</v>
      </c>
      <c r="M382" s="3" t="s">
        <v>504</v>
      </c>
      <c r="N382" s="3" t="s">
        <v>418</v>
      </c>
      <c r="O382" s="3" t="s">
        <v>199</v>
      </c>
      <c r="P382" s="3" t="s">
        <v>96</v>
      </c>
      <c r="Q382" s="3" t="s">
        <v>51</v>
      </c>
    </row>
    <row r="383" spans="1:17" x14ac:dyDescent="0.25">
      <c r="A383" s="5">
        <v>10271</v>
      </c>
      <c r="B383" s="5">
        <v>31</v>
      </c>
      <c r="C383" s="5">
        <v>97.17</v>
      </c>
      <c r="D383" s="5">
        <v>3012.27</v>
      </c>
      <c r="E383" s="5" t="str">
        <f t="shared" si="21"/>
        <v>Medium</v>
      </c>
      <c r="F383" s="5">
        <f t="shared" si="22"/>
        <v>903.68099999999993</v>
      </c>
      <c r="G383" s="6">
        <v>38188</v>
      </c>
      <c r="H383" s="5" t="s">
        <v>25</v>
      </c>
      <c r="I383" s="5" t="str">
        <f t="shared" si="20"/>
        <v>Yes</v>
      </c>
      <c r="J383" s="5" t="s">
        <v>683</v>
      </c>
      <c r="K383" s="5">
        <v>2004</v>
      </c>
      <c r="L383" s="5" t="str">
        <f t="shared" si="23"/>
        <v>Jul-2004</v>
      </c>
      <c r="M383" s="5" t="s">
        <v>504</v>
      </c>
      <c r="N383" s="5" t="s">
        <v>272</v>
      </c>
      <c r="O383" s="5" t="s">
        <v>32</v>
      </c>
      <c r="P383" s="5" t="s">
        <v>33</v>
      </c>
      <c r="Q383" s="5" t="s">
        <v>51</v>
      </c>
    </row>
    <row r="384" spans="1:17" x14ac:dyDescent="0.25">
      <c r="A384" s="3">
        <v>10281</v>
      </c>
      <c r="B384" s="3">
        <v>41</v>
      </c>
      <c r="C384" s="3">
        <v>100</v>
      </c>
      <c r="D384" s="3">
        <v>4100</v>
      </c>
      <c r="E384" s="3" t="str">
        <f t="shared" si="21"/>
        <v>Medium</v>
      </c>
      <c r="F384" s="3">
        <f t="shared" si="22"/>
        <v>1230</v>
      </c>
      <c r="G384" s="4">
        <v>38218</v>
      </c>
      <c r="H384" s="3" t="s">
        <v>25</v>
      </c>
      <c r="I384" s="3" t="str">
        <f t="shared" si="20"/>
        <v>Yes</v>
      </c>
      <c r="J384" s="3" t="s">
        <v>684</v>
      </c>
      <c r="K384" s="3">
        <v>2004</v>
      </c>
      <c r="L384" s="3" t="str">
        <f t="shared" si="23"/>
        <v>Aug-2004</v>
      </c>
      <c r="M384" s="3" t="s">
        <v>504</v>
      </c>
      <c r="N384" s="3" t="s">
        <v>139</v>
      </c>
      <c r="O384" s="3" t="s">
        <v>32</v>
      </c>
      <c r="P384" s="3" t="s">
        <v>33</v>
      </c>
      <c r="Q384" s="3" t="s">
        <v>51</v>
      </c>
    </row>
    <row r="385" spans="1:17" x14ac:dyDescent="0.25">
      <c r="A385" s="5">
        <v>10292</v>
      </c>
      <c r="B385" s="5">
        <v>21</v>
      </c>
      <c r="C385" s="5">
        <v>100</v>
      </c>
      <c r="D385" s="5">
        <v>2100</v>
      </c>
      <c r="E385" s="5" t="str">
        <f t="shared" si="21"/>
        <v>Medium</v>
      </c>
      <c r="F385" s="5">
        <f t="shared" si="22"/>
        <v>630</v>
      </c>
      <c r="G385" s="6">
        <v>38238</v>
      </c>
      <c r="H385" s="5" t="s">
        <v>25</v>
      </c>
      <c r="I385" s="5" t="str">
        <f t="shared" si="20"/>
        <v>Yes</v>
      </c>
      <c r="J385" s="5" t="s">
        <v>690</v>
      </c>
      <c r="K385" s="5">
        <v>2004</v>
      </c>
      <c r="L385" s="5" t="str">
        <f t="shared" si="23"/>
        <v>Sep-2004</v>
      </c>
      <c r="M385" s="5" t="s">
        <v>504</v>
      </c>
      <c r="N385" s="5" t="s">
        <v>28</v>
      </c>
      <c r="O385" s="5" t="s">
        <v>32</v>
      </c>
      <c r="P385" s="5" t="s">
        <v>33</v>
      </c>
      <c r="Q385" s="5" t="s">
        <v>36</v>
      </c>
    </row>
    <row r="386" spans="1:17" x14ac:dyDescent="0.25">
      <c r="A386" s="3">
        <v>10305</v>
      </c>
      <c r="B386" s="3">
        <v>38</v>
      </c>
      <c r="C386" s="3">
        <v>100</v>
      </c>
      <c r="D386" s="3">
        <v>3800</v>
      </c>
      <c r="E386" s="3" t="str">
        <f t="shared" si="21"/>
        <v>Medium</v>
      </c>
      <c r="F386" s="3">
        <f t="shared" si="22"/>
        <v>1140</v>
      </c>
      <c r="G386" s="4">
        <v>38273</v>
      </c>
      <c r="H386" s="3" t="s">
        <v>25</v>
      </c>
      <c r="I386" s="3" t="str">
        <f t="shared" ref="I386:I449" si="24">IF(H386="Shipped","Yes","No")</f>
        <v>Yes</v>
      </c>
      <c r="J386" s="3" t="s">
        <v>685</v>
      </c>
      <c r="K386" s="3">
        <v>2004</v>
      </c>
      <c r="L386" s="3" t="str">
        <f t="shared" si="23"/>
        <v>Oct-2004</v>
      </c>
      <c r="M386" s="3" t="s">
        <v>504</v>
      </c>
      <c r="N386" s="3" t="s">
        <v>120</v>
      </c>
      <c r="O386" s="3" t="s">
        <v>32</v>
      </c>
      <c r="P386" s="3" t="s">
        <v>33</v>
      </c>
      <c r="Q386" s="3" t="s">
        <v>51</v>
      </c>
    </row>
    <row r="387" spans="1:17" x14ac:dyDescent="0.25">
      <c r="A387" s="5">
        <v>10314</v>
      </c>
      <c r="B387" s="5">
        <v>45</v>
      </c>
      <c r="C387" s="5">
        <v>100</v>
      </c>
      <c r="D387" s="5">
        <v>4500</v>
      </c>
      <c r="E387" s="5" t="str">
        <f t="shared" ref="E387:E450" si="25">IF(D387&gt;=5000,"High",IF(D387&gt;=2000,"Medium","Low"))</f>
        <v>Medium</v>
      </c>
      <c r="F387" s="5">
        <f t="shared" ref="F387:F450" si="26">(D387*0.3)</f>
        <v>1350</v>
      </c>
      <c r="G387" s="6">
        <v>38282</v>
      </c>
      <c r="H387" s="5" t="s">
        <v>25</v>
      </c>
      <c r="I387" s="5" t="str">
        <f t="shared" si="24"/>
        <v>Yes</v>
      </c>
      <c r="J387" s="5" t="s">
        <v>685</v>
      </c>
      <c r="K387" s="5">
        <v>2004</v>
      </c>
      <c r="L387" s="5" t="str">
        <f t="shared" ref="L387:L450" si="27">TEXT(G:G,"MMM-YYYY")</f>
        <v>Oct-2004</v>
      </c>
      <c r="M387" s="5" t="s">
        <v>504</v>
      </c>
      <c r="N387" s="5" t="s">
        <v>498</v>
      </c>
      <c r="O387" s="5" t="s">
        <v>326</v>
      </c>
      <c r="P387" s="5" t="s">
        <v>42</v>
      </c>
      <c r="Q387" s="5" t="s">
        <v>51</v>
      </c>
    </row>
    <row r="388" spans="1:17" x14ac:dyDescent="0.25">
      <c r="A388" s="3">
        <v>10324</v>
      </c>
      <c r="B388" s="3">
        <v>26</v>
      </c>
      <c r="C388" s="3">
        <v>58.38</v>
      </c>
      <c r="D388" s="3">
        <v>1517.88</v>
      </c>
      <c r="E388" s="3" t="str">
        <f t="shared" si="25"/>
        <v>Low</v>
      </c>
      <c r="F388" s="3">
        <f t="shared" si="26"/>
        <v>455.36400000000003</v>
      </c>
      <c r="G388" s="4">
        <v>38296</v>
      </c>
      <c r="H388" s="3" t="s">
        <v>25</v>
      </c>
      <c r="I388" s="3" t="str">
        <f t="shared" si="24"/>
        <v>Yes</v>
      </c>
      <c r="J388" s="3" t="s">
        <v>686</v>
      </c>
      <c r="K388" s="3">
        <v>2004</v>
      </c>
      <c r="L388" s="3" t="str">
        <f t="shared" si="27"/>
        <v>Nov-2004</v>
      </c>
      <c r="M388" s="3" t="s">
        <v>504</v>
      </c>
      <c r="N388" s="3" t="s">
        <v>99</v>
      </c>
      <c r="O388" s="3" t="s">
        <v>32</v>
      </c>
      <c r="P388" s="3" t="s">
        <v>33</v>
      </c>
      <c r="Q388" s="3" t="s">
        <v>36</v>
      </c>
    </row>
    <row r="389" spans="1:17" x14ac:dyDescent="0.25">
      <c r="A389" s="5">
        <v>10336</v>
      </c>
      <c r="B389" s="5">
        <v>38</v>
      </c>
      <c r="C389" s="5">
        <v>100</v>
      </c>
      <c r="D389" s="5">
        <v>3800</v>
      </c>
      <c r="E389" s="5" t="str">
        <f t="shared" si="25"/>
        <v>Medium</v>
      </c>
      <c r="F389" s="5">
        <f t="shared" si="26"/>
        <v>1140</v>
      </c>
      <c r="G389" s="6">
        <v>38311</v>
      </c>
      <c r="H389" s="5" t="s">
        <v>25</v>
      </c>
      <c r="I389" s="5" t="str">
        <f t="shared" si="24"/>
        <v>Yes</v>
      </c>
      <c r="J389" s="5" t="s">
        <v>686</v>
      </c>
      <c r="K389" s="5">
        <v>2004</v>
      </c>
      <c r="L389" s="5" t="str">
        <f t="shared" si="27"/>
        <v>Nov-2004</v>
      </c>
      <c r="M389" s="5" t="s">
        <v>504</v>
      </c>
      <c r="N389" s="5" t="s">
        <v>403</v>
      </c>
      <c r="O389" s="5" t="s">
        <v>41</v>
      </c>
      <c r="P389" s="5" t="s">
        <v>42</v>
      </c>
      <c r="Q389" s="5" t="s">
        <v>51</v>
      </c>
    </row>
    <row r="390" spans="1:17" x14ac:dyDescent="0.25">
      <c r="A390" s="3">
        <v>10349</v>
      </c>
      <c r="B390" s="3">
        <v>48</v>
      </c>
      <c r="C390" s="3">
        <v>100</v>
      </c>
      <c r="D390" s="3">
        <v>4800</v>
      </c>
      <c r="E390" s="3" t="str">
        <f t="shared" si="25"/>
        <v>Medium</v>
      </c>
      <c r="F390" s="3">
        <f t="shared" si="26"/>
        <v>1440</v>
      </c>
      <c r="G390" s="4">
        <v>38322</v>
      </c>
      <c r="H390" s="3" t="s">
        <v>25</v>
      </c>
      <c r="I390" s="3" t="str">
        <f t="shared" si="24"/>
        <v>Yes</v>
      </c>
      <c r="J390" s="3" t="s">
        <v>687</v>
      </c>
      <c r="K390" s="3">
        <v>2004</v>
      </c>
      <c r="L390" s="3" t="str">
        <f t="shared" si="27"/>
        <v>Dec-2004</v>
      </c>
      <c r="M390" s="3" t="s">
        <v>504</v>
      </c>
      <c r="N390" s="3" t="s">
        <v>475</v>
      </c>
      <c r="O390" s="3" t="s">
        <v>32</v>
      </c>
      <c r="P390" s="3" t="s">
        <v>33</v>
      </c>
      <c r="Q390" s="3" t="s">
        <v>51</v>
      </c>
    </row>
    <row r="391" spans="1:17" x14ac:dyDescent="0.25">
      <c r="A391" s="5">
        <v>10358</v>
      </c>
      <c r="B391" s="5">
        <v>42</v>
      </c>
      <c r="C391" s="5">
        <v>64.16</v>
      </c>
      <c r="D391" s="5">
        <v>2694.72</v>
      </c>
      <c r="E391" s="5" t="str">
        <f t="shared" si="25"/>
        <v>Medium</v>
      </c>
      <c r="F391" s="5">
        <f t="shared" si="26"/>
        <v>808.41599999999994</v>
      </c>
      <c r="G391" s="6">
        <v>38331</v>
      </c>
      <c r="H391" s="5" t="s">
        <v>25</v>
      </c>
      <c r="I391" s="5" t="str">
        <f t="shared" si="24"/>
        <v>Yes</v>
      </c>
      <c r="J391" s="5" t="s">
        <v>687</v>
      </c>
      <c r="K391" s="5">
        <v>2004</v>
      </c>
      <c r="L391" s="5" t="str">
        <f t="shared" si="27"/>
        <v>Dec-2004</v>
      </c>
      <c r="M391" s="5" t="s">
        <v>504</v>
      </c>
      <c r="N391" s="5" t="s">
        <v>174</v>
      </c>
      <c r="O391" s="5" t="s">
        <v>178</v>
      </c>
      <c r="P391" s="5" t="s">
        <v>42</v>
      </c>
      <c r="Q391" s="5" t="s">
        <v>36</v>
      </c>
    </row>
    <row r="392" spans="1:17" x14ac:dyDescent="0.25">
      <c r="A392" s="3">
        <v>10371</v>
      </c>
      <c r="B392" s="3">
        <v>49</v>
      </c>
      <c r="C392" s="3">
        <v>35.71</v>
      </c>
      <c r="D392" s="3">
        <v>1749.79</v>
      </c>
      <c r="E392" s="3" t="str">
        <f t="shared" si="25"/>
        <v>Low</v>
      </c>
      <c r="F392" s="3">
        <f t="shared" si="26"/>
        <v>524.93700000000001</v>
      </c>
      <c r="G392" s="4">
        <v>38375</v>
      </c>
      <c r="H392" s="3" t="s">
        <v>25</v>
      </c>
      <c r="I392" s="3" t="str">
        <f t="shared" si="24"/>
        <v>Yes</v>
      </c>
      <c r="J392" s="3" t="s">
        <v>549</v>
      </c>
      <c r="K392" s="3">
        <v>2005</v>
      </c>
      <c r="L392" s="3" t="str">
        <f t="shared" si="27"/>
        <v>Jan-2005</v>
      </c>
      <c r="M392" s="3" t="s">
        <v>504</v>
      </c>
      <c r="N392" s="3" t="s">
        <v>272</v>
      </c>
      <c r="O392" s="3" t="s">
        <v>32</v>
      </c>
      <c r="P392" s="3" t="s">
        <v>33</v>
      </c>
      <c r="Q392" s="3" t="s">
        <v>36</v>
      </c>
    </row>
    <row r="393" spans="1:17" x14ac:dyDescent="0.25">
      <c r="A393" s="5">
        <v>10382</v>
      </c>
      <c r="B393" s="5">
        <v>32</v>
      </c>
      <c r="C393" s="5">
        <v>66.58</v>
      </c>
      <c r="D393" s="5">
        <v>2130.56</v>
      </c>
      <c r="E393" s="5" t="str">
        <f t="shared" si="25"/>
        <v>Medium</v>
      </c>
      <c r="F393" s="5">
        <f t="shared" si="26"/>
        <v>639.16800000000001</v>
      </c>
      <c r="G393" s="6">
        <v>38400</v>
      </c>
      <c r="H393" s="5" t="s">
        <v>25</v>
      </c>
      <c r="I393" s="5" t="str">
        <f t="shared" si="24"/>
        <v>Yes</v>
      </c>
      <c r="J393" s="5" t="s">
        <v>681</v>
      </c>
      <c r="K393" s="5">
        <v>2005</v>
      </c>
      <c r="L393" s="5" t="str">
        <f t="shared" si="27"/>
        <v>Feb-2005</v>
      </c>
      <c r="M393" s="5" t="s">
        <v>504</v>
      </c>
      <c r="N393" s="5" t="s">
        <v>272</v>
      </c>
      <c r="O393" s="5" t="s">
        <v>32</v>
      </c>
      <c r="P393" s="5" t="s">
        <v>33</v>
      </c>
      <c r="Q393" s="5" t="s">
        <v>36</v>
      </c>
    </row>
    <row r="394" spans="1:17" x14ac:dyDescent="0.25">
      <c r="A394" s="3">
        <v>10412</v>
      </c>
      <c r="B394" s="3">
        <v>54</v>
      </c>
      <c r="C394" s="3">
        <v>100</v>
      </c>
      <c r="D394" s="3">
        <v>5400</v>
      </c>
      <c r="E394" s="3" t="str">
        <f t="shared" si="25"/>
        <v>High</v>
      </c>
      <c r="F394" s="3">
        <f t="shared" si="26"/>
        <v>1620</v>
      </c>
      <c r="G394" s="4">
        <v>38475</v>
      </c>
      <c r="H394" s="3" t="s">
        <v>25</v>
      </c>
      <c r="I394" s="3" t="str">
        <f t="shared" si="24"/>
        <v>Yes</v>
      </c>
      <c r="J394" s="3" t="s">
        <v>682</v>
      </c>
      <c r="K394" s="3">
        <v>2005</v>
      </c>
      <c r="L394" s="3" t="str">
        <f t="shared" si="27"/>
        <v>May-2005</v>
      </c>
      <c r="M394" s="3" t="s">
        <v>504</v>
      </c>
      <c r="N394" s="3" t="s">
        <v>174</v>
      </c>
      <c r="O394" s="3" t="s">
        <v>178</v>
      </c>
      <c r="P394" s="3" t="s">
        <v>42</v>
      </c>
      <c r="Q394" s="3" t="s">
        <v>51</v>
      </c>
    </row>
    <row r="395" spans="1:17" x14ac:dyDescent="0.25">
      <c r="A395" s="5">
        <v>10425</v>
      </c>
      <c r="B395" s="5">
        <v>33</v>
      </c>
      <c r="C395" s="5">
        <v>100</v>
      </c>
      <c r="D395" s="5">
        <v>3300</v>
      </c>
      <c r="E395" s="5" t="str">
        <f t="shared" si="25"/>
        <v>Medium</v>
      </c>
      <c r="F395" s="5">
        <f t="shared" si="26"/>
        <v>990</v>
      </c>
      <c r="G395" s="6">
        <v>38503</v>
      </c>
      <c r="H395" s="5" t="s">
        <v>300</v>
      </c>
      <c r="I395" s="5" t="str">
        <f t="shared" si="24"/>
        <v>No</v>
      </c>
      <c r="J395" s="5" t="s">
        <v>682</v>
      </c>
      <c r="K395" s="5">
        <v>2005</v>
      </c>
      <c r="L395" s="5" t="str">
        <f t="shared" si="27"/>
        <v>May-2005</v>
      </c>
      <c r="M395" s="5" t="s">
        <v>504</v>
      </c>
      <c r="N395" s="5" t="s">
        <v>114</v>
      </c>
      <c r="O395" s="5" t="s">
        <v>41</v>
      </c>
      <c r="P395" s="5" t="s">
        <v>42</v>
      </c>
      <c r="Q395" s="5" t="s">
        <v>51</v>
      </c>
    </row>
    <row r="396" spans="1:17" x14ac:dyDescent="0.25">
      <c r="A396" s="3">
        <v>10108</v>
      </c>
      <c r="B396" s="3">
        <v>36</v>
      </c>
      <c r="C396" s="3">
        <v>100</v>
      </c>
      <c r="D396" s="3">
        <v>3600</v>
      </c>
      <c r="E396" s="3" t="str">
        <f t="shared" si="25"/>
        <v>Medium</v>
      </c>
      <c r="F396" s="3">
        <f t="shared" si="26"/>
        <v>1080</v>
      </c>
      <c r="G396" s="4">
        <v>37683</v>
      </c>
      <c r="H396" s="3" t="s">
        <v>25</v>
      </c>
      <c r="I396" s="3" t="str">
        <f t="shared" si="24"/>
        <v>Yes</v>
      </c>
      <c r="J396" s="3" t="s">
        <v>691</v>
      </c>
      <c r="K396" s="3">
        <v>2003</v>
      </c>
      <c r="L396" s="3" t="str">
        <f t="shared" si="27"/>
        <v>Mar-2003</v>
      </c>
      <c r="M396" s="3" t="s">
        <v>181</v>
      </c>
      <c r="N396" s="3" t="s">
        <v>425</v>
      </c>
      <c r="O396" s="3" t="s">
        <v>430</v>
      </c>
      <c r="P396" s="3" t="s">
        <v>675</v>
      </c>
      <c r="Q396" s="3" t="s">
        <v>51</v>
      </c>
    </row>
    <row r="397" spans="1:17" x14ac:dyDescent="0.25">
      <c r="A397" s="5">
        <v>10122</v>
      </c>
      <c r="B397" s="5">
        <v>20</v>
      </c>
      <c r="C397" s="5">
        <v>100</v>
      </c>
      <c r="D397" s="5">
        <v>2000</v>
      </c>
      <c r="E397" s="5" t="str">
        <f t="shared" si="25"/>
        <v>Medium</v>
      </c>
      <c r="F397" s="5">
        <f t="shared" si="26"/>
        <v>600</v>
      </c>
      <c r="G397" s="6">
        <v>37749</v>
      </c>
      <c r="H397" s="5" t="s">
        <v>25</v>
      </c>
      <c r="I397" s="5" t="str">
        <f t="shared" si="24"/>
        <v>Yes</v>
      </c>
      <c r="J397" s="5" t="s">
        <v>682</v>
      </c>
      <c r="K397" s="5">
        <v>2003</v>
      </c>
      <c r="L397" s="5" t="str">
        <f t="shared" si="27"/>
        <v>May-2003</v>
      </c>
      <c r="M397" s="5" t="s">
        <v>181</v>
      </c>
      <c r="N397" s="5" t="s">
        <v>433</v>
      </c>
      <c r="O397" s="5" t="s">
        <v>41</v>
      </c>
      <c r="P397" s="5" t="s">
        <v>42</v>
      </c>
      <c r="Q397" s="5" t="s">
        <v>36</v>
      </c>
    </row>
    <row r="398" spans="1:17" x14ac:dyDescent="0.25">
      <c r="A398" s="3">
        <v>10135</v>
      </c>
      <c r="B398" s="3">
        <v>29</v>
      </c>
      <c r="C398" s="3">
        <v>97.89</v>
      </c>
      <c r="D398" s="3">
        <v>2838.81</v>
      </c>
      <c r="E398" s="3" t="str">
        <f t="shared" si="25"/>
        <v>Medium</v>
      </c>
      <c r="F398" s="3">
        <f t="shared" si="26"/>
        <v>851.64299999999992</v>
      </c>
      <c r="G398" s="4">
        <v>37804</v>
      </c>
      <c r="H398" s="3" t="s">
        <v>25</v>
      </c>
      <c r="I398" s="3" t="str">
        <f t="shared" si="24"/>
        <v>Yes</v>
      </c>
      <c r="J398" s="3" t="s">
        <v>683</v>
      </c>
      <c r="K398" s="3">
        <v>2003</v>
      </c>
      <c r="L398" s="3" t="str">
        <f t="shared" si="27"/>
        <v>Jul-2003</v>
      </c>
      <c r="M398" s="3" t="s">
        <v>181</v>
      </c>
      <c r="N398" s="3" t="s">
        <v>272</v>
      </c>
      <c r="O398" s="3" t="s">
        <v>32</v>
      </c>
      <c r="P398" s="3" t="s">
        <v>33</v>
      </c>
      <c r="Q398" s="3" t="s">
        <v>36</v>
      </c>
    </row>
    <row r="399" spans="1:17" x14ac:dyDescent="0.25">
      <c r="A399" s="5">
        <v>10147</v>
      </c>
      <c r="B399" s="5">
        <v>33</v>
      </c>
      <c r="C399" s="5">
        <v>97.89</v>
      </c>
      <c r="D399" s="5">
        <v>3230.37</v>
      </c>
      <c r="E399" s="5" t="str">
        <f t="shared" si="25"/>
        <v>Medium</v>
      </c>
      <c r="F399" s="5">
        <f t="shared" si="26"/>
        <v>969.11099999999988</v>
      </c>
      <c r="G399" s="6">
        <v>37869</v>
      </c>
      <c r="H399" s="5" t="s">
        <v>25</v>
      </c>
      <c r="I399" s="5" t="str">
        <f t="shared" si="24"/>
        <v>Yes</v>
      </c>
      <c r="J399" s="5" t="s">
        <v>690</v>
      </c>
      <c r="K399" s="5">
        <v>2003</v>
      </c>
      <c r="L399" s="5" t="str">
        <f t="shared" si="27"/>
        <v>Sep-2003</v>
      </c>
      <c r="M399" s="5" t="s">
        <v>181</v>
      </c>
      <c r="N399" s="5" t="s">
        <v>281</v>
      </c>
      <c r="O399" s="5" t="s">
        <v>32</v>
      </c>
      <c r="P399" s="5" t="s">
        <v>33</v>
      </c>
      <c r="Q399" s="5" t="s">
        <v>51</v>
      </c>
    </row>
    <row r="400" spans="1:17" x14ac:dyDescent="0.25">
      <c r="A400" s="3">
        <v>10160</v>
      </c>
      <c r="B400" s="3">
        <v>50</v>
      </c>
      <c r="C400" s="3">
        <v>100</v>
      </c>
      <c r="D400" s="3">
        <v>5000</v>
      </c>
      <c r="E400" s="3" t="str">
        <f t="shared" si="25"/>
        <v>High</v>
      </c>
      <c r="F400" s="3">
        <f t="shared" si="26"/>
        <v>1500</v>
      </c>
      <c r="G400" s="4">
        <v>37905</v>
      </c>
      <c r="H400" s="3" t="s">
        <v>25</v>
      </c>
      <c r="I400" s="3" t="str">
        <f t="shared" si="24"/>
        <v>Yes</v>
      </c>
      <c r="J400" s="3" t="s">
        <v>685</v>
      </c>
      <c r="K400" s="3">
        <v>2003</v>
      </c>
      <c r="L400" s="3" t="str">
        <f t="shared" si="27"/>
        <v>Oct-2003</v>
      </c>
      <c r="M400" s="3" t="s">
        <v>181</v>
      </c>
      <c r="N400" s="3" t="s">
        <v>358</v>
      </c>
      <c r="O400" s="3" t="s">
        <v>32</v>
      </c>
      <c r="P400" s="3" t="s">
        <v>33</v>
      </c>
      <c r="Q400" s="3" t="s">
        <v>51</v>
      </c>
    </row>
    <row r="401" spans="1:17" x14ac:dyDescent="0.25">
      <c r="A401" s="5">
        <v>10170</v>
      </c>
      <c r="B401" s="5">
        <v>41</v>
      </c>
      <c r="C401" s="5">
        <v>100</v>
      </c>
      <c r="D401" s="5">
        <v>4100</v>
      </c>
      <c r="E401" s="5" t="str">
        <f t="shared" si="25"/>
        <v>Medium</v>
      </c>
      <c r="F401" s="5">
        <f t="shared" si="26"/>
        <v>1230</v>
      </c>
      <c r="G401" s="6">
        <v>37929</v>
      </c>
      <c r="H401" s="5" t="s">
        <v>25</v>
      </c>
      <c r="I401" s="5" t="str">
        <f t="shared" si="24"/>
        <v>Yes</v>
      </c>
      <c r="J401" s="5" t="s">
        <v>686</v>
      </c>
      <c r="K401" s="5">
        <v>2003</v>
      </c>
      <c r="L401" s="5" t="str">
        <f t="shared" si="27"/>
        <v>Nov-2003</v>
      </c>
      <c r="M401" s="5" t="s">
        <v>181</v>
      </c>
      <c r="N401" s="5" t="s">
        <v>409</v>
      </c>
      <c r="O401" s="5" t="s">
        <v>148</v>
      </c>
      <c r="P401" s="5" t="s">
        <v>42</v>
      </c>
      <c r="Q401" s="5" t="s">
        <v>51</v>
      </c>
    </row>
    <row r="402" spans="1:17" x14ac:dyDescent="0.25">
      <c r="A402" s="3">
        <v>10181</v>
      </c>
      <c r="B402" s="3">
        <v>36</v>
      </c>
      <c r="C402" s="3">
        <v>100</v>
      </c>
      <c r="D402" s="3">
        <v>3600</v>
      </c>
      <c r="E402" s="3" t="str">
        <f t="shared" si="25"/>
        <v>Medium</v>
      </c>
      <c r="F402" s="3">
        <f t="shared" si="26"/>
        <v>1080</v>
      </c>
      <c r="G402" s="4">
        <v>37937</v>
      </c>
      <c r="H402" s="3" t="s">
        <v>25</v>
      </c>
      <c r="I402" s="3" t="str">
        <f t="shared" si="24"/>
        <v>Yes</v>
      </c>
      <c r="J402" s="3" t="s">
        <v>686</v>
      </c>
      <c r="K402" s="3">
        <v>2003</v>
      </c>
      <c r="L402" s="3" t="str">
        <f t="shared" si="27"/>
        <v>Nov-2003</v>
      </c>
      <c r="M402" s="3" t="s">
        <v>181</v>
      </c>
      <c r="N402" s="3" t="s">
        <v>73</v>
      </c>
      <c r="O402" s="3" t="s">
        <v>78</v>
      </c>
      <c r="P402" s="3" t="s">
        <v>42</v>
      </c>
      <c r="Q402" s="3" t="s">
        <v>51</v>
      </c>
    </row>
    <row r="403" spans="1:17" x14ac:dyDescent="0.25">
      <c r="A403" s="5">
        <v>10192</v>
      </c>
      <c r="B403" s="5">
        <v>27</v>
      </c>
      <c r="C403" s="5">
        <v>100</v>
      </c>
      <c r="D403" s="5">
        <v>2700</v>
      </c>
      <c r="E403" s="5" t="str">
        <f t="shared" si="25"/>
        <v>Medium</v>
      </c>
      <c r="F403" s="5">
        <f t="shared" si="26"/>
        <v>810</v>
      </c>
      <c r="G403" s="6">
        <v>37945</v>
      </c>
      <c r="H403" s="5" t="s">
        <v>25</v>
      </c>
      <c r="I403" s="5" t="str">
        <f t="shared" si="24"/>
        <v>Yes</v>
      </c>
      <c r="J403" s="5" t="s">
        <v>686</v>
      </c>
      <c r="K403" s="5">
        <v>2003</v>
      </c>
      <c r="L403" s="5" t="str">
        <f t="shared" si="27"/>
        <v>Nov-2003</v>
      </c>
      <c r="M403" s="5" t="s">
        <v>181</v>
      </c>
      <c r="N403" s="5" t="s">
        <v>277</v>
      </c>
      <c r="O403" s="5" t="s">
        <v>32</v>
      </c>
      <c r="P403" s="5" t="s">
        <v>33</v>
      </c>
      <c r="Q403" s="5" t="s">
        <v>51</v>
      </c>
    </row>
    <row r="404" spans="1:17" x14ac:dyDescent="0.25">
      <c r="A404" s="3">
        <v>10203</v>
      </c>
      <c r="B404" s="3">
        <v>47</v>
      </c>
      <c r="C404" s="3">
        <v>100</v>
      </c>
      <c r="D404" s="3">
        <v>4700</v>
      </c>
      <c r="E404" s="3" t="str">
        <f t="shared" si="25"/>
        <v>Medium</v>
      </c>
      <c r="F404" s="3">
        <f t="shared" si="26"/>
        <v>1410</v>
      </c>
      <c r="G404" s="4">
        <v>37957</v>
      </c>
      <c r="H404" s="3" t="s">
        <v>25</v>
      </c>
      <c r="I404" s="3" t="str">
        <f t="shared" si="24"/>
        <v>Yes</v>
      </c>
      <c r="J404" s="3" t="s">
        <v>687</v>
      </c>
      <c r="K404" s="3">
        <v>2003</v>
      </c>
      <c r="L404" s="3" t="str">
        <f t="shared" si="27"/>
        <v>Dec-2003</v>
      </c>
      <c r="M404" s="3" t="s">
        <v>181</v>
      </c>
      <c r="N404" s="3" t="s">
        <v>174</v>
      </c>
      <c r="O404" s="3" t="s">
        <v>178</v>
      </c>
      <c r="P404" s="3" t="s">
        <v>42</v>
      </c>
      <c r="Q404" s="3" t="s">
        <v>51</v>
      </c>
    </row>
    <row r="405" spans="1:17" x14ac:dyDescent="0.25">
      <c r="A405" s="5">
        <v>10212</v>
      </c>
      <c r="B405" s="5">
        <v>33</v>
      </c>
      <c r="C405" s="5">
        <v>100</v>
      </c>
      <c r="D405" s="5">
        <v>3300</v>
      </c>
      <c r="E405" s="5" t="str">
        <f t="shared" si="25"/>
        <v>Medium</v>
      </c>
      <c r="F405" s="5">
        <f t="shared" si="26"/>
        <v>990</v>
      </c>
      <c r="G405" s="6">
        <v>38002</v>
      </c>
      <c r="H405" s="5" t="s">
        <v>25</v>
      </c>
      <c r="I405" s="5" t="str">
        <f t="shared" si="24"/>
        <v>Yes</v>
      </c>
      <c r="J405" s="5" t="s">
        <v>549</v>
      </c>
      <c r="K405" s="5">
        <v>2004</v>
      </c>
      <c r="L405" s="5" t="str">
        <f t="shared" si="27"/>
        <v>Jan-2004</v>
      </c>
      <c r="M405" s="5" t="s">
        <v>181</v>
      </c>
      <c r="N405" s="5" t="s">
        <v>174</v>
      </c>
      <c r="O405" s="5" t="s">
        <v>178</v>
      </c>
      <c r="P405" s="5" t="s">
        <v>42</v>
      </c>
      <c r="Q405" s="5" t="s">
        <v>51</v>
      </c>
    </row>
    <row r="406" spans="1:17" x14ac:dyDescent="0.25">
      <c r="A406" s="3">
        <v>10225</v>
      </c>
      <c r="B406" s="3">
        <v>21</v>
      </c>
      <c r="C406" s="3">
        <v>100</v>
      </c>
      <c r="D406" s="3">
        <v>2100</v>
      </c>
      <c r="E406" s="3" t="str">
        <f t="shared" si="25"/>
        <v>Medium</v>
      </c>
      <c r="F406" s="3">
        <f t="shared" si="26"/>
        <v>630</v>
      </c>
      <c r="G406" s="4">
        <v>38039</v>
      </c>
      <c r="H406" s="3" t="s">
        <v>25</v>
      </c>
      <c r="I406" s="3" t="str">
        <f t="shared" si="24"/>
        <v>Yes</v>
      </c>
      <c r="J406" s="3" t="s">
        <v>681</v>
      </c>
      <c r="K406" s="3">
        <v>2004</v>
      </c>
      <c r="L406" s="3" t="str">
        <f t="shared" si="27"/>
        <v>Feb-2004</v>
      </c>
      <c r="M406" s="3" t="s">
        <v>181</v>
      </c>
      <c r="N406" s="3" t="s">
        <v>446</v>
      </c>
      <c r="O406" s="3" t="s">
        <v>450</v>
      </c>
      <c r="P406" s="3" t="s">
        <v>42</v>
      </c>
      <c r="Q406" s="3" t="s">
        <v>36</v>
      </c>
    </row>
    <row r="407" spans="1:17" x14ac:dyDescent="0.25">
      <c r="A407" s="5">
        <v>10239</v>
      </c>
      <c r="B407" s="5">
        <v>21</v>
      </c>
      <c r="C407" s="5">
        <v>93.28</v>
      </c>
      <c r="D407" s="5">
        <v>1958.88</v>
      </c>
      <c r="E407" s="5" t="str">
        <f t="shared" si="25"/>
        <v>Low</v>
      </c>
      <c r="F407" s="5">
        <f t="shared" si="26"/>
        <v>587.66399999999999</v>
      </c>
      <c r="G407" s="6">
        <v>38089</v>
      </c>
      <c r="H407" s="5" t="s">
        <v>25</v>
      </c>
      <c r="I407" s="5" t="str">
        <f t="shared" si="24"/>
        <v>Yes</v>
      </c>
      <c r="J407" s="5" t="s">
        <v>688</v>
      </c>
      <c r="K407" s="5">
        <v>2004</v>
      </c>
      <c r="L407" s="5" t="str">
        <f t="shared" si="27"/>
        <v>Apr-2004</v>
      </c>
      <c r="M407" s="5" t="s">
        <v>181</v>
      </c>
      <c r="N407" s="5" t="s">
        <v>391</v>
      </c>
      <c r="O407" s="5" t="s">
        <v>130</v>
      </c>
      <c r="P407" s="5" t="s">
        <v>42</v>
      </c>
      <c r="Q407" s="5" t="s">
        <v>36</v>
      </c>
    </row>
    <row r="408" spans="1:17" x14ac:dyDescent="0.25">
      <c r="A408" s="3">
        <v>10253</v>
      </c>
      <c r="B408" s="3">
        <v>41</v>
      </c>
      <c r="C408" s="3">
        <v>100</v>
      </c>
      <c r="D408" s="3">
        <v>4100</v>
      </c>
      <c r="E408" s="3" t="str">
        <f t="shared" si="25"/>
        <v>Medium</v>
      </c>
      <c r="F408" s="3">
        <f t="shared" si="26"/>
        <v>1230</v>
      </c>
      <c r="G408" s="4">
        <v>38139</v>
      </c>
      <c r="H408" s="3" t="s">
        <v>339</v>
      </c>
      <c r="I408" s="3" t="str">
        <f t="shared" si="24"/>
        <v>No</v>
      </c>
      <c r="J408" s="3" t="s">
        <v>689</v>
      </c>
      <c r="K408" s="3">
        <v>2004</v>
      </c>
      <c r="L408" s="3" t="str">
        <f t="shared" si="27"/>
        <v>Jun-2004</v>
      </c>
      <c r="M408" s="3" t="s">
        <v>181</v>
      </c>
      <c r="N408" s="3" t="s">
        <v>165</v>
      </c>
      <c r="O408" s="3" t="s">
        <v>170</v>
      </c>
      <c r="P408" s="3" t="s">
        <v>42</v>
      </c>
      <c r="Q408" s="3" t="s">
        <v>51</v>
      </c>
    </row>
    <row r="409" spans="1:17" x14ac:dyDescent="0.25">
      <c r="A409" s="5">
        <v>10266</v>
      </c>
      <c r="B409" s="5">
        <v>40</v>
      </c>
      <c r="C409" s="5">
        <v>100</v>
      </c>
      <c r="D409" s="5">
        <v>4000</v>
      </c>
      <c r="E409" s="5" t="str">
        <f t="shared" si="25"/>
        <v>Medium</v>
      </c>
      <c r="F409" s="5">
        <f t="shared" si="26"/>
        <v>1200</v>
      </c>
      <c r="G409" s="6">
        <v>38174</v>
      </c>
      <c r="H409" s="5" t="s">
        <v>25</v>
      </c>
      <c r="I409" s="5" t="str">
        <f t="shared" si="24"/>
        <v>Yes</v>
      </c>
      <c r="J409" s="5" t="s">
        <v>683</v>
      </c>
      <c r="K409" s="5">
        <v>2004</v>
      </c>
      <c r="L409" s="5" t="str">
        <f t="shared" si="27"/>
        <v>Jul-2004</v>
      </c>
      <c r="M409" s="5" t="s">
        <v>181</v>
      </c>
      <c r="N409" s="5" t="s">
        <v>452</v>
      </c>
      <c r="O409" s="5" t="s">
        <v>258</v>
      </c>
      <c r="P409" s="5" t="s">
        <v>42</v>
      </c>
      <c r="Q409" s="5" t="s">
        <v>51</v>
      </c>
    </row>
    <row r="410" spans="1:17" x14ac:dyDescent="0.25">
      <c r="A410" s="3">
        <v>10277</v>
      </c>
      <c r="B410" s="3">
        <v>28</v>
      </c>
      <c r="C410" s="3">
        <v>100</v>
      </c>
      <c r="D410" s="3">
        <v>2800</v>
      </c>
      <c r="E410" s="3" t="str">
        <f t="shared" si="25"/>
        <v>Medium</v>
      </c>
      <c r="F410" s="3">
        <f t="shared" si="26"/>
        <v>840</v>
      </c>
      <c r="G410" s="4">
        <v>38203</v>
      </c>
      <c r="H410" s="3" t="s">
        <v>25</v>
      </c>
      <c r="I410" s="3" t="str">
        <f t="shared" si="24"/>
        <v>Yes</v>
      </c>
      <c r="J410" s="3" t="s">
        <v>684</v>
      </c>
      <c r="K410" s="3">
        <v>2004</v>
      </c>
      <c r="L410" s="3" t="str">
        <f t="shared" si="27"/>
        <v>Aug-2004</v>
      </c>
      <c r="M410" s="3" t="s">
        <v>181</v>
      </c>
      <c r="N410" s="3" t="s">
        <v>196</v>
      </c>
      <c r="O410" s="3" t="s">
        <v>199</v>
      </c>
      <c r="P410" s="3" t="s">
        <v>675</v>
      </c>
      <c r="Q410" s="3" t="s">
        <v>51</v>
      </c>
    </row>
    <row r="411" spans="1:17" x14ac:dyDescent="0.25">
      <c r="A411" s="5">
        <v>10287</v>
      </c>
      <c r="B411" s="5">
        <v>23</v>
      </c>
      <c r="C411" s="5">
        <v>100</v>
      </c>
      <c r="D411" s="5">
        <v>2300</v>
      </c>
      <c r="E411" s="5" t="str">
        <f t="shared" si="25"/>
        <v>Medium</v>
      </c>
      <c r="F411" s="5">
        <f t="shared" si="26"/>
        <v>690</v>
      </c>
      <c r="G411" s="6">
        <v>38229</v>
      </c>
      <c r="H411" s="5" t="s">
        <v>25</v>
      </c>
      <c r="I411" s="5" t="str">
        <f t="shared" si="24"/>
        <v>Yes</v>
      </c>
      <c r="J411" s="5" t="s">
        <v>684</v>
      </c>
      <c r="K411" s="5">
        <v>2004</v>
      </c>
      <c r="L411" s="5" t="str">
        <f t="shared" si="27"/>
        <v>Aug-2004</v>
      </c>
      <c r="M411" s="5" t="s">
        <v>181</v>
      </c>
      <c r="N411" s="5" t="s">
        <v>446</v>
      </c>
      <c r="O411" s="5" t="s">
        <v>450</v>
      </c>
      <c r="P411" s="5" t="s">
        <v>42</v>
      </c>
      <c r="Q411" s="5" t="s">
        <v>36</v>
      </c>
    </row>
    <row r="412" spans="1:17" x14ac:dyDescent="0.25">
      <c r="A412" s="3">
        <v>10300</v>
      </c>
      <c r="B412" s="3">
        <v>23</v>
      </c>
      <c r="C412" s="3">
        <v>100</v>
      </c>
      <c r="D412" s="3">
        <v>2300</v>
      </c>
      <c r="E412" s="3" t="str">
        <f t="shared" si="25"/>
        <v>Medium</v>
      </c>
      <c r="F412" s="3">
        <f t="shared" si="26"/>
        <v>690</v>
      </c>
      <c r="G412" s="4">
        <v>37898</v>
      </c>
      <c r="H412" s="3" t="s">
        <v>25</v>
      </c>
      <c r="I412" s="3" t="str">
        <f t="shared" si="24"/>
        <v>Yes</v>
      </c>
      <c r="J412" s="3" t="s">
        <v>685</v>
      </c>
      <c r="K412" s="3">
        <v>2003</v>
      </c>
      <c r="L412" s="3" t="str">
        <f t="shared" si="27"/>
        <v>Oct-2003</v>
      </c>
      <c r="M412" s="3" t="s">
        <v>181</v>
      </c>
      <c r="N412" s="3" t="s">
        <v>462</v>
      </c>
      <c r="O412" s="3" t="s">
        <v>443</v>
      </c>
      <c r="P412" s="3" t="s">
        <v>42</v>
      </c>
      <c r="Q412" s="3" t="s">
        <v>36</v>
      </c>
    </row>
    <row r="413" spans="1:17" x14ac:dyDescent="0.25">
      <c r="A413" s="5">
        <v>10310</v>
      </c>
      <c r="B413" s="5">
        <v>25</v>
      </c>
      <c r="C413" s="5">
        <v>100</v>
      </c>
      <c r="D413" s="5">
        <v>2500</v>
      </c>
      <c r="E413" s="5" t="str">
        <f t="shared" si="25"/>
        <v>Medium</v>
      </c>
      <c r="F413" s="5">
        <f t="shared" si="26"/>
        <v>750</v>
      </c>
      <c r="G413" s="6">
        <v>38276</v>
      </c>
      <c r="H413" s="5" t="s">
        <v>25</v>
      </c>
      <c r="I413" s="5" t="str">
        <f t="shared" si="24"/>
        <v>Yes</v>
      </c>
      <c r="J413" s="5" t="s">
        <v>685</v>
      </c>
      <c r="K413" s="5">
        <v>2004</v>
      </c>
      <c r="L413" s="5" t="str">
        <f t="shared" si="27"/>
        <v>Oct-2004</v>
      </c>
      <c r="M413" s="5" t="s">
        <v>181</v>
      </c>
      <c r="N413" s="5" t="s">
        <v>439</v>
      </c>
      <c r="O413" s="5" t="s">
        <v>443</v>
      </c>
      <c r="P413" s="5" t="s">
        <v>42</v>
      </c>
      <c r="Q413" s="5" t="s">
        <v>36</v>
      </c>
    </row>
    <row r="414" spans="1:17" x14ac:dyDescent="0.25">
      <c r="A414" s="3">
        <v>10321</v>
      </c>
      <c r="B414" s="3">
        <v>24</v>
      </c>
      <c r="C414" s="3">
        <v>100</v>
      </c>
      <c r="D414" s="3">
        <v>2400</v>
      </c>
      <c r="E414" s="3" t="str">
        <f t="shared" si="25"/>
        <v>Medium</v>
      </c>
      <c r="F414" s="3">
        <f t="shared" si="26"/>
        <v>720</v>
      </c>
      <c r="G414" s="4">
        <v>38295</v>
      </c>
      <c r="H414" s="3" t="s">
        <v>25</v>
      </c>
      <c r="I414" s="3" t="str">
        <f t="shared" si="24"/>
        <v>Yes</v>
      </c>
      <c r="J414" s="3" t="s">
        <v>686</v>
      </c>
      <c r="K414" s="3">
        <v>2004</v>
      </c>
      <c r="L414" s="3" t="str">
        <f t="shared" si="27"/>
        <v>Nov-2004</v>
      </c>
      <c r="M414" s="3" t="s">
        <v>181</v>
      </c>
      <c r="N414" s="3" t="s">
        <v>160</v>
      </c>
      <c r="O414" s="3" t="s">
        <v>32</v>
      </c>
      <c r="P414" s="3" t="s">
        <v>33</v>
      </c>
      <c r="Q414" s="3" t="s">
        <v>36</v>
      </c>
    </row>
    <row r="415" spans="1:17" x14ac:dyDescent="0.25">
      <c r="A415" s="5">
        <v>10329</v>
      </c>
      <c r="B415" s="5">
        <v>39</v>
      </c>
      <c r="C415" s="5">
        <v>64.739999999999995</v>
      </c>
      <c r="D415" s="5">
        <v>2524.8599999999997</v>
      </c>
      <c r="E415" s="5" t="str">
        <f t="shared" si="25"/>
        <v>Medium</v>
      </c>
      <c r="F415" s="5">
        <f t="shared" si="26"/>
        <v>757.45799999999986</v>
      </c>
      <c r="G415" s="6">
        <v>38306</v>
      </c>
      <c r="H415" s="5" t="s">
        <v>25</v>
      </c>
      <c r="I415" s="5" t="str">
        <f t="shared" si="24"/>
        <v>Yes</v>
      </c>
      <c r="J415" s="5" t="s">
        <v>686</v>
      </c>
      <c r="K415" s="5">
        <v>2004</v>
      </c>
      <c r="L415" s="5" t="str">
        <f t="shared" si="27"/>
        <v>Nov-2004</v>
      </c>
      <c r="M415" s="5" t="s">
        <v>181</v>
      </c>
      <c r="N415" s="5" t="s">
        <v>28</v>
      </c>
      <c r="O415" s="5" t="s">
        <v>32</v>
      </c>
      <c r="P415" s="5" t="s">
        <v>33</v>
      </c>
      <c r="Q415" s="5" t="s">
        <v>36</v>
      </c>
    </row>
    <row r="416" spans="1:17" x14ac:dyDescent="0.25">
      <c r="A416" s="3">
        <v>10341</v>
      </c>
      <c r="B416" s="3">
        <v>55</v>
      </c>
      <c r="C416" s="3">
        <v>75.2</v>
      </c>
      <c r="D416" s="3">
        <v>4136</v>
      </c>
      <c r="E416" s="3" t="str">
        <f t="shared" si="25"/>
        <v>Medium</v>
      </c>
      <c r="F416" s="3">
        <f t="shared" si="26"/>
        <v>1240.8</v>
      </c>
      <c r="G416" s="4">
        <v>38315</v>
      </c>
      <c r="H416" s="3" t="s">
        <v>25</v>
      </c>
      <c r="I416" s="3" t="str">
        <f t="shared" si="24"/>
        <v>Yes</v>
      </c>
      <c r="J416" s="3" t="s">
        <v>686</v>
      </c>
      <c r="K416" s="3">
        <v>2004</v>
      </c>
      <c r="L416" s="3" t="str">
        <f t="shared" si="27"/>
        <v>Nov-2004</v>
      </c>
      <c r="M416" s="3" t="s">
        <v>181</v>
      </c>
      <c r="N416" s="3" t="s">
        <v>144</v>
      </c>
      <c r="O416" s="3" t="s">
        <v>148</v>
      </c>
      <c r="P416" s="3" t="s">
        <v>42</v>
      </c>
      <c r="Q416" s="3" t="s">
        <v>51</v>
      </c>
    </row>
    <row r="417" spans="1:17" x14ac:dyDescent="0.25">
      <c r="A417" s="5">
        <v>10363</v>
      </c>
      <c r="B417" s="5">
        <v>46</v>
      </c>
      <c r="C417" s="5">
        <v>88.45</v>
      </c>
      <c r="D417" s="5">
        <v>4068.7000000000003</v>
      </c>
      <c r="E417" s="5" t="str">
        <f t="shared" si="25"/>
        <v>Medium</v>
      </c>
      <c r="F417" s="5">
        <f t="shared" si="26"/>
        <v>1220.6100000000001</v>
      </c>
      <c r="G417" s="6">
        <v>38358</v>
      </c>
      <c r="H417" s="5" t="s">
        <v>25</v>
      </c>
      <c r="I417" s="5" t="str">
        <f t="shared" si="24"/>
        <v>Yes</v>
      </c>
      <c r="J417" s="5" t="s">
        <v>549</v>
      </c>
      <c r="K417" s="5">
        <v>2005</v>
      </c>
      <c r="L417" s="5" t="str">
        <f t="shared" si="27"/>
        <v>Jan-2005</v>
      </c>
      <c r="M417" s="5" t="s">
        <v>181</v>
      </c>
      <c r="N417" s="5" t="s">
        <v>467</v>
      </c>
      <c r="O417" s="5" t="s">
        <v>130</v>
      </c>
      <c r="P417" s="5" t="s">
        <v>42</v>
      </c>
      <c r="Q417" s="5" t="s">
        <v>51</v>
      </c>
    </row>
    <row r="418" spans="1:17" x14ac:dyDescent="0.25">
      <c r="A418" s="3">
        <v>10377</v>
      </c>
      <c r="B418" s="3">
        <v>50</v>
      </c>
      <c r="C418" s="3">
        <v>100</v>
      </c>
      <c r="D418" s="3">
        <v>5000</v>
      </c>
      <c r="E418" s="3" t="str">
        <f t="shared" si="25"/>
        <v>High</v>
      </c>
      <c r="F418" s="3">
        <f t="shared" si="26"/>
        <v>1500</v>
      </c>
      <c r="G418" s="4">
        <v>38392</v>
      </c>
      <c r="H418" s="3" t="s">
        <v>25</v>
      </c>
      <c r="I418" s="3" t="str">
        <f t="shared" si="24"/>
        <v>Yes</v>
      </c>
      <c r="J418" s="3" t="s">
        <v>681</v>
      </c>
      <c r="K418" s="3">
        <v>2005</v>
      </c>
      <c r="L418" s="3" t="str">
        <f t="shared" si="27"/>
        <v>Feb-2005</v>
      </c>
      <c r="M418" s="3" t="s">
        <v>181</v>
      </c>
      <c r="N418" s="3" t="s">
        <v>126</v>
      </c>
      <c r="O418" s="3" t="s">
        <v>130</v>
      </c>
      <c r="P418" s="3" t="s">
        <v>42</v>
      </c>
      <c r="Q418" s="3" t="s">
        <v>51</v>
      </c>
    </row>
    <row r="419" spans="1:17" x14ac:dyDescent="0.25">
      <c r="A419" s="5">
        <v>10389</v>
      </c>
      <c r="B419" s="5">
        <v>47</v>
      </c>
      <c r="C419" s="5">
        <v>100</v>
      </c>
      <c r="D419" s="5">
        <v>4700</v>
      </c>
      <c r="E419" s="5" t="str">
        <f t="shared" si="25"/>
        <v>Medium</v>
      </c>
      <c r="F419" s="5">
        <f t="shared" si="26"/>
        <v>1410</v>
      </c>
      <c r="G419" s="6">
        <v>38414</v>
      </c>
      <c r="H419" s="5" t="s">
        <v>25</v>
      </c>
      <c r="I419" s="5" t="str">
        <f t="shared" si="24"/>
        <v>Yes</v>
      </c>
      <c r="J419" s="5" t="s">
        <v>691</v>
      </c>
      <c r="K419" s="5">
        <v>2005</v>
      </c>
      <c r="L419" s="5" t="str">
        <f t="shared" si="27"/>
        <v>Mar-2005</v>
      </c>
      <c r="M419" s="5" t="s">
        <v>181</v>
      </c>
      <c r="N419" s="5" t="s">
        <v>261</v>
      </c>
      <c r="O419" s="5" t="s">
        <v>188</v>
      </c>
      <c r="P419" s="5" t="s">
        <v>42</v>
      </c>
      <c r="Q419" s="5" t="s">
        <v>51</v>
      </c>
    </row>
    <row r="420" spans="1:17" x14ac:dyDescent="0.25">
      <c r="A420" s="3">
        <v>10405</v>
      </c>
      <c r="B420" s="3">
        <v>97</v>
      </c>
      <c r="C420" s="3">
        <v>93.28</v>
      </c>
      <c r="D420" s="3">
        <v>9048.16</v>
      </c>
      <c r="E420" s="3" t="str">
        <f t="shared" si="25"/>
        <v>High</v>
      </c>
      <c r="F420" s="3">
        <f t="shared" si="26"/>
        <v>2714.4479999999999</v>
      </c>
      <c r="G420" s="4">
        <v>38456</v>
      </c>
      <c r="H420" s="3" t="s">
        <v>25</v>
      </c>
      <c r="I420" s="3" t="str">
        <f t="shared" si="24"/>
        <v>Yes</v>
      </c>
      <c r="J420" s="3" t="s">
        <v>688</v>
      </c>
      <c r="K420" s="3">
        <v>2005</v>
      </c>
      <c r="L420" s="3" t="str">
        <f t="shared" si="27"/>
        <v>Apr-2005</v>
      </c>
      <c r="M420" s="3" t="s">
        <v>181</v>
      </c>
      <c r="N420" s="3" t="s">
        <v>531</v>
      </c>
      <c r="O420" s="3" t="s">
        <v>41</v>
      </c>
      <c r="P420" s="3" t="s">
        <v>42</v>
      </c>
      <c r="Q420" s="3" t="s">
        <v>151</v>
      </c>
    </row>
    <row r="421" spans="1:17" x14ac:dyDescent="0.25">
      <c r="A421" s="5">
        <v>10419</v>
      </c>
      <c r="B421" s="5">
        <v>32</v>
      </c>
      <c r="C421" s="5">
        <v>100</v>
      </c>
      <c r="D421" s="5">
        <v>3200</v>
      </c>
      <c r="E421" s="5" t="str">
        <f t="shared" si="25"/>
        <v>Medium</v>
      </c>
      <c r="F421" s="5">
        <f t="shared" si="26"/>
        <v>960</v>
      </c>
      <c r="G421" s="6">
        <v>38489</v>
      </c>
      <c r="H421" s="5" t="s">
        <v>25</v>
      </c>
      <c r="I421" s="5" t="str">
        <f t="shared" si="24"/>
        <v>Yes</v>
      </c>
      <c r="J421" s="5" t="s">
        <v>682</v>
      </c>
      <c r="K421" s="5">
        <v>2005</v>
      </c>
      <c r="L421" s="5" t="str">
        <f t="shared" si="27"/>
        <v>May-2005</v>
      </c>
      <c r="M421" s="5" t="s">
        <v>181</v>
      </c>
      <c r="N421" s="5" t="s">
        <v>144</v>
      </c>
      <c r="O421" s="5" t="s">
        <v>148</v>
      </c>
      <c r="P421" s="5" t="s">
        <v>42</v>
      </c>
      <c r="Q421" s="5" t="s">
        <v>51</v>
      </c>
    </row>
    <row r="422" spans="1:17" x14ac:dyDescent="0.25">
      <c r="A422" s="3">
        <v>10103</v>
      </c>
      <c r="B422" s="3">
        <v>35</v>
      </c>
      <c r="C422" s="3">
        <v>100</v>
      </c>
      <c r="D422" s="3">
        <v>3500</v>
      </c>
      <c r="E422" s="3" t="str">
        <f t="shared" si="25"/>
        <v>Medium</v>
      </c>
      <c r="F422" s="3">
        <f t="shared" si="26"/>
        <v>1050</v>
      </c>
      <c r="G422" s="4">
        <v>37650</v>
      </c>
      <c r="H422" s="3" t="s">
        <v>25</v>
      </c>
      <c r="I422" s="3" t="str">
        <f t="shared" si="24"/>
        <v>Yes</v>
      </c>
      <c r="J422" s="3" t="s">
        <v>549</v>
      </c>
      <c r="K422" s="3">
        <v>2003</v>
      </c>
      <c r="L422" s="3" t="str">
        <f t="shared" si="27"/>
        <v>Jan-2003</v>
      </c>
      <c r="M422" s="3" t="s">
        <v>504</v>
      </c>
      <c r="N422" s="3" t="s">
        <v>133</v>
      </c>
      <c r="O422" s="3" t="s">
        <v>78</v>
      </c>
      <c r="P422" s="3" t="s">
        <v>42</v>
      </c>
      <c r="Q422" s="3" t="s">
        <v>51</v>
      </c>
    </row>
    <row r="423" spans="1:17" x14ac:dyDescent="0.25">
      <c r="A423" s="5">
        <v>10113</v>
      </c>
      <c r="B423" s="5">
        <v>49</v>
      </c>
      <c r="C423" s="5">
        <v>100</v>
      </c>
      <c r="D423" s="5">
        <v>4900</v>
      </c>
      <c r="E423" s="5" t="str">
        <f t="shared" si="25"/>
        <v>Medium</v>
      </c>
      <c r="F423" s="5">
        <f t="shared" si="26"/>
        <v>1470</v>
      </c>
      <c r="G423" s="6">
        <v>37706</v>
      </c>
      <c r="H423" s="5" t="s">
        <v>25</v>
      </c>
      <c r="I423" s="5" t="str">
        <f t="shared" si="24"/>
        <v>Yes</v>
      </c>
      <c r="J423" s="5" t="s">
        <v>691</v>
      </c>
      <c r="K423" s="5">
        <v>2003</v>
      </c>
      <c r="L423" s="5" t="str">
        <f t="shared" si="27"/>
        <v>Mar-2003</v>
      </c>
      <c r="M423" s="5" t="s">
        <v>504</v>
      </c>
      <c r="N423" s="5" t="s">
        <v>272</v>
      </c>
      <c r="O423" s="5" t="s">
        <v>32</v>
      </c>
      <c r="P423" s="5" t="s">
        <v>33</v>
      </c>
      <c r="Q423" s="5" t="s">
        <v>51</v>
      </c>
    </row>
    <row r="424" spans="1:17" x14ac:dyDescent="0.25">
      <c r="A424" s="3">
        <v>10126</v>
      </c>
      <c r="B424" s="3">
        <v>38</v>
      </c>
      <c r="C424" s="3">
        <v>100</v>
      </c>
      <c r="D424" s="3">
        <v>3800</v>
      </c>
      <c r="E424" s="3" t="str">
        <f t="shared" si="25"/>
        <v>Medium</v>
      </c>
      <c r="F424" s="3">
        <f t="shared" si="26"/>
        <v>1140</v>
      </c>
      <c r="G424" s="4">
        <v>37769</v>
      </c>
      <c r="H424" s="3" t="s">
        <v>25</v>
      </c>
      <c r="I424" s="3" t="str">
        <f t="shared" si="24"/>
        <v>Yes</v>
      </c>
      <c r="J424" s="3" t="s">
        <v>682</v>
      </c>
      <c r="K424" s="3">
        <v>2003</v>
      </c>
      <c r="L424" s="3" t="str">
        <f t="shared" si="27"/>
        <v>May-2003</v>
      </c>
      <c r="M424" s="3" t="s">
        <v>504</v>
      </c>
      <c r="N424" s="3" t="s">
        <v>191</v>
      </c>
      <c r="O424" s="3" t="s">
        <v>178</v>
      </c>
      <c r="P424" s="3" t="s">
        <v>42</v>
      </c>
      <c r="Q424" s="3" t="s">
        <v>51</v>
      </c>
    </row>
    <row r="425" spans="1:17" x14ac:dyDescent="0.25">
      <c r="A425" s="5">
        <v>10140</v>
      </c>
      <c r="B425" s="5">
        <v>32</v>
      </c>
      <c r="C425" s="5">
        <v>100</v>
      </c>
      <c r="D425" s="5">
        <v>3200</v>
      </c>
      <c r="E425" s="5" t="str">
        <f t="shared" si="25"/>
        <v>Medium</v>
      </c>
      <c r="F425" s="5">
        <f t="shared" si="26"/>
        <v>960</v>
      </c>
      <c r="G425" s="6">
        <v>37826</v>
      </c>
      <c r="H425" s="5" t="s">
        <v>25</v>
      </c>
      <c r="I425" s="5" t="str">
        <f t="shared" si="24"/>
        <v>Yes</v>
      </c>
      <c r="J425" s="5" t="s">
        <v>683</v>
      </c>
      <c r="K425" s="5">
        <v>2003</v>
      </c>
      <c r="L425" s="5" t="str">
        <f t="shared" si="27"/>
        <v>Jul-2003</v>
      </c>
      <c r="M425" s="5" t="s">
        <v>504</v>
      </c>
      <c r="N425" s="5" t="s">
        <v>62</v>
      </c>
      <c r="O425" s="5" t="s">
        <v>32</v>
      </c>
      <c r="P425" s="5" t="s">
        <v>33</v>
      </c>
      <c r="Q425" s="5" t="s">
        <v>51</v>
      </c>
    </row>
    <row r="426" spans="1:17" x14ac:dyDescent="0.25">
      <c r="A426" s="3">
        <v>10150</v>
      </c>
      <c r="B426" s="3">
        <v>34</v>
      </c>
      <c r="C426" s="3">
        <v>100</v>
      </c>
      <c r="D426" s="3">
        <v>3400</v>
      </c>
      <c r="E426" s="3" t="str">
        <f t="shared" si="25"/>
        <v>Medium</v>
      </c>
      <c r="F426" s="3">
        <f t="shared" si="26"/>
        <v>1020</v>
      </c>
      <c r="G426" s="4">
        <v>37883</v>
      </c>
      <c r="H426" s="3" t="s">
        <v>25</v>
      </c>
      <c r="I426" s="3" t="str">
        <f t="shared" si="24"/>
        <v>Yes</v>
      </c>
      <c r="J426" s="3" t="s">
        <v>690</v>
      </c>
      <c r="K426" s="3">
        <v>2003</v>
      </c>
      <c r="L426" s="3" t="str">
        <f t="shared" si="27"/>
        <v>Sep-2003</v>
      </c>
      <c r="M426" s="3" t="s">
        <v>504</v>
      </c>
      <c r="N426" s="3" t="s">
        <v>196</v>
      </c>
      <c r="O426" s="3" t="s">
        <v>199</v>
      </c>
      <c r="P426" s="3" t="s">
        <v>675</v>
      </c>
      <c r="Q426" s="3" t="s">
        <v>51</v>
      </c>
    </row>
    <row r="427" spans="1:17" x14ac:dyDescent="0.25">
      <c r="A427" s="5">
        <v>10164</v>
      </c>
      <c r="B427" s="5">
        <v>36</v>
      </c>
      <c r="C427" s="5">
        <v>99.17</v>
      </c>
      <c r="D427" s="5">
        <v>3570.12</v>
      </c>
      <c r="E427" s="5" t="str">
        <f t="shared" si="25"/>
        <v>Medium</v>
      </c>
      <c r="F427" s="5">
        <f t="shared" si="26"/>
        <v>1071.0359999999998</v>
      </c>
      <c r="G427" s="6">
        <v>37915</v>
      </c>
      <c r="H427" s="5" t="s">
        <v>408</v>
      </c>
      <c r="I427" s="5" t="str">
        <f t="shared" si="24"/>
        <v>No</v>
      </c>
      <c r="J427" s="5" t="s">
        <v>685</v>
      </c>
      <c r="K427" s="5">
        <v>2003</v>
      </c>
      <c r="L427" s="5" t="str">
        <f t="shared" si="27"/>
        <v>Oct-2003</v>
      </c>
      <c r="M427" s="5" t="s">
        <v>504</v>
      </c>
      <c r="N427" s="5" t="s">
        <v>409</v>
      </c>
      <c r="O427" s="5" t="s">
        <v>148</v>
      </c>
      <c r="P427" s="5" t="s">
        <v>42</v>
      </c>
      <c r="Q427" s="5" t="s">
        <v>51</v>
      </c>
    </row>
    <row r="428" spans="1:17" x14ac:dyDescent="0.25">
      <c r="A428" s="3">
        <v>10174</v>
      </c>
      <c r="B428" s="3">
        <v>48</v>
      </c>
      <c r="C428" s="3">
        <v>93.34</v>
      </c>
      <c r="D428" s="3">
        <v>4480.32</v>
      </c>
      <c r="E428" s="3" t="str">
        <f t="shared" si="25"/>
        <v>Medium</v>
      </c>
      <c r="F428" s="3">
        <f t="shared" si="26"/>
        <v>1344.0959999999998</v>
      </c>
      <c r="G428" s="4">
        <v>37931</v>
      </c>
      <c r="H428" s="3" t="s">
        <v>25</v>
      </c>
      <c r="I428" s="3" t="str">
        <f t="shared" si="24"/>
        <v>Yes</v>
      </c>
      <c r="J428" s="3" t="s">
        <v>686</v>
      </c>
      <c r="K428" s="3">
        <v>2003</v>
      </c>
      <c r="L428" s="3" t="str">
        <f t="shared" si="27"/>
        <v>Nov-2003</v>
      </c>
      <c r="M428" s="3" t="s">
        <v>504</v>
      </c>
      <c r="N428" s="3" t="s">
        <v>207</v>
      </c>
      <c r="O428" s="3" t="s">
        <v>95</v>
      </c>
      <c r="P428" s="3" t="s">
        <v>96</v>
      </c>
      <c r="Q428" s="3" t="s">
        <v>51</v>
      </c>
    </row>
    <row r="429" spans="1:17" x14ac:dyDescent="0.25">
      <c r="A429" s="5">
        <v>10183</v>
      </c>
      <c r="B429" s="5">
        <v>21</v>
      </c>
      <c r="C429" s="5">
        <v>96.84</v>
      </c>
      <c r="D429" s="5">
        <v>2033.64</v>
      </c>
      <c r="E429" s="5" t="str">
        <f t="shared" si="25"/>
        <v>Medium</v>
      </c>
      <c r="F429" s="5">
        <f t="shared" si="26"/>
        <v>610.09199999999998</v>
      </c>
      <c r="G429" s="6">
        <v>37938</v>
      </c>
      <c r="H429" s="5" t="s">
        <v>25</v>
      </c>
      <c r="I429" s="5" t="str">
        <f t="shared" si="24"/>
        <v>Yes</v>
      </c>
      <c r="J429" s="5" t="s">
        <v>686</v>
      </c>
      <c r="K429" s="5">
        <v>2003</v>
      </c>
      <c r="L429" s="5" t="str">
        <f t="shared" si="27"/>
        <v>Nov-2003</v>
      </c>
      <c r="M429" s="5" t="s">
        <v>504</v>
      </c>
      <c r="N429" s="5" t="s">
        <v>214</v>
      </c>
      <c r="O429" s="5" t="s">
        <v>32</v>
      </c>
      <c r="P429" s="5" t="s">
        <v>33</v>
      </c>
      <c r="Q429" s="5" t="s">
        <v>36</v>
      </c>
    </row>
    <row r="430" spans="1:17" x14ac:dyDescent="0.25">
      <c r="A430" s="3">
        <v>10194</v>
      </c>
      <c r="B430" s="3">
        <v>21</v>
      </c>
      <c r="C430" s="3">
        <v>93.34</v>
      </c>
      <c r="D430" s="3">
        <v>1960.14</v>
      </c>
      <c r="E430" s="3" t="str">
        <f t="shared" si="25"/>
        <v>Low</v>
      </c>
      <c r="F430" s="3">
        <f t="shared" si="26"/>
        <v>588.04200000000003</v>
      </c>
      <c r="G430" s="4">
        <v>37950</v>
      </c>
      <c r="H430" s="3" t="s">
        <v>25</v>
      </c>
      <c r="I430" s="3" t="str">
        <f t="shared" si="24"/>
        <v>Yes</v>
      </c>
      <c r="J430" s="3" t="s">
        <v>686</v>
      </c>
      <c r="K430" s="3">
        <v>2003</v>
      </c>
      <c r="L430" s="3" t="str">
        <f t="shared" si="27"/>
        <v>Nov-2003</v>
      </c>
      <c r="M430" s="3" t="s">
        <v>504</v>
      </c>
      <c r="N430" s="3" t="s">
        <v>219</v>
      </c>
      <c r="O430" s="3" t="s">
        <v>41</v>
      </c>
      <c r="P430" s="3" t="s">
        <v>42</v>
      </c>
      <c r="Q430" s="3" t="s">
        <v>36</v>
      </c>
    </row>
    <row r="431" spans="1:17" x14ac:dyDescent="0.25">
      <c r="A431" s="5">
        <v>10206</v>
      </c>
      <c r="B431" s="5">
        <v>34</v>
      </c>
      <c r="C431" s="5">
        <v>100</v>
      </c>
      <c r="D431" s="5">
        <v>3400</v>
      </c>
      <c r="E431" s="5" t="str">
        <f t="shared" si="25"/>
        <v>Medium</v>
      </c>
      <c r="F431" s="5">
        <f t="shared" si="26"/>
        <v>1020</v>
      </c>
      <c r="G431" s="6">
        <v>37960</v>
      </c>
      <c r="H431" s="5" t="s">
        <v>25</v>
      </c>
      <c r="I431" s="5" t="str">
        <f t="shared" si="24"/>
        <v>Yes</v>
      </c>
      <c r="J431" s="5" t="s">
        <v>687</v>
      </c>
      <c r="K431" s="5">
        <v>2003</v>
      </c>
      <c r="L431" s="5" t="str">
        <f t="shared" si="27"/>
        <v>Dec-2003</v>
      </c>
      <c r="M431" s="5" t="s">
        <v>504</v>
      </c>
      <c r="N431" s="5" t="s">
        <v>225</v>
      </c>
      <c r="O431" s="5" t="s">
        <v>231</v>
      </c>
      <c r="P431" s="5" t="s">
        <v>33</v>
      </c>
      <c r="Q431" s="5" t="s">
        <v>51</v>
      </c>
    </row>
    <row r="432" spans="1:17" x14ac:dyDescent="0.25">
      <c r="A432" s="3">
        <v>10215</v>
      </c>
      <c r="B432" s="3">
        <v>46</v>
      </c>
      <c r="C432" s="3">
        <v>100</v>
      </c>
      <c r="D432" s="3">
        <v>4600</v>
      </c>
      <c r="E432" s="3" t="str">
        <f t="shared" si="25"/>
        <v>Medium</v>
      </c>
      <c r="F432" s="3">
        <f t="shared" si="26"/>
        <v>1380</v>
      </c>
      <c r="G432" s="4">
        <v>38015</v>
      </c>
      <c r="H432" s="3" t="s">
        <v>25</v>
      </c>
      <c r="I432" s="3" t="str">
        <f t="shared" si="24"/>
        <v>Yes</v>
      </c>
      <c r="J432" s="3" t="s">
        <v>549</v>
      </c>
      <c r="K432" s="3">
        <v>2004</v>
      </c>
      <c r="L432" s="3" t="str">
        <f t="shared" si="27"/>
        <v>Jan-2004</v>
      </c>
      <c r="M432" s="3" t="s">
        <v>504</v>
      </c>
      <c r="N432" s="3" t="s">
        <v>234</v>
      </c>
      <c r="O432" s="3" t="s">
        <v>32</v>
      </c>
      <c r="P432" s="3" t="s">
        <v>33</v>
      </c>
      <c r="Q432" s="3" t="s">
        <v>51</v>
      </c>
    </row>
    <row r="433" spans="1:17" x14ac:dyDescent="0.25">
      <c r="A433" s="5">
        <v>10228</v>
      </c>
      <c r="B433" s="5">
        <v>32</v>
      </c>
      <c r="C433" s="5">
        <v>100</v>
      </c>
      <c r="D433" s="5">
        <v>3200</v>
      </c>
      <c r="E433" s="5" t="str">
        <f t="shared" si="25"/>
        <v>Medium</v>
      </c>
      <c r="F433" s="5">
        <f t="shared" si="26"/>
        <v>960</v>
      </c>
      <c r="G433" s="6">
        <v>38056</v>
      </c>
      <c r="H433" s="5" t="s">
        <v>25</v>
      </c>
      <c r="I433" s="5" t="str">
        <f t="shared" si="24"/>
        <v>Yes</v>
      </c>
      <c r="J433" s="5" t="s">
        <v>691</v>
      </c>
      <c r="K433" s="5">
        <v>2004</v>
      </c>
      <c r="L433" s="5" t="str">
        <f t="shared" si="27"/>
        <v>Mar-2004</v>
      </c>
      <c r="M433" s="5" t="s">
        <v>504</v>
      </c>
      <c r="N433" s="5" t="s">
        <v>239</v>
      </c>
      <c r="O433" s="5" t="s">
        <v>32</v>
      </c>
      <c r="P433" s="5" t="s">
        <v>33</v>
      </c>
      <c r="Q433" s="5" t="s">
        <v>51</v>
      </c>
    </row>
    <row r="434" spans="1:17" x14ac:dyDescent="0.25">
      <c r="A434" s="3">
        <v>10245</v>
      </c>
      <c r="B434" s="3">
        <v>29</v>
      </c>
      <c r="C434" s="3">
        <v>100</v>
      </c>
      <c r="D434" s="3">
        <v>2900</v>
      </c>
      <c r="E434" s="3" t="str">
        <f t="shared" si="25"/>
        <v>Medium</v>
      </c>
      <c r="F434" s="3">
        <f t="shared" si="26"/>
        <v>870</v>
      </c>
      <c r="G434" s="4">
        <v>38111</v>
      </c>
      <c r="H434" s="3" t="s">
        <v>25</v>
      </c>
      <c r="I434" s="3" t="str">
        <f t="shared" si="24"/>
        <v>Yes</v>
      </c>
      <c r="J434" s="3" t="s">
        <v>682</v>
      </c>
      <c r="K434" s="3">
        <v>2004</v>
      </c>
      <c r="L434" s="3" t="str">
        <f t="shared" si="27"/>
        <v>May-2004</v>
      </c>
      <c r="M434" s="3" t="s">
        <v>504</v>
      </c>
      <c r="N434" s="3" t="s">
        <v>242</v>
      </c>
      <c r="O434" s="3" t="s">
        <v>32</v>
      </c>
      <c r="P434" s="3" t="s">
        <v>33</v>
      </c>
      <c r="Q434" s="3" t="s">
        <v>51</v>
      </c>
    </row>
    <row r="435" spans="1:17" x14ac:dyDescent="0.25">
      <c r="A435" s="5">
        <v>10258</v>
      </c>
      <c r="B435" s="5">
        <v>41</v>
      </c>
      <c r="C435" s="5">
        <v>100</v>
      </c>
      <c r="D435" s="5">
        <v>4100</v>
      </c>
      <c r="E435" s="5" t="str">
        <f t="shared" si="25"/>
        <v>Medium</v>
      </c>
      <c r="F435" s="5">
        <f t="shared" si="26"/>
        <v>1230</v>
      </c>
      <c r="G435" s="6">
        <v>38153</v>
      </c>
      <c r="H435" s="5" t="s">
        <v>25</v>
      </c>
      <c r="I435" s="5" t="str">
        <f t="shared" si="24"/>
        <v>Yes</v>
      </c>
      <c r="J435" s="5" t="s">
        <v>689</v>
      </c>
      <c r="K435" s="5">
        <v>2004</v>
      </c>
      <c r="L435" s="5" t="str">
        <f t="shared" si="27"/>
        <v>Jun-2004</v>
      </c>
      <c r="M435" s="5" t="s">
        <v>504</v>
      </c>
      <c r="N435" s="5" t="s">
        <v>246</v>
      </c>
      <c r="O435" s="5" t="s">
        <v>200</v>
      </c>
      <c r="P435" s="5" t="s">
        <v>675</v>
      </c>
      <c r="Q435" s="5" t="s">
        <v>51</v>
      </c>
    </row>
    <row r="436" spans="1:17" x14ac:dyDescent="0.25">
      <c r="A436" s="3">
        <v>10270</v>
      </c>
      <c r="B436" s="3">
        <v>43</v>
      </c>
      <c r="C436" s="3">
        <v>96.84</v>
      </c>
      <c r="D436" s="3">
        <v>4164.12</v>
      </c>
      <c r="E436" s="3" t="str">
        <f t="shared" si="25"/>
        <v>Medium</v>
      </c>
      <c r="F436" s="3">
        <f t="shared" si="26"/>
        <v>1249.2359999999999</v>
      </c>
      <c r="G436" s="4">
        <v>38187</v>
      </c>
      <c r="H436" s="3" t="s">
        <v>25</v>
      </c>
      <c r="I436" s="3" t="str">
        <f t="shared" si="24"/>
        <v>Yes</v>
      </c>
      <c r="J436" s="3" t="s">
        <v>683</v>
      </c>
      <c r="K436" s="3">
        <v>2004</v>
      </c>
      <c r="L436" s="3" t="str">
        <f t="shared" si="27"/>
        <v>Jul-2004</v>
      </c>
      <c r="M436" s="3" t="s">
        <v>504</v>
      </c>
      <c r="N436" s="3" t="s">
        <v>152</v>
      </c>
      <c r="O436" s="3" t="s">
        <v>95</v>
      </c>
      <c r="P436" s="3" t="s">
        <v>96</v>
      </c>
      <c r="Q436" s="3" t="s">
        <v>51</v>
      </c>
    </row>
    <row r="437" spans="1:17" x14ac:dyDescent="0.25">
      <c r="A437" s="5">
        <v>10280</v>
      </c>
      <c r="B437" s="5">
        <v>24</v>
      </c>
      <c r="C437" s="5">
        <v>100</v>
      </c>
      <c r="D437" s="5">
        <v>2400</v>
      </c>
      <c r="E437" s="5" t="str">
        <f t="shared" si="25"/>
        <v>Medium</v>
      </c>
      <c r="F437" s="5">
        <f t="shared" si="26"/>
        <v>720</v>
      </c>
      <c r="G437" s="6">
        <v>38216</v>
      </c>
      <c r="H437" s="5" t="s">
        <v>25</v>
      </c>
      <c r="I437" s="5" t="str">
        <f t="shared" si="24"/>
        <v>Yes</v>
      </c>
      <c r="J437" s="5" t="s">
        <v>684</v>
      </c>
      <c r="K437" s="5">
        <v>2004</v>
      </c>
      <c r="L437" s="5" t="str">
        <f t="shared" si="27"/>
        <v>Aug-2004</v>
      </c>
      <c r="M437" s="5" t="s">
        <v>504</v>
      </c>
      <c r="N437" s="5" t="s">
        <v>254</v>
      </c>
      <c r="O437" s="5" t="s">
        <v>258</v>
      </c>
      <c r="P437" s="5" t="s">
        <v>42</v>
      </c>
      <c r="Q437" s="5" t="s">
        <v>36</v>
      </c>
    </row>
    <row r="438" spans="1:17" x14ac:dyDescent="0.25">
      <c r="A438" s="3">
        <v>10291</v>
      </c>
      <c r="B438" s="3">
        <v>41</v>
      </c>
      <c r="C438" s="3">
        <v>100</v>
      </c>
      <c r="D438" s="3">
        <v>4100</v>
      </c>
      <c r="E438" s="3" t="str">
        <f t="shared" si="25"/>
        <v>Medium</v>
      </c>
      <c r="F438" s="3">
        <f t="shared" si="26"/>
        <v>1230</v>
      </c>
      <c r="G438" s="4">
        <v>38238</v>
      </c>
      <c r="H438" s="3" t="s">
        <v>25</v>
      </c>
      <c r="I438" s="3" t="str">
        <f t="shared" si="24"/>
        <v>Yes</v>
      </c>
      <c r="J438" s="3" t="s">
        <v>690</v>
      </c>
      <c r="K438" s="3">
        <v>2004</v>
      </c>
      <c r="L438" s="3" t="str">
        <f t="shared" si="27"/>
        <v>Sep-2004</v>
      </c>
      <c r="M438" s="3" t="s">
        <v>504</v>
      </c>
      <c r="N438" s="3" t="s">
        <v>261</v>
      </c>
      <c r="O438" s="3" t="s">
        <v>188</v>
      </c>
      <c r="P438" s="3" t="s">
        <v>42</v>
      </c>
      <c r="Q438" s="3" t="s">
        <v>51</v>
      </c>
    </row>
    <row r="439" spans="1:17" x14ac:dyDescent="0.25">
      <c r="A439" s="5">
        <v>10304</v>
      </c>
      <c r="B439" s="5">
        <v>46</v>
      </c>
      <c r="C439" s="5">
        <v>98</v>
      </c>
      <c r="D439" s="5">
        <v>4508</v>
      </c>
      <c r="E439" s="5" t="str">
        <f t="shared" si="25"/>
        <v>Medium</v>
      </c>
      <c r="F439" s="5">
        <f t="shared" si="26"/>
        <v>1352.3999999999999</v>
      </c>
      <c r="G439" s="6">
        <v>38271</v>
      </c>
      <c r="H439" s="5" t="s">
        <v>25</v>
      </c>
      <c r="I439" s="5" t="str">
        <f t="shared" si="24"/>
        <v>Yes</v>
      </c>
      <c r="J439" s="5" t="s">
        <v>685</v>
      </c>
      <c r="K439" s="5">
        <v>2004</v>
      </c>
      <c r="L439" s="5" t="str">
        <f t="shared" si="27"/>
        <v>Oct-2004</v>
      </c>
      <c r="M439" s="5" t="s">
        <v>504</v>
      </c>
      <c r="N439" s="5" t="s">
        <v>267</v>
      </c>
      <c r="O439" s="5" t="s">
        <v>41</v>
      </c>
      <c r="P439" s="5" t="s">
        <v>42</v>
      </c>
      <c r="Q439" s="5" t="s">
        <v>51</v>
      </c>
    </row>
    <row r="440" spans="1:17" x14ac:dyDescent="0.25">
      <c r="A440" s="3">
        <v>10312</v>
      </c>
      <c r="B440" s="3">
        <v>32</v>
      </c>
      <c r="C440" s="3">
        <v>100</v>
      </c>
      <c r="D440" s="3">
        <v>3200</v>
      </c>
      <c r="E440" s="3" t="str">
        <f t="shared" si="25"/>
        <v>Medium</v>
      </c>
      <c r="F440" s="3">
        <f t="shared" si="26"/>
        <v>960</v>
      </c>
      <c r="G440" s="4">
        <v>38281</v>
      </c>
      <c r="H440" s="3" t="s">
        <v>25</v>
      </c>
      <c r="I440" s="3" t="str">
        <f t="shared" si="24"/>
        <v>Yes</v>
      </c>
      <c r="J440" s="3" t="s">
        <v>685</v>
      </c>
      <c r="K440" s="3">
        <v>2004</v>
      </c>
      <c r="L440" s="3" t="str">
        <f t="shared" si="27"/>
        <v>Oct-2004</v>
      </c>
      <c r="M440" s="3" t="s">
        <v>504</v>
      </c>
      <c r="N440" s="3" t="s">
        <v>272</v>
      </c>
      <c r="O440" s="3" t="s">
        <v>32</v>
      </c>
      <c r="P440" s="3" t="s">
        <v>33</v>
      </c>
      <c r="Q440" s="3" t="s">
        <v>51</v>
      </c>
    </row>
    <row r="441" spans="1:17" x14ac:dyDescent="0.25">
      <c r="A441" s="5">
        <v>10322</v>
      </c>
      <c r="B441" s="5">
        <v>22</v>
      </c>
      <c r="C441" s="5">
        <v>100</v>
      </c>
      <c r="D441" s="5">
        <v>2200</v>
      </c>
      <c r="E441" s="5" t="str">
        <f t="shared" si="25"/>
        <v>Medium</v>
      </c>
      <c r="F441" s="5">
        <f t="shared" si="26"/>
        <v>660</v>
      </c>
      <c r="G441" s="6">
        <v>38295</v>
      </c>
      <c r="H441" s="5" t="s">
        <v>25</v>
      </c>
      <c r="I441" s="5" t="str">
        <f t="shared" si="24"/>
        <v>Yes</v>
      </c>
      <c r="J441" s="5" t="s">
        <v>686</v>
      </c>
      <c r="K441" s="5">
        <v>2004</v>
      </c>
      <c r="L441" s="5" t="str">
        <f t="shared" si="27"/>
        <v>Nov-2004</v>
      </c>
      <c r="M441" s="5" t="s">
        <v>504</v>
      </c>
      <c r="N441" s="5" t="s">
        <v>277</v>
      </c>
      <c r="O441" s="5" t="s">
        <v>32</v>
      </c>
      <c r="P441" s="5" t="s">
        <v>33</v>
      </c>
      <c r="Q441" s="5" t="s">
        <v>36</v>
      </c>
    </row>
    <row r="442" spans="1:17" x14ac:dyDescent="0.25">
      <c r="A442" s="3">
        <v>10333</v>
      </c>
      <c r="B442" s="3">
        <v>29</v>
      </c>
      <c r="C442" s="3">
        <v>40.25</v>
      </c>
      <c r="D442" s="3">
        <v>1167.25</v>
      </c>
      <c r="E442" s="3" t="str">
        <f t="shared" si="25"/>
        <v>Low</v>
      </c>
      <c r="F442" s="3">
        <f t="shared" si="26"/>
        <v>350.17500000000001</v>
      </c>
      <c r="G442" s="4">
        <v>38309</v>
      </c>
      <c r="H442" s="3" t="s">
        <v>25</v>
      </c>
      <c r="I442" s="3" t="str">
        <f t="shared" si="24"/>
        <v>Yes</v>
      </c>
      <c r="J442" s="3" t="s">
        <v>686</v>
      </c>
      <c r="K442" s="3">
        <v>2004</v>
      </c>
      <c r="L442" s="3" t="str">
        <f t="shared" si="27"/>
        <v>Nov-2004</v>
      </c>
      <c r="M442" s="3" t="s">
        <v>504</v>
      </c>
      <c r="N442" s="3" t="s">
        <v>81</v>
      </c>
      <c r="O442" s="3" t="s">
        <v>32</v>
      </c>
      <c r="P442" s="3" t="s">
        <v>33</v>
      </c>
      <c r="Q442" s="3" t="s">
        <v>36</v>
      </c>
    </row>
    <row r="443" spans="1:17" x14ac:dyDescent="0.25">
      <c r="A443" s="5">
        <v>10347</v>
      </c>
      <c r="B443" s="5">
        <v>42</v>
      </c>
      <c r="C443" s="5">
        <v>49.6</v>
      </c>
      <c r="D443" s="5">
        <v>2083.2000000000003</v>
      </c>
      <c r="E443" s="5" t="str">
        <f t="shared" si="25"/>
        <v>Medium</v>
      </c>
      <c r="F443" s="5">
        <f t="shared" si="26"/>
        <v>624.96</v>
      </c>
      <c r="G443" s="6">
        <v>38320</v>
      </c>
      <c r="H443" s="5" t="s">
        <v>25</v>
      </c>
      <c r="I443" s="5" t="str">
        <f t="shared" si="24"/>
        <v>Yes</v>
      </c>
      <c r="J443" s="5" t="s">
        <v>686</v>
      </c>
      <c r="K443" s="5">
        <v>2004</v>
      </c>
      <c r="L443" s="5" t="str">
        <f t="shared" si="27"/>
        <v>Nov-2004</v>
      </c>
      <c r="M443" s="5" t="s">
        <v>504</v>
      </c>
      <c r="N443" s="5" t="s">
        <v>89</v>
      </c>
      <c r="O443" s="5" t="s">
        <v>95</v>
      </c>
      <c r="P443" s="5" t="s">
        <v>96</v>
      </c>
      <c r="Q443" s="5" t="s">
        <v>36</v>
      </c>
    </row>
    <row r="444" spans="1:17" x14ac:dyDescent="0.25">
      <c r="A444" s="3">
        <v>10357</v>
      </c>
      <c r="B444" s="3">
        <v>39</v>
      </c>
      <c r="C444" s="3">
        <v>98</v>
      </c>
      <c r="D444" s="3">
        <v>3822</v>
      </c>
      <c r="E444" s="3" t="str">
        <f t="shared" si="25"/>
        <v>Medium</v>
      </c>
      <c r="F444" s="3">
        <f t="shared" si="26"/>
        <v>1146.5999999999999</v>
      </c>
      <c r="G444" s="4">
        <v>38331</v>
      </c>
      <c r="H444" s="3" t="s">
        <v>25</v>
      </c>
      <c r="I444" s="3" t="str">
        <f t="shared" si="24"/>
        <v>Yes</v>
      </c>
      <c r="J444" s="3" t="s">
        <v>687</v>
      </c>
      <c r="K444" s="3">
        <v>2004</v>
      </c>
      <c r="L444" s="3" t="str">
        <f t="shared" si="27"/>
        <v>Dec-2004</v>
      </c>
      <c r="M444" s="3" t="s">
        <v>504</v>
      </c>
      <c r="N444" s="3" t="s">
        <v>272</v>
      </c>
      <c r="O444" s="3" t="s">
        <v>32</v>
      </c>
      <c r="P444" s="3" t="s">
        <v>33</v>
      </c>
      <c r="Q444" s="3" t="s">
        <v>51</v>
      </c>
    </row>
    <row r="445" spans="1:17" x14ac:dyDescent="0.25">
      <c r="A445" s="5">
        <v>10370</v>
      </c>
      <c r="B445" s="5">
        <v>27</v>
      </c>
      <c r="C445" s="5">
        <v>100</v>
      </c>
      <c r="D445" s="5">
        <v>2700</v>
      </c>
      <c r="E445" s="5" t="str">
        <f t="shared" si="25"/>
        <v>Medium</v>
      </c>
      <c r="F445" s="5">
        <f t="shared" si="26"/>
        <v>810</v>
      </c>
      <c r="G445" s="6">
        <v>38372</v>
      </c>
      <c r="H445" s="5" t="s">
        <v>25</v>
      </c>
      <c r="I445" s="5" t="str">
        <f t="shared" si="24"/>
        <v>Yes</v>
      </c>
      <c r="J445" s="5" t="s">
        <v>549</v>
      </c>
      <c r="K445" s="5">
        <v>2005</v>
      </c>
      <c r="L445" s="5" t="str">
        <f t="shared" si="27"/>
        <v>Jan-2005</v>
      </c>
      <c r="M445" s="5" t="s">
        <v>504</v>
      </c>
      <c r="N445" s="5" t="s">
        <v>285</v>
      </c>
      <c r="O445" s="5" t="s">
        <v>95</v>
      </c>
      <c r="P445" s="5" t="s">
        <v>96</v>
      </c>
      <c r="Q445" s="5" t="s">
        <v>51</v>
      </c>
    </row>
    <row r="446" spans="1:17" x14ac:dyDescent="0.25">
      <c r="A446" s="3">
        <v>10381</v>
      </c>
      <c r="B446" s="3">
        <v>48</v>
      </c>
      <c r="C446" s="3">
        <v>98</v>
      </c>
      <c r="D446" s="3">
        <v>4704</v>
      </c>
      <c r="E446" s="3" t="str">
        <f t="shared" si="25"/>
        <v>Medium</v>
      </c>
      <c r="F446" s="3">
        <f t="shared" si="26"/>
        <v>1411.2</v>
      </c>
      <c r="G446" s="4">
        <v>38400</v>
      </c>
      <c r="H446" s="3" t="s">
        <v>25</v>
      </c>
      <c r="I446" s="3" t="str">
        <f t="shared" si="24"/>
        <v>Yes</v>
      </c>
      <c r="J446" s="3" t="s">
        <v>681</v>
      </c>
      <c r="K446" s="3">
        <v>2005</v>
      </c>
      <c r="L446" s="3" t="str">
        <f t="shared" si="27"/>
        <v>Feb-2005</v>
      </c>
      <c r="M446" s="3" t="s">
        <v>504</v>
      </c>
      <c r="N446" s="3" t="s">
        <v>58</v>
      </c>
      <c r="O446" s="3" t="s">
        <v>32</v>
      </c>
      <c r="P446" s="3" t="s">
        <v>33</v>
      </c>
      <c r="Q446" s="3" t="s">
        <v>51</v>
      </c>
    </row>
    <row r="447" spans="1:17" x14ac:dyDescent="0.25">
      <c r="A447" s="5">
        <v>10391</v>
      </c>
      <c r="B447" s="5">
        <v>29</v>
      </c>
      <c r="C447" s="5">
        <v>85.1</v>
      </c>
      <c r="D447" s="5">
        <v>2467.8999999999996</v>
      </c>
      <c r="E447" s="5" t="str">
        <f t="shared" si="25"/>
        <v>Medium</v>
      </c>
      <c r="F447" s="5">
        <f t="shared" si="26"/>
        <v>740.36999999999989</v>
      </c>
      <c r="G447" s="6">
        <v>38420</v>
      </c>
      <c r="H447" s="5" t="s">
        <v>25</v>
      </c>
      <c r="I447" s="5" t="str">
        <f t="shared" si="24"/>
        <v>Yes</v>
      </c>
      <c r="J447" s="5" t="s">
        <v>691</v>
      </c>
      <c r="K447" s="5">
        <v>2005</v>
      </c>
      <c r="L447" s="5" t="str">
        <f t="shared" si="27"/>
        <v>Mar-2005</v>
      </c>
      <c r="M447" s="5" t="s">
        <v>504</v>
      </c>
      <c r="N447" s="5" t="s">
        <v>285</v>
      </c>
      <c r="O447" s="5" t="s">
        <v>95</v>
      </c>
      <c r="P447" s="5" t="s">
        <v>96</v>
      </c>
      <c r="Q447" s="5" t="s">
        <v>36</v>
      </c>
    </row>
    <row r="448" spans="1:17" x14ac:dyDescent="0.25">
      <c r="A448" s="3">
        <v>10411</v>
      </c>
      <c r="B448" s="3">
        <v>27</v>
      </c>
      <c r="C448" s="3">
        <v>100</v>
      </c>
      <c r="D448" s="3">
        <v>2700</v>
      </c>
      <c r="E448" s="3" t="str">
        <f t="shared" si="25"/>
        <v>Medium</v>
      </c>
      <c r="F448" s="3">
        <f t="shared" si="26"/>
        <v>810</v>
      </c>
      <c r="G448" s="4">
        <v>38473</v>
      </c>
      <c r="H448" s="3" t="s">
        <v>25</v>
      </c>
      <c r="I448" s="3" t="str">
        <f t="shared" si="24"/>
        <v>Yes</v>
      </c>
      <c r="J448" s="3" t="s">
        <v>682</v>
      </c>
      <c r="K448" s="3">
        <v>2005</v>
      </c>
      <c r="L448" s="3" t="str">
        <f t="shared" si="27"/>
        <v>May-2005</v>
      </c>
      <c r="M448" s="3" t="s">
        <v>504</v>
      </c>
      <c r="N448" s="3" t="s">
        <v>292</v>
      </c>
      <c r="O448" s="3" t="s">
        <v>231</v>
      </c>
      <c r="P448" s="3" t="s">
        <v>33</v>
      </c>
      <c r="Q448" s="3" t="s">
        <v>51</v>
      </c>
    </row>
    <row r="449" spans="1:17" x14ac:dyDescent="0.25">
      <c r="A449" s="5">
        <v>10424</v>
      </c>
      <c r="B449" s="5">
        <v>54</v>
      </c>
      <c r="C449" s="5">
        <v>100</v>
      </c>
      <c r="D449" s="5">
        <v>5400</v>
      </c>
      <c r="E449" s="5" t="str">
        <f t="shared" si="25"/>
        <v>High</v>
      </c>
      <c r="F449" s="5">
        <f t="shared" si="26"/>
        <v>1620</v>
      </c>
      <c r="G449" s="6">
        <v>38503</v>
      </c>
      <c r="H449" s="5" t="s">
        <v>300</v>
      </c>
      <c r="I449" s="5" t="str">
        <f t="shared" si="24"/>
        <v>No</v>
      </c>
      <c r="J449" s="5" t="s">
        <v>682</v>
      </c>
      <c r="K449" s="5">
        <v>2005</v>
      </c>
      <c r="L449" s="5" t="str">
        <f t="shared" si="27"/>
        <v>May-2005</v>
      </c>
      <c r="M449" s="5" t="s">
        <v>504</v>
      </c>
      <c r="N449" s="5" t="s">
        <v>174</v>
      </c>
      <c r="O449" s="5" t="s">
        <v>178</v>
      </c>
      <c r="P449" s="5" t="s">
        <v>42</v>
      </c>
      <c r="Q449" s="5" t="s">
        <v>151</v>
      </c>
    </row>
    <row r="450" spans="1:17" x14ac:dyDescent="0.25">
      <c r="A450" s="3">
        <v>10109</v>
      </c>
      <c r="B450" s="3">
        <v>26</v>
      </c>
      <c r="C450" s="3">
        <v>100</v>
      </c>
      <c r="D450" s="3">
        <v>2600</v>
      </c>
      <c r="E450" s="3" t="str">
        <f t="shared" si="25"/>
        <v>Medium</v>
      </c>
      <c r="F450" s="3">
        <f t="shared" si="26"/>
        <v>780</v>
      </c>
      <c r="G450" s="4">
        <v>37690</v>
      </c>
      <c r="H450" s="3" t="s">
        <v>25</v>
      </c>
      <c r="I450" s="3" t="str">
        <f t="shared" ref="I450:I513" si="28">IF(H450="Shipped","Yes","No")</f>
        <v>Yes</v>
      </c>
      <c r="J450" s="3" t="s">
        <v>691</v>
      </c>
      <c r="K450" s="3">
        <v>2003</v>
      </c>
      <c r="L450" s="3" t="str">
        <f t="shared" si="27"/>
        <v>Mar-2003</v>
      </c>
      <c r="M450" s="3" t="s">
        <v>181</v>
      </c>
      <c r="N450" s="3" t="s">
        <v>309</v>
      </c>
      <c r="O450" s="3" t="s">
        <v>32</v>
      </c>
      <c r="P450" s="3" t="s">
        <v>33</v>
      </c>
      <c r="Q450" s="3" t="s">
        <v>51</v>
      </c>
    </row>
    <row r="451" spans="1:17" x14ac:dyDescent="0.25">
      <c r="A451" s="5">
        <v>10122</v>
      </c>
      <c r="B451" s="5">
        <v>34</v>
      </c>
      <c r="C451" s="5">
        <v>100</v>
      </c>
      <c r="D451" s="5">
        <v>3400</v>
      </c>
      <c r="E451" s="5" t="str">
        <f t="shared" ref="E451:E514" si="29">IF(D451&gt;=5000,"High",IF(D451&gt;=2000,"Medium","Low"))</f>
        <v>Medium</v>
      </c>
      <c r="F451" s="5">
        <f t="shared" ref="F451:F514" si="30">(D451*0.3)</f>
        <v>1020</v>
      </c>
      <c r="G451" s="6">
        <v>37749</v>
      </c>
      <c r="H451" s="5" t="s">
        <v>25</v>
      </c>
      <c r="I451" s="5" t="str">
        <f t="shared" si="28"/>
        <v>Yes</v>
      </c>
      <c r="J451" s="5" t="s">
        <v>682</v>
      </c>
      <c r="K451" s="5">
        <v>2003</v>
      </c>
      <c r="L451" s="5" t="str">
        <f t="shared" ref="L451:L514" si="31">TEXT(G:G,"MMM-YYYY")</f>
        <v>May-2003</v>
      </c>
      <c r="M451" s="5" t="s">
        <v>181</v>
      </c>
      <c r="N451" s="5" t="s">
        <v>433</v>
      </c>
      <c r="O451" s="5" t="s">
        <v>41</v>
      </c>
      <c r="P451" s="5" t="s">
        <v>42</v>
      </c>
      <c r="Q451" s="5" t="s">
        <v>51</v>
      </c>
    </row>
    <row r="452" spans="1:17" x14ac:dyDescent="0.25">
      <c r="A452" s="3">
        <v>10136</v>
      </c>
      <c r="B452" s="3">
        <v>25</v>
      </c>
      <c r="C452" s="3">
        <v>100</v>
      </c>
      <c r="D452" s="3">
        <v>2500</v>
      </c>
      <c r="E452" s="3" t="str">
        <f t="shared" si="29"/>
        <v>Medium</v>
      </c>
      <c r="F452" s="3">
        <f t="shared" si="30"/>
        <v>750</v>
      </c>
      <c r="G452" s="4">
        <v>37806</v>
      </c>
      <c r="H452" s="3" t="s">
        <v>25</v>
      </c>
      <c r="I452" s="3" t="str">
        <f t="shared" si="28"/>
        <v>Yes</v>
      </c>
      <c r="J452" s="3" t="s">
        <v>683</v>
      </c>
      <c r="K452" s="3">
        <v>2003</v>
      </c>
      <c r="L452" s="3" t="str">
        <f t="shared" si="31"/>
        <v>Jul-2003</v>
      </c>
      <c r="M452" s="3" t="s">
        <v>181</v>
      </c>
      <c r="N452" s="3" t="s">
        <v>340</v>
      </c>
      <c r="O452" s="3" t="s">
        <v>41</v>
      </c>
      <c r="P452" s="3" t="s">
        <v>42</v>
      </c>
      <c r="Q452" s="3" t="s">
        <v>51</v>
      </c>
    </row>
    <row r="453" spans="1:17" x14ac:dyDescent="0.25">
      <c r="A453" s="5">
        <v>10148</v>
      </c>
      <c r="B453" s="5">
        <v>23</v>
      </c>
      <c r="C453" s="5">
        <v>100</v>
      </c>
      <c r="D453" s="5">
        <v>2300</v>
      </c>
      <c r="E453" s="5" t="str">
        <f t="shared" si="29"/>
        <v>Medium</v>
      </c>
      <c r="F453" s="5">
        <f t="shared" si="30"/>
        <v>690</v>
      </c>
      <c r="G453" s="6">
        <v>37875</v>
      </c>
      <c r="H453" s="5" t="s">
        <v>25</v>
      </c>
      <c r="I453" s="5" t="str">
        <f t="shared" si="28"/>
        <v>Yes</v>
      </c>
      <c r="J453" s="5" t="s">
        <v>690</v>
      </c>
      <c r="K453" s="5">
        <v>2003</v>
      </c>
      <c r="L453" s="5" t="str">
        <f t="shared" si="31"/>
        <v>Sep-2003</v>
      </c>
      <c r="M453" s="5" t="s">
        <v>181</v>
      </c>
      <c r="N453" s="5" t="s">
        <v>285</v>
      </c>
      <c r="O453" s="5" t="s">
        <v>95</v>
      </c>
      <c r="P453" s="5" t="s">
        <v>96</v>
      </c>
      <c r="Q453" s="5" t="s">
        <v>36</v>
      </c>
    </row>
    <row r="454" spans="1:17" x14ac:dyDescent="0.25">
      <c r="A454" s="3">
        <v>10161</v>
      </c>
      <c r="B454" s="3">
        <v>28</v>
      </c>
      <c r="C454" s="3">
        <v>100</v>
      </c>
      <c r="D454" s="3">
        <v>2800</v>
      </c>
      <c r="E454" s="3" t="str">
        <f t="shared" si="29"/>
        <v>Medium</v>
      </c>
      <c r="F454" s="3">
        <f t="shared" si="30"/>
        <v>840</v>
      </c>
      <c r="G454" s="4">
        <v>37911</v>
      </c>
      <c r="H454" s="3" t="s">
        <v>25</v>
      </c>
      <c r="I454" s="3" t="str">
        <f t="shared" si="28"/>
        <v>Yes</v>
      </c>
      <c r="J454" s="3" t="s">
        <v>685</v>
      </c>
      <c r="K454" s="3">
        <v>2003</v>
      </c>
      <c r="L454" s="3" t="str">
        <f t="shared" si="31"/>
        <v>Oct-2003</v>
      </c>
      <c r="M454" s="3" t="s">
        <v>181</v>
      </c>
      <c r="N454" s="3" t="s">
        <v>498</v>
      </c>
      <c r="O454" s="3" t="s">
        <v>326</v>
      </c>
      <c r="P454" s="3" t="s">
        <v>42</v>
      </c>
      <c r="Q454" s="3" t="s">
        <v>51</v>
      </c>
    </row>
    <row r="455" spans="1:17" x14ac:dyDescent="0.25">
      <c r="A455" s="5">
        <v>10171</v>
      </c>
      <c r="B455" s="5">
        <v>35</v>
      </c>
      <c r="C455" s="5">
        <v>100</v>
      </c>
      <c r="D455" s="5">
        <v>3500</v>
      </c>
      <c r="E455" s="5" t="str">
        <f t="shared" si="29"/>
        <v>Medium</v>
      </c>
      <c r="F455" s="5">
        <f t="shared" si="30"/>
        <v>1050</v>
      </c>
      <c r="G455" s="6">
        <v>37930</v>
      </c>
      <c r="H455" s="5" t="s">
        <v>25</v>
      </c>
      <c r="I455" s="5" t="str">
        <f t="shared" si="28"/>
        <v>Yes</v>
      </c>
      <c r="J455" s="5" t="s">
        <v>686</v>
      </c>
      <c r="K455" s="5">
        <v>2003</v>
      </c>
      <c r="L455" s="5" t="str">
        <f t="shared" si="31"/>
        <v>Nov-2003</v>
      </c>
      <c r="M455" s="5" t="s">
        <v>181</v>
      </c>
      <c r="N455" s="5" t="s">
        <v>292</v>
      </c>
      <c r="O455" s="5" t="s">
        <v>231</v>
      </c>
      <c r="P455" s="5" t="s">
        <v>33</v>
      </c>
      <c r="Q455" s="5" t="s">
        <v>51</v>
      </c>
    </row>
    <row r="456" spans="1:17" x14ac:dyDescent="0.25">
      <c r="A456" s="3">
        <v>10181</v>
      </c>
      <c r="B456" s="3">
        <v>44</v>
      </c>
      <c r="C456" s="3">
        <v>100</v>
      </c>
      <c r="D456" s="3">
        <v>4400</v>
      </c>
      <c r="E456" s="3" t="str">
        <f t="shared" si="29"/>
        <v>Medium</v>
      </c>
      <c r="F456" s="3">
        <f t="shared" si="30"/>
        <v>1320</v>
      </c>
      <c r="G456" s="4">
        <v>37937</v>
      </c>
      <c r="H456" s="3" t="s">
        <v>25</v>
      </c>
      <c r="I456" s="3" t="str">
        <f t="shared" si="28"/>
        <v>Yes</v>
      </c>
      <c r="J456" s="3" t="s">
        <v>686</v>
      </c>
      <c r="K456" s="3">
        <v>2003</v>
      </c>
      <c r="L456" s="3" t="str">
        <f t="shared" si="31"/>
        <v>Nov-2003</v>
      </c>
      <c r="M456" s="3" t="s">
        <v>181</v>
      </c>
      <c r="N456" s="3" t="s">
        <v>73</v>
      </c>
      <c r="O456" s="3" t="s">
        <v>78</v>
      </c>
      <c r="P456" s="3" t="s">
        <v>42</v>
      </c>
      <c r="Q456" s="3" t="s">
        <v>51</v>
      </c>
    </row>
    <row r="457" spans="1:17" x14ac:dyDescent="0.25">
      <c r="A457" s="5">
        <v>10192</v>
      </c>
      <c r="B457" s="5">
        <v>22</v>
      </c>
      <c r="C457" s="5">
        <v>100</v>
      </c>
      <c r="D457" s="5">
        <v>2200</v>
      </c>
      <c r="E457" s="5" t="str">
        <f t="shared" si="29"/>
        <v>Medium</v>
      </c>
      <c r="F457" s="5">
        <f t="shared" si="30"/>
        <v>660</v>
      </c>
      <c r="G457" s="6">
        <v>37945</v>
      </c>
      <c r="H457" s="5" t="s">
        <v>25</v>
      </c>
      <c r="I457" s="5" t="str">
        <f t="shared" si="28"/>
        <v>Yes</v>
      </c>
      <c r="J457" s="5" t="s">
        <v>686</v>
      </c>
      <c r="K457" s="5">
        <v>2003</v>
      </c>
      <c r="L457" s="5" t="str">
        <f t="shared" si="31"/>
        <v>Nov-2003</v>
      </c>
      <c r="M457" s="5" t="s">
        <v>181</v>
      </c>
      <c r="N457" s="5" t="s">
        <v>277</v>
      </c>
      <c r="O457" s="5" t="s">
        <v>32</v>
      </c>
      <c r="P457" s="5" t="s">
        <v>33</v>
      </c>
      <c r="Q457" s="5" t="s">
        <v>51</v>
      </c>
    </row>
    <row r="458" spans="1:17" x14ac:dyDescent="0.25">
      <c r="A458" s="3">
        <v>10204</v>
      </c>
      <c r="B458" s="3">
        <v>42</v>
      </c>
      <c r="C458" s="3">
        <v>100</v>
      </c>
      <c r="D458" s="3">
        <v>4200</v>
      </c>
      <c r="E458" s="3" t="str">
        <f t="shared" si="29"/>
        <v>Medium</v>
      </c>
      <c r="F458" s="3">
        <f t="shared" si="30"/>
        <v>1260</v>
      </c>
      <c r="G458" s="4">
        <v>37957</v>
      </c>
      <c r="H458" s="3" t="s">
        <v>25</v>
      </c>
      <c r="I458" s="3" t="str">
        <f t="shared" si="28"/>
        <v>Yes</v>
      </c>
      <c r="J458" s="3" t="s">
        <v>687</v>
      </c>
      <c r="K458" s="3">
        <v>2003</v>
      </c>
      <c r="L458" s="3" t="str">
        <f t="shared" si="31"/>
        <v>Dec-2003</v>
      </c>
      <c r="M458" s="3" t="s">
        <v>181</v>
      </c>
      <c r="N458" s="3" t="s">
        <v>475</v>
      </c>
      <c r="O458" s="3" t="s">
        <v>32</v>
      </c>
      <c r="P458" s="3" t="s">
        <v>33</v>
      </c>
      <c r="Q458" s="3" t="s">
        <v>51</v>
      </c>
    </row>
    <row r="459" spans="1:17" x14ac:dyDescent="0.25">
      <c r="A459" s="5">
        <v>10212</v>
      </c>
      <c r="B459" s="5">
        <v>29</v>
      </c>
      <c r="C459" s="5">
        <v>100</v>
      </c>
      <c r="D459" s="5">
        <v>2900</v>
      </c>
      <c r="E459" s="5" t="str">
        <f t="shared" si="29"/>
        <v>Medium</v>
      </c>
      <c r="F459" s="5">
        <f t="shared" si="30"/>
        <v>870</v>
      </c>
      <c r="G459" s="6">
        <v>38002</v>
      </c>
      <c r="H459" s="5" t="s">
        <v>25</v>
      </c>
      <c r="I459" s="5" t="str">
        <f t="shared" si="28"/>
        <v>Yes</v>
      </c>
      <c r="J459" s="5" t="s">
        <v>549</v>
      </c>
      <c r="K459" s="5">
        <v>2004</v>
      </c>
      <c r="L459" s="5" t="str">
        <f t="shared" si="31"/>
        <v>Jan-2004</v>
      </c>
      <c r="M459" s="5" t="s">
        <v>181</v>
      </c>
      <c r="N459" s="5" t="s">
        <v>174</v>
      </c>
      <c r="O459" s="5" t="s">
        <v>178</v>
      </c>
      <c r="P459" s="5" t="s">
        <v>42</v>
      </c>
      <c r="Q459" s="5" t="s">
        <v>51</v>
      </c>
    </row>
    <row r="460" spans="1:17" x14ac:dyDescent="0.25">
      <c r="A460" s="3">
        <v>10225</v>
      </c>
      <c r="B460" s="3">
        <v>32</v>
      </c>
      <c r="C460" s="3">
        <v>100</v>
      </c>
      <c r="D460" s="3">
        <v>3200</v>
      </c>
      <c r="E460" s="3" t="str">
        <f t="shared" si="29"/>
        <v>Medium</v>
      </c>
      <c r="F460" s="3">
        <f t="shared" si="30"/>
        <v>960</v>
      </c>
      <c r="G460" s="4">
        <v>38039</v>
      </c>
      <c r="H460" s="3" t="s">
        <v>25</v>
      </c>
      <c r="I460" s="3" t="str">
        <f t="shared" si="28"/>
        <v>Yes</v>
      </c>
      <c r="J460" s="3" t="s">
        <v>681</v>
      </c>
      <c r="K460" s="3">
        <v>2004</v>
      </c>
      <c r="L460" s="3" t="str">
        <f t="shared" si="31"/>
        <v>Feb-2004</v>
      </c>
      <c r="M460" s="3" t="s">
        <v>181</v>
      </c>
      <c r="N460" s="3" t="s">
        <v>446</v>
      </c>
      <c r="O460" s="3" t="s">
        <v>450</v>
      </c>
      <c r="P460" s="3" t="s">
        <v>42</v>
      </c>
      <c r="Q460" s="3" t="s">
        <v>51</v>
      </c>
    </row>
    <row r="461" spans="1:17" x14ac:dyDescent="0.25">
      <c r="A461" s="5">
        <v>10240</v>
      </c>
      <c r="B461" s="5">
        <v>41</v>
      </c>
      <c r="C461" s="5">
        <v>100</v>
      </c>
      <c r="D461" s="5">
        <v>4100</v>
      </c>
      <c r="E461" s="5" t="str">
        <f t="shared" si="29"/>
        <v>Medium</v>
      </c>
      <c r="F461" s="5">
        <f t="shared" si="30"/>
        <v>1230</v>
      </c>
      <c r="G461" s="6">
        <v>38090</v>
      </c>
      <c r="H461" s="5" t="s">
        <v>25</v>
      </c>
      <c r="I461" s="5" t="str">
        <f t="shared" si="28"/>
        <v>Yes</v>
      </c>
      <c r="J461" s="5" t="s">
        <v>688</v>
      </c>
      <c r="K461" s="5">
        <v>2004</v>
      </c>
      <c r="L461" s="5" t="str">
        <f t="shared" si="31"/>
        <v>Apr-2004</v>
      </c>
      <c r="M461" s="5" t="s">
        <v>181</v>
      </c>
      <c r="N461" s="5" t="s">
        <v>302</v>
      </c>
      <c r="O461" s="5" t="s">
        <v>200</v>
      </c>
      <c r="P461" s="5" t="s">
        <v>675</v>
      </c>
      <c r="Q461" s="5" t="s">
        <v>51</v>
      </c>
    </row>
    <row r="462" spans="1:17" x14ac:dyDescent="0.25">
      <c r="A462" s="3">
        <v>10253</v>
      </c>
      <c r="B462" s="3">
        <v>26</v>
      </c>
      <c r="C462" s="3">
        <v>100</v>
      </c>
      <c r="D462" s="3">
        <v>2600</v>
      </c>
      <c r="E462" s="3" t="str">
        <f t="shared" si="29"/>
        <v>Medium</v>
      </c>
      <c r="F462" s="3">
        <f t="shared" si="30"/>
        <v>780</v>
      </c>
      <c r="G462" s="4">
        <v>38139</v>
      </c>
      <c r="H462" s="3" t="s">
        <v>339</v>
      </c>
      <c r="I462" s="3" t="str">
        <f t="shared" si="28"/>
        <v>No</v>
      </c>
      <c r="J462" s="3" t="s">
        <v>689</v>
      </c>
      <c r="K462" s="3">
        <v>2004</v>
      </c>
      <c r="L462" s="3" t="str">
        <f t="shared" si="31"/>
        <v>Jun-2004</v>
      </c>
      <c r="M462" s="3" t="s">
        <v>181</v>
      </c>
      <c r="N462" s="3" t="s">
        <v>165</v>
      </c>
      <c r="O462" s="3" t="s">
        <v>170</v>
      </c>
      <c r="P462" s="3" t="s">
        <v>42</v>
      </c>
      <c r="Q462" s="3" t="s">
        <v>51</v>
      </c>
    </row>
    <row r="463" spans="1:17" x14ac:dyDescent="0.25">
      <c r="A463" s="5">
        <v>10266</v>
      </c>
      <c r="B463" s="5">
        <v>21</v>
      </c>
      <c r="C463" s="5">
        <v>100</v>
      </c>
      <c r="D463" s="5">
        <v>2100</v>
      </c>
      <c r="E463" s="5" t="str">
        <f t="shared" si="29"/>
        <v>Medium</v>
      </c>
      <c r="F463" s="5">
        <f t="shared" si="30"/>
        <v>630</v>
      </c>
      <c r="G463" s="6">
        <v>38174</v>
      </c>
      <c r="H463" s="5" t="s">
        <v>25</v>
      </c>
      <c r="I463" s="5" t="str">
        <f t="shared" si="28"/>
        <v>Yes</v>
      </c>
      <c r="J463" s="5" t="s">
        <v>683</v>
      </c>
      <c r="K463" s="5">
        <v>2004</v>
      </c>
      <c r="L463" s="5" t="str">
        <f t="shared" si="31"/>
        <v>Jul-2004</v>
      </c>
      <c r="M463" s="5" t="s">
        <v>181</v>
      </c>
      <c r="N463" s="5" t="s">
        <v>452</v>
      </c>
      <c r="O463" s="5" t="s">
        <v>258</v>
      </c>
      <c r="P463" s="5" t="s">
        <v>42</v>
      </c>
      <c r="Q463" s="5" t="s">
        <v>36</v>
      </c>
    </row>
    <row r="464" spans="1:17" x14ac:dyDescent="0.25">
      <c r="A464" s="3">
        <v>10278</v>
      </c>
      <c r="B464" s="3">
        <v>34</v>
      </c>
      <c r="C464" s="3">
        <v>100</v>
      </c>
      <c r="D464" s="3">
        <v>3400</v>
      </c>
      <c r="E464" s="3" t="str">
        <f t="shared" si="29"/>
        <v>Medium</v>
      </c>
      <c r="F464" s="3">
        <f t="shared" si="30"/>
        <v>1020</v>
      </c>
      <c r="G464" s="4">
        <v>38205</v>
      </c>
      <c r="H464" s="3" t="s">
        <v>25</v>
      </c>
      <c r="I464" s="3" t="str">
        <f t="shared" si="28"/>
        <v>Yes</v>
      </c>
      <c r="J464" s="3" t="s">
        <v>684</v>
      </c>
      <c r="K464" s="3">
        <v>2004</v>
      </c>
      <c r="L464" s="3" t="str">
        <f t="shared" si="31"/>
        <v>Aug-2004</v>
      </c>
      <c r="M464" s="3" t="s">
        <v>181</v>
      </c>
      <c r="N464" s="3" t="s">
        <v>539</v>
      </c>
      <c r="O464" s="3" t="s">
        <v>32</v>
      </c>
      <c r="P464" s="3" t="s">
        <v>33</v>
      </c>
      <c r="Q464" s="3" t="s">
        <v>51</v>
      </c>
    </row>
    <row r="465" spans="1:17" x14ac:dyDescent="0.25">
      <c r="A465" s="5">
        <v>10287</v>
      </c>
      <c r="B465" s="5">
        <v>41</v>
      </c>
      <c r="C465" s="5">
        <v>100</v>
      </c>
      <c r="D465" s="5">
        <v>4100</v>
      </c>
      <c r="E465" s="5" t="str">
        <f t="shared" si="29"/>
        <v>Medium</v>
      </c>
      <c r="F465" s="5">
        <f t="shared" si="30"/>
        <v>1230</v>
      </c>
      <c r="G465" s="6">
        <v>38229</v>
      </c>
      <c r="H465" s="5" t="s">
        <v>25</v>
      </c>
      <c r="I465" s="5" t="str">
        <f t="shared" si="28"/>
        <v>Yes</v>
      </c>
      <c r="J465" s="5" t="s">
        <v>684</v>
      </c>
      <c r="K465" s="5">
        <v>2004</v>
      </c>
      <c r="L465" s="5" t="str">
        <f t="shared" si="31"/>
        <v>Aug-2004</v>
      </c>
      <c r="M465" s="5" t="s">
        <v>181</v>
      </c>
      <c r="N465" s="5" t="s">
        <v>446</v>
      </c>
      <c r="O465" s="5" t="s">
        <v>450</v>
      </c>
      <c r="P465" s="5" t="s">
        <v>42</v>
      </c>
      <c r="Q465" s="5" t="s">
        <v>51</v>
      </c>
    </row>
    <row r="466" spans="1:17" x14ac:dyDescent="0.25">
      <c r="A466" s="3">
        <v>10301</v>
      </c>
      <c r="B466" s="3">
        <v>37</v>
      </c>
      <c r="C466" s="3">
        <v>100</v>
      </c>
      <c r="D466" s="3">
        <v>3700</v>
      </c>
      <c r="E466" s="3" t="str">
        <f t="shared" si="29"/>
        <v>Medium</v>
      </c>
      <c r="F466" s="3">
        <f t="shared" si="30"/>
        <v>1110</v>
      </c>
      <c r="G466" s="4">
        <v>37899</v>
      </c>
      <c r="H466" s="3" t="s">
        <v>25</v>
      </c>
      <c r="I466" s="3" t="str">
        <f t="shared" si="28"/>
        <v>Yes</v>
      </c>
      <c r="J466" s="3" t="s">
        <v>685</v>
      </c>
      <c r="K466" s="3">
        <v>2003</v>
      </c>
      <c r="L466" s="3" t="str">
        <f t="shared" si="31"/>
        <v>Oct-2003</v>
      </c>
      <c r="M466" s="3" t="s">
        <v>181</v>
      </c>
      <c r="N466" s="3" t="s">
        <v>543</v>
      </c>
      <c r="O466" s="3" t="s">
        <v>78</v>
      </c>
      <c r="P466" s="3" t="s">
        <v>42</v>
      </c>
      <c r="Q466" s="3" t="s">
        <v>51</v>
      </c>
    </row>
    <row r="467" spans="1:17" x14ac:dyDescent="0.25">
      <c r="A467" s="5">
        <v>10310</v>
      </c>
      <c r="B467" s="5">
        <v>37</v>
      </c>
      <c r="C467" s="5">
        <v>100</v>
      </c>
      <c r="D467" s="5">
        <v>3700</v>
      </c>
      <c r="E467" s="5" t="str">
        <f t="shared" si="29"/>
        <v>Medium</v>
      </c>
      <c r="F467" s="5">
        <f t="shared" si="30"/>
        <v>1110</v>
      </c>
      <c r="G467" s="6">
        <v>38276</v>
      </c>
      <c r="H467" s="5" t="s">
        <v>25</v>
      </c>
      <c r="I467" s="5" t="str">
        <f t="shared" si="28"/>
        <v>Yes</v>
      </c>
      <c r="J467" s="5" t="s">
        <v>685</v>
      </c>
      <c r="K467" s="5">
        <v>2004</v>
      </c>
      <c r="L467" s="5" t="str">
        <f t="shared" si="31"/>
        <v>Oct-2004</v>
      </c>
      <c r="M467" s="5" t="s">
        <v>181</v>
      </c>
      <c r="N467" s="5" t="s">
        <v>439</v>
      </c>
      <c r="O467" s="5" t="s">
        <v>443</v>
      </c>
      <c r="P467" s="5" t="s">
        <v>42</v>
      </c>
      <c r="Q467" s="5" t="s">
        <v>51</v>
      </c>
    </row>
    <row r="468" spans="1:17" x14ac:dyDescent="0.25">
      <c r="A468" s="3">
        <v>10321</v>
      </c>
      <c r="B468" s="3">
        <v>41</v>
      </c>
      <c r="C468" s="3">
        <v>100</v>
      </c>
      <c r="D468" s="3">
        <v>4100</v>
      </c>
      <c r="E468" s="3" t="str">
        <f t="shared" si="29"/>
        <v>Medium</v>
      </c>
      <c r="F468" s="3">
        <f t="shared" si="30"/>
        <v>1230</v>
      </c>
      <c r="G468" s="4">
        <v>38295</v>
      </c>
      <c r="H468" s="3" t="s">
        <v>25</v>
      </c>
      <c r="I468" s="3" t="str">
        <f t="shared" si="28"/>
        <v>Yes</v>
      </c>
      <c r="J468" s="3" t="s">
        <v>686</v>
      </c>
      <c r="K468" s="3">
        <v>2004</v>
      </c>
      <c r="L468" s="3" t="str">
        <f t="shared" si="31"/>
        <v>Nov-2004</v>
      </c>
      <c r="M468" s="3" t="s">
        <v>181</v>
      </c>
      <c r="N468" s="3" t="s">
        <v>160</v>
      </c>
      <c r="O468" s="3" t="s">
        <v>32</v>
      </c>
      <c r="P468" s="3" t="s">
        <v>33</v>
      </c>
      <c r="Q468" s="3" t="s">
        <v>51</v>
      </c>
    </row>
    <row r="469" spans="1:17" x14ac:dyDescent="0.25">
      <c r="A469" s="5">
        <v>10331</v>
      </c>
      <c r="B469" s="5">
        <v>46</v>
      </c>
      <c r="C469" s="5">
        <v>100</v>
      </c>
      <c r="D469" s="5">
        <v>4600</v>
      </c>
      <c r="E469" s="5" t="str">
        <f t="shared" si="29"/>
        <v>Medium</v>
      </c>
      <c r="F469" s="5">
        <f t="shared" si="30"/>
        <v>1380</v>
      </c>
      <c r="G469" s="6">
        <v>38308</v>
      </c>
      <c r="H469" s="5" t="s">
        <v>25</v>
      </c>
      <c r="I469" s="5" t="str">
        <f t="shared" si="28"/>
        <v>Yes</v>
      </c>
      <c r="J469" s="5" t="s">
        <v>686</v>
      </c>
      <c r="K469" s="5">
        <v>2004</v>
      </c>
      <c r="L469" s="5" t="str">
        <f t="shared" si="31"/>
        <v>Nov-2004</v>
      </c>
      <c r="M469" s="5" t="s">
        <v>181</v>
      </c>
      <c r="N469" s="5" t="s">
        <v>309</v>
      </c>
      <c r="O469" s="5" t="s">
        <v>32</v>
      </c>
      <c r="P469" s="5" t="s">
        <v>33</v>
      </c>
      <c r="Q469" s="5" t="s">
        <v>51</v>
      </c>
    </row>
    <row r="470" spans="1:17" x14ac:dyDescent="0.25">
      <c r="A470" s="3">
        <v>10342</v>
      </c>
      <c r="B470" s="3">
        <v>40</v>
      </c>
      <c r="C470" s="3">
        <v>100</v>
      </c>
      <c r="D470" s="3">
        <v>4000</v>
      </c>
      <c r="E470" s="3" t="str">
        <f t="shared" si="29"/>
        <v>Medium</v>
      </c>
      <c r="F470" s="3">
        <f t="shared" si="30"/>
        <v>1200</v>
      </c>
      <c r="G470" s="4">
        <v>38315</v>
      </c>
      <c r="H470" s="3" t="s">
        <v>25</v>
      </c>
      <c r="I470" s="3" t="str">
        <f t="shared" si="28"/>
        <v>Yes</v>
      </c>
      <c r="J470" s="3" t="s">
        <v>686</v>
      </c>
      <c r="K470" s="3">
        <v>2004</v>
      </c>
      <c r="L470" s="3" t="str">
        <f t="shared" si="31"/>
        <v>Nov-2004</v>
      </c>
      <c r="M470" s="3" t="s">
        <v>181</v>
      </c>
      <c r="N470" s="3" t="s">
        <v>89</v>
      </c>
      <c r="O470" s="3" t="s">
        <v>95</v>
      </c>
      <c r="P470" s="3" t="s">
        <v>96</v>
      </c>
      <c r="Q470" s="3" t="s">
        <v>51</v>
      </c>
    </row>
    <row r="471" spans="1:17" x14ac:dyDescent="0.25">
      <c r="A471" s="5">
        <v>10356</v>
      </c>
      <c r="B471" s="5">
        <v>43</v>
      </c>
      <c r="C471" s="5">
        <v>97.6</v>
      </c>
      <c r="D471" s="5">
        <v>4196.8</v>
      </c>
      <c r="E471" s="5" t="str">
        <f t="shared" si="29"/>
        <v>Medium</v>
      </c>
      <c r="F471" s="5">
        <f t="shared" si="30"/>
        <v>1259.04</v>
      </c>
      <c r="G471" s="6">
        <v>38330</v>
      </c>
      <c r="H471" s="5" t="s">
        <v>25</v>
      </c>
      <c r="I471" s="5" t="str">
        <f t="shared" si="28"/>
        <v>Yes</v>
      </c>
      <c r="J471" s="5" t="s">
        <v>687</v>
      </c>
      <c r="K471" s="5">
        <v>2004</v>
      </c>
      <c r="L471" s="5" t="str">
        <f t="shared" si="31"/>
        <v>Dec-2004</v>
      </c>
      <c r="M471" s="5" t="s">
        <v>181</v>
      </c>
      <c r="N471" s="5" t="s">
        <v>45</v>
      </c>
      <c r="O471" s="5" t="s">
        <v>41</v>
      </c>
      <c r="P471" s="5" t="s">
        <v>42</v>
      </c>
      <c r="Q471" s="5" t="s">
        <v>51</v>
      </c>
    </row>
    <row r="472" spans="1:17" x14ac:dyDescent="0.25">
      <c r="A472" s="3">
        <v>10365</v>
      </c>
      <c r="B472" s="3">
        <v>30</v>
      </c>
      <c r="C472" s="3">
        <v>87.06</v>
      </c>
      <c r="D472" s="3">
        <v>2611.8000000000002</v>
      </c>
      <c r="E472" s="3" t="str">
        <f t="shared" si="29"/>
        <v>Medium</v>
      </c>
      <c r="F472" s="3">
        <f t="shared" si="30"/>
        <v>783.54000000000008</v>
      </c>
      <c r="G472" s="4">
        <v>38359</v>
      </c>
      <c r="H472" s="3" t="s">
        <v>25</v>
      </c>
      <c r="I472" s="3" t="str">
        <f t="shared" si="28"/>
        <v>Yes</v>
      </c>
      <c r="J472" s="3" t="s">
        <v>549</v>
      </c>
      <c r="K472" s="3">
        <v>2005</v>
      </c>
      <c r="L472" s="3" t="str">
        <f t="shared" si="31"/>
        <v>Jan-2005</v>
      </c>
      <c r="M472" s="3" t="s">
        <v>181</v>
      </c>
      <c r="N472" s="3" t="s">
        <v>335</v>
      </c>
      <c r="O472" s="3" t="s">
        <v>32</v>
      </c>
      <c r="P472" s="3" t="s">
        <v>33</v>
      </c>
      <c r="Q472" s="3" t="s">
        <v>36</v>
      </c>
    </row>
    <row r="473" spans="1:17" x14ac:dyDescent="0.25">
      <c r="A473" s="5">
        <v>10377</v>
      </c>
      <c r="B473" s="5">
        <v>35</v>
      </c>
      <c r="C473" s="5">
        <v>100</v>
      </c>
      <c r="D473" s="5">
        <v>3500</v>
      </c>
      <c r="E473" s="5" t="str">
        <f t="shared" si="29"/>
        <v>Medium</v>
      </c>
      <c r="F473" s="5">
        <f t="shared" si="30"/>
        <v>1050</v>
      </c>
      <c r="G473" s="6">
        <v>38392</v>
      </c>
      <c r="H473" s="5" t="s">
        <v>25</v>
      </c>
      <c r="I473" s="5" t="str">
        <f t="shared" si="28"/>
        <v>Yes</v>
      </c>
      <c r="J473" s="5" t="s">
        <v>681</v>
      </c>
      <c r="K473" s="5">
        <v>2005</v>
      </c>
      <c r="L473" s="5" t="str">
        <f t="shared" si="31"/>
        <v>Feb-2005</v>
      </c>
      <c r="M473" s="5" t="s">
        <v>181</v>
      </c>
      <c r="N473" s="5" t="s">
        <v>126</v>
      </c>
      <c r="O473" s="5" t="s">
        <v>130</v>
      </c>
      <c r="P473" s="5" t="s">
        <v>42</v>
      </c>
      <c r="Q473" s="5" t="s">
        <v>51</v>
      </c>
    </row>
    <row r="474" spans="1:17" x14ac:dyDescent="0.25">
      <c r="A474" s="3">
        <v>10390</v>
      </c>
      <c r="B474" s="3">
        <v>36</v>
      </c>
      <c r="C474" s="3">
        <v>93.77</v>
      </c>
      <c r="D474" s="3">
        <v>3375.72</v>
      </c>
      <c r="E474" s="3" t="str">
        <f t="shared" si="29"/>
        <v>Medium</v>
      </c>
      <c r="F474" s="3">
        <f t="shared" si="30"/>
        <v>1012.7159999999999</v>
      </c>
      <c r="G474" s="4">
        <v>38415</v>
      </c>
      <c r="H474" s="3" t="s">
        <v>25</v>
      </c>
      <c r="I474" s="3" t="str">
        <f t="shared" si="28"/>
        <v>Yes</v>
      </c>
      <c r="J474" s="3" t="s">
        <v>691</v>
      </c>
      <c r="K474" s="3">
        <v>2005</v>
      </c>
      <c r="L474" s="3" t="str">
        <f t="shared" si="31"/>
        <v>Mar-2005</v>
      </c>
      <c r="M474" s="3" t="s">
        <v>181</v>
      </c>
      <c r="N474" s="3" t="s">
        <v>272</v>
      </c>
      <c r="O474" s="3" t="s">
        <v>32</v>
      </c>
      <c r="P474" s="3" t="s">
        <v>33</v>
      </c>
      <c r="Q474" s="3" t="s">
        <v>51</v>
      </c>
    </row>
    <row r="475" spans="1:17" x14ac:dyDescent="0.25">
      <c r="A475" s="5">
        <v>10406</v>
      </c>
      <c r="B475" s="5">
        <v>61</v>
      </c>
      <c r="C475" s="5">
        <v>100</v>
      </c>
      <c r="D475" s="5">
        <v>6100</v>
      </c>
      <c r="E475" s="5" t="str">
        <f t="shared" si="29"/>
        <v>High</v>
      </c>
      <c r="F475" s="5">
        <f t="shared" si="30"/>
        <v>1830</v>
      </c>
      <c r="G475" s="6">
        <v>38457</v>
      </c>
      <c r="H475" s="5" t="s">
        <v>173</v>
      </c>
      <c r="I475" s="5" t="str">
        <f t="shared" si="28"/>
        <v>No</v>
      </c>
      <c r="J475" s="5" t="s">
        <v>688</v>
      </c>
      <c r="K475" s="5">
        <v>2005</v>
      </c>
      <c r="L475" s="5" t="str">
        <f t="shared" si="31"/>
        <v>Apr-2005</v>
      </c>
      <c r="M475" s="5" t="s">
        <v>181</v>
      </c>
      <c r="N475" s="5" t="s">
        <v>322</v>
      </c>
      <c r="O475" s="5" t="s">
        <v>326</v>
      </c>
      <c r="P475" s="5" t="s">
        <v>42</v>
      </c>
      <c r="Q475" s="5" t="s">
        <v>151</v>
      </c>
    </row>
    <row r="476" spans="1:17" x14ac:dyDescent="0.25">
      <c r="A476" s="3">
        <v>10419</v>
      </c>
      <c r="B476" s="3">
        <v>38</v>
      </c>
      <c r="C476" s="3">
        <v>100</v>
      </c>
      <c r="D476" s="3">
        <v>3800</v>
      </c>
      <c r="E476" s="3" t="str">
        <f t="shared" si="29"/>
        <v>Medium</v>
      </c>
      <c r="F476" s="3">
        <f t="shared" si="30"/>
        <v>1140</v>
      </c>
      <c r="G476" s="4">
        <v>38489</v>
      </c>
      <c r="H476" s="3" t="s">
        <v>25</v>
      </c>
      <c r="I476" s="3" t="str">
        <f t="shared" si="28"/>
        <v>Yes</v>
      </c>
      <c r="J476" s="3" t="s">
        <v>682</v>
      </c>
      <c r="K476" s="3">
        <v>2005</v>
      </c>
      <c r="L476" s="3" t="str">
        <f t="shared" si="31"/>
        <v>May-2005</v>
      </c>
      <c r="M476" s="3" t="s">
        <v>181</v>
      </c>
      <c r="N476" s="3" t="s">
        <v>144</v>
      </c>
      <c r="O476" s="3" t="s">
        <v>148</v>
      </c>
      <c r="P476" s="3" t="s">
        <v>42</v>
      </c>
      <c r="Q476" s="3" t="s">
        <v>51</v>
      </c>
    </row>
    <row r="477" spans="1:17" x14ac:dyDescent="0.25">
      <c r="A477" s="5">
        <v>10102</v>
      </c>
      <c r="B477" s="5">
        <v>39</v>
      </c>
      <c r="C477" s="5">
        <v>100</v>
      </c>
      <c r="D477" s="5">
        <v>3900</v>
      </c>
      <c r="E477" s="5" t="str">
        <f t="shared" si="29"/>
        <v>Medium</v>
      </c>
      <c r="F477" s="5">
        <f t="shared" si="30"/>
        <v>1170</v>
      </c>
      <c r="G477" s="6">
        <v>37631</v>
      </c>
      <c r="H477" s="5" t="s">
        <v>25</v>
      </c>
      <c r="I477" s="5" t="str">
        <f t="shared" si="28"/>
        <v>Yes</v>
      </c>
      <c r="J477" s="5" t="s">
        <v>549</v>
      </c>
      <c r="K477" s="5">
        <v>2003</v>
      </c>
      <c r="L477" s="5" t="str">
        <f t="shared" si="31"/>
        <v>Jan-2003</v>
      </c>
      <c r="M477" s="5" t="s">
        <v>550</v>
      </c>
      <c r="N477" s="5" t="s">
        <v>99</v>
      </c>
      <c r="O477" s="5" t="s">
        <v>32</v>
      </c>
      <c r="P477" s="5" t="s">
        <v>33</v>
      </c>
      <c r="Q477" s="5" t="s">
        <v>51</v>
      </c>
    </row>
    <row r="478" spans="1:17" x14ac:dyDescent="0.25">
      <c r="A478" s="3">
        <v>10111</v>
      </c>
      <c r="B478" s="3">
        <v>33</v>
      </c>
      <c r="C478" s="3">
        <v>99.66</v>
      </c>
      <c r="D478" s="3">
        <v>3288.7799999999997</v>
      </c>
      <c r="E478" s="3" t="str">
        <f t="shared" si="29"/>
        <v>Medium</v>
      </c>
      <c r="F478" s="3">
        <f t="shared" si="30"/>
        <v>986.6339999999999</v>
      </c>
      <c r="G478" s="4">
        <v>37705</v>
      </c>
      <c r="H478" s="3" t="s">
        <v>25</v>
      </c>
      <c r="I478" s="3" t="str">
        <f t="shared" si="28"/>
        <v>Yes</v>
      </c>
      <c r="J478" s="3" t="s">
        <v>691</v>
      </c>
      <c r="K478" s="3">
        <v>2003</v>
      </c>
      <c r="L478" s="3" t="str">
        <f t="shared" si="31"/>
        <v>Mar-2003</v>
      </c>
      <c r="M478" s="3" t="s">
        <v>550</v>
      </c>
      <c r="N478" s="3" t="s">
        <v>81</v>
      </c>
      <c r="O478" s="3" t="s">
        <v>32</v>
      </c>
      <c r="P478" s="3" t="s">
        <v>33</v>
      </c>
      <c r="Q478" s="3" t="s">
        <v>51</v>
      </c>
    </row>
    <row r="479" spans="1:17" x14ac:dyDescent="0.25">
      <c r="A479" s="5">
        <v>10125</v>
      </c>
      <c r="B479" s="5">
        <v>32</v>
      </c>
      <c r="C479" s="5">
        <v>100</v>
      </c>
      <c r="D479" s="5">
        <v>3200</v>
      </c>
      <c r="E479" s="5" t="str">
        <f t="shared" si="29"/>
        <v>Medium</v>
      </c>
      <c r="F479" s="5">
        <f t="shared" si="30"/>
        <v>960</v>
      </c>
      <c r="G479" s="6">
        <v>37762</v>
      </c>
      <c r="H479" s="5" t="s">
        <v>25</v>
      </c>
      <c r="I479" s="5" t="str">
        <f t="shared" si="28"/>
        <v>Yes</v>
      </c>
      <c r="J479" s="5" t="s">
        <v>682</v>
      </c>
      <c r="K479" s="5">
        <v>2003</v>
      </c>
      <c r="L479" s="5" t="str">
        <f t="shared" si="31"/>
        <v>May-2003</v>
      </c>
      <c r="M479" s="5" t="s">
        <v>550</v>
      </c>
      <c r="N479" s="5" t="s">
        <v>89</v>
      </c>
      <c r="O479" s="5" t="s">
        <v>95</v>
      </c>
      <c r="P479" s="5" t="s">
        <v>96</v>
      </c>
      <c r="Q479" s="5" t="s">
        <v>51</v>
      </c>
    </row>
    <row r="480" spans="1:17" x14ac:dyDescent="0.25">
      <c r="A480" s="3">
        <v>10139</v>
      </c>
      <c r="B480" s="3">
        <v>31</v>
      </c>
      <c r="C480" s="3">
        <v>100</v>
      </c>
      <c r="D480" s="3">
        <v>3100</v>
      </c>
      <c r="E480" s="3" t="str">
        <f t="shared" si="29"/>
        <v>Medium</v>
      </c>
      <c r="F480" s="3">
        <f t="shared" si="30"/>
        <v>930</v>
      </c>
      <c r="G480" s="4">
        <v>37818</v>
      </c>
      <c r="H480" s="3" t="s">
        <v>25</v>
      </c>
      <c r="I480" s="3" t="str">
        <f t="shared" si="28"/>
        <v>Yes</v>
      </c>
      <c r="J480" s="3" t="s">
        <v>683</v>
      </c>
      <c r="K480" s="3">
        <v>2003</v>
      </c>
      <c r="L480" s="3" t="str">
        <f t="shared" si="31"/>
        <v>Jul-2003</v>
      </c>
      <c r="M480" s="3" t="s">
        <v>550</v>
      </c>
      <c r="N480" s="3" t="s">
        <v>152</v>
      </c>
      <c r="O480" s="3" t="s">
        <v>95</v>
      </c>
      <c r="P480" s="3" t="s">
        <v>96</v>
      </c>
      <c r="Q480" s="3" t="s">
        <v>51</v>
      </c>
    </row>
    <row r="481" spans="1:17" x14ac:dyDescent="0.25">
      <c r="A481" s="5">
        <v>10149</v>
      </c>
      <c r="B481" s="5">
        <v>50</v>
      </c>
      <c r="C481" s="5">
        <v>100</v>
      </c>
      <c r="D481" s="5">
        <v>5000</v>
      </c>
      <c r="E481" s="5" t="str">
        <f t="shared" si="29"/>
        <v>High</v>
      </c>
      <c r="F481" s="5">
        <f t="shared" si="30"/>
        <v>1500</v>
      </c>
      <c r="G481" s="6">
        <v>37876</v>
      </c>
      <c r="H481" s="5" t="s">
        <v>25</v>
      </c>
      <c r="I481" s="5" t="str">
        <f t="shared" si="28"/>
        <v>Yes</v>
      </c>
      <c r="J481" s="5" t="s">
        <v>690</v>
      </c>
      <c r="K481" s="5">
        <v>2003</v>
      </c>
      <c r="L481" s="5" t="str">
        <f t="shared" si="31"/>
        <v>Sep-2003</v>
      </c>
      <c r="M481" s="5" t="s">
        <v>550</v>
      </c>
      <c r="N481" s="5" t="s">
        <v>526</v>
      </c>
      <c r="O481" s="5" t="s">
        <v>32</v>
      </c>
      <c r="P481" s="5" t="s">
        <v>33</v>
      </c>
      <c r="Q481" s="5" t="s">
        <v>51</v>
      </c>
    </row>
    <row r="482" spans="1:17" x14ac:dyDescent="0.25">
      <c r="A482" s="3">
        <v>10162</v>
      </c>
      <c r="B482" s="3">
        <v>48</v>
      </c>
      <c r="C482" s="3">
        <v>91.44</v>
      </c>
      <c r="D482" s="3">
        <v>4389.12</v>
      </c>
      <c r="E482" s="3" t="str">
        <f t="shared" si="29"/>
        <v>Medium</v>
      </c>
      <c r="F482" s="3">
        <f t="shared" si="30"/>
        <v>1316.7359999999999</v>
      </c>
      <c r="G482" s="4">
        <v>37912</v>
      </c>
      <c r="H482" s="3" t="s">
        <v>25</v>
      </c>
      <c r="I482" s="3" t="str">
        <f t="shared" si="28"/>
        <v>Yes</v>
      </c>
      <c r="J482" s="3" t="s">
        <v>685</v>
      </c>
      <c r="K482" s="3">
        <v>2003</v>
      </c>
      <c r="L482" s="3" t="str">
        <f t="shared" si="31"/>
        <v>Oct-2003</v>
      </c>
      <c r="M482" s="3" t="s">
        <v>550</v>
      </c>
      <c r="N482" s="3" t="s">
        <v>58</v>
      </c>
      <c r="O482" s="3" t="s">
        <v>32</v>
      </c>
      <c r="P482" s="3" t="s">
        <v>33</v>
      </c>
      <c r="Q482" s="3" t="s">
        <v>51</v>
      </c>
    </row>
    <row r="483" spans="1:17" x14ac:dyDescent="0.25">
      <c r="A483" s="5">
        <v>10173</v>
      </c>
      <c r="B483" s="5">
        <v>43</v>
      </c>
      <c r="C483" s="5">
        <v>100</v>
      </c>
      <c r="D483" s="5">
        <v>4300</v>
      </c>
      <c r="E483" s="5" t="str">
        <f t="shared" si="29"/>
        <v>Medium</v>
      </c>
      <c r="F483" s="5">
        <f t="shared" si="30"/>
        <v>1290</v>
      </c>
      <c r="G483" s="6">
        <v>37930</v>
      </c>
      <c r="H483" s="5" t="s">
        <v>25</v>
      </c>
      <c r="I483" s="5" t="str">
        <f t="shared" si="28"/>
        <v>Yes</v>
      </c>
      <c r="J483" s="5" t="s">
        <v>686</v>
      </c>
      <c r="K483" s="5">
        <v>2003</v>
      </c>
      <c r="L483" s="5" t="str">
        <f t="shared" si="31"/>
        <v>Nov-2003</v>
      </c>
      <c r="M483" s="5" t="s">
        <v>550</v>
      </c>
      <c r="N483" s="5" t="s">
        <v>552</v>
      </c>
      <c r="O483" s="5" t="s">
        <v>258</v>
      </c>
      <c r="P483" s="5" t="s">
        <v>42</v>
      </c>
      <c r="Q483" s="5" t="s">
        <v>51</v>
      </c>
    </row>
    <row r="484" spans="1:17" x14ac:dyDescent="0.25">
      <c r="A484" s="3">
        <v>10182</v>
      </c>
      <c r="B484" s="3">
        <v>25</v>
      </c>
      <c r="C484" s="3">
        <v>87.33</v>
      </c>
      <c r="D484" s="3">
        <v>2183.25</v>
      </c>
      <c r="E484" s="3" t="str">
        <f t="shared" si="29"/>
        <v>Medium</v>
      </c>
      <c r="F484" s="3">
        <f t="shared" si="30"/>
        <v>654.97500000000002</v>
      </c>
      <c r="G484" s="4">
        <v>37937</v>
      </c>
      <c r="H484" s="3" t="s">
        <v>25</v>
      </c>
      <c r="I484" s="3" t="str">
        <f t="shared" si="28"/>
        <v>Yes</v>
      </c>
      <c r="J484" s="3" t="s">
        <v>686</v>
      </c>
      <c r="K484" s="3">
        <v>2003</v>
      </c>
      <c r="L484" s="3" t="str">
        <f t="shared" si="31"/>
        <v>Nov-2003</v>
      </c>
      <c r="M484" s="3" t="s">
        <v>550</v>
      </c>
      <c r="N484" s="3" t="s">
        <v>272</v>
      </c>
      <c r="O484" s="3" t="s">
        <v>32</v>
      </c>
      <c r="P484" s="3" t="s">
        <v>33</v>
      </c>
      <c r="Q484" s="3" t="s">
        <v>36</v>
      </c>
    </row>
    <row r="485" spans="1:17" x14ac:dyDescent="0.25">
      <c r="A485" s="5">
        <v>10193</v>
      </c>
      <c r="B485" s="5">
        <v>28</v>
      </c>
      <c r="C485" s="5">
        <v>100</v>
      </c>
      <c r="D485" s="5">
        <v>2800</v>
      </c>
      <c r="E485" s="5" t="str">
        <f t="shared" si="29"/>
        <v>Medium</v>
      </c>
      <c r="F485" s="5">
        <f t="shared" si="30"/>
        <v>840</v>
      </c>
      <c r="G485" s="6">
        <v>37946</v>
      </c>
      <c r="H485" s="5" t="s">
        <v>25</v>
      </c>
      <c r="I485" s="5" t="str">
        <f t="shared" si="28"/>
        <v>Yes</v>
      </c>
      <c r="J485" s="5" t="s">
        <v>686</v>
      </c>
      <c r="K485" s="5">
        <v>2003</v>
      </c>
      <c r="L485" s="5" t="str">
        <f t="shared" si="31"/>
        <v>Nov-2003</v>
      </c>
      <c r="M485" s="5" t="s">
        <v>550</v>
      </c>
      <c r="N485" s="5" t="s">
        <v>558</v>
      </c>
      <c r="O485" s="5" t="s">
        <v>95</v>
      </c>
      <c r="P485" s="5" t="s">
        <v>96</v>
      </c>
      <c r="Q485" s="5" t="s">
        <v>51</v>
      </c>
    </row>
    <row r="486" spans="1:17" x14ac:dyDescent="0.25">
      <c r="A486" s="3">
        <v>10205</v>
      </c>
      <c r="B486" s="3">
        <v>36</v>
      </c>
      <c r="C486" s="3">
        <v>100</v>
      </c>
      <c r="D486" s="3">
        <v>3600</v>
      </c>
      <c r="E486" s="3" t="str">
        <f t="shared" si="29"/>
        <v>Medium</v>
      </c>
      <c r="F486" s="3">
        <f t="shared" si="30"/>
        <v>1080</v>
      </c>
      <c r="G486" s="4">
        <v>37958</v>
      </c>
      <c r="H486" s="3" t="s">
        <v>25</v>
      </c>
      <c r="I486" s="3" t="str">
        <f t="shared" si="28"/>
        <v>Yes</v>
      </c>
      <c r="J486" s="3" t="s">
        <v>687</v>
      </c>
      <c r="K486" s="3">
        <v>2003</v>
      </c>
      <c r="L486" s="3" t="str">
        <f t="shared" si="31"/>
        <v>Dec-2003</v>
      </c>
      <c r="M486" s="3" t="s">
        <v>550</v>
      </c>
      <c r="N486" s="3" t="s">
        <v>174</v>
      </c>
      <c r="O486" s="3" t="s">
        <v>178</v>
      </c>
      <c r="P486" s="3" t="s">
        <v>42</v>
      </c>
      <c r="Q486" s="3" t="s">
        <v>51</v>
      </c>
    </row>
    <row r="487" spans="1:17" x14ac:dyDescent="0.25">
      <c r="A487" s="5">
        <v>10215</v>
      </c>
      <c r="B487" s="5">
        <v>27</v>
      </c>
      <c r="C487" s="5">
        <v>89.38</v>
      </c>
      <c r="D487" s="5">
        <v>2413.2599999999998</v>
      </c>
      <c r="E487" s="5" t="str">
        <f t="shared" si="29"/>
        <v>Medium</v>
      </c>
      <c r="F487" s="5">
        <f t="shared" si="30"/>
        <v>723.97799999999995</v>
      </c>
      <c r="G487" s="6">
        <v>38015</v>
      </c>
      <c r="H487" s="5" t="s">
        <v>25</v>
      </c>
      <c r="I487" s="5" t="str">
        <f t="shared" si="28"/>
        <v>Yes</v>
      </c>
      <c r="J487" s="5" t="s">
        <v>549</v>
      </c>
      <c r="K487" s="5">
        <v>2004</v>
      </c>
      <c r="L487" s="5" t="str">
        <f t="shared" si="31"/>
        <v>Jan-2004</v>
      </c>
      <c r="M487" s="5" t="s">
        <v>550</v>
      </c>
      <c r="N487" s="5" t="s">
        <v>234</v>
      </c>
      <c r="O487" s="5" t="s">
        <v>32</v>
      </c>
      <c r="P487" s="5" t="s">
        <v>33</v>
      </c>
      <c r="Q487" s="5" t="s">
        <v>36</v>
      </c>
    </row>
    <row r="488" spans="1:17" x14ac:dyDescent="0.25">
      <c r="A488" s="3">
        <v>10227</v>
      </c>
      <c r="B488" s="3">
        <v>25</v>
      </c>
      <c r="C488" s="3">
        <v>100</v>
      </c>
      <c r="D488" s="3">
        <v>2500</v>
      </c>
      <c r="E488" s="3" t="str">
        <f t="shared" si="29"/>
        <v>Medium</v>
      </c>
      <c r="F488" s="3">
        <f t="shared" si="30"/>
        <v>750</v>
      </c>
      <c r="G488" s="4">
        <v>38048</v>
      </c>
      <c r="H488" s="3" t="s">
        <v>25</v>
      </c>
      <c r="I488" s="3" t="str">
        <f t="shared" si="28"/>
        <v>Yes</v>
      </c>
      <c r="J488" s="3" t="s">
        <v>691</v>
      </c>
      <c r="K488" s="3">
        <v>2004</v>
      </c>
      <c r="L488" s="3" t="str">
        <f t="shared" si="31"/>
        <v>Mar-2004</v>
      </c>
      <c r="M488" s="3" t="s">
        <v>550</v>
      </c>
      <c r="N488" s="3" t="s">
        <v>219</v>
      </c>
      <c r="O488" s="3" t="s">
        <v>41</v>
      </c>
      <c r="P488" s="3" t="s">
        <v>42</v>
      </c>
      <c r="Q488" s="3" t="s">
        <v>36</v>
      </c>
    </row>
    <row r="489" spans="1:17" x14ac:dyDescent="0.25">
      <c r="A489" s="5">
        <v>10244</v>
      </c>
      <c r="B489" s="5">
        <v>40</v>
      </c>
      <c r="C489" s="5">
        <v>100</v>
      </c>
      <c r="D489" s="5">
        <v>4000</v>
      </c>
      <c r="E489" s="5" t="str">
        <f t="shared" si="29"/>
        <v>Medium</v>
      </c>
      <c r="F489" s="5">
        <f t="shared" si="30"/>
        <v>1200</v>
      </c>
      <c r="G489" s="6">
        <v>38106</v>
      </c>
      <c r="H489" s="5" t="s">
        <v>25</v>
      </c>
      <c r="I489" s="5" t="str">
        <f t="shared" si="28"/>
        <v>Yes</v>
      </c>
      <c r="J489" s="5" t="s">
        <v>688</v>
      </c>
      <c r="K489" s="5">
        <v>2004</v>
      </c>
      <c r="L489" s="5" t="str">
        <f t="shared" si="31"/>
        <v>Apr-2004</v>
      </c>
      <c r="M489" s="5" t="s">
        <v>550</v>
      </c>
      <c r="N489" s="5" t="s">
        <v>174</v>
      </c>
      <c r="O489" s="5" t="s">
        <v>178</v>
      </c>
      <c r="P489" s="5" t="s">
        <v>42</v>
      </c>
      <c r="Q489" s="5" t="s">
        <v>51</v>
      </c>
    </row>
    <row r="490" spans="1:17" x14ac:dyDescent="0.25">
      <c r="A490" s="3">
        <v>10256</v>
      </c>
      <c r="B490" s="3">
        <v>34</v>
      </c>
      <c r="C490" s="3">
        <v>95.55</v>
      </c>
      <c r="D490" s="3">
        <v>3248.7</v>
      </c>
      <c r="E490" s="3" t="str">
        <f t="shared" si="29"/>
        <v>Medium</v>
      </c>
      <c r="F490" s="3">
        <f t="shared" si="30"/>
        <v>974.6099999999999</v>
      </c>
      <c r="G490" s="4">
        <v>38146</v>
      </c>
      <c r="H490" s="3" t="s">
        <v>25</v>
      </c>
      <c r="I490" s="3" t="str">
        <f t="shared" si="28"/>
        <v>Yes</v>
      </c>
      <c r="J490" s="3" t="s">
        <v>689</v>
      </c>
      <c r="K490" s="3">
        <v>2004</v>
      </c>
      <c r="L490" s="3" t="str">
        <f t="shared" si="31"/>
        <v>Jun-2004</v>
      </c>
      <c r="M490" s="3" t="s">
        <v>550</v>
      </c>
      <c r="N490" s="3" t="s">
        <v>322</v>
      </c>
      <c r="O490" s="3" t="s">
        <v>326</v>
      </c>
      <c r="P490" s="3" t="s">
        <v>42</v>
      </c>
      <c r="Q490" s="3" t="s">
        <v>51</v>
      </c>
    </row>
    <row r="491" spans="1:17" x14ac:dyDescent="0.25">
      <c r="A491" s="5">
        <v>10280</v>
      </c>
      <c r="B491" s="5">
        <v>50</v>
      </c>
      <c r="C491" s="5">
        <v>100</v>
      </c>
      <c r="D491" s="5">
        <v>5000</v>
      </c>
      <c r="E491" s="5" t="str">
        <f t="shared" si="29"/>
        <v>High</v>
      </c>
      <c r="F491" s="5">
        <f t="shared" si="30"/>
        <v>1500</v>
      </c>
      <c r="G491" s="6">
        <v>38216</v>
      </c>
      <c r="H491" s="5" t="s">
        <v>25</v>
      </c>
      <c r="I491" s="5" t="str">
        <f t="shared" si="28"/>
        <v>Yes</v>
      </c>
      <c r="J491" s="5" t="s">
        <v>684</v>
      </c>
      <c r="K491" s="5">
        <v>2004</v>
      </c>
      <c r="L491" s="5" t="str">
        <f t="shared" si="31"/>
        <v>Aug-2004</v>
      </c>
      <c r="M491" s="5" t="s">
        <v>550</v>
      </c>
      <c r="N491" s="5" t="s">
        <v>254</v>
      </c>
      <c r="O491" s="5" t="s">
        <v>258</v>
      </c>
      <c r="P491" s="5" t="s">
        <v>42</v>
      </c>
      <c r="Q491" s="5" t="s">
        <v>51</v>
      </c>
    </row>
    <row r="492" spans="1:17" x14ac:dyDescent="0.25">
      <c r="A492" s="3">
        <v>10289</v>
      </c>
      <c r="B492" s="3">
        <v>38</v>
      </c>
      <c r="C492" s="3">
        <v>100</v>
      </c>
      <c r="D492" s="3">
        <v>3800</v>
      </c>
      <c r="E492" s="3" t="str">
        <f t="shared" si="29"/>
        <v>Medium</v>
      </c>
      <c r="F492" s="3">
        <f t="shared" si="30"/>
        <v>1140</v>
      </c>
      <c r="G492" s="4">
        <v>38233</v>
      </c>
      <c r="H492" s="3" t="s">
        <v>25</v>
      </c>
      <c r="I492" s="3" t="str">
        <f t="shared" si="28"/>
        <v>Yes</v>
      </c>
      <c r="J492" s="3" t="s">
        <v>690</v>
      </c>
      <c r="K492" s="3">
        <v>2004</v>
      </c>
      <c r="L492" s="3" t="str">
        <f t="shared" si="31"/>
        <v>Sep-2004</v>
      </c>
      <c r="M492" s="3" t="s">
        <v>550</v>
      </c>
      <c r="N492" s="3" t="s">
        <v>73</v>
      </c>
      <c r="O492" s="3" t="s">
        <v>78</v>
      </c>
      <c r="P492" s="3" t="s">
        <v>42</v>
      </c>
      <c r="Q492" s="3" t="s">
        <v>51</v>
      </c>
    </row>
    <row r="493" spans="1:17" x14ac:dyDescent="0.25">
      <c r="A493" s="5">
        <v>10304</v>
      </c>
      <c r="B493" s="5">
        <v>37</v>
      </c>
      <c r="C493" s="5">
        <v>95.55</v>
      </c>
      <c r="D493" s="5">
        <v>3535.35</v>
      </c>
      <c r="E493" s="5" t="str">
        <f t="shared" si="29"/>
        <v>Medium</v>
      </c>
      <c r="F493" s="5">
        <f t="shared" si="30"/>
        <v>1060.605</v>
      </c>
      <c r="G493" s="6">
        <v>38271</v>
      </c>
      <c r="H493" s="5" t="s">
        <v>25</v>
      </c>
      <c r="I493" s="5" t="str">
        <f t="shared" si="28"/>
        <v>Yes</v>
      </c>
      <c r="J493" s="5" t="s">
        <v>685</v>
      </c>
      <c r="K493" s="5">
        <v>2004</v>
      </c>
      <c r="L493" s="5" t="str">
        <f t="shared" si="31"/>
        <v>Oct-2004</v>
      </c>
      <c r="M493" s="5" t="s">
        <v>550</v>
      </c>
      <c r="N493" s="5" t="s">
        <v>267</v>
      </c>
      <c r="O493" s="5" t="s">
        <v>41</v>
      </c>
      <c r="P493" s="5" t="s">
        <v>42</v>
      </c>
      <c r="Q493" s="5" t="s">
        <v>51</v>
      </c>
    </row>
    <row r="494" spans="1:17" x14ac:dyDescent="0.25">
      <c r="A494" s="3">
        <v>10312</v>
      </c>
      <c r="B494" s="3">
        <v>43</v>
      </c>
      <c r="C494" s="3">
        <v>89.38</v>
      </c>
      <c r="D494" s="3">
        <v>3843.3399999999997</v>
      </c>
      <c r="E494" s="3" t="str">
        <f t="shared" si="29"/>
        <v>Medium</v>
      </c>
      <c r="F494" s="3">
        <f t="shared" si="30"/>
        <v>1153.002</v>
      </c>
      <c r="G494" s="4">
        <v>38281</v>
      </c>
      <c r="H494" s="3" t="s">
        <v>25</v>
      </c>
      <c r="I494" s="3" t="str">
        <f t="shared" si="28"/>
        <v>Yes</v>
      </c>
      <c r="J494" s="3" t="s">
        <v>685</v>
      </c>
      <c r="K494" s="3">
        <v>2004</v>
      </c>
      <c r="L494" s="3" t="str">
        <f t="shared" si="31"/>
        <v>Oct-2004</v>
      </c>
      <c r="M494" s="3" t="s">
        <v>550</v>
      </c>
      <c r="N494" s="3" t="s">
        <v>272</v>
      </c>
      <c r="O494" s="3" t="s">
        <v>32</v>
      </c>
      <c r="P494" s="3" t="s">
        <v>33</v>
      </c>
      <c r="Q494" s="3" t="s">
        <v>51</v>
      </c>
    </row>
    <row r="495" spans="1:17" x14ac:dyDescent="0.25">
      <c r="A495" s="5">
        <v>10322</v>
      </c>
      <c r="B495" s="5">
        <v>43</v>
      </c>
      <c r="C495" s="5">
        <v>86.3</v>
      </c>
      <c r="D495" s="5">
        <v>3710.9</v>
      </c>
      <c r="E495" s="5" t="str">
        <f t="shared" si="29"/>
        <v>Medium</v>
      </c>
      <c r="F495" s="5">
        <f t="shared" si="30"/>
        <v>1113.27</v>
      </c>
      <c r="G495" s="6">
        <v>38295</v>
      </c>
      <c r="H495" s="5" t="s">
        <v>25</v>
      </c>
      <c r="I495" s="5" t="str">
        <f t="shared" si="28"/>
        <v>Yes</v>
      </c>
      <c r="J495" s="5" t="s">
        <v>686</v>
      </c>
      <c r="K495" s="5">
        <v>2004</v>
      </c>
      <c r="L495" s="5" t="str">
        <f t="shared" si="31"/>
        <v>Nov-2004</v>
      </c>
      <c r="M495" s="5" t="s">
        <v>550</v>
      </c>
      <c r="N495" s="5" t="s">
        <v>277</v>
      </c>
      <c r="O495" s="5" t="s">
        <v>32</v>
      </c>
      <c r="P495" s="5" t="s">
        <v>33</v>
      </c>
      <c r="Q495" s="5" t="s">
        <v>51</v>
      </c>
    </row>
    <row r="496" spans="1:17" x14ac:dyDescent="0.25">
      <c r="A496" s="3">
        <v>10332</v>
      </c>
      <c r="B496" s="3">
        <v>46</v>
      </c>
      <c r="C496" s="3">
        <v>95.13</v>
      </c>
      <c r="D496" s="3">
        <v>4375.9799999999996</v>
      </c>
      <c r="E496" s="3" t="str">
        <f t="shared" si="29"/>
        <v>Medium</v>
      </c>
      <c r="F496" s="3">
        <f t="shared" si="30"/>
        <v>1312.7939999999999</v>
      </c>
      <c r="G496" s="4">
        <v>38308</v>
      </c>
      <c r="H496" s="3" t="s">
        <v>25</v>
      </c>
      <c r="I496" s="3" t="str">
        <f t="shared" si="28"/>
        <v>Yes</v>
      </c>
      <c r="J496" s="3" t="s">
        <v>686</v>
      </c>
      <c r="K496" s="3">
        <v>2004</v>
      </c>
      <c r="L496" s="3" t="str">
        <f t="shared" si="31"/>
        <v>Nov-2004</v>
      </c>
      <c r="M496" s="3" t="s">
        <v>550</v>
      </c>
      <c r="N496" s="3" t="s">
        <v>492</v>
      </c>
      <c r="O496" s="3" t="s">
        <v>170</v>
      </c>
      <c r="P496" s="3" t="s">
        <v>42</v>
      </c>
      <c r="Q496" s="3" t="s">
        <v>51</v>
      </c>
    </row>
    <row r="497" spans="1:17" x14ac:dyDescent="0.25">
      <c r="A497" s="5">
        <v>10346</v>
      </c>
      <c r="B497" s="5">
        <v>42</v>
      </c>
      <c r="C497" s="5">
        <v>36.11</v>
      </c>
      <c r="D497" s="5">
        <v>1516.62</v>
      </c>
      <c r="E497" s="5" t="str">
        <f t="shared" si="29"/>
        <v>Low</v>
      </c>
      <c r="F497" s="5">
        <f t="shared" si="30"/>
        <v>454.98599999999993</v>
      </c>
      <c r="G497" s="6">
        <v>38320</v>
      </c>
      <c r="H497" s="5" t="s">
        <v>25</v>
      </c>
      <c r="I497" s="5" t="str">
        <f t="shared" si="28"/>
        <v>Yes</v>
      </c>
      <c r="J497" s="5" t="s">
        <v>686</v>
      </c>
      <c r="K497" s="5">
        <v>2004</v>
      </c>
      <c r="L497" s="5" t="str">
        <f t="shared" si="31"/>
        <v>Nov-2004</v>
      </c>
      <c r="M497" s="5" t="s">
        <v>550</v>
      </c>
      <c r="N497" s="5" t="s">
        <v>539</v>
      </c>
      <c r="O497" s="5" t="s">
        <v>32</v>
      </c>
      <c r="P497" s="5" t="s">
        <v>33</v>
      </c>
      <c r="Q497" s="5" t="s">
        <v>36</v>
      </c>
    </row>
    <row r="498" spans="1:17" x14ac:dyDescent="0.25">
      <c r="A498" s="3">
        <v>10356</v>
      </c>
      <c r="B498" s="3">
        <v>50</v>
      </c>
      <c r="C498" s="3">
        <v>50.18</v>
      </c>
      <c r="D498" s="3">
        <v>2509</v>
      </c>
      <c r="E498" s="3" t="str">
        <f t="shared" si="29"/>
        <v>Medium</v>
      </c>
      <c r="F498" s="3">
        <f t="shared" si="30"/>
        <v>752.69999999999993</v>
      </c>
      <c r="G498" s="4">
        <v>38330</v>
      </c>
      <c r="H498" s="3" t="s">
        <v>25</v>
      </c>
      <c r="I498" s="3" t="str">
        <f t="shared" si="28"/>
        <v>Yes</v>
      </c>
      <c r="J498" s="3" t="s">
        <v>687</v>
      </c>
      <c r="K498" s="3">
        <v>2004</v>
      </c>
      <c r="L498" s="3" t="str">
        <f t="shared" si="31"/>
        <v>Dec-2004</v>
      </c>
      <c r="M498" s="3" t="s">
        <v>550</v>
      </c>
      <c r="N498" s="3" t="s">
        <v>45</v>
      </c>
      <c r="O498" s="3" t="s">
        <v>41</v>
      </c>
      <c r="P498" s="3" t="s">
        <v>42</v>
      </c>
      <c r="Q498" s="3" t="s">
        <v>36</v>
      </c>
    </row>
    <row r="499" spans="1:17" x14ac:dyDescent="0.25">
      <c r="A499" s="5">
        <v>10369</v>
      </c>
      <c r="B499" s="5">
        <v>44</v>
      </c>
      <c r="C499" s="5">
        <v>100</v>
      </c>
      <c r="D499" s="5">
        <v>4400</v>
      </c>
      <c r="E499" s="5" t="str">
        <f t="shared" si="29"/>
        <v>Medium</v>
      </c>
      <c r="F499" s="5">
        <f t="shared" si="30"/>
        <v>1320</v>
      </c>
      <c r="G499" s="6">
        <v>38372</v>
      </c>
      <c r="H499" s="5" t="s">
        <v>25</v>
      </c>
      <c r="I499" s="5" t="str">
        <f t="shared" si="28"/>
        <v>Yes</v>
      </c>
      <c r="J499" s="5" t="s">
        <v>549</v>
      </c>
      <c r="K499" s="5">
        <v>2005</v>
      </c>
      <c r="L499" s="5" t="str">
        <f t="shared" si="31"/>
        <v>Jan-2005</v>
      </c>
      <c r="M499" s="5" t="s">
        <v>550</v>
      </c>
      <c r="N499" s="5" t="s">
        <v>281</v>
      </c>
      <c r="O499" s="5" t="s">
        <v>32</v>
      </c>
      <c r="P499" s="5" t="s">
        <v>33</v>
      </c>
      <c r="Q499" s="5" t="s">
        <v>151</v>
      </c>
    </row>
    <row r="500" spans="1:17" x14ac:dyDescent="0.25">
      <c r="A500" s="3">
        <v>10380</v>
      </c>
      <c r="B500" s="3">
        <v>27</v>
      </c>
      <c r="C500" s="3">
        <v>93.16</v>
      </c>
      <c r="D500" s="3">
        <v>2515.3199999999997</v>
      </c>
      <c r="E500" s="3" t="str">
        <f t="shared" si="29"/>
        <v>Medium</v>
      </c>
      <c r="F500" s="3">
        <f t="shared" si="30"/>
        <v>754.59599999999989</v>
      </c>
      <c r="G500" s="4">
        <v>38399</v>
      </c>
      <c r="H500" s="3" t="s">
        <v>25</v>
      </c>
      <c r="I500" s="3" t="str">
        <f t="shared" si="28"/>
        <v>Yes</v>
      </c>
      <c r="J500" s="3" t="s">
        <v>681</v>
      </c>
      <c r="K500" s="3">
        <v>2005</v>
      </c>
      <c r="L500" s="3" t="str">
        <f t="shared" si="31"/>
        <v>Feb-2005</v>
      </c>
      <c r="M500" s="3" t="s">
        <v>550</v>
      </c>
      <c r="N500" s="3" t="s">
        <v>174</v>
      </c>
      <c r="O500" s="3" t="s">
        <v>178</v>
      </c>
      <c r="P500" s="3" t="s">
        <v>42</v>
      </c>
      <c r="Q500" s="3" t="s">
        <v>36</v>
      </c>
    </row>
    <row r="501" spans="1:17" x14ac:dyDescent="0.25">
      <c r="A501" s="5">
        <v>10391</v>
      </c>
      <c r="B501" s="5">
        <v>35</v>
      </c>
      <c r="C501" s="5">
        <v>100</v>
      </c>
      <c r="D501" s="5">
        <v>3500</v>
      </c>
      <c r="E501" s="5" t="str">
        <f t="shared" si="29"/>
        <v>Medium</v>
      </c>
      <c r="F501" s="5">
        <f t="shared" si="30"/>
        <v>1050</v>
      </c>
      <c r="G501" s="6">
        <v>38420</v>
      </c>
      <c r="H501" s="5" t="s">
        <v>25</v>
      </c>
      <c r="I501" s="5" t="str">
        <f t="shared" si="28"/>
        <v>Yes</v>
      </c>
      <c r="J501" s="5" t="s">
        <v>691</v>
      </c>
      <c r="K501" s="5">
        <v>2005</v>
      </c>
      <c r="L501" s="5" t="str">
        <f t="shared" si="31"/>
        <v>Mar-2005</v>
      </c>
      <c r="M501" s="5" t="s">
        <v>550</v>
      </c>
      <c r="N501" s="5" t="s">
        <v>285</v>
      </c>
      <c r="O501" s="5" t="s">
        <v>95</v>
      </c>
      <c r="P501" s="5" t="s">
        <v>96</v>
      </c>
      <c r="Q501" s="5" t="s">
        <v>51</v>
      </c>
    </row>
    <row r="502" spans="1:17" x14ac:dyDescent="0.25">
      <c r="A502" s="3">
        <v>10422</v>
      </c>
      <c r="B502" s="3">
        <v>51</v>
      </c>
      <c r="C502" s="3">
        <v>95.55</v>
      </c>
      <c r="D502" s="3">
        <v>4873.05</v>
      </c>
      <c r="E502" s="3" t="str">
        <f t="shared" si="29"/>
        <v>Medium</v>
      </c>
      <c r="F502" s="3">
        <f t="shared" si="30"/>
        <v>1461.915</v>
      </c>
      <c r="G502" s="4">
        <v>38502</v>
      </c>
      <c r="H502" s="3" t="s">
        <v>300</v>
      </c>
      <c r="I502" s="3" t="str">
        <f t="shared" si="28"/>
        <v>No</v>
      </c>
      <c r="J502" s="3" t="s">
        <v>682</v>
      </c>
      <c r="K502" s="3">
        <v>2005</v>
      </c>
      <c r="L502" s="3" t="str">
        <f t="shared" si="31"/>
        <v>May-2005</v>
      </c>
      <c r="M502" s="3" t="s">
        <v>550</v>
      </c>
      <c r="N502" s="3" t="s">
        <v>139</v>
      </c>
      <c r="O502" s="3" t="s">
        <v>32</v>
      </c>
      <c r="P502" s="3" t="s">
        <v>33</v>
      </c>
      <c r="Q502" s="3" t="s">
        <v>51</v>
      </c>
    </row>
    <row r="503" spans="1:17" x14ac:dyDescent="0.25">
      <c r="A503" s="5">
        <v>10102</v>
      </c>
      <c r="B503" s="5">
        <v>41</v>
      </c>
      <c r="C503" s="5">
        <v>50.14</v>
      </c>
      <c r="D503" s="5">
        <v>2055.7400000000002</v>
      </c>
      <c r="E503" s="5" t="str">
        <f t="shared" si="29"/>
        <v>Medium</v>
      </c>
      <c r="F503" s="5">
        <f t="shared" si="30"/>
        <v>616.72200000000009</v>
      </c>
      <c r="G503" s="6">
        <v>37631</v>
      </c>
      <c r="H503" s="5" t="s">
        <v>25</v>
      </c>
      <c r="I503" s="5" t="str">
        <f t="shared" si="28"/>
        <v>Yes</v>
      </c>
      <c r="J503" s="5" t="s">
        <v>549</v>
      </c>
      <c r="K503" s="5">
        <v>2003</v>
      </c>
      <c r="L503" s="5" t="str">
        <f t="shared" si="31"/>
        <v>Jan-2003</v>
      </c>
      <c r="M503" s="5" t="s">
        <v>550</v>
      </c>
      <c r="N503" s="5" t="s">
        <v>99</v>
      </c>
      <c r="O503" s="5" t="s">
        <v>32</v>
      </c>
      <c r="P503" s="5" t="s">
        <v>33</v>
      </c>
      <c r="Q503" s="5" t="s">
        <v>36</v>
      </c>
    </row>
    <row r="504" spans="1:17" x14ac:dyDescent="0.25">
      <c r="A504" s="3">
        <v>10111</v>
      </c>
      <c r="B504" s="3">
        <v>48</v>
      </c>
      <c r="C504" s="3">
        <v>49.06</v>
      </c>
      <c r="D504" s="3">
        <v>2354.88</v>
      </c>
      <c r="E504" s="3" t="str">
        <f t="shared" si="29"/>
        <v>Medium</v>
      </c>
      <c r="F504" s="3">
        <f t="shared" si="30"/>
        <v>706.46400000000006</v>
      </c>
      <c r="G504" s="4">
        <v>37705</v>
      </c>
      <c r="H504" s="3" t="s">
        <v>25</v>
      </c>
      <c r="I504" s="3" t="str">
        <f t="shared" si="28"/>
        <v>Yes</v>
      </c>
      <c r="J504" s="3" t="s">
        <v>691</v>
      </c>
      <c r="K504" s="3">
        <v>2003</v>
      </c>
      <c r="L504" s="3" t="str">
        <f t="shared" si="31"/>
        <v>Mar-2003</v>
      </c>
      <c r="M504" s="3" t="s">
        <v>550</v>
      </c>
      <c r="N504" s="3" t="s">
        <v>81</v>
      </c>
      <c r="O504" s="3" t="s">
        <v>32</v>
      </c>
      <c r="P504" s="3" t="s">
        <v>33</v>
      </c>
      <c r="Q504" s="3" t="s">
        <v>36</v>
      </c>
    </row>
    <row r="505" spans="1:17" x14ac:dyDescent="0.25">
      <c r="A505" s="5">
        <v>10126</v>
      </c>
      <c r="B505" s="5">
        <v>42</v>
      </c>
      <c r="C505" s="5">
        <v>54.99</v>
      </c>
      <c r="D505" s="5">
        <v>2309.58</v>
      </c>
      <c r="E505" s="5" t="str">
        <f t="shared" si="29"/>
        <v>Medium</v>
      </c>
      <c r="F505" s="5">
        <f t="shared" si="30"/>
        <v>692.87399999999991</v>
      </c>
      <c r="G505" s="6">
        <v>37769</v>
      </c>
      <c r="H505" s="5" t="s">
        <v>25</v>
      </c>
      <c r="I505" s="5" t="str">
        <f t="shared" si="28"/>
        <v>Yes</v>
      </c>
      <c r="J505" s="5" t="s">
        <v>682</v>
      </c>
      <c r="K505" s="5">
        <v>2003</v>
      </c>
      <c r="L505" s="5" t="str">
        <f t="shared" si="31"/>
        <v>May-2003</v>
      </c>
      <c r="M505" s="5" t="s">
        <v>550</v>
      </c>
      <c r="N505" s="5" t="s">
        <v>191</v>
      </c>
      <c r="O505" s="5" t="s">
        <v>178</v>
      </c>
      <c r="P505" s="5" t="s">
        <v>42</v>
      </c>
      <c r="Q505" s="5" t="s">
        <v>36</v>
      </c>
    </row>
    <row r="506" spans="1:17" x14ac:dyDescent="0.25">
      <c r="A506" s="3">
        <v>10139</v>
      </c>
      <c r="B506" s="3">
        <v>49</v>
      </c>
      <c r="C506" s="3">
        <v>43.13</v>
      </c>
      <c r="D506" s="3">
        <v>2113.3700000000003</v>
      </c>
      <c r="E506" s="3" t="str">
        <f t="shared" si="29"/>
        <v>Medium</v>
      </c>
      <c r="F506" s="3">
        <f t="shared" si="30"/>
        <v>634.01100000000008</v>
      </c>
      <c r="G506" s="4">
        <v>37818</v>
      </c>
      <c r="H506" s="3" t="s">
        <v>25</v>
      </c>
      <c r="I506" s="3" t="str">
        <f t="shared" si="28"/>
        <v>Yes</v>
      </c>
      <c r="J506" s="3" t="s">
        <v>683</v>
      </c>
      <c r="K506" s="3">
        <v>2003</v>
      </c>
      <c r="L506" s="3" t="str">
        <f t="shared" si="31"/>
        <v>Jul-2003</v>
      </c>
      <c r="M506" s="3" t="s">
        <v>550</v>
      </c>
      <c r="N506" s="3" t="s">
        <v>152</v>
      </c>
      <c r="O506" s="3" t="s">
        <v>95</v>
      </c>
      <c r="P506" s="3" t="s">
        <v>96</v>
      </c>
      <c r="Q506" s="3" t="s">
        <v>36</v>
      </c>
    </row>
    <row r="507" spans="1:17" x14ac:dyDescent="0.25">
      <c r="A507" s="5">
        <v>10149</v>
      </c>
      <c r="B507" s="5">
        <v>30</v>
      </c>
      <c r="C507" s="5">
        <v>58.22</v>
      </c>
      <c r="D507" s="5">
        <v>1746.6</v>
      </c>
      <c r="E507" s="5" t="str">
        <f t="shared" si="29"/>
        <v>Low</v>
      </c>
      <c r="F507" s="5">
        <f t="shared" si="30"/>
        <v>523.9799999999999</v>
      </c>
      <c r="G507" s="6">
        <v>37876</v>
      </c>
      <c r="H507" s="5" t="s">
        <v>25</v>
      </c>
      <c r="I507" s="5" t="str">
        <f t="shared" si="28"/>
        <v>Yes</v>
      </c>
      <c r="J507" s="5" t="s">
        <v>690</v>
      </c>
      <c r="K507" s="5">
        <v>2003</v>
      </c>
      <c r="L507" s="5" t="str">
        <f t="shared" si="31"/>
        <v>Sep-2003</v>
      </c>
      <c r="M507" s="5" t="s">
        <v>550</v>
      </c>
      <c r="N507" s="5" t="s">
        <v>526</v>
      </c>
      <c r="O507" s="5" t="s">
        <v>32</v>
      </c>
      <c r="P507" s="5" t="s">
        <v>33</v>
      </c>
      <c r="Q507" s="5" t="s">
        <v>36</v>
      </c>
    </row>
    <row r="508" spans="1:17" x14ac:dyDescent="0.25">
      <c r="A508" s="3">
        <v>10162</v>
      </c>
      <c r="B508" s="3">
        <v>45</v>
      </c>
      <c r="C508" s="3">
        <v>51.21</v>
      </c>
      <c r="D508" s="3">
        <v>2304.4499999999998</v>
      </c>
      <c r="E508" s="3" t="str">
        <f t="shared" si="29"/>
        <v>Medium</v>
      </c>
      <c r="F508" s="3">
        <f t="shared" si="30"/>
        <v>691.33499999999992</v>
      </c>
      <c r="G508" s="4">
        <v>37912</v>
      </c>
      <c r="H508" s="3" t="s">
        <v>25</v>
      </c>
      <c r="I508" s="3" t="str">
        <f t="shared" si="28"/>
        <v>Yes</v>
      </c>
      <c r="J508" s="3" t="s">
        <v>685</v>
      </c>
      <c r="K508" s="3">
        <v>2003</v>
      </c>
      <c r="L508" s="3" t="str">
        <f t="shared" si="31"/>
        <v>Oct-2003</v>
      </c>
      <c r="M508" s="3" t="s">
        <v>550</v>
      </c>
      <c r="N508" s="3" t="s">
        <v>58</v>
      </c>
      <c r="O508" s="3" t="s">
        <v>32</v>
      </c>
      <c r="P508" s="3" t="s">
        <v>33</v>
      </c>
      <c r="Q508" s="3" t="s">
        <v>36</v>
      </c>
    </row>
    <row r="509" spans="1:17" x14ac:dyDescent="0.25">
      <c r="A509" s="5">
        <v>10173</v>
      </c>
      <c r="B509" s="5">
        <v>48</v>
      </c>
      <c r="C509" s="5">
        <v>44.21</v>
      </c>
      <c r="D509" s="5">
        <v>2122.08</v>
      </c>
      <c r="E509" s="5" t="str">
        <f t="shared" si="29"/>
        <v>Medium</v>
      </c>
      <c r="F509" s="5">
        <f t="shared" si="30"/>
        <v>636.62399999999991</v>
      </c>
      <c r="G509" s="6">
        <v>37930</v>
      </c>
      <c r="H509" s="5" t="s">
        <v>25</v>
      </c>
      <c r="I509" s="5" t="str">
        <f t="shared" si="28"/>
        <v>Yes</v>
      </c>
      <c r="J509" s="5" t="s">
        <v>686</v>
      </c>
      <c r="K509" s="5">
        <v>2003</v>
      </c>
      <c r="L509" s="5" t="str">
        <f t="shared" si="31"/>
        <v>Nov-2003</v>
      </c>
      <c r="M509" s="5" t="s">
        <v>550</v>
      </c>
      <c r="N509" s="5" t="s">
        <v>552</v>
      </c>
      <c r="O509" s="5" t="s">
        <v>258</v>
      </c>
      <c r="P509" s="5" t="s">
        <v>42</v>
      </c>
      <c r="Q509" s="5" t="s">
        <v>36</v>
      </c>
    </row>
    <row r="510" spans="1:17" x14ac:dyDescent="0.25">
      <c r="A510" s="3">
        <v>10182</v>
      </c>
      <c r="B510" s="3">
        <v>32</v>
      </c>
      <c r="C510" s="3">
        <v>54.45</v>
      </c>
      <c r="D510" s="3">
        <v>1742.4</v>
      </c>
      <c r="E510" s="3" t="str">
        <f t="shared" si="29"/>
        <v>Low</v>
      </c>
      <c r="F510" s="3">
        <f t="shared" si="30"/>
        <v>522.72</v>
      </c>
      <c r="G510" s="4">
        <v>37937</v>
      </c>
      <c r="H510" s="3" t="s">
        <v>25</v>
      </c>
      <c r="I510" s="3" t="str">
        <f t="shared" si="28"/>
        <v>Yes</v>
      </c>
      <c r="J510" s="3" t="s">
        <v>686</v>
      </c>
      <c r="K510" s="3">
        <v>2003</v>
      </c>
      <c r="L510" s="3" t="str">
        <f t="shared" si="31"/>
        <v>Nov-2003</v>
      </c>
      <c r="M510" s="3" t="s">
        <v>550</v>
      </c>
      <c r="N510" s="3" t="s">
        <v>272</v>
      </c>
      <c r="O510" s="3" t="s">
        <v>32</v>
      </c>
      <c r="P510" s="3" t="s">
        <v>33</v>
      </c>
      <c r="Q510" s="3" t="s">
        <v>36</v>
      </c>
    </row>
    <row r="511" spans="1:17" x14ac:dyDescent="0.25">
      <c r="A511" s="5">
        <v>10193</v>
      </c>
      <c r="B511" s="5">
        <v>46</v>
      </c>
      <c r="C511" s="5">
        <v>53.37</v>
      </c>
      <c r="D511" s="5">
        <v>2455.02</v>
      </c>
      <c r="E511" s="5" t="str">
        <f t="shared" si="29"/>
        <v>Medium</v>
      </c>
      <c r="F511" s="5">
        <f t="shared" si="30"/>
        <v>736.50599999999997</v>
      </c>
      <c r="G511" s="6">
        <v>37946</v>
      </c>
      <c r="H511" s="5" t="s">
        <v>25</v>
      </c>
      <c r="I511" s="5" t="str">
        <f t="shared" si="28"/>
        <v>Yes</v>
      </c>
      <c r="J511" s="5" t="s">
        <v>686</v>
      </c>
      <c r="K511" s="5">
        <v>2003</v>
      </c>
      <c r="L511" s="5" t="str">
        <f t="shared" si="31"/>
        <v>Nov-2003</v>
      </c>
      <c r="M511" s="5" t="s">
        <v>550</v>
      </c>
      <c r="N511" s="5" t="s">
        <v>558</v>
      </c>
      <c r="O511" s="5" t="s">
        <v>95</v>
      </c>
      <c r="P511" s="5" t="s">
        <v>96</v>
      </c>
      <c r="Q511" s="5" t="s">
        <v>36</v>
      </c>
    </row>
    <row r="512" spans="1:17" x14ac:dyDescent="0.25">
      <c r="A512" s="3">
        <v>10205</v>
      </c>
      <c r="B512" s="3">
        <v>48</v>
      </c>
      <c r="C512" s="3">
        <v>63.61</v>
      </c>
      <c r="D512" s="3">
        <v>3053.2799999999997</v>
      </c>
      <c r="E512" s="3" t="str">
        <f t="shared" si="29"/>
        <v>Medium</v>
      </c>
      <c r="F512" s="3">
        <f t="shared" si="30"/>
        <v>915.98399999999992</v>
      </c>
      <c r="G512" s="4">
        <v>37958</v>
      </c>
      <c r="H512" s="3" t="s">
        <v>25</v>
      </c>
      <c r="I512" s="3" t="str">
        <f t="shared" si="28"/>
        <v>Yes</v>
      </c>
      <c r="J512" s="3" t="s">
        <v>687</v>
      </c>
      <c r="K512" s="3">
        <v>2003</v>
      </c>
      <c r="L512" s="3" t="str">
        <f t="shared" si="31"/>
        <v>Dec-2003</v>
      </c>
      <c r="M512" s="3" t="s">
        <v>550</v>
      </c>
      <c r="N512" s="3" t="s">
        <v>174</v>
      </c>
      <c r="O512" s="3" t="s">
        <v>178</v>
      </c>
      <c r="P512" s="3" t="s">
        <v>42</v>
      </c>
      <c r="Q512" s="3" t="s">
        <v>51</v>
      </c>
    </row>
    <row r="513" spans="1:17" x14ac:dyDescent="0.25">
      <c r="A513" s="5">
        <v>10215</v>
      </c>
      <c r="B513" s="5">
        <v>33</v>
      </c>
      <c r="C513" s="5">
        <v>43.13</v>
      </c>
      <c r="D513" s="5">
        <v>1423.2900000000002</v>
      </c>
      <c r="E513" s="5" t="str">
        <f t="shared" si="29"/>
        <v>Low</v>
      </c>
      <c r="F513" s="5">
        <f t="shared" si="30"/>
        <v>426.98700000000002</v>
      </c>
      <c r="G513" s="6">
        <v>38015</v>
      </c>
      <c r="H513" s="5" t="s">
        <v>25</v>
      </c>
      <c r="I513" s="5" t="str">
        <f t="shared" si="28"/>
        <v>Yes</v>
      </c>
      <c r="J513" s="5" t="s">
        <v>549</v>
      </c>
      <c r="K513" s="5">
        <v>2004</v>
      </c>
      <c r="L513" s="5" t="str">
        <f t="shared" si="31"/>
        <v>Jan-2004</v>
      </c>
      <c r="M513" s="5" t="s">
        <v>550</v>
      </c>
      <c r="N513" s="5" t="s">
        <v>234</v>
      </c>
      <c r="O513" s="5" t="s">
        <v>32</v>
      </c>
      <c r="P513" s="5" t="s">
        <v>33</v>
      </c>
      <c r="Q513" s="5" t="s">
        <v>36</v>
      </c>
    </row>
    <row r="514" spans="1:17" x14ac:dyDescent="0.25">
      <c r="A514" s="3">
        <v>10227</v>
      </c>
      <c r="B514" s="3">
        <v>31</v>
      </c>
      <c r="C514" s="3">
        <v>48.52</v>
      </c>
      <c r="D514" s="3">
        <v>1504.1200000000001</v>
      </c>
      <c r="E514" s="3" t="str">
        <f t="shared" si="29"/>
        <v>Low</v>
      </c>
      <c r="F514" s="3">
        <f t="shared" si="30"/>
        <v>451.23600000000005</v>
      </c>
      <c r="G514" s="4">
        <v>38048</v>
      </c>
      <c r="H514" s="3" t="s">
        <v>25</v>
      </c>
      <c r="I514" s="3" t="str">
        <f t="shared" ref="I514:I577" si="32">IF(H514="Shipped","Yes","No")</f>
        <v>Yes</v>
      </c>
      <c r="J514" s="3" t="s">
        <v>691</v>
      </c>
      <c r="K514" s="3">
        <v>2004</v>
      </c>
      <c r="L514" s="3" t="str">
        <f t="shared" si="31"/>
        <v>Mar-2004</v>
      </c>
      <c r="M514" s="3" t="s">
        <v>550</v>
      </c>
      <c r="N514" s="3" t="s">
        <v>219</v>
      </c>
      <c r="O514" s="3" t="s">
        <v>41</v>
      </c>
      <c r="P514" s="3" t="s">
        <v>42</v>
      </c>
      <c r="Q514" s="3" t="s">
        <v>36</v>
      </c>
    </row>
    <row r="515" spans="1:17" x14ac:dyDescent="0.25">
      <c r="A515" s="5">
        <v>10244</v>
      </c>
      <c r="B515" s="5">
        <v>20</v>
      </c>
      <c r="C515" s="5">
        <v>58.22</v>
      </c>
      <c r="D515" s="5">
        <v>1164.4000000000001</v>
      </c>
      <c r="E515" s="5" t="str">
        <f t="shared" ref="E515:E578" si="33">IF(D515&gt;=5000,"High",IF(D515&gt;=2000,"Medium","Low"))</f>
        <v>Low</v>
      </c>
      <c r="F515" s="5">
        <f t="shared" ref="F515:F578" si="34">(D515*0.3)</f>
        <v>349.32</v>
      </c>
      <c r="G515" s="6">
        <v>38106</v>
      </c>
      <c r="H515" s="5" t="s">
        <v>25</v>
      </c>
      <c r="I515" s="5" t="str">
        <f t="shared" si="32"/>
        <v>Yes</v>
      </c>
      <c r="J515" s="5" t="s">
        <v>688</v>
      </c>
      <c r="K515" s="5">
        <v>2004</v>
      </c>
      <c r="L515" s="5" t="str">
        <f t="shared" ref="L515:L578" si="35">TEXT(G:G,"MMM-YYYY")</f>
        <v>Apr-2004</v>
      </c>
      <c r="M515" s="5" t="s">
        <v>550</v>
      </c>
      <c r="N515" s="5" t="s">
        <v>174</v>
      </c>
      <c r="O515" s="5" t="s">
        <v>178</v>
      </c>
      <c r="P515" s="5" t="s">
        <v>42</v>
      </c>
      <c r="Q515" s="5" t="s">
        <v>36</v>
      </c>
    </row>
    <row r="516" spans="1:17" x14ac:dyDescent="0.25">
      <c r="A516" s="3">
        <v>10256</v>
      </c>
      <c r="B516" s="3">
        <v>29</v>
      </c>
      <c r="C516" s="3">
        <v>51.75</v>
      </c>
      <c r="D516" s="3">
        <v>1500.75</v>
      </c>
      <c r="E516" s="3" t="str">
        <f t="shared" si="33"/>
        <v>Low</v>
      </c>
      <c r="F516" s="3">
        <f t="shared" si="34"/>
        <v>450.22499999999997</v>
      </c>
      <c r="G516" s="4">
        <v>38146</v>
      </c>
      <c r="H516" s="3" t="s">
        <v>25</v>
      </c>
      <c r="I516" s="3" t="str">
        <f t="shared" si="32"/>
        <v>Yes</v>
      </c>
      <c r="J516" s="3" t="s">
        <v>689</v>
      </c>
      <c r="K516" s="3">
        <v>2004</v>
      </c>
      <c r="L516" s="3" t="str">
        <f t="shared" si="35"/>
        <v>Jun-2004</v>
      </c>
      <c r="M516" s="3" t="s">
        <v>550</v>
      </c>
      <c r="N516" s="3" t="s">
        <v>322</v>
      </c>
      <c r="O516" s="3" t="s">
        <v>326</v>
      </c>
      <c r="P516" s="3" t="s">
        <v>42</v>
      </c>
      <c r="Q516" s="3" t="s">
        <v>36</v>
      </c>
    </row>
    <row r="517" spans="1:17" x14ac:dyDescent="0.25">
      <c r="A517" s="5">
        <v>10280</v>
      </c>
      <c r="B517" s="5">
        <v>27</v>
      </c>
      <c r="C517" s="5">
        <v>57.68</v>
      </c>
      <c r="D517" s="5">
        <v>1557.36</v>
      </c>
      <c r="E517" s="5" t="str">
        <f t="shared" si="33"/>
        <v>Low</v>
      </c>
      <c r="F517" s="5">
        <f t="shared" si="34"/>
        <v>467.20799999999997</v>
      </c>
      <c r="G517" s="6">
        <v>38216</v>
      </c>
      <c r="H517" s="5" t="s">
        <v>25</v>
      </c>
      <c r="I517" s="5" t="str">
        <f t="shared" si="32"/>
        <v>Yes</v>
      </c>
      <c r="J517" s="5" t="s">
        <v>684</v>
      </c>
      <c r="K517" s="5">
        <v>2004</v>
      </c>
      <c r="L517" s="5" t="str">
        <f t="shared" si="35"/>
        <v>Aug-2004</v>
      </c>
      <c r="M517" s="5" t="s">
        <v>550</v>
      </c>
      <c r="N517" s="5" t="s">
        <v>254</v>
      </c>
      <c r="O517" s="5" t="s">
        <v>258</v>
      </c>
      <c r="P517" s="5" t="s">
        <v>42</v>
      </c>
      <c r="Q517" s="5" t="s">
        <v>36</v>
      </c>
    </row>
    <row r="518" spans="1:17" x14ac:dyDescent="0.25">
      <c r="A518" s="3">
        <v>10289</v>
      </c>
      <c r="B518" s="3">
        <v>24</v>
      </c>
      <c r="C518" s="3">
        <v>56.07</v>
      </c>
      <c r="D518" s="3">
        <v>1345.68</v>
      </c>
      <c r="E518" s="3" t="str">
        <f t="shared" si="33"/>
        <v>Low</v>
      </c>
      <c r="F518" s="3">
        <f t="shared" si="34"/>
        <v>403.70400000000001</v>
      </c>
      <c r="G518" s="4">
        <v>38233</v>
      </c>
      <c r="H518" s="3" t="s">
        <v>25</v>
      </c>
      <c r="I518" s="3" t="str">
        <f t="shared" si="32"/>
        <v>Yes</v>
      </c>
      <c r="J518" s="3" t="s">
        <v>690</v>
      </c>
      <c r="K518" s="3">
        <v>2004</v>
      </c>
      <c r="L518" s="3" t="str">
        <f t="shared" si="35"/>
        <v>Sep-2004</v>
      </c>
      <c r="M518" s="3" t="s">
        <v>550</v>
      </c>
      <c r="N518" s="3" t="s">
        <v>73</v>
      </c>
      <c r="O518" s="3" t="s">
        <v>78</v>
      </c>
      <c r="P518" s="3" t="s">
        <v>42</v>
      </c>
      <c r="Q518" s="3" t="s">
        <v>36</v>
      </c>
    </row>
    <row r="519" spans="1:17" x14ac:dyDescent="0.25">
      <c r="A519" s="5">
        <v>10304</v>
      </c>
      <c r="B519" s="5">
        <v>37</v>
      </c>
      <c r="C519" s="5">
        <v>48.52</v>
      </c>
      <c r="D519" s="5">
        <v>1795.24</v>
      </c>
      <c r="E519" s="5" t="str">
        <f t="shared" si="33"/>
        <v>Low</v>
      </c>
      <c r="F519" s="5">
        <f t="shared" si="34"/>
        <v>538.572</v>
      </c>
      <c r="G519" s="6">
        <v>38271</v>
      </c>
      <c r="H519" s="5" t="s">
        <v>25</v>
      </c>
      <c r="I519" s="5" t="str">
        <f t="shared" si="32"/>
        <v>Yes</v>
      </c>
      <c r="J519" s="5" t="s">
        <v>685</v>
      </c>
      <c r="K519" s="5">
        <v>2004</v>
      </c>
      <c r="L519" s="5" t="str">
        <f t="shared" si="35"/>
        <v>Oct-2004</v>
      </c>
      <c r="M519" s="5" t="s">
        <v>550</v>
      </c>
      <c r="N519" s="5" t="s">
        <v>267</v>
      </c>
      <c r="O519" s="5" t="s">
        <v>41</v>
      </c>
      <c r="P519" s="5" t="s">
        <v>42</v>
      </c>
      <c r="Q519" s="5" t="s">
        <v>36</v>
      </c>
    </row>
    <row r="520" spans="1:17" x14ac:dyDescent="0.25">
      <c r="A520" s="3">
        <v>10312</v>
      </c>
      <c r="B520" s="3">
        <v>25</v>
      </c>
      <c r="C520" s="3">
        <v>44.21</v>
      </c>
      <c r="D520" s="3">
        <v>1105.25</v>
      </c>
      <c r="E520" s="3" t="str">
        <f t="shared" si="33"/>
        <v>Low</v>
      </c>
      <c r="F520" s="3">
        <f t="shared" si="34"/>
        <v>331.57499999999999</v>
      </c>
      <c r="G520" s="4">
        <v>38281</v>
      </c>
      <c r="H520" s="3" t="s">
        <v>25</v>
      </c>
      <c r="I520" s="3" t="str">
        <f t="shared" si="32"/>
        <v>Yes</v>
      </c>
      <c r="J520" s="3" t="s">
        <v>685</v>
      </c>
      <c r="K520" s="3">
        <v>2004</v>
      </c>
      <c r="L520" s="3" t="str">
        <f t="shared" si="35"/>
        <v>Oct-2004</v>
      </c>
      <c r="M520" s="3" t="s">
        <v>550</v>
      </c>
      <c r="N520" s="3" t="s">
        <v>272</v>
      </c>
      <c r="O520" s="3" t="s">
        <v>32</v>
      </c>
      <c r="P520" s="3" t="s">
        <v>33</v>
      </c>
      <c r="Q520" s="3" t="s">
        <v>36</v>
      </c>
    </row>
    <row r="521" spans="1:17" x14ac:dyDescent="0.25">
      <c r="A521" s="5">
        <v>10322</v>
      </c>
      <c r="B521" s="5">
        <v>41</v>
      </c>
      <c r="C521" s="5">
        <v>57.68</v>
      </c>
      <c r="D521" s="5">
        <v>2364.88</v>
      </c>
      <c r="E521" s="5" t="str">
        <f t="shared" si="33"/>
        <v>Medium</v>
      </c>
      <c r="F521" s="5">
        <f t="shared" si="34"/>
        <v>709.46400000000006</v>
      </c>
      <c r="G521" s="6">
        <v>38295</v>
      </c>
      <c r="H521" s="5" t="s">
        <v>25</v>
      </c>
      <c r="I521" s="5" t="str">
        <f t="shared" si="32"/>
        <v>Yes</v>
      </c>
      <c r="J521" s="5" t="s">
        <v>686</v>
      </c>
      <c r="K521" s="5">
        <v>2004</v>
      </c>
      <c r="L521" s="5" t="str">
        <f t="shared" si="35"/>
        <v>Nov-2004</v>
      </c>
      <c r="M521" s="5" t="s">
        <v>550</v>
      </c>
      <c r="N521" s="5" t="s">
        <v>277</v>
      </c>
      <c r="O521" s="5" t="s">
        <v>32</v>
      </c>
      <c r="P521" s="5" t="s">
        <v>33</v>
      </c>
      <c r="Q521" s="5" t="s">
        <v>36</v>
      </c>
    </row>
    <row r="522" spans="1:17" x14ac:dyDescent="0.25">
      <c r="A522" s="3">
        <v>10332</v>
      </c>
      <c r="B522" s="3">
        <v>27</v>
      </c>
      <c r="C522" s="3">
        <v>89.89</v>
      </c>
      <c r="D522" s="3">
        <v>2427.0300000000002</v>
      </c>
      <c r="E522" s="3" t="str">
        <f t="shared" si="33"/>
        <v>Medium</v>
      </c>
      <c r="F522" s="3">
        <f t="shared" si="34"/>
        <v>728.10900000000004</v>
      </c>
      <c r="G522" s="4">
        <v>38308</v>
      </c>
      <c r="H522" s="3" t="s">
        <v>25</v>
      </c>
      <c r="I522" s="3" t="str">
        <f t="shared" si="32"/>
        <v>Yes</v>
      </c>
      <c r="J522" s="3" t="s">
        <v>686</v>
      </c>
      <c r="K522" s="3">
        <v>2004</v>
      </c>
      <c r="L522" s="3" t="str">
        <f t="shared" si="35"/>
        <v>Nov-2004</v>
      </c>
      <c r="M522" s="3" t="s">
        <v>550</v>
      </c>
      <c r="N522" s="3" t="s">
        <v>492</v>
      </c>
      <c r="O522" s="3" t="s">
        <v>170</v>
      </c>
      <c r="P522" s="3" t="s">
        <v>42</v>
      </c>
      <c r="Q522" s="3" t="s">
        <v>36</v>
      </c>
    </row>
    <row r="523" spans="1:17" x14ac:dyDescent="0.25">
      <c r="A523" s="5">
        <v>10347</v>
      </c>
      <c r="B523" s="5">
        <v>21</v>
      </c>
      <c r="C523" s="5">
        <v>58.95</v>
      </c>
      <c r="D523" s="5">
        <v>1237.95</v>
      </c>
      <c r="E523" s="5" t="str">
        <f t="shared" si="33"/>
        <v>Low</v>
      </c>
      <c r="F523" s="5">
        <f t="shared" si="34"/>
        <v>371.38499999999999</v>
      </c>
      <c r="G523" s="6">
        <v>38320</v>
      </c>
      <c r="H523" s="5" t="s">
        <v>25</v>
      </c>
      <c r="I523" s="5" t="str">
        <f t="shared" si="32"/>
        <v>Yes</v>
      </c>
      <c r="J523" s="5" t="s">
        <v>686</v>
      </c>
      <c r="K523" s="5">
        <v>2004</v>
      </c>
      <c r="L523" s="5" t="str">
        <f t="shared" si="35"/>
        <v>Nov-2004</v>
      </c>
      <c r="M523" s="5" t="s">
        <v>550</v>
      </c>
      <c r="N523" s="5" t="s">
        <v>89</v>
      </c>
      <c r="O523" s="5" t="s">
        <v>95</v>
      </c>
      <c r="P523" s="5" t="s">
        <v>96</v>
      </c>
      <c r="Q523" s="5" t="s">
        <v>36</v>
      </c>
    </row>
    <row r="524" spans="1:17" x14ac:dyDescent="0.25">
      <c r="A524" s="3">
        <v>10356</v>
      </c>
      <c r="B524" s="3">
        <v>22</v>
      </c>
      <c r="C524" s="3">
        <v>72.41</v>
      </c>
      <c r="D524" s="3">
        <v>1593.02</v>
      </c>
      <c r="E524" s="3" t="str">
        <f t="shared" si="33"/>
        <v>Low</v>
      </c>
      <c r="F524" s="3">
        <f t="shared" si="34"/>
        <v>477.90599999999995</v>
      </c>
      <c r="G524" s="4">
        <v>38330</v>
      </c>
      <c r="H524" s="3" t="s">
        <v>25</v>
      </c>
      <c r="I524" s="3" t="str">
        <f t="shared" si="32"/>
        <v>Yes</v>
      </c>
      <c r="J524" s="3" t="s">
        <v>687</v>
      </c>
      <c r="K524" s="3">
        <v>2004</v>
      </c>
      <c r="L524" s="3" t="str">
        <f t="shared" si="35"/>
        <v>Dec-2004</v>
      </c>
      <c r="M524" s="3" t="s">
        <v>550</v>
      </c>
      <c r="N524" s="3" t="s">
        <v>45</v>
      </c>
      <c r="O524" s="3" t="s">
        <v>41</v>
      </c>
      <c r="P524" s="3" t="s">
        <v>42</v>
      </c>
      <c r="Q524" s="3" t="s">
        <v>36</v>
      </c>
    </row>
    <row r="525" spans="1:17" x14ac:dyDescent="0.25">
      <c r="A525" s="5">
        <v>10369</v>
      </c>
      <c r="B525" s="5">
        <v>32</v>
      </c>
      <c r="C525" s="5">
        <v>98.63</v>
      </c>
      <c r="D525" s="5">
        <v>3156.16</v>
      </c>
      <c r="E525" s="5" t="str">
        <f t="shared" si="33"/>
        <v>Medium</v>
      </c>
      <c r="F525" s="5">
        <f t="shared" si="34"/>
        <v>946.84799999999996</v>
      </c>
      <c r="G525" s="6">
        <v>38372</v>
      </c>
      <c r="H525" s="5" t="s">
        <v>25</v>
      </c>
      <c r="I525" s="5" t="str">
        <f t="shared" si="32"/>
        <v>Yes</v>
      </c>
      <c r="J525" s="5" t="s">
        <v>549</v>
      </c>
      <c r="K525" s="5">
        <v>2005</v>
      </c>
      <c r="L525" s="5" t="str">
        <f t="shared" si="35"/>
        <v>Jan-2005</v>
      </c>
      <c r="M525" s="5" t="s">
        <v>550</v>
      </c>
      <c r="N525" s="5" t="s">
        <v>281</v>
      </c>
      <c r="O525" s="5" t="s">
        <v>32</v>
      </c>
      <c r="P525" s="5" t="s">
        <v>33</v>
      </c>
      <c r="Q525" s="5" t="s">
        <v>51</v>
      </c>
    </row>
    <row r="526" spans="1:17" x14ac:dyDescent="0.25">
      <c r="A526" s="3">
        <v>10381</v>
      </c>
      <c r="B526" s="3">
        <v>25</v>
      </c>
      <c r="C526" s="3">
        <v>52.83</v>
      </c>
      <c r="D526" s="3">
        <v>1320.75</v>
      </c>
      <c r="E526" s="3" t="str">
        <f t="shared" si="33"/>
        <v>Low</v>
      </c>
      <c r="F526" s="3">
        <f t="shared" si="34"/>
        <v>396.22499999999997</v>
      </c>
      <c r="G526" s="4">
        <v>38400</v>
      </c>
      <c r="H526" s="3" t="s">
        <v>25</v>
      </c>
      <c r="I526" s="3" t="str">
        <f t="shared" si="32"/>
        <v>Yes</v>
      </c>
      <c r="J526" s="3" t="s">
        <v>681</v>
      </c>
      <c r="K526" s="3">
        <v>2005</v>
      </c>
      <c r="L526" s="3" t="str">
        <f t="shared" si="35"/>
        <v>Feb-2005</v>
      </c>
      <c r="M526" s="3" t="s">
        <v>550</v>
      </c>
      <c r="N526" s="3" t="s">
        <v>58</v>
      </c>
      <c r="O526" s="3" t="s">
        <v>32</v>
      </c>
      <c r="P526" s="3" t="s">
        <v>33</v>
      </c>
      <c r="Q526" s="3" t="s">
        <v>36</v>
      </c>
    </row>
    <row r="527" spans="1:17" x14ac:dyDescent="0.25">
      <c r="A527" s="5">
        <v>10391</v>
      </c>
      <c r="B527" s="5">
        <v>42</v>
      </c>
      <c r="C527" s="5">
        <v>100</v>
      </c>
      <c r="D527" s="5">
        <v>4200</v>
      </c>
      <c r="E527" s="5" t="str">
        <f t="shared" si="33"/>
        <v>Medium</v>
      </c>
      <c r="F527" s="5">
        <f t="shared" si="34"/>
        <v>1260</v>
      </c>
      <c r="G527" s="6">
        <v>38420</v>
      </c>
      <c r="H527" s="5" t="s">
        <v>25</v>
      </c>
      <c r="I527" s="5" t="str">
        <f t="shared" si="32"/>
        <v>Yes</v>
      </c>
      <c r="J527" s="5" t="s">
        <v>691</v>
      </c>
      <c r="K527" s="5">
        <v>2005</v>
      </c>
      <c r="L527" s="5" t="str">
        <f t="shared" si="35"/>
        <v>Mar-2005</v>
      </c>
      <c r="M527" s="5" t="s">
        <v>550</v>
      </c>
      <c r="N527" s="5" t="s">
        <v>285</v>
      </c>
      <c r="O527" s="5" t="s">
        <v>95</v>
      </c>
      <c r="P527" s="5" t="s">
        <v>96</v>
      </c>
      <c r="Q527" s="5" t="s">
        <v>51</v>
      </c>
    </row>
    <row r="528" spans="1:17" x14ac:dyDescent="0.25">
      <c r="A528" s="3">
        <v>10422</v>
      </c>
      <c r="B528" s="3">
        <v>25</v>
      </c>
      <c r="C528" s="3">
        <v>51.75</v>
      </c>
      <c r="D528" s="3">
        <v>1293.75</v>
      </c>
      <c r="E528" s="3" t="str">
        <f t="shared" si="33"/>
        <v>Low</v>
      </c>
      <c r="F528" s="3">
        <f t="shared" si="34"/>
        <v>388.125</v>
      </c>
      <c r="G528" s="4">
        <v>38502</v>
      </c>
      <c r="H528" s="3" t="s">
        <v>300</v>
      </c>
      <c r="I528" s="3" t="str">
        <f t="shared" si="32"/>
        <v>No</v>
      </c>
      <c r="J528" s="3" t="s">
        <v>682</v>
      </c>
      <c r="K528" s="3">
        <v>2005</v>
      </c>
      <c r="L528" s="3" t="str">
        <f t="shared" si="35"/>
        <v>May-2005</v>
      </c>
      <c r="M528" s="3" t="s">
        <v>550</v>
      </c>
      <c r="N528" s="3" t="s">
        <v>139</v>
      </c>
      <c r="O528" s="3" t="s">
        <v>32</v>
      </c>
      <c r="P528" s="3" t="s">
        <v>33</v>
      </c>
      <c r="Q528" s="3" t="s">
        <v>36</v>
      </c>
    </row>
    <row r="529" spans="1:17" x14ac:dyDescent="0.25">
      <c r="A529" s="5">
        <v>10110</v>
      </c>
      <c r="B529" s="5">
        <v>37</v>
      </c>
      <c r="C529" s="5">
        <v>100</v>
      </c>
      <c r="D529" s="5">
        <v>3700</v>
      </c>
      <c r="E529" s="5" t="str">
        <f t="shared" si="33"/>
        <v>Medium</v>
      </c>
      <c r="F529" s="5">
        <f t="shared" si="34"/>
        <v>1110</v>
      </c>
      <c r="G529" s="6">
        <v>37698</v>
      </c>
      <c r="H529" s="5" t="s">
        <v>25</v>
      </c>
      <c r="I529" s="5" t="str">
        <f t="shared" si="32"/>
        <v>Yes</v>
      </c>
      <c r="J529" s="5" t="s">
        <v>691</v>
      </c>
      <c r="K529" s="5">
        <v>2003</v>
      </c>
      <c r="L529" s="5" t="str">
        <f t="shared" si="35"/>
        <v>Mar-2003</v>
      </c>
      <c r="M529" s="5" t="s">
        <v>181</v>
      </c>
      <c r="N529" s="5" t="s">
        <v>492</v>
      </c>
      <c r="O529" s="5" t="s">
        <v>170</v>
      </c>
      <c r="P529" s="5" t="s">
        <v>42</v>
      </c>
      <c r="Q529" s="5" t="s">
        <v>51</v>
      </c>
    </row>
    <row r="530" spans="1:17" x14ac:dyDescent="0.25">
      <c r="A530" s="3">
        <v>10123</v>
      </c>
      <c r="B530" s="3">
        <v>26</v>
      </c>
      <c r="C530" s="3">
        <v>100</v>
      </c>
      <c r="D530" s="3">
        <v>2600</v>
      </c>
      <c r="E530" s="3" t="str">
        <f t="shared" si="33"/>
        <v>Medium</v>
      </c>
      <c r="F530" s="3">
        <f t="shared" si="34"/>
        <v>780</v>
      </c>
      <c r="G530" s="4">
        <v>37761</v>
      </c>
      <c r="H530" s="3" t="s">
        <v>25</v>
      </c>
      <c r="I530" s="3" t="str">
        <f t="shared" si="32"/>
        <v>Yes</v>
      </c>
      <c r="J530" s="3" t="s">
        <v>682</v>
      </c>
      <c r="K530" s="3">
        <v>2003</v>
      </c>
      <c r="L530" s="3" t="str">
        <f t="shared" si="35"/>
        <v>May-2003</v>
      </c>
      <c r="M530" s="3" t="s">
        <v>181</v>
      </c>
      <c r="N530" s="3" t="s">
        <v>312</v>
      </c>
      <c r="O530" s="3" t="s">
        <v>41</v>
      </c>
      <c r="P530" s="3" t="s">
        <v>42</v>
      </c>
      <c r="Q530" s="3" t="s">
        <v>51</v>
      </c>
    </row>
    <row r="531" spans="1:17" x14ac:dyDescent="0.25">
      <c r="A531" s="5">
        <v>10137</v>
      </c>
      <c r="B531" s="5">
        <v>44</v>
      </c>
      <c r="C531" s="5">
        <v>99.55</v>
      </c>
      <c r="D531" s="5">
        <v>4380.2</v>
      </c>
      <c r="E531" s="5" t="str">
        <f t="shared" si="33"/>
        <v>Medium</v>
      </c>
      <c r="F531" s="5">
        <f t="shared" si="34"/>
        <v>1314.06</v>
      </c>
      <c r="G531" s="6">
        <v>37812</v>
      </c>
      <c r="H531" s="5" t="s">
        <v>25</v>
      </c>
      <c r="I531" s="5" t="str">
        <f t="shared" si="32"/>
        <v>Yes</v>
      </c>
      <c r="J531" s="5" t="s">
        <v>683</v>
      </c>
      <c r="K531" s="5">
        <v>2003</v>
      </c>
      <c r="L531" s="5" t="str">
        <f t="shared" si="35"/>
        <v>Jul-2003</v>
      </c>
      <c r="M531" s="5" t="s">
        <v>181</v>
      </c>
      <c r="N531" s="5" t="s">
        <v>37</v>
      </c>
      <c r="O531" s="5" t="s">
        <v>41</v>
      </c>
      <c r="P531" s="5" t="s">
        <v>42</v>
      </c>
      <c r="Q531" s="5" t="s">
        <v>51</v>
      </c>
    </row>
    <row r="532" spans="1:17" x14ac:dyDescent="0.25">
      <c r="A532" s="3">
        <v>10148</v>
      </c>
      <c r="B532" s="3">
        <v>47</v>
      </c>
      <c r="C532" s="3">
        <v>100</v>
      </c>
      <c r="D532" s="3">
        <v>4700</v>
      </c>
      <c r="E532" s="3" t="str">
        <f t="shared" si="33"/>
        <v>Medium</v>
      </c>
      <c r="F532" s="3">
        <f t="shared" si="34"/>
        <v>1410</v>
      </c>
      <c r="G532" s="4">
        <v>37875</v>
      </c>
      <c r="H532" s="3" t="s">
        <v>25</v>
      </c>
      <c r="I532" s="3" t="str">
        <f t="shared" si="32"/>
        <v>Yes</v>
      </c>
      <c r="J532" s="3" t="s">
        <v>690</v>
      </c>
      <c r="K532" s="3">
        <v>2003</v>
      </c>
      <c r="L532" s="3" t="str">
        <f t="shared" si="35"/>
        <v>Sep-2003</v>
      </c>
      <c r="M532" s="3" t="s">
        <v>181</v>
      </c>
      <c r="N532" s="3" t="s">
        <v>285</v>
      </c>
      <c r="O532" s="3" t="s">
        <v>95</v>
      </c>
      <c r="P532" s="3" t="s">
        <v>96</v>
      </c>
      <c r="Q532" s="3" t="s">
        <v>51</v>
      </c>
    </row>
    <row r="533" spans="1:17" x14ac:dyDescent="0.25">
      <c r="A533" s="5">
        <v>10161</v>
      </c>
      <c r="B533" s="5">
        <v>43</v>
      </c>
      <c r="C533" s="5">
        <v>100</v>
      </c>
      <c r="D533" s="5">
        <v>4300</v>
      </c>
      <c r="E533" s="5" t="str">
        <f t="shared" si="33"/>
        <v>Medium</v>
      </c>
      <c r="F533" s="5">
        <f t="shared" si="34"/>
        <v>1290</v>
      </c>
      <c r="G533" s="6">
        <v>37911</v>
      </c>
      <c r="H533" s="5" t="s">
        <v>25</v>
      </c>
      <c r="I533" s="5" t="str">
        <f t="shared" si="32"/>
        <v>Yes</v>
      </c>
      <c r="J533" s="5" t="s">
        <v>685</v>
      </c>
      <c r="K533" s="5">
        <v>2003</v>
      </c>
      <c r="L533" s="5" t="str">
        <f t="shared" si="35"/>
        <v>Oct-2003</v>
      </c>
      <c r="M533" s="5" t="s">
        <v>181</v>
      </c>
      <c r="N533" s="5" t="s">
        <v>498</v>
      </c>
      <c r="O533" s="5" t="s">
        <v>326</v>
      </c>
      <c r="P533" s="5" t="s">
        <v>42</v>
      </c>
      <c r="Q533" s="5" t="s">
        <v>51</v>
      </c>
    </row>
    <row r="534" spans="1:17" x14ac:dyDescent="0.25">
      <c r="A534" s="3">
        <v>10172</v>
      </c>
      <c r="B534" s="3">
        <v>42</v>
      </c>
      <c r="C534" s="3">
        <v>100</v>
      </c>
      <c r="D534" s="3">
        <v>4200</v>
      </c>
      <c r="E534" s="3" t="str">
        <f t="shared" si="33"/>
        <v>Medium</v>
      </c>
      <c r="F534" s="3">
        <f t="shared" si="34"/>
        <v>1260</v>
      </c>
      <c r="G534" s="4">
        <v>37930</v>
      </c>
      <c r="H534" s="3" t="s">
        <v>25</v>
      </c>
      <c r="I534" s="3" t="str">
        <f t="shared" si="32"/>
        <v>Yes</v>
      </c>
      <c r="J534" s="3" t="s">
        <v>686</v>
      </c>
      <c r="K534" s="3">
        <v>2003</v>
      </c>
      <c r="L534" s="3" t="str">
        <f t="shared" si="35"/>
        <v>Nov-2003</v>
      </c>
      <c r="M534" s="3" t="s">
        <v>181</v>
      </c>
      <c r="N534" s="3" t="s">
        <v>109</v>
      </c>
      <c r="O534" s="3" t="s">
        <v>32</v>
      </c>
      <c r="P534" s="3" t="s">
        <v>33</v>
      </c>
      <c r="Q534" s="3" t="s">
        <v>51</v>
      </c>
    </row>
    <row r="535" spans="1:17" x14ac:dyDescent="0.25">
      <c r="A535" s="5">
        <v>10181</v>
      </c>
      <c r="B535" s="5">
        <v>42</v>
      </c>
      <c r="C535" s="5">
        <v>100</v>
      </c>
      <c r="D535" s="5">
        <v>4200</v>
      </c>
      <c r="E535" s="5" t="str">
        <f t="shared" si="33"/>
        <v>Medium</v>
      </c>
      <c r="F535" s="5">
        <f t="shared" si="34"/>
        <v>1260</v>
      </c>
      <c r="G535" s="6">
        <v>37937</v>
      </c>
      <c r="H535" s="5" t="s">
        <v>25</v>
      </c>
      <c r="I535" s="5" t="str">
        <f t="shared" si="32"/>
        <v>Yes</v>
      </c>
      <c r="J535" s="5" t="s">
        <v>686</v>
      </c>
      <c r="K535" s="5">
        <v>2003</v>
      </c>
      <c r="L535" s="5" t="str">
        <f t="shared" si="35"/>
        <v>Nov-2003</v>
      </c>
      <c r="M535" s="5" t="s">
        <v>181</v>
      </c>
      <c r="N535" s="5" t="s">
        <v>73</v>
      </c>
      <c r="O535" s="5" t="s">
        <v>78</v>
      </c>
      <c r="P535" s="5" t="s">
        <v>42</v>
      </c>
      <c r="Q535" s="5" t="s">
        <v>51</v>
      </c>
    </row>
    <row r="536" spans="1:17" x14ac:dyDescent="0.25">
      <c r="A536" s="3">
        <v>10192</v>
      </c>
      <c r="B536" s="3">
        <v>29</v>
      </c>
      <c r="C536" s="3">
        <v>100</v>
      </c>
      <c r="D536" s="3">
        <v>2900</v>
      </c>
      <c r="E536" s="3" t="str">
        <f t="shared" si="33"/>
        <v>Medium</v>
      </c>
      <c r="F536" s="3">
        <f t="shared" si="34"/>
        <v>870</v>
      </c>
      <c r="G536" s="4">
        <v>37945</v>
      </c>
      <c r="H536" s="3" t="s">
        <v>25</v>
      </c>
      <c r="I536" s="3" t="str">
        <f t="shared" si="32"/>
        <v>Yes</v>
      </c>
      <c r="J536" s="3" t="s">
        <v>686</v>
      </c>
      <c r="K536" s="3">
        <v>2003</v>
      </c>
      <c r="L536" s="3" t="str">
        <f t="shared" si="35"/>
        <v>Nov-2003</v>
      </c>
      <c r="M536" s="3" t="s">
        <v>181</v>
      </c>
      <c r="N536" s="3" t="s">
        <v>277</v>
      </c>
      <c r="O536" s="3" t="s">
        <v>32</v>
      </c>
      <c r="P536" s="3" t="s">
        <v>33</v>
      </c>
      <c r="Q536" s="3" t="s">
        <v>51</v>
      </c>
    </row>
    <row r="537" spans="1:17" x14ac:dyDescent="0.25">
      <c r="A537" s="5">
        <v>10204</v>
      </c>
      <c r="B537" s="5">
        <v>40</v>
      </c>
      <c r="C537" s="5">
        <v>100</v>
      </c>
      <c r="D537" s="5">
        <v>4000</v>
      </c>
      <c r="E537" s="5" t="str">
        <f t="shared" si="33"/>
        <v>Medium</v>
      </c>
      <c r="F537" s="5">
        <f t="shared" si="34"/>
        <v>1200</v>
      </c>
      <c r="G537" s="6">
        <v>37957</v>
      </c>
      <c r="H537" s="5" t="s">
        <v>25</v>
      </c>
      <c r="I537" s="5" t="str">
        <f t="shared" si="32"/>
        <v>Yes</v>
      </c>
      <c r="J537" s="5" t="s">
        <v>687</v>
      </c>
      <c r="K537" s="5">
        <v>2003</v>
      </c>
      <c r="L537" s="5" t="str">
        <f t="shared" si="35"/>
        <v>Dec-2003</v>
      </c>
      <c r="M537" s="5" t="s">
        <v>181</v>
      </c>
      <c r="N537" s="5" t="s">
        <v>475</v>
      </c>
      <c r="O537" s="5" t="s">
        <v>32</v>
      </c>
      <c r="P537" s="5" t="s">
        <v>33</v>
      </c>
      <c r="Q537" s="5" t="s">
        <v>51</v>
      </c>
    </row>
    <row r="538" spans="1:17" x14ac:dyDescent="0.25">
      <c r="A538" s="3">
        <v>10212</v>
      </c>
      <c r="B538" s="3">
        <v>38</v>
      </c>
      <c r="C538" s="3">
        <v>100</v>
      </c>
      <c r="D538" s="3">
        <v>3800</v>
      </c>
      <c r="E538" s="3" t="str">
        <f t="shared" si="33"/>
        <v>Medium</v>
      </c>
      <c r="F538" s="3">
        <f t="shared" si="34"/>
        <v>1140</v>
      </c>
      <c r="G538" s="4">
        <v>38002</v>
      </c>
      <c r="H538" s="3" t="s">
        <v>25</v>
      </c>
      <c r="I538" s="3" t="str">
        <f t="shared" si="32"/>
        <v>Yes</v>
      </c>
      <c r="J538" s="3" t="s">
        <v>549</v>
      </c>
      <c r="K538" s="3">
        <v>2004</v>
      </c>
      <c r="L538" s="3" t="str">
        <f t="shared" si="35"/>
        <v>Jan-2004</v>
      </c>
      <c r="M538" s="3" t="s">
        <v>181</v>
      </c>
      <c r="N538" s="3" t="s">
        <v>174</v>
      </c>
      <c r="O538" s="3" t="s">
        <v>178</v>
      </c>
      <c r="P538" s="3" t="s">
        <v>42</v>
      </c>
      <c r="Q538" s="3" t="s">
        <v>51</v>
      </c>
    </row>
    <row r="539" spans="1:17" x14ac:dyDescent="0.25">
      <c r="A539" s="5">
        <v>10226</v>
      </c>
      <c r="B539" s="5">
        <v>38</v>
      </c>
      <c r="C539" s="5">
        <v>100</v>
      </c>
      <c r="D539" s="5">
        <v>3800</v>
      </c>
      <c r="E539" s="5" t="str">
        <f t="shared" si="33"/>
        <v>Medium</v>
      </c>
      <c r="F539" s="5">
        <f t="shared" si="34"/>
        <v>1140</v>
      </c>
      <c r="G539" s="6">
        <v>38043</v>
      </c>
      <c r="H539" s="5" t="s">
        <v>25</v>
      </c>
      <c r="I539" s="5" t="str">
        <f t="shared" si="32"/>
        <v>Yes</v>
      </c>
      <c r="J539" s="5" t="s">
        <v>681</v>
      </c>
      <c r="K539" s="5">
        <v>2004</v>
      </c>
      <c r="L539" s="5" t="str">
        <f t="shared" si="35"/>
        <v>Feb-2004</v>
      </c>
      <c r="M539" s="5" t="s">
        <v>181</v>
      </c>
      <c r="N539" s="5" t="s">
        <v>362</v>
      </c>
      <c r="O539" s="5" t="s">
        <v>32</v>
      </c>
      <c r="P539" s="5" t="s">
        <v>33</v>
      </c>
      <c r="Q539" s="5" t="s">
        <v>51</v>
      </c>
    </row>
    <row r="540" spans="1:17" x14ac:dyDescent="0.25">
      <c r="A540" s="3">
        <v>10241</v>
      </c>
      <c r="B540" s="3">
        <v>21</v>
      </c>
      <c r="C540" s="3">
        <v>100</v>
      </c>
      <c r="D540" s="3">
        <v>2100</v>
      </c>
      <c r="E540" s="3" t="str">
        <f t="shared" si="33"/>
        <v>Medium</v>
      </c>
      <c r="F540" s="3">
        <f t="shared" si="34"/>
        <v>630</v>
      </c>
      <c r="G540" s="4">
        <v>38090</v>
      </c>
      <c r="H540" s="3" t="s">
        <v>25</v>
      </c>
      <c r="I540" s="3" t="str">
        <f t="shared" si="32"/>
        <v>Yes</v>
      </c>
      <c r="J540" s="3" t="s">
        <v>688</v>
      </c>
      <c r="K540" s="3">
        <v>2004</v>
      </c>
      <c r="L540" s="3" t="str">
        <f t="shared" si="35"/>
        <v>Apr-2004</v>
      </c>
      <c r="M540" s="3" t="s">
        <v>181</v>
      </c>
      <c r="N540" s="3" t="s">
        <v>531</v>
      </c>
      <c r="O540" s="3" t="s">
        <v>41</v>
      </c>
      <c r="P540" s="3" t="s">
        <v>42</v>
      </c>
      <c r="Q540" s="3" t="s">
        <v>36</v>
      </c>
    </row>
    <row r="541" spans="1:17" x14ac:dyDescent="0.25">
      <c r="A541" s="5">
        <v>10253</v>
      </c>
      <c r="B541" s="5">
        <v>24</v>
      </c>
      <c r="C541" s="5">
        <v>100</v>
      </c>
      <c r="D541" s="5">
        <v>2400</v>
      </c>
      <c r="E541" s="5" t="str">
        <f t="shared" si="33"/>
        <v>Medium</v>
      </c>
      <c r="F541" s="5">
        <f t="shared" si="34"/>
        <v>720</v>
      </c>
      <c r="G541" s="6">
        <v>38139</v>
      </c>
      <c r="H541" s="5" t="s">
        <v>339</v>
      </c>
      <c r="I541" s="5" t="str">
        <f t="shared" si="32"/>
        <v>No</v>
      </c>
      <c r="J541" s="5" t="s">
        <v>689</v>
      </c>
      <c r="K541" s="5">
        <v>2004</v>
      </c>
      <c r="L541" s="5" t="str">
        <f t="shared" si="35"/>
        <v>Jun-2004</v>
      </c>
      <c r="M541" s="5" t="s">
        <v>181</v>
      </c>
      <c r="N541" s="5" t="s">
        <v>165</v>
      </c>
      <c r="O541" s="5" t="s">
        <v>170</v>
      </c>
      <c r="P541" s="5" t="s">
        <v>42</v>
      </c>
      <c r="Q541" s="5" t="s">
        <v>51</v>
      </c>
    </row>
    <row r="542" spans="1:17" x14ac:dyDescent="0.25">
      <c r="A542" s="3">
        <v>10266</v>
      </c>
      <c r="B542" s="3">
        <v>36</v>
      </c>
      <c r="C542" s="3">
        <v>100</v>
      </c>
      <c r="D542" s="3">
        <v>3600</v>
      </c>
      <c r="E542" s="3" t="str">
        <f t="shared" si="33"/>
        <v>Medium</v>
      </c>
      <c r="F542" s="3">
        <f t="shared" si="34"/>
        <v>1080</v>
      </c>
      <c r="G542" s="4">
        <v>38174</v>
      </c>
      <c r="H542" s="3" t="s">
        <v>25</v>
      </c>
      <c r="I542" s="3" t="str">
        <f t="shared" si="32"/>
        <v>Yes</v>
      </c>
      <c r="J542" s="3" t="s">
        <v>683</v>
      </c>
      <c r="K542" s="3">
        <v>2004</v>
      </c>
      <c r="L542" s="3" t="str">
        <f t="shared" si="35"/>
        <v>Jul-2004</v>
      </c>
      <c r="M542" s="3" t="s">
        <v>181</v>
      </c>
      <c r="N542" s="3" t="s">
        <v>452</v>
      </c>
      <c r="O542" s="3" t="s">
        <v>258</v>
      </c>
      <c r="P542" s="3" t="s">
        <v>42</v>
      </c>
      <c r="Q542" s="3" t="s">
        <v>51</v>
      </c>
    </row>
    <row r="543" spans="1:17" x14ac:dyDescent="0.25">
      <c r="A543" s="5">
        <v>10278</v>
      </c>
      <c r="B543" s="5">
        <v>23</v>
      </c>
      <c r="C543" s="5">
        <v>100</v>
      </c>
      <c r="D543" s="5">
        <v>2300</v>
      </c>
      <c r="E543" s="5" t="str">
        <f t="shared" si="33"/>
        <v>Medium</v>
      </c>
      <c r="F543" s="5">
        <f t="shared" si="34"/>
        <v>690</v>
      </c>
      <c r="G543" s="6">
        <v>38205</v>
      </c>
      <c r="H543" s="5" t="s">
        <v>25</v>
      </c>
      <c r="I543" s="5" t="str">
        <f t="shared" si="32"/>
        <v>Yes</v>
      </c>
      <c r="J543" s="5" t="s">
        <v>684</v>
      </c>
      <c r="K543" s="5">
        <v>2004</v>
      </c>
      <c r="L543" s="5" t="str">
        <f t="shared" si="35"/>
        <v>Aug-2004</v>
      </c>
      <c r="M543" s="5" t="s">
        <v>181</v>
      </c>
      <c r="N543" s="5" t="s">
        <v>539</v>
      </c>
      <c r="O543" s="5" t="s">
        <v>32</v>
      </c>
      <c r="P543" s="5" t="s">
        <v>33</v>
      </c>
      <c r="Q543" s="5" t="s">
        <v>36</v>
      </c>
    </row>
    <row r="544" spans="1:17" x14ac:dyDescent="0.25">
      <c r="A544" s="3">
        <v>10288</v>
      </c>
      <c r="B544" s="3">
        <v>20</v>
      </c>
      <c r="C544" s="3">
        <v>100</v>
      </c>
      <c r="D544" s="3">
        <v>2000</v>
      </c>
      <c r="E544" s="3" t="str">
        <f t="shared" si="33"/>
        <v>Medium</v>
      </c>
      <c r="F544" s="3">
        <f t="shared" si="34"/>
        <v>600</v>
      </c>
      <c r="G544" s="4">
        <v>38231</v>
      </c>
      <c r="H544" s="3" t="s">
        <v>25</v>
      </c>
      <c r="I544" s="3" t="str">
        <f t="shared" si="32"/>
        <v>Yes</v>
      </c>
      <c r="J544" s="3" t="s">
        <v>690</v>
      </c>
      <c r="K544" s="3">
        <v>2004</v>
      </c>
      <c r="L544" s="3" t="str">
        <f t="shared" si="35"/>
        <v>Sep-2004</v>
      </c>
      <c r="M544" s="3" t="s">
        <v>181</v>
      </c>
      <c r="N544" s="3" t="s">
        <v>418</v>
      </c>
      <c r="O544" s="3" t="s">
        <v>199</v>
      </c>
      <c r="P544" s="3" t="s">
        <v>96</v>
      </c>
      <c r="Q544" s="3" t="s">
        <v>36</v>
      </c>
    </row>
    <row r="545" spans="1:17" x14ac:dyDescent="0.25">
      <c r="A545" s="5">
        <v>10301</v>
      </c>
      <c r="B545" s="5">
        <v>32</v>
      </c>
      <c r="C545" s="5">
        <v>100</v>
      </c>
      <c r="D545" s="5">
        <v>3200</v>
      </c>
      <c r="E545" s="5" t="str">
        <f t="shared" si="33"/>
        <v>Medium</v>
      </c>
      <c r="F545" s="5">
        <f t="shared" si="34"/>
        <v>960</v>
      </c>
      <c r="G545" s="6">
        <v>37899</v>
      </c>
      <c r="H545" s="5" t="s">
        <v>25</v>
      </c>
      <c r="I545" s="5" t="str">
        <f t="shared" si="32"/>
        <v>Yes</v>
      </c>
      <c r="J545" s="5" t="s">
        <v>685</v>
      </c>
      <c r="K545" s="5">
        <v>2003</v>
      </c>
      <c r="L545" s="5" t="str">
        <f t="shared" si="35"/>
        <v>Oct-2003</v>
      </c>
      <c r="M545" s="5" t="s">
        <v>181</v>
      </c>
      <c r="N545" s="5" t="s">
        <v>543</v>
      </c>
      <c r="O545" s="5" t="s">
        <v>78</v>
      </c>
      <c r="P545" s="5" t="s">
        <v>42</v>
      </c>
      <c r="Q545" s="5" t="s">
        <v>51</v>
      </c>
    </row>
    <row r="546" spans="1:17" x14ac:dyDescent="0.25">
      <c r="A546" s="3">
        <v>10311</v>
      </c>
      <c r="B546" s="3">
        <v>29</v>
      </c>
      <c r="C546" s="3">
        <v>100</v>
      </c>
      <c r="D546" s="3">
        <v>2900</v>
      </c>
      <c r="E546" s="3" t="str">
        <f t="shared" si="33"/>
        <v>Medium</v>
      </c>
      <c r="F546" s="3">
        <f t="shared" si="34"/>
        <v>870</v>
      </c>
      <c r="G546" s="4">
        <v>38276</v>
      </c>
      <c r="H546" s="3" t="s">
        <v>25</v>
      </c>
      <c r="I546" s="3" t="str">
        <f t="shared" si="32"/>
        <v>Yes</v>
      </c>
      <c r="J546" s="3" t="s">
        <v>685</v>
      </c>
      <c r="K546" s="3">
        <v>2004</v>
      </c>
      <c r="L546" s="3" t="str">
        <f t="shared" si="35"/>
        <v>Oct-2004</v>
      </c>
      <c r="M546" s="3" t="s">
        <v>181</v>
      </c>
      <c r="N546" s="3" t="s">
        <v>174</v>
      </c>
      <c r="O546" s="3" t="s">
        <v>178</v>
      </c>
      <c r="P546" s="3" t="s">
        <v>42</v>
      </c>
      <c r="Q546" s="3" t="s">
        <v>36</v>
      </c>
    </row>
    <row r="547" spans="1:17" x14ac:dyDescent="0.25">
      <c r="A547" s="5">
        <v>10321</v>
      </c>
      <c r="B547" s="5">
        <v>44</v>
      </c>
      <c r="C547" s="5">
        <v>100</v>
      </c>
      <c r="D547" s="5">
        <v>4400</v>
      </c>
      <c r="E547" s="5" t="str">
        <f t="shared" si="33"/>
        <v>Medium</v>
      </c>
      <c r="F547" s="5">
        <f t="shared" si="34"/>
        <v>1320</v>
      </c>
      <c r="G547" s="6">
        <v>38295</v>
      </c>
      <c r="H547" s="5" t="s">
        <v>25</v>
      </c>
      <c r="I547" s="5" t="str">
        <f t="shared" si="32"/>
        <v>Yes</v>
      </c>
      <c r="J547" s="5" t="s">
        <v>686</v>
      </c>
      <c r="K547" s="5">
        <v>2004</v>
      </c>
      <c r="L547" s="5" t="str">
        <f t="shared" si="35"/>
        <v>Nov-2004</v>
      </c>
      <c r="M547" s="5" t="s">
        <v>181</v>
      </c>
      <c r="N547" s="5" t="s">
        <v>160</v>
      </c>
      <c r="O547" s="5" t="s">
        <v>32</v>
      </c>
      <c r="P547" s="5" t="s">
        <v>33</v>
      </c>
      <c r="Q547" s="5" t="s">
        <v>51</v>
      </c>
    </row>
    <row r="548" spans="1:17" x14ac:dyDescent="0.25">
      <c r="A548" s="3">
        <v>10331</v>
      </c>
      <c r="B548" s="3">
        <v>44</v>
      </c>
      <c r="C548" s="3">
        <v>100</v>
      </c>
      <c r="D548" s="3">
        <v>4400</v>
      </c>
      <c r="E548" s="3" t="str">
        <f t="shared" si="33"/>
        <v>Medium</v>
      </c>
      <c r="F548" s="3">
        <f t="shared" si="34"/>
        <v>1320</v>
      </c>
      <c r="G548" s="4">
        <v>38308</v>
      </c>
      <c r="H548" s="3" t="s">
        <v>25</v>
      </c>
      <c r="I548" s="3" t="str">
        <f t="shared" si="32"/>
        <v>Yes</v>
      </c>
      <c r="J548" s="3" t="s">
        <v>686</v>
      </c>
      <c r="K548" s="3">
        <v>2004</v>
      </c>
      <c r="L548" s="3" t="str">
        <f t="shared" si="35"/>
        <v>Nov-2004</v>
      </c>
      <c r="M548" s="3" t="s">
        <v>181</v>
      </c>
      <c r="N548" s="3" t="s">
        <v>309</v>
      </c>
      <c r="O548" s="3" t="s">
        <v>32</v>
      </c>
      <c r="P548" s="3" t="s">
        <v>33</v>
      </c>
      <c r="Q548" s="3" t="s">
        <v>51</v>
      </c>
    </row>
    <row r="549" spans="1:17" x14ac:dyDescent="0.25">
      <c r="A549" s="5">
        <v>10343</v>
      </c>
      <c r="B549" s="5">
        <v>36</v>
      </c>
      <c r="C549" s="5">
        <v>100</v>
      </c>
      <c r="D549" s="5">
        <v>3600</v>
      </c>
      <c r="E549" s="5" t="str">
        <f t="shared" si="33"/>
        <v>Medium</v>
      </c>
      <c r="F549" s="5">
        <f t="shared" si="34"/>
        <v>1080</v>
      </c>
      <c r="G549" s="6">
        <v>38315</v>
      </c>
      <c r="H549" s="5" t="s">
        <v>25</v>
      </c>
      <c r="I549" s="5" t="str">
        <f t="shared" si="32"/>
        <v>Yes</v>
      </c>
      <c r="J549" s="5" t="s">
        <v>686</v>
      </c>
      <c r="K549" s="5">
        <v>2004</v>
      </c>
      <c r="L549" s="5" t="str">
        <f t="shared" si="35"/>
        <v>Nov-2004</v>
      </c>
      <c r="M549" s="5" t="s">
        <v>181</v>
      </c>
      <c r="N549" s="5" t="s">
        <v>37</v>
      </c>
      <c r="O549" s="5" t="s">
        <v>41</v>
      </c>
      <c r="P549" s="5" t="s">
        <v>42</v>
      </c>
      <c r="Q549" s="5" t="s">
        <v>51</v>
      </c>
    </row>
    <row r="550" spans="1:17" x14ac:dyDescent="0.25">
      <c r="A550" s="3">
        <v>10367</v>
      </c>
      <c r="B550" s="3">
        <v>49</v>
      </c>
      <c r="C550" s="3">
        <v>56.3</v>
      </c>
      <c r="D550" s="3">
        <v>2758.7</v>
      </c>
      <c r="E550" s="3" t="str">
        <f t="shared" si="33"/>
        <v>Medium</v>
      </c>
      <c r="F550" s="3">
        <f t="shared" si="34"/>
        <v>827.6099999999999</v>
      </c>
      <c r="G550" s="4">
        <v>38364</v>
      </c>
      <c r="H550" s="3" t="s">
        <v>408</v>
      </c>
      <c r="I550" s="3" t="str">
        <f t="shared" si="32"/>
        <v>No</v>
      </c>
      <c r="J550" s="3" t="s">
        <v>549</v>
      </c>
      <c r="K550" s="3">
        <v>2005</v>
      </c>
      <c r="L550" s="3" t="str">
        <f t="shared" si="35"/>
        <v>Jan-2005</v>
      </c>
      <c r="M550" s="3" t="s">
        <v>181</v>
      </c>
      <c r="N550" s="3" t="s">
        <v>52</v>
      </c>
      <c r="O550" s="3" t="s">
        <v>32</v>
      </c>
      <c r="P550" s="3" t="s">
        <v>33</v>
      </c>
      <c r="Q550" s="3" t="s">
        <v>36</v>
      </c>
    </row>
    <row r="551" spans="1:17" x14ac:dyDescent="0.25">
      <c r="A551" s="5">
        <v>10378</v>
      </c>
      <c r="B551" s="5">
        <v>34</v>
      </c>
      <c r="C551" s="5">
        <v>42.64</v>
      </c>
      <c r="D551" s="5">
        <v>1449.76</v>
      </c>
      <c r="E551" s="5" t="str">
        <f t="shared" si="33"/>
        <v>Low</v>
      </c>
      <c r="F551" s="5">
        <f t="shared" si="34"/>
        <v>434.928</v>
      </c>
      <c r="G551" s="6">
        <v>38393</v>
      </c>
      <c r="H551" s="5" t="s">
        <v>25</v>
      </c>
      <c r="I551" s="5" t="str">
        <f t="shared" si="32"/>
        <v>Yes</v>
      </c>
      <c r="J551" s="5" t="s">
        <v>681</v>
      </c>
      <c r="K551" s="5">
        <v>2005</v>
      </c>
      <c r="L551" s="5" t="str">
        <f t="shared" si="35"/>
        <v>Feb-2005</v>
      </c>
      <c r="M551" s="5" t="s">
        <v>181</v>
      </c>
      <c r="N551" s="5" t="s">
        <v>174</v>
      </c>
      <c r="O551" s="5" t="s">
        <v>178</v>
      </c>
      <c r="P551" s="5" t="s">
        <v>42</v>
      </c>
      <c r="Q551" s="5" t="s">
        <v>36</v>
      </c>
    </row>
    <row r="552" spans="1:17" x14ac:dyDescent="0.25">
      <c r="A552" s="3">
        <v>10407</v>
      </c>
      <c r="B552" s="3">
        <v>59</v>
      </c>
      <c r="C552" s="3">
        <v>100</v>
      </c>
      <c r="D552" s="3">
        <v>5900</v>
      </c>
      <c r="E552" s="3" t="str">
        <f t="shared" si="33"/>
        <v>High</v>
      </c>
      <c r="F552" s="3">
        <f t="shared" si="34"/>
        <v>1770</v>
      </c>
      <c r="G552" s="4">
        <v>38464</v>
      </c>
      <c r="H552" s="3" t="s">
        <v>401</v>
      </c>
      <c r="I552" s="3" t="str">
        <f t="shared" si="32"/>
        <v>No</v>
      </c>
      <c r="J552" s="3" t="s">
        <v>688</v>
      </c>
      <c r="K552" s="3">
        <v>2005</v>
      </c>
      <c r="L552" s="3" t="str">
        <f t="shared" si="35"/>
        <v>Apr-2005</v>
      </c>
      <c r="M552" s="3" t="s">
        <v>181</v>
      </c>
      <c r="N552" s="3" t="s">
        <v>397</v>
      </c>
      <c r="O552" s="3" t="s">
        <v>32</v>
      </c>
      <c r="P552" s="3" t="s">
        <v>33</v>
      </c>
      <c r="Q552" s="3" t="s">
        <v>151</v>
      </c>
    </row>
    <row r="553" spans="1:17" x14ac:dyDescent="0.25">
      <c r="A553" s="5">
        <v>10419</v>
      </c>
      <c r="B553" s="5">
        <v>37</v>
      </c>
      <c r="C553" s="5">
        <v>100</v>
      </c>
      <c r="D553" s="5">
        <v>3700</v>
      </c>
      <c r="E553" s="5" t="str">
        <f t="shared" si="33"/>
        <v>Medium</v>
      </c>
      <c r="F553" s="5">
        <f t="shared" si="34"/>
        <v>1110</v>
      </c>
      <c r="G553" s="6">
        <v>38489</v>
      </c>
      <c r="H553" s="5" t="s">
        <v>25</v>
      </c>
      <c r="I553" s="5" t="str">
        <f t="shared" si="32"/>
        <v>Yes</v>
      </c>
      <c r="J553" s="5" t="s">
        <v>682</v>
      </c>
      <c r="K553" s="5">
        <v>2005</v>
      </c>
      <c r="L553" s="5" t="str">
        <f t="shared" si="35"/>
        <v>May-2005</v>
      </c>
      <c r="M553" s="5" t="s">
        <v>181</v>
      </c>
      <c r="N553" s="5" t="s">
        <v>144</v>
      </c>
      <c r="O553" s="5" t="s">
        <v>148</v>
      </c>
      <c r="P553" s="5" t="s">
        <v>42</v>
      </c>
      <c r="Q553" s="5" t="s">
        <v>51</v>
      </c>
    </row>
    <row r="554" spans="1:17" x14ac:dyDescent="0.25">
      <c r="A554" s="3">
        <v>10106</v>
      </c>
      <c r="B554" s="3">
        <v>36</v>
      </c>
      <c r="C554" s="3">
        <v>100</v>
      </c>
      <c r="D554" s="3">
        <v>3600</v>
      </c>
      <c r="E554" s="3" t="str">
        <f t="shared" si="33"/>
        <v>Medium</v>
      </c>
      <c r="F554" s="3">
        <f t="shared" si="34"/>
        <v>1080</v>
      </c>
      <c r="G554" s="4">
        <v>37669</v>
      </c>
      <c r="H554" s="3" t="s">
        <v>25</v>
      </c>
      <c r="I554" s="3" t="str">
        <f t="shared" si="32"/>
        <v>Yes</v>
      </c>
      <c r="J554" s="3" t="s">
        <v>681</v>
      </c>
      <c r="K554" s="3">
        <v>2003</v>
      </c>
      <c r="L554" s="3" t="str">
        <f t="shared" si="35"/>
        <v>Feb-2003</v>
      </c>
      <c r="M554" s="3" t="s">
        <v>566</v>
      </c>
      <c r="N554" s="3" t="s">
        <v>552</v>
      </c>
      <c r="O554" s="3" t="s">
        <v>258</v>
      </c>
      <c r="P554" s="3" t="s">
        <v>42</v>
      </c>
      <c r="Q554" s="3" t="s">
        <v>51</v>
      </c>
    </row>
    <row r="555" spans="1:17" x14ac:dyDescent="0.25">
      <c r="A555" s="5">
        <v>10119</v>
      </c>
      <c r="B555" s="5">
        <v>43</v>
      </c>
      <c r="C555" s="5">
        <v>100</v>
      </c>
      <c r="D555" s="5">
        <v>4300</v>
      </c>
      <c r="E555" s="5" t="str">
        <f t="shared" si="33"/>
        <v>Medium</v>
      </c>
      <c r="F555" s="5">
        <f t="shared" si="34"/>
        <v>1290</v>
      </c>
      <c r="G555" s="6">
        <v>37739</v>
      </c>
      <c r="H555" s="5" t="s">
        <v>25</v>
      </c>
      <c r="I555" s="5" t="str">
        <f t="shared" si="32"/>
        <v>Yes</v>
      </c>
      <c r="J555" s="5" t="s">
        <v>688</v>
      </c>
      <c r="K555" s="5">
        <v>2003</v>
      </c>
      <c r="L555" s="5" t="str">
        <f t="shared" si="35"/>
        <v>Apr-2003</v>
      </c>
      <c r="M555" s="5" t="s">
        <v>566</v>
      </c>
      <c r="N555" s="5" t="s">
        <v>144</v>
      </c>
      <c r="O555" s="5" t="s">
        <v>148</v>
      </c>
      <c r="P555" s="5" t="s">
        <v>42</v>
      </c>
      <c r="Q555" s="5" t="s">
        <v>51</v>
      </c>
    </row>
    <row r="556" spans="1:17" x14ac:dyDescent="0.25">
      <c r="A556" s="3">
        <v>10131</v>
      </c>
      <c r="B556" s="3">
        <v>21</v>
      </c>
      <c r="C556" s="3">
        <v>100</v>
      </c>
      <c r="D556" s="3">
        <v>2100</v>
      </c>
      <c r="E556" s="3" t="str">
        <f t="shared" si="33"/>
        <v>Medium</v>
      </c>
      <c r="F556" s="3">
        <f t="shared" si="34"/>
        <v>630</v>
      </c>
      <c r="G556" s="4">
        <v>37788</v>
      </c>
      <c r="H556" s="3" t="s">
        <v>25</v>
      </c>
      <c r="I556" s="3" t="str">
        <f t="shared" si="32"/>
        <v>Yes</v>
      </c>
      <c r="J556" s="3" t="s">
        <v>689</v>
      </c>
      <c r="K556" s="3">
        <v>2003</v>
      </c>
      <c r="L556" s="3" t="str">
        <f t="shared" si="35"/>
        <v>Jun-2003</v>
      </c>
      <c r="M556" s="3" t="s">
        <v>566</v>
      </c>
      <c r="N556" s="3" t="s">
        <v>568</v>
      </c>
      <c r="O556" s="3" t="s">
        <v>32</v>
      </c>
      <c r="P556" s="3" t="s">
        <v>33</v>
      </c>
      <c r="Q556" s="3" t="s">
        <v>36</v>
      </c>
    </row>
    <row r="557" spans="1:17" x14ac:dyDescent="0.25">
      <c r="A557" s="5">
        <v>10143</v>
      </c>
      <c r="B557" s="5">
        <v>32</v>
      </c>
      <c r="C557" s="5">
        <v>100</v>
      </c>
      <c r="D557" s="5">
        <v>3200</v>
      </c>
      <c r="E557" s="5" t="str">
        <f t="shared" si="33"/>
        <v>Medium</v>
      </c>
      <c r="F557" s="5">
        <f t="shared" si="34"/>
        <v>960</v>
      </c>
      <c r="G557" s="6">
        <v>37843</v>
      </c>
      <c r="H557" s="5" t="s">
        <v>25</v>
      </c>
      <c r="I557" s="5" t="str">
        <f t="shared" si="32"/>
        <v>Yes</v>
      </c>
      <c r="J557" s="5" t="s">
        <v>684</v>
      </c>
      <c r="K557" s="5">
        <v>2003</v>
      </c>
      <c r="L557" s="5" t="str">
        <f t="shared" si="35"/>
        <v>Aug-2003</v>
      </c>
      <c r="M557" s="5" t="s">
        <v>566</v>
      </c>
      <c r="N557" s="5" t="s">
        <v>335</v>
      </c>
      <c r="O557" s="5" t="s">
        <v>32</v>
      </c>
      <c r="P557" s="5" t="s">
        <v>33</v>
      </c>
      <c r="Q557" s="5" t="s">
        <v>51</v>
      </c>
    </row>
    <row r="558" spans="1:17" x14ac:dyDescent="0.25">
      <c r="A558" s="3">
        <v>10155</v>
      </c>
      <c r="B558" s="3">
        <v>38</v>
      </c>
      <c r="C558" s="3">
        <v>100</v>
      </c>
      <c r="D558" s="3">
        <v>3800</v>
      </c>
      <c r="E558" s="3" t="str">
        <f t="shared" si="33"/>
        <v>Medium</v>
      </c>
      <c r="F558" s="3">
        <f t="shared" si="34"/>
        <v>1140</v>
      </c>
      <c r="G558" s="4">
        <v>37900</v>
      </c>
      <c r="H558" s="3" t="s">
        <v>25</v>
      </c>
      <c r="I558" s="3" t="str">
        <f t="shared" si="32"/>
        <v>Yes</v>
      </c>
      <c r="J558" s="3" t="s">
        <v>685</v>
      </c>
      <c r="K558" s="3">
        <v>2003</v>
      </c>
      <c r="L558" s="3" t="str">
        <f t="shared" si="35"/>
        <v>Oct-2003</v>
      </c>
      <c r="M558" s="3" t="s">
        <v>566</v>
      </c>
      <c r="N558" s="3" t="s">
        <v>126</v>
      </c>
      <c r="O558" s="3" t="s">
        <v>130</v>
      </c>
      <c r="P558" s="3" t="s">
        <v>42</v>
      </c>
      <c r="Q558" s="3" t="s">
        <v>51</v>
      </c>
    </row>
    <row r="559" spans="1:17" x14ac:dyDescent="0.25">
      <c r="A559" s="5">
        <v>10167</v>
      </c>
      <c r="B559" s="5">
        <v>43</v>
      </c>
      <c r="C559" s="5">
        <v>100</v>
      </c>
      <c r="D559" s="5">
        <v>4300</v>
      </c>
      <c r="E559" s="5" t="str">
        <f t="shared" si="33"/>
        <v>Medium</v>
      </c>
      <c r="F559" s="5">
        <f t="shared" si="34"/>
        <v>1290</v>
      </c>
      <c r="G559" s="6">
        <v>37917</v>
      </c>
      <c r="H559" s="5" t="s">
        <v>339</v>
      </c>
      <c r="I559" s="5" t="str">
        <f t="shared" si="32"/>
        <v>No</v>
      </c>
      <c r="J559" s="5" t="s">
        <v>685</v>
      </c>
      <c r="K559" s="5">
        <v>2003</v>
      </c>
      <c r="L559" s="5" t="str">
        <f t="shared" si="35"/>
        <v>Oct-2003</v>
      </c>
      <c r="M559" s="5" t="s">
        <v>566</v>
      </c>
      <c r="N559" s="5" t="s">
        <v>261</v>
      </c>
      <c r="O559" s="5" t="s">
        <v>188</v>
      </c>
      <c r="P559" s="5" t="s">
        <v>42</v>
      </c>
      <c r="Q559" s="5" t="s">
        <v>51</v>
      </c>
    </row>
    <row r="560" spans="1:17" x14ac:dyDescent="0.25">
      <c r="A560" s="3">
        <v>10178</v>
      </c>
      <c r="B560" s="3">
        <v>42</v>
      </c>
      <c r="C560" s="3">
        <v>100</v>
      </c>
      <c r="D560" s="3">
        <v>4200</v>
      </c>
      <c r="E560" s="3" t="str">
        <f t="shared" si="33"/>
        <v>Medium</v>
      </c>
      <c r="F560" s="3">
        <f t="shared" si="34"/>
        <v>1260</v>
      </c>
      <c r="G560" s="4">
        <v>37933</v>
      </c>
      <c r="H560" s="3" t="s">
        <v>25</v>
      </c>
      <c r="I560" s="3" t="str">
        <f t="shared" si="32"/>
        <v>Yes</v>
      </c>
      <c r="J560" s="3" t="s">
        <v>686</v>
      </c>
      <c r="K560" s="3">
        <v>2003</v>
      </c>
      <c r="L560" s="3" t="str">
        <f t="shared" si="35"/>
        <v>Nov-2003</v>
      </c>
      <c r="M560" s="3" t="s">
        <v>566</v>
      </c>
      <c r="N560" s="3" t="s">
        <v>340</v>
      </c>
      <c r="O560" s="3" t="s">
        <v>41</v>
      </c>
      <c r="P560" s="3" t="s">
        <v>42</v>
      </c>
      <c r="Q560" s="3" t="s">
        <v>51</v>
      </c>
    </row>
    <row r="561" spans="1:17" x14ac:dyDescent="0.25">
      <c r="A561" s="5">
        <v>10186</v>
      </c>
      <c r="B561" s="5">
        <v>32</v>
      </c>
      <c r="C561" s="5">
        <v>100</v>
      </c>
      <c r="D561" s="5">
        <v>3200</v>
      </c>
      <c r="E561" s="5" t="str">
        <f t="shared" si="33"/>
        <v>Medium</v>
      </c>
      <c r="F561" s="5">
        <f t="shared" si="34"/>
        <v>960</v>
      </c>
      <c r="G561" s="6">
        <v>37939</v>
      </c>
      <c r="H561" s="5" t="s">
        <v>25</v>
      </c>
      <c r="I561" s="5" t="str">
        <f t="shared" si="32"/>
        <v>Yes</v>
      </c>
      <c r="J561" s="5" t="s">
        <v>686</v>
      </c>
      <c r="K561" s="5">
        <v>2003</v>
      </c>
      <c r="L561" s="5" t="str">
        <f t="shared" si="35"/>
        <v>Nov-2003</v>
      </c>
      <c r="M561" s="5" t="s">
        <v>566</v>
      </c>
      <c r="N561" s="5" t="s">
        <v>346</v>
      </c>
      <c r="O561" s="5" t="s">
        <v>170</v>
      </c>
      <c r="P561" s="5" t="s">
        <v>42</v>
      </c>
      <c r="Q561" s="5" t="s">
        <v>51</v>
      </c>
    </row>
    <row r="562" spans="1:17" x14ac:dyDescent="0.25">
      <c r="A562" s="3">
        <v>10198</v>
      </c>
      <c r="B562" s="3">
        <v>42</v>
      </c>
      <c r="C562" s="3">
        <v>100</v>
      </c>
      <c r="D562" s="3">
        <v>4200</v>
      </c>
      <c r="E562" s="3" t="str">
        <f t="shared" si="33"/>
        <v>Medium</v>
      </c>
      <c r="F562" s="3">
        <f t="shared" si="34"/>
        <v>1260</v>
      </c>
      <c r="G562" s="4">
        <v>37952</v>
      </c>
      <c r="H562" s="3" t="s">
        <v>25</v>
      </c>
      <c r="I562" s="3" t="str">
        <f t="shared" si="32"/>
        <v>Yes</v>
      </c>
      <c r="J562" s="3" t="s">
        <v>686</v>
      </c>
      <c r="K562" s="3">
        <v>2003</v>
      </c>
      <c r="L562" s="3" t="str">
        <f t="shared" si="35"/>
        <v>Nov-2003</v>
      </c>
      <c r="M562" s="3" t="s">
        <v>566</v>
      </c>
      <c r="N562" s="3" t="s">
        <v>425</v>
      </c>
      <c r="O562" s="3" t="s">
        <v>430</v>
      </c>
      <c r="P562" s="3" t="s">
        <v>675</v>
      </c>
      <c r="Q562" s="3" t="s">
        <v>151</v>
      </c>
    </row>
    <row r="563" spans="1:17" x14ac:dyDescent="0.25">
      <c r="A563" s="5">
        <v>10210</v>
      </c>
      <c r="B563" s="5">
        <v>31</v>
      </c>
      <c r="C563" s="5">
        <v>100</v>
      </c>
      <c r="D563" s="5">
        <v>3100</v>
      </c>
      <c r="E563" s="5" t="str">
        <f t="shared" si="33"/>
        <v>Medium</v>
      </c>
      <c r="F563" s="5">
        <f t="shared" si="34"/>
        <v>930</v>
      </c>
      <c r="G563" s="6">
        <v>37998</v>
      </c>
      <c r="H563" s="5" t="s">
        <v>25</v>
      </c>
      <c r="I563" s="5" t="str">
        <f t="shared" si="32"/>
        <v>Yes</v>
      </c>
      <c r="J563" s="5" t="s">
        <v>549</v>
      </c>
      <c r="K563" s="5">
        <v>2004</v>
      </c>
      <c r="L563" s="5" t="str">
        <f t="shared" si="35"/>
        <v>Jan-2004</v>
      </c>
      <c r="M563" s="5" t="s">
        <v>566</v>
      </c>
      <c r="N563" s="5" t="s">
        <v>302</v>
      </c>
      <c r="O563" s="5" t="s">
        <v>200</v>
      </c>
      <c r="P563" s="5" t="s">
        <v>675</v>
      </c>
      <c r="Q563" s="5" t="s">
        <v>51</v>
      </c>
    </row>
    <row r="564" spans="1:17" x14ac:dyDescent="0.25">
      <c r="A564" s="3">
        <v>10222</v>
      </c>
      <c r="B564" s="3">
        <v>49</v>
      </c>
      <c r="C564" s="3">
        <v>100</v>
      </c>
      <c r="D564" s="3">
        <v>4900</v>
      </c>
      <c r="E564" s="3" t="str">
        <f t="shared" si="33"/>
        <v>Medium</v>
      </c>
      <c r="F564" s="3">
        <f t="shared" si="34"/>
        <v>1470</v>
      </c>
      <c r="G564" s="4">
        <v>38036</v>
      </c>
      <c r="H564" s="3" t="s">
        <v>25</v>
      </c>
      <c r="I564" s="3" t="str">
        <f t="shared" si="32"/>
        <v>Yes</v>
      </c>
      <c r="J564" s="3" t="s">
        <v>681</v>
      </c>
      <c r="K564" s="3">
        <v>2004</v>
      </c>
      <c r="L564" s="3" t="str">
        <f t="shared" si="35"/>
        <v>Feb-2004</v>
      </c>
      <c r="M564" s="3" t="s">
        <v>566</v>
      </c>
      <c r="N564" s="3" t="s">
        <v>362</v>
      </c>
      <c r="O564" s="3" t="s">
        <v>32</v>
      </c>
      <c r="P564" s="3" t="s">
        <v>33</v>
      </c>
      <c r="Q564" s="3" t="s">
        <v>51</v>
      </c>
    </row>
    <row r="565" spans="1:17" x14ac:dyDescent="0.25">
      <c r="A565" s="5">
        <v>10250</v>
      </c>
      <c r="B565" s="5">
        <v>45</v>
      </c>
      <c r="C565" s="5">
        <v>100</v>
      </c>
      <c r="D565" s="5">
        <v>4500</v>
      </c>
      <c r="E565" s="5" t="str">
        <f t="shared" si="33"/>
        <v>Medium</v>
      </c>
      <c r="F565" s="5">
        <f t="shared" si="34"/>
        <v>1350</v>
      </c>
      <c r="G565" s="6">
        <v>38118</v>
      </c>
      <c r="H565" s="5" t="s">
        <v>25</v>
      </c>
      <c r="I565" s="5" t="str">
        <f t="shared" si="32"/>
        <v>Yes</v>
      </c>
      <c r="J565" s="5" t="s">
        <v>682</v>
      </c>
      <c r="K565" s="5">
        <v>2004</v>
      </c>
      <c r="L565" s="5" t="str">
        <f t="shared" si="35"/>
        <v>May-2004</v>
      </c>
      <c r="M565" s="5" t="s">
        <v>566</v>
      </c>
      <c r="N565" s="5" t="s">
        <v>397</v>
      </c>
      <c r="O565" s="5" t="s">
        <v>32</v>
      </c>
      <c r="P565" s="5" t="s">
        <v>33</v>
      </c>
      <c r="Q565" s="5" t="s">
        <v>151</v>
      </c>
    </row>
    <row r="566" spans="1:17" x14ac:dyDescent="0.25">
      <c r="A566" s="3">
        <v>10262</v>
      </c>
      <c r="B566" s="3">
        <v>49</v>
      </c>
      <c r="C566" s="3">
        <v>100</v>
      </c>
      <c r="D566" s="3">
        <v>4900</v>
      </c>
      <c r="E566" s="3" t="str">
        <f t="shared" si="33"/>
        <v>Medium</v>
      </c>
      <c r="F566" s="3">
        <f t="shared" si="34"/>
        <v>1470</v>
      </c>
      <c r="G566" s="4">
        <v>38162</v>
      </c>
      <c r="H566" s="3" t="s">
        <v>339</v>
      </c>
      <c r="I566" s="3" t="str">
        <f t="shared" si="32"/>
        <v>No</v>
      </c>
      <c r="J566" s="3" t="s">
        <v>689</v>
      </c>
      <c r="K566" s="3">
        <v>2004</v>
      </c>
      <c r="L566" s="3" t="str">
        <f t="shared" si="35"/>
        <v>Jun-2004</v>
      </c>
      <c r="M566" s="3" t="s">
        <v>566</v>
      </c>
      <c r="N566" s="3" t="s">
        <v>174</v>
      </c>
      <c r="O566" s="3" t="s">
        <v>178</v>
      </c>
      <c r="P566" s="3" t="s">
        <v>42</v>
      </c>
      <c r="Q566" s="3" t="s">
        <v>51</v>
      </c>
    </row>
    <row r="567" spans="1:17" x14ac:dyDescent="0.25">
      <c r="A567" s="5">
        <v>10274</v>
      </c>
      <c r="B567" s="5">
        <v>41</v>
      </c>
      <c r="C567" s="5">
        <v>100</v>
      </c>
      <c r="D567" s="5">
        <v>4100</v>
      </c>
      <c r="E567" s="5" t="str">
        <f t="shared" si="33"/>
        <v>Medium</v>
      </c>
      <c r="F567" s="5">
        <f t="shared" si="34"/>
        <v>1230</v>
      </c>
      <c r="G567" s="6">
        <v>38189</v>
      </c>
      <c r="H567" s="5" t="s">
        <v>25</v>
      </c>
      <c r="I567" s="5" t="str">
        <f t="shared" si="32"/>
        <v>Yes</v>
      </c>
      <c r="J567" s="5" t="s">
        <v>683</v>
      </c>
      <c r="K567" s="5">
        <v>2004</v>
      </c>
      <c r="L567" s="5" t="str">
        <f t="shared" si="35"/>
        <v>Jul-2004</v>
      </c>
      <c r="M567" s="5" t="s">
        <v>566</v>
      </c>
      <c r="N567" s="5" t="s">
        <v>281</v>
      </c>
      <c r="O567" s="5" t="s">
        <v>32</v>
      </c>
      <c r="P567" s="5" t="s">
        <v>33</v>
      </c>
      <c r="Q567" s="5" t="s">
        <v>51</v>
      </c>
    </row>
    <row r="568" spans="1:17" x14ac:dyDescent="0.25">
      <c r="A568" s="3">
        <v>10284</v>
      </c>
      <c r="B568" s="3">
        <v>45</v>
      </c>
      <c r="C568" s="3">
        <v>100</v>
      </c>
      <c r="D568" s="3">
        <v>4500</v>
      </c>
      <c r="E568" s="3" t="str">
        <f t="shared" si="33"/>
        <v>Medium</v>
      </c>
      <c r="F568" s="3">
        <f t="shared" si="34"/>
        <v>1350</v>
      </c>
      <c r="G568" s="4">
        <v>38220</v>
      </c>
      <c r="H568" s="3" t="s">
        <v>25</v>
      </c>
      <c r="I568" s="3" t="str">
        <f t="shared" si="32"/>
        <v>Yes</v>
      </c>
      <c r="J568" s="3" t="s">
        <v>684</v>
      </c>
      <c r="K568" s="3">
        <v>2004</v>
      </c>
      <c r="L568" s="3" t="str">
        <f t="shared" si="35"/>
        <v>Aug-2004</v>
      </c>
      <c r="M568" s="3" t="s">
        <v>566</v>
      </c>
      <c r="N568" s="3" t="s">
        <v>543</v>
      </c>
      <c r="O568" s="3" t="s">
        <v>78</v>
      </c>
      <c r="P568" s="3" t="s">
        <v>42</v>
      </c>
      <c r="Q568" s="3" t="s">
        <v>51</v>
      </c>
    </row>
    <row r="569" spans="1:17" x14ac:dyDescent="0.25">
      <c r="A569" s="5">
        <v>10296</v>
      </c>
      <c r="B569" s="5">
        <v>36</v>
      </c>
      <c r="C569" s="5">
        <v>100</v>
      </c>
      <c r="D569" s="5">
        <v>3600</v>
      </c>
      <c r="E569" s="5" t="str">
        <f t="shared" si="33"/>
        <v>Medium</v>
      </c>
      <c r="F569" s="5">
        <f t="shared" si="34"/>
        <v>1080</v>
      </c>
      <c r="G569" s="6">
        <v>38245</v>
      </c>
      <c r="H569" s="5" t="s">
        <v>25</v>
      </c>
      <c r="I569" s="5" t="str">
        <f t="shared" si="32"/>
        <v>Yes</v>
      </c>
      <c r="J569" s="5" t="s">
        <v>690</v>
      </c>
      <c r="K569" s="5">
        <v>2004</v>
      </c>
      <c r="L569" s="5" t="str">
        <f t="shared" si="35"/>
        <v>Sep-2004</v>
      </c>
      <c r="M569" s="5" t="s">
        <v>566</v>
      </c>
      <c r="N569" s="5" t="s">
        <v>572</v>
      </c>
      <c r="O569" s="5" t="s">
        <v>443</v>
      </c>
      <c r="P569" s="5" t="s">
        <v>42</v>
      </c>
      <c r="Q569" s="5" t="s">
        <v>51</v>
      </c>
    </row>
    <row r="570" spans="1:17" x14ac:dyDescent="0.25">
      <c r="A570" s="3">
        <v>10307</v>
      </c>
      <c r="B570" s="3">
        <v>39</v>
      </c>
      <c r="C570" s="3">
        <v>100</v>
      </c>
      <c r="D570" s="3">
        <v>3900</v>
      </c>
      <c r="E570" s="3" t="str">
        <f t="shared" si="33"/>
        <v>Medium</v>
      </c>
      <c r="F570" s="3">
        <f t="shared" si="34"/>
        <v>1170</v>
      </c>
      <c r="G570" s="4">
        <v>38274</v>
      </c>
      <c r="H570" s="3" t="s">
        <v>25</v>
      </c>
      <c r="I570" s="3" t="str">
        <f t="shared" si="32"/>
        <v>Yes</v>
      </c>
      <c r="J570" s="3" t="s">
        <v>685</v>
      </c>
      <c r="K570" s="3">
        <v>2004</v>
      </c>
      <c r="L570" s="3" t="str">
        <f t="shared" si="35"/>
        <v>Oct-2004</v>
      </c>
      <c r="M570" s="3" t="s">
        <v>566</v>
      </c>
      <c r="N570" s="3" t="s">
        <v>214</v>
      </c>
      <c r="O570" s="3" t="s">
        <v>32</v>
      </c>
      <c r="P570" s="3" t="s">
        <v>33</v>
      </c>
      <c r="Q570" s="3" t="s">
        <v>151</v>
      </c>
    </row>
    <row r="571" spans="1:17" x14ac:dyDescent="0.25">
      <c r="A571" s="5">
        <v>10316</v>
      </c>
      <c r="B571" s="5">
        <v>27</v>
      </c>
      <c r="C571" s="5">
        <v>100</v>
      </c>
      <c r="D571" s="5">
        <v>2700</v>
      </c>
      <c r="E571" s="5" t="str">
        <f t="shared" si="33"/>
        <v>Medium</v>
      </c>
      <c r="F571" s="5">
        <f t="shared" si="34"/>
        <v>810</v>
      </c>
      <c r="G571" s="6">
        <v>38292</v>
      </c>
      <c r="H571" s="5" t="s">
        <v>25</v>
      </c>
      <c r="I571" s="5" t="str">
        <f t="shared" si="32"/>
        <v>Yes</v>
      </c>
      <c r="J571" s="5" t="s">
        <v>686</v>
      </c>
      <c r="K571" s="5">
        <v>2004</v>
      </c>
      <c r="L571" s="5" t="str">
        <f t="shared" si="35"/>
        <v>Nov-2004</v>
      </c>
      <c r="M571" s="5" t="s">
        <v>566</v>
      </c>
      <c r="N571" s="5" t="s">
        <v>383</v>
      </c>
      <c r="O571" s="5" t="s">
        <v>170</v>
      </c>
      <c r="P571" s="5" t="s">
        <v>42</v>
      </c>
      <c r="Q571" s="5" t="s">
        <v>51</v>
      </c>
    </row>
    <row r="572" spans="1:17" x14ac:dyDescent="0.25">
      <c r="A572" s="3">
        <v>10327</v>
      </c>
      <c r="B572" s="3">
        <v>25</v>
      </c>
      <c r="C572" s="3">
        <v>100</v>
      </c>
      <c r="D572" s="3">
        <v>2500</v>
      </c>
      <c r="E572" s="3" t="str">
        <f t="shared" si="33"/>
        <v>Medium</v>
      </c>
      <c r="F572" s="3">
        <f t="shared" si="34"/>
        <v>750</v>
      </c>
      <c r="G572" s="4">
        <v>38301</v>
      </c>
      <c r="H572" s="3" t="s">
        <v>408</v>
      </c>
      <c r="I572" s="3" t="str">
        <f t="shared" si="32"/>
        <v>No</v>
      </c>
      <c r="J572" s="3" t="s">
        <v>686</v>
      </c>
      <c r="K572" s="3">
        <v>2004</v>
      </c>
      <c r="L572" s="3" t="str">
        <f t="shared" si="35"/>
        <v>Nov-2004</v>
      </c>
      <c r="M572" s="3" t="s">
        <v>566</v>
      </c>
      <c r="N572" s="3" t="s">
        <v>322</v>
      </c>
      <c r="O572" s="3" t="s">
        <v>326</v>
      </c>
      <c r="P572" s="3" t="s">
        <v>42</v>
      </c>
      <c r="Q572" s="3" t="s">
        <v>36</v>
      </c>
    </row>
    <row r="573" spans="1:17" x14ac:dyDescent="0.25">
      <c r="A573" s="5">
        <v>10338</v>
      </c>
      <c r="B573" s="5">
        <v>41</v>
      </c>
      <c r="C573" s="5">
        <v>100</v>
      </c>
      <c r="D573" s="5">
        <v>4100</v>
      </c>
      <c r="E573" s="5" t="str">
        <f t="shared" si="33"/>
        <v>Medium</v>
      </c>
      <c r="F573" s="5">
        <f t="shared" si="34"/>
        <v>1230</v>
      </c>
      <c r="G573" s="6">
        <v>38313</v>
      </c>
      <c r="H573" s="5" t="s">
        <v>25</v>
      </c>
      <c r="I573" s="5" t="str">
        <f t="shared" si="32"/>
        <v>Yes</v>
      </c>
      <c r="J573" s="5" t="s">
        <v>686</v>
      </c>
      <c r="K573" s="5">
        <v>2004</v>
      </c>
      <c r="L573" s="5" t="str">
        <f t="shared" si="35"/>
        <v>Nov-2004</v>
      </c>
      <c r="M573" s="5" t="s">
        <v>566</v>
      </c>
      <c r="N573" s="5" t="s">
        <v>577</v>
      </c>
      <c r="O573" s="5" t="s">
        <v>370</v>
      </c>
      <c r="P573" s="5" t="s">
        <v>42</v>
      </c>
      <c r="Q573" s="5" t="s">
        <v>51</v>
      </c>
    </row>
    <row r="574" spans="1:17" x14ac:dyDescent="0.25">
      <c r="A574" s="3">
        <v>10351</v>
      </c>
      <c r="B574" s="3">
        <v>39</v>
      </c>
      <c r="C574" s="3">
        <v>99.52</v>
      </c>
      <c r="D574" s="3">
        <v>3881.2799999999997</v>
      </c>
      <c r="E574" s="3" t="str">
        <f t="shared" si="33"/>
        <v>Medium</v>
      </c>
      <c r="F574" s="3">
        <f t="shared" si="34"/>
        <v>1164.3839999999998</v>
      </c>
      <c r="G574" s="4">
        <v>38324</v>
      </c>
      <c r="H574" s="3" t="s">
        <v>25</v>
      </c>
      <c r="I574" s="3" t="str">
        <f t="shared" si="32"/>
        <v>Yes</v>
      </c>
      <c r="J574" s="3" t="s">
        <v>687</v>
      </c>
      <c r="K574" s="3">
        <v>2004</v>
      </c>
      <c r="L574" s="3" t="str">
        <f t="shared" si="35"/>
        <v>Dec-2004</v>
      </c>
      <c r="M574" s="3" t="s">
        <v>566</v>
      </c>
      <c r="N574" s="3" t="s">
        <v>329</v>
      </c>
      <c r="O574" s="3" t="s">
        <v>170</v>
      </c>
      <c r="P574" s="3" t="s">
        <v>42</v>
      </c>
      <c r="Q574" s="3" t="s">
        <v>51</v>
      </c>
    </row>
    <row r="575" spans="1:17" x14ac:dyDescent="0.25">
      <c r="A575" s="5">
        <v>10373</v>
      </c>
      <c r="B575" s="5">
        <v>28</v>
      </c>
      <c r="C575" s="5">
        <v>57.55</v>
      </c>
      <c r="D575" s="5">
        <v>1611.3999999999999</v>
      </c>
      <c r="E575" s="5" t="str">
        <f t="shared" si="33"/>
        <v>Low</v>
      </c>
      <c r="F575" s="5">
        <f t="shared" si="34"/>
        <v>483.41999999999996</v>
      </c>
      <c r="G575" s="6">
        <v>38383</v>
      </c>
      <c r="H575" s="5" t="s">
        <v>25</v>
      </c>
      <c r="I575" s="5" t="str">
        <f t="shared" si="32"/>
        <v>Yes</v>
      </c>
      <c r="J575" s="5" t="s">
        <v>549</v>
      </c>
      <c r="K575" s="5">
        <v>2005</v>
      </c>
      <c r="L575" s="5" t="str">
        <f t="shared" si="35"/>
        <v>Jan-2005</v>
      </c>
      <c r="M575" s="5" t="s">
        <v>566</v>
      </c>
      <c r="N575" s="5" t="s">
        <v>391</v>
      </c>
      <c r="O575" s="5" t="s">
        <v>130</v>
      </c>
      <c r="P575" s="5" t="s">
        <v>42</v>
      </c>
      <c r="Q575" s="5" t="s">
        <v>36</v>
      </c>
    </row>
    <row r="576" spans="1:17" x14ac:dyDescent="0.25">
      <c r="A576" s="3">
        <v>10386</v>
      </c>
      <c r="B576" s="3">
        <v>25</v>
      </c>
      <c r="C576" s="3">
        <v>54.57</v>
      </c>
      <c r="D576" s="3">
        <v>1364.25</v>
      </c>
      <c r="E576" s="3" t="str">
        <f t="shared" si="33"/>
        <v>Low</v>
      </c>
      <c r="F576" s="3">
        <f t="shared" si="34"/>
        <v>409.27499999999998</v>
      </c>
      <c r="G576" s="4">
        <v>38412</v>
      </c>
      <c r="H576" s="3" t="s">
        <v>408</v>
      </c>
      <c r="I576" s="3" t="str">
        <f t="shared" si="32"/>
        <v>No</v>
      </c>
      <c r="J576" s="3" t="s">
        <v>691</v>
      </c>
      <c r="K576" s="3">
        <v>2005</v>
      </c>
      <c r="L576" s="3" t="str">
        <f t="shared" si="35"/>
        <v>Mar-2005</v>
      </c>
      <c r="M576" s="3" t="s">
        <v>566</v>
      </c>
      <c r="N576" s="3" t="s">
        <v>174</v>
      </c>
      <c r="O576" s="3" t="s">
        <v>178</v>
      </c>
      <c r="P576" s="3" t="s">
        <v>42</v>
      </c>
      <c r="Q576" s="3" t="s">
        <v>36</v>
      </c>
    </row>
    <row r="577" spans="1:17" x14ac:dyDescent="0.25">
      <c r="A577" s="5">
        <v>10398</v>
      </c>
      <c r="B577" s="5">
        <v>33</v>
      </c>
      <c r="C577" s="5">
        <v>100</v>
      </c>
      <c r="D577" s="5">
        <v>3300</v>
      </c>
      <c r="E577" s="5" t="str">
        <f t="shared" si="33"/>
        <v>Medium</v>
      </c>
      <c r="F577" s="5">
        <f t="shared" si="34"/>
        <v>990</v>
      </c>
      <c r="G577" s="6">
        <v>38441</v>
      </c>
      <c r="H577" s="5" t="s">
        <v>25</v>
      </c>
      <c r="I577" s="5" t="str">
        <f t="shared" si="32"/>
        <v>Yes</v>
      </c>
      <c r="J577" s="5" t="s">
        <v>691</v>
      </c>
      <c r="K577" s="5">
        <v>2005</v>
      </c>
      <c r="L577" s="5" t="str">
        <f t="shared" si="35"/>
        <v>Mar-2005</v>
      </c>
      <c r="M577" s="5" t="s">
        <v>566</v>
      </c>
      <c r="N577" s="5" t="s">
        <v>37</v>
      </c>
      <c r="O577" s="5" t="s">
        <v>41</v>
      </c>
      <c r="P577" s="5" t="s">
        <v>42</v>
      </c>
      <c r="Q577" s="5" t="s">
        <v>51</v>
      </c>
    </row>
    <row r="578" spans="1:17" x14ac:dyDescent="0.25">
      <c r="A578" s="3">
        <v>10400</v>
      </c>
      <c r="B578" s="3">
        <v>34</v>
      </c>
      <c r="C578" s="3">
        <v>100</v>
      </c>
      <c r="D578" s="3">
        <v>3400</v>
      </c>
      <c r="E578" s="3" t="str">
        <f t="shared" si="33"/>
        <v>Medium</v>
      </c>
      <c r="F578" s="3">
        <f t="shared" si="34"/>
        <v>1020</v>
      </c>
      <c r="G578" s="4">
        <v>38443</v>
      </c>
      <c r="H578" s="3" t="s">
        <v>25</v>
      </c>
      <c r="I578" s="3" t="str">
        <f t="shared" ref="I578:I641" si="36">IF(H578="Shipped","Yes","No")</f>
        <v>Yes</v>
      </c>
      <c r="J578" s="3" t="s">
        <v>688</v>
      </c>
      <c r="K578" s="3">
        <v>2005</v>
      </c>
      <c r="L578" s="3" t="str">
        <f t="shared" si="35"/>
        <v>Apr-2005</v>
      </c>
      <c r="M578" s="3" t="s">
        <v>566</v>
      </c>
      <c r="N578" s="3" t="s">
        <v>397</v>
      </c>
      <c r="O578" s="3" t="s">
        <v>32</v>
      </c>
      <c r="P578" s="3" t="s">
        <v>33</v>
      </c>
      <c r="Q578" s="3" t="s">
        <v>51</v>
      </c>
    </row>
    <row r="579" spans="1:17" x14ac:dyDescent="0.25">
      <c r="A579" s="5">
        <v>10416</v>
      </c>
      <c r="B579" s="5">
        <v>24</v>
      </c>
      <c r="C579" s="5">
        <v>100</v>
      </c>
      <c r="D579" s="5">
        <v>2400</v>
      </c>
      <c r="E579" s="5" t="str">
        <f t="shared" ref="E579:E642" si="37">IF(D579&gt;=5000,"High",IF(D579&gt;=2000,"Medium","Low"))</f>
        <v>Medium</v>
      </c>
      <c r="F579" s="5">
        <f t="shared" ref="F579:F642" si="38">(D579*0.3)</f>
        <v>720</v>
      </c>
      <c r="G579" s="6">
        <v>38482</v>
      </c>
      <c r="H579" s="5" t="s">
        <v>25</v>
      </c>
      <c r="I579" s="5" t="str">
        <f t="shared" si="36"/>
        <v>Yes</v>
      </c>
      <c r="J579" s="5" t="s">
        <v>682</v>
      </c>
      <c r="K579" s="5">
        <v>2005</v>
      </c>
      <c r="L579" s="5" t="str">
        <f t="shared" ref="L579:L642" si="39">TEXT(G:G,"MMM-YYYY")</f>
        <v>May-2005</v>
      </c>
      <c r="M579" s="5" t="s">
        <v>566</v>
      </c>
      <c r="N579" s="5" t="s">
        <v>452</v>
      </c>
      <c r="O579" s="5" t="s">
        <v>258</v>
      </c>
      <c r="P579" s="5" t="s">
        <v>42</v>
      </c>
      <c r="Q579" s="5" t="s">
        <v>51</v>
      </c>
    </row>
    <row r="580" spans="1:17" x14ac:dyDescent="0.25">
      <c r="A580" s="3">
        <v>10100</v>
      </c>
      <c r="B580" s="3">
        <v>30</v>
      </c>
      <c r="C580" s="3">
        <v>100</v>
      </c>
      <c r="D580" s="3">
        <v>3000</v>
      </c>
      <c r="E580" s="3" t="str">
        <f t="shared" si="37"/>
        <v>Medium</v>
      </c>
      <c r="F580" s="3">
        <f t="shared" si="38"/>
        <v>900</v>
      </c>
      <c r="G580" s="4">
        <v>37627</v>
      </c>
      <c r="H580" s="3" t="s">
        <v>25</v>
      </c>
      <c r="I580" s="3" t="str">
        <f t="shared" si="36"/>
        <v>Yes</v>
      </c>
      <c r="J580" s="3" t="s">
        <v>549</v>
      </c>
      <c r="K580" s="3">
        <v>2003</v>
      </c>
      <c r="L580" s="3" t="str">
        <f t="shared" si="39"/>
        <v>Jan-2003</v>
      </c>
      <c r="M580" s="3" t="s">
        <v>550</v>
      </c>
      <c r="N580" s="3" t="s">
        <v>277</v>
      </c>
      <c r="O580" s="3" t="s">
        <v>32</v>
      </c>
      <c r="P580" s="3" t="s">
        <v>33</v>
      </c>
      <c r="Q580" s="3" t="s">
        <v>51</v>
      </c>
    </row>
    <row r="581" spans="1:17" x14ac:dyDescent="0.25">
      <c r="A581" s="5">
        <v>10110</v>
      </c>
      <c r="B581" s="5">
        <v>42</v>
      </c>
      <c r="C581" s="5">
        <v>100</v>
      </c>
      <c r="D581" s="5">
        <v>4200</v>
      </c>
      <c r="E581" s="5" t="str">
        <f t="shared" si="37"/>
        <v>Medium</v>
      </c>
      <c r="F581" s="5">
        <f t="shared" si="38"/>
        <v>1260</v>
      </c>
      <c r="G581" s="6">
        <v>37698</v>
      </c>
      <c r="H581" s="5" t="s">
        <v>25</v>
      </c>
      <c r="I581" s="5" t="str">
        <f t="shared" si="36"/>
        <v>Yes</v>
      </c>
      <c r="J581" s="5" t="s">
        <v>691</v>
      </c>
      <c r="K581" s="5">
        <v>2003</v>
      </c>
      <c r="L581" s="5" t="str">
        <f t="shared" si="39"/>
        <v>Mar-2003</v>
      </c>
      <c r="M581" s="5" t="s">
        <v>550</v>
      </c>
      <c r="N581" s="5" t="s">
        <v>492</v>
      </c>
      <c r="O581" s="5" t="s">
        <v>170</v>
      </c>
      <c r="P581" s="5" t="s">
        <v>42</v>
      </c>
      <c r="Q581" s="5" t="s">
        <v>51</v>
      </c>
    </row>
    <row r="582" spans="1:17" x14ac:dyDescent="0.25">
      <c r="A582" s="3">
        <v>10124</v>
      </c>
      <c r="B582" s="3">
        <v>21</v>
      </c>
      <c r="C582" s="3">
        <v>100</v>
      </c>
      <c r="D582" s="3">
        <v>2100</v>
      </c>
      <c r="E582" s="3" t="str">
        <f t="shared" si="37"/>
        <v>Medium</v>
      </c>
      <c r="F582" s="3">
        <f t="shared" si="38"/>
        <v>630</v>
      </c>
      <c r="G582" s="4">
        <v>37762</v>
      </c>
      <c r="H582" s="3" t="s">
        <v>25</v>
      </c>
      <c r="I582" s="3" t="str">
        <f t="shared" si="36"/>
        <v>Yes</v>
      </c>
      <c r="J582" s="3" t="s">
        <v>682</v>
      </c>
      <c r="K582" s="3">
        <v>2003</v>
      </c>
      <c r="L582" s="3" t="str">
        <f t="shared" si="39"/>
        <v>May-2003</v>
      </c>
      <c r="M582" s="3" t="s">
        <v>550</v>
      </c>
      <c r="N582" s="3" t="s">
        <v>539</v>
      </c>
      <c r="O582" s="3" t="s">
        <v>32</v>
      </c>
      <c r="P582" s="3" t="s">
        <v>33</v>
      </c>
      <c r="Q582" s="3" t="s">
        <v>36</v>
      </c>
    </row>
    <row r="583" spans="1:17" x14ac:dyDescent="0.25">
      <c r="A583" s="5">
        <v>10149</v>
      </c>
      <c r="B583" s="5">
        <v>34</v>
      </c>
      <c r="C583" s="5">
        <v>100</v>
      </c>
      <c r="D583" s="5">
        <v>3400</v>
      </c>
      <c r="E583" s="5" t="str">
        <f t="shared" si="37"/>
        <v>Medium</v>
      </c>
      <c r="F583" s="5">
        <f t="shared" si="38"/>
        <v>1020</v>
      </c>
      <c r="G583" s="6">
        <v>37876</v>
      </c>
      <c r="H583" s="5" t="s">
        <v>25</v>
      </c>
      <c r="I583" s="5" t="str">
        <f t="shared" si="36"/>
        <v>Yes</v>
      </c>
      <c r="J583" s="5" t="s">
        <v>690</v>
      </c>
      <c r="K583" s="5">
        <v>2003</v>
      </c>
      <c r="L583" s="5" t="str">
        <f t="shared" si="39"/>
        <v>Sep-2003</v>
      </c>
      <c r="M583" s="5" t="s">
        <v>550</v>
      </c>
      <c r="N583" s="5" t="s">
        <v>526</v>
      </c>
      <c r="O583" s="5" t="s">
        <v>32</v>
      </c>
      <c r="P583" s="5" t="s">
        <v>33</v>
      </c>
      <c r="Q583" s="5" t="s">
        <v>51</v>
      </c>
    </row>
    <row r="584" spans="1:17" x14ac:dyDescent="0.25">
      <c r="A584" s="3">
        <v>10162</v>
      </c>
      <c r="B584" s="3">
        <v>29</v>
      </c>
      <c r="C584" s="3">
        <v>100</v>
      </c>
      <c r="D584" s="3">
        <v>2900</v>
      </c>
      <c r="E584" s="3" t="str">
        <f t="shared" si="37"/>
        <v>Medium</v>
      </c>
      <c r="F584" s="3">
        <f t="shared" si="38"/>
        <v>870</v>
      </c>
      <c r="G584" s="4">
        <v>37912</v>
      </c>
      <c r="H584" s="3" t="s">
        <v>25</v>
      </c>
      <c r="I584" s="3" t="str">
        <f t="shared" si="36"/>
        <v>Yes</v>
      </c>
      <c r="J584" s="3" t="s">
        <v>685</v>
      </c>
      <c r="K584" s="3">
        <v>2003</v>
      </c>
      <c r="L584" s="3" t="str">
        <f t="shared" si="39"/>
        <v>Oct-2003</v>
      </c>
      <c r="M584" s="3" t="s">
        <v>550</v>
      </c>
      <c r="N584" s="3" t="s">
        <v>58</v>
      </c>
      <c r="O584" s="3" t="s">
        <v>32</v>
      </c>
      <c r="P584" s="3" t="s">
        <v>33</v>
      </c>
      <c r="Q584" s="3" t="s">
        <v>51</v>
      </c>
    </row>
    <row r="585" spans="1:17" x14ac:dyDescent="0.25">
      <c r="A585" s="5">
        <v>10173</v>
      </c>
      <c r="B585" s="5">
        <v>24</v>
      </c>
      <c r="C585" s="5">
        <v>100</v>
      </c>
      <c r="D585" s="5">
        <v>2400</v>
      </c>
      <c r="E585" s="5" t="str">
        <f t="shared" si="37"/>
        <v>Medium</v>
      </c>
      <c r="F585" s="5">
        <f t="shared" si="38"/>
        <v>720</v>
      </c>
      <c r="G585" s="6">
        <v>37930</v>
      </c>
      <c r="H585" s="5" t="s">
        <v>25</v>
      </c>
      <c r="I585" s="5" t="str">
        <f t="shared" si="36"/>
        <v>Yes</v>
      </c>
      <c r="J585" s="5" t="s">
        <v>686</v>
      </c>
      <c r="K585" s="5">
        <v>2003</v>
      </c>
      <c r="L585" s="5" t="str">
        <f t="shared" si="39"/>
        <v>Nov-2003</v>
      </c>
      <c r="M585" s="5" t="s">
        <v>550</v>
      </c>
      <c r="N585" s="5" t="s">
        <v>552</v>
      </c>
      <c r="O585" s="5" t="s">
        <v>258</v>
      </c>
      <c r="P585" s="5" t="s">
        <v>42</v>
      </c>
      <c r="Q585" s="5" t="s">
        <v>51</v>
      </c>
    </row>
    <row r="586" spans="1:17" x14ac:dyDescent="0.25">
      <c r="A586" s="3">
        <v>10182</v>
      </c>
      <c r="B586" s="3">
        <v>44</v>
      </c>
      <c r="C586" s="3">
        <v>100</v>
      </c>
      <c r="D586" s="3">
        <v>4400</v>
      </c>
      <c r="E586" s="3" t="str">
        <f t="shared" si="37"/>
        <v>Medium</v>
      </c>
      <c r="F586" s="3">
        <f t="shared" si="38"/>
        <v>1320</v>
      </c>
      <c r="G586" s="4">
        <v>37937</v>
      </c>
      <c r="H586" s="3" t="s">
        <v>25</v>
      </c>
      <c r="I586" s="3" t="str">
        <f t="shared" si="36"/>
        <v>Yes</v>
      </c>
      <c r="J586" s="3" t="s">
        <v>686</v>
      </c>
      <c r="K586" s="3">
        <v>2003</v>
      </c>
      <c r="L586" s="3" t="str">
        <f t="shared" si="39"/>
        <v>Nov-2003</v>
      </c>
      <c r="M586" s="3" t="s">
        <v>550</v>
      </c>
      <c r="N586" s="3" t="s">
        <v>272</v>
      </c>
      <c r="O586" s="3" t="s">
        <v>32</v>
      </c>
      <c r="P586" s="3" t="s">
        <v>33</v>
      </c>
      <c r="Q586" s="3" t="s">
        <v>151</v>
      </c>
    </row>
    <row r="587" spans="1:17" x14ac:dyDescent="0.25">
      <c r="A587" s="5">
        <v>10193</v>
      </c>
      <c r="B587" s="5">
        <v>21</v>
      </c>
      <c r="C587" s="5">
        <v>100</v>
      </c>
      <c r="D587" s="5">
        <v>2100</v>
      </c>
      <c r="E587" s="5" t="str">
        <f t="shared" si="37"/>
        <v>Medium</v>
      </c>
      <c r="F587" s="5">
        <f t="shared" si="38"/>
        <v>630</v>
      </c>
      <c r="G587" s="6">
        <v>37946</v>
      </c>
      <c r="H587" s="5" t="s">
        <v>25</v>
      </c>
      <c r="I587" s="5" t="str">
        <f t="shared" si="36"/>
        <v>Yes</v>
      </c>
      <c r="J587" s="5" t="s">
        <v>686</v>
      </c>
      <c r="K587" s="5">
        <v>2003</v>
      </c>
      <c r="L587" s="5" t="str">
        <f t="shared" si="39"/>
        <v>Nov-2003</v>
      </c>
      <c r="M587" s="5" t="s">
        <v>550</v>
      </c>
      <c r="N587" s="5" t="s">
        <v>558</v>
      </c>
      <c r="O587" s="5" t="s">
        <v>95</v>
      </c>
      <c r="P587" s="5" t="s">
        <v>96</v>
      </c>
      <c r="Q587" s="5" t="s">
        <v>51</v>
      </c>
    </row>
    <row r="588" spans="1:17" x14ac:dyDescent="0.25">
      <c r="A588" s="3">
        <v>10204</v>
      </c>
      <c r="B588" s="3">
        <v>33</v>
      </c>
      <c r="C588" s="3">
        <v>100</v>
      </c>
      <c r="D588" s="3">
        <v>3300</v>
      </c>
      <c r="E588" s="3" t="str">
        <f t="shared" si="37"/>
        <v>Medium</v>
      </c>
      <c r="F588" s="3">
        <f t="shared" si="38"/>
        <v>990</v>
      </c>
      <c r="G588" s="4">
        <v>37957</v>
      </c>
      <c r="H588" s="3" t="s">
        <v>25</v>
      </c>
      <c r="I588" s="3" t="str">
        <f t="shared" si="36"/>
        <v>Yes</v>
      </c>
      <c r="J588" s="3" t="s">
        <v>687</v>
      </c>
      <c r="K588" s="3">
        <v>2003</v>
      </c>
      <c r="L588" s="3" t="str">
        <f t="shared" si="39"/>
        <v>Dec-2003</v>
      </c>
      <c r="M588" s="3" t="s">
        <v>550</v>
      </c>
      <c r="N588" s="3" t="s">
        <v>475</v>
      </c>
      <c r="O588" s="3" t="s">
        <v>32</v>
      </c>
      <c r="P588" s="3" t="s">
        <v>33</v>
      </c>
      <c r="Q588" s="3" t="s">
        <v>51</v>
      </c>
    </row>
    <row r="589" spans="1:17" x14ac:dyDescent="0.25">
      <c r="A589" s="5">
        <v>10214</v>
      </c>
      <c r="B589" s="5">
        <v>30</v>
      </c>
      <c r="C589" s="5">
        <v>100</v>
      </c>
      <c r="D589" s="5">
        <v>3000</v>
      </c>
      <c r="E589" s="5" t="str">
        <f t="shared" si="37"/>
        <v>Medium</v>
      </c>
      <c r="F589" s="5">
        <f t="shared" si="38"/>
        <v>900</v>
      </c>
      <c r="G589" s="6">
        <v>38012</v>
      </c>
      <c r="H589" s="5" t="s">
        <v>25</v>
      </c>
      <c r="I589" s="5" t="str">
        <f t="shared" si="36"/>
        <v>Yes</v>
      </c>
      <c r="J589" s="5" t="s">
        <v>549</v>
      </c>
      <c r="K589" s="5">
        <v>2004</v>
      </c>
      <c r="L589" s="5" t="str">
        <f t="shared" si="39"/>
        <v>Jan-2004</v>
      </c>
      <c r="M589" s="5" t="s">
        <v>550</v>
      </c>
      <c r="N589" s="5" t="s">
        <v>191</v>
      </c>
      <c r="O589" s="5" t="s">
        <v>178</v>
      </c>
      <c r="P589" s="5" t="s">
        <v>42</v>
      </c>
      <c r="Q589" s="5" t="s">
        <v>51</v>
      </c>
    </row>
    <row r="590" spans="1:17" x14ac:dyDescent="0.25">
      <c r="A590" s="3">
        <v>10227</v>
      </c>
      <c r="B590" s="3">
        <v>26</v>
      </c>
      <c r="C590" s="3">
        <v>100</v>
      </c>
      <c r="D590" s="3">
        <v>2600</v>
      </c>
      <c r="E590" s="3" t="str">
        <f t="shared" si="37"/>
        <v>Medium</v>
      </c>
      <c r="F590" s="3">
        <f t="shared" si="38"/>
        <v>780</v>
      </c>
      <c r="G590" s="4">
        <v>38048</v>
      </c>
      <c r="H590" s="3" t="s">
        <v>25</v>
      </c>
      <c r="I590" s="3" t="str">
        <f t="shared" si="36"/>
        <v>Yes</v>
      </c>
      <c r="J590" s="3" t="s">
        <v>691</v>
      </c>
      <c r="K590" s="3">
        <v>2004</v>
      </c>
      <c r="L590" s="3" t="str">
        <f t="shared" si="39"/>
        <v>Mar-2004</v>
      </c>
      <c r="M590" s="3" t="s">
        <v>550</v>
      </c>
      <c r="N590" s="3" t="s">
        <v>219</v>
      </c>
      <c r="O590" s="3" t="s">
        <v>41</v>
      </c>
      <c r="P590" s="3" t="s">
        <v>42</v>
      </c>
      <c r="Q590" s="3" t="s">
        <v>51</v>
      </c>
    </row>
    <row r="591" spans="1:17" x14ac:dyDescent="0.25">
      <c r="A591" s="5">
        <v>10241</v>
      </c>
      <c r="B591" s="5">
        <v>41</v>
      </c>
      <c r="C591" s="5">
        <v>100</v>
      </c>
      <c r="D591" s="5">
        <v>4100</v>
      </c>
      <c r="E591" s="5" t="str">
        <f t="shared" si="37"/>
        <v>Medium</v>
      </c>
      <c r="F591" s="5">
        <f t="shared" si="38"/>
        <v>1230</v>
      </c>
      <c r="G591" s="6">
        <v>38090</v>
      </c>
      <c r="H591" s="5" t="s">
        <v>25</v>
      </c>
      <c r="I591" s="5" t="str">
        <f t="shared" si="36"/>
        <v>Yes</v>
      </c>
      <c r="J591" s="5" t="s">
        <v>688</v>
      </c>
      <c r="K591" s="5">
        <v>2004</v>
      </c>
      <c r="L591" s="5" t="str">
        <f t="shared" si="39"/>
        <v>Apr-2004</v>
      </c>
      <c r="M591" s="5" t="s">
        <v>550</v>
      </c>
      <c r="N591" s="5" t="s">
        <v>531</v>
      </c>
      <c r="O591" s="5" t="s">
        <v>41</v>
      </c>
      <c r="P591" s="5" t="s">
        <v>42</v>
      </c>
      <c r="Q591" s="5" t="s">
        <v>151</v>
      </c>
    </row>
    <row r="592" spans="1:17" x14ac:dyDescent="0.25">
      <c r="A592" s="3">
        <v>10280</v>
      </c>
      <c r="B592" s="3">
        <v>26</v>
      </c>
      <c r="C592" s="3">
        <v>100</v>
      </c>
      <c r="D592" s="3">
        <v>2600</v>
      </c>
      <c r="E592" s="3" t="str">
        <f t="shared" si="37"/>
        <v>Medium</v>
      </c>
      <c r="F592" s="3">
        <f t="shared" si="38"/>
        <v>780</v>
      </c>
      <c r="G592" s="4">
        <v>38216</v>
      </c>
      <c r="H592" s="3" t="s">
        <v>25</v>
      </c>
      <c r="I592" s="3" t="str">
        <f t="shared" si="36"/>
        <v>Yes</v>
      </c>
      <c r="J592" s="3" t="s">
        <v>684</v>
      </c>
      <c r="K592" s="3">
        <v>2004</v>
      </c>
      <c r="L592" s="3" t="str">
        <f t="shared" si="39"/>
        <v>Aug-2004</v>
      </c>
      <c r="M592" s="3" t="s">
        <v>550</v>
      </c>
      <c r="N592" s="3" t="s">
        <v>254</v>
      </c>
      <c r="O592" s="3" t="s">
        <v>258</v>
      </c>
      <c r="P592" s="3" t="s">
        <v>42</v>
      </c>
      <c r="Q592" s="3" t="s">
        <v>51</v>
      </c>
    </row>
    <row r="593" spans="1:17" x14ac:dyDescent="0.25">
      <c r="A593" s="5">
        <v>10288</v>
      </c>
      <c r="B593" s="5">
        <v>32</v>
      </c>
      <c r="C593" s="5">
        <v>100</v>
      </c>
      <c r="D593" s="5">
        <v>3200</v>
      </c>
      <c r="E593" s="5" t="str">
        <f t="shared" si="37"/>
        <v>Medium</v>
      </c>
      <c r="F593" s="5">
        <f t="shared" si="38"/>
        <v>960</v>
      </c>
      <c r="G593" s="6">
        <v>38231</v>
      </c>
      <c r="H593" s="5" t="s">
        <v>25</v>
      </c>
      <c r="I593" s="5" t="str">
        <f t="shared" si="36"/>
        <v>Yes</v>
      </c>
      <c r="J593" s="5" t="s">
        <v>690</v>
      </c>
      <c r="K593" s="5">
        <v>2004</v>
      </c>
      <c r="L593" s="5" t="str">
        <f t="shared" si="39"/>
        <v>Sep-2004</v>
      </c>
      <c r="M593" s="5" t="s">
        <v>550</v>
      </c>
      <c r="N593" s="5" t="s">
        <v>418</v>
      </c>
      <c r="O593" s="5" t="s">
        <v>199</v>
      </c>
      <c r="P593" s="5" t="s">
        <v>96</v>
      </c>
      <c r="Q593" s="5" t="s">
        <v>51</v>
      </c>
    </row>
    <row r="594" spans="1:17" x14ac:dyDescent="0.25">
      <c r="A594" s="3">
        <v>10302</v>
      </c>
      <c r="B594" s="3">
        <v>43</v>
      </c>
      <c r="C594" s="3">
        <v>100</v>
      </c>
      <c r="D594" s="3">
        <v>4300</v>
      </c>
      <c r="E594" s="3" t="str">
        <f t="shared" si="37"/>
        <v>Medium</v>
      </c>
      <c r="F594" s="3">
        <f t="shared" si="38"/>
        <v>1290</v>
      </c>
      <c r="G594" s="4">
        <v>37900</v>
      </c>
      <c r="H594" s="3" t="s">
        <v>25</v>
      </c>
      <c r="I594" s="3" t="str">
        <f t="shared" si="36"/>
        <v>Yes</v>
      </c>
      <c r="J594" s="3" t="s">
        <v>685</v>
      </c>
      <c r="K594" s="3">
        <v>2003</v>
      </c>
      <c r="L594" s="3" t="str">
        <f t="shared" si="39"/>
        <v>Oct-2003</v>
      </c>
      <c r="M594" s="3" t="s">
        <v>550</v>
      </c>
      <c r="N594" s="3" t="s">
        <v>165</v>
      </c>
      <c r="O594" s="3" t="s">
        <v>170</v>
      </c>
      <c r="P594" s="3" t="s">
        <v>42</v>
      </c>
      <c r="Q594" s="3" t="s">
        <v>151</v>
      </c>
    </row>
    <row r="595" spans="1:17" x14ac:dyDescent="0.25">
      <c r="A595" s="5">
        <v>10312</v>
      </c>
      <c r="B595" s="5">
        <v>48</v>
      </c>
      <c r="C595" s="5">
        <v>100</v>
      </c>
      <c r="D595" s="5">
        <v>4800</v>
      </c>
      <c r="E595" s="5" t="str">
        <f t="shared" si="37"/>
        <v>Medium</v>
      </c>
      <c r="F595" s="5">
        <f t="shared" si="38"/>
        <v>1440</v>
      </c>
      <c r="G595" s="6">
        <v>38281</v>
      </c>
      <c r="H595" s="5" t="s">
        <v>25</v>
      </c>
      <c r="I595" s="5" t="str">
        <f t="shared" si="36"/>
        <v>Yes</v>
      </c>
      <c r="J595" s="5" t="s">
        <v>685</v>
      </c>
      <c r="K595" s="5">
        <v>2004</v>
      </c>
      <c r="L595" s="5" t="str">
        <f t="shared" si="39"/>
        <v>Oct-2004</v>
      </c>
      <c r="M595" s="5" t="s">
        <v>550</v>
      </c>
      <c r="N595" s="5" t="s">
        <v>272</v>
      </c>
      <c r="O595" s="5" t="s">
        <v>32</v>
      </c>
      <c r="P595" s="5" t="s">
        <v>33</v>
      </c>
      <c r="Q595" s="5" t="s">
        <v>151</v>
      </c>
    </row>
    <row r="596" spans="1:17" x14ac:dyDescent="0.25">
      <c r="A596" s="3">
        <v>10331</v>
      </c>
      <c r="B596" s="3">
        <v>44</v>
      </c>
      <c r="C596" s="3">
        <v>74.040000000000006</v>
      </c>
      <c r="D596" s="3">
        <v>3257.76</v>
      </c>
      <c r="E596" s="3" t="str">
        <f t="shared" si="37"/>
        <v>Medium</v>
      </c>
      <c r="F596" s="3">
        <f t="shared" si="38"/>
        <v>977.32799999999997</v>
      </c>
      <c r="G596" s="4">
        <v>38308</v>
      </c>
      <c r="H596" s="3" t="s">
        <v>25</v>
      </c>
      <c r="I596" s="3" t="str">
        <f t="shared" si="36"/>
        <v>Yes</v>
      </c>
      <c r="J596" s="3" t="s">
        <v>686</v>
      </c>
      <c r="K596" s="3">
        <v>2004</v>
      </c>
      <c r="L596" s="3" t="str">
        <f t="shared" si="39"/>
        <v>Nov-2004</v>
      </c>
      <c r="M596" s="3" t="s">
        <v>550</v>
      </c>
      <c r="N596" s="3" t="s">
        <v>309</v>
      </c>
      <c r="O596" s="3" t="s">
        <v>32</v>
      </c>
      <c r="P596" s="3" t="s">
        <v>33</v>
      </c>
      <c r="Q596" s="3" t="s">
        <v>51</v>
      </c>
    </row>
    <row r="597" spans="1:17" x14ac:dyDescent="0.25">
      <c r="A597" s="5">
        <v>10344</v>
      </c>
      <c r="B597" s="5">
        <v>45</v>
      </c>
      <c r="C597" s="5">
        <v>100</v>
      </c>
      <c r="D597" s="5">
        <v>4500</v>
      </c>
      <c r="E597" s="5" t="str">
        <f t="shared" si="37"/>
        <v>Medium</v>
      </c>
      <c r="F597" s="5">
        <f t="shared" si="38"/>
        <v>1350</v>
      </c>
      <c r="G597" s="6">
        <v>38316</v>
      </c>
      <c r="H597" s="5" t="s">
        <v>25</v>
      </c>
      <c r="I597" s="5" t="str">
        <f t="shared" si="36"/>
        <v>Yes</v>
      </c>
      <c r="J597" s="5" t="s">
        <v>686</v>
      </c>
      <c r="K597" s="5">
        <v>2004</v>
      </c>
      <c r="L597" s="5" t="str">
        <f t="shared" si="39"/>
        <v>Nov-2004</v>
      </c>
      <c r="M597" s="5" t="s">
        <v>550</v>
      </c>
      <c r="N597" s="5" t="s">
        <v>433</v>
      </c>
      <c r="O597" s="5" t="s">
        <v>41</v>
      </c>
      <c r="P597" s="5" t="s">
        <v>42</v>
      </c>
      <c r="Q597" s="5" t="s">
        <v>151</v>
      </c>
    </row>
    <row r="598" spans="1:17" x14ac:dyDescent="0.25">
      <c r="A598" s="3">
        <v>10367</v>
      </c>
      <c r="B598" s="3">
        <v>37</v>
      </c>
      <c r="C598" s="3">
        <v>100</v>
      </c>
      <c r="D598" s="3">
        <v>3700</v>
      </c>
      <c r="E598" s="3" t="str">
        <f t="shared" si="37"/>
        <v>Medium</v>
      </c>
      <c r="F598" s="3">
        <f t="shared" si="38"/>
        <v>1110</v>
      </c>
      <c r="G598" s="4">
        <v>38364</v>
      </c>
      <c r="H598" s="3" t="s">
        <v>408</v>
      </c>
      <c r="I598" s="3" t="str">
        <f t="shared" si="36"/>
        <v>No</v>
      </c>
      <c r="J598" s="3" t="s">
        <v>549</v>
      </c>
      <c r="K598" s="3">
        <v>2005</v>
      </c>
      <c r="L598" s="3" t="str">
        <f t="shared" si="39"/>
        <v>Jan-2005</v>
      </c>
      <c r="M598" s="3" t="s">
        <v>550</v>
      </c>
      <c r="N598" s="3" t="s">
        <v>52</v>
      </c>
      <c r="O598" s="3" t="s">
        <v>32</v>
      </c>
      <c r="P598" s="3" t="s">
        <v>33</v>
      </c>
      <c r="Q598" s="3" t="s">
        <v>51</v>
      </c>
    </row>
    <row r="599" spans="1:17" x14ac:dyDescent="0.25">
      <c r="A599" s="5">
        <v>10379</v>
      </c>
      <c r="B599" s="5">
        <v>39</v>
      </c>
      <c r="C599" s="5">
        <v>100</v>
      </c>
      <c r="D599" s="5">
        <v>3900</v>
      </c>
      <c r="E599" s="5" t="str">
        <f t="shared" si="37"/>
        <v>Medium</v>
      </c>
      <c r="F599" s="5">
        <f t="shared" si="38"/>
        <v>1170</v>
      </c>
      <c r="G599" s="6">
        <v>38393</v>
      </c>
      <c r="H599" s="5" t="s">
        <v>25</v>
      </c>
      <c r="I599" s="5" t="str">
        <f t="shared" si="36"/>
        <v>Yes</v>
      </c>
      <c r="J599" s="5" t="s">
        <v>681</v>
      </c>
      <c r="K599" s="5">
        <v>2005</v>
      </c>
      <c r="L599" s="5" t="str">
        <f t="shared" si="39"/>
        <v>Feb-2005</v>
      </c>
      <c r="M599" s="5" t="s">
        <v>550</v>
      </c>
      <c r="N599" s="5" t="s">
        <v>174</v>
      </c>
      <c r="O599" s="5" t="s">
        <v>178</v>
      </c>
      <c r="P599" s="5" t="s">
        <v>42</v>
      </c>
      <c r="Q599" s="5" t="s">
        <v>51</v>
      </c>
    </row>
    <row r="600" spans="1:17" x14ac:dyDescent="0.25">
      <c r="A600" s="3">
        <v>10407</v>
      </c>
      <c r="B600" s="3">
        <v>76</v>
      </c>
      <c r="C600" s="3">
        <v>100</v>
      </c>
      <c r="D600" s="3">
        <v>7600</v>
      </c>
      <c r="E600" s="3" t="str">
        <f t="shared" si="37"/>
        <v>High</v>
      </c>
      <c r="F600" s="3">
        <f t="shared" si="38"/>
        <v>2280</v>
      </c>
      <c r="G600" s="4">
        <v>38464</v>
      </c>
      <c r="H600" s="3" t="s">
        <v>401</v>
      </c>
      <c r="I600" s="3" t="str">
        <f t="shared" si="36"/>
        <v>No</v>
      </c>
      <c r="J600" s="3" t="s">
        <v>688</v>
      </c>
      <c r="K600" s="3">
        <v>2005</v>
      </c>
      <c r="L600" s="3" t="str">
        <f t="shared" si="39"/>
        <v>Apr-2005</v>
      </c>
      <c r="M600" s="3" t="s">
        <v>550</v>
      </c>
      <c r="N600" s="3" t="s">
        <v>397</v>
      </c>
      <c r="O600" s="3" t="s">
        <v>32</v>
      </c>
      <c r="P600" s="3" t="s">
        <v>33</v>
      </c>
      <c r="Q600" s="3" t="s">
        <v>151</v>
      </c>
    </row>
    <row r="601" spans="1:17" x14ac:dyDescent="0.25">
      <c r="A601" s="5">
        <v>10420</v>
      </c>
      <c r="B601" s="5">
        <v>37</v>
      </c>
      <c r="C601" s="5">
        <v>100</v>
      </c>
      <c r="D601" s="5">
        <v>3700</v>
      </c>
      <c r="E601" s="5" t="str">
        <f t="shared" si="37"/>
        <v>Medium</v>
      </c>
      <c r="F601" s="5">
        <f t="shared" si="38"/>
        <v>1110</v>
      </c>
      <c r="G601" s="6">
        <v>38501</v>
      </c>
      <c r="H601" s="5" t="s">
        <v>300</v>
      </c>
      <c r="I601" s="5" t="str">
        <f t="shared" si="36"/>
        <v>No</v>
      </c>
      <c r="J601" s="5" t="s">
        <v>682</v>
      </c>
      <c r="K601" s="5">
        <v>2005</v>
      </c>
      <c r="L601" s="5" t="str">
        <f t="shared" si="39"/>
        <v>May-2005</v>
      </c>
      <c r="M601" s="5" t="s">
        <v>550</v>
      </c>
      <c r="N601" s="5" t="s">
        <v>152</v>
      </c>
      <c r="O601" s="5" t="s">
        <v>95</v>
      </c>
      <c r="P601" s="5" t="s">
        <v>96</v>
      </c>
      <c r="Q601" s="5" t="s">
        <v>51</v>
      </c>
    </row>
    <row r="602" spans="1:17" x14ac:dyDescent="0.25">
      <c r="A602" s="3">
        <v>10108</v>
      </c>
      <c r="B602" s="3">
        <v>38</v>
      </c>
      <c r="C602" s="3">
        <v>82.39</v>
      </c>
      <c r="D602" s="3">
        <v>3130.82</v>
      </c>
      <c r="E602" s="3" t="str">
        <f t="shared" si="37"/>
        <v>Medium</v>
      </c>
      <c r="F602" s="3">
        <f t="shared" si="38"/>
        <v>939.24599999999998</v>
      </c>
      <c r="G602" s="4">
        <v>37683</v>
      </c>
      <c r="H602" s="3" t="s">
        <v>25</v>
      </c>
      <c r="I602" s="3" t="str">
        <f t="shared" si="36"/>
        <v>Yes</v>
      </c>
      <c r="J602" s="3" t="s">
        <v>691</v>
      </c>
      <c r="K602" s="3">
        <v>2003</v>
      </c>
      <c r="L602" s="3" t="str">
        <f t="shared" si="39"/>
        <v>Mar-2003</v>
      </c>
      <c r="M602" s="3" t="s">
        <v>181</v>
      </c>
      <c r="N602" s="3" t="s">
        <v>425</v>
      </c>
      <c r="O602" s="3" t="s">
        <v>430</v>
      </c>
      <c r="P602" s="3" t="s">
        <v>675</v>
      </c>
      <c r="Q602" s="3" t="s">
        <v>51</v>
      </c>
    </row>
    <row r="603" spans="1:17" x14ac:dyDescent="0.25">
      <c r="A603" s="5">
        <v>10122</v>
      </c>
      <c r="B603" s="5">
        <v>43</v>
      </c>
      <c r="C603" s="5">
        <v>72.38</v>
      </c>
      <c r="D603" s="5">
        <v>3112.3399999999997</v>
      </c>
      <c r="E603" s="5" t="str">
        <f t="shared" si="37"/>
        <v>Medium</v>
      </c>
      <c r="F603" s="5">
        <f t="shared" si="38"/>
        <v>933.70199999999988</v>
      </c>
      <c r="G603" s="6">
        <v>37749</v>
      </c>
      <c r="H603" s="5" t="s">
        <v>25</v>
      </c>
      <c r="I603" s="5" t="str">
        <f t="shared" si="36"/>
        <v>Yes</v>
      </c>
      <c r="J603" s="5" t="s">
        <v>682</v>
      </c>
      <c r="K603" s="5">
        <v>2003</v>
      </c>
      <c r="L603" s="5" t="str">
        <f t="shared" si="39"/>
        <v>May-2003</v>
      </c>
      <c r="M603" s="5" t="s">
        <v>181</v>
      </c>
      <c r="N603" s="5" t="s">
        <v>433</v>
      </c>
      <c r="O603" s="5" t="s">
        <v>41</v>
      </c>
      <c r="P603" s="5" t="s">
        <v>42</v>
      </c>
      <c r="Q603" s="5" t="s">
        <v>51</v>
      </c>
    </row>
    <row r="604" spans="1:17" x14ac:dyDescent="0.25">
      <c r="A604" s="3">
        <v>10135</v>
      </c>
      <c r="B604" s="3">
        <v>48</v>
      </c>
      <c r="C604" s="3">
        <v>79.31</v>
      </c>
      <c r="D604" s="3">
        <v>3806.88</v>
      </c>
      <c r="E604" s="3" t="str">
        <f t="shared" si="37"/>
        <v>Medium</v>
      </c>
      <c r="F604" s="3">
        <f t="shared" si="38"/>
        <v>1142.0640000000001</v>
      </c>
      <c r="G604" s="4">
        <v>37804</v>
      </c>
      <c r="H604" s="3" t="s">
        <v>25</v>
      </c>
      <c r="I604" s="3" t="str">
        <f t="shared" si="36"/>
        <v>Yes</v>
      </c>
      <c r="J604" s="3" t="s">
        <v>683</v>
      </c>
      <c r="K604" s="3">
        <v>2003</v>
      </c>
      <c r="L604" s="3" t="str">
        <f t="shared" si="39"/>
        <v>Jul-2003</v>
      </c>
      <c r="M604" s="3" t="s">
        <v>181</v>
      </c>
      <c r="N604" s="3" t="s">
        <v>272</v>
      </c>
      <c r="O604" s="3" t="s">
        <v>32</v>
      </c>
      <c r="P604" s="3" t="s">
        <v>33</v>
      </c>
      <c r="Q604" s="3" t="s">
        <v>51</v>
      </c>
    </row>
    <row r="605" spans="1:17" x14ac:dyDescent="0.25">
      <c r="A605" s="5">
        <v>10147</v>
      </c>
      <c r="B605" s="5">
        <v>26</v>
      </c>
      <c r="C605" s="5">
        <v>82.39</v>
      </c>
      <c r="D605" s="5">
        <v>2142.14</v>
      </c>
      <c r="E605" s="5" t="str">
        <f t="shared" si="37"/>
        <v>Medium</v>
      </c>
      <c r="F605" s="5">
        <f t="shared" si="38"/>
        <v>642.64199999999994</v>
      </c>
      <c r="G605" s="6">
        <v>37869</v>
      </c>
      <c r="H605" s="5" t="s">
        <v>25</v>
      </c>
      <c r="I605" s="5" t="str">
        <f t="shared" si="36"/>
        <v>Yes</v>
      </c>
      <c r="J605" s="5" t="s">
        <v>690</v>
      </c>
      <c r="K605" s="5">
        <v>2003</v>
      </c>
      <c r="L605" s="5" t="str">
        <f t="shared" si="39"/>
        <v>Sep-2003</v>
      </c>
      <c r="M605" s="5" t="s">
        <v>181</v>
      </c>
      <c r="N605" s="5" t="s">
        <v>281</v>
      </c>
      <c r="O605" s="5" t="s">
        <v>32</v>
      </c>
      <c r="P605" s="5" t="s">
        <v>33</v>
      </c>
      <c r="Q605" s="5" t="s">
        <v>36</v>
      </c>
    </row>
    <row r="606" spans="1:17" x14ac:dyDescent="0.25">
      <c r="A606" s="3">
        <v>10160</v>
      </c>
      <c r="B606" s="3">
        <v>38</v>
      </c>
      <c r="C606" s="3">
        <v>88.55</v>
      </c>
      <c r="D606" s="3">
        <v>3364.9</v>
      </c>
      <c r="E606" s="3" t="str">
        <f t="shared" si="37"/>
        <v>Medium</v>
      </c>
      <c r="F606" s="3">
        <f t="shared" si="38"/>
        <v>1009.47</v>
      </c>
      <c r="G606" s="4">
        <v>37905</v>
      </c>
      <c r="H606" s="3" t="s">
        <v>25</v>
      </c>
      <c r="I606" s="3" t="str">
        <f t="shared" si="36"/>
        <v>Yes</v>
      </c>
      <c r="J606" s="3" t="s">
        <v>685</v>
      </c>
      <c r="K606" s="3">
        <v>2003</v>
      </c>
      <c r="L606" s="3" t="str">
        <f t="shared" si="39"/>
        <v>Oct-2003</v>
      </c>
      <c r="M606" s="3" t="s">
        <v>181</v>
      </c>
      <c r="N606" s="3" t="s">
        <v>358</v>
      </c>
      <c r="O606" s="3" t="s">
        <v>32</v>
      </c>
      <c r="P606" s="3" t="s">
        <v>33</v>
      </c>
      <c r="Q606" s="3" t="s">
        <v>51</v>
      </c>
    </row>
    <row r="607" spans="1:17" x14ac:dyDescent="0.25">
      <c r="A607" s="5">
        <v>10170</v>
      </c>
      <c r="B607" s="5">
        <v>20</v>
      </c>
      <c r="C607" s="5">
        <v>63.14</v>
      </c>
      <c r="D607" s="5">
        <v>1262.8</v>
      </c>
      <c r="E607" s="5" t="str">
        <f t="shared" si="37"/>
        <v>Low</v>
      </c>
      <c r="F607" s="5">
        <f t="shared" si="38"/>
        <v>378.84</v>
      </c>
      <c r="G607" s="6">
        <v>37929</v>
      </c>
      <c r="H607" s="5" t="s">
        <v>25</v>
      </c>
      <c r="I607" s="5" t="str">
        <f t="shared" si="36"/>
        <v>Yes</v>
      </c>
      <c r="J607" s="5" t="s">
        <v>686</v>
      </c>
      <c r="K607" s="5">
        <v>2003</v>
      </c>
      <c r="L607" s="5" t="str">
        <f t="shared" si="39"/>
        <v>Nov-2003</v>
      </c>
      <c r="M607" s="5" t="s">
        <v>181</v>
      </c>
      <c r="N607" s="5" t="s">
        <v>409</v>
      </c>
      <c r="O607" s="5" t="s">
        <v>148</v>
      </c>
      <c r="P607" s="5" t="s">
        <v>42</v>
      </c>
      <c r="Q607" s="5" t="s">
        <v>36</v>
      </c>
    </row>
    <row r="608" spans="1:17" x14ac:dyDescent="0.25">
      <c r="A608" s="3">
        <v>10181</v>
      </c>
      <c r="B608" s="3">
        <v>22</v>
      </c>
      <c r="C608" s="3">
        <v>73.92</v>
      </c>
      <c r="D608" s="3">
        <v>1626.24</v>
      </c>
      <c r="E608" s="3" t="str">
        <f t="shared" si="37"/>
        <v>Low</v>
      </c>
      <c r="F608" s="3">
        <f t="shared" si="38"/>
        <v>487.87199999999996</v>
      </c>
      <c r="G608" s="4">
        <v>37937</v>
      </c>
      <c r="H608" s="3" t="s">
        <v>25</v>
      </c>
      <c r="I608" s="3" t="str">
        <f t="shared" si="36"/>
        <v>Yes</v>
      </c>
      <c r="J608" s="3" t="s">
        <v>686</v>
      </c>
      <c r="K608" s="3">
        <v>2003</v>
      </c>
      <c r="L608" s="3" t="str">
        <f t="shared" si="39"/>
        <v>Nov-2003</v>
      </c>
      <c r="M608" s="3" t="s">
        <v>181</v>
      </c>
      <c r="N608" s="3" t="s">
        <v>73</v>
      </c>
      <c r="O608" s="3" t="s">
        <v>78</v>
      </c>
      <c r="P608" s="3" t="s">
        <v>42</v>
      </c>
      <c r="Q608" s="3" t="s">
        <v>36</v>
      </c>
    </row>
    <row r="609" spans="1:17" x14ac:dyDescent="0.25">
      <c r="A609" s="5">
        <v>10192</v>
      </c>
      <c r="B609" s="5">
        <v>45</v>
      </c>
      <c r="C609" s="5">
        <v>90.86</v>
      </c>
      <c r="D609" s="5">
        <v>4088.7</v>
      </c>
      <c r="E609" s="5" t="str">
        <f t="shared" si="37"/>
        <v>Medium</v>
      </c>
      <c r="F609" s="5">
        <f t="shared" si="38"/>
        <v>1226.6099999999999</v>
      </c>
      <c r="G609" s="6">
        <v>37945</v>
      </c>
      <c r="H609" s="5" t="s">
        <v>25</v>
      </c>
      <c r="I609" s="5" t="str">
        <f t="shared" si="36"/>
        <v>Yes</v>
      </c>
      <c r="J609" s="5" t="s">
        <v>686</v>
      </c>
      <c r="K609" s="5">
        <v>2003</v>
      </c>
      <c r="L609" s="5" t="str">
        <f t="shared" si="39"/>
        <v>Nov-2003</v>
      </c>
      <c r="M609" s="5" t="s">
        <v>181</v>
      </c>
      <c r="N609" s="5" t="s">
        <v>277</v>
      </c>
      <c r="O609" s="5" t="s">
        <v>32</v>
      </c>
      <c r="P609" s="5" t="s">
        <v>33</v>
      </c>
      <c r="Q609" s="5" t="s">
        <v>51</v>
      </c>
    </row>
    <row r="610" spans="1:17" x14ac:dyDescent="0.25">
      <c r="A610" s="3">
        <v>10203</v>
      </c>
      <c r="B610" s="3">
        <v>45</v>
      </c>
      <c r="C610" s="3">
        <v>85.47</v>
      </c>
      <c r="D610" s="3">
        <v>3846.15</v>
      </c>
      <c r="E610" s="3" t="str">
        <f t="shared" si="37"/>
        <v>Medium</v>
      </c>
      <c r="F610" s="3">
        <f t="shared" si="38"/>
        <v>1153.845</v>
      </c>
      <c r="G610" s="4">
        <v>37957</v>
      </c>
      <c r="H610" s="3" t="s">
        <v>25</v>
      </c>
      <c r="I610" s="3" t="str">
        <f t="shared" si="36"/>
        <v>Yes</v>
      </c>
      <c r="J610" s="3" t="s">
        <v>687</v>
      </c>
      <c r="K610" s="3">
        <v>2003</v>
      </c>
      <c r="L610" s="3" t="str">
        <f t="shared" si="39"/>
        <v>Dec-2003</v>
      </c>
      <c r="M610" s="3" t="s">
        <v>181</v>
      </c>
      <c r="N610" s="3" t="s">
        <v>174</v>
      </c>
      <c r="O610" s="3" t="s">
        <v>178</v>
      </c>
      <c r="P610" s="3" t="s">
        <v>42</v>
      </c>
      <c r="Q610" s="3" t="s">
        <v>51</v>
      </c>
    </row>
    <row r="611" spans="1:17" x14ac:dyDescent="0.25">
      <c r="A611" s="5">
        <v>10212</v>
      </c>
      <c r="B611" s="5">
        <v>20</v>
      </c>
      <c r="C611" s="5">
        <v>66.989999999999995</v>
      </c>
      <c r="D611" s="5">
        <v>1339.8</v>
      </c>
      <c r="E611" s="5" t="str">
        <f t="shared" si="37"/>
        <v>Low</v>
      </c>
      <c r="F611" s="5">
        <f t="shared" si="38"/>
        <v>401.94</v>
      </c>
      <c r="G611" s="6">
        <v>38002</v>
      </c>
      <c r="H611" s="5" t="s">
        <v>25</v>
      </c>
      <c r="I611" s="5" t="str">
        <f t="shared" si="36"/>
        <v>Yes</v>
      </c>
      <c r="J611" s="5" t="s">
        <v>549</v>
      </c>
      <c r="K611" s="5">
        <v>2004</v>
      </c>
      <c r="L611" s="5" t="str">
        <f t="shared" si="39"/>
        <v>Jan-2004</v>
      </c>
      <c r="M611" s="5" t="s">
        <v>181</v>
      </c>
      <c r="N611" s="5" t="s">
        <v>174</v>
      </c>
      <c r="O611" s="5" t="s">
        <v>178</v>
      </c>
      <c r="P611" s="5" t="s">
        <v>42</v>
      </c>
      <c r="Q611" s="5" t="s">
        <v>36</v>
      </c>
    </row>
    <row r="612" spans="1:17" x14ac:dyDescent="0.25">
      <c r="A612" s="3">
        <v>10225</v>
      </c>
      <c r="B612" s="3">
        <v>47</v>
      </c>
      <c r="C612" s="3">
        <v>64.680000000000007</v>
      </c>
      <c r="D612" s="3">
        <v>3039.9600000000005</v>
      </c>
      <c r="E612" s="3" t="str">
        <f t="shared" si="37"/>
        <v>Medium</v>
      </c>
      <c r="F612" s="3">
        <f t="shared" si="38"/>
        <v>911.98800000000017</v>
      </c>
      <c r="G612" s="4">
        <v>38039</v>
      </c>
      <c r="H612" s="3" t="s">
        <v>25</v>
      </c>
      <c r="I612" s="3" t="str">
        <f t="shared" si="36"/>
        <v>Yes</v>
      </c>
      <c r="J612" s="3" t="s">
        <v>681</v>
      </c>
      <c r="K612" s="3">
        <v>2004</v>
      </c>
      <c r="L612" s="3" t="str">
        <f t="shared" si="39"/>
        <v>Feb-2004</v>
      </c>
      <c r="M612" s="3" t="s">
        <v>181</v>
      </c>
      <c r="N612" s="3" t="s">
        <v>446</v>
      </c>
      <c r="O612" s="3" t="s">
        <v>450</v>
      </c>
      <c r="P612" s="3" t="s">
        <v>42</v>
      </c>
      <c r="Q612" s="3" t="s">
        <v>51</v>
      </c>
    </row>
    <row r="613" spans="1:17" x14ac:dyDescent="0.25">
      <c r="A613" s="5">
        <v>10239</v>
      </c>
      <c r="B613" s="5">
        <v>46</v>
      </c>
      <c r="C613" s="5">
        <v>73.92</v>
      </c>
      <c r="D613" s="5">
        <v>3400.32</v>
      </c>
      <c r="E613" s="5" t="str">
        <f t="shared" si="37"/>
        <v>Medium</v>
      </c>
      <c r="F613" s="5">
        <f t="shared" si="38"/>
        <v>1020.096</v>
      </c>
      <c r="G613" s="6">
        <v>38089</v>
      </c>
      <c r="H613" s="5" t="s">
        <v>25</v>
      </c>
      <c r="I613" s="5" t="str">
        <f t="shared" si="36"/>
        <v>Yes</v>
      </c>
      <c r="J613" s="5" t="s">
        <v>688</v>
      </c>
      <c r="K613" s="5">
        <v>2004</v>
      </c>
      <c r="L613" s="5" t="str">
        <f t="shared" si="39"/>
        <v>Apr-2004</v>
      </c>
      <c r="M613" s="5" t="s">
        <v>181</v>
      </c>
      <c r="N613" s="5" t="s">
        <v>391</v>
      </c>
      <c r="O613" s="5" t="s">
        <v>130</v>
      </c>
      <c r="P613" s="5" t="s">
        <v>42</v>
      </c>
      <c r="Q613" s="5" t="s">
        <v>51</v>
      </c>
    </row>
    <row r="614" spans="1:17" x14ac:dyDescent="0.25">
      <c r="A614" s="3">
        <v>10253</v>
      </c>
      <c r="B614" s="3">
        <v>23</v>
      </c>
      <c r="C614" s="3">
        <v>83.93</v>
      </c>
      <c r="D614" s="3">
        <v>1930.39</v>
      </c>
      <c r="E614" s="3" t="str">
        <f t="shared" si="37"/>
        <v>Low</v>
      </c>
      <c r="F614" s="3">
        <f t="shared" si="38"/>
        <v>579.11699999999996</v>
      </c>
      <c r="G614" s="4">
        <v>38139</v>
      </c>
      <c r="H614" s="3" t="s">
        <v>339</v>
      </c>
      <c r="I614" s="3" t="str">
        <f t="shared" si="36"/>
        <v>No</v>
      </c>
      <c r="J614" s="3" t="s">
        <v>689</v>
      </c>
      <c r="K614" s="3">
        <v>2004</v>
      </c>
      <c r="L614" s="3" t="str">
        <f t="shared" si="39"/>
        <v>Jun-2004</v>
      </c>
      <c r="M614" s="3" t="s">
        <v>181</v>
      </c>
      <c r="N614" s="3" t="s">
        <v>165</v>
      </c>
      <c r="O614" s="3" t="s">
        <v>170</v>
      </c>
      <c r="P614" s="3" t="s">
        <v>42</v>
      </c>
      <c r="Q614" s="3" t="s">
        <v>36</v>
      </c>
    </row>
    <row r="615" spans="1:17" x14ac:dyDescent="0.25">
      <c r="A615" s="5">
        <v>10266</v>
      </c>
      <c r="B615" s="5">
        <v>33</v>
      </c>
      <c r="C615" s="5">
        <v>74.69</v>
      </c>
      <c r="D615" s="5">
        <v>2464.77</v>
      </c>
      <c r="E615" s="5" t="str">
        <f t="shared" si="37"/>
        <v>Medium</v>
      </c>
      <c r="F615" s="5">
        <f t="shared" si="38"/>
        <v>739.43099999999993</v>
      </c>
      <c r="G615" s="6">
        <v>38174</v>
      </c>
      <c r="H615" s="5" t="s">
        <v>25</v>
      </c>
      <c r="I615" s="5" t="str">
        <f t="shared" si="36"/>
        <v>Yes</v>
      </c>
      <c r="J615" s="5" t="s">
        <v>683</v>
      </c>
      <c r="K615" s="5">
        <v>2004</v>
      </c>
      <c r="L615" s="5" t="str">
        <f t="shared" si="39"/>
        <v>Jul-2004</v>
      </c>
      <c r="M615" s="5" t="s">
        <v>181</v>
      </c>
      <c r="N615" s="5" t="s">
        <v>452</v>
      </c>
      <c r="O615" s="5" t="s">
        <v>258</v>
      </c>
      <c r="P615" s="5" t="s">
        <v>42</v>
      </c>
      <c r="Q615" s="5" t="s">
        <v>36</v>
      </c>
    </row>
    <row r="616" spans="1:17" x14ac:dyDescent="0.25">
      <c r="A616" s="3">
        <v>10278</v>
      </c>
      <c r="B616" s="3">
        <v>29</v>
      </c>
      <c r="C616" s="3">
        <v>90.86</v>
      </c>
      <c r="D616" s="3">
        <v>2634.94</v>
      </c>
      <c r="E616" s="3" t="str">
        <f t="shared" si="37"/>
        <v>Medium</v>
      </c>
      <c r="F616" s="3">
        <f t="shared" si="38"/>
        <v>790.48199999999997</v>
      </c>
      <c r="G616" s="4">
        <v>38205</v>
      </c>
      <c r="H616" s="3" t="s">
        <v>25</v>
      </c>
      <c r="I616" s="3" t="str">
        <f t="shared" si="36"/>
        <v>Yes</v>
      </c>
      <c r="J616" s="3" t="s">
        <v>684</v>
      </c>
      <c r="K616" s="3">
        <v>2004</v>
      </c>
      <c r="L616" s="3" t="str">
        <f t="shared" si="39"/>
        <v>Aug-2004</v>
      </c>
      <c r="M616" s="3" t="s">
        <v>181</v>
      </c>
      <c r="N616" s="3" t="s">
        <v>539</v>
      </c>
      <c r="O616" s="3" t="s">
        <v>32</v>
      </c>
      <c r="P616" s="3" t="s">
        <v>33</v>
      </c>
      <c r="Q616" s="3" t="s">
        <v>36</v>
      </c>
    </row>
    <row r="617" spans="1:17" x14ac:dyDescent="0.25">
      <c r="A617" s="5">
        <v>10287</v>
      </c>
      <c r="B617" s="5">
        <v>44</v>
      </c>
      <c r="C617" s="5">
        <v>82.39</v>
      </c>
      <c r="D617" s="5">
        <v>3625.16</v>
      </c>
      <c r="E617" s="5" t="str">
        <f t="shared" si="37"/>
        <v>Medium</v>
      </c>
      <c r="F617" s="5">
        <f t="shared" si="38"/>
        <v>1087.548</v>
      </c>
      <c r="G617" s="6">
        <v>38229</v>
      </c>
      <c r="H617" s="5" t="s">
        <v>25</v>
      </c>
      <c r="I617" s="5" t="str">
        <f t="shared" si="36"/>
        <v>Yes</v>
      </c>
      <c r="J617" s="5" t="s">
        <v>684</v>
      </c>
      <c r="K617" s="5">
        <v>2004</v>
      </c>
      <c r="L617" s="5" t="str">
        <f t="shared" si="39"/>
        <v>Aug-2004</v>
      </c>
      <c r="M617" s="5" t="s">
        <v>181</v>
      </c>
      <c r="N617" s="5" t="s">
        <v>446</v>
      </c>
      <c r="O617" s="5" t="s">
        <v>450</v>
      </c>
      <c r="P617" s="5" t="s">
        <v>42</v>
      </c>
      <c r="Q617" s="5" t="s">
        <v>51</v>
      </c>
    </row>
    <row r="618" spans="1:17" x14ac:dyDescent="0.25">
      <c r="A618" s="3">
        <v>10300</v>
      </c>
      <c r="B618" s="3">
        <v>41</v>
      </c>
      <c r="C618" s="3">
        <v>92.4</v>
      </c>
      <c r="D618" s="3">
        <v>3788.4</v>
      </c>
      <c r="E618" s="3" t="str">
        <f t="shared" si="37"/>
        <v>Medium</v>
      </c>
      <c r="F618" s="3">
        <f t="shared" si="38"/>
        <v>1136.52</v>
      </c>
      <c r="G618" s="4">
        <v>37898</v>
      </c>
      <c r="H618" s="3" t="s">
        <v>25</v>
      </c>
      <c r="I618" s="3" t="str">
        <f t="shared" si="36"/>
        <v>Yes</v>
      </c>
      <c r="J618" s="3" t="s">
        <v>685</v>
      </c>
      <c r="K618" s="3">
        <v>2003</v>
      </c>
      <c r="L618" s="3" t="str">
        <f t="shared" si="39"/>
        <v>Oct-2003</v>
      </c>
      <c r="M618" s="3" t="s">
        <v>181</v>
      </c>
      <c r="N618" s="3" t="s">
        <v>462</v>
      </c>
      <c r="O618" s="3" t="s">
        <v>443</v>
      </c>
      <c r="P618" s="3" t="s">
        <v>42</v>
      </c>
      <c r="Q618" s="3" t="s">
        <v>51</v>
      </c>
    </row>
    <row r="619" spans="1:17" x14ac:dyDescent="0.25">
      <c r="A619" s="5">
        <v>10310</v>
      </c>
      <c r="B619" s="5">
        <v>20</v>
      </c>
      <c r="C619" s="5">
        <v>91.63</v>
      </c>
      <c r="D619" s="5">
        <v>1832.6</v>
      </c>
      <c r="E619" s="5" t="str">
        <f t="shared" si="37"/>
        <v>Low</v>
      </c>
      <c r="F619" s="5">
        <f t="shared" si="38"/>
        <v>549.78</v>
      </c>
      <c r="G619" s="6">
        <v>38276</v>
      </c>
      <c r="H619" s="5" t="s">
        <v>25</v>
      </c>
      <c r="I619" s="5" t="str">
        <f t="shared" si="36"/>
        <v>Yes</v>
      </c>
      <c r="J619" s="5" t="s">
        <v>685</v>
      </c>
      <c r="K619" s="5">
        <v>2004</v>
      </c>
      <c r="L619" s="5" t="str">
        <f t="shared" si="39"/>
        <v>Oct-2004</v>
      </c>
      <c r="M619" s="5" t="s">
        <v>181</v>
      </c>
      <c r="N619" s="5" t="s">
        <v>439</v>
      </c>
      <c r="O619" s="5" t="s">
        <v>443</v>
      </c>
      <c r="P619" s="5" t="s">
        <v>42</v>
      </c>
      <c r="Q619" s="5" t="s">
        <v>36</v>
      </c>
    </row>
    <row r="620" spans="1:17" x14ac:dyDescent="0.25">
      <c r="A620" s="3">
        <v>10321</v>
      </c>
      <c r="B620" s="3">
        <v>37</v>
      </c>
      <c r="C620" s="3">
        <v>78.540000000000006</v>
      </c>
      <c r="D620" s="3">
        <v>2905.98</v>
      </c>
      <c r="E620" s="3" t="str">
        <f t="shared" si="37"/>
        <v>Medium</v>
      </c>
      <c r="F620" s="3">
        <f t="shared" si="38"/>
        <v>871.79399999999998</v>
      </c>
      <c r="G620" s="4">
        <v>38295</v>
      </c>
      <c r="H620" s="3" t="s">
        <v>25</v>
      </c>
      <c r="I620" s="3" t="str">
        <f t="shared" si="36"/>
        <v>Yes</v>
      </c>
      <c r="J620" s="3" t="s">
        <v>686</v>
      </c>
      <c r="K620" s="3">
        <v>2004</v>
      </c>
      <c r="L620" s="3" t="str">
        <f t="shared" si="39"/>
        <v>Nov-2004</v>
      </c>
      <c r="M620" s="3" t="s">
        <v>181</v>
      </c>
      <c r="N620" s="3" t="s">
        <v>160</v>
      </c>
      <c r="O620" s="3" t="s">
        <v>32</v>
      </c>
      <c r="P620" s="3" t="s">
        <v>33</v>
      </c>
      <c r="Q620" s="3" t="s">
        <v>36</v>
      </c>
    </row>
    <row r="621" spans="1:17" x14ac:dyDescent="0.25">
      <c r="A621" s="5">
        <v>10329</v>
      </c>
      <c r="B621" s="5">
        <v>29</v>
      </c>
      <c r="C621" s="5">
        <v>100</v>
      </c>
      <c r="D621" s="5">
        <v>2900</v>
      </c>
      <c r="E621" s="5" t="str">
        <f t="shared" si="37"/>
        <v>Medium</v>
      </c>
      <c r="F621" s="5">
        <f t="shared" si="38"/>
        <v>870</v>
      </c>
      <c r="G621" s="6">
        <v>38306</v>
      </c>
      <c r="H621" s="5" t="s">
        <v>25</v>
      </c>
      <c r="I621" s="5" t="str">
        <f t="shared" si="36"/>
        <v>Yes</v>
      </c>
      <c r="J621" s="5" t="s">
        <v>686</v>
      </c>
      <c r="K621" s="5">
        <v>2004</v>
      </c>
      <c r="L621" s="5" t="str">
        <f t="shared" si="39"/>
        <v>Nov-2004</v>
      </c>
      <c r="M621" s="5" t="s">
        <v>181</v>
      </c>
      <c r="N621" s="5" t="s">
        <v>28</v>
      </c>
      <c r="O621" s="5" t="s">
        <v>32</v>
      </c>
      <c r="P621" s="5" t="s">
        <v>33</v>
      </c>
      <c r="Q621" s="5" t="s">
        <v>36</v>
      </c>
    </row>
    <row r="622" spans="1:17" x14ac:dyDescent="0.25">
      <c r="A622" s="3">
        <v>10342</v>
      </c>
      <c r="B622" s="3">
        <v>55</v>
      </c>
      <c r="C622" s="3">
        <v>65.45</v>
      </c>
      <c r="D622" s="3">
        <v>3599.75</v>
      </c>
      <c r="E622" s="3" t="str">
        <f t="shared" si="37"/>
        <v>Medium</v>
      </c>
      <c r="F622" s="3">
        <f t="shared" si="38"/>
        <v>1079.925</v>
      </c>
      <c r="G622" s="4">
        <v>38315</v>
      </c>
      <c r="H622" s="3" t="s">
        <v>25</v>
      </c>
      <c r="I622" s="3" t="str">
        <f t="shared" si="36"/>
        <v>Yes</v>
      </c>
      <c r="J622" s="3" t="s">
        <v>686</v>
      </c>
      <c r="K622" s="3">
        <v>2004</v>
      </c>
      <c r="L622" s="3" t="str">
        <f t="shared" si="39"/>
        <v>Nov-2004</v>
      </c>
      <c r="M622" s="3" t="s">
        <v>181</v>
      </c>
      <c r="N622" s="3" t="s">
        <v>89</v>
      </c>
      <c r="O622" s="3" t="s">
        <v>95</v>
      </c>
      <c r="P622" s="3" t="s">
        <v>96</v>
      </c>
      <c r="Q622" s="3" t="s">
        <v>51</v>
      </c>
    </row>
    <row r="623" spans="1:17" x14ac:dyDescent="0.25">
      <c r="A623" s="5">
        <v>10363</v>
      </c>
      <c r="B623" s="5">
        <v>22</v>
      </c>
      <c r="C623" s="5">
        <v>100</v>
      </c>
      <c r="D623" s="5">
        <v>2200</v>
      </c>
      <c r="E623" s="5" t="str">
        <f t="shared" si="37"/>
        <v>Medium</v>
      </c>
      <c r="F623" s="5">
        <f t="shared" si="38"/>
        <v>660</v>
      </c>
      <c r="G623" s="6">
        <v>38358</v>
      </c>
      <c r="H623" s="5" t="s">
        <v>25</v>
      </c>
      <c r="I623" s="5" t="str">
        <f t="shared" si="36"/>
        <v>Yes</v>
      </c>
      <c r="J623" s="5" t="s">
        <v>549</v>
      </c>
      <c r="K623" s="5">
        <v>2005</v>
      </c>
      <c r="L623" s="5" t="str">
        <f t="shared" si="39"/>
        <v>Jan-2005</v>
      </c>
      <c r="M623" s="5" t="s">
        <v>181</v>
      </c>
      <c r="N623" s="5" t="s">
        <v>467</v>
      </c>
      <c r="O623" s="5" t="s">
        <v>130</v>
      </c>
      <c r="P623" s="5" t="s">
        <v>42</v>
      </c>
      <c r="Q623" s="5" t="s">
        <v>51</v>
      </c>
    </row>
    <row r="624" spans="1:17" x14ac:dyDescent="0.25">
      <c r="A624" s="3">
        <v>10377</v>
      </c>
      <c r="B624" s="3">
        <v>31</v>
      </c>
      <c r="C624" s="3">
        <v>67.760000000000005</v>
      </c>
      <c r="D624" s="3">
        <v>2100.56</v>
      </c>
      <c r="E624" s="3" t="str">
        <f t="shared" si="37"/>
        <v>Medium</v>
      </c>
      <c r="F624" s="3">
        <f t="shared" si="38"/>
        <v>630.16800000000001</v>
      </c>
      <c r="G624" s="4">
        <v>38392</v>
      </c>
      <c r="H624" s="3" t="s">
        <v>25</v>
      </c>
      <c r="I624" s="3" t="str">
        <f t="shared" si="36"/>
        <v>Yes</v>
      </c>
      <c r="J624" s="3" t="s">
        <v>681</v>
      </c>
      <c r="K624" s="3">
        <v>2005</v>
      </c>
      <c r="L624" s="3" t="str">
        <f t="shared" si="39"/>
        <v>Feb-2005</v>
      </c>
      <c r="M624" s="3" t="s">
        <v>181</v>
      </c>
      <c r="N624" s="3" t="s">
        <v>126</v>
      </c>
      <c r="O624" s="3" t="s">
        <v>130</v>
      </c>
      <c r="P624" s="3" t="s">
        <v>42</v>
      </c>
      <c r="Q624" s="3" t="s">
        <v>36</v>
      </c>
    </row>
    <row r="625" spans="1:17" x14ac:dyDescent="0.25">
      <c r="A625" s="5">
        <v>10389</v>
      </c>
      <c r="B625" s="5">
        <v>49</v>
      </c>
      <c r="C625" s="5">
        <v>79.22</v>
      </c>
      <c r="D625" s="5">
        <v>3881.7799999999997</v>
      </c>
      <c r="E625" s="5" t="str">
        <f t="shared" si="37"/>
        <v>Medium</v>
      </c>
      <c r="F625" s="5">
        <f t="shared" si="38"/>
        <v>1164.5339999999999</v>
      </c>
      <c r="G625" s="6">
        <v>38414</v>
      </c>
      <c r="H625" s="5" t="s">
        <v>25</v>
      </c>
      <c r="I625" s="5" t="str">
        <f t="shared" si="36"/>
        <v>Yes</v>
      </c>
      <c r="J625" s="5" t="s">
        <v>691</v>
      </c>
      <c r="K625" s="5">
        <v>2005</v>
      </c>
      <c r="L625" s="5" t="str">
        <f t="shared" si="39"/>
        <v>Mar-2005</v>
      </c>
      <c r="M625" s="5" t="s">
        <v>181</v>
      </c>
      <c r="N625" s="5" t="s">
        <v>261</v>
      </c>
      <c r="O625" s="5" t="s">
        <v>188</v>
      </c>
      <c r="P625" s="5" t="s">
        <v>42</v>
      </c>
      <c r="Q625" s="5" t="s">
        <v>51</v>
      </c>
    </row>
    <row r="626" spans="1:17" x14ac:dyDescent="0.25">
      <c r="A626" s="3">
        <v>10405</v>
      </c>
      <c r="B626" s="3">
        <v>61</v>
      </c>
      <c r="C626" s="3">
        <v>73.92</v>
      </c>
      <c r="D626" s="3">
        <v>4509.12</v>
      </c>
      <c r="E626" s="3" t="str">
        <f t="shared" si="37"/>
        <v>Medium</v>
      </c>
      <c r="F626" s="3">
        <f t="shared" si="38"/>
        <v>1352.7359999999999</v>
      </c>
      <c r="G626" s="4">
        <v>38456</v>
      </c>
      <c r="H626" s="3" t="s">
        <v>25</v>
      </c>
      <c r="I626" s="3" t="str">
        <f t="shared" si="36"/>
        <v>Yes</v>
      </c>
      <c r="J626" s="3" t="s">
        <v>688</v>
      </c>
      <c r="K626" s="3">
        <v>2005</v>
      </c>
      <c r="L626" s="3" t="str">
        <f t="shared" si="39"/>
        <v>Apr-2005</v>
      </c>
      <c r="M626" s="3" t="s">
        <v>181</v>
      </c>
      <c r="N626" s="3" t="s">
        <v>531</v>
      </c>
      <c r="O626" s="3" t="s">
        <v>41</v>
      </c>
      <c r="P626" s="3" t="s">
        <v>42</v>
      </c>
      <c r="Q626" s="3" t="s">
        <v>51</v>
      </c>
    </row>
    <row r="627" spans="1:17" x14ac:dyDescent="0.25">
      <c r="A627" s="5">
        <v>10419</v>
      </c>
      <c r="B627" s="5">
        <v>39</v>
      </c>
      <c r="C627" s="5">
        <v>83.93</v>
      </c>
      <c r="D627" s="5">
        <v>3273.2700000000004</v>
      </c>
      <c r="E627" s="5" t="str">
        <f t="shared" si="37"/>
        <v>Medium</v>
      </c>
      <c r="F627" s="5">
        <f t="shared" si="38"/>
        <v>981.98100000000011</v>
      </c>
      <c r="G627" s="6">
        <v>38489</v>
      </c>
      <c r="H627" s="5" t="s">
        <v>25</v>
      </c>
      <c r="I627" s="5" t="str">
        <f t="shared" si="36"/>
        <v>Yes</v>
      </c>
      <c r="J627" s="5" t="s">
        <v>682</v>
      </c>
      <c r="K627" s="5">
        <v>2005</v>
      </c>
      <c r="L627" s="5" t="str">
        <f t="shared" si="39"/>
        <v>May-2005</v>
      </c>
      <c r="M627" s="5" t="s">
        <v>181</v>
      </c>
      <c r="N627" s="5" t="s">
        <v>144</v>
      </c>
      <c r="O627" s="5" t="s">
        <v>148</v>
      </c>
      <c r="P627" s="5" t="s">
        <v>42</v>
      </c>
      <c r="Q627" s="5" t="s">
        <v>51</v>
      </c>
    </row>
    <row r="628" spans="1:17" x14ac:dyDescent="0.25">
      <c r="A628" s="3">
        <v>10109</v>
      </c>
      <c r="B628" s="3">
        <v>38</v>
      </c>
      <c r="C628" s="3">
        <v>100</v>
      </c>
      <c r="D628" s="3">
        <v>3800</v>
      </c>
      <c r="E628" s="3" t="str">
        <f t="shared" si="37"/>
        <v>Medium</v>
      </c>
      <c r="F628" s="3">
        <f t="shared" si="38"/>
        <v>1140</v>
      </c>
      <c r="G628" s="4">
        <v>37690</v>
      </c>
      <c r="H628" s="3" t="s">
        <v>25</v>
      </c>
      <c r="I628" s="3" t="str">
        <f t="shared" si="36"/>
        <v>Yes</v>
      </c>
      <c r="J628" s="3" t="s">
        <v>691</v>
      </c>
      <c r="K628" s="3">
        <v>2003</v>
      </c>
      <c r="L628" s="3" t="str">
        <f t="shared" si="39"/>
        <v>Mar-2003</v>
      </c>
      <c r="M628" s="3" t="s">
        <v>181</v>
      </c>
      <c r="N628" s="3" t="s">
        <v>309</v>
      </c>
      <c r="O628" s="3" t="s">
        <v>32</v>
      </c>
      <c r="P628" s="3" t="s">
        <v>33</v>
      </c>
      <c r="Q628" s="3" t="s">
        <v>51</v>
      </c>
    </row>
    <row r="629" spans="1:17" x14ac:dyDescent="0.25">
      <c r="A629" s="5">
        <v>10122</v>
      </c>
      <c r="B629" s="5">
        <v>31</v>
      </c>
      <c r="C629" s="5">
        <v>100</v>
      </c>
      <c r="D629" s="5">
        <v>3100</v>
      </c>
      <c r="E629" s="5" t="str">
        <f t="shared" si="37"/>
        <v>Medium</v>
      </c>
      <c r="F629" s="5">
        <f t="shared" si="38"/>
        <v>930</v>
      </c>
      <c r="G629" s="6">
        <v>37749</v>
      </c>
      <c r="H629" s="5" t="s">
        <v>25</v>
      </c>
      <c r="I629" s="5" t="str">
        <f t="shared" si="36"/>
        <v>Yes</v>
      </c>
      <c r="J629" s="5" t="s">
        <v>682</v>
      </c>
      <c r="K629" s="5">
        <v>2003</v>
      </c>
      <c r="L629" s="5" t="str">
        <f t="shared" si="39"/>
        <v>May-2003</v>
      </c>
      <c r="M629" s="5" t="s">
        <v>181</v>
      </c>
      <c r="N629" s="5" t="s">
        <v>433</v>
      </c>
      <c r="O629" s="5" t="s">
        <v>41</v>
      </c>
      <c r="P629" s="5" t="s">
        <v>42</v>
      </c>
      <c r="Q629" s="5" t="s">
        <v>51</v>
      </c>
    </row>
    <row r="630" spans="1:17" x14ac:dyDescent="0.25">
      <c r="A630" s="3">
        <v>10136</v>
      </c>
      <c r="B630" s="3">
        <v>36</v>
      </c>
      <c r="C630" s="3">
        <v>100</v>
      </c>
      <c r="D630" s="3">
        <v>3600</v>
      </c>
      <c r="E630" s="3" t="str">
        <f t="shared" si="37"/>
        <v>Medium</v>
      </c>
      <c r="F630" s="3">
        <f t="shared" si="38"/>
        <v>1080</v>
      </c>
      <c r="G630" s="4">
        <v>37806</v>
      </c>
      <c r="H630" s="3" t="s">
        <v>25</v>
      </c>
      <c r="I630" s="3" t="str">
        <f t="shared" si="36"/>
        <v>Yes</v>
      </c>
      <c r="J630" s="3" t="s">
        <v>683</v>
      </c>
      <c r="K630" s="3">
        <v>2003</v>
      </c>
      <c r="L630" s="3" t="str">
        <f t="shared" si="39"/>
        <v>Jul-2003</v>
      </c>
      <c r="M630" s="3" t="s">
        <v>181</v>
      </c>
      <c r="N630" s="3" t="s">
        <v>340</v>
      </c>
      <c r="O630" s="3" t="s">
        <v>41</v>
      </c>
      <c r="P630" s="3" t="s">
        <v>42</v>
      </c>
      <c r="Q630" s="3" t="s">
        <v>51</v>
      </c>
    </row>
    <row r="631" spans="1:17" x14ac:dyDescent="0.25">
      <c r="A631" s="5">
        <v>10148</v>
      </c>
      <c r="B631" s="5">
        <v>25</v>
      </c>
      <c r="C631" s="5">
        <v>100</v>
      </c>
      <c r="D631" s="5">
        <v>2500</v>
      </c>
      <c r="E631" s="5" t="str">
        <f t="shared" si="37"/>
        <v>Medium</v>
      </c>
      <c r="F631" s="5">
        <f t="shared" si="38"/>
        <v>750</v>
      </c>
      <c r="G631" s="6">
        <v>37875</v>
      </c>
      <c r="H631" s="5" t="s">
        <v>25</v>
      </c>
      <c r="I631" s="5" t="str">
        <f t="shared" si="36"/>
        <v>Yes</v>
      </c>
      <c r="J631" s="5" t="s">
        <v>690</v>
      </c>
      <c r="K631" s="5">
        <v>2003</v>
      </c>
      <c r="L631" s="5" t="str">
        <f t="shared" si="39"/>
        <v>Sep-2003</v>
      </c>
      <c r="M631" s="5" t="s">
        <v>181</v>
      </c>
      <c r="N631" s="5" t="s">
        <v>285</v>
      </c>
      <c r="O631" s="5" t="s">
        <v>95</v>
      </c>
      <c r="P631" s="5" t="s">
        <v>96</v>
      </c>
      <c r="Q631" s="5" t="s">
        <v>51</v>
      </c>
    </row>
    <row r="632" spans="1:17" x14ac:dyDescent="0.25">
      <c r="A632" s="3">
        <v>10161</v>
      </c>
      <c r="B632" s="3">
        <v>48</v>
      </c>
      <c r="C632" s="3">
        <v>100</v>
      </c>
      <c r="D632" s="3">
        <v>4800</v>
      </c>
      <c r="E632" s="3" t="str">
        <f t="shared" si="37"/>
        <v>Medium</v>
      </c>
      <c r="F632" s="3">
        <f t="shared" si="38"/>
        <v>1440</v>
      </c>
      <c r="G632" s="4">
        <v>37911</v>
      </c>
      <c r="H632" s="3" t="s">
        <v>25</v>
      </c>
      <c r="I632" s="3" t="str">
        <f t="shared" si="36"/>
        <v>Yes</v>
      </c>
      <c r="J632" s="3" t="s">
        <v>685</v>
      </c>
      <c r="K632" s="3">
        <v>2003</v>
      </c>
      <c r="L632" s="3" t="str">
        <f t="shared" si="39"/>
        <v>Oct-2003</v>
      </c>
      <c r="M632" s="3" t="s">
        <v>181</v>
      </c>
      <c r="N632" s="3" t="s">
        <v>498</v>
      </c>
      <c r="O632" s="3" t="s">
        <v>326</v>
      </c>
      <c r="P632" s="3" t="s">
        <v>42</v>
      </c>
      <c r="Q632" s="3" t="s">
        <v>51</v>
      </c>
    </row>
    <row r="633" spans="1:17" x14ac:dyDescent="0.25">
      <c r="A633" s="5">
        <v>10171</v>
      </c>
      <c r="B633" s="5">
        <v>35</v>
      </c>
      <c r="C633" s="5">
        <v>100</v>
      </c>
      <c r="D633" s="5">
        <v>3500</v>
      </c>
      <c r="E633" s="5" t="str">
        <f t="shared" si="37"/>
        <v>Medium</v>
      </c>
      <c r="F633" s="5">
        <f t="shared" si="38"/>
        <v>1050</v>
      </c>
      <c r="G633" s="6">
        <v>37930</v>
      </c>
      <c r="H633" s="5" t="s">
        <v>25</v>
      </c>
      <c r="I633" s="5" t="str">
        <f t="shared" si="36"/>
        <v>Yes</v>
      </c>
      <c r="J633" s="5" t="s">
        <v>686</v>
      </c>
      <c r="K633" s="5">
        <v>2003</v>
      </c>
      <c r="L633" s="5" t="str">
        <f t="shared" si="39"/>
        <v>Nov-2003</v>
      </c>
      <c r="M633" s="5" t="s">
        <v>181</v>
      </c>
      <c r="N633" s="5" t="s">
        <v>292</v>
      </c>
      <c r="O633" s="5" t="s">
        <v>231</v>
      </c>
      <c r="P633" s="5" t="s">
        <v>33</v>
      </c>
      <c r="Q633" s="5" t="s">
        <v>51</v>
      </c>
    </row>
    <row r="634" spans="1:17" x14ac:dyDescent="0.25">
      <c r="A634" s="3">
        <v>10181</v>
      </c>
      <c r="B634" s="3">
        <v>21</v>
      </c>
      <c r="C634" s="3">
        <v>100</v>
      </c>
      <c r="D634" s="3">
        <v>2100</v>
      </c>
      <c r="E634" s="3" t="str">
        <f t="shared" si="37"/>
        <v>Medium</v>
      </c>
      <c r="F634" s="3">
        <f t="shared" si="38"/>
        <v>630</v>
      </c>
      <c r="G634" s="4">
        <v>37937</v>
      </c>
      <c r="H634" s="3" t="s">
        <v>25</v>
      </c>
      <c r="I634" s="3" t="str">
        <f t="shared" si="36"/>
        <v>Yes</v>
      </c>
      <c r="J634" s="3" t="s">
        <v>686</v>
      </c>
      <c r="K634" s="3">
        <v>2003</v>
      </c>
      <c r="L634" s="3" t="str">
        <f t="shared" si="39"/>
        <v>Nov-2003</v>
      </c>
      <c r="M634" s="3" t="s">
        <v>181</v>
      </c>
      <c r="N634" s="3" t="s">
        <v>73</v>
      </c>
      <c r="O634" s="3" t="s">
        <v>78</v>
      </c>
      <c r="P634" s="3" t="s">
        <v>42</v>
      </c>
      <c r="Q634" s="3" t="s">
        <v>51</v>
      </c>
    </row>
    <row r="635" spans="1:17" x14ac:dyDescent="0.25">
      <c r="A635" s="5">
        <v>10192</v>
      </c>
      <c r="B635" s="5">
        <v>47</v>
      </c>
      <c r="C635" s="5">
        <v>100</v>
      </c>
      <c r="D635" s="5">
        <v>4700</v>
      </c>
      <c r="E635" s="5" t="str">
        <f t="shared" si="37"/>
        <v>Medium</v>
      </c>
      <c r="F635" s="5">
        <f t="shared" si="38"/>
        <v>1410</v>
      </c>
      <c r="G635" s="6">
        <v>37945</v>
      </c>
      <c r="H635" s="5" t="s">
        <v>25</v>
      </c>
      <c r="I635" s="5" t="str">
        <f t="shared" si="36"/>
        <v>Yes</v>
      </c>
      <c r="J635" s="5" t="s">
        <v>686</v>
      </c>
      <c r="K635" s="5">
        <v>2003</v>
      </c>
      <c r="L635" s="5" t="str">
        <f t="shared" si="39"/>
        <v>Nov-2003</v>
      </c>
      <c r="M635" s="5" t="s">
        <v>181</v>
      </c>
      <c r="N635" s="5" t="s">
        <v>277</v>
      </c>
      <c r="O635" s="5" t="s">
        <v>32</v>
      </c>
      <c r="P635" s="5" t="s">
        <v>33</v>
      </c>
      <c r="Q635" s="5" t="s">
        <v>151</v>
      </c>
    </row>
    <row r="636" spans="1:17" x14ac:dyDescent="0.25">
      <c r="A636" s="3">
        <v>10204</v>
      </c>
      <c r="B636" s="3">
        <v>38</v>
      </c>
      <c r="C636" s="3">
        <v>100</v>
      </c>
      <c r="D636" s="3">
        <v>3800</v>
      </c>
      <c r="E636" s="3" t="str">
        <f t="shared" si="37"/>
        <v>Medium</v>
      </c>
      <c r="F636" s="3">
        <f t="shared" si="38"/>
        <v>1140</v>
      </c>
      <c r="G636" s="4">
        <v>37957</v>
      </c>
      <c r="H636" s="3" t="s">
        <v>25</v>
      </c>
      <c r="I636" s="3" t="str">
        <f t="shared" si="36"/>
        <v>Yes</v>
      </c>
      <c r="J636" s="3" t="s">
        <v>687</v>
      </c>
      <c r="K636" s="3">
        <v>2003</v>
      </c>
      <c r="L636" s="3" t="str">
        <f t="shared" si="39"/>
        <v>Dec-2003</v>
      </c>
      <c r="M636" s="3" t="s">
        <v>181</v>
      </c>
      <c r="N636" s="3" t="s">
        <v>475</v>
      </c>
      <c r="O636" s="3" t="s">
        <v>32</v>
      </c>
      <c r="P636" s="3" t="s">
        <v>33</v>
      </c>
      <c r="Q636" s="3" t="s">
        <v>51</v>
      </c>
    </row>
    <row r="637" spans="1:17" x14ac:dyDescent="0.25">
      <c r="A637" s="5">
        <v>10212</v>
      </c>
      <c r="B637" s="5">
        <v>41</v>
      </c>
      <c r="C637" s="5">
        <v>100</v>
      </c>
      <c r="D637" s="5">
        <v>4100</v>
      </c>
      <c r="E637" s="5" t="str">
        <f t="shared" si="37"/>
        <v>Medium</v>
      </c>
      <c r="F637" s="5">
        <f t="shared" si="38"/>
        <v>1230</v>
      </c>
      <c r="G637" s="6">
        <v>38002</v>
      </c>
      <c r="H637" s="5" t="s">
        <v>25</v>
      </c>
      <c r="I637" s="5" t="str">
        <f t="shared" si="36"/>
        <v>Yes</v>
      </c>
      <c r="J637" s="5" t="s">
        <v>549</v>
      </c>
      <c r="K637" s="5">
        <v>2004</v>
      </c>
      <c r="L637" s="5" t="str">
        <f t="shared" si="39"/>
        <v>Jan-2004</v>
      </c>
      <c r="M637" s="5" t="s">
        <v>181</v>
      </c>
      <c r="N637" s="5" t="s">
        <v>174</v>
      </c>
      <c r="O637" s="5" t="s">
        <v>178</v>
      </c>
      <c r="P637" s="5" t="s">
        <v>42</v>
      </c>
      <c r="Q637" s="5" t="s">
        <v>51</v>
      </c>
    </row>
    <row r="638" spans="1:17" x14ac:dyDescent="0.25">
      <c r="A638" s="3">
        <v>10226</v>
      </c>
      <c r="B638" s="3">
        <v>24</v>
      </c>
      <c r="C638" s="3">
        <v>100</v>
      </c>
      <c r="D638" s="3">
        <v>2400</v>
      </c>
      <c r="E638" s="3" t="str">
        <f t="shared" si="37"/>
        <v>Medium</v>
      </c>
      <c r="F638" s="3">
        <f t="shared" si="38"/>
        <v>720</v>
      </c>
      <c r="G638" s="4">
        <v>38043</v>
      </c>
      <c r="H638" s="3" t="s">
        <v>25</v>
      </c>
      <c r="I638" s="3" t="str">
        <f t="shared" si="36"/>
        <v>Yes</v>
      </c>
      <c r="J638" s="3" t="s">
        <v>681</v>
      </c>
      <c r="K638" s="3">
        <v>2004</v>
      </c>
      <c r="L638" s="3" t="str">
        <f t="shared" si="39"/>
        <v>Feb-2004</v>
      </c>
      <c r="M638" s="3" t="s">
        <v>181</v>
      </c>
      <c r="N638" s="3" t="s">
        <v>362</v>
      </c>
      <c r="O638" s="3" t="s">
        <v>32</v>
      </c>
      <c r="P638" s="3" t="s">
        <v>33</v>
      </c>
      <c r="Q638" s="3" t="s">
        <v>51</v>
      </c>
    </row>
    <row r="639" spans="1:17" x14ac:dyDescent="0.25">
      <c r="A639" s="5">
        <v>10240</v>
      </c>
      <c r="B639" s="5">
        <v>37</v>
      </c>
      <c r="C639" s="5">
        <v>100</v>
      </c>
      <c r="D639" s="5">
        <v>3700</v>
      </c>
      <c r="E639" s="5" t="str">
        <f t="shared" si="37"/>
        <v>Medium</v>
      </c>
      <c r="F639" s="5">
        <f t="shared" si="38"/>
        <v>1110</v>
      </c>
      <c r="G639" s="6">
        <v>38090</v>
      </c>
      <c r="H639" s="5" t="s">
        <v>25</v>
      </c>
      <c r="I639" s="5" t="str">
        <f t="shared" si="36"/>
        <v>Yes</v>
      </c>
      <c r="J639" s="5" t="s">
        <v>688</v>
      </c>
      <c r="K639" s="5">
        <v>2004</v>
      </c>
      <c r="L639" s="5" t="str">
        <f t="shared" si="39"/>
        <v>Apr-2004</v>
      </c>
      <c r="M639" s="5" t="s">
        <v>181</v>
      </c>
      <c r="N639" s="5" t="s">
        <v>302</v>
      </c>
      <c r="O639" s="5" t="s">
        <v>200</v>
      </c>
      <c r="P639" s="5" t="s">
        <v>675</v>
      </c>
      <c r="Q639" s="5" t="s">
        <v>51</v>
      </c>
    </row>
    <row r="640" spans="1:17" x14ac:dyDescent="0.25">
      <c r="A640" s="3">
        <v>10253</v>
      </c>
      <c r="B640" s="3">
        <v>33</v>
      </c>
      <c r="C640" s="3">
        <v>100</v>
      </c>
      <c r="D640" s="3">
        <v>3300</v>
      </c>
      <c r="E640" s="3" t="str">
        <f t="shared" si="37"/>
        <v>Medium</v>
      </c>
      <c r="F640" s="3">
        <f t="shared" si="38"/>
        <v>990</v>
      </c>
      <c r="G640" s="4">
        <v>38139</v>
      </c>
      <c r="H640" s="3" t="s">
        <v>339</v>
      </c>
      <c r="I640" s="3" t="str">
        <f t="shared" si="36"/>
        <v>No</v>
      </c>
      <c r="J640" s="3" t="s">
        <v>689</v>
      </c>
      <c r="K640" s="3">
        <v>2004</v>
      </c>
      <c r="L640" s="3" t="str">
        <f t="shared" si="39"/>
        <v>Jun-2004</v>
      </c>
      <c r="M640" s="3" t="s">
        <v>181</v>
      </c>
      <c r="N640" s="3" t="s">
        <v>165</v>
      </c>
      <c r="O640" s="3" t="s">
        <v>170</v>
      </c>
      <c r="P640" s="3" t="s">
        <v>42</v>
      </c>
      <c r="Q640" s="3" t="s">
        <v>51</v>
      </c>
    </row>
    <row r="641" spans="1:17" x14ac:dyDescent="0.25">
      <c r="A641" s="5">
        <v>10266</v>
      </c>
      <c r="B641" s="5">
        <v>49</v>
      </c>
      <c r="C641" s="5">
        <v>100</v>
      </c>
      <c r="D641" s="5">
        <v>4900</v>
      </c>
      <c r="E641" s="5" t="str">
        <f t="shared" si="37"/>
        <v>Medium</v>
      </c>
      <c r="F641" s="5">
        <f t="shared" si="38"/>
        <v>1470</v>
      </c>
      <c r="G641" s="6">
        <v>38174</v>
      </c>
      <c r="H641" s="5" t="s">
        <v>25</v>
      </c>
      <c r="I641" s="5" t="str">
        <f t="shared" si="36"/>
        <v>Yes</v>
      </c>
      <c r="J641" s="5" t="s">
        <v>683</v>
      </c>
      <c r="K641" s="5">
        <v>2004</v>
      </c>
      <c r="L641" s="5" t="str">
        <f t="shared" si="39"/>
        <v>Jul-2004</v>
      </c>
      <c r="M641" s="5" t="s">
        <v>181</v>
      </c>
      <c r="N641" s="5" t="s">
        <v>452</v>
      </c>
      <c r="O641" s="5" t="s">
        <v>258</v>
      </c>
      <c r="P641" s="5" t="s">
        <v>42</v>
      </c>
      <c r="Q641" s="5" t="s">
        <v>51</v>
      </c>
    </row>
    <row r="642" spans="1:17" x14ac:dyDescent="0.25">
      <c r="A642" s="3">
        <v>10278</v>
      </c>
      <c r="B642" s="3">
        <v>29</v>
      </c>
      <c r="C642" s="3">
        <v>100</v>
      </c>
      <c r="D642" s="3">
        <v>2900</v>
      </c>
      <c r="E642" s="3" t="str">
        <f t="shared" si="37"/>
        <v>Medium</v>
      </c>
      <c r="F642" s="3">
        <f t="shared" si="38"/>
        <v>870</v>
      </c>
      <c r="G642" s="4">
        <v>38205</v>
      </c>
      <c r="H642" s="3" t="s">
        <v>25</v>
      </c>
      <c r="I642" s="3" t="str">
        <f t="shared" ref="I642:I705" si="40">IF(H642="Shipped","Yes","No")</f>
        <v>Yes</v>
      </c>
      <c r="J642" s="3" t="s">
        <v>684</v>
      </c>
      <c r="K642" s="3">
        <v>2004</v>
      </c>
      <c r="L642" s="3" t="str">
        <f t="shared" si="39"/>
        <v>Aug-2004</v>
      </c>
      <c r="M642" s="3" t="s">
        <v>181</v>
      </c>
      <c r="N642" s="3" t="s">
        <v>539</v>
      </c>
      <c r="O642" s="3" t="s">
        <v>32</v>
      </c>
      <c r="P642" s="3" t="s">
        <v>33</v>
      </c>
      <c r="Q642" s="3" t="s">
        <v>51</v>
      </c>
    </row>
    <row r="643" spans="1:17" x14ac:dyDescent="0.25">
      <c r="A643" s="5">
        <v>10287</v>
      </c>
      <c r="B643" s="5">
        <v>24</v>
      </c>
      <c r="C643" s="5">
        <v>100</v>
      </c>
      <c r="D643" s="5">
        <v>2400</v>
      </c>
      <c r="E643" s="5" t="str">
        <f t="shared" ref="E643:E706" si="41">IF(D643&gt;=5000,"High",IF(D643&gt;=2000,"Medium","Low"))</f>
        <v>Medium</v>
      </c>
      <c r="F643" s="5">
        <f t="shared" ref="F643:F706" si="42">(D643*0.3)</f>
        <v>720</v>
      </c>
      <c r="G643" s="6">
        <v>38229</v>
      </c>
      <c r="H643" s="5" t="s">
        <v>25</v>
      </c>
      <c r="I643" s="5" t="str">
        <f t="shared" si="40"/>
        <v>Yes</v>
      </c>
      <c r="J643" s="5" t="s">
        <v>684</v>
      </c>
      <c r="K643" s="5">
        <v>2004</v>
      </c>
      <c r="L643" s="5" t="str">
        <f t="shared" ref="L643:L706" si="43">TEXT(G:G,"MMM-YYYY")</f>
        <v>Aug-2004</v>
      </c>
      <c r="M643" s="5" t="s">
        <v>181</v>
      </c>
      <c r="N643" s="5" t="s">
        <v>446</v>
      </c>
      <c r="O643" s="5" t="s">
        <v>450</v>
      </c>
      <c r="P643" s="5" t="s">
        <v>42</v>
      </c>
      <c r="Q643" s="5" t="s">
        <v>51</v>
      </c>
    </row>
    <row r="644" spans="1:17" x14ac:dyDescent="0.25">
      <c r="A644" s="3">
        <v>10301</v>
      </c>
      <c r="B644" s="3">
        <v>47</v>
      </c>
      <c r="C644" s="3">
        <v>100</v>
      </c>
      <c r="D644" s="3">
        <v>4700</v>
      </c>
      <c r="E644" s="3" t="str">
        <f t="shared" si="41"/>
        <v>Medium</v>
      </c>
      <c r="F644" s="3">
        <f t="shared" si="42"/>
        <v>1410</v>
      </c>
      <c r="G644" s="4">
        <v>37899</v>
      </c>
      <c r="H644" s="3" t="s">
        <v>25</v>
      </c>
      <c r="I644" s="3" t="str">
        <f t="shared" si="40"/>
        <v>Yes</v>
      </c>
      <c r="J644" s="3" t="s">
        <v>685</v>
      </c>
      <c r="K644" s="3">
        <v>2003</v>
      </c>
      <c r="L644" s="3" t="str">
        <f t="shared" si="43"/>
        <v>Oct-2003</v>
      </c>
      <c r="M644" s="3" t="s">
        <v>181</v>
      </c>
      <c r="N644" s="3" t="s">
        <v>543</v>
      </c>
      <c r="O644" s="3" t="s">
        <v>78</v>
      </c>
      <c r="P644" s="3" t="s">
        <v>42</v>
      </c>
      <c r="Q644" s="3" t="s">
        <v>151</v>
      </c>
    </row>
    <row r="645" spans="1:17" x14ac:dyDescent="0.25">
      <c r="A645" s="5">
        <v>10310</v>
      </c>
      <c r="B645" s="5">
        <v>24</v>
      </c>
      <c r="C645" s="5">
        <v>100</v>
      </c>
      <c r="D645" s="5">
        <v>2400</v>
      </c>
      <c r="E645" s="5" t="str">
        <f t="shared" si="41"/>
        <v>Medium</v>
      </c>
      <c r="F645" s="5">
        <f t="shared" si="42"/>
        <v>720</v>
      </c>
      <c r="G645" s="6">
        <v>38276</v>
      </c>
      <c r="H645" s="5" t="s">
        <v>25</v>
      </c>
      <c r="I645" s="5" t="str">
        <f t="shared" si="40"/>
        <v>Yes</v>
      </c>
      <c r="J645" s="5" t="s">
        <v>685</v>
      </c>
      <c r="K645" s="5">
        <v>2004</v>
      </c>
      <c r="L645" s="5" t="str">
        <f t="shared" si="43"/>
        <v>Oct-2004</v>
      </c>
      <c r="M645" s="5" t="s">
        <v>181</v>
      </c>
      <c r="N645" s="5" t="s">
        <v>439</v>
      </c>
      <c r="O645" s="5" t="s">
        <v>443</v>
      </c>
      <c r="P645" s="5" t="s">
        <v>42</v>
      </c>
      <c r="Q645" s="5" t="s">
        <v>51</v>
      </c>
    </row>
    <row r="646" spans="1:17" x14ac:dyDescent="0.25">
      <c r="A646" s="3">
        <v>10321</v>
      </c>
      <c r="B646" s="3">
        <v>25</v>
      </c>
      <c r="C646" s="3">
        <v>100</v>
      </c>
      <c r="D646" s="3">
        <v>2500</v>
      </c>
      <c r="E646" s="3" t="str">
        <f t="shared" si="41"/>
        <v>Medium</v>
      </c>
      <c r="F646" s="3">
        <f t="shared" si="42"/>
        <v>750</v>
      </c>
      <c r="G646" s="4">
        <v>38295</v>
      </c>
      <c r="H646" s="3" t="s">
        <v>25</v>
      </c>
      <c r="I646" s="3" t="str">
        <f t="shared" si="40"/>
        <v>Yes</v>
      </c>
      <c r="J646" s="3" t="s">
        <v>686</v>
      </c>
      <c r="K646" s="3">
        <v>2004</v>
      </c>
      <c r="L646" s="3" t="str">
        <f t="shared" si="43"/>
        <v>Nov-2004</v>
      </c>
      <c r="M646" s="3" t="s">
        <v>181</v>
      </c>
      <c r="N646" s="3" t="s">
        <v>160</v>
      </c>
      <c r="O646" s="3" t="s">
        <v>32</v>
      </c>
      <c r="P646" s="3" t="s">
        <v>33</v>
      </c>
      <c r="Q646" s="3" t="s">
        <v>51</v>
      </c>
    </row>
    <row r="647" spans="1:17" x14ac:dyDescent="0.25">
      <c r="A647" s="5">
        <v>10331</v>
      </c>
      <c r="B647" s="5">
        <v>30</v>
      </c>
      <c r="C647" s="5">
        <v>32.47</v>
      </c>
      <c r="D647" s="5">
        <v>974.09999999999991</v>
      </c>
      <c r="E647" s="5" t="str">
        <f t="shared" si="41"/>
        <v>Low</v>
      </c>
      <c r="F647" s="5">
        <f t="shared" si="42"/>
        <v>292.22999999999996</v>
      </c>
      <c r="G647" s="6">
        <v>38308</v>
      </c>
      <c r="H647" s="5" t="s">
        <v>25</v>
      </c>
      <c r="I647" s="5" t="str">
        <f t="shared" si="40"/>
        <v>Yes</v>
      </c>
      <c r="J647" s="5" t="s">
        <v>686</v>
      </c>
      <c r="K647" s="5">
        <v>2004</v>
      </c>
      <c r="L647" s="5" t="str">
        <f t="shared" si="43"/>
        <v>Nov-2004</v>
      </c>
      <c r="M647" s="5" t="s">
        <v>181</v>
      </c>
      <c r="N647" s="5" t="s">
        <v>309</v>
      </c>
      <c r="O647" s="5" t="s">
        <v>32</v>
      </c>
      <c r="P647" s="5" t="s">
        <v>33</v>
      </c>
      <c r="Q647" s="5" t="s">
        <v>36</v>
      </c>
    </row>
    <row r="648" spans="1:17" x14ac:dyDescent="0.25">
      <c r="A648" s="3">
        <v>10342</v>
      </c>
      <c r="B648" s="3">
        <v>22</v>
      </c>
      <c r="C648" s="3">
        <v>100</v>
      </c>
      <c r="D648" s="3">
        <v>2200</v>
      </c>
      <c r="E648" s="3" t="str">
        <f t="shared" si="41"/>
        <v>Medium</v>
      </c>
      <c r="F648" s="3">
        <f t="shared" si="42"/>
        <v>660</v>
      </c>
      <c r="G648" s="4">
        <v>38315</v>
      </c>
      <c r="H648" s="3" t="s">
        <v>25</v>
      </c>
      <c r="I648" s="3" t="str">
        <f t="shared" si="40"/>
        <v>Yes</v>
      </c>
      <c r="J648" s="3" t="s">
        <v>686</v>
      </c>
      <c r="K648" s="3">
        <v>2004</v>
      </c>
      <c r="L648" s="3" t="str">
        <f t="shared" si="43"/>
        <v>Nov-2004</v>
      </c>
      <c r="M648" s="3" t="s">
        <v>181</v>
      </c>
      <c r="N648" s="3" t="s">
        <v>89</v>
      </c>
      <c r="O648" s="3" t="s">
        <v>95</v>
      </c>
      <c r="P648" s="3" t="s">
        <v>96</v>
      </c>
      <c r="Q648" s="3" t="s">
        <v>51</v>
      </c>
    </row>
    <row r="649" spans="1:17" x14ac:dyDescent="0.25">
      <c r="A649" s="5">
        <v>10356</v>
      </c>
      <c r="B649" s="5">
        <v>27</v>
      </c>
      <c r="C649" s="5">
        <v>64.69</v>
      </c>
      <c r="D649" s="5">
        <v>1746.6299999999999</v>
      </c>
      <c r="E649" s="5" t="str">
        <f t="shared" si="41"/>
        <v>Low</v>
      </c>
      <c r="F649" s="5">
        <f t="shared" si="42"/>
        <v>523.98899999999992</v>
      </c>
      <c r="G649" s="6">
        <v>38330</v>
      </c>
      <c r="H649" s="5" t="s">
        <v>25</v>
      </c>
      <c r="I649" s="5" t="str">
        <f t="shared" si="40"/>
        <v>Yes</v>
      </c>
      <c r="J649" s="5" t="s">
        <v>687</v>
      </c>
      <c r="K649" s="5">
        <v>2004</v>
      </c>
      <c r="L649" s="5" t="str">
        <f t="shared" si="43"/>
        <v>Dec-2004</v>
      </c>
      <c r="M649" s="5" t="s">
        <v>181</v>
      </c>
      <c r="N649" s="5" t="s">
        <v>45</v>
      </c>
      <c r="O649" s="5" t="s">
        <v>41</v>
      </c>
      <c r="P649" s="5" t="s">
        <v>42</v>
      </c>
      <c r="Q649" s="5" t="s">
        <v>36</v>
      </c>
    </row>
    <row r="650" spans="1:17" x14ac:dyDescent="0.25">
      <c r="A650" s="3">
        <v>10366</v>
      </c>
      <c r="B650" s="3">
        <v>34</v>
      </c>
      <c r="C650" s="3">
        <v>100</v>
      </c>
      <c r="D650" s="3">
        <v>3400</v>
      </c>
      <c r="E650" s="3" t="str">
        <f t="shared" si="41"/>
        <v>Medium</v>
      </c>
      <c r="F650" s="3">
        <f t="shared" si="42"/>
        <v>1020</v>
      </c>
      <c r="G650" s="4">
        <v>38362</v>
      </c>
      <c r="H650" s="3" t="s">
        <v>25</v>
      </c>
      <c r="I650" s="3" t="str">
        <f t="shared" si="40"/>
        <v>Yes</v>
      </c>
      <c r="J650" s="3" t="s">
        <v>549</v>
      </c>
      <c r="K650" s="3">
        <v>2005</v>
      </c>
      <c r="L650" s="3" t="str">
        <f t="shared" si="43"/>
        <v>Jan-2005</v>
      </c>
      <c r="M650" s="3" t="s">
        <v>181</v>
      </c>
      <c r="N650" s="3" t="s">
        <v>577</v>
      </c>
      <c r="O650" s="3" t="s">
        <v>370</v>
      </c>
      <c r="P650" s="3" t="s">
        <v>42</v>
      </c>
      <c r="Q650" s="3" t="s">
        <v>51</v>
      </c>
    </row>
    <row r="651" spans="1:17" x14ac:dyDescent="0.25">
      <c r="A651" s="5">
        <v>10377</v>
      </c>
      <c r="B651" s="5">
        <v>36</v>
      </c>
      <c r="C651" s="5">
        <v>100</v>
      </c>
      <c r="D651" s="5">
        <v>3600</v>
      </c>
      <c r="E651" s="5" t="str">
        <f t="shared" si="41"/>
        <v>Medium</v>
      </c>
      <c r="F651" s="5">
        <f t="shared" si="42"/>
        <v>1080</v>
      </c>
      <c r="G651" s="6">
        <v>38392</v>
      </c>
      <c r="H651" s="5" t="s">
        <v>25</v>
      </c>
      <c r="I651" s="5" t="str">
        <f t="shared" si="40"/>
        <v>Yes</v>
      </c>
      <c r="J651" s="5" t="s">
        <v>681</v>
      </c>
      <c r="K651" s="5">
        <v>2005</v>
      </c>
      <c r="L651" s="5" t="str">
        <f t="shared" si="43"/>
        <v>Feb-2005</v>
      </c>
      <c r="M651" s="5" t="s">
        <v>181</v>
      </c>
      <c r="N651" s="5" t="s">
        <v>126</v>
      </c>
      <c r="O651" s="5" t="s">
        <v>130</v>
      </c>
      <c r="P651" s="5" t="s">
        <v>42</v>
      </c>
      <c r="Q651" s="5" t="s">
        <v>51</v>
      </c>
    </row>
    <row r="652" spans="1:17" x14ac:dyDescent="0.25">
      <c r="A652" s="3">
        <v>10390</v>
      </c>
      <c r="B652" s="3">
        <v>34</v>
      </c>
      <c r="C652" s="3">
        <v>43.05</v>
      </c>
      <c r="D652" s="3">
        <v>1463.6999999999998</v>
      </c>
      <c r="E652" s="3" t="str">
        <f t="shared" si="41"/>
        <v>Low</v>
      </c>
      <c r="F652" s="3">
        <f t="shared" si="42"/>
        <v>439.10999999999996</v>
      </c>
      <c r="G652" s="4">
        <v>38415</v>
      </c>
      <c r="H652" s="3" t="s">
        <v>25</v>
      </c>
      <c r="I652" s="3" t="str">
        <f t="shared" si="40"/>
        <v>Yes</v>
      </c>
      <c r="J652" s="3" t="s">
        <v>691</v>
      </c>
      <c r="K652" s="3">
        <v>2005</v>
      </c>
      <c r="L652" s="3" t="str">
        <f t="shared" si="43"/>
        <v>Mar-2005</v>
      </c>
      <c r="M652" s="3" t="s">
        <v>181</v>
      </c>
      <c r="N652" s="3" t="s">
        <v>272</v>
      </c>
      <c r="O652" s="3" t="s">
        <v>32</v>
      </c>
      <c r="P652" s="3" t="s">
        <v>33</v>
      </c>
      <c r="Q652" s="3" t="s">
        <v>36</v>
      </c>
    </row>
    <row r="653" spans="1:17" x14ac:dyDescent="0.25">
      <c r="A653" s="5">
        <v>10406</v>
      </c>
      <c r="B653" s="5">
        <v>48</v>
      </c>
      <c r="C653" s="5">
        <v>100</v>
      </c>
      <c r="D653" s="5">
        <v>4800</v>
      </c>
      <c r="E653" s="5" t="str">
        <f t="shared" si="41"/>
        <v>Medium</v>
      </c>
      <c r="F653" s="5">
        <f t="shared" si="42"/>
        <v>1440</v>
      </c>
      <c r="G653" s="6">
        <v>38457</v>
      </c>
      <c r="H653" s="5" t="s">
        <v>173</v>
      </c>
      <c r="I653" s="5" t="str">
        <f t="shared" si="40"/>
        <v>No</v>
      </c>
      <c r="J653" s="5" t="s">
        <v>688</v>
      </c>
      <c r="K653" s="5">
        <v>2005</v>
      </c>
      <c r="L653" s="5" t="str">
        <f t="shared" si="43"/>
        <v>Apr-2005</v>
      </c>
      <c r="M653" s="5" t="s">
        <v>181</v>
      </c>
      <c r="N653" s="5" t="s">
        <v>322</v>
      </c>
      <c r="O653" s="5" t="s">
        <v>326</v>
      </c>
      <c r="P653" s="5" t="s">
        <v>42</v>
      </c>
      <c r="Q653" s="5" t="s">
        <v>151</v>
      </c>
    </row>
    <row r="654" spans="1:17" x14ac:dyDescent="0.25">
      <c r="A654" s="3">
        <v>10419</v>
      </c>
      <c r="B654" s="3">
        <v>34</v>
      </c>
      <c r="C654" s="3">
        <v>100</v>
      </c>
      <c r="D654" s="3">
        <v>3400</v>
      </c>
      <c r="E654" s="3" t="str">
        <f t="shared" si="41"/>
        <v>Medium</v>
      </c>
      <c r="F654" s="3">
        <f t="shared" si="42"/>
        <v>1020</v>
      </c>
      <c r="G654" s="4">
        <v>38489</v>
      </c>
      <c r="H654" s="3" t="s">
        <v>25</v>
      </c>
      <c r="I654" s="3" t="str">
        <f t="shared" si="40"/>
        <v>Yes</v>
      </c>
      <c r="J654" s="3" t="s">
        <v>682</v>
      </c>
      <c r="K654" s="3">
        <v>2005</v>
      </c>
      <c r="L654" s="3" t="str">
        <f t="shared" si="43"/>
        <v>May-2005</v>
      </c>
      <c r="M654" s="3" t="s">
        <v>181</v>
      </c>
      <c r="N654" s="3" t="s">
        <v>144</v>
      </c>
      <c r="O654" s="3" t="s">
        <v>148</v>
      </c>
      <c r="P654" s="3" t="s">
        <v>42</v>
      </c>
      <c r="Q654" s="3" t="s">
        <v>51</v>
      </c>
    </row>
    <row r="655" spans="1:17" x14ac:dyDescent="0.25">
      <c r="A655" s="5">
        <v>10104</v>
      </c>
      <c r="B655" s="5">
        <v>24</v>
      </c>
      <c r="C655" s="5">
        <v>100</v>
      </c>
      <c r="D655" s="5">
        <v>2400</v>
      </c>
      <c r="E655" s="5" t="str">
        <f t="shared" si="41"/>
        <v>Medium</v>
      </c>
      <c r="F655" s="5">
        <f t="shared" si="42"/>
        <v>720</v>
      </c>
      <c r="G655" s="6">
        <v>37652</v>
      </c>
      <c r="H655" s="5" t="s">
        <v>25</v>
      </c>
      <c r="I655" s="5" t="str">
        <f t="shared" si="40"/>
        <v>Yes</v>
      </c>
      <c r="J655" s="5" t="s">
        <v>549</v>
      </c>
      <c r="K655" s="5">
        <v>2003</v>
      </c>
      <c r="L655" s="5" t="str">
        <f t="shared" si="43"/>
        <v>Jan-2003</v>
      </c>
      <c r="M655" s="5" t="s">
        <v>181</v>
      </c>
      <c r="N655" s="5" t="s">
        <v>174</v>
      </c>
      <c r="O655" s="5" t="s">
        <v>178</v>
      </c>
      <c r="P655" s="5" t="s">
        <v>42</v>
      </c>
      <c r="Q655" s="5" t="s">
        <v>51</v>
      </c>
    </row>
    <row r="656" spans="1:17" x14ac:dyDescent="0.25">
      <c r="A656" s="3">
        <v>10115</v>
      </c>
      <c r="B656" s="3">
        <v>46</v>
      </c>
      <c r="C656" s="3">
        <v>100</v>
      </c>
      <c r="D656" s="3">
        <v>4600</v>
      </c>
      <c r="E656" s="3" t="str">
        <f t="shared" si="41"/>
        <v>Medium</v>
      </c>
      <c r="F656" s="3">
        <f t="shared" si="42"/>
        <v>1380</v>
      </c>
      <c r="G656" s="4">
        <v>37715</v>
      </c>
      <c r="H656" s="3" t="s">
        <v>25</v>
      </c>
      <c r="I656" s="3" t="str">
        <f t="shared" si="40"/>
        <v>Yes</v>
      </c>
      <c r="J656" s="3" t="s">
        <v>688</v>
      </c>
      <c r="K656" s="3">
        <v>2003</v>
      </c>
      <c r="L656" s="3" t="str">
        <f t="shared" si="43"/>
        <v>Apr-2003</v>
      </c>
      <c r="M656" s="3" t="s">
        <v>181</v>
      </c>
      <c r="N656" s="3" t="s">
        <v>203</v>
      </c>
      <c r="O656" s="3" t="s">
        <v>32</v>
      </c>
      <c r="P656" s="3" t="s">
        <v>33</v>
      </c>
      <c r="Q656" s="3" t="s">
        <v>151</v>
      </c>
    </row>
    <row r="657" spans="1:17" x14ac:dyDescent="0.25">
      <c r="A657" s="5">
        <v>10127</v>
      </c>
      <c r="B657" s="5">
        <v>45</v>
      </c>
      <c r="C657" s="5">
        <v>100</v>
      </c>
      <c r="D657" s="5">
        <v>4500</v>
      </c>
      <c r="E657" s="5" t="str">
        <f t="shared" si="41"/>
        <v>Medium</v>
      </c>
      <c r="F657" s="5">
        <f t="shared" si="42"/>
        <v>1350</v>
      </c>
      <c r="G657" s="6">
        <v>37775</v>
      </c>
      <c r="H657" s="5" t="s">
        <v>25</v>
      </c>
      <c r="I657" s="5" t="str">
        <f t="shared" si="40"/>
        <v>Yes</v>
      </c>
      <c r="J657" s="5" t="s">
        <v>689</v>
      </c>
      <c r="K657" s="5">
        <v>2003</v>
      </c>
      <c r="L657" s="5" t="str">
        <f t="shared" si="43"/>
        <v>Jun-2003</v>
      </c>
      <c r="M657" s="5" t="s">
        <v>181</v>
      </c>
      <c r="N657" s="5" t="s">
        <v>475</v>
      </c>
      <c r="O657" s="5" t="s">
        <v>32</v>
      </c>
      <c r="P657" s="5" t="s">
        <v>33</v>
      </c>
      <c r="Q657" s="5" t="s">
        <v>151</v>
      </c>
    </row>
    <row r="658" spans="1:17" x14ac:dyDescent="0.25">
      <c r="A658" s="3">
        <v>10141</v>
      </c>
      <c r="B658" s="3">
        <v>39</v>
      </c>
      <c r="C658" s="3">
        <v>100</v>
      </c>
      <c r="D658" s="3">
        <v>3900</v>
      </c>
      <c r="E658" s="3" t="str">
        <f t="shared" si="41"/>
        <v>Medium</v>
      </c>
      <c r="F658" s="3">
        <f t="shared" si="42"/>
        <v>1170</v>
      </c>
      <c r="G658" s="4">
        <v>37834</v>
      </c>
      <c r="H658" s="3" t="s">
        <v>25</v>
      </c>
      <c r="I658" s="3" t="str">
        <f t="shared" si="40"/>
        <v>Yes</v>
      </c>
      <c r="J658" s="3" t="s">
        <v>684</v>
      </c>
      <c r="K658" s="3">
        <v>2003</v>
      </c>
      <c r="L658" s="3" t="str">
        <f t="shared" si="43"/>
        <v>Aug-2003</v>
      </c>
      <c r="M658" s="3" t="s">
        <v>181</v>
      </c>
      <c r="N658" s="3" t="s">
        <v>467</v>
      </c>
      <c r="O658" s="3" t="s">
        <v>130</v>
      </c>
      <c r="P658" s="3" t="s">
        <v>42</v>
      </c>
      <c r="Q658" s="3" t="s">
        <v>51</v>
      </c>
    </row>
    <row r="659" spans="1:17" x14ac:dyDescent="0.25">
      <c r="A659" s="5">
        <v>10151</v>
      </c>
      <c r="B659" s="5">
        <v>43</v>
      </c>
      <c r="C659" s="5">
        <v>100</v>
      </c>
      <c r="D659" s="5">
        <v>4300</v>
      </c>
      <c r="E659" s="5" t="str">
        <f t="shared" si="41"/>
        <v>Medium</v>
      </c>
      <c r="F659" s="5">
        <f t="shared" si="42"/>
        <v>1290</v>
      </c>
      <c r="G659" s="6">
        <v>37885</v>
      </c>
      <c r="H659" s="5" t="s">
        <v>25</v>
      </c>
      <c r="I659" s="5" t="str">
        <f t="shared" si="40"/>
        <v>Yes</v>
      </c>
      <c r="J659" s="5" t="s">
        <v>690</v>
      </c>
      <c r="K659" s="5">
        <v>2003</v>
      </c>
      <c r="L659" s="5" t="str">
        <f t="shared" si="43"/>
        <v>Sep-2003</v>
      </c>
      <c r="M659" s="5" t="s">
        <v>181</v>
      </c>
      <c r="N659" s="5" t="s">
        <v>391</v>
      </c>
      <c r="O659" s="5" t="s">
        <v>130</v>
      </c>
      <c r="P659" s="5" t="s">
        <v>42</v>
      </c>
      <c r="Q659" s="5" t="s">
        <v>151</v>
      </c>
    </row>
    <row r="660" spans="1:17" x14ac:dyDescent="0.25">
      <c r="A660" s="3">
        <v>10165</v>
      </c>
      <c r="B660" s="3">
        <v>29</v>
      </c>
      <c r="C660" s="3">
        <v>100</v>
      </c>
      <c r="D660" s="3">
        <v>2900</v>
      </c>
      <c r="E660" s="3" t="str">
        <f t="shared" si="41"/>
        <v>Medium</v>
      </c>
      <c r="F660" s="3">
        <f t="shared" si="42"/>
        <v>870</v>
      </c>
      <c r="G660" s="4">
        <v>37916</v>
      </c>
      <c r="H660" s="3" t="s">
        <v>25</v>
      </c>
      <c r="I660" s="3" t="str">
        <f t="shared" si="40"/>
        <v>Yes</v>
      </c>
      <c r="J660" s="3" t="s">
        <v>685</v>
      </c>
      <c r="K660" s="3">
        <v>2003</v>
      </c>
      <c r="L660" s="3" t="str">
        <f t="shared" si="43"/>
        <v>Oct-2003</v>
      </c>
      <c r="M660" s="3" t="s">
        <v>181</v>
      </c>
      <c r="N660" s="3" t="s">
        <v>196</v>
      </c>
      <c r="O660" s="3" t="s">
        <v>199</v>
      </c>
      <c r="P660" s="3" t="s">
        <v>675</v>
      </c>
      <c r="Q660" s="3" t="s">
        <v>51</v>
      </c>
    </row>
    <row r="661" spans="1:17" x14ac:dyDescent="0.25">
      <c r="A661" s="5">
        <v>10176</v>
      </c>
      <c r="B661" s="5">
        <v>20</v>
      </c>
      <c r="C661" s="5">
        <v>100</v>
      </c>
      <c r="D661" s="5">
        <v>2000</v>
      </c>
      <c r="E661" s="5" t="str">
        <f t="shared" si="41"/>
        <v>Medium</v>
      </c>
      <c r="F661" s="5">
        <f t="shared" si="42"/>
        <v>600</v>
      </c>
      <c r="G661" s="6">
        <v>37931</v>
      </c>
      <c r="H661" s="5" t="s">
        <v>25</v>
      </c>
      <c r="I661" s="5" t="str">
        <f t="shared" si="40"/>
        <v>Yes</v>
      </c>
      <c r="J661" s="5" t="s">
        <v>686</v>
      </c>
      <c r="K661" s="5">
        <v>2003</v>
      </c>
      <c r="L661" s="5" t="str">
        <f t="shared" si="43"/>
        <v>Nov-2003</v>
      </c>
      <c r="M661" s="5" t="s">
        <v>181</v>
      </c>
      <c r="N661" s="5" t="s">
        <v>452</v>
      </c>
      <c r="O661" s="5" t="s">
        <v>258</v>
      </c>
      <c r="P661" s="5" t="s">
        <v>42</v>
      </c>
      <c r="Q661" s="5" t="s">
        <v>51</v>
      </c>
    </row>
    <row r="662" spans="1:17" x14ac:dyDescent="0.25">
      <c r="A662" s="3">
        <v>10184</v>
      </c>
      <c r="B662" s="3">
        <v>46</v>
      </c>
      <c r="C662" s="3">
        <v>100</v>
      </c>
      <c r="D662" s="3">
        <v>4600</v>
      </c>
      <c r="E662" s="3" t="str">
        <f t="shared" si="41"/>
        <v>Medium</v>
      </c>
      <c r="F662" s="3">
        <f t="shared" si="42"/>
        <v>1380</v>
      </c>
      <c r="G662" s="4">
        <v>37939</v>
      </c>
      <c r="H662" s="3" t="s">
        <v>25</v>
      </c>
      <c r="I662" s="3" t="str">
        <f t="shared" si="40"/>
        <v>Yes</v>
      </c>
      <c r="J662" s="3" t="s">
        <v>686</v>
      </c>
      <c r="K662" s="3">
        <v>2003</v>
      </c>
      <c r="L662" s="3" t="str">
        <f t="shared" si="43"/>
        <v>Nov-2003</v>
      </c>
      <c r="M662" s="3" t="s">
        <v>181</v>
      </c>
      <c r="N662" s="3" t="s">
        <v>520</v>
      </c>
      <c r="O662" s="3" t="s">
        <v>178</v>
      </c>
      <c r="P662" s="3" t="s">
        <v>42</v>
      </c>
      <c r="Q662" s="3" t="s">
        <v>151</v>
      </c>
    </row>
    <row r="663" spans="1:17" x14ac:dyDescent="0.25">
      <c r="A663" s="5">
        <v>10195</v>
      </c>
      <c r="B663" s="5">
        <v>27</v>
      </c>
      <c r="C663" s="5">
        <v>100</v>
      </c>
      <c r="D663" s="5">
        <v>2700</v>
      </c>
      <c r="E663" s="5" t="str">
        <f t="shared" si="41"/>
        <v>Medium</v>
      </c>
      <c r="F663" s="5">
        <f t="shared" si="42"/>
        <v>810</v>
      </c>
      <c r="G663" s="6">
        <v>37950</v>
      </c>
      <c r="H663" s="5" t="s">
        <v>25</v>
      </c>
      <c r="I663" s="5" t="str">
        <f t="shared" si="40"/>
        <v>Yes</v>
      </c>
      <c r="J663" s="5" t="s">
        <v>686</v>
      </c>
      <c r="K663" s="5">
        <v>2003</v>
      </c>
      <c r="L663" s="5" t="str">
        <f t="shared" si="43"/>
        <v>Nov-2003</v>
      </c>
      <c r="M663" s="5" t="s">
        <v>181</v>
      </c>
      <c r="N663" s="5" t="s">
        <v>317</v>
      </c>
      <c r="O663" s="5" t="s">
        <v>32</v>
      </c>
      <c r="P663" s="5" t="s">
        <v>33</v>
      </c>
      <c r="Q663" s="5" t="s">
        <v>51</v>
      </c>
    </row>
    <row r="664" spans="1:17" x14ac:dyDescent="0.25">
      <c r="A664" s="3">
        <v>10207</v>
      </c>
      <c r="B664" s="3">
        <v>44</v>
      </c>
      <c r="C664" s="3">
        <v>100</v>
      </c>
      <c r="D664" s="3">
        <v>4400</v>
      </c>
      <c r="E664" s="3" t="str">
        <f t="shared" si="41"/>
        <v>Medium</v>
      </c>
      <c r="F664" s="3">
        <f t="shared" si="42"/>
        <v>1320</v>
      </c>
      <c r="G664" s="4">
        <v>37964</v>
      </c>
      <c r="H664" s="3" t="s">
        <v>25</v>
      </c>
      <c r="I664" s="3" t="str">
        <f t="shared" si="40"/>
        <v>Yes</v>
      </c>
      <c r="J664" s="3" t="s">
        <v>687</v>
      </c>
      <c r="K664" s="3">
        <v>2003</v>
      </c>
      <c r="L664" s="3" t="str">
        <f t="shared" si="43"/>
        <v>Dec-2003</v>
      </c>
      <c r="M664" s="3" t="s">
        <v>181</v>
      </c>
      <c r="N664" s="3" t="s">
        <v>415</v>
      </c>
      <c r="O664" s="3" t="s">
        <v>32</v>
      </c>
      <c r="P664" s="3" t="s">
        <v>33</v>
      </c>
      <c r="Q664" s="3" t="s">
        <v>151</v>
      </c>
    </row>
    <row r="665" spans="1:17" x14ac:dyDescent="0.25">
      <c r="A665" s="5">
        <v>10219</v>
      </c>
      <c r="B665" s="5">
        <v>43</v>
      </c>
      <c r="C665" s="5">
        <v>100</v>
      </c>
      <c r="D665" s="5">
        <v>4300</v>
      </c>
      <c r="E665" s="5" t="str">
        <f t="shared" si="41"/>
        <v>Medium</v>
      </c>
      <c r="F665" s="5">
        <f t="shared" si="42"/>
        <v>1290</v>
      </c>
      <c r="G665" s="6">
        <v>38027</v>
      </c>
      <c r="H665" s="5" t="s">
        <v>25</v>
      </c>
      <c r="I665" s="5" t="str">
        <f t="shared" si="40"/>
        <v>Yes</v>
      </c>
      <c r="J665" s="5" t="s">
        <v>681</v>
      </c>
      <c r="K665" s="5">
        <v>2004</v>
      </c>
      <c r="L665" s="5" t="str">
        <f t="shared" si="43"/>
        <v>Feb-2004</v>
      </c>
      <c r="M665" s="5" t="s">
        <v>181</v>
      </c>
      <c r="N665" s="5" t="s">
        <v>526</v>
      </c>
      <c r="O665" s="5" t="s">
        <v>32</v>
      </c>
      <c r="P665" s="5" t="s">
        <v>33</v>
      </c>
      <c r="Q665" s="5" t="s">
        <v>151</v>
      </c>
    </row>
    <row r="666" spans="1:17" x14ac:dyDescent="0.25">
      <c r="A666" s="3">
        <v>10230</v>
      </c>
      <c r="B666" s="3">
        <v>49</v>
      </c>
      <c r="C666" s="3">
        <v>100</v>
      </c>
      <c r="D666" s="3">
        <v>4900</v>
      </c>
      <c r="E666" s="3" t="str">
        <f t="shared" si="41"/>
        <v>Medium</v>
      </c>
      <c r="F666" s="3">
        <f t="shared" si="42"/>
        <v>1470</v>
      </c>
      <c r="G666" s="4">
        <v>38061</v>
      </c>
      <c r="H666" s="3" t="s">
        <v>25</v>
      </c>
      <c r="I666" s="3" t="str">
        <f t="shared" si="40"/>
        <v>Yes</v>
      </c>
      <c r="J666" s="3" t="s">
        <v>691</v>
      </c>
      <c r="K666" s="3">
        <v>2004</v>
      </c>
      <c r="L666" s="3" t="str">
        <f t="shared" si="43"/>
        <v>Mar-2004</v>
      </c>
      <c r="M666" s="3" t="s">
        <v>181</v>
      </c>
      <c r="N666" s="3" t="s">
        <v>462</v>
      </c>
      <c r="O666" s="3" t="s">
        <v>443</v>
      </c>
      <c r="P666" s="3" t="s">
        <v>42</v>
      </c>
      <c r="Q666" s="3" t="s">
        <v>151</v>
      </c>
    </row>
    <row r="667" spans="1:17" x14ac:dyDescent="0.25">
      <c r="A667" s="5">
        <v>10246</v>
      </c>
      <c r="B667" s="5">
        <v>40</v>
      </c>
      <c r="C667" s="5">
        <v>100</v>
      </c>
      <c r="D667" s="5">
        <v>4000</v>
      </c>
      <c r="E667" s="5" t="str">
        <f t="shared" si="41"/>
        <v>Medium</v>
      </c>
      <c r="F667" s="5">
        <f t="shared" si="42"/>
        <v>1200</v>
      </c>
      <c r="G667" s="6">
        <v>38112</v>
      </c>
      <c r="H667" s="5" t="s">
        <v>25</v>
      </c>
      <c r="I667" s="5" t="str">
        <f t="shared" si="40"/>
        <v>Yes</v>
      </c>
      <c r="J667" s="5" t="s">
        <v>682</v>
      </c>
      <c r="K667" s="5">
        <v>2004</v>
      </c>
      <c r="L667" s="5" t="str">
        <f t="shared" si="43"/>
        <v>May-2004</v>
      </c>
      <c r="M667" s="5" t="s">
        <v>181</v>
      </c>
      <c r="N667" s="5" t="s">
        <v>174</v>
      </c>
      <c r="O667" s="5" t="s">
        <v>178</v>
      </c>
      <c r="P667" s="5" t="s">
        <v>42</v>
      </c>
      <c r="Q667" s="5" t="s">
        <v>51</v>
      </c>
    </row>
    <row r="668" spans="1:17" x14ac:dyDescent="0.25">
      <c r="A668" s="3">
        <v>10259</v>
      </c>
      <c r="B668" s="3">
        <v>30</v>
      </c>
      <c r="C668" s="3">
        <v>100</v>
      </c>
      <c r="D668" s="3">
        <v>3000</v>
      </c>
      <c r="E668" s="3" t="str">
        <f t="shared" si="41"/>
        <v>Medium</v>
      </c>
      <c r="F668" s="3">
        <f t="shared" si="42"/>
        <v>900</v>
      </c>
      <c r="G668" s="4">
        <v>38153</v>
      </c>
      <c r="H668" s="3" t="s">
        <v>25</v>
      </c>
      <c r="I668" s="3" t="str">
        <f t="shared" si="40"/>
        <v>Yes</v>
      </c>
      <c r="J668" s="3" t="s">
        <v>689</v>
      </c>
      <c r="K668" s="3">
        <v>2004</v>
      </c>
      <c r="L668" s="3" t="str">
        <f t="shared" si="43"/>
        <v>Jun-2004</v>
      </c>
      <c r="M668" s="3" t="s">
        <v>181</v>
      </c>
      <c r="N668" s="3" t="s">
        <v>418</v>
      </c>
      <c r="O668" s="3" t="s">
        <v>199</v>
      </c>
      <c r="P668" s="3" t="s">
        <v>96</v>
      </c>
      <c r="Q668" s="3" t="s">
        <v>51</v>
      </c>
    </row>
    <row r="669" spans="1:17" x14ac:dyDescent="0.25">
      <c r="A669" s="5">
        <v>10271</v>
      </c>
      <c r="B669" s="5">
        <v>50</v>
      </c>
      <c r="C669" s="5">
        <v>100</v>
      </c>
      <c r="D669" s="5">
        <v>5000</v>
      </c>
      <c r="E669" s="5" t="str">
        <f t="shared" si="41"/>
        <v>High</v>
      </c>
      <c r="F669" s="5">
        <f t="shared" si="42"/>
        <v>1500</v>
      </c>
      <c r="G669" s="6">
        <v>38188</v>
      </c>
      <c r="H669" s="5" t="s">
        <v>25</v>
      </c>
      <c r="I669" s="5" t="str">
        <f t="shared" si="40"/>
        <v>Yes</v>
      </c>
      <c r="J669" s="5" t="s">
        <v>683</v>
      </c>
      <c r="K669" s="5">
        <v>2004</v>
      </c>
      <c r="L669" s="5" t="str">
        <f t="shared" si="43"/>
        <v>Jul-2004</v>
      </c>
      <c r="M669" s="5" t="s">
        <v>181</v>
      </c>
      <c r="N669" s="5" t="s">
        <v>272</v>
      </c>
      <c r="O669" s="5" t="s">
        <v>32</v>
      </c>
      <c r="P669" s="5" t="s">
        <v>33</v>
      </c>
      <c r="Q669" s="5" t="s">
        <v>151</v>
      </c>
    </row>
    <row r="670" spans="1:17" x14ac:dyDescent="0.25">
      <c r="A670" s="3">
        <v>10282</v>
      </c>
      <c r="B670" s="3">
        <v>23</v>
      </c>
      <c r="C670" s="3">
        <v>100</v>
      </c>
      <c r="D670" s="3">
        <v>2300</v>
      </c>
      <c r="E670" s="3" t="str">
        <f t="shared" si="41"/>
        <v>Medium</v>
      </c>
      <c r="F670" s="3">
        <f t="shared" si="42"/>
        <v>690</v>
      </c>
      <c r="G670" s="4">
        <v>38219</v>
      </c>
      <c r="H670" s="3" t="s">
        <v>25</v>
      </c>
      <c r="I670" s="3" t="str">
        <f t="shared" si="40"/>
        <v>Yes</v>
      </c>
      <c r="J670" s="3" t="s">
        <v>684</v>
      </c>
      <c r="K670" s="3">
        <v>2004</v>
      </c>
      <c r="L670" s="3" t="str">
        <f t="shared" si="43"/>
        <v>Aug-2004</v>
      </c>
      <c r="M670" s="3" t="s">
        <v>181</v>
      </c>
      <c r="N670" s="3" t="s">
        <v>272</v>
      </c>
      <c r="O670" s="3" t="s">
        <v>32</v>
      </c>
      <c r="P670" s="3" t="s">
        <v>33</v>
      </c>
      <c r="Q670" s="3" t="s">
        <v>51</v>
      </c>
    </row>
    <row r="671" spans="1:17" x14ac:dyDescent="0.25">
      <c r="A671" s="5">
        <v>10292</v>
      </c>
      <c r="B671" s="5">
        <v>26</v>
      </c>
      <c r="C671" s="5">
        <v>100</v>
      </c>
      <c r="D671" s="5">
        <v>2600</v>
      </c>
      <c r="E671" s="5" t="str">
        <f t="shared" si="41"/>
        <v>Medium</v>
      </c>
      <c r="F671" s="5">
        <f t="shared" si="42"/>
        <v>780</v>
      </c>
      <c r="G671" s="6">
        <v>38238</v>
      </c>
      <c r="H671" s="5" t="s">
        <v>25</v>
      </c>
      <c r="I671" s="5" t="str">
        <f t="shared" si="40"/>
        <v>Yes</v>
      </c>
      <c r="J671" s="5" t="s">
        <v>690</v>
      </c>
      <c r="K671" s="5">
        <v>2004</v>
      </c>
      <c r="L671" s="5" t="str">
        <f t="shared" si="43"/>
        <v>Sep-2004</v>
      </c>
      <c r="M671" s="5" t="s">
        <v>181</v>
      </c>
      <c r="N671" s="5" t="s">
        <v>28</v>
      </c>
      <c r="O671" s="5" t="s">
        <v>32</v>
      </c>
      <c r="P671" s="5" t="s">
        <v>33</v>
      </c>
      <c r="Q671" s="5" t="s">
        <v>51</v>
      </c>
    </row>
    <row r="672" spans="1:17" x14ac:dyDescent="0.25">
      <c r="A672" s="3">
        <v>10305</v>
      </c>
      <c r="B672" s="3">
        <v>27</v>
      </c>
      <c r="C672" s="3">
        <v>100</v>
      </c>
      <c r="D672" s="3">
        <v>2700</v>
      </c>
      <c r="E672" s="3" t="str">
        <f t="shared" si="41"/>
        <v>Medium</v>
      </c>
      <c r="F672" s="3">
        <f t="shared" si="42"/>
        <v>810</v>
      </c>
      <c r="G672" s="4">
        <v>38273</v>
      </c>
      <c r="H672" s="3" t="s">
        <v>25</v>
      </c>
      <c r="I672" s="3" t="str">
        <f t="shared" si="40"/>
        <v>Yes</v>
      </c>
      <c r="J672" s="3" t="s">
        <v>685</v>
      </c>
      <c r="K672" s="3">
        <v>2004</v>
      </c>
      <c r="L672" s="3" t="str">
        <f t="shared" si="43"/>
        <v>Oct-2004</v>
      </c>
      <c r="M672" s="3" t="s">
        <v>181</v>
      </c>
      <c r="N672" s="3" t="s">
        <v>120</v>
      </c>
      <c r="O672" s="3" t="s">
        <v>32</v>
      </c>
      <c r="P672" s="3" t="s">
        <v>33</v>
      </c>
      <c r="Q672" s="3" t="s">
        <v>51</v>
      </c>
    </row>
    <row r="673" spans="1:17" x14ac:dyDescent="0.25">
      <c r="A673" s="5">
        <v>10314</v>
      </c>
      <c r="B673" s="5">
        <v>42</v>
      </c>
      <c r="C673" s="5">
        <v>100</v>
      </c>
      <c r="D673" s="5">
        <v>4200</v>
      </c>
      <c r="E673" s="5" t="str">
        <f t="shared" si="41"/>
        <v>Medium</v>
      </c>
      <c r="F673" s="5">
        <f t="shared" si="42"/>
        <v>1260</v>
      </c>
      <c r="G673" s="6">
        <v>38282</v>
      </c>
      <c r="H673" s="5" t="s">
        <v>25</v>
      </c>
      <c r="I673" s="5" t="str">
        <f t="shared" si="40"/>
        <v>Yes</v>
      </c>
      <c r="J673" s="5" t="s">
        <v>685</v>
      </c>
      <c r="K673" s="5">
        <v>2004</v>
      </c>
      <c r="L673" s="5" t="str">
        <f t="shared" si="43"/>
        <v>Oct-2004</v>
      </c>
      <c r="M673" s="5" t="s">
        <v>181</v>
      </c>
      <c r="N673" s="5" t="s">
        <v>498</v>
      </c>
      <c r="O673" s="5" t="s">
        <v>326</v>
      </c>
      <c r="P673" s="5" t="s">
        <v>42</v>
      </c>
      <c r="Q673" s="5" t="s">
        <v>51</v>
      </c>
    </row>
    <row r="674" spans="1:17" x14ac:dyDescent="0.25">
      <c r="A674" s="3">
        <v>10324</v>
      </c>
      <c r="B674" s="3">
        <v>47</v>
      </c>
      <c r="C674" s="3">
        <v>100</v>
      </c>
      <c r="D674" s="3">
        <v>4700</v>
      </c>
      <c r="E674" s="3" t="str">
        <f t="shared" si="41"/>
        <v>Medium</v>
      </c>
      <c r="F674" s="3">
        <f t="shared" si="42"/>
        <v>1410</v>
      </c>
      <c r="G674" s="4">
        <v>38296</v>
      </c>
      <c r="H674" s="3" t="s">
        <v>25</v>
      </c>
      <c r="I674" s="3" t="str">
        <f t="shared" si="40"/>
        <v>Yes</v>
      </c>
      <c r="J674" s="3" t="s">
        <v>686</v>
      </c>
      <c r="K674" s="3">
        <v>2004</v>
      </c>
      <c r="L674" s="3" t="str">
        <f t="shared" si="43"/>
        <v>Nov-2004</v>
      </c>
      <c r="M674" s="3" t="s">
        <v>181</v>
      </c>
      <c r="N674" s="3" t="s">
        <v>99</v>
      </c>
      <c r="O674" s="3" t="s">
        <v>32</v>
      </c>
      <c r="P674" s="3" t="s">
        <v>33</v>
      </c>
      <c r="Q674" s="3" t="s">
        <v>151</v>
      </c>
    </row>
    <row r="675" spans="1:17" x14ac:dyDescent="0.25">
      <c r="A675" s="5">
        <v>10336</v>
      </c>
      <c r="B675" s="5">
        <v>49</v>
      </c>
      <c r="C675" s="5">
        <v>100</v>
      </c>
      <c r="D675" s="5">
        <v>4900</v>
      </c>
      <c r="E675" s="5" t="str">
        <f t="shared" si="41"/>
        <v>Medium</v>
      </c>
      <c r="F675" s="5">
        <f t="shared" si="42"/>
        <v>1470</v>
      </c>
      <c r="G675" s="6">
        <v>38311</v>
      </c>
      <c r="H675" s="5" t="s">
        <v>25</v>
      </c>
      <c r="I675" s="5" t="str">
        <f t="shared" si="40"/>
        <v>Yes</v>
      </c>
      <c r="J675" s="5" t="s">
        <v>686</v>
      </c>
      <c r="K675" s="5">
        <v>2004</v>
      </c>
      <c r="L675" s="5" t="str">
        <f t="shared" si="43"/>
        <v>Nov-2004</v>
      </c>
      <c r="M675" s="5" t="s">
        <v>181</v>
      </c>
      <c r="N675" s="5" t="s">
        <v>403</v>
      </c>
      <c r="O675" s="5" t="s">
        <v>41</v>
      </c>
      <c r="P675" s="5" t="s">
        <v>42</v>
      </c>
      <c r="Q675" s="5" t="s">
        <v>151</v>
      </c>
    </row>
    <row r="676" spans="1:17" x14ac:dyDescent="0.25">
      <c r="A676" s="3">
        <v>10349</v>
      </c>
      <c r="B676" s="3">
        <v>38</v>
      </c>
      <c r="C676" s="3">
        <v>100</v>
      </c>
      <c r="D676" s="3">
        <v>3800</v>
      </c>
      <c r="E676" s="3" t="str">
        <f t="shared" si="41"/>
        <v>Medium</v>
      </c>
      <c r="F676" s="3">
        <f t="shared" si="42"/>
        <v>1140</v>
      </c>
      <c r="G676" s="4">
        <v>38322</v>
      </c>
      <c r="H676" s="3" t="s">
        <v>25</v>
      </c>
      <c r="I676" s="3" t="str">
        <f t="shared" si="40"/>
        <v>Yes</v>
      </c>
      <c r="J676" s="3" t="s">
        <v>687</v>
      </c>
      <c r="K676" s="3">
        <v>2004</v>
      </c>
      <c r="L676" s="3" t="str">
        <f t="shared" si="43"/>
        <v>Dec-2004</v>
      </c>
      <c r="M676" s="3" t="s">
        <v>181</v>
      </c>
      <c r="N676" s="3" t="s">
        <v>475</v>
      </c>
      <c r="O676" s="3" t="s">
        <v>32</v>
      </c>
      <c r="P676" s="3" t="s">
        <v>33</v>
      </c>
      <c r="Q676" s="3" t="s">
        <v>51</v>
      </c>
    </row>
    <row r="677" spans="1:17" x14ac:dyDescent="0.25">
      <c r="A677" s="5">
        <v>10358</v>
      </c>
      <c r="B677" s="5">
        <v>20</v>
      </c>
      <c r="C677" s="5">
        <v>100</v>
      </c>
      <c r="D677" s="5">
        <v>2000</v>
      </c>
      <c r="E677" s="5" t="str">
        <f t="shared" si="41"/>
        <v>Medium</v>
      </c>
      <c r="F677" s="5">
        <f t="shared" si="42"/>
        <v>600</v>
      </c>
      <c r="G677" s="6">
        <v>38331</v>
      </c>
      <c r="H677" s="5" t="s">
        <v>25</v>
      </c>
      <c r="I677" s="5" t="str">
        <f t="shared" si="40"/>
        <v>Yes</v>
      </c>
      <c r="J677" s="5" t="s">
        <v>687</v>
      </c>
      <c r="K677" s="5">
        <v>2004</v>
      </c>
      <c r="L677" s="5" t="str">
        <f t="shared" si="43"/>
        <v>Dec-2004</v>
      </c>
      <c r="M677" s="5" t="s">
        <v>181</v>
      </c>
      <c r="N677" s="5" t="s">
        <v>174</v>
      </c>
      <c r="O677" s="5" t="s">
        <v>178</v>
      </c>
      <c r="P677" s="5" t="s">
        <v>42</v>
      </c>
      <c r="Q677" s="5" t="s">
        <v>36</v>
      </c>
    </row>
    <row r="678" spans="1:17" x14ac:dyDescent="0.25">
      <c r="A678" s="3">
        <v>10371</v>
      </c>
      <c r="B678" s="3">
        <v>25</v>
      </c>
      <c r="C678" s="3">
        <v>100</v>
      </c>
      <c r="D678" s="3">
        <v>2500</v>
      </c>
      <c r="E678" s="3" t="str">
        <f t="shared" si="41"/>
        <v>Medium</v>
      </c>
      <c r="F678" s="3">
        <f t="shared" si="42"/>
        <v>750</v>
      </c>
      <c r="G678" s="4">
        <v>38375</v>
      </c>
      <c r="H678" s="3" t="s">
        <v>25</v>
      </c>
      <c r="I678" s="3" t="str">
        <f t="shared" si="40"/>
        <v>Yes</v>
      </c>
      <c r="J678" s="3" t="s">
        <v>549</v>
      </c>
      <c r="K678" s="3">
        <v>2005</v>
      </c>
      <c r="L678" s="3" t="str">
        <f t="shared" si="43"/>
        <v>Jan-2005</v>
      </c>
      <c r="M678" s="3" t="s">
        <v>181</v>
      </c>
      <c r="N678" s="3" t="s">
        <v>272</v>
      </c>
      <c r="O678" s="3" t="s">
        <v>32</v>
      </c>
      <c r="P678" s="3" t="s">
        <v>33</v>
      </c>
      <c r="Q678" s="3" t="s">
        <v>36</v>
      </c>
    </row>
    <row r="679" spans="1:17" x14ac:dyDescent="0.25">
      <c r="A679" s="5">
        <v>10382</v>
      </c>
      <c r="B679" s="5">
        <v>25</v>
      </c>
      <c r="C679" s="5">
        <v>88</v>
      </c>
      <c r="D679" s="5">
        <v>2200</v>
      </c>
      <c r="E679" s="5" t="str">
        <f t="shared" si="41"/>
        <v>Medium</v>
      </c>
      <c r="F679" s="5">
        <f t="shared" si="42"/>
        <v>660</v>
      </c>
      <c r="G679" s="6">
        <v>38400</v>
      </c>
      <c r="H679" s="5" t="s">
        <v>25</v>
      </c>
      <c r="I679" s="5" t="str">
        <f t="shared" si="40"/>
        <v>Yes</v>
      </c>
      <c r="J679" s="5" t="s">
        <v>681</v>
      </c>
      <c r="K679" s="5">
        <v>2005</v>
      </c>
      <c r="L679" s="5" t="str">
        <f t="shared" si="43"/>
        <v>Feb-2005</v>
      </c>
      <c r="M679" s="5" t="s">
        <v>181</v>
      </c>
      <c r="N679" s="5" t="s">
        <v>272</v>
      </c>
      <c r="O679" s="5" t="s">
        <v>32</v>
      </c>
      <c r="P679" s="5" t="s">
        <v>33</v>
      </c>
      <c r="Q679" s="5" t="s">
        <v>36</v>
      </c>
    </row>
    <row r="680" spans="1:17" x14ac:dyDescent="0.25">
      <c r="A680" s="3">
        <v>10412</v>
      </c>
      <c r="B680" s="3">
        <v>41</v>
      </c>
      <c r="C680" s="3">
        <v>100</v>
      </c>
      <c r="D680" s="3">
        <v>4100</v>
      </c>
      <c r="E680" s="3" t="str">
        <f t="shared" si="41"/>
        <v>Medium</v>
      </c>
      <c r="F680" s="3">
        <f t="shared" si="42"/>
        <v>1230</v>
      </c>
      <c r="G680" s="4">
        <v>38475</v>
      </c>
      <c r="H680" s="3" t="s">
        <v>25</v>
      </c>
      <c r="I680" s="3" t="str">
        <f t="shared" si="40"/>
        <v>Yes</v>
      </c>
      <c r="J680" s="3" t="s">
        <v>682</v>
      </c>
      <c r="K680" s="3">
        <v>2005</v>
      </c>
      <c r="L680" s="3" t="str">
        <f t="shared" si="43"/>
        <v>May-2005</v>
      </c>
      <c r="M680" s="3" t="s">
        <v>181</v>
      </c>
      <c r="N680" s="3" t="s">
        <v>174</v>
      </c>
      <c r="O680" s="3" t="s">
        <v>178</v>
      </c>
      <c r="P680" s="3" t="s">
        <v>42</v>
      </c>
      <c r="Q680" s="3" t="s">
        <v>51</v>
      </c>
    </row>
    <row r="681" spans="1:17" x14ac:dyDescent="0.25">
      <c r="A681" s="5">
        <v>10425</v>
      </c>
      <c r="B681" s="5">
        <v>28</v>
      </c>
      <c r="C681" s="5">
        <v>100</v>
      </c>
      <c r="D681" s="5">
        <v>2800</v>
      </c>
      <c r="E681" s="5" t="str">
        <f t="shared" si="41"/>
        <v>Medium</v>
      </c>
      <c r="F681" s="5">
        <f t="shared" si="42"/>
        <v>840</v>
      </c>
      <c r="G681" s="6">
        <v>38503</v>
      </c>
      <c r="H681" s="5" t="s">
        <v>300</v>
      </c>
      <c r="I681" s="5" t="str">
        <f t="shared" si="40"/>
        <v>No</v>
      </c>
      <c r="J681" s="5" t="s">
        <v>682</v>
      </c>
      <c r="K681" s="5">
        <v>2005</v>
      </c>
      <c r="L681" s="5" t="str">
        <f t="shared" si="43"/>
        <v>May-2005</v>
      </c>
      <c r="M681" s="5" t="s">
        <v>181</v>
      </c>
      <c r="N681" s="5" t="s">
        <v>114</v>
      </c>
      <c r="O681" s="5" t="s">
        <v>41</v>
      </c>
      <c r="P681" s="5" t="s">
        <v>42</v>
      </c>
      <c r="Q681" s="5" t="s">
        <v>51</v>
      </c>
    </row>
    <row r="682" spans="1:17" x14ac:dyDescent="0.25">
      <c r="A682" s="3">
        <v>10100</v>
      </c>
      <c r="B682" s="3">
        <v>50</v>
      </c>
      <c r="C682" s="3">
        <v>67.8</v>
      </c>
      <c r="D682" s="3">
        <v>3390</v>
      </c>
      <c r="E682" s="3" t="str">
        <f t="shared" si="41"/>
        <v>Medium</v>
      </c>
      <c r="F682" s="3">
        <f t="shared" si="42"/>
        <v>1017</v>
      </c>
      <c r="G682" s="4">
        <v>37627</v>
      </c>
      <c r="H682" s="3" t="s">
        <v>25</v>
      </c>
      <c r="I682" s="3" t="str">
        <f t="shared" si="40"/>
        <v>Yes</v>
      </c>
      <c r="J682" s="3" t="s">
        <v>549</v>
      </c>
      <c r="K682" s="3">
        <v>2003</v>
      </c>
      <c r="L682" s="3" t="str">
        <f t="shared" si="43"/>
        <v>Jan-2003</v>
      </c>
      <c r="M682" s="3" t="s">
        <v>550</v>
      </c>
      <c r="N682" s="3" t="s">
        <v>277</v>
      </c>
      <c r="O682" s="3" t="s">
        <v>32</v>
      </c>
      <c r="P682" s="3" t="s">
        <v>33</v>
      </c>
      <c r="Q682" s="3" t="s">
        <v>51</v>
      </c>
    </row>
    <row r="683" spans="1:17" x14ac:dyDescent="0.25">
      <c r="A683" s="5">
        <v>10110</v>
      </c>
      <c r="B683" s="5">
        <v>32</v>
      </c>
      <c r="C683" s="5">
        <v>50.25</v>
      </c>
      <c r="D683" s="5">
        <v>1608</v>
      </c>
      <c r="E683" s="5" t="str">
        <f t="shared" si="41"/>
        <v>Low</v>
      </c>
      <c r="F683" s="5">
        <f t="shared" si="42"/>
        <v>482.4</v>
      </c>
      <c r="G683" s="6">
        <v>37698</v>
      </c>
      <c r="H683" s="5" t="s">
        <v>25</v>
      </c>
      <c r="I683" s="5" t="str">
        <f t="shared" si="40"/>
        <v>Yes</v>
      </c>
      <c r="J683" s="5" t="s">
        <v>691</v>
      </c>
      <c r="K683" s="5">
        <v>2003</v>
      </c>
      <c r="L683" s="5" t="str">
        <f t="shared" si="43"/>
        <v>Mar-2003</v>
      </c>
      <c r="M683" s="5" t="s">
        <v>550</v>
      </c>
      <c r="N683" s="5" t="s">
        <v>492</v>
      </c>
      <c r="O683" s="5" t="s">
        <v>170</v>
      </c>
      <c r="P683" s="5" t="s">
        <v>42</v>
      </c>
      <c r="Q683" s="5" t="s">
        <v>36</v>
      </c>
    </row>
    <row r="684" spans="1:17" x14ac:dyDescent="0.25">
      <c r="A684" s="3">
        <v>10124</v>
      </c>
      <c r="B684" s="3">
        <v>42</v>
      </c>
      <c r="C684" s="3">
        <v>53.88</v>
      </c>
      <c r="D684" s="3">
        <v>2262.96</v>
      </c>
      <c r="E684" s="3" t="str">
        <f t="shared" si="41"/>
        <v>Medium</v>
      </c>
      <c r="F684" s="3">
        <f t="shared" si="42"/>
        <v>678.88800000000003</v>
      </c>
      <c r="G684" s="4">
        <v>37762</v>
      </c>
      <c r="H684" s="3" t="s">
        <v>25</v>
      </c>
      <c r="I684" s="3" t="str">
        <f t="shared" si="40"/>
        <v>Yes</v>
      </c>
      <c r="J684" s="3" t="s">
        <v>682</v>
      </c>
      <c r="K684" s="3">
        <v>2003</v>
      </c>
      <c r="L684" s="3" t="str">
        <f t="shared" si="43"/>
        <v>May-2003</v>
      </c>
      <c r="M684" s="3" t="s">
        <v>550</v>
      </c>
      <c r="N684" s="3" t="s">
        <v>539</v>
      </c>
      <c r="O684" s="3" t="s">
        <v>32</v>
      </c>
      <c r="P684" s="3" t="s">
        <v>33</v>
      </c>
      <c r="Q684" s="3" t="s">
        <v>36</v>
      </c>
    </row>
    <row r="685" spans="1:17" x14ac:dyDescent="0.25">
      <c r="A685" s="5">
        <v>10149</v>
      </c>
      <c r="B685" s="5">
        <v>24</v>
      </c>
      <c r="C685" s="5">
        <v>62.36</v>
      </c>
      <c r="D685" s="5">
        <v>1496.6399999999999</v>
      </c>
      <c r="E685" s="5" t="str">
        <f t="shared" si="41"/>
        <v>Low</v>
      </c>
      <c r="F685" s="5">
        <f t="shared" si="42"/>
        <v>448.99199999999996</v>
      </c>
      <c r="G685" s="6">
        <v>37876</v>
      </c>
      <c r="H685" s="5" t="s">
        <v>25</v>
      </c>
      <c r="I685" s="5" t="str">
        <f t="shared" si="40"/>
        <v>Yes</v>
      </c>
      <c r="J685" s="5" t="s">
        <v>690</v>
      </c>
      <c r="K685" s="5">
        <v>2003</v>
      </c>
      <c r="L685" s="5" t="str">
        <f t="shared" si="43"/>
        <v>Sep-2003</v>
      </c>
      <c r="M685" s="5" t="s">
        <v>550</v>
      </c>
      <c r="N685" s="5" t="s">
        <v>526</v>
      </c>
      <c r="O685" s="5" t="s">
        <v>32</v>
      </c>
      <c r="P685" s="5" t="s">
        <v>33</v>
      </c>
      <c r="Q685" s="5" t="s">
        <v>36</v>
      </c>
    </row>
    <row r="686" spans="1:17" x14ac:dyDescent="0.25">
      <c r="A686" s="3">
        <v>10162</v>
      </c>
      <c r="B686" s="3">
        <v>27</v>
      </c>
      <c r="C686" s="3">
        <v>69.62</v>
      </c>
      <c r="D686" s="3">
        <v>1879.7400000000002</v>
      </c>
      <c r="E686" s="3" t="str">
        <f t="shared" si="41"/>
        <v>Low</v>
      </c>
      <c r="F686" s="3">
        <f t="shared" si="42"/>
        <v>563.92200000000003</v>
      </c>
      <c r="G686" s="4">
        <v>37912</v>
      </c>
      <c r="H686" s="3" t="s">
        <v>25</v>
      </c>
      <c r="I686" s="3" t="str">
        <f t="shared" si="40"/>
        <v>Yes</v>
      </c>
      <c r="J686" s="3" t="s">
        <v>685</v>
      </c>
      <c r="K686" s="3">
        <v>2003</v>
      </c>
      <c r="L686" s="3" t="str">
        <f t="shared" si="43"/>
        <v>Oct-2003</v>
      </c>
      <c r="M686" s="3" t="s">
        <v>550</v>
      </c>
      <c r="N686" s="3" t="s">
        <v>58</v>
      </c>
      <c r="O686" s="3" t="s">
        <v>32</v>
      </c>
      <c r="P686" s="3" t="s">
        <v>33</v>
      </c>
      <c r="Q686" s="3" t="s">
        <v>36</v>
      </c>
    </row>
    <row r="687" spans="1:17" x14ac:dyDescent="0.25">
      <c r="A687" s="5">
        <v>10173</v>
      </c>
      <c r="B687" s="5">
        <v>26</v>
      </c>
      <c r="C687" s="5">
        <v>57.51</v>
      </c>
      <c r="D687" s="5">
        <v>1495.26</v>
      </c>
      <c r="E687" s="5" t="str">
        <f t="shared" si="41"/>
        <v>Low</v>
      </c>
      <c r="F687" s="5">
        <f t="shared" si="42"/>
        <v>448.57799999999997</v>
      </c>
      <c r="G687" s="6">
        <v>37930</v>
      </c>
      <c r="H687" s="5" t="s">
        <v>25</v>
      </c>
      <c r="I687" s="5" t="str">
        <f t="shared" si="40"/>
        <v>Yes</v>
      </c>
      <c r="J687" s="5" t="s">
        <v>686</v>
      </c>
      <c r="K687" s="5">
        <v>2003</v>
      </c>
      <c r="L687" s="5" t="str">
        <f t="shared" si="43"/>
        <v>Nov-2003</v>
      </c>
      <c r="M687" s="5" t="s">
        <v>550</v>
      </c>
      <c r="N687" s="5" t="s">
        <v>552</v>
      </c>
      <c r="O687" s="5" t="s">
        <v>258</v>
      </c>
      <c r="P687" s="5" t="s">
        <v>42</v>
      </c>
      <c r="Q687" s="5" t="s">
        <v>36</v>
      </c>
    </row>
    <row r="688" spans="1:17" x14ac:dyDescent="0.25">
      <c r="A688" s="3">
        <v>10182</v>
      </c>
      <c r="B688" s="3">
        <v>38</v>
      </c>
      <c r="C688" s="3">
        <v>61.15</v>
      </c>
      <c r="D688" s="3">
        <v>2323.6999999999998</v>
      </c>
      <c r="E688" s="3" t="str">
        <f t="shared" si="41"/>
        <v>Medium</v>
      </c>
      <c r="F688" s="3">
        <f t="shared" si="42"/>
        <v>697.1099999999999</v>
      </c>
      <c r="G688" s="4">
        <v>37937</v>
      </c>
      <c r="H688" s="3" t="s">
        <v>25</v>
      </c>
      <c r="I688" s="3" t="str">
        <f t="shared" si="40"/>
        <v>Yes</v>
      </c>
      <c r="J688" s="3" t="s">
        <v>686</v>
      </c>
      <c r="K688" s="3">
        <v>2003</v>
      </c>
      <c r="L688" s="3" t="str">
        <f t="shared" si="43"/>
        <v>Nov-2003</v>
      </c>
      <c r="M688" s="3" t="s">
        <v>550</v>
      </c>
      <c r="N688" s="3" t="s">
        <v>272</v>
      </c>
      <c r="O688" s="3" t="s">
        <v>32</v>
      </c>
      <c r="P688" s="3" t="s">
        <v>33</v>
      </c>
      <c r="Q688" s="3" t="s">
        <v>36</v>
      </c>
    </row>
    <row r="689" spans="1:17" x14ac:dyDescent="0.25">
      <c r="A689" s="5">
        <v>10193</v>
      </c>
      <c r="B689" s="5">
        <v>42</v>
      </c>
      <c r="C689" s="5">
        <v>59.33</v>
      </c>
      <c r="D689" s="5">
        <v>2491.86</v>
      </c>
      <c r="E689" s="5" t="str">
        <f t="shared" si="41"/>
        <v>Medium</v>
      </c>
      <c r="F689" s="5">
        <f t="shared" si="42"/>
        <v>747.55799999999999</v>
      </c>
      <c r="G689" s="6">
        <v>37946</v>
      </c>
      <c r="H689" s="5" t="s">
        <v>25</v>
      </c>
      <c r="I689" s="5" t="str">
        <f t="shared" si="40"/>
        <v>Yes</v>
      </c>
      <c r="J689" s="5" t="s">
        <v>686</v>
      </c>
      <c r="K689" s="5">
        <v>2003</v>
      </c>
      <c r="L689" s="5" t="str">
        <f t="shared" si="43"/>
        <v>Nov-2003</v>
      </c>
      <c r="M689" s="5" t="s">
        <v>550</v>
      </c>
      <c r="N689" s="5" t="s">
        <v>558</v>
      </c>
      <c r="O689" s="5" t="s">
        <v>95</v>
      </c>
      <c r="P689" s="5" t="s">
        <v>96</v>
      </c>
      <c r="Q689" s="5" t="s">
        <v>36</v>
      </c>
    </row>
    <row r="690" spans="1:17" x14ac:dyDescent="0.25">
      <c r="A690" s="3">
        <v>10204</v>
      </c>
      <c r="B690" s="3">
        <v>23</v>
      </c>
      <c r="C690" s="3">
        <v>71.44</v>
      </c>
      <c r="D690" s="3">
        <v>1643.12</v>
      </c>
      <c r="E690" s="3" t="str">
        <f t="shared" si="41"/>
        <v>Low</v>
      </c>
      <c r="F690" s="3">
        <f t="shared" si="42"/>
        <v>492.93599999999992</v>
      </c>
      <c r="G690" s="4">
        <v>37957</v>
      </c>
      <c r="H690" s="3" t="s">
        <v>25</v>
      </c>
      <c r="I690" s="3" t="str">
        <f t="shared" si="40"/>
        <v>Yes</v>
      </c>
      <c r="J690" s="3" t="s">
        <v>687</v>
      </c>
      <c r="K690" s="3">
        <v>2003</v>
      </c>
      <c r="L690" s="3" t="str">
        <f t="shared" si="43"/>
        <v>Dec-2003</v>
      </c>
      <c r="M690" s="3" t="s">
        <v>550</v>
      </c>
      <c r="N690" s="3" t="s">
        <v>475</v>
      </c>
      <c r="O690" s="3" t="s">
        <v>32</v>
      </c>
      <c r="P690" s="3" t="s">
        <v>33</v>
      </c>
      <c r="Q690" s="3" t="s">
        <v>36</v>
      </c>
    </row>
    <row r="691" spans="1:17" x14ac:dyDescent="0.25">
      <c r="A691" s="5">
        <v>10214</v>
      </c>
      <c r="B691" s="5">
        <v>21</v>
      </c>
      <c r="C691" s="5">
        <v>62.96</v>
      </c>
      <c r="D691" s="5">
        <v>1322.16</v>
      </c>
      <c r="E691" s="5" t="str">
        <f t="shared" si="41"/>
        <v>Low</v>
      </c>
      <c r="F691" s="5">
        <f t="shared" si="42"/>
        <v>396.64800000000002</v>
      </c>
      <c r="G691" s="6">
        <v>38012</v>
      </c>
      <c r="H691" s="5" t="s">
        <v>25</v>
      </c>
      <c r="I691" s="5" t="str">
        <f t="shared" si="40"/>
        <v>Yes</v>
      </c>
      <c r="J691" s="5" t="s">
        <v>549</v>
      </c>
      <c r="K691" s="5">
        <v>2004</v>
      </c>
      <c r="L691" s="5" t="str">
        <f t="shared" si="43"/>
        <v>Jan-2004</v>
      </c>
      <c r="M691" s="5" t="s">
        <v>550</v>
      </c>
      <c r="N691" s="5" t="s">
        <v>191</v>
      </c>
      <c r="O691" s="5" t="s">
        <v>178</v>
      </c>
      <c r="P691" s="5" t="s">
        <v>42</v>
      </c>
      <c r="Q691" s="5" t="s">
        <v>36</v>
      </c>
    </row>
    <row r="692" spans="1:17" x14ac:dyDescent="0.25">
      <c r="A692" s="3">
        <v>10227</v>
      </c>
      <c r="B692" s="3">
        <v>28</v>
      </c>
      <c r="C692" s="3">
        <v>50.85</v>
      </c>
      <c r="D692" s="3">
        <v>1423.8</v>
      </c>
      <c r="E692" s="3" t="str">
        <f t="shared" si="41"/>
        <v>Low</v>
      </c>
      <c r="F692" s="3">
        <f t="shared" si="42"/>
        <v>427.14</v>
      </c>
      <c r="G692" s="4">
        <v>38048</v>
      </c>
      <c r="H692" s="3" t="s">
        <v>25</v>
      </c>
      <c r="I692" s="3" t="str">
        <f t="shared" si="40"/>
        <v>Yes</v>
      </c>
      <c r="J692" s="3" t="s">
        <v>691</v>
      </c>
      <c r="K692" s="3">
        <v>2004</v>
      </c>
      <c r="L692" s="3" t="str">
        <f t="shared" si="43"/>
        <v>Mar-2004</v>
      </c>
      <c r="M692" s="3" t="s">
        <v>550</v>
      </c>
      <c r="N692" s="3" t="s">
        <v>219</v>
      </c>
      <c r="O692" s="3" t="s">
        <v>41</v>
      </c>
      <c r="P692" s="3" t="s">
        <v>42</v>
      </c>
      <c r="Q692" s="3" t="s">
        <v>36</v>
      </c>
    </row>
    <row r="693" spans="1:17" x14ac:dyDescent="0.25">
      <c r="A693" s="5">
        <v>10241</v>
      </c>
      <c r="B693" s="5">
        <v>33</v>
      </c>
      <c r="C693" s="5">
        <v>72.650000000000006</v>
      </c>
      <c r="D693" s="5">
        <v>2397.4500000000003</v>
      </c>
      <c r="E693" s="5" t="str">
        <f t="shared" si="41"/>
        <v>Medium</v>
      </c>
      <c r="F693" s="5">
        <f t="shared" si="42"/>
        <v>719.23500000000001</v>
      </c>
      <c r="G693" s="6">
        <v>38090</v>
      </c>
      <c r="H693" s="5" t="s">
        <v>25</v>
      </c>
      <c r="I693" s="5" t="str">
        <f t="shared" si="40"/>
        <v>Yes</v>
      </c>
      <c r="J693" s="5" t="s">
        <v>688</v>
      </c>
      <c r="K693" s="5">
        <v>2004</v>
      </c>
      <c r="L693" s="5" t="str">
        <f t="shared" si="43"/>
        <v>Apr-2004</v>
      </c>
      <c r="M693" s="5" t="s">
        <v>550</v>
      </c>
      <c r="N693" s="5" t="s">
        <v>531</v>
      </c>
      <c r="O693" s="5" t="s">
        <v>41</v>
      </c>
      <c r="P693" s="5" t="s">
        <v>42</v>
      </c>
      <c r="Q693" s="5" t="s">
        <v>36</v>
      </c>
    </row>
    <row r="694" spans="1:17" x14ac:dyDescent="0.25">
      <c r="A694" s="3">
        <v>10280</v>
      </c>
      <c r="B694" s="3">
        <v>25</v>
      </c>
      <c r="C694" s="3">
        <v>62.96</v>
      </c>
      <c r="D694" s="3">
        <v>1574</v>
      </c>
      <c r="E694" s="3" t="str">
        <f t="shared" si="41"/>
        <v>Low</v>
      </c>
      <c r="F694" s="3">
        <f t="shared" si="42"/>
        <v>472.2</v>
      </c>
      <c r="G694" s="4">
        <v>38216</v>
      </c>
      <c r="H694" s="3" t="s">
        <v>25</v>
      </c>
      <c r="I694" s="3" t="str">
        <f t="shared" si="40"/>
        <v>Yes</v>
      </c>
      <c r="J694" s="3" t="s">
        <v>684</v>
      </c>
      <c r="K694" s="3">
        <v>2004</v>
      </c>
      <c r="L694" s="3" t="str">
        <f t="shared" si="43"/>
        <v>Aug-2004</v>
      </c>
      <c r="M694" s="3" t="s">
        <v>550</v>
      </c>
      <c r="N694" s="3" t="s">
        <v>254</v>
      </c>
      <c r="O694" s="3" t="s">
        <v>258</v>
      </c>
      <c r="P694" s="3" t="s">
        <v>42</v>
      </c>
      <c r="Q694" s="3" t="s">
        <v>36</v>
      </c>
    </row>
    <row r="695" spans="1:17" x14ac:dyDescent="0.25">
      <c r="A695" s="5">
        <v>10288</v>
      </c>
      <c r="B695" s="5">
        <v>28</v>
      </c>
      <c r="C695" s="5">
        <v>61.75</v>
      </c>
      <c r="D695" s="5">
        <v>1729</v>
      </c>
      <c r="E695" s="5" t="str">
        <f t="shared" si="41"/>
        <v>Low</v>
      </c>
      <c r="F695" s="5">
        <f t="shared" si="42"/>
        <v>518.69999999999993</v>
      </c>
      <c r="G695" s="6">
        <v>38231</v>
      </c>
      <c r="H695" s="5" t="s">
        <v>25</v>
      </c>
      <c r="I695" s="5" t="str">
        <f t="shared" si="40"/>
        <v>Yes</v>
      </c>
      <c r="J695" s="5" t="s">
        <v>690</v>
      </c>
      <c r="K695" s="5">
        <v>2004</v>
      </c>
      <c r="L695" s="5" t="str">
        <f t="shared" si="43"/>
        <v>Sep-2004</v>
      </c>
      <c r="M695" s="5" t="s">
        <v>550</v>
      </c>
      <c r="N695" s="5" t="s">
        <v>418</v>
      </c>
      <c r="O695" s="5" t="s">
        <v>199</v>
      </c>
      <c r="P695" s="5" t="s">
        <v>96</v>
      </c>
      <c r="Q695" s="5" t="s">
        <v>36</v>
      </c>
    </row>
    <row r="696" spans="1:17" x14ac:dyDescent="0.25">
      <c r="A696" s="3">
        <v>10303</v>
      </c>
      <c r="B696" s="3">
        <v>46</v>
      </c>
      <c r="C696" s="3">
        <v>49.04</v>
      </c>
      <c r="D696" s="3">
        <v>2255.84</v>
      </c>
      <c r="E696" s="3" t="str">
        <f t="shared" si="41"/>
        <v>Medium</v>
      </c>
      <c r="F696" s="3">
        <f t="shared" si="42"/>
        <v>676.75200000000007</v>
      </c>
      <c r="G696" s="4">
        <v>38266</v>
      </c>
      <c r="H696" s="3" t="s">
        <v>25</v>
      </c>
      <c r="I696" s="3" t="str">
        <f t="shared" si="40"/>
        <v>Yes</v>
      </c>
      <c r="J696" s="3" t="s">
        <v>685</v>
      </c>
      <c r="K696" s="3">
        <v>2004</v>
      </c>
      <c r="L696" s="3" t="str">
        <f t="shared" si="43"/>
        <v>Oct-2004</v>
      </c>
      <c r="M696" s="3" t="s">
        <v>550</v>
      </c>
      <c r="N696" s="3" t="s">
        <v>520</v>
      </c>
      <c r="O696" s="3" t="s">
        <v>178</v>
      </c>
      <c r="P696" s="3" t="s">
        <v>42</v>
      </c>
      <c r="Q696" s="3" t="s">
        <v>36</v>
      </c>
    </row>
    <row r="697" spans="1:17" x14ac:dyDescent="0.25">
      <c r="A697" s="5">
        <v>10312</v>
      </c>
      <c r="B697" s="5">
        <v>30</v>
      </c>
      <c r="C697" s="5">
        <v>61.15</v>
      </c>
      <c r="D697" s="5">
        <v>1834.5</v>
      </c>
      <c r="E697" s="5" t="str">
        <f t="shared" si="41"/>
        <v>Low</v>
      </c>
      <c r="F697" s="5">
        <f t="shared" si="42"/>
        <v>550.35</v>
      </c>
      <c r="G697" s="6">
        <v>38281</v>
      </c>
      <c r="H697" s="5" t="s">
        <v>25</v>
      </c>
      <c r="I697" s="5" t="str">
        <f t="shared" si="40"/>
        <v>Yes</v>
      </c>
      <c r="J697" s="5" t="s">
        <v>685</v>
      </c>
      <c r="K697" s="5">
        <v>2004</v>
      </c>
      <c r="L697" s="5" t="str">
        <f t="shared" si="43"/>
        <v>Oct-2004</v>
      </c>
      <c r="M697" s="5" t="s">
        <v>550</v>
      </c>
      <c r="N697" s="5" t="s">
        <v>272</v>
      </c>
      <c r="O697" s="5" t="s">
        <v>32</v>
      </c>
      <c r="P697" s="5" t="s">
        <v>33</v>
      </c>
      <c r="Q697" s="5" t="s">
        <v>36</v>
      </c>
    </row>
    <row r="698" spans="1:17" x14ac:dyDescent="0.25">
      <c r="A698" s="3">
        <v>10332</v>
      </c>
      <c r="B698" s="3">
        <v>38</v>
      </c>
      <c r="C698" s="3">
        <v>84.25</v>
      </c>
      <c r="D698" s="3">
        <v>3201.5</v>
      </c>
      <c r="E698" s="3" t="str">
        <f t="shared" si="41"/>
        <v>Medium</v>
      </c>
      <c r="F698" s="3">
        <f t="shared" si="42"/>
        <v>960.44999999999993</v>
      </c>
      <c r="G698" s="4">
        <v>38308</v>
      </c>
      <c r="H698" s="3" t="s">
        <v>25</v>
      </c>
      <c r="I698" s="3" t="str">
        <f t="shared" si="40"/>
        <v>Yes</v>
      </c>
      <c r="J698" s="3" t="s">
        <v>686</v>
      </c>
      <c r="K698" s="3">
        <v>2004</v>
      </c>
      <c r="L698" s="3" t="str">
        <f t="shared" si="43"/>
        <v>Nov-2004</v>
      </c>
      <c r="M698" s="3" t="s">
        <v>550</v>
      </c>
      <c r="N698" s="3" t="s">
        <v>492</v>
      </c>
      <c r="O698" s="3" t="s">
        <v>170</v>
      </c>
      <c r="P698" s="3" t="s">
        <v>42</v>
      </c>
      <c r="Q698" s="3" t="s">
        <v>51</v>
      </c>
    </row>
    <row r="699" spans="1:17" x14ac:dyDescent="0.25">
      <c r="A699" s="5">
        <v>10344</v>
      </c>
      <c r="B699" s="5">
        <v>40</v>
      </c>
      <c r="C699" s="5">
        <v>56.91</v>
      </c>
      <c r="D699" s="5">
        <v>2276.3999999999996</v>
      </c>
      <c r="E699" s="5" t="str">
        <f t="shared" si="41"/>
        <v>Medium</v>
      </c>
      <c r="F699" s="5">
        <f t="shared" si="42"/>
        <v>682.91999999999985</v>
      </c>
      <c r="G699" s="6">
        <v>38316</v>
      </c>
      <c r="H699" s="5" t="s">
        <v>25</v>
      </c>
      <c r="I699" s="5" t="str">
        <f t="shared" si="40"/>
        <v>Yes</v>
      </c>
      <c r="J699" s="5" t="s">
        <v>686</v>
      </c>
      <c r="K699" s="5">
        <v>2004</v>
      </c>
      <c r="L699" s="5" t="str">
        <f t="shared" si="43"/>
        <v>Nov-2004</v>
      </c>
      <c r="M699" s="5" t="s">
        <v>550</v>
      </c>
      <c r="N699" s="5" t="s">
        <v>433</v>
      </c>
      <c r="O699" s="5" t="s">
        <v>41</v>
      </c>
      <c r="P699" s="5" t="s">
        <v>42</v>
      </c>
      <c r="Q699" s="5" t="s">
        <v>36</v>
      </c>
    </row>
    <row r="700" spans="1:17" x14ac:dyDescent="0.25">
      <c r="A700" s="3">
        <v>10367</v>
      </c>
      <c r="B700" s="3">
        <v>45</v>
      </c>
      <c r="C700" s="3">
        <v>100</v>
      </c>
      <c r="D700" s="3">
        <v>4500</v>
      </c>
      <c r="E700" s="3" t="str">
        <f t="shared" si="41"/>
        <v>Medium</v>
      </c>
      <c r="F700" s="3">
        <f t="shared" si="42"/>
        <v>1350</v>
      </c>
      <c r="G700" s="4">
        <v>38364</v>
      </c>
      <c r="H700" s="3" t="s">
        <v>408</v>
      </c>
      <c r="I700" s="3" t="str">
        <f t="shared" si="40"/>
        <v>No</v>
      </c>
      <c r="J700" s="3" t="s">
        <v>549</v>
      </c>
      <c r="K700" s="3">
        <v>2005</v>
      </c>
      <c r="L700" s="3" t="str">
        <f t="shared" si="43"/>
        <v>Jan-2005</v>
      </c>
      <c r="M700" s="3" t="s">
        <v>550</v>
      </c>
      <c r="N700" s="3" t="s">
        <v>52</v>
      </c>
      <c r="O700" s="3" t="s">
        <v>32</v>
      </c>
      <c r="P700" s="3" t="s">
        <v>33</v>
      </c>
      <c r="Q700" s="3" t="s">
        <v>151</v>
      </c>
    </row>
    <row r="701" spans="1:17" x14ac:dyDescent="0.25">
      <c r="A701" s="5">
        <v>10379</v>
      </c>
      <c r="B701" s="5">
        <v>27</v>
      </c>
      <c r="C701" s="5">
        <v>49.3</v>
      </c>
      <c r="D701" s="5">
        <v>1331.1</v>
      </c>
      <c r="E701" s="5" t="str">
        <f t="shared" si="41"/>
        <v>Low</v>
      </c>
      <c r="F701" s="5">
        <f t="shared" si="42"/>
        <v>399.33</v>
      </c>
      <c r="G701" s="6">
        <v>38393</v>
      </c>
      <c r="H701" s="5" t="s">
        <v>25</v>
      </c>
      <c r="I701" s="5" t="str">
        <f t="shared" si="40"/>
        <v>Yes</v>
      </c>
      <c r="J701" s="5" t="s">
        <v>681</v>
      </c>
      <c r="K701" s="5">
        <v>2005</v>
      </c>
      <c r="L701" s="5" t="str">
        <f t="shared" si="43"/>
        <v>Feb-2005</v>
      </c>
      <c r="M701" s="5" t="s">
        <v>550</v>
      </c>
      <c r="N701" s="5" t="s">
        <v>174</v>
      </c>
      <c r="O701" s="5" t="s">
        <v>178</v>
      </c>
      <c r="P701" s="5" t="s">
        <v>42</v>
      </c>
      <c r="Q701" s="5" t="s">
        <v>36</v>
      </c>
    </row>
    <row r="702" spans="1:17" x14ac:dyDescent="0.25">
      <c r="A702" s="3">
        <v>10407</v>
      </c>
      <c r="B702" s="3">
        <v>42</v>
      </c>
      <c r="C702" s="3">
        <v>72.650000000000006</v>
      </c>
      <c r="D702" s="3">
        <v>3051.3</v>
      </c>
      <c r="E702" s="3" t="str">
        <f t="shared" si="41"/>
        <v>Medium</v>
      </c>
      <c r="F702" s="3">
        <f t="shared" si="42"/>
        <v>915.39</v>
      </c>
      <c r="G702" s="4">
        <v>38464</v>
      </c>
      <c r="H702" s="3" t="s">
        <v>401</v>
      </c>
      <c r="I702" s="3" t="str">
        <f t="shared" si="40"/>
        <v>No</v>
      </c>
      <c r="J702" s="3" t="s">
        <v>688</v>
      </c>
      <c r="K702" s="3">
        <v>2005</v>
      </c>
      <c r="L702" s="3" t="str">
        <f t="shared" si="43"/>
        <v>Apr-2005</v>
      </c>
      <c r="M702" s="3" t="s">
        <v>550</v>
      </c>
      <c r="N702" s="3" t="s">
        <v>397</v>
      </c>
      <c r="O702" s="3" t="s">
        <v>32</v>
      </c>
      <c r="P702" s="3" t="s">
        <v>33</v>
      </c>
      <c r="Q702" s="3" t="s">
        <v>51</v>
      </c>
    </row>
    <row r="703" spans="1:17" x14ac:dyDescent="0.25">
      <c r="A703" s="5">
        <v>10420</v>
      </c>
      <c r="B703" s="5">
        <v>36</v>
      </c>
      <c r="C703" s="5">
        <v>63.57</v>
      </c>
      <c r="D703" s="5">
        <v>2288.52</v>
      </c>
      <c r="E703" s="5" t="str">
        <f t="shared" si="41"/>
        <v>Medium</v>
      </c>
      <c r="F703" s="5">
        <f t="shared" si="42"/>
        <v>686.55599999999993</v>
      </c>
      <c r="G703" s="6">
        <v>38501</v>
      </c>
      <c r="H703" s="5" t="s">
        <v>300</v>
      </c>
      <c r="I703" s="5" t="str">
        <f t="shared" si="40"/>
        <v>No</v>
      </c>
      <c r="J703" s="5" t="s">
        <v>682</v>
      </c>
      <c r="K703" s="5">
        <v>2005</v>
      </c>
      <c r="L703" s="5" t="str">
        <f t="shared" si="43"/>
        <v>May-2005</v>
      </c>
      <c r="M703" s="5" t="s">
        <v>550</v>
      </c>
      <c r="N703" s="5" t="s">
        <v>152</v>
      </c>
      <c r="O703" s="5" t="s">
        <v>95</v>
      </c>
      <c r="P703" s="5" t="s">
        <v>96</v>
      </c>
      <c r="Q703" s="5" t="s">
        <v>36</v>
      </c>
    </row>
    <row r="704" spans="1:17" x14ac:dyDescent="0.25">
      <c r="A704" s="3">
        <v>10104</v>
      </c>
      <c r="B704" s="3">
        <v>29</v>
      </c>
      <c r="C704" s="3">
        <v>100</v>
      </c>
      <c r="D704" s="3">
        <v>2900</v>
      </c>
      <c r="E704" s="3" t="str">
        <f t="shared" si="41"/>
        <v>Medium</v>
      </c>
      <c r="F704" s="3">
        <f t="shared" si="42"/>
        <v>870</v>
      </c>
      <c r="G704" s="4">
        <v>37652</v>
      </c>
      <c r="H704" s="3" t="s">
        <v>25</v>
      </c>
      <c r="I704" s="3" t="str">
        <f t="shared" si="40"/>
        <v>Yes</v>
      </c>
      <c r="J704" s="3" t="s">
        <v>549</v>
      </c>
      <c r="K704" s="3">
        <v>2003</v>
      </c>
      <c r="L704" s="3" t="str">
        <f t="shared" si="43"/>
        <v>Jan-2003</v>
      </c>
      <c r="M704" s="3" t="s">
        <v>504</v>
      </c>
      <c r="N704" s="3" t="s">
        <v>174</v>
      </c>
      <c r="O704" s="3" t="s">
        <v>178</v>
      </c>
      <c r="P704" s="3" t="s">
        <v>42</v>
      </c>
      <c r="Q704" s="3" t="s">
        <v>51</v>
      </c>
    </row>
    <row r="705" spans="1:17" x14ac:dyDescent="0.25">
      <c r="A705" s="5">
        <v>10114</v>
      </c>
      <c r="B705" s="5">
        <v>39</v>
      </c>
      <c r="C705" s="5">
        <v>100</v>
      </c>
      <c r="D705" s="5">
        <v>3900</v>
      </c>
      <c r="E705" s="5" t="str">
        <f t="shared" si="41"/>
        <v>Medium</v>
      </c>
      <c r="F705" s="5">
        <f t="shared" si="42"/>
        <v>1170</v>
      </c>
      <c r="G705" s="6">
        <v>37712</v>
      </c>
      <c r="H705" s="5" t="s">
        <v>25</v>
      </c>
      <c r="I705" s="5" t="str">
        <f t="shared" si="40"/>
        <v>Yes</v>
      </c>
      <c r="J705" s="5" t="s">
        <v>688</v>
      </c>
      <c r="K705" s="5">
        <v>2003</v>
      </c>
      <c r="L705" s="5" t="str">
        <f t="shared" si="43"/>
        <v>Apr-2003</v>
      </c>
      <c r="M705" s="5" t="s">
        <v>504</v>
      </c>
      <c r="N705" s="5" t="s">
        <v>403</v>
      </c>
      <c r="O705" s="5" t="s">
        <v>41</v>
      </c>
      <c r="P705" s="5" t="s">
        <v>42</v>
      </c>
      <c r="Q705" s="5" t="s">
        <v>51</v>
      </c>
    </row>
    <row r="706" spans="1:17" x14ac:dyDescent="0.25">
      <c r="A706" s="3">
        <v>10127</v>
      </c>
      <c r="B706" s="3">
        <v>45</v>
      </c>
      <c r="C706" s="3">
        <v>100</v>
      </c>
      <c r="D706" s="3">
        <v>4500</v>
      </c>
      <c r="E706" s="3" t="str">
        <f t="shared" si="41"/>
        <v>Medium</v>
      </c>
      <c r="F706" s="3">
        <f t="shared" si="42"/>
        <v>1350</v>
      </c>
      <c r="G706" s="4">
        <v>37775</v>
      </c>
      <c r="H706" s="3" t="s">
        <v>25</v>
      </c>
      <c r="I706" s="3" t="str">
        <f t="shared" ref="I706:I769" si="44">IF(H706="Shipped","Yes","No")</f>
        <v>Yes</v>
      </c>
      <c r="J706" s="3" t="s">
        <v>689</v>
      </c>
      <c r="K706" s="3">
        <v>2003</v>
      </c>
      <c r="L706" s="3" t="str">
        <f t="shared" si="43"/>
        <v>Jun-2003</v>
      </c>
      <c r="M706" s="3" t="s">
        <v>504</v>
      </c>
      <c r="N706" s="3" t="s">
        <v>475</v>
      </c>
      <c r="O706" s="3" t="s">
        <v>32</v>
      </c>
      <c r="P706" s="3" t="s">
        <v>33</v>
      </c>
      <c r="Q706" s="3" t="s">
        <v>51</v>
      </c>
    </row>
    <row r="707" spans="1:17" x14ac:dyDescent="0.25">
      <c r="A707" s="5">
        <v>10141</v>
      </c>
      <c r="B707" s="5">
        <v>47</v>
      </c>
      <c r="C707" s="5">
        <v>100</v>
      </c>
      <c r="D707" s="5">
        <v>4700</v>
      </c>
      <c r="E707" s="5" t="str">
        <f t="shared" ref="E707:E770" si="45">IF(D707&gt;=5000,"High",IF(D707&gt;=2000,"Medium","Low"))</f>
        <v>Medium</v>
      </c>
      <c r="F707" s="5">
        <f t="shared" ref="F707:F770" si="46">(D707*0.3)</f>
        <v>1410</v>
      </c>
      <c r="G707" s="6">
        <v>37834</v>
      </c>
      <c r="H707" s="5" t="s">
        <v>25</v>
      </c>
      <c r="I707" s="5" t="str">
        <f t="shared" si="44"/>
        <v>Yes</v>
      </c>
      <c r="J707" s="5" t="s">
        <v>684</v>
      </c>
      <c r="K707" s="5">
        <v>2003</v>
      </c>
      <c r="L707" s="5" t="str">
        <f t="shared" ref="L707:L770" si="47">TEXT(G:G,"MMM-YYYY")</f>
        <v>Aug-2003</v>
      </c>
      <c r="M707" s="5" t="s">
        <v>504</v>
      </c>
      <c r="N707" s="5" t="s">
        <v>467</v>
      </c>
      <c r="O707" s="5" t="s">
        <v>130</v>
      </c>
      <c r="P707" s="5" t="s">
        <v>42</v>
      </c>
      <c r="Q707" s="5" t="s">
        <v>51</v>
      </c>
    </row>
    <row r="708" spans="1:17" x14ac:dyDescent="0.25">
      <c r="A708" s="3">
        <v>10151</v>
      </c>
      <c r="B708" s="3">
        <v>49</v>
      </c>
      <c r="C708" s="3">
        <v>100</v>
      </c>
      <c r="D708" s="3">
        <v>4900</v>
      </c>
      <c r="E708" s="3" t="str">
        <f t="shared" si="45"/>
        <v>Medium</v>
      </c>
      <c r="F708" s="3">
        <f t="shared" si="46"/>
        <v>1470</v>
      </c>
      <c r="G708" s="4">
        <v>37885</v>
      </c>
      <c r="H708" s="3" t="s">
        <v>25</v>
      </c>
      <c r="I708" s="3" t="str">
        <f t="shared" si="44"/>
        <v>Yes</v>
      </c>
      <c r="J708" s="3" t="s">
        <v>690</v>
      </c>
      <c r="K708" s="3">
        <v>2003</v>
      </c>
      <c r="L708" s="3" t="str">
        <f t="shared" si="47"/>
        <v>Sep-2003</v>
      </c>
      <c r="M708" s="3" t="s">
        <v>504</v>
      </c>
      <c r="N708" s="3" t="s">
        <v>391</v>
      </c>
      <c r="O708" s="3" t="s">
        <v>130</v>
      </c>
      <c r="P708" s="3" t="s">
        <v>42</v>
      </c>
      <c r="Q708" s="3" t="s">
        <v>51</v>
      </c>
    </row>
    <row r="709" spans="1:17" x14ac:dyDescent="0.25">
      <c r="A709" s="5">
        <v>10165</v>
      </c>
      <c r="B709" s="5">
        <v>46</v>
      </c>
      <c r="C709" s="5">
        <v>100</v>
      </c>
      <c r="D709" s="5">
        <v>4600</v>
      </c>
      <c r="E709" s="5" t="str">
        <f t="shared" si="45"/>
        <v>Medium</v>
      </c>
      <c r="F709" s="5">
        <f t="shared" si="46"/>
        <v>1380</v>
      </c>
      <c r="G709" s="6">
        <v>37916</v>
      </c>
      <c r="H709" s="5" t="s">
        <v>25</v>
      </c>
      <c r="I709" s="5" t="str">
        <f t="shared" si="44"/>
        <v>Yes</v>
      </c>
      <c r="J709" s="5" t="s">
        <v>685</v>
      </c>
      <c r="K709" s="5">
        <v>2003</v>
      </c>
      <c r="L709" s="5" t="str">
        <f t="shared" si="47"/>
        <v>Oct-2003</v>
      </c>
      <c r="M709" s="5" t="s">
        <v>504</v>
      </c>
      <c r="N709" s="5" t="s">
        <v>196</v>
      </c>
      <c r="O709" s="5" t="s">
        <v>199</v>
      </c>
      <c r="P709" s="5" t="s">
        <v>675</v>
      </c>
      <c r="Q709" s="5" t="s">
        <v>51</v>
      </c>
    </row>
    <row r="710" spans="1:17" x14ac:dyDescent="0.25">
      <c r="A710" s="3">
        <v>10175</v>
      </c>
      <c r="B710" s="3">
        <v>48</v>
      </c>
      <c r="C710" s="3">
        <v>100</v>
      </c>
      <c r="D710" s="3">
        <v>4800</v>
      </c>
      <c r="E710" s="3" t="str">
        <f t="shared" si="45"/>
        <v>Medium</v>
      </c>
      <c r="F710" s="3">
        <f t="shared" si="46"/>
        <v>1440</v>
      </c>
      <c r="G710" s="4">
        <v>37931</v>
      </c>
      <c r="H710" s="3" t="s">
        <v>25</v>
      </c>
      <c r="I710" s="3" t="str">
        <f t="shared" si="44"/>
        <v>Yes</v>
      </c>
      <c r="J710" s="3" t="s">
        <v>686</v>
      </c>
      <c r="K710" s="3">
        <v>2003</v>
      </c>
      <c r="L710" s="3" t="str">
        <f t="shared" si="47"/>
        <v>Nov-2003</v>
      </c>
      <c r="M710" s="3" t="s">
        <v>504</v>
      </c>
      <c r="N710" s="3" t="s">
        <v>329</v>
      </c>
      <c r="O710" s="3" t="s">
        <v>170</v>
      </c>
      <c r="P710" s="3" t="s">
        <v>42</v>
      </c>
      <c r="Q710" s="3" t="s">
        <v>51</v>
      </c>
    </row>
    <row r="711" spans="1:17" x14ac:dyDescent="0.25">
      <c r="A711" s="5">
        <v>10184</v>
      </c>
      <c r="B711" s="5">
        <v>46</v>
      </c>
      <c r="C711" s="5">
        <v>100</v>
      </c>
      <c r="D711" s="5">
        <v>4600</v>
      </c>
      <c r="E711" s="5" t="str">
        <f t="shared" si="45"/>
        <v>Medium</v>
      </c>
      <c r="F711" s="5">
        <f t="shared" si="46"/>
        <v>1380</v>
      </c>
      <c r="G711" s="6">
        <v>37939</v>
      </c>
      <c r="H711" s="5" t="s">
        <v>25</v>
      </c>
      <c r="I711" s="5" t="str">
        <f t="shared" si="44"/>
        <v>Yes</v>
      </c>
      <c r="J711" s="5" t="s">
        <v>686</v>
      </c>
      <c r="K711" s="5">
        <v>2003</v>
      </c>
      <c r="L711" s="5" t="str">
        <f t="shared" si="47"/>
        <v>Nov-2003</v>
      </c>
      <c r="M711" s="5" t="s">
        <v>504</v>
      </c>
      <c r="N711" s="5" t="s">
        <v>520</v>
      </c>
      <c r="O711" s="5" t="s">
        <v>178</v>
      </c>
      <c r="P711" s="5" t="s">
        <v>42</v>
      </c>
      <c r="Q711" s="5" t="s">
        <v>51</v>
      </c>
    </row>
    <row r="712" spans="1:17" x14ac:dyDescent="0.25">
      <c r="A712" s="3">
        <v>10195</v>
      </c>
      <c r="B712" s="3">
        <v>35</v>
      </c>
      <c r="C712" s="3">
        <v>100</v>
      </c>
      <c r="D712" s="3">
        <v>3500</v>
      </c>
      <c r="E712" s="3" t="str">
        <f t="shared" si="45"/>
        <v>Medium</v>
      </c>
      <c r="F712" s="3">
        <f t="shared" si="46"/>
        <v>1050</v>
      </c>
      <c r="G712" s="4">
        <v>37950</v>
      </c>
      <c r="H712" s="3" t="s">
        <v>25</v>
      </c>
      <c r="I712" s="3" t="str">
        <f t="shared" si="44"/>
        <v>Yes</v>
      </c>
      <c r="J712" s="3" t="s">
        <v>686</v>
      </c>
      <c r="K712" s="3">
        <v>2003</v>
      </c>
      <c r="L712" s="3" t="str">
        <f t="shared" si="47"/>
        <v>Nov-2003</v>
      </c>
      <c r="M712" s="3" t="s">
        <v>504</v>
      </c>
      <c r="N712" s="3" t="s">
        <v>317</v>
      </c>
      <c r="O712" s="3" t="s">
        <v>32</v>
      </c>
      <c r="P712" s="3" t="s">
        <v>33</v>
      </c>
      <c r="Q712" s="3" t="s">
        <v>51</v>
      </c>
    </row>
    <row r="713" spans="1:17" x14ac:dyDescent="0.25">
      <c r="A713" s="5">
        <v>10207</v>
      </c>
      <c r="B713" s="5">
        <v>43</v>
      </c>
      <c r="C713" s="5">
        <v>100</v>
      </c>
      <c r="D713" s="5">
        <v>4300</v>
      </c>
      <c r="E713" s="5" t="str">
        <f t="shared" si="45"/>
        <v>Medium</v>
      </c>
      <c r="F713" s="5">
        <f t="shared" si="46"/>
        <v>1290</v>
      </c>
      <c r="G713" s="6">
        <v>37964</v>
      </c>
      <c r="H713" s="5" t="s">
        <v>25</v>
      </c>
      <c r="I713" s="5" t="str">
        <f t="shared" si="44"/>
        <v>Yes</v>
      </c>
      <c r="J713" s="5" t="s">
        <v>687</v>
      </c>
      <c r="K713" s="5">
        <v>2003</v>
      </c>
      <c r="L713" s="5" t="str">
        <f t="shared" si="47"/>
        <v>Dec-2003</v>
      </c>
      <c r="M713" s="5" t="s">
        <v>504</v>
      </c>
      <c r="N713" s="5" t="s">
        <v>415</v>
      </c>
      <c r="O713" s="5" t="s">
        <v>32</v>
      </c>
      <c r="P713" s="5" t="s">
        <v>33</v>
      </c>
      <c r="Q713" s="5" t="s">
        <v>51</v>
      </c>
    </row>
    <row r="714" spans="1:17" x14ac:dyDescent="0.25">
      <c r="A714" s="3">
        <v>10229</v>
      </c>
      <c r="B714" s="3">
        <v>26</v>
      </c>
      <c r="C714" s="3">
        <v>100</v>
      </c>
      <c r="D714" s="3">
        <v>2600</v>
      </c>
      <c r="E714" s="3" t="str">
        <f t="shared" si="45"/>
        <v>Medium</v>
      </c>
      <c r="F714" s="3">
        <f t="shared" si="46"/>
        <v>780</v>
      </c>
      <c r="G714" s="4">
        <v>38057</v>
      </c>
      <c r="H714" s="3" t="s">
        <v>25</v>
      </c>
      <c r="I714" s="3" t="str">
        <f t="shared" si="44"/>
        <v>Yes</v>
      </c>
      <c r="J714" s="3" t="s">
        <v>691</v>
      </c>
      <c r="K714" s="3">
        <v>2004</v>
      </c>
      <c r="L714" s="3" t="str">
        <f t="shared" si="47"/>
        <v>Mar-2004</v>
      </c>
      <c r="M714" s="3" t="s">
        <v>504</v>
      </c>
      <c r="N714" s="3" t="s">
        <v>272</v>
      </c>
      <c r="O714" s="3" t="s">
        <v>32</v>
      </c>
      <c r="P714" s="3" t="s">
        <v>33</v>
      </c>
      <c r="Q714" s="3" t="s">
        <v>51</v>
      </c>
    </row>
    <row r="715" spans="1:17" x14ac:dyDescent="0.25">
      <c r="A715" s="5">
        <v>10246</v>
      </c>
      <c r="B715" s="5">
        <v>22</v>
      </c>
      <c r="C715" s="5">
        <v>98.18</v>
      </c>
      <c r="D715" s="5">
        <v>2159.96</v>
      </c>
      <c r="E715" s="5" t="str">
        <f t="shared" si="45"/>
        <v>Medium</v>
      </c>
      <c r="F715" s="5">
        <f t="shared" si="46"/>
        <v>647.98799999999994</v>
      </c>
      <c r="G715" s="6">
        <v>38112</v>
      </c>
      <c r="H715" s="5" t="s">
        <v>25</v>
      </c>
      <c r="I715" s="5" t="str">
        <f t="shared" si="44"/>
        <v>Yes</v>
      </c>
      <c r="J715" s="5" t="s">
        <v>682</v>
      </c>
      <c r="K715" s="5">
        <v>2004</v>
      </c>
      <c r="L715" s="5" t="str">
        <f t="shared" si="47"/>
        <v>May-2004</v>
      </c>
      <c r="M715" s="5" t="s">
        <v>504</v>
      </c>
      <c r="N715" s="5" t="s">
        <v>174</v>
      </c>
      <c r="O715" s="5" t="s">
        <v>178</v>
      </c>
      <c r="P715" s="5" t="s">
        <v>42</v>
      </c>
      <c r="Q715" s="5" t="s">
        <v>36</v>
      </c>
    </row>
    <row r="716" spans="1:17" x14ac:dyDescent="0.25">
      <c r="A716" s="3">
        <v>10259</v>
      </c>
      <c r="B716" s="3">
        <v>34</v>
      </c>
      <c r="C716" s="3">
        <v>99.41</v>
      </c>
      <c r="D716" s="3">
        <v>3379.94</v>
      </c>
      <c r="E716" s="3" t="str">
        <f t="shared" si="45"/>
        <v>Medium</v>
      </c>
      <c r="F716" s="3">
        <f t="shared" si="46"/>
        <v>1013.982</v>
      </c>
      <c r="G716" s="4">
        <v>38153</v>
      </c>
      <c r="H716" s="3" t="s">
        <v>25</v>
      </c>
      <c r="I716" s="3" t="str">
        <f t="shared" si="44"/>
        <v>Yes</v>
      </c>
      <c r="J716" s="3" t="s">
        <v>689</v>
      </c>
      <c r="K716" s="3">
        <v>2004</v>
      </c>
      <c r="L716" s="3" t="str">
        <f t="shared" si="47"/>
        <v>Jun-2004</v>
      </c>
      <c r="M716" s="3" t="s">
        <v>504</v>
      </c>
      <c r="N716" s="3" t="s">
        <v>418</v>
      </c>
      <c r="O716" s="3" t="s">
        <v>199</v>
      </c>
      <c r="P716" s="3" t="s">
        <v>96</v>
      </c>
      <c r="Q716" s="3" t="s">
        <v>51</v>
      </c>
    </row>
    <row r="717" spans="1:17" x14ac:dyDescent="0.25">
      <c r="A717" s="5">
        <v>10271</v>
      </c>
      <c r="B717" s="5">
        <v>50</v>
      </c>
      <c r="C717" s="5">
        <v>100</v>
      </c>
      <c r="D717" s="5">
        <v>5000</v>
      </c>
      <c r="E717" s="5" t="str">
        <f t="shared" si="45"/>
        <v>High</v>
      </c>
      <c r="F717" s="5">
        <f t="shared" si="46"/>
        <v>1500</v>
      </c>
      <c r="G717" s="6">
        <v>38188</v>
      </c>
      <c r="H717" s="5" t="s">
        <v>25</v>
      </c>
      <c r="I717" s="5" t="str">
        <f t="shared" si="44"/>
        <v>Yes</v>
      </c>
      <c r="J717" s="5" t="s">
        <v>683</v>
      </c>
      <c r="K717" s="5">
        <v>2004</v>
      </c>
      <c r="L717" s="5" t="str">
        <f t="shared" si="47"/>
        <v>Jul-2004</v>
      </c>
      <c r="M717" s="5" t="s">
        <v>504</v>
      </c>
      <c r="N717" s="5" t="s">
        <v>272</v>
      </c>
      <c r="O717" s="5" t="s">
        <v>32</v>
      </c>
      <c r="P717" s="5" t="s">
        <v>33</v>
      </c>
      <c r="Q717" s="5" t="s">
        <v>51</v>
      </c>
    </row>
    <row r="718" spans="1:17" x14ac:dyDescent="0.25">
      <c r="A718" s="3">
        <v>10281</v>
      </c>
      <c r="B718" s="3">
        <v>48</v>
      </c>
      <c r="C718" s="3">
        <v>100</v>
      </c>
      <c r="D718" s="3">
        <v>4800</v>
      </c>
      <c r="E718" s="3" t="str">
        <f t="shared" si="45"/>
        <v>Medium</v>
      </c>
      <c r="F718" s="3">
        <f t="shared" si="46"/>
        <v>1440</v>
      </c>
      <c r="G718" s="4">
        <v>38218</v>
      </c>
      <c r="H718" s="3" t="s">
        <v>25</v>
      </c>
      <c r="I718" s="3" t="str">
        <f t="shared" si="44"/>
        <v>Yes</v>
      </c>
      <c r="J718" s="3" t="s">
        <v>684</v>
      </c>
      <c r="K718" s="3">
        <v>2004</v>
      </c>
      <c r="L718" s="3" t="str">
        <f t="shared" si="47"/>
        <v>Aug-2004</v>
      </c>
      <c r="M718" s="3" t="s">
        <v>504</v>
      </c>
      <c r="N718" s="3" t="s">
        <v>139</v>
      </c>
      <c r="O718" s="3" t="s">
        <v>32</v>
      </c>
      <c r="P718" s="3" t="s">
        <v>33</v>
      </c>
      <c r="Q718" s="3" t="s">
        <v>51</v>
      </c>
    </row>
    <row r="719" spans="1:17" x14ac:dyDescent="0.25">
      <c r="A719" s="5">
        <v>10292</v>
      </c>
      <c r="B719" s="5">
        <v>41</v>
      </c>
      <c r="C719" s="5">
        <v>100</v>
      </c>
      <c r="D719" s="5">
        <v>4100</v>
      </c>
      <c r="E719" s="5" t="str">
        <f t="shared" si="45"/>
        <v>Medium</v>
      </c>
      <c r="F719" s="5">
        <f t="shared" si="46"/>
        <v>1230</v>
      </c>
      <c r="G719" s="6">
        <v>38238</v>
      </c>
      <c r="H719" s="5" t="s">
        <v>25</v>
      </c>
      <c r="I719" s="5" t="str">
        <f t="shared" si="44"/>
        <v>Yes</v>
      </c>
      <c r="J719" s="5" t="s">
        <v>690</v>
      </c>
      <c r="K719" s="5">
        <v>2004</v>
      </c>
      <c r="L719" s="5" t="str">
        <f t="shared" si="47"/>
        <v>Sep-2004</v>
      </c>
      <c r="M719" s="5" t="s">
        <v>504</v>
      </c>
      <c r="N719" s="5" t="s">
        <v>28</v>
      </c>
      <c r="O719" s="5" t="s">
        <v>32</v>
      </c>
      <c r="P719" s="5" t="s">
        <v>33</v>
      </c>
      <c r="Q719" s="5" t="s">
        <v>51</v>
      </c>
    </row>
    <row r="720" spans="1:17" x14ac:dyDescent="0.25">
      <c r="A720" s="3">
        <v>10305</v>
      </c>
      <c r="B720" s="3">
        <v>36</v>
      </c>
      <c r="C720" s="3">
        <v>100</v>
      </c>
      <c r="D720" s="3">
        <v>3600</v>
      </c>
      <c r="E720" s="3" t="str">
        <f t="shared" si="45"/>
        <v>Medium</v>
      </c>
      <c r="F720" s="3">
        <f t="shared" si="46"/>
        <v>1080</v>
      </c>
      <c r="G720" s="4">
        <v>38273</v>
      </c>
      <c r="H720" s="3" t="s">
        <v>25</v>
      </c>
      <c r="I720" s="3" t="str">
        <f t="shared" si="44"/>
        <v>Yes</v>
      </c>
      <c r="J720" s="3" t="s">
        <v>685</v>
      </c>
      <c r="K720" s="3">
        <v>2004</v>
      </c>
      <c r="L720" s="3" t="str">
        <f t="shared" si="47"/>
        <v>Oct-2004</v>
      </c>
      <c r="M720" s="3" t="s">
        <v>504</v>
      </c>
      <c r="N720" s="3" t="s">
        <v>120</v>
      </c>
      <c r="O720" s="3" t="s">
        <v>32</v>
      </c>
      <c r="P720" s="3" t="s">
        <v>33</v>
      </c>
      <c r="Q720" s="3" t="s">
        <v>51</v>
      </c>
    </row>
    <row r="721" spans="1:17" x14ac:dyDescent="0.25">
      <c r="A721" s="5">
        <v>10313</v>
      </c>
      <c r="B721" s="5">
        <v>29</v>
      </c>
      <c r="C721" s="5">
        <v>100</v>
      </c>
      <c r="D721" s="5">
        <v>2900</v>
      </c>
      <c r="E721" s="5" t="str">
        <f t="shared" si="45"/>
        <v>Medium</v>
      </c>
      <c r="F721" s="5">
        <f t="shared" si="46"/>
        <v>870</v>
      </c>
      <c r="G721" s="6">
        <v>38282</v>
      </c>
      <c r="H721" s="5" t="s">
        <v>25</v>
      </c>
      <c r="I721" s="5" t="str">
        <f t="shared" si="44"/>
        <v>Yes</v>
      </c>
      <c r="J721" s="5" t="s">
        <v>685</v>
      </c>
      <c r="K721" s="5">
        <v>2004</v>
      </c>
      <c r="L721" s="5" t="str">
        <f t="shared" si="47"/>
        <v>Oct-2004</v>
      </c>
      <c r="M721" s="5" t="s">
        <v>504</v>
      </c>
      <c r="N721" s="5" t="s">
        <v>225</v>
      </c>
      <c r="O721" s="5" t="s">
        <v>231</v>
      </c>
      <c r="P721" s="5" t="s">
        <v>33</v>
      </c>
      <c r="Q721" s="5" t="s">
        <v>51</v>
      </c>
    </row>
    <row r="722" spans="1:17" x14ac:dyDescent="0.25">
      <c r="A722" s="3">
        <v>10324</v>
      </c>
      <c r="B722" s="3">
        <v>33</v>
      </c>
      <c r="C722" s="3">
        <v>37.479999999999997</v>
      </c>
      <c r="D722" s="3">
        <v>1236.8399999999999</v>
      </c>
      <c r="E722" s="3" t="str">
        <f t="shared" si="45"/>
        <v>Low</v>
      </c>
      <c r="F722" s="3">
        <f t="shared" si="46"/>
        <v>371.05199999999996</v>
      </c>
      <c r="G722" s="4">
        <v>38296</v>
      </c>
      <c r="H722" s="3" t="s">
        <v>25</v>
      </c>
      <c r="I722" s="3" t="str">
        <f t="shared" si="44"/>
        <v>Yes</v>
      </c>
      <c r="J722" s="3" t="s">
        <v>686</v>
      </c>
      <c r="K722" s="3">
        <v>2004</v>
      </c>
      <c r="L722" s="3" t="str">
        <f t="shared" si="47"/>
        <v>Nov-2004</v>
      </c>
      <c r="M722" s="3" t="s">
        <v>504</v>
      </c>
      <c r="N722" s="3" t="s">
        <v>99</v>
      </c>
      <c r="O722" s="3" t="s">
        <v>32</v>
      </c>
      <c r="P722" s="3" t="s">
        <v>33</v>
      </c>
      <c r="Q722" s="3" t="s">
        <v>36</v>
      </c>
    </row>
    <row r="723" spans="1:17" x14ac:dyDescent="0.25">
      <c r="A723" s="5">
        <v>10334</v>
      </c>
      <c r="B723" s="5">
        <v>46</v>
      </c>
      <c r="C723" s="5">
        <v>100</v>
      </c>
      <c r="D723" s="5">
        <v>4600</v>
      </c>
      <c r="E723" s="5" t="str">
        <f t="shared" si="45"/>
        <v>Medium</v>
      </c>
      <c r="F723" s="5">
        <f t="shared" si="46"/>
        <v>1380</v>
      </c>
      <c r="G723" s="6">
        <v>38310</v>
      </c>
      <c r="H723" s="5" t="s">
        <v>401</v>
      </c>
      <c r="I723" s="5" t="str">
        <f t="shared" si="44"/>
        <v>No</v>
      </c>
      <c r="J723" s="5" t="s">
        <v>686</v>
      </c>
      <c r="K723" s="5">
        <v>2004</v>
      </c>
      <c r="L723" s="5" t="str">
        <f t="shared" si="47"/>
        <v>Nov-2004</v>
      </c>
      <c r="M723" s="5" t="s">
        <v>504</v>
      </c>
      <c r="N723" s="5" t="s">
        <v>183</v>
      </c>
      <c r="O723" s="5" t="s">
        <v>188</v>
      </c>
      <c r="P723" s="5" t="s">
        <v>42</v>
      </c>
      <c r="Q723" s="5" t="s">
        <v>51</v>
      </c>
    </row>
    <row r="724" spans="1:17" x14ac:dyDescent="0.25">
      <c r="A724" s="3">
        <v>10349</v>
      </c>
      <c r="B724" s="3">
        <v>38</v>
      </c>
      <c r="C724" s="3">
        <v>100</v>
      </c>
      <c r="D724" s="3">
        <v>3800</v>
      </c>
      <c r="E724" s="3" t="str">
        <f t="shared" si="45"/>
        <v>Medium</v>
      </c>
      <c r="F724" s="3">
        <f t="shared" si="46"/>
        <v>1140</v>
      </c>
      <c r="G724" s="4">
        <v>38322</v>
      </c>
      <c r="H724" s="3" t="s">
        <v>25</v>
      </c>
      <c r="I724" s="3" t="str">
        <f t="shared" si="44"/>
        <v>Yes</v>
      </c>
      <c r="J724" s="3" t="s">
        <v>687</v>
      </c>
      <c r="K724" s="3">
        <v>2004</v>
      </c>
      <c r="L724" s="3" t="str">
        <f t="shared" si="47"/>
        <v>Dec-2004</v>
      </c>
      <c r="M724" s="3" t="s">
        <v>504</v>
      </c>
      <c r="N724" s="3" t="s">
        <v>475</v>
      </c>
      <c r="O724" s="3" t="s">
        <v>32</v>
      </c>
      <c r="P724" s="3" t="s">
        <v>33</v>
      </c>
      <c r="Q724" s="3" t="s">
        <v>51</v>
      </c>
    </row>
    <row r="725" spans="1:17" x14ac:dyDescent="0.25">
      <c r="A725" s="5">
        <v>10358</v>
      </c>
      <c r="B725" s="5">
        <v>20</v>
      </c>
      <c r="C725" s="5">
        <v>36.42</v>
      </c>
      <c r="D725" s="5">
        <v>728.40000000000009</v>
      </c>
      <c r="E725" s="5" t="str">
        <f t="shared" si="45"/>
        <v>Low</v>
      </c>
      <c r="F725" s="5">
        <f t="shared" si="46"/>
        <v>218.52</v>
      </c>
      <c r="G725" s="6">
        <v>38331</v>
      </c>
      <c r="H725" s="5" t="s">
        <v>25</v>
      </c>
      <c r="I725" s="5" t="str">
        <f t="shared" si="44"/>
        <v>Yes</v>
      </c>
      <c r="J725" s="5" t="s">
        <v>687</v>
      </c>
      <c r="K725" s="5">
        <v>2004</v>
      </c>
      <c r="L725" s="5" t="str">
        <f t="shared" si="47"/>
        <v>Dec-2004</v>
      </c>
      <c r="M725" s="5" t="s">
        <v>504</v>
      </c>
      <c r="N725" s="5" t="s">
        <v>174</v>
      </c>
      <c r="O725" s="5" t="s">
        <v>178</v>
      </c>
      <c r="P725" s="5" t="s">
        <v>42</v>
      </c>
      <c r="Q725" s="5" t="s">
        <v>36</v>
      </c>
    </row>
    <row r="726" spans="1:17" x14ac:dyDescent="0.25">
      <c r="A726" s="3">
        <v>10370</v>
      </c>
      <c r="B726" s="3">
        <v>22</v>
      </c>
      <c r="C726" s="3">
        <v>100</v>
      </c>
      <c r="D726" s="3">
        <v>2200</v>
      </c>
      <c r="E726" s="3" t="str">
        <f t="shared" si="45"/>
        <v>Medium</v>
      </c>
      <c r="F726" s="3">
        <f t="shared" si="46"/>
        <v>660</v>
      </c>
      <c r="G726" s="4">
        <v>38372</v>
      </c>
      <c r="H726" s="3" t="s">
        <v>25</v>
      </c>
      <c r="I726" s="3" t="str">
        <f t="shared" si="44"/>
        <v>Yes</v>
      </c>
      <c r="J726" s="3" t="s">
        <v>549</v>
      </c>
      <c r="K726" s="3">
        <v>2005</v>
      </c>
      <c r="L726" s="3" t="str">
        <f t="shared" si="47"/>
        <v>Jan-2005</v>
      </c>
      <c r="M726" s="3" t="s">
        <v>504</v>
      </c>
      <c r="N726" s="3" t="s">
        <v>285</v>
      </c>
      <c r="O726" s="3" t="s">
        <v>95</v>
      </c>
      <c r="P726" s="3" t="s">
        <v>96</v>
      </c>
      <c r="Q726" s="3" t="s">
        <v>51</v>
      </c>
    </row>
    <row r="727" spans="1:17" x14ac:dyDescent="0.25">
      <c r="A727" s="5">
        <v>10383</v>
      </c>
      <c r="B727" s="5">
        <v>27</v>
      </c>
      <c r="C727" s="5">
        <v>100</v>
      </c>
      <c r="D727" s="5">
        <v>2700</v>
      </c>
      <c r="E727" s="5" t="str">
        <f t="shared" si="45"/>
        <v>Medium</v>
      </c>
      <c r="F727" s="5">
        <f t="shared" si="46"/>
        <v>810</v>
      </c>
      <c r="G727" s="6">
        <v>38405</v>
      </c>
      <c r="H727" s="5" t="s">
        <v>25</v>
      </c>
      <c r="I727" s="5" t="str">
        <f t="shared" si="44"/>
        <v>Yes</v>
      </c>
      <c r="J727" s="5" t="s">
        <v>681</v>
      </c>
      <c r="K727" s="5">
        <v>2005</v>
      </c>
      <c r="L727" s="5" t="str">
        <f t="shared" si="47"/>
        <v>Feb-2005</v>
      </c>
      <c r="M727" s="5" t="s">
        <v>504</v>
      </c>
      <c r="N727" s="5" t="s">
        <v>174</v>
      </c>
      <c r="O727" s="5" t="s">
        <v>178</v>
      </c>
      <c r="P727" s="5" t="s">
        <v>42</v>
      </c>
      <c r="Q727" s="5" t="s">
        <v>51</v>
      </c>
    </row>
    <row r="728" spans="1:17" x14ac:dyDescent="0.25">
      <c r="A728" s="3">
        <v>10412</v>
      </c>
      <c r="B728" s="3">
        <v>56</v>
      </c>
      <c r="C728" s="3">
        <v>98.18</v>
      </c>
      <c r="D728" s="3">
        <v>5498.08</v>
      </c>
      <c r="E728" s="3" t="str">
        <f t="shared" si="45"/>
        <v>High</v>
      </c>
      <c r="F728" s="3">
        <f t="shared" si="46"/>
        <v>1649.424</v>
      </c>
      <c r="G728" s="4">
        <v>38475</v>
      </c>
      <c r="H728" s="3" t="s">
        <v>25</v>
      </c>
      <c r="I728" s="3" t="str">
        <f t="shared" si="44"/>
        <v>Yes</v>
      </c>
      <c r="J728" s="3" t="s">
        <v>682</v>
      </c>
      <c r="K728" s="3">
        <v>2005</v>
      </c>
      <c r="L728" s="3" t="str">
        <f t="shared" si="47"/>
        <v>May-2005</v>
      </c>
      <c r="M728" s="3" t="s">
        <v>504</v>
      </c>
      <c r="N728" s="3" t="s">
        <v>174</v>
      </c>
      <c r="O728" s="3" t="s">
        <v>178</v>
      </c>
      <c r="P728" s="3" t="s">
        <v>42</v>
      </c>
      <c r="Q728" s="3" t="s">
        <v>51</v>
      </c>
    </row>
    <row r="729" spans="1:17" x14ac:dyDescent="0.25">
      <c r="A729" s="5">
        <v>10425</v>
      </c>
      <c r="B729" s="5">
        <v>38</v>
      </c>
      <c r="C729" s="5">
        <v>99.41</v>
      </c>
      <c r="D729" s="5">
        <v>3777.58</v>
      </c>
      <c r="E729" s="5" t="str">
        <f t="shared" si="45"/>
        <v>Medium</v>
      </c>
      <c r="F729" s="5">
        <f t="shared" si="46"/>
        <v>1133.2739999999999</v>
      </c>
      <c r="G729" s="6">
        <v>38503</v>
      </c>
      <c r="H729" s="5" t="s">
        <v>300</v>
      </c>
      <c r="I729" s="5" t="str">
        <f t="shared" si="44"/>
        <v>No</v>
      </c>
      <c r="J729" s="5" t="s">
        <v>682</v>
      </c>
      <c r="K729" s="5">
        <v>2005</v>
      </c>
      <c r="L729" s="5" t="str">
        <f t="shared" si="47"/>
        <v>May-2005</v>
      </c>
      <c r="M729" s="5" t="s">
        <v>504</v>
      </c>
      <c r="N729" s="5" t="s">
        <v>114</v>
      </c>
      <c r="O729" s="5" t="s">
        <v>41</v>
      </c>
      <c r="P729" s="5" t="s">
        <v>42</v>
      </c>
      <c r="Q729" s="5" t="s">
        <v>51</v>
      </c>
    </row>
    <row r="730" spans="1:17" x14ac:dyDescent="0.25">
      <c r="A730" s="3">
        <v>10101</v>
      </c>
      <c r="B730" s="3">
        <v>25</v>
      </c>
      <c r="C730" s="3">
        <v>100</v>
      </c>
      <c r="D730" s="3">
        <v>2500</v>
      </c>
      <c r="E730" s="3" t="str">
        <f t="shared" si="45"/>
        <v>Medium</v>
      </c>
      <c r="F730" s="3">
        <f t="shared" si="46"/>
        <v>750</v>
      </c>
      <c r="G730" s="4">
        <v>37630</v>
      </c>
      <c r="H730" s="3" t="s">
        <v>25</v>
      </c>
      <c r="I730" s="3" t="str">
        <f t="shared" si="44"/>
        <v>Yes</v>
      </c>
      <c r="J730" s="3" t="s">
        <v>549</v>
      </c>
      <c r="K730" s="3">
        <v>2003</v>
      </c>
      <c r="L730" s="3" t="str">
        <f t="shared" si="47"/>
        <v>Jan-2003</v>
      </c>
      <c r="M730" s="3" t="s">
        <v>550</v>
      </c>
      <c r="N730" s="3" t="s">
        <v>462</v>
      </c>
      <c r="O730" s="3" t="s">
        <v>443</v>
      </c>
      <c r="P730" s="3" t="s">
        <v>42</v>
      </c>
      <c r="Q730" s="3" t="s">
        <v>51</v>
      </c>
    </row>
    <row r="731" spans="1:17" x14ac:dyDescent="0.25">
      <c r="A731" s="5">
        <v>10110</v>
      </c>
      <c r="B731" s="5">
        <v>33</v>
      </c>
      <c r="C731" s="5">
        <v>100</v>
      </c>
      <c r="D731" s="5">
        <v>3300</v>
      </c>
      <c r="E731" s="5" t="str">
        <f t="shared" si="45"/>
        <v>Medium</v>
      </c>
      <c r="F731" s="5">
        <f t="shared" si="46"/>
        <v>990</v>
      </c>
      <c r="G731" s="6">
        <v>37698</v>
      </c>
      <c r="H731" s="5" t="s">
        <v>25</v>
      </c>
      <c r="I731" s="5" t="str">
        <f t="shared" si="44"/>
        <v>Yes</v>
      </c>
      <c r="J731" s="5" t="s">
        <v>691</v>
      </c>
      <c r="K731" s="5">
        <v>2003</v>
      </c>
      <c r="L731" s="5" t="str">
        <f t="shared" si="47"/>
        <v>Mar-2003</v>
      </c>
      <c r="M731" s="5" t="s">
        <v>550</v>
      </c>
      <c r="N731" s="5" t="s">
        <v>492</v>
      </c>
      <c r="O731" s="5" t="s">
        <v>170</v>
      </c>
      <c r="P731" s="5" t="s">
        <v>42</v>
      </c>
      <c r="Q731" s="5" t="s">
        <v>51</v>
      </c>
    </row>
    <row r="732" spans="1:17" x14ac:dyDescent="0.25">
      <c r="A732" s="3">
        <v>10124</v>
      </c>
      <c r="B732" s="3">
        <v>42</v>
      </c>
      <c r="C732" s="3">
        <v>100</v>
      </c>
      <c r="D732" s="3">
        <v>4200</v>
      </c>
      <c r="E732" s="3" t="str">
        <f t="shared" si="45"/>
        <v>Medium</v>
      </c>
      <c r="F732" s="3">
        <f t="shared" si="46"/>
        <v>1260</v>
      </c>
      <c r="G732" s="4">
        <v>37762</v>
      </c>
      <c r="H732" s="3" t="s">
        <v>25</v>
      </c>
      <c r="I732" s="3" t="str">
        <f t="shared" si="44"/>
        <v>Yes</v>
      </c>
      <c r="J732" s="3" t="s">
        <v>682</v>
      </c>
      <c r="K732" s="3">
        <v>2003</v>
      </c>
      <c r="L732" s="3" t="str">
        <f t="shared" si="47"/>
        <v>May-2003</v>
      </c>
      <c r="M732" s="3" t="s">
        <v>550</v>
      </c>
      <c r="N732" s="3" t="s">
        <v>539</v>
      </c>
      <c r="O732" s="3" t="s">
        <v>32</v>
      </c>
      <c r="P732" s="3" t="s">
        <v>33</v>
      </c>
      <c r="Q732" s="3" t="s">
        <v>51</v>
      </c>
    </row>
    <row r="733" spans="1:17" x14ac:dyDescent="0.25">
      <c r="A733" s="5">
        <v>10149</v>
      </c>
      <c r="B733" s="5">
        <v>33</v>
      </c>
      <c r="C733" s="5">
        <v>100</v>
      </c>
      <c r="D733" s="5">
        <v>3300</v>
      </c>
      <c r="E733" s="5" t="str">
        <f t="shared" si="45"/>
        <v>Medium</v>
      </c>
      <c r="F733" s="5">
        <f t="shared" si="46"/>
        <v>990</v>
      </c>
      <c r="G733" s="6">
        <v>37876</v>
      </c>
      <c r="H733" s="5" t="s">
        <v>25</v>
      </c>
      <c r="I733" s="5" t="str">
        <f t="shared" si="44"/>
        <v>Yes</v>
      </c>
      <c r="J733" s="5" t="s">
        <v>690</v>
      </c>
      <c r="K733" s="5">
        <v>2003</v>
      </c>
      <c r="L733" s="5" t="str">
        <f t="shared" si="47"/>
        <v>Sep-2003</v>
      </c>
      <c r="M733" s="5" t="s">
        <v>550</v>
      </c>
      <c r="N733" s="5" t="s">
        <v>526</v>
      </c>
      <c r="O733" s="5" t="s">
        <v>32</v>
      </c>
      <c r="P733" s="5" t="s">
        <v>33</v>
      </c>
      <c r="Q733" s="5" t="s">
        <v>51</v>
      </c>
    </row>
    <row r="734" spans="1:17" x14ac:dyDescent="0.25">
      <c r="A734" s="3">
        <v>10162</v>
      </c>
      <c r="B734" s="3">
        <v>38</v>
      </c>
      <c r="C734" s="3">
        <v>100</v>
      </c>
      <c r="D734" s="3">
        <v>3800</v>
      </c>
      <c r="E734" s="3" t="str">
        <f t="shared" si="45"/>
        <v>Medium</v>
      </c>
      <c r="F734" s="3">
        <f t="shared" si="46"/>
        <v>1140</v>
      </c>
      <c r="G734" s="4">
        <v>37912</v>
      </c>
      <c r="H734" s="3" t="s">
        <v>25</v>
      </c>
      <c r="I734" s="3" t="str">
        <f t="shared" si="44"/>
        <v>Yes</v>
      </c>
      <c r="J734" s="3" t="s">
        <v>685</v>
      </c>
      <c r="K734" s="3">
        <v>2003</v>
      </c>
      <c r="L734" s="3" t="str">
        <f t="shared" si="47"/>
        <v>Oct-2003</v>
      </c>
      <c r="M734" s="3" t="s">
        <v>550</v>
      </c>
      <c r="N734" s="3" t="s">
        <v>58</v>
      </c>
      <c r="O734" s="3" t="s">
        <v>32</v>
      </c>
      <c r="P734" s="3" t="s">
        <v>33</v>
      </c>
      <c r="Q734" s="3" t="s">
        <v>51</v>
      </c>
    </row>
    <row r="735" spans="1:17" x14ac:dyDescent="0.25">
      <c r="A735" s="5">
        <v>10173</v>
      </c>
      <c r="B735" s="5">
        <v>31</v>
      </c>
      <c r="C735" s="5">
        <v>100</v>
      </c>
      <c r="D735" s="5">
        <v>3100</v>
      </c>
      <c r="E735" s="5" t="str">
        <f t="shared" si="45"/>
        <v>Medium</v>
      </c>
      <c r="F735" s="5">
        <f t="shared" si="46"/>
        <v>930</v>
      </c>
      <c r="G735" s="6">
        <v>37930</v>
      </c>
      <c r="H735" s="5" t="s">
        <v>25</v>
      </c>
      <c r="I735" s="5" t="str">
        <f t="shared" si="44"/>
        <v>Yes</v>
      </c>
      <c r="J735" s="5" t="s">
        <v>686</v>
      </c>
      <c r="K735" s="5">
        <v>2003</v>
      </c>
      <c r="L735" s="5" t="str">
        <f t="shared" si="47"/>
        <v>Nov-2003</v>
      </c>
      <c r="M735" s="5" t="s">
        <v>550</v>
      </c>
      <c r="N735" s="5" t="s">
        <v>552</v>
      </c>
      <c r="O735" s="5" t="s">
        <v>258</v>
      </c>
      <c r="P735" s="5" t="s">
        <v>42</v>
      </c>
      <c r="Q735" s="5" t="s">
        <v>51</v>
      </c>
    </row>
    <row r="736" spans="1:17" x14ac:dyDescent="0.25">
      <c r="A736" s="3">
        <v>10182</v>
      </c>
      <c r="B736" s="3">
        <v>20</v>
      </c>
      <c r="C736" s="3">
        <v>100</v>
      </c>
      <c r="D736" s="3">
        <v>2000</v>
      </c>
      <c r="E736" s="3" t="str">
        <f t="shared" si="45"/>
        <v>Medium</v>
      </c>
      <c r="F736" s="3">
        <f t="shared" si="46"/>
        <v>600</v>
      </c>
      <c r="G736" s="4">
        <v>37937</v>
      </c>
      <c r="H736" s="3" t="s">
        <v>25</v>
      </c>
      <c r="I736" s="3" t="str">
        <f t="shared" si="44"/>
        <v>Yes</v>
      </c>
      <c r="J736" s="3" t="s">
        <v>686</v>
      </c>
      <c r="K736" s="3">
        <v>2003</v>
      </c>
      <c r="L736" s="3" t="str">
        <f t="shared" si="47"/>
        <v>Nov-2003</v>
      </c>
      <c r="M736" s="3" t="s">
        <v>550</v>
      </c>
      <c r="N736" s="3" t="s">
        <v>272</v>
      </c>
      <c r="O736" s="3" t="s">
        <v>32</v>
      </c>
      <c r="P736" s="3" t="s">
        <v>33</v>
      </c>
      <c r="Q736" s="3" t="s">
        <v>36</v>
      </c>
    </row>
    <row r="737" spans="1:17" x14ac:dyDescent="0.25">
      <c r="A737" s="5">
        <v>10193</v>
      </c>
      <c r="B737" s="5">
        <v>44</v>
      </c>
      <c r="C737" s="5">
        <v>100</v>
      </c>
      <c r="D737" s="5">
        <v>4400</v>
      </c>
      <c r="E737" s="5" t="str">
        <f t="shared" si="45"/>
        <v>Medium</v>
      </c>
      <c r="F737" s="5">
        <f t="shared" si="46"/>
        <v>1320</v>
      </c>
      <c r="G737" s="6">
        <v>37946</v>
      </c>
      <c r="H737" s="5" t="s">
        <v>25</v>
      </c>
      <c r="I737" s="5" t="str">
        <f t="shared" si="44"/>
        <v>Yes</v>
      </c>
      <c r="J737" s="5" t="s">
        <v>686</v>
      </c>
      <c r="K737" s="5">
        <v>2003</v>
      </c>
      <c r="L737" s="5" t="str">
        <f t="shared" si="47"/>
        <v>Nov-2003</v>
      </c>
      <c r="M737" s="5" t="s">
        <v>550</v>
      </c>
      <c r="N737" s="5" t="s">
        <v>558</v>
      </c>
      <c r="O737" s="5" t="s">
        <v>95</v>
      </c>
      <c r="P737" s="5" t="s">
        <v>96</v>
      </c>
      <c r="Q737" s="5" t="s">
        <v>51</v>
      </c>
    </row>
    <row r="738" spans="1:17" x14ac:dyDescent="0.25">
      <c r="A738" s="3">
        <v>10204</v>
      </c>
      <c r="B738" s="3">
        <v>26</v>
      </c>
      <c r="C738" s="3">
        <v>100</v>
      </c>
      <c r="D738" s="3">
        <v>2600</v>
      </c>
      <c r="E738" s="3" t="str">
        <f t="shared" si="45"/>
        <v>Medium</v>
      </c>
      <c r="F738" s="3">
        <f t="shared" si="46"/>
        <v>780</v>
      </c>
      <c r="G738" s="4">
        <v>37957</v>
      </c>
      <c r="H738" s="3" t="s">
        <v>25</v>
      </c>
      <c r="I738" s="3" t="str">
        <f t="shared" si="44"/>
        <v>Yes</v>
      </c>
      <c r="J738" s="3" t="s">
        <v>687</v>
      </c>
      <c r="K738" s="3">
        <v>2003</v>
      </c>
      <c r="L738" s="3" t="str">
        <f t="shared" si="47"/>
        <v>Dec-2003</v>
      </c>
      <c r="M738" s="3" t="s">
        <v>550</v>
      </c>
      <c r="N738" s="3" t="s">
        <v>475</v>
      </c>
      <c r="O738" s="3" t="s">
        <v>32</v>
      </c>
      <c r="P738" s="3" t="s">
        <v>33</v>
      </c>
      <c r="Q738" s="3" t="s">
        <v>51</v>
      </c>
    </row>
    <row r="739" spans="1:17" x14ac:dyDescent="0.25">
      <c r="A739" s="5">
        <v>10214</v>
      </c>
      <c r="B739" s="5">
        <v>27</v>
      </c>
      <c r="C739" s="5">
        <v>100</v>
      </c>
      <c r="D739" s="5">
        <v>2700</v>
      </c>
      <c r="E739" s="5" t="str">
        <f t="shared" si="45"/>
        <v>Medium</v>
      </c>
      <c r="F739" s="5">
        <f t="shared" si="46"/>
        <v>810</v>
      </c>
      <c r="G739" s="6">
        <v>38012</v>
      </c>
      <c r="H739" s="5" t="s">
        <v>25</v>
      </c>
      <c r="I739" s="5" t="str">
        <f t="shared" si="44"/>
        <v>Yes</v>
      </c>
      <c r="J739" s="5" t="s">
        <v>549</v>
      </c>
      <c r="K739" s="5">
        <v>2004</v>
      </c>
      <c r="L739" s="5" t="str">
        <f t="shared" si="47"/>
        <v>Jan-2004</v>
      </c>
      <c r="M739" s="5" t="s">
        <v>550</v>
      </c>
      <c r="N739" s="5" t="s">
        <v>191</v>
      </c>
      <c r="O739" s="5" t="s">
        <v>178</v>
      </c>
      <c r="P739" s="5" t="s">
        <v>42</v>
      </c>
      <c r="Q739" s="5" t="s">
        <v>51</v>
      </c>
    </row>
    <row r="740" spans="1:17" x14ac:dyDescent="0.25">
      <c r="A740" s="3">
        <v>10227</v>
      </c>
      <c r="B740" s="3">
        <v>46</v>
      </c>
      <c r="C740" s="3">
        <v>100</v>
      </c>
      <c r="D740" s="3">
        <v>4600</v>
      </c>
      <c r="E740" s="3" t="str">
        <f t="shared" si="45"/>
        <v>Medium</v>
      </c>
      <c r="F740" s="3">
        <f t="shared" si="46"/>
        <v>1380</v>
      </c>
      <c r="G740" s="4">
        <v>38048</v>
      </c>
      <c r="H740" s="3" t="s">
        <v>25</v>
      </c>
      <c r="I740" s="3" t="str">
        <f t="shared" si="44"/>
        <v>Yes</v>
      </c>
      <c r="J740" s="3" t="s">
        <v>691</v>
      </c>
      <c r="K740" s="3">
        <v>2004</v>
      </c>
      <c r="L740" s="3" t="str">
        <f t="shared" si="47"/>
        <v>Mar-2004</v>
      </c>
      <c r="M740" s="3" t="s">
        <v>550</v>
      </c>
      <c r="N740" s="3" t="s">
        <v>219</v>
      </c>
      <c r="O740" s="3" t="s">
        <v>41</v>
      </c>
      <c r="P740" s="3" t="s">
        <v>42</v>
      </c>
      <c r="Q740" s="3" t="s">
        <v>151</v>
      </c>
    </row>
    <row r="741" spans="1:17" x14ac:dyDescent="0.25">
      <c r="A741" s="5">
        <v>10243</v>
      </c>
      <c r="B741" s="5">
        <v>47</v>
      </c>
      <c r="C741" s="5">
        <v>100</v>
      </c>
      <c r="D741" s="5">
        <v>4700</v>
      </c>
      <c r="E741" s="5" t="str">
        <f t="shared" si="45"/>
        <v>Medium</v>
      </c>
      <c r="F741" s="5">
        <f t="shared" si="46"/>
        <v>1410</v>
      </c>
      <c r="G741" s="6">
        <v>38103</v>
      </c>
      <c r="H741" s="5" t="s">
        <v>25</v>
      </c>
      <c r="I741" s="5" t="str">
        <f t="shared" si="44"/>
        <v>Yes</v>
      </c>
      <c r="J741" s="5" t="s">
        <v>688</v>
      </c>
      <c r="K741" s="5">
        <v>2004</v>
      </c>
      <c r="L741" s="5" t="str">
        <f t="shared" si="47"/>
        <v>Apr-2004</v>
      </c>
      <c r="M741" s="5" t="s">
        <v>550</v>
      </c>
      <c r="N741" s="5" t="s">
        <v>415</v>
      </c>
      <c r="O741" s="5" t="s">
        <v>32</v>
      </c>
      <c r="P741" s="5" t="s">
        <v>33</v>
      </c>
      <c r="Q741" s="5" t="s">
        <v>51</v>
      </c>
    </row>
    <row r="742" spans="1:17" x14ac:dyDescent="0.25">
      <c r="A742" s="3">
        <v>10280</v>
      </c>
      <c r="B742" s="3">
        <v>37</v>
      </c>
      <c r="C742" s="3">
        <v>100</v>
      </c>
      <c r="D742" s="3">
        <v>3700</v>
      </c>
      <c r="E742" s="3" t="str">
        <f t="shared" si="45"/>
        <v>Medium</v>
      </c>
      <c r="F742" s="3">
        <f t="shared" si="46"/>
        <v>1110</v>
      </c>
      <c r="G742" s="4">
        <v>38216</v>
      </c>
      <c r="H742" s="3" t="s">
        <v>25</v>
      </c>
      <c r="I742" s="3" t="str">
        <f t="shared" si="44"/>
        <v>Yes</v>
      </c>
      <c r="J742" s="3" t="s">
        <v>684</v>
      </c>
      <c r="K742" s="3">
        <v>2004</v>
      </c>
      <c r="L742" s="3" t="str">
        <f t="shared" si="47"/>
        <v>Aug-2004</v>
      </c>
      <c r="M742" s="3" t="s">
        <v>550</v>
      </c>
      <c r="N742" s="3" t="s">
        <v>254</v>
      </c>
      <c r="O742" s="3" t="s">
        <v>258</v>
      </c>
      <c r="P742" s="3" t="s">
        <v>42</v>
      </c>
      <c r="Q742" s="3" t="s">
        <v>51</v>
      </c>
    </row>
    <row r="743" spans="1:17" x14ac:dyDescent="0.25">
      <c r="A743" s="5">
        <v>10288</v>
      </c>
      <c r="B743" s="5">
        <v>31</v>
      </c>
      <c r="C743" s="5">
        <v>100</v>
      </c>
      <c r="D743" s="5">
        <v>3100</v>
      </c>
      <c r="E743" s="5" t="str">
        <f t="shared" si="45"/>
        <v>Medium</v>
      </c>
      <c r="F743" s="5">
        <f t="shared" si="46"/>
        <v>930</v>
      </c>
      <c r="G743" s="6">
        <v>38231</v>
      </c>
      <c r="H743" s="5" t="s">
        <v>25</v>
      </c>
      <c r="I743" s="5" t="str">
        <f t="shared" si="44"/>
        <v>Yes</v>
      </c>
      <c r="J743" s="5" t="s">
        <v>690</v>
      </c>
      <c r="K743" s="5">
        <v>2004</v>
      </c>
      <c r="L743" s="5" t="str">
        <f t="shared" si="47"/>
        <v>Sep-2004</v>
      </c>
      <c r="M743" s="5" t="s">
        <v>550</v>
      </c>
      <c r="N743" s="5" t="s">
        <v>418</v>
      </c>
      <c r="O743" s="5" t="s">
        <v>199</v>
      </c>
      <c r="P743" s="5" t="s">
        <v>96</v>
      </c>
      <c r="Q743" s="5" t="s">
        <v>51</v>
      </c>
    </row>
    <row r="744" spans="1:17" x14ac:dyDescent="0.25">
      <c r="A744" s="3">
        <v>10304</v>
      </c>
      <c r="B744" s="3">
        <v>24</v>
      </c>
      <c r="C744" s="3">
        <v>100</v>
      </c>
      <c r="D744" s="3">
        <v>2400</v>
      </c>
      <c r="E744" s="3" t="str">
        <f t="shared" si="45"/>
        <v>Medium</v>
      </c>
      <c r="F744" s="3">
        <f t="shared" si="46"/>
        <v>720</v>
      </c>
      <c r="G744" s="4">
        <v>38271</v>
      </c>
      <c r="H744" s="3" t="s">
        <v>25</v>
      </c>
      <c r="I744" s="3" t="str">
        <f t="shared" si="44"/>
        <v>Yes</v>
      </c>
      <c r="J744" s="3" t="s">
        <v>685</v>
      </c>
      <c r="K744" s="3">
        <v>2004</v>
      </c>
      <c r="L744" s="3" t="str">
        <f t="shared" si="47"/>
        <v>Oct-2004</v>
      </c>
      <c r="M744" s="3" t="s">
        <v>550</v>
      </c>
      <c r="N744" s="3" t="s">
        <v>267</v>
      </c>
      <c r="O744" s="3" t="s">
        <v>41</v>
      </c>
      <c r="P744" s="3" t="s">
        <v>42</v>
      </c>
      <c r="Q744" s="3" t="s">
        <v>36</v>
      </c>
    </row>
    <row r="745" spans="1:17" x14ac:dyDescent="0.25">
      <c r="A745" s="5">
        <v>10312</v>
      </c>
      <c r="B745" s="5">
        <v>31</v>
      </c>
      <c r="C745" s="5">
        <v>100</v>
      </c>
      <c r="D745" s="5">
        <v>3100</v>
      </c>
      <c r="E745" s="5" t="str">
        <f t="shared" si="45"/>
        <v>Medium</v>
      </c>
      <c r="F745" s="5">
        <f t="shared" si="46"/>
        <v>930</v>
      </c>
      <c r="G745" s="6">
        <v>38281</v>
      </c>
      <c r="H745" s="5" t="s">
        <v>25</v>
      </c>
      <c r="I745" s="5" t="str">
        <f t="shared" si="44"/>
        <v>Yes</v>
      </c>
      <c r="J745" s="5" t="s">
        <v>685</v>
      </c>
      <c r="K745" s="5">
        <v>2004</v>
      </c>
      <c r="L745" s="5" t="str">
        <f t="shared" si="47"/>
        <v>Oct-2004</v>
      </c>
      <c r="M745" s="5" t="s">
        <v>550</v>
      </c>
      <c r="N745" s="5" t="s">
        <v>272</v>
      </c>
      <c r="O745" s="5" t="s">
        <v>32</v>
      </c>
      <c r="P745" s="5" t="s">
        <v>33</v>
      </c>
      <c r="Q745" s="5" t="s">
        <v>51</v>
      </c>
    </row>
    <row r="746" spans="1:17" x14ac:dyDescent="0.25">
      <c r="A746" s="3">
        <v>10322</v>
      </c>
      <c r="B746" s="3">
        <v>50</v>
      </c>
      <c r="C746" s="3">
        <v>100</v>
      </c>
      <c r="D746" s="3">
        <v>5000</v>
      </c>
      <c r="E746" s="3" t="str">
        <f t="shared" si="45"/>
        <v>High</v>
      </c>
      <c r="F746" s="3">
        <f t="shared" si="46"/>
        <v>1500</v>
      </c>
      <c r="G746" s="4">
        <v>38295</v>
      </c>
      <c r="H746" s="3" t="s">
        <v>25</v>
      </c>
      <c r="I746" s="3" t="str">
        <f t="shared" si="44"/>
        <v>Yes</v>
      </c>
      <c r="J746" s="3" t="s">
        <v>686</v>
      </c>
      <c r="K746" s="3">
        <v>2004</v>
      </c>
      <c r="L746" s="3" t="str">
        <f t="shared" si="47"/>
        <v>Nov-2004</v>
      </c>
      <c r="M746" s="3" t="s">
        <v>550</v>
      </c>
      <c r="N746" s="3" t="s">
        <v>277</v>
      </c>
      <c r="O746" s="3" t="s">
        <v>32</v>
      </c>
      <c r="P746" s="3" t="s">
        <v>33</v>
      </c>
      <c r="Q746" s="3" t="s">
        <v>151</v>
      </c>
    </row>
    <row r="747" spans="1:17" x14ac:dyDescent="0.25">
      <c r="A747" s="5">
        <v>10332</v>
      </c>
      <c r="B747" s="5">
        <v>35</v>
      </c>
      <c r="C747" s="5">
        <v>64.69</v>
      </c>
      <c r="D747" s="5">
        <v>2264.15</v>
      </c>
      <c r="E747" s="5" t="str">
        <f t="shared" si="45"/>
        <v>Medium</v>
      </c>
      <c r="F747" s="5">
        <f t="shared" si="46"/>
        <v>679.245</v>
      </c>
      <c r="G747" s="6">
        <v>38308</v>
      </c>
      <c r="H747" s="5" t="s">
        <v>25</v>
      </c>
      <c r="I747" s="5" t="str">
        <f t="shared" si="44"/>
        <v>Yes</v>
      </c>
      <c r="J747" s="5" t="s">
        <v>686</v>
      </c>
      <c r="K747" s="5">
        <v>2004</v>
      </c>
      <c r="L747" s="5" t="str">
        <f t="shared" si="47"/>
        <v>Nov-2004</v>
      </c>
      <c r="M747" s="5" t="s">
        <v>550</v>
      </c>
      <c r="N747" s="5" t="s">
        <v>492</v>
      </c>
      <c r="O747" s="5" t="s">
        <v>170</v>
      </c>
      <c r="P747" s="5" t="s">
        <v>42</v>
      </c>
      <c r="Q747" s="5" t="s">
        <v>36</v>
      </c>
    </row>
    <row r="748" spans="1:17" x14ac:dyDescent="0.25">
      <c r="A748" s="3">
        <v>10344</v>
      </c>
      <c r="B748" s="3">
        <v>30</v>
      </c>
      <c r="C748" s="3">
        <v>100</v>
      </c>
      <c r="D748" s="3">
        <v>3000</v>
      </c>
      <c r="E748" s="3" t="str">
        <f t="shared" si="45"/>
        <v>Medium</v>
      </c>
      <c r="F748" s="3">
        <f t="shared" si="46"/>
        <v>900</v>
      </c>
      <c r="G748" s="4">
        <v>38316</v>
      </c>
      <c r="H748" s="3" t="s">
        <v>25</v>
      </c>
      <c r="I748" s="3" t="str">
        <f t="shared" si="44"/>
        <v>Yes</v>
      </c>
      <c r="J748" s="3" t="s">
        <v>686</v>
      </c>
      <c r="K748" s="3">
        <v>2004</v>
      </c>
      <c r="L748" s="3" t="str">
        <f t="shared" si="47"/>
        <v>Nov-2004</v>
      </c>
      <c r="M748" s="3" t="s">
        <v>550</v>
      </c>
      <c r="N748" s="3" t="s">
        <v>433</v>
      </c>
      <c r="O748" s="3" t="s">
        <v>41</v>
      </c>
      <c r="P748" s="3" t="s">
        <v>42</v>
      </c>
      <c r="Q748" s="3" t="s">
        <v>51</v>
      </c>
    </row>
    <row r="749" spans="1:17" x14ac:dyDescent="0.25">
      <c r="A749" s="5">
        <v>10356</v>
      </c>
      <c r="B749" s="5">
        <v>29</v>
      </c>
      <c r="C749" s="5">
        <v>100</v>
      </c>
      <c r="D749" s="5">
        <v>2900</v>
      </c>
      <c r="E749" s="5" t="str">
        <f t="shared" si="45"/>
        <v>Medium</v>
      </c>
      <c r="F749" s="5">
        <f t="shared" si="46"/>
        <v>870</v>
      </c>
      <c r="G749" s="6">
        <v>38330</v>
      </c>
      <c r="H749" s="5" t="s">
        <v>25</v>
      </c>
      <c r="I749" s="5" t="str">
        <f t="shared" si="44"/>
        <v>Yes</v>
      </c>
      <c r="J749" s="5" t="s">
        <v>687</v>
      </c>
      <c r="K749" s="5">
        <v>2004</v>
      </c>
      <c r="L749" s="5" t="str">
        <f t="shared" si="47"/>
        <v>Dec-2004</v>
      </c>
      <c r="M749" s="5" t="s">
        <v>550</v>
      </c>
      <c r="N749" s="5" t="s">
        <v>45</v>
      </c>
      <c r="O749" s="5" t="s">
        <v>41</v>
      </c>
      <c r="P749" s="5" t="s">
        <v>42</v>
      </c>
      <c r="Q749" s="5" t="s">
        <v>51</v>
      </c>
    </row>
    <row r="750" spans="1:17" x14ac:dyDescent="0.25">
      <c r="A750" s="3">
        <v>10367</v>
      </c>
      <c r="B750" s="3">
        <v>27</v>
      </c>
      <c r="C750" s="3">
        <v>100</v>
      </c>
      <c r="D750" s="3">
        <v>2700</v>
      </c>
      <c r="E750" s="3" t="str">
        <f t="shared" si="45"/>
        <v>Medium</v>
      </c>
      <c r="F750" s="3">
        <f t="shared" si="46"/>
        <v>810</v>
      </c>
      <c r="G750" s="4">
        <v>38364</v>
      </c>
      <c r="H750" s="3" t="s">
        <v>408</v>
      </c>
      <c r="I750" s="3" t="str">
        <f t="shared" si="44"/>
        <v>No</v>
      </c>
      <c r="J750" s="3" t="s">
        <v>549</v>
      </c>
      <c r="K750" s="3">
        <v>2005</v>
      </c>
      <c r="L750" s="3" t="str">
        <f t="shared" si="47"/>
        <v>Jan-2005</v>
      </c>
      <c r="M750" s="3" t="s">
        <v>550</v>
      </c>
      <c r="N750" s="3" t="s">
        <v>52</v>
      </c>
      <c r="O750" s="3" t="s">
        <v>32</v>
      </c>
      <c r="P750" s="3" t="s">
        <v>33</v>
      </c>
      <c r="Q750" s="3" t="s">
        <v>51</v>
      </c>
    </row>
    <row r="751" spans="1:17" x14ac:dyDescent="0.25">
      <c r="A751" s="5">
        <v>10380</v>
      </c>
      <c r="B751" s="5">
        <v>40</v>
      </c>
      <c r="C751" s="5">
        <v>100</v>
      </c>
      <c r="D751" s="5">
        <v>4000</v>
      </c>
      <c r="E751" s="5" t="str">
        <f t="shared" si="45"/>
        <v>Medium</v>
      </c>
      <c r="F751" s="5">
        <f t="shared" si="46"/>
        <v>1200</v>
      </c>
      <c r="G751" s="6">
        <v>38399</v>
      </c>
      <c r="H751" s="5" t="s">
        <v>25</v>
      </c>
      <c r="I751" s="5" t="str">
        <f t="shared" si="44"/>
        <v>Yes</v>
      </c>
      <c r="J751" s="5" t="s">
        <v>681</v>
      </c>
      <c r="K751" s="5">
        <v>2005</v>
      </c>
      <c r="L751" s="5" t="str">
        <f t="shared" si="47"/>
        <v>Feb-2005</v>
      </c>
      <c r="M751" s="5" t="s">
        <v>550</v>
      </c>
      <c r="N751" s="5" t="s">
        <v>174</v>
      </c>
      <c r="O751" s="5" t="s">
        <v>178</v>
      </c>
      <c r="P751" s="5" t="s">
        <v>42</v>
      </c>
      <c r="Q751" s="5" t="s">
        <v>51</v>
      </c>
    </row>
    <row r="752" spans="1:17" x14ac:dyDescent="0.25">
      <c r="A752" s="3">
        <v>10390</v>
      </c>
      <c r="B752" s="3">
        <v>31</v>
      </c>
      <c r="C752" s="3">
        <v>98.99</v>
      </c>
      <c r="D752" s="3">
        <v>3068.69</v>
      </c>
      <c r="E752" s="3" t="str">
        <f t="shared" si="45"/>
        <v>Medium</v>
      </c>
      <c r="F752" s="3">
        <f t="shared" si="46"/>
        <v>920.60699999999997</v>
      </c>
      <c r="G752" s="4">
        <v>38415</v>
      </c>
      <c r="H752" s="3" t="s">
        <v>25</v>
      </c>
      <c r="I752" s="3" t="str">
        <f t="shared" si="44"/>
        <v>Yes</v>
      </c>
      <c r="J752" s="3" t="s">
        <v>691</v>
      </c>
      <c r="K752" s="3">
        <v>2005</v>
      </c>
      <c r="L752" s="3" t="str">
        <f t="shared" si="47"/>
        <v>Mar-2005</v>
      </c>
      <c r="M752" s="3" t="s">
        <v>550</v>
      </c>
      <c r="N752" s="3" t="s">
        <v>272</v>
      </c>
      <c r="O752" s="3" t="s">
        <v>32</v>
      </c>
      <c r="P752" s="3" t="s">
        <v>33</v>
      </c>
      <c r="Q752" s="3" t="s">
        <v>51</v>
      </c>
    </row>
    <row r="753" spans="1:17" x14ac:dyDescent="0.25">
      <c r="A753" s="5">
        <v>10409</v>
      </c>
      <c r="B753" s="5">
        <v>6</v>
      </c>
      <c r="C753" s="5">
        <v>100</v>
      </c>
      <c r="D753" s="5">
        <v>600</v>
      </c>
      <c r="E753" s="5" t="str">
        <f t="shared" si="45"/>
        <v>Low</v>
      </c>
      <c r="F753" s="5">
        <f t="shared" si="46"/>
        <v>180</v>
      </c>
      <c r="G753" s="6">
        <v>38465</v>
      </c>
      <c r="H753" s="5" t="s">
        <v>25</v>
      </c>
      <c r="I753" s="5" t="str">
        <f t="shared" si="44"/>
        <v>Yes</v>
      </c>
      <c r="J753" s="5" t="s">
        <v>688</v>
      </c>
      <c r="K753" s="5">
        <v>2005</v>
      </c>
      <c r="L753" s="5" t="str">
        <f t="shared" si="47"/>
        <v>Apr-2005</v>
      </c>
      <c r="M753" s="5" t="s">
        <v>550</v>
      </c>
      <c r="N753" s="5" t="s">
        <v>418</v>
      </c>
      <c r="O753" s="5" t="s">
        <v>199</v>
      </c>
      <c r="P753" s="5" t="s">
        <v>96</v>
      </c>
      <c r="Q753" s="5" t="s">
        <v>36</v>
      </c>
    </row>
    <row r="754" spans="1:17" x14ac:dyDescent="0.25">
      <c r="A754" s="3">
        <v>10420</v>
      </c>
      <c r="B754" s="3">
        <v>45</v>
      </c>
      <c r="C754" s="3">
        <v>100</v>
      </c>
      <c r="D754" s="3">
        <v>4500</v>
      </c>
      <c r="E754" s="3" t="str">
        <f t="shared" si="45"/>
        <v>Medium</v>
      </c>
      <c r="F754" s="3">
        <f t="shared" si="46"/>
        <v>1350</v>
      </c>
      <c r="G754" s="4">
        <v>38501</v>
      </c>
      <c r="H754" s="3" t="s">
        <v>300</v>
      </c>
      <c r="I754" s="3" t="str">
        <f t="shared" si="44"/>
        <v>No</v>
      </c>
      <c r="J754" s="3" t="s">
        <v>682</v>
      </c>
      <c r="K754" s="3">
        <v>2005</v>
      </c>
      <c r="L754" s="3" t="str">
        <f t="shared" si="47"/>
        <v>May-2005</v>
      </c>
      <c r="M754" s="3" t="s">
        <v>550</v>
      </c>
      <c r="N754" s="3" t="s">
        <v>152</v>
      </c>
      <c r="O754" s="3" t="s">
        <v>95</v>
      </c>
      <c r="P754" s="3" t="s">
        <v>96</v>
      </c>
      <c r="Q754" s="3" t="s">
        <v>51</v>
      </c>
    </row>
    <row r="755" spans="1:17" x14ac:dyDescent="0.25">
      <c r="A755" s="5">
        <v>10103</v>
      </c>
      <c r="B755" s="5">
        <v>22</v>
      </c>
      <c r="C755" s="5">
        <v>54.09</v>
      </c>
      <c r="D755" s="5">
        <v>1189.98</v>
      </c>
      <c r="E755" s="5" t="str">
        <f t="shared" si="45"/>
        <v>Low</v>
      </c>
      <c r="F755" s="5">
        <f t="shared" si="46"/>
        <v>356.99399999999997</v>
      </c>
      <c r="G755" s="6">
        <v>37650</v>
      </c>
      <c r="H755" s="5" t="s">
        <v>25</v>
      </c>
      <c r="I755" s="5" t="str">
        <f t="shared" si="44"/>
        <v>Yes</v>
      </c>
      <c r="J755" s="5" t="s">
        <v>549</v>
      </c>
      <c r="K755" s="5">
        <v>2003</v>
      </c>
      <c r="L755" s="5" t="str">
        <f t="shared" si="47"/>
        <v>Jan-2003</v>
      </c>
      <c r="M755" s="5" t="s">
        <v>504</v>
      </c>
      <c r="N755" s="5" t="s">
        <v>133</v>
      </c>
      <c r="O755" s="5" t="s">
        <v>78</v>
      </c>
      <c r="P755" s="5" t="s">
        <v>42</v>
      </c>
      <c r="Q755" s="5" t="s">
        <v>36</v>
      </c>
    </row>
    <row r="756" spans="1:17" x14ac:dyDescent="0.25">
      <c r="A756" s="3">
        <v>10114</v>
      </c>
      <c r="B756" s="3">
        <v>45</v>
      </c>
      <c r="C756" s="3">
        <v>68.67</v>
      </c>
      <c r="D756" s="3">
        <v>3090.15</v>
      </c>
      <c r="E756" s="3" t="str">
        <f t="shared" si="45"/>
        <v>Medium</v>
      </c>
      <c r="F756" s="3">
        <f t="shared" si="46"/>
        <v>927.04499999999996</v>
      </c>
      <c r="G756" s="4">
        <v>37712</v>
      </c>
      <c r="H756" s="3" t="s">
        <v>25</v>
      </c>
      <c r="I756" s="3" t="str">
        <f t="shared" si="44"/>
        <v>Yes</v>
      </c>
      <c r="J756" s="3" t="s">
        <v>688</v>
      </c>
      <c r="K756" s="3">
        <v>2003</v>
      </c>
      <c r="L756" s="3" t="str">
        <f t="shared" si="47"/>
        <v>Apr-2003</v>
      </c>
      <c r="M756" s="3" t="s">
        <v>504</v>
      </c>
      <c r="N756" s="3" t="s">
        <v>403</v>
      </c>
      <c r="O756" s="3" t="s">
        <v>41</v>
      </c>
      <c r="P756" s="3" t="s">
        <v>42</v>
      </c>
      <c r="Q756" s="3" t="s">
        <v>51</v>
      </c>
    </row>
    <row r="757" spans="1:17" x14ac:dyDescent="0.25">
      <c r="A757" s="5">
        <v>10126</v>
      </c>
      <c r="B757" s="5">
        <v>43</v>
      </c>
      <c r="C757" s="5">
        <v>65.02</v>
      </c>
      <c r="D757" s="5">
        <v>2795.8599999999997</v>
      </c>
      <c r="E757" s="5" t="str">
        <f t="shared" si="45"/>
        <v>Medium</v>
      </c>
      <c r="F757" s="5">
        <f t="shared" si="46"/>
        <v>838.75799999999992</v>
      </c>
      <c r="G757" s="6">
        <v>37769</v>
      </c>
      <c r="H757" s="5" t="s">
        <v>25</v>
      </c>
      <c r="I757" s="5" t="str">
        <f t="shared" si="44"/>
        <v>Yes</v>
      </c>
      <c r="J757" s="5" t="s">
        <v>682</v>
      </c>
      <c r="K757" s="5">
        <v>2003</v>
      </c>
      <c r="L757" s="5" t="str">
        <f t="shared" si="47"/>
        <v>May-2003</v>
      </c>
      <c r="M757" s="5" t="s">
        <v>504</v>
      </c>
      <c r="N757" s="5" t="s">
        <v>191</v>
      </c>
      <c r="O757" s="5" t="s">
        <v>178</v>
      </c>
      <c r="P757" s="5" t="s">
        <v>42</v>
      </c>
      <c r="Q757" s="5" t="s">
        <v>36</v>
      </c>
    </row>
    <row r="758" spans="1:17" x14ac:dyDescent="0.25">
      <c r="A758" s="3">
        <v>10140</v>
      </c>
      <c r="B758" s="3">
        <v>46</v>
      </c>
      <c r="C758" s="3">
        <v>61.99</v>
      </c>
      <c r="D758" s="3">
        <v>2851.54</v>
      </c>
      <c r="E758" s="3" t="str">
        <f t="shared" si="45"/>
        <v>Medium</v>
      </c>
      <c r="F758" s="3">
        <f t="shared" si="46"/>
        <v>855.46199999999999</v>
      </c>
      <c r="G758" s="4">
        <v>37826</v>
      </c>
      <c r="H758" s="3" t="s">
        <v>25</v>
      </c>
      <c r="I758" s="3" t="str">
        <f t="shared" si="44"/>
        <v>Yes</v>
      </c>
      <c r="J758" s="3" t="s">
        <v>683</v>
      </c>
      <c r="K758" s="3">
        <v>2003</v>
      </c>
      <c r="L758" s="3" t="str">
        <f t="shared" si="47"/>
        <v>Jul-2003</v>
      </c>
      <c r="M758" s="3" t="s">
        <v>504</v>
      </c>
      <c r="N758" s="3" t="s">
        <v>62</v>
      </c>
      <c r="O758" s="3" t="s">
        <v>32</v>
      </c>
      <c r="P758" s="3" t="s">
        <v>33</v>
      </c>
      <c r="Q758" s="3" t="s">
        <v>36</v>
      </c>
    </row>
    <row r="759" spans="1:17" x14ac:dyDescent="0.25">
      <c r="A759" s="5">
        <v>10151</v>
      </c>
      <c r="B759" s="5">
        <v>39</v>
      </c>
      <c r="C759" s="5">
        <v>69.28</v>
      </c>
      <c r="D759" s="5">
        <v>2701.92</v>
      </c>
      <c r="E759" s="5" t="str">
        <f t="shared" si="45"/>
        <v>Medium</v>
      </c>
      <c r="F759" s="5">
        <f t="shared" si="46"/>
        <v>810.57600000000002</v>
      </c>
      <c r="G759" s="6">
        <v>37885</v>
      </c>
      <c r="H759" s="5" t="s">
        <v>25</v>
      </c>
      <c r="I759" s="5" t="str">
        <f t="shared" si="44"/>
        <v>Yes</v>
      </c>
      <c r="J759" s="5" t="s">
        <v>690</v>
      </c>
      <c r="K759" s="5">
        <v>2003</v>
      </c>
      <c r="L759" s="5" t="str">
        <f t="shared" si="47"/>
        <v>Sep-2003</v>
      </c>
      <c r="M759" s="5" t="s">
        <v>504</v>
      </c>
      <c r="N759" s="5" t="s">
        <v>391</v>
      </c>
      <c r="O759" s="5" t="s">
        <v>130</v>
      </c>
      <c r="P759" s="5" t="s">
        <v>42</v>
      </c>
      <c r="Q759" s="5" t="s">
        <v>36</v>
      </c>
    </row>
    <row r="760" spans="1:17" x14ac:dyDescent="0.25">
      <c r="A760" s="3">
        <v>10165</v>
      </c>
      <c r="B760" s="3">
        <v>31</v>
      </c>
      <c r="C760" s="3">
        <v>71.099999999999994</v>
      </c>
      <c r="D760" s="3">
        <v>2204.1</v>
      </c>
      <c r="E760" s="3" t="str">
        <f t="shared" si="45"/>
        <v>Medium</v>
      </c>
      <c r="F760" s="3">
        <f t="shared" si="46"/>
        <v>661.2299999999999</v>
      </c>
      <c r="G760" s="4">
        <v>37916</v>
      </c>
      <c r="H760" s="3" t="s">
        <v>25</v>
      </c>
      <c r="I760" s="3" t="str">
        <f t="shared" si="44"/>
        <v>Yes</v>
      </c>
      <c r="J760" s="3" t="s">
        <v>685</v>
      </c>
      <c r="K760" s="3">
        <v>2003</v>
      </c>
      <c r="L760" s="3" t="str">
        <f t="shared" si="47"/>
        <v>Oct-2003</v>
      </c>
      <c r="M760" s="3" t="s">
        <v>504</v>
      </c>
      <c r="N760" s="3" t="s">
        <v>196</v>
      </c>
      <c r="O760" s="3" t="s">
        <v>199</v>
      </c>
      <c r="P760" s="3" t="s">
        <v>675</v>
      </c>
      <c r="Q760" s="3" t="s">
        <v>36</v>
      </c>
    </row>
    <row r="761" spans="1:17" x14ac:dyDescent="0.25">
      <c r="A761" s="5">
        <v>10175</v>
      </c>
      <c r="B761" s="5">
        <v>41</v>
      </c>
      <c r="C761" s="5">
        <v>69.28</v>
      </c>
      <c r="D761" s="5">
        <v>2840.48</v>
      </c>
      <c r="E761" s="5" t="str">
        <f t="shared" si="45"/>
        <v>Medium</v>
      </c>
      <c r="F761" s="5">
        <f t="shared" si="46"/>
        <v>852.14400000000001</v>
      </c>
      <c r="G761" s="6">
        <v>37931</v>
      </c>
      <c r="H761" s="5" t="s">
        <v>25</v>
      </c>
      <c r="I761" s="5" t="str">
        <f t="shared" si="44"/>
        <v>Yes</v>
      </c>
      <c r="J761" s="5" t="s">
        <v>686</v>
      </c>
      <c r="K761" s="5">
        <v>2003</v>
      </c>
      <c r="L761" s="5" t="str">
        <f t="shared" si="47"/>
        <v>Nov-2003</v>
      </c>
      <c r="M761" s="5" t="s">
        <v>504</v>
      </c>
      <c r="N761" s="5" t="s">
        <v>329</v>
      </c>
      <c r="O761" s="5" t="s">
        <v>170</v>
      </c>
      <c r="P761" s="5" t="s">
        <v>42</v>
      </c>
      <c r="Q761" s="5" t="s">
        <v>36</v>
      </c>
    </row>
    <row r="762" spans="1:17" x14ac:dyDescent="0.25">
      <c r="A762" s="3">
        <v>10184</v>
      </c>
      <c r="B762" s="3">
        <v>44</v>
      </c>
      <c r="C762" s="3">
        <v>60.16</v>
      </c>
      <c r="D762" s="3">
        <v>2647.04</v>
      </c>
      <c r="E762" s="3" t="str">
        <f t="shared" si="45"/>
        <v>Medium</v>
      </c>
      <c r="F762" s="3">
        <f t="shared" si="46"/>
        <v>794.11199999999997</v>
      </c>
      <c r="G762" s="4">
        <v>37939</v>
      </c>
      <c r="H762" s="3" t="s">
        <v>25</v>
      </c>
      <c r="I762" s="3" t="str">
        <f t="shared" si="44"/>
        <v>Yes</v>
      </c>
      <c r="J762" s="3" t="s">
        <v>686</v>
      </c>
      <c r="K762" s="3">
        <v>2003</v>
      </c>
      <c r="L762" s="3" t="str">
        <f t="shared" si="47"/>
        <v>Nov-2003</v>
      </c>
      <c r="M762" s="3" t="s">
        <v>504</v>
      </c>
      <c r="N762" s="3" t="s">
        <v>520</v>
      </c>
      <c r="O762" s="3" t="s">
        <v>178</v>
      </c>
      <c r="P762" s="3" t="s">
        <v>42</v>
      </c>
      <c r="Q762" s="3" t="s">
        <v>36</v>
      </c>
    </row>
    <row r="763" spans="1:17" x14ac:dyDescent="0.25">
      <c r="A763" s="5">
        <v>10194</v>
      </c>
      <c r="B763" s="5">
        <v>45</v>
      </c>
      <c r="C763" s="5">
        <v>70.489999999999995</v>
      </c>
      <c r="D763" s="5">
        <v>3172.0499999999997</v>
      </c>
      <c r="E763" s="5" t="str">
        <f t="shared" si="45"/>
        <v>Medium</v>
      </c>
      <c r="F763" s="5">
        <f t="shared" si="46"/>
        <v>951.6149999999999</v>
      </c>
      <c r="G763" s="6">
        <v>37950</v>
      </c>
      <c r="H763" s="5" t="s">
        <v>25</v>
      </c>
      <c r="I763" s="5" t="str">
        <f t="shared" si="44"/>
        <v>Yes</v>
      </c>
      <c r="J763" s="5" t="s">
        <v>686</v>
      </c>
      <c r="K763" s="5">
        <v>2003</v>
      </c>
      <c r="L763" s="5" t="str">
        <f t="shared" si="47"/>
        <v>Nov-2003</v>
      </c>
      <c r="M763" s="5" t="s">
        <v>504</v>
      </c>
      <c r="N763" s="5" t="s">
        <v>219</v>
      </c>
      <c r="O763" s="5" t="s">
        <v>41</v>
      </c>
      <c r="P763" s="5" t="s">
        <v>42</v>
      </c>
      <c r="Q763" s="5" t="s">
        <v>51</v>
      </c>
    </row>
    <row r="764" spans="1:17" x14ac:dyDescent="0.25">
      <c r="A764" s="3">
        <v>10207</v>
      </c>
      <c r="B764" s="3">
        <v>37</v>
      </c>
      <c r="C764" s="3">
        <v>69.89</v>
      </c>
      <c r="D764" s="3">
        <v>2585.9299999999998</v>
      </c>
      <c r="E764" s="3" t="str">
        <f t="shared" si="45"/>
        <v>Medium</v>
      </c>
      <c r="F764" s="3">
        <f t="shared" si="46"/>
        <v>775.77899999999988</v>
      </c>
      <c r="G764" s="4">
        <v>37964</v>
      </c>
      <c r="H764" s="3" t="s">
        <v>25</v>
      </c>
      <c r="I764" s="3" t="str">
        <f t="shared" si="44"/>
        <v>Yes</v>
      </c>
      <c r="J764" s="3" t="s">
        <v>687</v>
      </c>
      <c r="K764" s="3">
        <v>2003</v>
      </c>
      <c r="L764" s="3" t="str">
        <f t="shared" si="47"/>
        <v>Dec-2003</v>
      </c>
      <c r="M764" s="3" t="s">
        <v>504</v>
      </c>
      <c r="N764" s="3" t="s">
        <v>415</v>
      </c>
      <c r="O764" s="3" t="s">
        <v>32</v>
      </c>
      <c r="P764" s="3" t="s">
        <v>33</v>
      </c>
      <c r="Q764" s="3" t="s">
        <v>36</v>
      </c>
    </row>
    <row r="765" spans="1:17" x14ac:dyDescent="0.25">
      <c r="A765" s="5">
        <v>10217</v>
      </c>
      <c r="B765" s="5">
        <v>35</v>
      </c>
      <c r="C765" s="5">
        <v>61.38</v>
      </c>
      <c r="D765" s="5">
        <v>2148.3000000000002</v>
      </c>
      <c r="E765" s="5" t="str">
        <f t="shared" si="45"/>
        <v>Medium</v>
      </c>
      <c r="F765" s="5">
        <f t="shared" si="46"/>
        <v>644.49</v>
      </c>
      <c r="G765" s="6">
        <v>38021</v>
      </c>
      <c r="H765" s="5" t="s">
        <v>25</v>
      </c>
      <c r="I765" s="5" t="str">
        <f t="shared" si="44"/>
        <v>Yes</v>
      </c>
      <c r="J765" s="5" t="s">
        <v>681</v>
      </c>
      <c r="K765" s="5">
        <v>2004</v>
      </c>
      <c r="L765" s="5" t="str">
        <f t="shared" si="47"/>
        <v>Feb-2004</v>
      </c>
      <c r="M765" s="5" t="s">
        <v>504</v>
      </c>
      <c r="N765" s="5" t="s">
        <v>418</v>
      </c>
      <c r="O765" s="5" t="s">
        <v>199</v>
      </c>
      <c r="P765" s="5" t="s">
        <v>96</v>
      </c>
      <c r="Q765" s="5" t="s">
        <v>36</v>
      </c>
    </row>
    <row r="766" spans="1:17" x14ac:dyDescent="0.25">
      <c r="A766" s="3">
        <v>10229</v>
      </c>
      <c r="B766" s="3">
        <v>28</v>
      </c>
      <c r="C766" s="3">
        <v>59.55</v>
      </c>
      <c r="D766" s="3">
        <v>1667.3999999999999</v>
      </c>
      <c r="E766" s="3" t="str">
        <f t="shared" si="45"/>
        <v>Low</v>
      </c>
      <c r="F766" s="3">
        <f t="shared" si="46"/>
        <v>500.21999999999991</v>
      </c>
      <c r="G766" s="4">
        <v>38057</v>
      </c>
      <c r="H766" s="3" t="s">
        <v>25</v>
      </c>
      <c r="I766" s="3" t="str">
        <f t="shared" si="44"/>
        <v>Yes</v>
      </c>
      <c r="J766" s="3" t="s">
        <v>691</v>
      </c>
      <c r="K766" s="3">
        <v>2004</v>
      </c>
      <c r="L766" s="3" t="str">
        <f t="shared" si="47"/>
        <v>Mar-2004</v>
      </c>
      <c r="M766" s="3" t="s">
        <v>504</v>
      </c>
      <c r="N766" s="3" t="s">
        <v>272</v>
      </c>
      <c r="O766" s="3" t="s">
        <v>32</v>
      </c>
      <c r="P766" s="3" t="s">
        <v>33</v>
      </c>
      <c r="Q766" s="3" t="s">
        <v>36</v>
      </c>
    </row>
    <row r="767" spans="1:17" x14ac:dyDescent="0.25">
      <c r="A767" s="5">
        <v>10246</v>
      </c>
      <c r="B767" s="5">
        <v>30</v>
      </c>
      <c r="C767" s="5">
        <v>61.99</v>
      </c>
      <c r="D767" s="5">
        <v>1859.7</v>
      </c>
      <c r="E767" s="5" t="str">
        <f t="shared" si="45"/>
        <v>Low</v>
      </c>
      <c r="F767" s="5">
        <f t="shared" si="46"/>
        <v>557.91</v>
      </c>
      <c r="G767" s="6">
        <v>38112</v>
      </c>
      <c r="H767" s="5" t="s">
        <v>25</v>
      </c>
      <c r="I767" s="5" t="str">
        <f t="shared" si="44"/>
        <v>Yes</v>
      </c>
      <c r="J767" s="5" t="s">
        <v>682</v>
      </c>
      <c r="K767" s="5">
        <v>2004</v>
      </c>
      <c r="L767" s="5" t="str">
        <f t="shared" si="47"/>
        <v>May-2004</v>
      </c>
      <c r="M767" s="5" t="s">
        <v>504</v>
      </c>
      <c r="N767" s="5" t="s">
        <v>174</v>
      </c>
      <c r="O767" s="5" t="s">
        <v>178</v>
      </c>
      <c r="P767" s="5" t="s">
        <v>42</v>
      </c>
      <c r="Q767" s="5" t="s">
        <v>36</v>
      </c>
    </row>
    <row r="768" spans="1:17" x14ac:dyDescent="0.25">
      <c r="A768" s="3">
        <v>10259</v>
      </c>
      <c r="B768" s="3">
        <v>30</v>
      </c>
      <c r="C768" s="3">
        <v>49.22</v>
      </c>
      <c r="D768" s="3">
        <v>1476.6</v>
      </c>
      <c r="E768" s="3" t="str">
        <f t="shared" si="45"/>
        <v>Low</v>
      </c>
      <c r="F768" s="3">
        <f t="shared" si="46"/>
        <v>442.97999999999996</v>
      </c>
      <c r="G768" s="4">
        <v>38153</v>
      </c>
      <c r="H768" s="3" t="s">
        <v>25</v>
      </c>
      <c r="I768" s="3" t="str">
        <f t="shared" si="44"/>
        <v>Yes</v>
      </c>
      <c r="J768" s="3" t="s">
        <v>689</v>
      </c>
      <c r="K768" s="3">
        <v>2004</v>
      </c>
      <c r="L768" s="3" t="str">
        <f t="shared" si="47"/>
        <v>Jun-2004</v>
      </c>
      <c r="M768" s="3" t="s">
        <v>504</v>
      </c>
      <c r="N768" s="3" t="s">
        <v>418</v>
      </c>
      <c r="O768" s="3" t="s">
        <v>199</v>
      </c>
      <c r="P768" s="3" t="s">
        <v>96</v>
      </c>
      <c r="Q768" s="3" t="s">
        <v>36</v>
      </c>
    </row>
    <row r="769" spans="1:17" x14ac:dyDescent="0.25">
      <c r="A769" s="5">
        <v>10271</v>
      </c>
      <c r="B769" s="5">
        <v>25</v>
      </c>
      <c r="C769" s="5">
        <v>69.28</v>
      </c>
      <c r="D769" s="5">
        <v>1732</v>
      </c>
      <c r="E769" s="5" t="str">
        <f t="shared" si="45"/>
        <v>Low</v>
      </c>
      <c r="F769" s="5">
        <f t="shared" si="46"/>
        <v>519.6</v>
      </c>
      <c r="G769" s="6">
        <v>38188</v>
      </c>
      <c r="H769" s="5" t="s">
        <v>25</v>
      </c>
      <c r="I769" s="5" t="str">
        <f t="shared" si="44"/>
        <v>Yes</v>
      </c>
      <c r="J769" s="5" t="s">
        <v>683</v>
      </c>
      <c r="K769" s="5">
        <v>2004</v>
      </c>
      <c r="L769" s="5" t="str">
        <f t="shared" si="47"/>
        <v>Jul-2004</v>
      </c>
      <c r="M769" s="5" t="s">
        <v>504</v>
      </c>
      <c r="N769" s="5" t="s">
        <v>272</v>
      </c>
      <c r="O769" s="5" t="s">
        <v>32</v>
      </c>
      <c r="P769" s="5" t="s">
        <v>33</v>
      </c>
      <c r="Q769" s="5" t="s">
        <v>36</v>
      </c>
    </row>
    <row r="770" spans="1:17" x14ac:dyDescent="0.25">
      <c r="A770" s="3">
        <v>10281</v>
      </c>
      <c r="B770" s="3">
        <v>29</v>
      </c>
      <c r="C770" s="3">
        <v>57.73</v>
      </c>
      <c r="D770" s="3">
        <v>1674.1699999999998</v>
      </c>
      <c r="E770" s="3" t="str">
        <f t="shared" si="45"/>
        <v>Low</v>
      </c>
      <c r="F770" s="3">
        <f t="shared" si="46"/>
        <v>502.25099999999992</v>
      </c>
      <c r="G770" s="4">
        <v>38218</v>
      </c>
      <c r="H770" s="3" t="s">
        <v>25</v>
      </c>
      <c r="I770" s="3" t="str">
        <f t="shared" ref="I770:I833" si="48">IF(H770="Shipped","Yes","No")</f>
        <v>Yes</v>
      </c>
      <c r="J770" s="3" t="s">
        <v>684</v>
      </c>
      <c r="K770" s="3">
        <v>2004</v>
      </c>
      <c r="L770" s="3" t="str">
        <f t="shared" si="47"/>
        <v>Aug-2004</v>
      </c>
      <c r="M770" s="3" t="s">
        <v>504</v>
      </c>
      <c r="N770" s="3" t="s">
        <v>139</v>
      </c>
      <c r="O770" s="3" t="s">
        <v>32</v>
      </c>
      <c r="P770" s="3" t="s">
        <v>33</v>
      </c>
      <c r="Q770" s="3" t="s">
        <v>36</v>
      </c>
    </row>
    <row r="771" spans="1:17" x14ac:dyDescent="0.25">
      <c r="A771" s="5">
        <v>10291</v>
      </c>
      <c r="B771" s="5">
        <v>26</v>
      </c>
      <c r="C771" s="5">
        <v>57.73</v>
      </c>
      <c r="D771" s="5">
        <v>1500.98</v>
      </c>
      <c r="E771" s="5" t="str">
        <f t="shared" ref="E771:E834" si="49">IF(D771&gt;=5000,"High",IF(D771&gt;=2000,"Medium","Low"))</f>
        <v>Low</v>
      </c>
      <c r="F771" s="5">
        <f t="shared" ref="F771:F834" si="50">(D771*0.3)</f>
        <v>450.29399999999998</v>
      </c>
      <c r="G771" s="6">
        <v>38238</v>
      </c>
      <c r="H771" s="5" t="s">
        <v>25</v>
      </c>
      <c r="I771" s="5" t="str">
        <f t="shared" si="48"/>
        <v>Yes</v>
      </c>
      <c r="J771" s="5" t="s">
        <v>690</v>
      </c>
      <c r="K771" s="5">
        <v>2004</v>
      </c>
      <c r="L771" s="5" t="str">
        <f t="shared" ref="L771:L834" si="51">TEXT(G:G,"MMM-YYYY")</f>
        <v>Sep-2004</v>
      </c>
      <c r="M771" s="5" t="s">
        <v>504</v>
      </c>
      <c r="N771" s="5" t="s">
        <v>261</v>
      </c>
      <c r="O771" s="5" t="s">
        <v>188</v>
      </c>
      <c r="P771" s="5" t="s">
        <v>42</v>
      </c>
      <c r="Q771" s="5" t="s">
        <v>36</v>
      </c>
    </row>
    <row r="772" spans="1:17" x14ac:dyDescent="0.25">
      <c r="A772" s="3">
        <v>10305</v>
      </c>
      <c r="B772" s="3">
        <v>41</v>
      </c>
      <c r="C772" s="3">
        <v>53.48</v>
      </c>
      <c r="D772" s="3">
        <v>2192.6799999999998</v>
      </c>
      <c r="E772" s="3" t="str">
        <f t="shared" si="49"/>
        <v>Medium</v>
      </c>
      <c r="F772" s="3">
        <f t="shared" si="50"/>
        <v>657.80399999999997</v>
      </c>
      <c r="G772" s="4">
        <v>38273</v>
      </c>
      <c r="H772" s="3" t="s">
        <v>25</v>
      </c>
      <c r="I772" s="3" t="str">
        <f t="shared" si="48"/>
        <v>Yes</v>
      </c>
      <c r="J772" s="3" t="s">
        <v>685</v>
      </c>
      <c r="K772" s="3">
        <v>2004</v>
      </c>
      <c r="L772" s="3" t="str">
        <f t="shared" si="51"/>
        <v>Oct-2004</v>
      </c>
      <c r="M772" s="3" t="s">
        <v>504</v>
      </c>
      <c r="N772" s="3" t="s">
        <v>120</v>
      </c>
      <c r="O772" s="3" t="s">
        <v>32</v>
      </c>
      <c r="P772" s="3" t="s">
        <v>33</v>
      </c>
      <c r="Q772" s="3" t="s">
        <v>36</v>
      </c>
    </row>
    <row r="773" spans="1:17" x14ac:dyDescent="0.25">
      <c r="A773" s="5">
        <v>10313</v>
      </c>
      <c r="B773" s="5">
        <v>34</v>
      </c>
      <c r="C773" s="5">
        <v>52.87</v>
      </c>
      <c r="D773" s="5">
        <v>1797.58</v>
      </c>
      <c r="E773" s="5" t="str">
        <f t="shared" si="49"/>
        <v>Low</v>
      </c>
      <c r="F773" s="5">
        <f t="shared" si="50"/>
        <v>539.274</v>
      </c>
      <c r="G773" s="6">
        <v>38282</v>
      </c>
      <c r="H773" s="5" t="s">
        <v>25</v>
      </c>
      <c r="I773" s="5" t="str">
        <f t="shared" si="48"/>
        <v>Yes</v>
      </c>
      <c r="J773" s="5" t="s">
        <v>685</v>
      </c>
      <c r="K773" s="5">
        <v>2004</v>
      </c>
      <c r="L773" s="5" t="str">
        <f t="shared" si="51"/>
        <v>Oct-2004</v>
      </c>
      <c r="M773" s="5" t="s">
        <v>504</v>
      </c>
      <c r="N773" s="5" t="s">
        <v>225</v>
      </c>
      <c r="O773" s="5" t="s">
        <v>231</v>
      </c>
      <c r="P773" s="5" t="s">
        <v>33</v>
      </c>
      <c r="Q773" s="5" t="s">
        <v>36</v>
      </c>
    </row>
    <row r="774" spans="1:17" x14ac:dyDescent="0.25">
      <c r="A774" s="3">
        <v>10322</v>
      </c>
      <c r="B774" s="3">
        <v>35</v>
      </c>
      <c r="C774" s="3">
        <v>61.21</v>
      </c>
      <c r="D774" s="3">
        <v>2142.35</v>
      </c>
      <c r="E774" s="3" t="str">
        <f t="shared" si="49"/>
        <v>Medium</v>
      </c>
      <c r="F774" s="3">
        <f t="shared" si="50"/>
        <v>642.70499999999993</v>
      </c>
      <c r="G774" s="4">
        <v>38295</v>
      </c>
      <c r="H774" s="3" t="s">
        <v>25</v>
      </c>
      <c r="I774" s="3" t="str">
        <f t="shared" si="48"/>
        <v>Yes</v>
      </c>
      <c r="J774" s="3" t="s">
        <v>686</v>
      </c>
      <c r="K774" s="3">
        <v>2004</v>
      </c>
      <c r="L774" s="3" t="str">
        <f t="shared" si="51"/>
        <v>Nov-2004</v>
      </c>
      <c r="M774" s="3" t="s">
        <v>504</v>
      </c>
      <c r="N774" s="3" t="s">
        <v>277</v>
      </c>
      <c r="O774" s="3" t="s">
        <v>32</v>
      </c>
      <c r="P774" s="3" t="s">
        <v>33</v>
      </c>
      <c r="Q774" s="3" t="s">
        <v>36</v>
      </c>
    </row>
    <row r="775" spans="1:17" x14ac:dyDescent="0.25">
      <c r="A775" s="5">
        <v>10334</v>
      </c>
      <c r="B775" s="5">
        <v>34</v>
      </c>
      <c r="C775" s="5">
        <v>61.38</v>
      </c>
      <c r="D775" s="5">
        <v>2086.92</v>
      </c>
      <c r="E775" s="5" t="str">
        <f t="shared" si="49"/>
        <v>Medium</v>
      </c>
      <c r="F775" s="5">
        <f t="shared" si="50"/>
        <v>626.07600000000002</v>
      </c>
      <c r="G775" s="6">
        <v>38310</v>
      </c>
      <c r="H775" s="5" t="s">
        <v>401</v>
      </c>
      <c r="I775" s="5" t="str">
        <f t="shared" si="48"/>
        <v>No</v>
      </c>
      <c r="J775" s="5" t="s">
        <v>686</v>
      </c>
      <c r="K775" s="5">
        <v>2004</v>
      </c>
      <c r="L775" s="5" t="str">
        <f t="shared" si="51"/>
        <v>Nov-2004</v>
      </c>
      <c r="M775" s="5" t="s">
        <v>504</v>
      </c>
      <c r="N775" s="5" t="s">
        <v>183</v>
      </c>
      <c r="O775" s="5" t="s">
        <v>188</v>
      </c>
      <c r="P775" s="5" t="s">
        <v>42</v>
      </c>
      <c r="Q775" s="5" t="s">
        <v>36</v>
      </c>
    </row>
    <row r="776" spans="1:17" x14ac:dyDescent="0.25">
      <c r="A776" s="3">
        <v>10347</v>
      </c>
      <c r="B776" s="3">
        <v>50</v>
      </c>
      <c r="C776" s="3">
        <v>100</v>
      </c>
      <c r="D776" s="3">
        <v>5000</v>
      </c>
      <c r="E776" s="3" t="str">
        <f t="shared" si="49"/>
        <v>High</v>
      </c>
      <c r="F776" s="3">
        <f t="shared" si="50"/>
        <v>1500</v>
      </c>
      <c r="G776" s="4">
        <v>38320</v>
      </c>
      <c r="H776" s="3" t="s">
        <v>25</v>
      </c>
      <c r="I776" s="3" t="str">
        <f t="shared" si="48"/>
        <v>Yes</v>
      </c>
      <c r="J776" s="3" t="s">
        <v>686</v>
      </c>
      <c r="K776" s="3">
        <v>2004</v>
      </c>
      <c r="L776" s="3" t="str">
        <f t="shared" si="51"/>
        <v>Nov-2004</v>
      </c>
      <c r="M776" s="3" t="s">
        <v>504</v>
      </c>
      <c r="N776" s="3" t="s">
        <v>89</v>
      </c>
      <c r="O776" s="3" t="s">
        <v>95</v>
      </c>
      <c r="P776" s="3" t="s">
        <v>96</v>
      </c>
      <c r="Q776" s="3" t="s">
        <v>51</v>
      </c>
    </row>
    <row r="777" spans="1:17" x14ac:dyDescent="0.25">
      <c r="A777" s="5">
        <v>10357</v>
      </c>
      <c r="B777" s="5">
        <v>41</v>
      </c>
      <c r="C777" s="5">
        <v>61.99</v>
      </c>
      <c r="D777" s="5">
        <v>2541.59</v>
      </c>
      <c r="E777" s="5" t="str">
        <f t="shared" si="49"/>
        <v>Medium</v>
      </c>
      <c r="F777" s="5">
        <f t="shared" si="50"/>
        <v>762.47699999999998</v>
      </c>
      <c r="G777" s="6">
        <v>38331</v>
      </c>
      <c r="H777" s="5" t="s">
        <v>25</v>
      </c>
      <c r="I777" s="5" t="str">
        <f t="shared" si="48"/>
        <v>Yes</v>
      </c>
      <c r="J777" s="5" t="s">
        <v>687</v>
      </c>
      <c r="K777" s="5">
        <v>2004</v>
      </c>
      <c r="L777" s="5" t="str">
        <f t="shared" si="51"/>
        <v>Dec-2004</v>
      </c>
      <c r="M777" s="5" t="s">
        <v>504</v>
      </c>
      <c r="N777" s="5" t="s">
        <v>272</v>
      </c>
      <c r="O777" s="5" t="s">
        <v>32</v>
      </c>
      <c r="P777" s="5" t="s">
        <v>33</v>
      </c>
      <c r="Q777" s="5" t="s">
        <v>36</v>
      </c>
    </row>
    <row r="778" spans="1:17" x14ac:dyDescent="0.25">
      <c r="A778" s="3">
        <v>10370</v>
      </c>
      <c r="B778" s="3">
        <v>22</v>
      </c>
      <c r="C778" s="3">
        <v>96.86</v>
      </c>
      <c r="D778" s="3">
        <v>2130.92</v>
      </c>
      <c r="E778" s="3" t="str">
        <f t="shared" si="49"/>
        <v>Medium</v>
      </c>
      <c r="F778" s="3">
        <f t="shared" si="50"/>
        <v>639.27599999999995</v>
      </c>
      <c r="G778" s="4">
        <v>38372</v>
      </c>
      <c r="H778" s="3" t="s">
        <v>25</v>
      </c>
      <c r="I778" s="3" t="str">
        <f t="shared" si="48"/>
        <v>Yes</v>
      </c>
      <c r="J778" s="3" t="s">
        <v>549</v>
      </c>
      <c r="K778" s="3">
        <v>2005</v>
      </c>
      <c r="L778" s="3" t="str">
        <f t="shared" si="51"/>
        <v>Jan-2005</v>
      </c>
      <c r="M778" s="3" t="s">
        <v>504</v>
      </c>
      <c r="N778" s="3" t="s">
        <v>285</v>
      </c>
      <c r="O778" s="3" t="s">
        <v>95</v>
      </c>
      <c r="P778" s="3" t="s">
        <v>96</v>
      </c>
      <c r="Q778" s="3" t="s">
        <v>36</v>
      </c>
    </row>
    <row r="779" spans="1:17" x14ac:dyDescent="0.25">
      <c r="A779" s="5">
        <v>10381</v>
      </c>
      <c r="B779" s="5">
        <v>35</v>
      </c>
      <c r="C779" s="5">
        <v>48.62</v>
      </c>
      <c r="D779" s="5">
        <v>1701.6999999999998</v>
      </c>
      <c r="E779" s="5" t="str">
        <f t="shared" si="49"/>
        <v>Low</v>
      </c>
      <c r="F779" s="5">
        <f t="shared" si="50"/>
        <v>510.50999999999993</v>
      </c>
      <c r="G779" s="6">
        <v>38400</v>
      </c>
      <c r="H779" s="5" t="s">
        <v>25</v>
      </c>
      <c r="I779" s="5" t="str">
        <f t="shared" si="48"/>
        <v>Yes</v>
      </c>
      <c r="J779" s="5" t="s">
        <v>681</v>
      </c>
      <c r="K779" s="5">
        <v>2005</v>
      </c>
      <c r="L779" s="5" t="str">
        <f t="shared" si="51"/>
        <v>Feb-2005</v>
      </c>
      <c r="M779" s="5" t="s">
        <v>504</v>
      </c>
      <c r="N779" s="5" t="s">
        <v>58</v>
      </c>
      <c r="O779" s="5" t="s">
        <v>32</v>
      </c>
      <c r="P779" s="5" t="s">
        <v>33</v>
      </c>
      <c r="Q779" s="5" t="s">
        <v>36</v>
      </c>
    </row>
    <row r="780" spans="1:17" x14ac:dyDescent="0.25">
      <c r="A780" s="3">
        <v>10391</v>
      </c>
      <c r="B780" s="3">
        <v>44</v>
      </c>
      <c r="C780" s="3">
        <v>38.5</v>
      </c>
      <c r="D780" s="3">
        <v>1694</v>
      </c>
      <c r="E780" s="3" t="str">
        <f t="shared" si="49"/>
        <v>Low</v>
      </c>
      <c r="F780" s="3">
        <f t="shared" si="50"/>
        <v>508.2</v>
      </c>
      <c r="G780" s="4">
        <v>38420</v>
      </c>
      <c r="H780" s="3" t="s">
        <v>25</v>
      </c>
      <c r="I780" s="3" t="str">
        <f t="shared" si="48"/>
        <v>Yes</v>
      </c>
      <c r="J780" s="3" t="s">
        <v>691</v>
      </c>
      <c r="K780" s="3">
        <v>2005</v>
      </c>
      <c r="L780" s="3" t="str">
        <f t="shared" si="51"/>
        <v>Mar-2005</v>
      </c>
      <c r="M780" s="3" t="s">
        <v>504</v>
      </c>
      <c r="N780" s="3" t="s">
        <v>285</v>
      </c>
      <c r="O780" s="3" t="s">
        <v>95</v>
      </c>
      <c r="P780" s="3" t="s">
        <v>96</v>
      </c>
      <c r="Q780" s="3" t="s">
        <v>36</v>
      </c>
    </row>
    <row r="781" spans="1:17" x14ac:dyDescent="0.25">
      <c r="A781" s="5">
        <v>10412</v>
      </c>
      <c r="B781" s="5">
        <v>47</v>
      </c>
      <c r="C781" s="5">
        <v>61.99</v>
      </c>
      <c r="D781" s="5">
        <v>2913.53</v>
      </c>
      <c r="E781" s="5" t="str">
        <f t="shared" si="49"/>
        <v>Medium</v>
      </c>
      <c r="F781" s="5">
        <f t="shared" si="50"/>
        <v>874.05900000000008</v>
      </c>
      <c r="G781" s="6">
        <v>38475</v>
      </c>
      <c r="H781" s="5" t="s">
        <v>25</v>
      </c>
      <c r="I781" s="5" t="str">
        <f t="shared" si="48"/>
        <v>Yes</v>
      </c>
      <c r="J781" s="5" t="s">
        <v>682</v>
      </c>
      <c r="K781" s="5">
        <v>2005</v>
      </c>
      <c r="L781" s="5" t="str">
        <f t="shared" si="51"/>
        <v>May-2005</v>
      </c>
      <c r="M781" s="5" t="s">
        <v>504</v>
      </c>
      <c r="N781" s="5" t="s">
        <v>174</v>
      </c>
      <c r="O781" s="5" t="s">
        <v>178</v>
      </c>
      <c r="P781" s="5" t="s">
        <v>42</v>
      </c>
      <c r="Q781" s="5" t="s">
        <v>36</v>
      </c>
    </row>
    <row r="782" spans="1:17" x14ac:dyDescent="0.25">
      <c r="A782" s="3">
        <v>10425</v>
      </c>
      <c r="B782" s="3">
        <v>19</v>
      </c>
      <c r="C782" s="3">
        <v>49.22</v>
      </c>
      <c r="D782" s="3">
        <v>935.18</v>
      </c>
      <c r="E782" s="3" t="str">
        <f t="shared" si="49"/>
        <v>Low</v>
      </c>
      <c r="F782" s="3">
        <f t="shared" si="50"/>
        <v>280.55399999999997</v>
      </c>
      <c r="G782" s="4">
        <v>38503</v>
      </c>
      <c r="H782" s="3" t="s">
        <v>300</v>
      </c>
      <c r="I782" s="3" t="str">
        <f t="shared" si="48"/>
        <v>No</v>
      </c>
      <c r="J782" s="3" t="s">
        <v>682</v>
      </c>
      <c r="K782" s="3">
        <v>2005</v>
      </c>
      <c r="L782" s="3" t="str">
        <f t="shared" si="51"/>
        <v>May-2005</v>
      </c>
      <c r="M782" s="3" t="s">
        <v>504</v>
      </c>
      <c r="N782" s="3" t="s">
        <v>114</v>
      </c>
      <c r="O782" s="3" t="s">
        <v>41</v>
      </c>
      <c r="P782" s="3" t="s">
        <v>42</v>
      </c>
      <c r="Q782" s="3" t="s">
        <v>36</v>
      </c>
    </row>
    <row r="783" spans="1:17" x14ac:dyDescent="0.25">
      <c r="A783" s="5">
        <v>10106</v>
      </c>
      <c r="B783" s="5">
        <v>34</v>
      </c>
      <c r="C783" s="5">
        <v>90.39</v>
      </c>
      <c r="D783" s="5">
        <v>3073.26</v>
      </c>
      <c r="E783" s="5" t="str">
        <f t="shared" si="49"/>
        <v>Medium</v>
      </c>
      <c r="F783" s="5">
        <f t="shared" si="50"/>
        <v>921.97800000000007</v>
      </c>
      <c r="G783" s="6">
        <v>37669</v>
      </c>
      <c r="H783" s="5" t="s">
        <v>25</v>
      </c>
      <c r="I783" s="5" t="str">
        <f t="shared" si="48"/>
        <v>Yes</v>
      </c>
      <c r="J783" s="5" t="s">
        <v>681</v>
      </c>
      <c r="K783" s="5">
        <v>2003</v>
      </c>
      <c r="L783" s="5" t="str">
        <f t="shared" si="51"/>
        <v>Feb-2003</v>
      </c>
      <c r="M783" s="5" t="s">
        <v>566</v>
      </c>
      <c r="N783" s="5" t="s">
        <v>552</v>
      </c>
      <c r="O783" s="5" t="s">
        <v>258</v>
      </c>
      <c r="P783" s="5" t="s">
        <v>42</v>
      </c>
      <c r="Q783" s="5" t="s">
        <v>51</v>
      </c>
    </row>
    <row r="784" spans="1:17" x14ac:dyDescent="0.25">
      <c r="A784" s="3">
        <v>10120</v>
      </c>
      <c r="B784" s="3">
        <v>29</v>
      </c>
      <c r="C784" s="3">
        <v>71.81</v>
      </c>
      <c r="D784" s="3">
        <v>2082.4900000000002</v>
      </c>
      <c r="E784" s="3" t="str">
        <f t="shared" si="49"/>
        <v>Medium</v>
      </c>
      <c r="F784" s="3">
        <f t="shared" si="50"/>
        <v>624.74700000000007</v>
      </c>
      <c r="G784" s="4">
        <v>37740</v>
      </c>
      <c r="H784" s="3" t="s">
        <v>25</v>
      </c>
      <c r="I784" s="3" t="str">
        <f t="shared" si="48"/>
        <v>Yes</v>
      </c>
      <c r="J784" s="3" t="s">
        <v>688</v>
      </c>
      <c r="K784" s="3">
        <v>2003</v>
      </c>
      <c r="L784" s="3" t="str">
        <f t="shared" si="51"/>
        <v>Apr-2003</v>
      </c>
      <c r="M784" s="3" t="s">
        <v>566</v>
      </c>
      <c r="N784" s="3" t="s">
        <v>89</v>
      </c>
      <c r="O784" s="3" t="s">
        <v>95</v>
      </c>
      <c r="P784" s="3" t="s">
        <v>96</v>
      </c>
      <c r="Q784" s="3" t="s">
        <v>36</v>
      </c>
    </row>
    <row r="785" spans="1:17" x14ac:dyDescent="0.25">
      <c r="A785" s="5">
        <v>10133</v>
      </c>
      <c r="B785" s="5">
        <v>49</v>
      </c>
      <c r="C785" s="5">
        <v>69.27</v>
      </c>
      <c r="D785" s="5">
        <v>3394.23</v>
      </c>
      <c r="E785" s="5" t="str">
        <f t="shared" si="49"/>
        <v>Medium</v>
      </c>
      <c r="F785" s="5">
        <f t="shared" si="50"/>
        <v>1018.269</v>
      </c>
      <c r="G785" s="6">
        <v>37799</v>
      </c>
      <c r="H785" s="5" t="s">
        <v>25</v>
      </c>
      <c r="I785" s="5" t="str">
        <f t="shared" si="48"/>
        <v>Yes</v>
      </c>
      <c r="J785" s="5" t="s">
        <v>689</v>
      </c>
      <c r="K785" s="5">
        <v>2003</v>
      </c>
      <c r="L785" s="5" t="str">
        <f t="shared" si="51"/>
        <v>Jun-2003</v>
      </c>
      <c r="M785" s="5" t="s">
        <v>566</v>
      </c>
      <c r="N785" s="5" t="s">
        <v>174</v>
      </c>
      <c r="O785" s="5" t="s">
        <v>178</v>
      </c>
      <c r="P785" s="5" t="s">
        <v>42</v>
      </c>
      <c r="Q785" s="5" t="s">
        <v>51</v>
      </c>
    </row>
    <row r="786" spans="1:17" x14ac:dyDescent="0.25">
      <c r="A786" s="3">
        <v>10145</v>
      </c>
      <c r="B786" s="3">
        <v>30</v>
      </c>
      <c r="C786" s="3">
        <v>85.32</v>
      </c>
      <c r="D786" s="3">
        <v>2559.6</v>
      </c>
      <c r="E786" s="3" t="str">
        <f t="shared" si="49"/>
        <v>Medium</v>
      </c>
      <c r="F786" s="3">
        <f t="shared" si="50"/>
        <v>767.88</v>
      </c>
      <c r="G786" s="4">
        <v>37858</v>
      </c>
      <c r="H786" s="3" t="s">
        <v>25</v>
      </c>
      <c r="I786" s="3" t="str">
        <f t="shared" si="48"/>
        <v>Yes</v>
      </c>
      <c r="J786" s="3" t="s">
        <v>684</v>
      </c>
      <c r="K786" s="3">
        <v>2003</v>
      </c>
      <c r="L786" s="3" t="str">
        <f t="shared" si="51"/>
        <v>Aug-2003</v>
      </c>
      <c r="M786" s="3" t="s">
        <v>566</v>
      </c>
      <c r="N786" s="3" t="s">
        <v>52</v>
      </c>
      <c r="O786" s="3" t="s">
        <v>32</v>
      </c>
      <c r="P786" s="3" t="s">
        <v>33</v>
      </c>
      <c r="Q786" s="3" t="s">
        <v>36</v>
      </c>
    </row>
    <row r="787" spans="1:17" x14ac:dyDescent="0.25">
      <c r="A787" s="5">
        <v>10168</v>
      </c>
      <c r="B787" s="5">
        <v>21</v>
      </c>
      <c r="C787" s="5">
        <v>70.959999999999994</v>
      </c>
      <c r="D787" s="5">
        <v>1490.1599999999999</v>
      </c>
      <c r="E787" s="5" t="str">
        <f t="shared" si="49"/>
        <v>Low</v>
      </c>
      <c r="F787" s="5">
        <f t="shared" si="50"/>
        <v>447.04799999999994</v>
      </c>
      <c r="G787" s="6">
        <v>37922</v>
      </c>
      <c r="H787" s="5" t="s">
        <v>25</v>
      </c>
      <c r="I787" s="5" t="str">
        <f t="shared" si="48"/>
        <v>Yes</v>
      </c>
      <c r="J787" s="5" t="s">
        <v>685</v>
      </c>
      <c r="K787" s="5">
        <v>2003</v>
      </c>
      <c r="L787" s="5" t="str">
        <f t="shared" si="51"/>
        <v>Oct-2003</v>
      </c>
      <c r="M787" s="5" t="s">
        <v>566</v>
      </c>
      <c r="N787" s="5" t="s">
        <v>62</v>
      </c>
      <c r="O787" s="5" t="s">
        <v>32</v>
      </c>
      <c r="P787" s="5" t="s">
        <v>33</v>
      </c>
      <c r="Q787" s="5" t="s">
        <v>36</v>
      </c>
    </row>
    <row r="788" spans="1:17" x14ac:dyDescent="0.25">
      <c r="A788" s="3">
        <v>10210</v>
      </c>
      <c r="B788" s="3">
        <v>50</v>
      </c>
      <c r="C788" s="3">
        <v>76.88</v>
      </c>
      <c r="D788" s="3">
        <v>3844</v>
      </c>
      <c r="E788" s="3" t="str">
        <f t="shared" si="49"/>
        <v>Medium</v>
      </c>
      <c r="F788" s="3">
        <f t="shared" si="50"/>
        <v>1153.2</v>
      </c>
      <c r="G788" s="4">
        <v>37998</v>
      </c>
      <c r="H788" s="3" t="s">
        <v>25</v>
      </c>
      <c r="I788" s="3" t="str">
        <f t="shared" si="48"/>
        <v>Yes</v>
      </c>
      <c r="J788" s="3" t="s">
        <v>549</v>
      </c>
      <c r="K788" s="3">
        <v>2004</v>
      </c>
      <c r="L788" s="3" t="str">
        <f t="shared" si="51"/>
        <v>Jan-2004</v>
      </c>
      <c r="M788" s="3" t="s">
        <v>566</v>
      </c>
      <c r="N788" s="3" t="s">
        <v>302</v>
      </c>
      <c r="O788" s="3" t="s">
        <v>200</v>
      </c>
      <c r="P788" s="3" t="s">
        <v>675</v>
      </c>
      <c r="Q788" s="3" t="s">
        <v>51</v>
      </c>
    </row>
    <row r="789" spans="1:17" x14ac:dyDescent="0.25">
      <c r="A789" s="5">
        <v>10223</v>
      </c>
      <c r="B789" s="5">
        <v>47</v>
      </c>
      <c r="C789" s="5">
        <v>100</v>
      </c>
      <c r="D789" s="5">
        <v>4700</v>
      </c>
      <c r="E789" s="5" t="str">
        <f t="shared" si="49"/>
        <v>Medium</v>
      </c>
      <c r="F789" s="5">
        <f t="shared" si="50"/>
        <v>1410</v>
      </c>
      <c r="G789" s="6">
        <v>38037</v>
      </c>
      <c r="H789" s="5" t="s">
        <v>25</v>
      </c>
      <c r="I789" s="5" t="str">
        <f t="shared" si="48"/>
        <v>Yes</v>
      </c>
      <c r="J789" s="5" t="s">
        <v>681</v>
      </c>
      <c r="K789" s="5">
        <v>2004</v>
      </c>
      <c r="L789" s="5" t="str">
        <f t="shared" si="51"/>
        <v>Feb-2004</v>
      </c>
      <c r="M789" s="5" t="s">
        <v>566</v>
      </c>
      <c r="N789" s="5" t="s">
        <v>89</v>
      </c>
      <c r="O789" s="5" t="s">
        <v>95</v>
      </c>
      <c r="P789" s="5" t="s">
        <v>96</v>
      </c>
      <c r="Q789" s="5" t="s">
        <v>51</v>
      </c>
    </row>
    <row r="790" spans="1:17" x14ac:dyDescent="0.25">
      <c r="A790" s="3">
        <v>10235</v>
      </c>
      <c r="B790" s="3">
        <v>24</v>
      </c>
      <c r="C790" s="3">
        <v>76.03</v>
      </c>
      <c r="D790" s="3">
        <v>1824.72</v>
      </c>
      <c r="E790" s="3" t="str">
        <f t="shared" si="49"/>
        <v>Low</v>
      </c>
      <c r="F790" s="3">
        <f t="shared" si="50"/>
        <v>547.41599999999994</v>
      </c>
      <c r="G790" s="4">
        <v>38079</v>
      </c>
      <c r="H790" s="3" t="s">
        <v>25</v>
      </c>
      <c r="I790" s="3" t="str">
        <f t="shared" si="48"/>
        <v>Yes</v>
      </c>
      <c r="J790" s="3" t="s">
        <v>688</v>
      </c>
      <c r="K790" s="3">
        <v>2004</v>
      </c>
      <c r="L790" s="3" t="str">
        <f t="shared" si="51"/>
        <v>Apr-2004</v>
      </c>
      <c r="M790" s="3" t="s">
        <v>566</v>
      </c>
      <c r="N790" s="3" t="s">
        <v>373</v>
      </c>
      <c r="O790" s="3" t="s">
        <v>231</v>
      </c>
      <c r="P790" s="3" t="s">
        <v>33</v>
      </c>
      <c r="Q790" s="3" t="s">
        <v>36</v>
      </c>
    </row>
    <row r="791" spans="1:17" x14ac:dyDescent="0.25">
      <c r="A791" s="5">
        <v>10250</v>
      </c>
      <c r="B791" s="5">
        <v>27</v>
      </c>
      <c r="C791" s="5">
        <v>98.84</v>
      </c>
      <c r="D791" s="5">
        <v>2668.6800000000003</v>
      </c>
      <c r="E791" s="5" t="str">
        <f t="shared" si="49"/>
        <v>Medium</v>
      </c>
      <c r="F791" s="5">
        <f t="shared" si="50"/>
        <v>800.60400000000004</v>
      </c>
      <c r="G791" s="6">
        <v>38118</v>
      </c>
      <c r="H791" s="5" t="s">
        <v>25</v>
      </c>
      <c r="I791" s="5" t="str">
        <f t="shared" si="48"/>
        <v>Yes</v>
      </c>
      <c r="J791" s="5" t="s">
        <v>682</v>
      </c>
      <c r="K791" s="5">
        <v>2004</v>
      </c>
      <c r="L791" s="5" t="str">
        <f t="shared" si="51"/>
        <v>May-2004</v>
      </c>
      <c r="M791" s="5" t="s">
        <v>566</v>
      </c>
      <c r="N791" s="5" t="s">
        <v>397</v>
      </c>
      <c r="O791" s="5" t="s">
        <v>32</v>
      </c>
      <c r="P791" s="5" t="s">
        <v>33</v>
      </c>
      <c r="Q791" s="5" t="s">
        <v>36</v>
      </c>
    </row>
    <row r="792" spans="1:17" x14ac:dyDescent="0.25">
      <c r="A792" s="3">
        <v>10263</v>
      </c>
      <c r="B792" s="3">
        <v>33</v>
      </c>
      <c r="C792" s="3">
        <v>86.17</v>
      </c>
      <c r="D792" s="3">
        <v>2843.61</v>
      </c>
      <c r="E792" s="3" t="str">
        <f t="shared" si="49"/>
        <v>Medium</v>
      </c>
      <c r="F792" s="3">
        <f t="shared" si="50"/>
        <v>853.08299999999997</v>
      </c>
      <c r="G792" s="4">
        <v>38166</v>
      </c>
      <c r="H792" s="3" t="s">
        <v>25</v>
      </c>
      <c r="I792" s="3" t="str">
        <f t="shared" si="48"/>
        <v>Yes</v>
      </c>
      <c r="J792" s="3" t="s">
        <v>689</v>
      </c>
      <c r="K792" s="3">
        <v>2004</v>
      </c>
      <c r="L792" s="3" t="str">
        <f t="shared" si="51"/>
        <v>Jun-2004</v>
      </c>
      <c r="M792" s="3" t="s">
        <v>566</v>
      </c>
      <c r="N792" s="3" t="s">
        <v>109</v>
      </c>
      <c r="O792" s="3" t="s">
        <v>32</v>
      </c>
      <c r="P792" s="3" t="s">
        <v>33</v>
      </c>
      <c r="Q792" s="3" t="s">
        <v>36</v>
      </c>
    </row>
    <row r="793" spans="1:17" x14ac:dyDescent="0.25">
      <c r="A793" s="5">
        <v>10275</v>
      </c>
      <c r="B793" s="5">
        <v>35</v>
      </c>
      <c r="C793" s="5">
        <v>90.39</v>
      </c>
      <c r="D793" s="5">
        <v>3163.65</v>
      </c>
      <c r="E793" s="5" t="str">
        <f t="shared" si="49"/>
        <v>Medium</v>
      </c>
      <c r="F793" s="5">
        <f t="shared" si="50"/>
        <v>949.09500000000003</v>
      </c>
      <c r="G793" s="6">
        <v>38191</v>
      </c>
      <c r="H793" s="5" t="s">
        <v>25</v>
      </c>
      <c r="I793" s="5" t="str">
        <f t="shared" si="48"/>
        <v>Yes</v>
      </c>
      <c r="J793" s="5" t="s">
        <v>683</v>
      </c>
      <c r="K793" s="5">
        <v>2004</v>
      </c>
      <c r="L793" s="5" t="str">
        <f t="shared" si="51"/>
        <v>Jul-2004</v>
      </c>
      <c r="M793" s="5" t="s">
        <v>566</v>
      </c>
      <c r="N793" s="5" t="s">
        <v>114</v>
      </c>
      <c r="O793" s="5" t="s">
        <v>41</v>
      </c>
      <c r="P793" s="5" t="s">
        <v>42</v>
      </c>
      <c r="Q793" s="5" t="s">
        <v>51</v>
      </c>
    </row>
    <row r="794" spans="1:17" x14ac:dyDescent="0.25">
      <c r="A794" s="3">
        <v>10284</v>
      </c>
      <c r="B794" s="3">
        <v>31</v>
      </c>
      <c r="C794" s="3">
        <v>71.81</v>
      </c>
      <c r="D794" s="3">
        <v>2226.11</v>
      </c>
      <c r="E794" s="3" t="str">
        <f t="shared" si="49"/>
        <v>Medium</v>
      </c>
      <c r="F794" s="3">
        <f t="shared" si="50"/>
        <v>667.83299999999997</v>
      </c>
      <c r="G794" s="4">
        <v>38220</v>
      </c>
      <c r="H794" s="3" t="s">
        <v>25</v>
      </c>
      <c r="I794" s="3" t="str">
        <f t="shared" si="48"/>
        <v>Yes</v>
      </c>
      <c r="J794" s="3" t="s">
        <v>684</v>
      </c>
      <c r="K794" s="3">
        <v>2004</v>
      </c>
      <c r="L794" s="3" t="str">
        <f t="shared" si="51"/>
        <v>Aug-2004</v>
      </c>
      <c r="M794" s="3" t="s">
        <v>566</v>
      </c>
      <c r="N794" s="3" t="s">
        <v>543</v>
      </c>
      <c r="O794" s="3" t="s">
        <v>78</v>
      </c>
      <c r="P794" s="3" t="s">
        <v>42</v>
      </c>
      <c r="Q794" s="3" t="s">
        <v>36</v>
      </c>
    </row>
    <row r="795" spans="1:17" x14ac:dyDescent="0.25">
      <c r="A795" s="5">
        <v>10297</v>
      </c>
      <c r="B795" s="5">
        <v>25</v>
      </c>
      <c r="C795" s="5">
        <v>82.79</v>
      </c>
      <c r="D795" s="5">
        <v>2069.75</v>
      </c>
      <c r="E795" s="5" t="str">
        <f t="shared" si="49"/>
        <v>Medium</v>
      </c>
      <c r="F795" s="5">
        <f t="shared" si="50"/>
        <v>620.92499999999995</v>
      </c>
      <c r="G795" s="6">
        <v>38246</v>
      </c>
      <c r="H795" s="5" t="s">
        <v>25</v>
      </c>
      <c r="I795" s="5" t="str">
        <f t="shared" si="48"/>
        <v>Yes</v>
      </c>
      <c r="J795" s="5" t="s">
        <v>690</v>
      </c>
      <c r="K795" s="5">
        <v>2004</v>
      </c>
      <c r="L795" s="5" t="str">
        <f t="shared" si="51"/>
        <v>Sep-2004</v>
      </c>
      <c r="M795" s="5" t="s">
        <v>566</v>
      </c>
      <c r="N795" s="5" t="s">
        <v>479</v>
      </c>
      <c r="O795" s="5" t="s">
        <v>484</v>
      </c>
      <c r="P795" s="5" t="s">
        <v>42</v>
      </c>
      <c r="Q795" s="5" t="s">
        <v>36</v>
      </c>
    </row>
    <row r="796" spans="1:17" x14ac:dyDescent="0.25">
      <c r="A796" s="3">
        <v>10308</v>
      </c>
      <c r="B796" s="3">
        <v>27</v>
      </c>
      <c r="C796" s="3">
        <v>82.79</v>
      </c>
      <c r="D796" s="3">
        <v>2235.3300000000004</v>
      </c>
      <c r="E796" s="3" t="str">
        <f t="shared" si="49"/>
        <v>Medium</v>
      </c>
      <c r="F796" s="3">
        <f t="shared" si="50"/>
        <v>670.59900000000005</v>
      </c>
      <c r="G796" s="4">
        <v>38275</v>
      </c>
      <c r="H796" s="3" t="s">
        <v>25</v>
      </c>
      <c r="I796" s="3" t="str">
        <f t="shared" si="48"/>
        <v>Yes</v>
      </c>
      <c r="J796" s="3" t="s">
        <v>685</v>
      </c>
      <c r="K796" s="3">
        <v>2004</v>
      </c>
      <c r="L796" s="3" t="str">
        <f t="shared" si="51"/>
        <v>Oct-2004</v>
      </c>
      <c r="M796" s="3" t="s">
        <v>566</v>
      </c>
      <c r="N796" s="3" t="s">
        <v>317</v>
      </c>
      <c r="O796" s="3" t="s">
        <v>32</v>
      </c>
      <c r="P796" s="3" t="s">
        <v>33</v>
      </c>
      <c r="Q796" s="3" t="s">
        <v>36</v>
      </c>
    </row>
    <row r="797" spans="1:17" x14ac:dyDescent="0.25">
      <c r="A797" s="5">
        <v>10318</v>
      </c>
      <c r="B797" s="5">
        <v>31</v>
      </c>
      <c r="C797" s="5">
        <v>100</v>
      </c>
      <c r="D797" s="5">
        <v>3100</v>
      </c>
      <c r="E797" s="5" t="str">
        <f t="shared" si="49"/>
        <v>Medium</v>
      </c>
      <c r="F797" s="5">
        <f t="shared" si="50"/>
        <v>930</v>
      </c>
      <c r="G797" s="6">
        <v>38293</v>
      </c>
      <c r="H797" s="5" t="s">
        <v>25</v>
      </c>
      <c r="I797" s="5" t="str">
        <f t="shared" si="48"/>
        <v>Yes</v>
      </c>
      <c r="J797" s="5" t="s">
        <v>686</v>
      </c>
      <c r="K797" s="5">
        <v>2004</v>
      </c>
      <c r="L797" s="5" t="str">
        <f t="shared" si="51"/>
        <v>Nov-2004</v>
      </c>
      <c r="M797" s="5" t="s">
        <v>566</v>
      </c>
      <c r="N797" s="5" t="s">
        <v>139</v>
      </c>
      <c r="O797" s="5" t="s">
        <v>32</v>
      </c>
      <c r="P797" s="5" t="s">
        <v>33</v>
      </c>
      <c r="Q797" s="5" t="s">
        <v>51</v>
      </c>
    </row>
    <row r="798" spans="1:17" x14ac:dyDescent="0.25">
      <c r="A798" s="3">
        <v>10327</v>
      </c>
      <c r="B798" s="3">
        <v>45</v>
      </c>
      <c r="C798" s="3">
        <v>100</v>
      </c>
      <c r="D798" s="3">
        <v>4500</v>
      </c>
      <c r="E798" s="3" t="str">
        <f t="shared" si="49"/>
        <v>Medium</v>
      </c>
      <c r="F798" s="3">
        <f t="shared" si="50"/>
        <v>1350</v>
      </c>
      <c r="G798" s="4">
        <v>38301</v>
      </c>
      <c r="H798" s="3" t="s">
        <v>408</v>
      </c>
      <c r="I798" s="3" t="str">
        <f t="shared" si="48"/>
        <v>No</v>
      </c>
      <c r="J798" s="3" t="s">
        <v>686</v>
      </c>
      <c r="K798" s="3">
        <v>2004</v>
      </c>
      <c r="L798" s="3" t="str">
        <f t="shared" si="51"/>
        <v>Nov-2004</v>
      </c>
      <c r="M798" s="3" t="s">
        <v>566</v>
      </c>
      <c r="N798" s="3" t="s">
        <v>322</v>
      </c>
      <c r="O798" s="3" t="s">
        <v>326</v>
      </c>
      <c r="P798" s="3" t="s">
        <v>42</v>
      </c>
      <c r="Q798" s="3" t="s">
        <v>51</v>
      </c>
    </row>
    <row r="799" spans="1:17" x14ac:dyDescent="0.25">
      <c r="A799" s="5">
        <v>10339</v>
      </c>
      <c r="B799" s="5">
        <v>27</v>
      </c>
      <c r="C799" s="5">
        <v>100</v>
      </c>
      <c r="D799" s="5">
        <v>2700</v>
      </c>
      <c r="E799" s="5" t="str">
        <f t="shared" si="49"/>
        <v>Medium</v>
      </c>
      <c r="F799" s="5">
        <f t="shared" si="50"/>
        <v>810</v>
      </c>
      <c r="G799" s="6">
        <v>38314</v>
      </c>
      <c r="H799" s="5" t="s">
        <v>25</v>
      </c>
      <c r="I799" s="5" t="str">
        <f t="shared" si="48"/>
        <v>Yes</v>
      </c>
      <c r="J799" s="5" t="s">
        <v>686</v>
      </c>
      <c r="K799" s="5">
        <v>2004</v>
      </c>
      <c r="L799" s="5" t="str">
        <f t="shared" si="51"/>
        <v>Nov-2004</v>
      </c>
      <c r="M799" s="5" t="s">
        <v>566</v>
      </c>
      <c r="N799" s="5" t="s">
        <v>246</v>
      </c>
      <c r="O799" s="5" t="s">
        <v>200</v>
      </c>
      <c r="P799" s="5" t="s">
        <v>675</v>
      </c>
      <c r="Q799" s="5" t="s">
        <v>36</v>
      </c>
    </row>
    <row r="800" spans="1:17" x14ac:dyDescent="0.25">
      <c r="A800" s="3">
        <v>10353</v>
      </c>
      <c r="B800" s="3">
        <v>27</v>
      </c>
      <c r="C800" s="3">
        <v>100</v>
      </c>
      <c r="D800" s="3">
        <v>2700</v>
      </c>
      <c r="E800" s="3" t="str">
        <f t="shared" si="49"/>
        <v>Medium</v>
      </c>
      <c r="F800" s="3">
        <f t="shared" si="50"/>
        <v>810</v>
      </c>
      <c r="G800" s="4">
        <v>38325</v>
      </c>
      <c r="H800" s="3" t="s">
        <v>25</v>
      </c>
      <c r="I800" s="3" t="str">
        <f t="shared" si="48"/>
        <v>Yes</v>
      </c>
      <c r="J800" s="3" t="s">
        <v>687</v>
      </c>
      <c r="K800" s="3">
        <v>2004</v>
      </c>
      <c r="L800" s="3" t="str">
        <f t="shared" si="51"/>
        <v>Dec-2004</v>
      </c>
      <c r="M800" s="3" t="s">
        <v>566</v>
      </c>
      <c r="N800" s="3" t="s">
        <v>568</v>
      </c>
      <c r="O800" s="3" t="s">
        <v>32</v>
      </c>
      <c r="P800" s="3" t="s">
        <v>33</v>
      </c>
      <c r="Q800" s="3" t="s">
        <v>51</v>
      </c>
    </row>
    <row r="801" spans="1:17" x14ac:dyDescent="0.25">
      <c r="A801" s="5">
        <v>10374</v>
      </c>
      <c r="B801" s="5">
        <v>42</v>
      </c>
      <c r="C801" s="5">
        <v>69.27</v>
      </c>
      <c r="D801" s="5">
        <v>2909.3399999999997</v>
      </c>
      <c r="E801" s="5" t="str">
        <f t="shared" si="49"/>
        <v>Medium</v>
      </c>
      <c r="F801" s="5">
        <f t="shared" si="50"/>
        <v>872.80199999999991</v>
      </c>
      <c r="G801" s="6">
        <v>38385</v>
      </c>
      <c r="H801" s="5" t="s">
        <v>25</v>
      </c>
      <c r="I801" s="5" t="str">
        <f t="shared" si="48"/>
        <v>Yes</v>
      </c>
      <c r="J801" s="5" t="s">
        <v>681</v>
      </c>
      <c r="K801" s="5">
        <v>2005</v>
      </c>
      <c r="L801" s="5" t="str">
        <f t="shared" si="51"/>
        <v>Feb-2005</v>
      </c>
      <c r="M801" s="5" t="s">
        <v>566</v>
      </c>
      <c r="N801" s="5" t="s">
        <v>207</v>
      </c>
      <c r="O801" s="5" t="s">
        <v>95</v>
      </c>
      <c r="P801" s="5" t="s">
        <v>96</v>
      </c>
      <c r="Q801" s="5" t="s">
        <v>36</v>
      </c>
    </row>
    <row r="802" spans="1:17" x14ac:dyDescent="0.25">
      <c r="A802" s="3">
        <v>10386</v>
      </c>
      <c r="B802" s="3">
        <v>21</v>
      </c>
      <c r="C802" s="3">
        <v>74.77</v>
      </c>
      <c r="D802" s="3">
        <v>1570.1699999999998</v>
      </c>
      <c r="E802" s="3" t="str">
        <f t="shared" si="49"/>
        <v>Low</v>
      </c>
      <c r="F802" s="3">
        <f t="shared" si="50"/>
        <v>471.05099999999993</v>
      </c>
      <c r="G802" s="4">
        <v>38412</v>
      </c>
      <c r="H802" s="3" t="s">
        <v>408</v>
      </c>
      <c r="I802" s="3" t="str">
        <f t="shared" si="48"/>
        <v>No</v>
      </c>
      <c r="J802" s="3" t="s">
        <v>691</v>
      </c>
      <c r="K802" s="3">
        <v>2005</v>
      </c>
      <c r="L802" s="3" t="str">
        <f t="shared" si="51"/>
        <v>Mar-2005</v>
      </c>
      <c r="M802" s="3" t="s">
        <v>566</v>
      </c>
      <c r="N802" s="3" t="s">
        <v>174</v>
      </c>
      <c r="O802" s="3" t="s">
        <v>178</v>
      </c>
      <c r="P802" s="3" t="s">
        <v>42</v>
      </c>
      <c r="Q802" s="3" t="s">
        <v>36</v>
      </c>
    </row>
    <row r="803" spans="1:17" x14ac:dyDescent="0.25">
      <c r="A803" s="5">
        <v>10398</v>
      </c>
      <c r="B803" s="5">
        <v>34</v>
      </c>
      <c r="C803" s="5">
        <v>76.88</v>
      </c>
      <c r="D803" s="5">
        <v>2613.92</v>
      </c>
      <c r="E803" s="5" t="str">
        <f t="shared" si="49"/>
        <v>Medium</v>
      </c>
      <c r="F803" s="5">
        <f t="shared" si="50"/>
        <v>784.17600000000004</v>
      </c>
      <c r="G803" s="6">
        <v>38441</v>
      </c>
      <c r="H803" s="5" t="s">
        <v>25</v>
      </c>
      <c r="I803" s="5" t="str">
        <f t="shared" si="48"/>
        <v>Yes</v>
      </c>
      <c r="J803" s="5" t="s">
        <v>691</v>
      </c>
      <c r="K803" s="5">
        <v>2005</v>
      </c>
      <c r="L803" s="5" t="str">
        <f t="shared" si="51"/>
        <v>Mar-2005</v>
      </c>
      <c r="M803" s="5" t="s">
        <v>566</v>
      </c>
      <c r="N803" s="5" t="s">
        <v>37</v>
      </c>
      <c r="O803" s="5" t="s">
        <v>41</v>
      </c>
      <c r="P803" s="5" t="s">
        <v>42</v>
      </c>
      <c r="Q803" s="5" t="s">
        <v>36</v>
      </c>
    </row>
    <row r="804" spans="1:17" x14ac:dyDescent="0.25">
      <c r="A804" s="3">
        <v>10401</v>
      </c>
      <c r="B804" s="3">
        <v>42</v>
      </c>
      <c r="C804" s="3">
        <v>76.03</v>
      </c>
      <c r="D804" s="3">
        <v>3193.26</v>
      </c>
      <c r="E804" s="3" t="str">
        <f t="shared" si="49"/>
        <v>Medium</v>
      </c>
      <c r="F804" s="3">
        <f t="shared" si="50"/>
        <v>957.97800000000007</v>
      </c>
      <c r="G804" s="4">
        <v>38445</v>
      </c>
      <c r="H804" s="3" t="s">
        <v>401</v>
      </c>
      <c r="I804" s="3" t="str">
        <f t="shared" si="48"/>
        <v>No</v>
      </c>
      <c r="J804" s="3" t="s">
        <v>688</v>
      </c>
      <c r="K804" s="3">
        <v>2005</v>
      </c>
      <c r="L804" s="3" t="str">
        <f t="shared" si="51"/>
        <v>Apr-2005</v>
      </c>
      <c r="M804" s="3" t="s">
        <v>566</v>
      </c>
      <c r="N804" s="3" t="s">
        <v>104</v>
      </c>
      <c r="O804" s="3" t="s">
        <v>32</v>
      </c>
      <c r="P804" s="3" t="s">
        <v>33</v>
      </c>
      <c r="Q804" s="3" t="s">
        <v>51</v>
      </c>
    </row>
    <row r="805" spans="1:17" x14ac:dyDescent="0.25">
      <c r="A805" s="5">
        <v>10416</v>
      </c>
      <c r="B805" s="5">
        <v>15</v>
      </c>
      <c r="C805" s="5">
        <v>98.84</v>
      </c>
      <c r="D805" s="5">
        <v>1482.6000000000001</v>
      </c>
      <c r="E805" s="5" t="str">
        <f t="shared" si="49"/>
        <v>Low</v>
      </c>
      <c r="F805" s="5">
        <f t="shared" si="50"/>
        <v>444.78000000000003</v>
      </c>
      <c r="G805" s="6">
        <v>38482</v>
      </c>
      <c r="H805" s="5" t="s">
        <v>25</v>
      </c>
      <c r="I805" s="5" t="str">
        <f t="shared" si="48"/>
        <v>Yes</v>
      </c>
      <c r="J805" s="5" t="s">
        <v>682</v>
      </c>
      <c r="K805" s="5">
        <v>2005</v>
      </c>
      <c r="L805" s="5" t="str">
        <f t="shared" si="51"/>
        <v>May-2005</v>
      </c>
      <c r="M805" s="5" t="s">
        <v>566</v>
      </c>
      <c r="N805" s="5" t="s">
        <v>452</v>
      </c>
      <c r="O805" s="5" t="s">
        <v>258</v>
      </c>
      <c r="P805" s="5" t="s">
        <v>42</v>
      </c>
      <c r="Q805" s="5" t="s">
        <v>36</v>
      </c>
    </row>
    <row r="806" spans="1:17" x14ac:dyDescent="0.25">
      <c r="A806" s="3">
        <v>10107</v>
      </c>
      <c r="B806" s="3">
        <v>29</v>
      </c>
      <c r="C806" s="3">
        <v>70.87</v>
      </c>
      <c r="D806" s="3">
        <v>2055.23</v>
      </c>
      <c r="E806" s="3" t="str">
        <f t="shared" si="49"/>
        <v>Medium</v>
      </c>
      <c r="F806" s="3">
        <f t="shared" si="50"/>
        <v>616.56899999999996</v>
      </c>
      <c r="G806" s="4">
        <v>37676</v>
      </c>
      <c r="H806" s="3" t="s">
        <v>25</v>
      </c>
      <c r="I806" s="3" t="str">
        <f t="shared" si="48"/>
        <v>Yes</v>
      </c>
      <c r="J806" s="3" t="s">
        <v>681</v>
      </c>
      <c r="K806" s="3">
        <v>2003</v>
      </c>
      <c r="L806" s="3" t="str">
        <f t="shared" si="51"/>
        <v>Feb-2003</v>
      </c>
      <c r="M806" s="3" t="s">
        <v>26</v>
      </c>
      <c r="N806" s="3" t="s">
        <v>28</v>
      </c>
      <c r="O806" s="3" t="s">
        <v>32</v>
      </c>
      <c r="P806" s="3" t="s">
        <v>33</v>
      </c>
      <c r="Q806" s="3" t="s">
        <v>36</v>
      </c>
    </row>
    <row r="807" spans="1:17" x14ac:dyDescent="0.25">
      <c r="A807" s="5">
        <v>10120</v>
      </c>
      <c r="B807" s="5">
        <v>46</v>
      </c>
      <c r="C807" s="5">
        <v>58.15</v>
      </c>
      <c r="D807" s="5">
        <v>2674.9</v>
      </c>
      <c r="E807" s="5" t="str">
        <f t="shared" si="49"/>
        <v>Medium</v>
      </c>
      <c r="F807" s="5">
        <f t="shared" si="50"/>
        <v>802.47</v>
      </c>
      <c r="G807" s="6">
        <v>37740</v>
      </c>
      <c r="H807" s="5" t="s">
        <v>25</v>
      </c>
      <c r="I807" s="5" t="str">
        <f t="shared" si="48"/>
        <v>Yes</v>
      </c>
      <c r="J807" s="5" t="s">
        <v>688</v>
      </c>
      <c r="K807" s="5">
        <v>2003</v>
      </c>
      <c r="L807" s="5" t="str">
        <f t="shared" si="51"/>
        <v>Apr-2003</v>
      </c>
      <c r="M807" s="5" t="s">
        <v>26</v>
      </c>
      <c r="N807" s="5" t="s">
        <v>89</v>
      </c>
      <c r="O807" s="5" t="s">
        <v>95</v>
      </c>
      <c r="P807" s="5" t="s">
        <v>96</v>
      </c>
      <c r="Q807" s="5" t="s">
        <v>36</v>
      </c>
    </row>
    <row r="808" spans="1:17" x14ac:dyDescent="0.25">
      <c r="A808" s="3">
        <v>10134</v>
      </c>
      <c r="B808" s="3">
        <v>30</v>
      </c>
      <c r="C808" s="3">
        <v>61.78</v>
      </c>
      <c r="D808" s="3">
        <v>1853.4</v>
      </c>
      <c r="E808" s="3" t="str">
        <f t="shared" si="49"/>
        <v>Low</v>
      </c>
      <c r="F808" s="3">
        <f t="shared" si="50"/>
        <v>556.02</v>
      </c>
      <c r="G808" s="4">
        <v>37803</v>
      </c>
      <c r="H808" s="3" t="s">
        <v>25</v>
      </c>
      <c r="I808" s="3" t="str">
        <f t="shared" si="48"/>
        <v>Yes</v>
      </c>
      <c r="J808" s="3" t="s">
        <v>683</v>
      </c>
      <c r="K808" s="3">
        <v>2003</v>
      </c>
      <c r="L808" s="3" t="str">
        <f t="shared" si="51"/>
        <v>Jul-2003</v>
      </c>
      <c r="M808" s="3" t="s">
        <v>26</v>
      </c>
      <c r="N808" s="3" t="s">
        <v>45</v>
      </c>
      <c r="O808" s="3" t="s">
        <v>41</v>
      </c>
      <c r="P808" s="3" t="s">
        <v>42</v>
      </c>
      <c r="Q808" s="3" t="s">
        <v>36</v>
      </c>
    </row>
    <row r="809" spans="1:17" x14ac:dyDescent="0.25">
      <c r="A809" s="5">
        <v>10145</v>
      </c>
      <c r="B809" s="5">
        <v>30</v>
      </c>
      <c r="C809" s="5">
        <v>49.67</v>
      </c>
      <c r="D809" s="5">
        <v>1490.1000000000001</v>
      </c>
      <c r="E809" s="5" t="str">
        <f t="shared" si="49"/>
        <v>Low</v>
      </c>
      <c r="F809" s="5">
        <f t="shared" si="50"/>
        <v>447.03000000000003</v>
      </c>
      <c r="G809" s="6">
        <v>37858</v>
      </c>
      <c r="H809" s="5" t="s">
        <v>25</v>
      </c>
      <c r="I809" s="5" t="str">
        <f t="shared" si="48"/>
        <v>Yes</v>
      </c>
      <c r="J809" s="5" t="s">
        <v>684</v>
      </c>
      <c r="K809" s="5">
        <v>2003</v>
      </c>
      <c r="L809" s="5" t="str">
        <f t="shared" si="51"/>
        <v>Aug-2003</v>
      </c>
      <c r="M809" s="5" t="s">
        <v>26</v>
      </c>
      <c r="N809" s="5" t="s">
        <v>52</v>
      </c>
      <c r="O809" s="5" t="s">
        <v>32</v>
      </c>
      <c r="P809" s="5" t="s">
        <v>33</v>
      </c>
      <c r="Q809" s="5" t="s">
        <v>36</v>
      </c>
    </row>
    <row r="810" spans="1:17" x14ac:dyDescent="0.25">
      <c r="A810" s="3">
        <v>10159</v>
      </c>
      <c r="B810" s="3">
        <v>42</v>
      </c>
      <c r="C810" s="3">
        <v>51.48</v>
      </c>
      <c r="D810" s="3">
        <v>2162.16</v>
      </c>
      <c r="E810" s="3" t="str">
        <f t="shared" si="49"/>
        <v>Medium</v>
      </c>
      <c r="F810" s="3">
        <f t="shared" si="50"/>
        <v>648.64799999999991</v>
      </c>
      <c r="G810" s="4">
        <v>37904</v>
      </c>
      <c r="H810" s="3" t="s">
        <v>25</v>
      </c>
      <c r="I810" s="3" t="str">
        <f t="shared" si="48"/>
        <v>Yes</v>
      </c>
      <c r="J810" s="3" t="s">
        <v>685</v>
      </c>
      <c r="K810" s="3">
        <v>2003</v>
      </c>
      <c r="L810" s="3" t="str">
        <f t="shared" si="51"/>
        <v>Oct-2003</v>
      </c>
      <c r="M810" s="3" t="s">
        <v>26</v>
      </c>
      <c r="N810" s="3" t="s">
        <v>58</v>
      </c>
      <c r="O810" s="3" t="s">
        <v>32</v>
      </c>
      <c r="P810" s="3" t="s">
        <v>33</v>
      </c>
      <c r="Q810" s="3" t="s">
        <v>36</v>
      </c>
    </row>
    <row r="811" spans="1:17" x14ac:dyDescent="0.25">
      <c r="A811" s="5">
        <v>10168</v>
      </c>
      <c r="B811" s="5">
        <v>46</v>
      </c>
      <c r="C811" s="5">
        <v>61.18</v>
      </c>
      <c r="D811" s="5">
        <v>2814.28</v>
      </c>
      <c r="E811" s="5" t="str">
        <f t="shared" si="49"/>
        <v>Medium</v>
      </c>
      <c r="F811" s="5">
        <f t="shared" si="50"/>
        <v>844.28399999999999</v>
      </c>
      <c r="G811" s="6">
        <v>37922</v>
      </c>
      <c r="H811" s="5" t="s">
        <v>25</v>
      </c>
      <c r="I811" s="5" t="str">
        <f t="shared" si="48"/>
        <v>Yes</v>
      </c>
      <c r="J811" s="5" t="s">
        <v>685</v>
      </c>
      <c r="K811" s="5">
        <v>2003</v>
      </c>
      <c r="L811" s="5" t="str">
        <f t="shared" si="51"/>
        <v>Oct-2003</v>
      </c>
      <c r="M811" s="5" t="s">
        <v>26</v>
      </c>
      <c r="N811" s="5" t="s">
        <v>62</v>
      </c>
      <c r="O811" s="5" t="s">
        <v>32</v>
      </c>
      <c r="P811" s="5" t="s">
        <v>33</v>
      </c>
      <c r="Q811" s="5" t="s">
        <v>36</v>
      </c>
    </row>
    <row r="812" spans="1:17" x14ac:dyDescent="0.25">
      <c r="A812" s="3">
        <v>10180</v>
      </c>
      <c r="B812" s="3">
        <v>25</v>
      </c>
      <c r="C812" s="3">
        <v>64.2</v>
      </c>
      <c r="D812" s="3">
        <v>1605</v>
      </c>
      <c r="E812" s="3" t="str">
        <f t="shared" si="49"/>
        <v>Low</v>
      </c>
      <c r="F812" s="3">
        <f t="shared" si="50"/>
        <v>481.5</v>
      </c>
      <c r="G812" s="4">
        <v>37936</v>
      </c>
      <c r="H812" s="3" t="s">
        <v>25</v>
      </c>
      <c r="I812" s="3" t="str">
        <f t="shared" si="48"/>
        <v>Yes</v>
      </c>
      <c r="J812" s="3" t="s">
        <v>686</v>
      </c>
      <c r="K812" s="3">
        <v>2003</v>
      </c>
      <c r="L812" s="3" t="str">
        <f t="shared" si="51"/>
        <v>Nov-2003</v>
      </c>
      <c r="M812" s="3" t="s">
        <v>26</v>
      </c>
      <c r="N812" s="3" t="s">
        <v>67</v>
      </c>
      <c r="O812" s="3" t="s">
        <v>41</v>
      </c>
      <c r="P812" s="3" t="s">
        <v>42</v>
      </c>
      <c r="Q812" s="3" t="s">
        <v>36</v>
      </c>
    </row>
    <row r="813" spans="1:17" x14ac:dyDescent="0.25">
      <c r="A813" s="5">
        <v>10188</v>
      </c>
      <c r="B813" s="5">
        <v>32</v>
      </c>
      <c r="C813" s="5">
        <v>65.42</v>
      </c>
      <c r="D813" s="5">
        <v>2093.44</v>
      </c>
      <c r="E813" s="5" t="str">
        <f t="shared" si="49"/>
        <v>Medium</v>
      </c>
      <c r="F813" s="5">
        <f t="shared" si="50"/>
        <v>628.03200000000004</v>
      </c>
      <c r="G813" s="6">
        <v>37943</v>
      </c>
      <c r="H813" s="5" t="s">
        <v>25</v>
      </c>
      <c r="I813" s="5" t="str">
        <f t="shared" si="48"/>
        <v>Yes</v>
      </c>
      <c r="J813" s="5" t="s">
        <v>686</v>
      </c>
      <c r="K813" s="5">
        <v>2003</v>
      </c>
      <c r="L813" s="5" t="str">
        <f t="shared" si="51"/>
        <v>Nov-2003</v>
      </c>
      <c r="M813" s="5" t="s">
        <v>26</v>
      </c>
      <c r="N813" s="5" t="s">
        <v>73</v>
      </c>
      <c r="O813" s="5" t="s">
        <v>78</v>
      </c>
      <c r="P813" s="5" t="s">
        <v>42</v>
      </c>
      <c r="Q813" s="5" t="s">
        <v>36</v>
      </c>
    </row>
    <row r="814" spans="1:17" x14ac:dyDescent="0.25">
      <c r="A814" s="3">
        <v>10201</v>
      </c>
      <c r="B814" s="3">
        <v>30</v>
      </c>
      <c r="C814" s="3">
        <v>64.81</v>
      </c>
      <c r="D814" s="3">
        <v>1944.3000000000002</v>
      </c>
      <c r="E814" s="3" t="str">
        <f t="shared" si="49"/>
        <v>Low</v>
      </c>
      <c r="F814" s="3">
        <f t="shared" si="50"/>
        <v>583.29000000000008</v>
      </c>
      <c r="G814" s="4">
        <v>37956</v>
      </c>
      <c r="H814" s="3" t="s">
        <v>25</v>
      </c>
      <c r="I814" s="3" t="str">
        <f t="shared" si="48"/>
        <v>Yes</v>
      </c>
      <c r="J814" s="3" t="s">
        <v>687</v>
      </c>
      <c r="K814" s="3">
        <v>2003</v>
      </c>
      <c r="L814" s="3" t="str">
        <f t="shared" si="51"/>
        <v>Dec-2003</v>
      </c>
      <c r="M814" s="3" t="s">
        <v>26</v>
      </c>
      <c r="N814" s="3" t="s">
        <v>81</v>
      </c>
      <c r="O814" s="3" t="s">
        <v>32</v>
      </c>
      <c r="P814" s="3" t="s">
        <v>33</v>
      </c>
      <c r="Q814" s="3" t="s">
        <v>36</v>
      </c>
    </row>
    <row r="815" spans="1:17" x14ac:dyDescent="0.25">
      <c r="A815" s="5">
        <v>10210</v>
      </c>
      <c r="B815" s="5">
        <v>40</v>
      </c>
      <c r="C815" s="5">
        <v>49.67</v>
      </c>
      <c r="D815" s="5">
        <v>1986.8000000000002</v>
      </c>
      <c r="E815" s="5" t="str">
        <f t="shared" si="49"/>
        <v>Low</v>
      </c>
      <c r="F815" s="5">
        <f t="shared" si="50"/>
        <v>596.04000000000008</v>
      </c>
      <c r="G815" s="6">
        <v>37998</v>
      </c>
      <c r="H815" s="5" t="s">
        <v>25</v>
      </c>
      <c r="I815" s="5" t="str">
        <f t="shared" si="48"/>
        <v>Yes</v>
      </c>
      <c r="J815" s="5" t="s">
        <v>549</v>
      </c>
      <c r="K815" s="5">
        <v>2004</v>
      </c>
      <c r="L815" s="5" t="str">
        <f t="shared" si="51"/>
        <v>Jan-2004</v>
      </c>
      <c r="M815" s="5" t="s">
        <v>26</v>
      </c>
      <c r="N815" s="5" t="s">
        <v>302</v>
      </c>
      <c r="O815" s="5" t="s">
        <v>200</v>
      </c>
      <c r="P815" s="5" t="s">
        <v>675</v>
      </c>
      <c r="Q815" s="5" t="s">
        <v>36</v>
      </c>
    </row>
    <row r="816" spans="1:17" x14ac:dyDescent="0.25">
      <c r="A816" s="3">
        <v>10223</v>
      </c>
      <c r="B816" s="3">
        <v>28</v>
      </c>
      <c r="C816" s="3">
        <v>60.57</v>
      </c>
      <c r="D816" s="3">
        <v>1695.96</v>
      </c>
      <c r="E816" s="3" t="str">
        <f t="shared" si="49"/>
        <v>Low</v>
      </c>
      <c r="F816" s="3">
        <f t="shared" si="50"/>
        <v>508.78800000000001</v>
      </c>
      <c r="G816" s="4">
        <v>38037</v>
      </c>
      <c r="H816" s="3" t="s">
        <v>25</v>
      </c>
      <c r="I816" s="3" t="str">
        <f t="shared" si="48"/>
        <v>Yes</v>
      </c>
      <c r="J816" s="3" t="s">
        <v>681</v>
      </c>
      <c r="K816" s="3">
        <v>2004</v>
      </c>
      <c r="L816" s="3" t="str">
        <f t="shared" si="51"/>
        <v>Feb-2004</v>
      </c>
      <c r="M816" s="3" t="s">
        <v>26</v>
      </c>
      <c r="N816" s="3" t="s">
        <v>89</v>
      </c>
      <c r="O816" s="3" t="s">
        <v>95</v>
      </c>
      <c r="P816" s="3" t="s">
        <v>96</v>
      </c>
      <c r="Q816" s="3" t="s">
        <v>36</v>
      </c>
    </row>
    <row r="817" spans="1:17" x14ac:dyDescent="0.25">
      <c r="A817" s="5">
        <v>10236</v>
      </c>
      <c r="B817" s="5">
        <v>23</v>
      </c>
      <c r="C817" s="5">
        <v>55.72</v>
      </c>
      <c r="D817" s="5">
        <v>1281.56</v>
      </c>
      <c r="E817" s="5" t="str">
        <f t="shared" si="49"/>
        <v>Low</v>
      </c>
      <c r="F817" s="5">
        <f t="shared" si="50"/>
        <v>384.46799999999996</v>
      </c>
      <c r="G817" s="6">
        <v>38080</v>
      </c>
      <c r="H817" s="5" t="s">
        <v>25</v>
      </c>
      <c r="I817" s="5" t="str">
        <f t="shared" si="48"/>
        <v>Yes</v>
      </c>
      <c r="J817" s="5" t="s">
        <v>688</v>
      </c>
      <c r="K817" s="5">
        <v>2004</v>
      </c>
      <c r="L817" s="5" t="str">
        <f t="shared" si="51"/>
        <v>Apr-2004</v>
      </c>
      <c r="M817" s="5" t="s">
        <v>26</v>
      </c>
      <c r="N817" s="5" t="s">
        <v>309</v>
      </c>
      <c r="O817" s="5" t="s">
        <v>32</v>
      </c>
      <c r="P817" s="5" t="s">
        <v>33</v>
      </c>
      <c r="Q817" s="5" t="s">
        <v>36</v>
      </c>
    </row>
    <row r="818" spans="1:17" x14ac:dyDescent="0.25">
      <c r="A818" s="3">
        <v>10251</v>
      </c>
      <c r="B818" s="3">
        <v>29</v>
      </c>
      <c r="C818" s="3">
        <v>61.18</v>
      </c>
      <c r="D818" s="3">
        <v>1774.22</v>
      </c>
      <c r="E818" s="3" t="str">
        <f t="shared" si="49"/>
        <v>Low</v>
      </c>
      <c r="F818" s="3">
        <f t="shared" si="50"/>
        <v>532.26599999999996</v>
      </c>
      <c r="G818" s="4">
        <v>38125</v>
      </c>
      <c r="H818" s="3" t="s">
        <v>25</v>
      </c>
      <c r="I818" s="3" t="str">
        <f t="shared" si="48"/>
        <v>Yes</v>
      </c>
      <c r="J818" s="3" t="s">
        <v>682</v>
      </c>
      <c r="K818" s="3">
        <v>2004</v>
      </c>
      <c r="L818" s="3" t="str">
        <f t="shared" si="51"/>
        <v>May-2004</v>
      </c>
      <c r="M818" s="3" t="s">
        <v>26</v>
      </c>
      <c r="N818" s="3" t="s">
        <v>104</v>
      </c>
      <c r="O818" s="3" t="s">
        <v>32</v>
      </c>
      <c r="P818" s="3" t="s">
        <v>33</v>
      </c>
      <c r="Q818" s="3" t="s">
        <v>36</v>
      </c>
    </row>
    <row r="819" spans="1:17" x14ac:dyDescent="0.25">
      <c r="A819" s="5">
        <v>10263</v>
      </c>
      <c r="B819" s="5">
        <v>34</v>
      </c>
      <c r="C819" s="5">
        <v>58.75</v>
      </c>
      <c r="D819" s="5">
        <v>1997.5</v>
      </c>
      <c r="E819" s="5" t="str">
        <f t="shared" si="49"/>
        <v>Low</v>
      </c>
      <c r="F819" s="5">
        <f t="shared" si="50"/>
        <v>599.25</v>
      </c>
      <c r="G819" s="6">
        <v>38166</v>
      </c>
      <c r="H819" s="5" t="s">
        <v>25</v>
      </c>
      <c r="I819" s="5" t="str">
        <f t="shared" si="48"/>
        <v>Yes</v>
      </c>
      <c r="J819" s="5" t="s">
        <v>689</v>
      </c>
      <c r="K819" s="5">
        <v>2004</v>
      </c>
      <c r="L819" s="5" t="str">
        <f t="shared" si="51"/>
        <v>Jun-2004</v>
      </c>
      <c r="M819" s="5" t="s">
        <v>26</v>
      </c>
      <c r="N819" s="5" t="s">
        <v>109</v>
      </c>
      <c r="O819" s="5" t="s">
        <v>32</v>
      </c>
      <c r="P819" s="5" t="s">
        <v>33</v>
      </c>
      <c r="Q819" s="5" t="s">
        <v>36</v>
      </c>
    </row>
    <row r="820" spans="1:17" x14ac:dyDescent="0.25">
      <c r="A820" s="3">
        <v>10275</v>
      </c>
      <c r="B820" s="3">
        <v>37</v>
      </c>
      <c r="C820" s="3">
        <v>63.6</v>
      </c>
      <c r="D820" s="3">
        <v>2353.2000000000003</v>
      </c>
      <c r="E820" s="3" t="str">
        <f t="shared" si="49"/>
        <v>Medium</v>
      </c>
      <c r="F820" s="3">
        <f t="shared" si="50"/>
        <v>705.96</v>
      </c>
      <c r="G820" s="4">
        <v>38191</v>
      </c>
      <c r="H820" s="3" t="s">
        <v>25</v>
      </c>
      <c r="I820" s="3" t="str">
        <f t="shared" si="48"/>
        <v>Yes</v>
      </c>
      <c r="J820" s="3" t="s">
        <v>683</v>
      </c>
      <c r="K820" s="3">
        <v>2004</v>
      </c>
      <c r="L820" s="3" t="str">
        <f t="shared" si="51"/>
        <v>Jul-2004</v>
      </c>
      <c r="M820" s="3" t="s">
        <v>26</v>
      </c>
      <c r="N820" s="3" t="s">
        <v>114</v>
      </c>
      <c r="O820" s="3" t="s">
        <v>41</v>
      </c>
      <c r="P820" s="3" t="s">
        <v>42</v>
      </c>
      <c r="Q820" s="3" t="s">
        <v>36</v>
      </c>
    </row>
    <row r="821" spans="1:17" x14ac:dyDescent="0.25">
      <c r="A821" s="5">
        <v>10285</v>
      </c>
      <c r="B821" s="5">
        <v>20</v>
      </c>
      <c r="C821" s="5">
        <v>49.06</v>
      </c>
      <c r="D821" s="5">
        <v>981.2</v>
      </c>
      <c r="E821" s="5" t="str">
        <f t="shared" si="49"/>
        <v>Low</v>
      </c>
      <c r="F821" s="5">
        <f t="shared" si="50"/>
        <v>294.36</v>
      </c>
      <c r="G821" s="6">
        <v>38226</v>
      </c>
      <c r="H821" s="5" t="s">
        <v>25</v>
      </c>
      <c r="I821" s="5" t="str">
        <f t="shared" si="48"/>
        <v>Yes</v>
      </c>
      <c r="J821" s="5" t="s">
        <v>684</v>
      </c>
      <c r="K821" s="5">
        <v>2004</v>
      </c>
      <c r="L821" s="5" t="str">
        <f t="shared" si="51"/>
        <v>Aug-2004</v>
      </c>
      <c r="M821" s="5" t="s">
        <v>26</v>
      </c>
      <c r="N821" s="5" t="s">
        <v>120</v>
      </c>
      <c r="O821" s="5" t="s">
        <v>32</v>
      </c>
      <c r="P821" s="5" t="s">
        <v>33</v>
      </c>
      <c r="Q821" s="5" t="s">
        <v>36</v>
      </c>
    </row>
    <row r="822" spans="1:17" x14ac:dyDescent="0.25">
      <c r="A822" s="3">
        <v>10298</v>
      </c>
      <c r="B822" s="3">
        <v>32</v>
      </c>
      <c r="C822" s="3">
        <v>48.46</v>
      </c>
      <c r="D822" s="3">
        <v>1550.72</v>
      </c>
      <c r="E822" s="3" t="str">
        <f t="shared" si="49"/>
        <v>Low</v>
      </c>
      <c r="F822" s="3">
        <f t="shared" si="50"/>
        <v>465.21600000000001</v>
      </c>
      <c r="G822" s="4">
        <v>38257</v>
      </c>
      <c r="H822" s="3" t="s">
        <v>25</v>
      </c>
      <c r="I822" s="3" t="str">
        <f t="shared" si="48"/>
        <v>Yes</v>
      </c>
      <c r="J822" s="3" t="s">
        <v>690</v>
      </c>
      <c r="K822" s="3">
        <v>2004</v>
      </c>
      <c r="L822" s="3" t="str">
        <f t="shared" si="51"/>
        <v>Sep-2004</v>
      </c>
      <c r="M822" s="3" t="s">
        <v>26</v>
      </c>
      <c r="N822" s="3" t="s">
        <v>312</v>
      </c>
      <c r="O822" s="3" t="s">
        <v>41</v>
      </c>
      <c r="P822" s="3" t="s">
        <v>42</v>
      </c>
      <c r="Q822" s="3" t="s">
        <v>36</v>
      </c>
    </row>
    <row r="823" spans="1:17" x14ac:dyDescent="0.25">
      <c r="A823" s="5">
        <v>10308</v>
      </c>
      <c r="B823" s="5">
        <v>34</v>
      </c>
      <c r="C823" s="5">
        <v>52.09</v>
      </c>
      <c r="D823" s="5">
        <v>1771.0600000000002</v>
      </c>
      <c r="E823" s="5" t="str">
        <f t="shared" si="49"/>
        <v>Low</v>
      </c>
      <c r="F823" s="5">
        <f t="shared" si="50"/>
        <v>531.31799999999998</v>
      </c>
      <c r="G823" s="6">
        <v>38275</v>
      </c>
      <c r="H823" s="5" t="s">
        <v>25</v>
      </c>
      <c r="I823" s="5" t="str">
        <f t="shared" si="48"/>
        <v>Yes</v>
      </c>
      <c r="J823" s="5" t="s">
        <v>685</v>
      </c>
      <c r="K823" s="5">
        <v>2004</v>
      </c>
      <c r="L823" s="5" t="str">
        <f t="shared" si="51"/>
        <v>Oct-2004</v>
      </c>
      <c r="M823" s="5" t="s">
        <v>26</v>
      </c>
      <c r="N823" s="5" t="s">
        <v>317</v>
      </c>
      <c r="O823" s="5" t="s">
        <v>32</v>
      </c>
      <c r="P823" s="5" t="s">
        <v>33</v>
      </c>
      <c r="Q823" s="5" t="s">
        <v>36</v>
      </c>
    </row>
    <row r="824" spans="1:17" x14ac:dyDescent="0.25">
      <c r="A824" s="3">
        <v>10318</v>
      </c>
      <c r="B824" s="3">
        <v>42</v>
      </c>
      <c r="C824" s="3">
        <v>52.7</v>
      </c>
      <c r="D824" s="3">
        <v>2213.4</v>
      </c>
      <c r="E824" s="3" t="str">
        <f t="shared" si="49"/>
        <v>Medium</v>
      </c>
      <c r="F824" s="3">
        <f t="shared" si="50"/>
        <v>664.02</v>
      </c>
      <c r="G824" s="4">
        <v>38293</v>
      </c>
      <c r="H824" s="3" t="s">
        <v>25</v>
      </c>
      <c r="I824" s="3" t="str">
        <f t="shared" si="48"/>
        <v>Yes</v>
      </c>
      <c r="J824" s="3" t="s">
        <v>686</v>
      </c>
      <c r="K824" s="3">
        <v>2004</v>
      </c>
      <c r="L824" s="3" t="str">
        <f t="shared" si="51"/>
        <v>Nov-2004</v>
      </c>
      <c r="M824" s="3" t="s">
        <v>26</v>
      </c>
      <c r="N824" s="3" t="s">
        <v>139</v>
      </c>
      <c r="O824" s="3" t="s">
        <v>32</v>
      </c>
      <c r="P824" s="3" t="s">
        <v>33</v>
      </c>
      <c r="Q824" s="3" t="s">
        <v>36</v>
      </c>
    </row>
    <row r="825" spans="1:17" x14ac:dyDescent="0.25">
      <c r="A825" s="5">
        <v>10329</v>
      </c>
      <c r="B825" s="5">
        <v>38</v>
      </c>
      <c r="C825" s="5">
        <v>100</v>
      </c>
      <c r="D825" s="5">
        <v>3800</v>
      </c>
      <c r="E825" s="5" t="str">
        <f t="shared" si="49"/>
        <v>Medium</v>
      </c>
      <c r="F825" s="5">
        <f t="shared" si="50"/>
        <v>1140</v>
      </c>
      <c r="G825" s="6">
        <v>38306</v>
      </c>
      <c r="H825" s="5" t="s">
        <v>25</v>
      </c>
      <c r="I825" s="5" t="str">
        <f t="shared" si="48"/>
        <v>Yes</v>
      </c>
      <c r="J825" s="5" t="s">
        <v>686</v>
      </c>
      <c r="K825" s="5">
        <v>2004</v>
      </c>
      <c r="L825" s="5" t="str">
        <f t="shared" si="51"/>
        <v>Nov-2004</v>
      </c>
      <c r="M825" s="5" t="s">
        <v>26</v>
      </c>
      <c r="N825" s="5" t="s">
        <v>28</v>
      </c>
      <c r="O825" s="5" t="s">
        <v>32</v>
      </c>
      <c r="P825" s="5" t="s">
        <v>33</v>
      </c>
      <c r="Q825" s="5" t="s">
        <v>51</v>
      </c>
    </row>
    <row r="826" spans="1:17" x14ac:dyDescent="0.25">
      <c r="A826" s="3">
        <v>10339</v>
      </c>
      <c r="B826" s="3">
        <v>30</v>
      </c>
      <c r="C826" s="3">
        <v>62.16</v>
      </c>
      <c r="D826" s="3">
        <v>1864.8</v>
      </c>
      <c r="E826" s="3" t="str">
        <f t="shared" si="49"/>
        <v>Low</v>
      </c>
      <c r="F826" s="3">
        <f t="shared" si="50"/>
        <v>559.43999999999994</v>
      </c>
      <c r="G826" s="4">
        <v>38314</v>
      </c>
      <c r="H826" s="3" t="s">
        <v>25</v>
      </c>
      <c r="I826" s="3" t="str">
        <f t="shared" si="48"/>
        <v>Yes</v>
      </c>
      <c r="J826" s="3" t="s">
        <v>686</v>
      </c>
      <c r="K826" s="3">
        <v>2004</v>
      </c>
      <c r="L826" s="3" t="str">
        <f t="shared" si="51"/>
        <v>Nov-2004</v>
      </c>
      <c r="M826" s="3" t="s">
        <v>26</v>
      </c>
      <c r="N826" s="3" t="s">
        <v>246</v>
      </c>
      <c r="O826" s="3" t="s">
        <v>200</v>
      </c>
      <c r="P826" s="3" t="s">
        <v>675</v>
      </c>
      <c r="Q826" s="3" t="s">
        <v>36</v>
      </c>
    </row>
    <row r="827" spans="1:17" x14ac:dyDescent="0.25">
      <c r="A827" s="5">
        <v>10362</v>
      </c>
      <c r="B827" s="5">
        <v>23</v>
      </c>
      <c r="C827" s="5">
        <v>49.67</v>
      </c>
      <c r="D827" s="5">
        <v>1142.4100000000001</v>
      </c>
      <c r="E827" s="5" t="str">
        <f t="shared" si="49"/>
        <v>Low</v>
      </c>
      <c r="F827" s="5">
        <f t="shared" si="50"/>
        <v>342.72300000000001</v>
      </c>
      <c r="G827" s="6">
        <v>38357</v>
      </c>
      <c r="H827" s="5" t="s">
        <v>25</v>
      </c>
      <c r="I827" s="5" t="str">
        <f t="shared" si="48"/>
        <v>Yes</v>
      </c>
      <c r="J827" s="5" t="s">
        <v>549</v>
      </c>
      <c r="K827" s="5">
        <v>2005</v>
      </c>
      <c r="L827" s="5" t="str">
        <f t="shared" si="51"/>
        <v>Jan-2005</v>
      </c>
      <c r="M827" s="5" t="s">
        <v>26</v>
      </c>
      <c r="N827" s="5" t="s">
        <v>62</v>
      </c>
      <c r="O827" s="5" t="s">
        <v>32</v>
      </c>
      <c r="P827" s="5" t="s">
        <v>33</v>
      </c>
      <c r="Q827" s="5" t="s">
        <v>36</v>
      </c>
    </row>
    <row r="828" spans="1:17" x14ac:dyDescent="0.25">
      <c r="A828" s="3">
        <v>10374</v>
      </c>
      <c r="B828" s="3">
        <v>22</v>
      </c>
      <c r="C828" s="3">
        <v>53.3</v>
      </c>
      <c r="D828" s="3">
        <v>1172.5999999999999</v>
      </c>
      <c r="E828" s="3" t="str">
        <f t="shared" si="49"/>
        <v>Low</v>
      </c>
      <c r="F828" s="3">
        <f t="shared" si="50"/>
        <v>351.78</v>
      </c>
      <c r="G828" s="4">
        <v>38385</v>
      </c>
      <c r="H828" s="3" t="s">
        <v>25</v>
      </c>
      <c r="I828" s="3" t="str">
        <f t="shared" si="48"/>
        <v>Yes</v>
      </c>
      <c r="J828" s="3" t="s">
        <v>681</v>
      </c>
      <c r="K828" s="3">
        <v>2005</v>
      </c>
      <c r="L828" s="3" t="str">
        <f t="shared" si="51"/>
        <v>Feb-2005</v>
      </c>
      <c r="M828" s="3" t="s">
        <v>26</v>
      </c>
      <c r="N828" s="3" t="s">
        <v>207</v>
      </c>
      <c r="O828" s="3" t="s">
        <v>95</v>
      </c>
      <c r="P828" s="3" t="s">
        <v>96</v>
      </c>
      <c r="Q828" s="3" t="s">
        <v>36</v>
      </c>
    </row>
    <row r="829" spans="1:17" x14ac:dyDescent="0.25">
      <c r="A829" s="5">
        <v>10389</v>
      </c>
      <c r="B829" s="5">
        <v>39</v>
      </c>
      <c r="C829" s="5">
        <v>100</v>
      </c>
      <c r="D829" s="5">
        <v>3900</v>
      </c>
      <c r="E829" s="5" t="str">
        <f t="shared" si="49"/>
        <v>Medium</v>
      </c>
      <c r="F829" s="5">
        <f t="shared" si="50"/>
        <v>1170</v>
      </c>
      <c r="G829" s="6">
        <v>38414</v>
      </c>
      <c r="H829" s="5" t="s">
        <v>25</v>
      </c>
      <c r="I829" s="5" t="str">
        <f t="shared" si="48"/>
        <v>Yes</v>
      </c>
      <c r="J829" s="5" t="s">
        <v>691</v>
      </c>
      <c r="K829" s="5">
        <v>2005</v>
      </c>
      <c r="L829" s="5" t="str">
        <f t="shared" si="51"/>
        <v>Mar-2005</v>
      </c>
      <c r="M829" s="5" t="s">
        <v>26</v>
      </c>
      <c r="N829" s="5" t="s">
        <v>261</v>
      </c>
      <c r="O829" s="5" t="s">
        <v>188</v>
      </c>
      <c r="P829" s="5" t="s">
        <v>42</v>
      </c>
      <c r="Q829" s="5" t="s">
        <v>51</v>
      </c>
    </row>
    <row r="830" spans="1:17" x14ac:dyDescent="0.25">
      <c r="A830" s="3">
        <v>10402</v>
      </c>
      <c r="B830" s="3">
        <v>55</v>
      </c>
      <c r="C830" s="3">
        <v>55.72</v>
      </c>
      <c r="D830" s="3">
        <v>3064.6</v>
      </c>
      <c r="E830" s="3" t="str">
        <f t="shared" si="49"/>
        <v>Medium</v>
      </c>
      <c r="F830" s="3">
        <f t="shared" si="50"/>
        <v>919.38</v>
      </c>
      <c r="G830" s="4">
        <v>38449</v>
      </c>
      <c r="H830" s="3" t="s">
        <v>25</v>
      </c>
      <c r="I830" s="3" t="str">
        <f t="shared" si="48"/>
        <v>Yes</v>
      </c>
      <c r="J830" s="3" t="s">
        <v>688</v>
      </c>
      <c r="K830" s="3">
        <v>2005</v>
      </c>
      <c r="L830" s="3" t="str">
        <f t="shared" si="51"/>
        <v>Apr-2005</v>
      </c>
      <c r="M830" s="3" t="s">
        <v>26</v>
      </c>
      <c r="N830" s="3" t="s">
        <v>84</v>
      </c>
      <c r="O830" s="3" t="s">
        <v>41</v>
      </c>
      <c r="P830" s="3" t="s">
        <v>42</v>
      </c>
      <c r="Q830" s="3" t="s">
        <v>51</v>
      </c>
    </row>
    <row r="831" spans="1:17" x14ac:dyDescent="0.25">
      <c r="A831" s="5">
        <v>10417</v>
      </c>
      <c r="B831" s="5">
        <v>36</v>
      </c>
      <c r="C831" s="5">
        <v>61.18</v>
      </c>
      <c r="D831" s="5">
        <v>2202.48</v>
      </c>
      <c r="E831" s="5" t="str">
        <f t="shared" si="49"/>
        <v>Medium</v>
      </c>
      <c r="F831" s="5">
        <f t="shared" si="50"/>
        <v>660.74400000000003</v>
      </c>
      <c r="G831" s="6">
        <v>38485</v>
      </c>
      <c r="H831" s="5" t="s">
        <v>173</v>
      </c>
      <c r="I831" s="5" t="str">
        <f t="shared" si="48"/>
        <v>No</v>
      </c>
      <c r="J831" s="5" t="s">
        <v>682</v>
      </c>
      <c r="K831" s="5">
        <v>2005</v>
      </c>
      <c r="L831" s="5" t="str">
        <f t="shared" si="51"/>
        <v>May-2005</v>
      </c>
      <c r="M831" s="5" t="s">
        <v>26</v>
      </c>
      <c r="N831" s="5" t="s">
        <v>174</v>
      </c>
      <c r="O831" s="5" t="s">
        <v>178</v>
      </c>
      <c r="P831" s="5" t="s">
        <v>42</v>
      </c>
      <c r="Q831" s="5" t="s">
        <v>36</v>
      </c>
    </row>
    <row r="832" spans="1:17" x14ac:dyDescent="0.25">
      <c r="A832" s="3">
        <v>10101</v>
      </c>
      <c r="B832" s="3">
        <v>26</v>
      </c>
      <c r="C832" s="3">
        <v>100</v>
      </c>
      <c r="D832" s="3">
        <v>2600</v>
      </c>
      <c r="E832" s="3" t="str">
        <f t="shared" si="49"/>
        <v>Medium</v>
      </c>
      <c r="F832" s="3">
        <f t="shared" si="50"/>
        <v>780</v>
      </c>
      <c r="G832" s="4">
        <v>37630</v>
      </c>
      <c r="H832" s="3" t="s">
        <v>25</v>
      </c>
      <c r="I832" s="3" t="str">
        <f t="shared" si="48"/>
        <v>Yes</v>
      </c>
      <c r="J832" s="3" t="s">
        <v>549</v>
      </c>
      <c r="K832" s="3">
        <v>2003</v>
      </c>
      <c r="L832" s="3" t="str">
        <f t="shared" si="51"/>
        <v>Jan-2003</v>
      </c>
      <c r="M832" s="3" t="s">
        <v>550</v>
      </c>
      <c r="N832" s="3" t="s">
        <v>462</v>
      </c>
      <c r="O832" s="3" t="s">
        <v>443</v>
      </c>
      <c r="P832" s="3" t="s">
        <v>42</v>
      </c>
      <c r="Q832" s="3" t="s">
        <v>51</v>
      </c>
    </row>
    <row r="833" spans="1:17" x14ac:dyDescent="0.25">
      <c r="A833" s="5">
        <v>10110</v>
      </c>
      <c r="B833" s="5">
        <v>31</v>
      </c>
      <c r="C833" s="5">
        <v>100</v>
      </c>
      <c r="D833" s="5">
        <v>3100</v>
      </c>
      <c r="E833" s="5" t="str">
        <f t="shared" si="49"/>
        <v>Medium</v>
      </c>
      <c r="F833" s="5">
        <f t="shared" si="50"/>
        <v>930</v>
      </c>
      <c r="G833" s="6">
        <v>37698</v>
      </c>
      <c r="H833" s="5" t="s">
        <v>25</v>
      </c>
      <c r="I833" s="5" t="str">
        <f t="shared" si="48"/>
        <v>Yes</v>
      </c>
      <c r="J833" s="5" t="s">
        <v>691</v>
      </c>
      <c r="K833" s="5">
        <v>2003</v>
      </c>
      <c r="L833" s="5" t="str">
        <f t="shared" si="51"/>
        <v>Mar-2003</v>
      </c>
      <c r="M833" s="5" t="s">
        <v>550</v>
      </c>
      <c r="N833" s="5" t="s">
        <v>492</v>
      </c>
      <c r="O833" s="5" t="s">
        <v>170</v>
      </c>
      <c r="P833" s="5" t="s">
        <v>42</v>
      </c>
      <c r="Q833" s="5" t="s">
        <v>51</v>
      </c>
    </row>
    <row r="834" spans="1:17" x14ac:dyDescent="0.25">
      <c r="A834" s="3">
        <v>10125</v>
      </c>
      <c r="B834" s="3">
        <v>34</v>
      </c>
      <c r="C834" s="3">
        <v>100</v>
      </c>
      <c r="D834" s="3">
        <v>3400</v>
      </c>
      <c r="E834" s="3" t="str">
        <f t="shared" si="49"/>
        <v>Medium</v>
      </c>
      <c r="F834" s="3">
        <f t="shared" si="50"/>
        <v>1020</v>
      </c>
      <c r="G834" s="4">
        <v>37762</v>
      </c>
      <c r="H834" s="3" t="s">
        <v>25</v>
      </c>
      <c r="I834" s="3" t="str">
        <f t="shared" ref="I834:I897" si="52">IF(H834="Shipped","Yes","No")</f>
        <v>Yes</v>
      </c>
      <c r="J834" s="3" t="s">
        <v>682</v>
      </c>
      <c r="K834" s="3">
        <v>2003</v>
      </c>
      <c r="L834" s="3" t="str">
        <f t="shared" si="51"/>
        <v>May-2003</v>
      </c>
      <c r="M834" s="3" t="s">
        <v>550</v>
      </c>
      <c r="N834" s="3" t="s">
        <v>89</v>
      </c>
      <c r="O834" s="3" t="s">
        <v>95</v>
      </c>
      <c r="P834" s="3" t="s">
        <v>96</v>
      </c>
      <c r="Q834" s="3" t="s">
        <v>51</v>
      </c>
    </row>
    <row r="835" spans="1:17" x14ac:dyDescent="0.25">
      <c r="A835" s="5">
        <v>10139</v>
      </c>
      <c r="B835" s="5">
        <v>41</v>
      </c>
      <c r="C835" s="5">
        <v>100</v>
      </c>
      <c r="D835" s="5">
        <v>4100</v>
      </c>
      <c r="E835" s="5" t="str">
        <f t="shared" ref="E835:E898" si="53">IF(D835&gt;=5000,"High",IF(D835&gt;=2000,"Medium","Low"))</f>
        <v>Medium</v>
      </c>
      <c r="F835" s="5">
        <f t="shared" ref="F835:F898" si="54">(D835*0.3)</f>
        <v>1230</v>
      </c>
      <c r="G835" s="6">
        <v>37818</v>
      </c>
      <c r="H835" s="5" t="s">
        <v>25</v>
      </c>
      <c r="I835" s="5" t="str">
        <f t="shared" si="52"/>
        <v>Yes</v>
      </c>
      <c r="J835" s="5" t="s">
        <v>683</v>
      </c>
      <c r="K835" s="5">
        <v>2003</v>
      </c>
      <c r="L835" s="5" t="str">
        <f t="shared" ref="L835:L898" si="55">TEXT(G:G,"MMM-YYYY")</f>
        <v>Jul-2003</v>
      </c>
      <c r="M835" s="5" t="s">
        <v>550</v>
      </c>
      <c r="N835" s="5" t="s">
        <v>152</v>
      </c>
      <c r="O835" s="5" t="s">
        <v>95</v>
      </c>
      <c r="P835" s="5" t="s">
        <v>96</v>
      </c>
      <c r="Q835" s="5" t="s">
        <v>151</v>
      </c>
    </row>
    <row r="836" spans="1:17" x14ac:dyDescent="0.25">
      <c r="A836" s="3">
        <v>10149</v>
      </c>
      <c r="B836" s="3">
        <v>23</v>
      </c>
      <c r="C836" s="3">
        <v>100</v>
      </c>
      <c r="D836" s="3">
        <v>2300</v>
      </c>
      <c r="E836" s="3" t="str">
        <f t="shared" si="53"/>
        <v>Medium</v>
      </c>
      <c r="F836" s="3">
        <f t="shared" si="54"/>
        <v>690</v>
      </c>
      <c r="G836" s="4">
        <v>37876</v>
      </c>
      <c r="H836" s="3" t="s">
        <v>25</v>
      </c>
      <c r="I836" s="3" t="str">
        <f t="shared" si="52"/>
        <v>Yes</v>
      </c>
      <c r="J836" s="3" t="s">
        <v>690</v>
      </c>
      <c r="K836" s="3">
        <v>2003</v>
      </c>
      <c r="L836" s="3" t="str">
        <f t="shared" si="55"/>
        <v>Sep-2003</v>
      </c>
      <c r="M836" s="3" t="s">
        <v>550</v>
      </c>
      <c r="N836" s="3" t="s">
        <v>526</v>
      </c>
      <c r="O836" s="3" t="s">
        <v>32</v>
      </c>
      <c r="P836" s="3" t="s">
        <v>33</v>
      </c>
      <c r="Q836" s="3" t="s">
        <v>51</v>
      </c>
    </row>
    <row r="837" spans="1:17" x14ac:dyDescent="0.25">
      <c r="A837" s="5">
        <v>10162</v>
      </c>
      <c r="B837" s="5">
        <v>48</v>
      </c>
      <c r="C837" s="5">
        <v>100</v>
      </c>
      <c r="D837" s="5">
        <v>4800</v>
      </c>
      <c r="E837" s="5" t="str">
        <f t="shared" si="53"/>
        <v>Medium</v>
      </c>
      <c r="F837" s="5">
        <f t="shared" si="54"/>
        <v>1440</v>
      </c>
      <c r="G837" s="6">
        <v>37912</v>
      </c>
      <c r="H837" s="5" t="s">
        <v>25</v>
      </c>
      <c r="I837" s="5" t="str">
        <f t="shared" si="52"/>
        <v>Yes</v>
      </c>
      <c r="J837" s="5" t="s">
        <v>685</v>
      </c>
      <c r="K837" s="5">
        <v>2003</v>
      </c>
      <c r="L837" s="5" t="str">
        <f t="shared" si="55"/>
        <v>Oct-2003</v>
      </c>
      <c r="M837" s="5" t="s">
        <v>550</v>
      </c>
      <c r="N837" s="5" t="s">
        <v>58</v>
      </c>
      <c r="O837" s="5" t="s">
        <v>32</v>
      </c>
      <c r="P837" s="5" t="s">
        <v>33</v>
      </c>
      <c r="Q837" s="5" t="s">
        <v>151</v>
      </c>
    </row>
    <row r="838" spans="1:17" x14ac:dyDescent="0.25">
      <c r="A838" s="3">
        <v>10173</v>
      </c>
      <c r="B838" s="3">
        <v>22</v>
      </c>
      <c r="C838" s="3">
        <v>100</v>
      </c>
      <c r="D838" s="3">
        <v>2200</v>
      </c>
      <c r="E838" s="3" t="str">
        <f t="shared" si="53"/>
        <v>Medium</v>
      </c>
      <c r="F838" s="3">
        <f t="shared" si="54"/>
        <v>660</v>
      </c>
      <c r="G838" s="4">
        <v>37930</v>
      </c>
      <c r="H838" s="3" t="s">
        <v>25</v>
      </c>
      <c r="I838" s="3" t="str">
        <f t="shared" si="52"/>
        <v>Yes</v>
      </c>
      <c r="J838" s="3" t="s">
        <v>686</v>
      </c>
      <c r="K838" s="3">
        <v>2003</v>
      </c>
      <c r="L838" s="3" t="str">
        <f t="shared" si="55"/>
        <v>Nov-2003</v>
      </c>
      <c r="M838" s="3" t="s">
        <v>550</v>
      </c>
      <c r="N838" s="3" t="s">
        <v>552</v>
      </c>
      <c r="O838" s="3" t="s">
        <v>258</v>
      </c>
      <c r="P838" s="3" t="s">
        <v>42</v>
      </c>
      <c r="Q838" s="3" t="s">
        <v>51</v>
      </c>
    </row>
    <row r="839" spans="1:17" x14ac:dyDescent="0.25">
      <c r="A839" s="5">
        <v>10182</v>
      </c>
      <c r="B839" s="5">
        <v>21</v>
      </c>
      <c r="C839" s="5">
        <v>100</v>
      </c>
      <c r="D839" s="5">
        <v>2100</v>
      </c>
      <c r="E839" s="5" t="str">
        <f t="shared" si="53"/>
        <v>Medium</v>
      </c>
      <c r="F839" s="5">
        <f t="shared" si="54"/>
        <v>630</v>
      </c>
      <c r="G839" s="6">
        <v>37937</v>
      </c>
      <c r="H839" s="5" t="s">
        <v>25</v>
      </c>
      <c r="I839" s="5" t="str">
        <f t="shared" si="52"/>
        <v>Yes</v>
      </c>
      <c r="J839" s="5" t="s">
        <v>686</v>
      </c>
      <c r="K839" s="5">
        <v>2003</v>
      </c>
      <c r="L839" s="5" t="str">
        <f t="shared" si="55"/>
        <v>Nov-2003</v>
      </c>
      <c r="M839" s="5" t="s">
        <v>550</v>
      </c>
      <c r="N839" s="5" t="s">
        <v>272</v>
      </c>
      <c r="O839" s="5" t="s">
        <v>32</v>
      </c>
      <c r="P839" s="5" t="s">
        <v>33</v>
      </c>
      <c r="Q839" s="5" t="s">
        <v>51</v>
      </c>
    </row>
    <row r="840" spans="1:17" x14ac:dyDescent="0.25">
      <c r="A840" s="3">
        <v>10193</v>
      </c>
      <c r="B840" s="3">
        <v>22</v>
      </c>
      <c r="C840" s="3">
        <v>100</v>
      </c>
      <c r="D840" s="3">
        <v>2200</v>
      </c>
      <c r="E840" s="3" t="str">
        <f t="shared" si="53"/>
        <v>Medium</v>
      </c>
      <c r="F840" s="3">
        <f t="shared" si="54"/>
        <v>660</v>
      </c>
      <c r="G840" s="4">
        <v>37946</v>
      </c>
      <c r="H840" s="3" t="s">
        <v>25</v>
      </c>
      <c r="I840" s="3" t="str">
        <f t="shared" si="52"/>
        <v>Yes</v>
      </c>
      <c r="J840" s="3" t="s">
        <v>686</v>
      </c>
      <c r="K840" s="3">
        <v>2003</v>
      </c>
      <c r="L840" s="3" t="str">
        <f t="shared" si="55"/>
        <v>Nov-2003</v>
      </c>
      <c r="M840" s="3" t="s">
        <v>550</v>
      </c>
      <c r="N840" s="3" t="s">
        <v>558</v>
      </c>
      <c r="O840" s="3" t="s">
        <v>95</v>
      </c>
      <c r="P840" s="3" t="s">
        <v>96</v>
      </c>
      <c r="Q840" s="3" t="s">
        <v>51</v>
      </c>
    </row>
    <row r="841" spans="1:17" x14ac:dyDescent="0.25">
      <c r="A841" s="5">
        <v>10205</v>
      </c>
      <c r="B841" s="5">
        <v>40</v>
      </c>
      <c r="C841" s="5">
        <v>100</v>
      </c>
      <c r="D841" s="5">
        <v>4000</v>
      </c>
      <c r="E841" s="5" t="str">
        <f t="shared" si="53"/>
        <v>Medium</v>
      </c>
      <c r="F841" s="5">
        <f t="shared" si="54"/>
        <v>1200</v>
      </c>
      <c r="G841" s="6">
        <v>37958</v>
      </c>
      <c r="H841" s="5" t="s">
        <v>25</v>
      </c>
      <c r="I841" s="5" t="str">
        <f t="shared" si="52"/>
        <v>Yes</v>
      </c>
      <c r="J841" s="5" t="s">
        <v>687</v>
      </c>
      <c r="K841" s="5">
        <v>2003</v>
      </c>
      <c r="L841" s="5" t="str">
        <f t="shared" si="55"/>
        <v>Dec-2003</v>
      </c>
      <c r="M841" s="5" t="s">
        <v>550</v>
      </c>
      <c r="N841" s="5" t="s">
        <v>174</v>
      </c>
      <c r="O841" s="5" t="s">
        <v>178</v>
      </c>
      <c r="P841" s="5" t="s">
        <v>42</v>
      </c>
      <c r="Q841" s="5" t="s">
        <v>151</v>
      </c>
    </row>
    <row r="842" spans="1:17" x14ac:dyDescent="0.25">
      <c r="A842" s="3">
        <v>10214</v>
      </c>
      <c r="B842" s="3">
        <v>50</v>
      </c>
      <c r="C842" s="3">
        <v>100</v>
      </c>
      <c r="D842" s="3">
        <v>5000</v>
      </c>
      <c r="E842" s="3" t="str">
        <f t="shared" si="53"/>
        <v>High</v>
      </c>
      <c r="F842" s="3">
        <f t="shared" si="54"/>
        <v>1500</v>
      </c>
      <c r="G842" s="4">
        <v>38012</v>
      </c>
      <c r="H842" s="3" t="s">
        <v>25</v>
      </c>
      <c r="I842" s="3" t="str">
        <f t="shared" si="52"/>
        <v>Yes</v>
      </c>
      <c r="J842" s="3" t="s">
        <v>549</v>
      </c>
      <c r="K842" s="3">
        <v>2004</v>
      </c>
      <c r="L842" s="3" t="str">
        <f t="shared" si="55"/>
        <v>Jan-2004</v>
      </c>
      <c r="M842" s="3" t="s">
        <v>550</v>
      </c>
      <c r="N842" s="3" t="s">
        <v>191</v>
      </c>
      <c r="O842" s="3" t="s">
        <v>178</v>
      </c>
      <c r="P842" s="3" t="s">
        <v>42</v>
      </c>
      <c r="Q842" s="3" t="s">
        <v>151</v>
      </c>
    </row>
    <row r="843" spans="1:17" x14ac:dyDescent="0.25">
      <c r="A843" s="5">
        <v>10227</v>
      </c>
      <c r="B843" s="5">
        <v>29</v>
      </c>
      <c r="C843" s="5">
        <v>100</v>
      </c>
      <c r="D843" s="5">
        <v>2900</v>
      </c>
      <c r="E843" s="5" t="str">
        <f t="shared" si="53"/>
        <v>Medium</v>
      </c>
      <c r="F843" s="5">
        <f t="shared" si="54"/>
        <v>870</v>
      </c>
      <c r="G843" s="6">
        <v>38048</v>
      </c>
      <c r="H843" s="5" t="s">
        <v>25</v>
      </c>
      <c r="I843" s="5" t="str">
        <f t="shared" si="52"/>
        <v>Yes</v>
      </c>
      <c r="J843" s="5" t="s">
        <v>691</v>
      </c>
      <c r="K843" s="5">
        <v>2004</v>
      </c>
      <c r="L843" s="5" t="str">
        <f t="shared" si="55"/>
        <v>Mar-2004</v>
      </c>
      <c r="M843" s="5" t="s">
        <v>550</v>
      </c>
      <c r="N843" s="5" t="s">
        <v>219</v>
      </c>
      <c r="O843" s="5" t="s">
        <v>41</v>
      </c>
      <c r="P843" s="5" t="s">
        <v>42</v>
      </c>
      <c r="Q843" s="5" t="s">
        <v>51</v>
      </c>
    </row>
    <row r="844" spans="1:17" x14ac:dyDescent="0.25">
      <c r="A844" s="3">
        <v>10244</v>
      </c>
      <c r="B844" s="3">
        <v>43</v>
      </c>
      <c r="C844" s="3">
        <v>100</v>
      </c>
      <c r="D844" s="3">
        <v>4300</v>
      </c>
      <c r="E844" s="3" t="str">
        <f t="shared" si="53"/>
        <v>Medium</v>
      </c>
      <c r="F844" s="3">
        <f t="shared" si="54"/>
        <v>1290</v>
      </c>
      <c r="G844" s="4">
        <v>38106</v>
      </c>
      <c r="H844" s="3" t="s">
        <v>25</v>
      </c>
      <c r="I844" s="3" t="str">
        <f t="shared" si="52"/>
        <v>Yes</v>
      </c>
      <c r="J844" s="3" t="s">
        <v>688</v>
      </c>
      <c r="K844" s="3">
        <v>2004</v>
      </c>
      <c r="L844" s="3" t="str">
        <f t="shared" si="55"/>
        <v>Apr-2004</v>
      </c>
      <c r="M844" s="3" t="s">
        <v>550</v>
      </c>
      <c r="N844" s="3" t="s">
        <v>174</v>
      </c>
      <c r="O844" s="3" t="s">
        <v>178</v>
      </c>
      <c r="P844" s="3" t="s">
        <v>42</v>
      </c>
      <c r="Q844" s="3" t="s">
        <v>51</v>
      </c>
    </row>
    <row r="845" spans="1:17" x14ac:dyDescent="0.25">
      <c r="A845" s="5">
        <v>10255</v>
      </c>
      <c r="B845" s="5">
        <v>24</v>
      </c>
      <c r="C845" s="5">
        <v>100</v>
      </c>
      <c r="D845" s="5">
        <v>2400</v>
      </c>
      <c r="E845" s="5" t="str">
        <f t="shared" si="53"/>
        <v>Medium</v>
      </c>
      <c r="F845" s="5">
        <f t="shared" si="54"/>
        <v>720</v>
      </c>
      <c r="G845" s="6">
        <v>38142</v>
      </c>
      <c r="H845" s="5" t="s">
        <v>25</v>
      </c>
      <c r="I845" s="5" t="str">
        <f t="shared" si="52"/>
        <v>Yes</v>
      </c>
      <c r="J845" s="5" t="s">
        <v>689</v>
      </c>
      <c r="K845" s="5">
        <v>2004</v>
      </c>
      <c r="L845" s="5" t="str">
        <f t="shared" si="55"/>
        <v>Jun-2004</v>
      </c>
      <c r="M845" s="5" t="s">
        <v>550</v>
      </c>
      <c r="N845" s="5" t="s">
        <v>531</v>
      </c>
      <c r="O845" s="5" t="s">
        <v>41</v>
      </c>
      <c r="P845" s="5" t="s">
        <v>42</v>
      </c>
      <c r="Q845" s="5" t="s">
        <v>51</v>
      </c>
    </row>
    <row r="846" spans="1:17" x14ac:dyDescent="0.25">
      <c r="A846" s="3">
        <v>10280</v>
      </c>
      <c r="B846" s="3">
        <v>22</v>
      </c>
      <c r="C846" s="3">
        <v>100</v>
      </c>
      <c r="D846" s="3">
        <v>2200</v>
      </c>
      <c r="E846" s="3" t="str">
        <f t="shared" si="53"/>
        <v>Medium</v>
      </c>
      <c r="F846" s="3">
        <f t="shared" si="54"/>
        <v>660</v>
      </c>
      <c r="G846" s="4">
        <v>38216</v>
      </c>
      <c r="H846" s="3" t="s">
        <v>25</v>
      </c>
      <c r="I846" s="3" t="str">
        <f t="shared" si="52"/>
        <v>Yes</v>
      </c>
      <c r="J846" s="3" t="s">
        <v>684</v>
      </c>
      <c r="K846" s="3">
        <v>2004</v>
      </c>
      <c r="L846" s="3" t="str">
        <f t="shared" si="55"/>
        <v>Aug-2004</v>
      </c>
      <c r="M846" s="3" t="s">
        <v>550</v>
      </c>
      <c r="N846" s="3" t="s">
        <v>254</v>
      </c>
      <c r="O846" s="3" t="s">
        <v>258</v>
      </c>
      <c r="P846" s="3" t="s">
        <v>42</v>
      </c>
      <c r="Q846" s="3" t="s">
        <v>51</v>
      </c>
    </row>
    <row r="847" spans="1:17" x14ac:dyDescent="0.25">
      <c r="A847" s="5">
        <v>10289</v>
      </c>
      <c r="B847" s="5">
        <v>43</v>
      </c>
      <c r="C847" s="5">
        <v>100</v>
      </c>
      <c r="D847" s="5">
        <v>4300</v>
      </c>
      <c r="E847" s="5" t="str">
        <f t="shared" si="53"/>
        <v>Medium</v>
      </c>
      <c r="F847" s="5">
        <f t="shared" si="54"/>
        <v>1290</v>
      </c>
      <c r="G847" s="6">
        <v>38233</v>
      </c>
      <c r="H847" s="5" t="s">
        <v>25</v>
      </c>
      <c r="I847" s="5" t="str">
        <f t="shared" si="52"/>
        <v>Yes</v>
      </c>
      <c r="J847" s="5" t="s">
        <v>690</v>
      </c>
      <c r="K847" s="5">
        <v>2004</v>
      </c>
      <c r="L847" s="5" t="str">
        <f t="shared" si="55"/>
        <v>Sep-2004</v>
      </c>
      <c r="M847" s="5" t="s">
        <v>550</v>
      </c>
      <c r="N847" s="5" t="s">
        <v>73</v>
      </c>
      <c r="O847" s="5" t="s">
        <v>78</v>
      </c>
      <c r="P847" s="5" t="s">
        <v>42</v>
      </c>
      <c r="Q847" s="5" t="s">
        <v>151</v>
      </c>
    </row>
    <row r="848" spans="1:17" x14ac:dyDescent="0.25">
      <c r="A848" s="3">
        <v>10304</v>
      </c>
      <c r="B848" s="3">
        <v>20</v>
      </c>
      <c r="C848" s="3">
        <v>100</v>
      </c>
      <c r="D848" s="3">
        <v>2000</v>
      </c>
      <c r="E848" s="3" t="str">
        <f t="shared" si="53"/>
        <v>Medium</v>
      </c>
      <c r="F848" s="3">
        <f t="shared" si="54"/>
        <v>600</v>
      </c>
      <c r="G848" s="4">
        <v>38271</v>
      </c>
      <c r="H848" s="3" t="s">
        <v>25</v>
      </c>
      <c r="I848" s="3" t="str">
        <f t="shared" si="52"/>
        <v>Yes</v>
      </c>
      <c r="J848" s="3" t="s">
        <v>685</v>
      </c>
      <c r="K848" s="3">
        <v>2004</v>
      </c>
      <c r="L848" s="3" t="str">
        <f t="shared" si="55"/>
        <v>Oct-2004</v>
      </c>
      <c r="M848" s="3" t="s">
        <v>550</v>
      </c>
      <c r="N848" s="3" t="s">
        <v>267</v>
      </c>
      <c r="O848" s="3" t="s">
        <v>41</v>
      </c>
      <c r="P848" s="3" t="s">
        <v>42</v>
      </c>
      <c r="Q848" s="3" t="s">
        <v>51</v>
      </c>
    </row>
    <row r="849" spans="1:17" x14ac:dyDescent="0.25">
      <c r="A849" s="5">
        <v>10312</v>
      </c>
      <c r="B849" s="5">
        <v>25</v>
      </c>
      <c r="C849" s="5">
        <v>100</v>
      </c>
      <c r="D849" s="5">
        <v>2500</v>
      </c>
      <c r="E849" s="5" t="str">
        <f t="shared" si="53"/>
        <v>Medium</v>
      </c>
      <c r="F849" s="5">
        <f t="shared" si="54"/>
        <v>750</v>
      </c>
      <c r="G849" s="6">
        <v>38281</v>
      </c>
      <c r="H849" s="5" t="s">
        <v>25</v>
      </c>
      <c r="I849" s="5" t="str">
        <f t="shared" si="52"/>
        <v>Yes</v>
      </c>
      <c r="J849" s="5" t="s">
        <v>685</v>
      </c>
      <c r="K849" s="5">
        <v>2004</v>
      </c>
      <c r="L849" s="5" t="str">
        <f t="shared" si="55"/>
        <v>Oct-2004</v>
      </c>
      <c r="M849" s="5" t="s">
        <v>550</v>
      </c>
      <c r="N849" s="5" t="s">
        <v>272</v>
      </c>
      <c r="O849" s="5" t="s">
        <v>32</v>
      </c>
      <c r="P849" s="5" t="s">
        <v>33</v>
      </c>
      <c r="Q849" s="5" t="s">
        <v>51</v>
      </c>
    </row>
    <row r="850" spans="1:17" x14ac:dyDescent="0.25">
      <c r="A850" s="3">
        <v>10322</v>
      </c>
      <c r="B850" s="3">
        <v>36</v>
      </c>
      <c r="C850" s="3">
        <v>100</v>
      </c>
      <c r="D850" s="3">
        <v>3600</v>
      </c>
      <c r="E850" s="3" t="str">
        <f t="shared" si="53"/>
        <v>Medium</v>
      </c>
      <c r="F850" s="3">
        <f t="shared" si="54"/>
        <v>1080</v>
      </c>
      <c r="G850" s="4">
        <v>38295</v>
      </c>
      <c r="H850" s="3" t="s">
        <v>25</v>
      </c>
      <c r="I850" s="3" t="str">
        <f t="shared" si="52"/>
        <v>Yes</v>
      </c>
      <c r="J850" s="3" t="s">
        <v>686</v>
      </c>
      <c r="K850" s="3">
        <v>2004</v>
      </c>
      <c r="L850" s="3" t="str">
        <f t="shared" si="55"/>
        <v>Nov-2004</v>
      </c>
      <c r="M850" s="3" t="s">
        <v>550</v>
      </c>
      <c r="N850" s="3" t="s">
        <v>277</v>
      </c>
      <c r="O850" s="3" t="s">
        <v>32</v>
      </c>
      <c r="P850" s="3" t="s">
        <v>33</v>
      </c>
      <c r="Q850" s="3" t="s">
        <v>51</v>
      </c>
    </row>
    <row r="851" spans="1:17" x14ac:dyDescent="0.25">
      <c r="A851" s="5">
        <v>10332</v>
      </c>
      <c r="B851" s="5">
        <v>24</v>
      </c>
      <c r="C851" s="5">
        <v>52.67</v>
      </c>
      <c r="D851" s="5">
        <v>1264.08</v>
      </c>
      <c r="E851" s="5" t="str">
        <f t="shared" si="53"/>
        <v>Low</v>
      </c>
      <c r="F851" s="5">
        <f t="shared" si="54"/>
        <v>379.22399999999999</v>
      </c>
      <c r="G851" s="6">
        <v>38308</v>
      </c>
      <c r="H851" s="5" t="s">
        <v>25</v>
      </c>
      <c r="I851" s="5" t="str">
        <f t="shared" si="52"/>
        <v>Yes</v>
      </c>
      <c r="J851" s="5" t="s">
        <v>686</v>
      </c>
      <c r="K851" s="5">
        <v>2004</v>
      </c>
      <c r="L851" s="5" t="str">
        <f t="shared" si="55"/>
        <v>Nov-2004</v>
      </c>
      <c r="M851" s="5" t="s">
        <v>550</v>
      </c>
      <c r="N851" s="5" t="s">
        <v>492</v>
      </c>
      <c r="O851" s="5" t="s">
        <v>170</v>
      </c>
      <c r="P851" s="5" t="s">
        <v>42</v>
      </c>
      <c r="Q851" s="5" t="s">
        <v>36</v>
      </c>
    </row>
    <row r="852" spans="1:17" x14ac:dyDescent="0.25">
      <c r="A852" s="3">
        <v>10347</v>
      </c>
      <c r="B852" s="3">
        <v>21</v>
      </c>
      <c r="C852" s="3">
        <v>100</v>
      </c>
      <c r="D852" s="3">
        <v>2100</v>
      </c>
      <c r="E852" s="3" t="str">
        <f t="shared" si="53"/>
        <v>Medium</v>
      </c>
      <c r="F852" s="3">
        <f t="shared" si="54"/>
        <v>630</v>
      </c>
      <c r="G852" s="4">
        <v>38320</v>
      </c>
      <c r="H852" s="3" t="s">
        <v>25</v>
      </c>
      <c r="I852" s="3" t="str">
        <f t="shared" si="52"/>
        <v>Yes</v>
      </c>
      <c r="J852" s="3" t="s">
        <v>686</v>
      </c>
      <c r="K852" s="3">
        <v>2004</v>
      </c>
      <c r="L852" s="3" t="str">
        <f t="shared" si="55"/>
        <v>Nov-2004</v>
      </c>
      <c r="M852" s="3" t="s">
        <v>550</v>
      </c>
      <c r="N852" s="3" t="s">
        <v>89</v>
      </c>
      <c r="O852" s="3" t="s">
        <v>95</v>
      </c>
      <c r="P852" s="3" t="s">
        <v>96</v>
      </c>
      <c r="Q852" s="3" t="s">
        <v>51</v>
      </c>
    </row>
    <row r="853" spans="1:17" x14ac:dyDescent="0.25">
      <c r="A853" s="5">
        <v>10356</v>
      </c>
      <c r="B853" s="5">
        <v>30</v>
      </c>
      <c r="C853" s="5">
        <v>100</v>
      </c>
      <c r="D853" s="5">
        <v>3000</v>
      </c>
      <c r="E853" s="5" t="str">
        <f t="shared" si="53"/>
        <v>Medium</v>
      </c>
      <c r="F853" s="5">
        <f t="shared" si="54"/>
        <v>900</v>
      </c>
      <c r="G853" s="6">
        <v>38330</v>
      </c>
      <c r="H853" s="5" t="s">
        <v>25</v>
      </c>
      <c r="I853" s="5" t="str">
        <f t="shared" si="52"/>
        <v>Yes</v>
      </c>
      <c r="J853" s="5" t="s">
        <v>687</v>
      </c>
      <c r="K853" s="5">
        <v>2004</v>
      </c>
      <c r="L853" s="5" t="str">
        <f t="shared" si="55"/>
        <v>Dec-2004</v>
      </c>
      <c r="M853" s="5" t="s">
        <v>550</v>
      </c>
      <c r="N853" s="5" t="s">
        <v>45</v>
      </c>
      <c r="O853" s="5" t="s">
        <v>41</v>
      </c>
      <c r="P853" s="5" t="s">
        <v>42</v>
      </c>
      <c r="Q853" s="5" t="s">
        <v>51</v>
      </c>
    </row>
    <row r="854" spans="1:17" x14ac:dyDescent="0.25">
      <c r="A854" s="3">
        <v>10367</v>
      </c>
      <c r="B854" s="3">
        <v>32</v>
      </c>
      <c r="C854" s="3">
        <v>94.79</v>
      </c>
      <c r="D854" s="3">
        <v>3033.28</v>
      </c>
      <c r="E854" s="3" t="str">
        <f t="shared" si="53"/>
        <v>Medium</v>
      </c>
      <c r="F854" s="3">
        <f t="shared" si="54"/>
        <v>909.98400000000004</v>
      </c>
      <c r="G854" s="4">
        <v>38364</v>
      </c>
      <c r="H854" s="3" t="s">
        <v>408</v>
      </c>
      <c r="I854" s="3" t="str">
        <f t="shared" si="52"/>
        <v>No</v>
      </c>
      <c r="J854" s="3" t="s">
        <v>549</v>
      </c>
      <c r="K854" s="3">
        <v>2005</v>
      </c>
      <c r="L854" s="3" t="str">
        <f t="shared" si="55"/>
        <v>Jan-2005</v>
      </c>
      <c r="M854" s="3" t="s">
        <v>550</v>
      </c>
      <c r="N854" s="3" t="s">
        <v>52</v>
      </c>
      <c r="O854" s="3" t="s">
        <v>32</v>
      </c>
      <c r="P854" s="3" t="s">
        <v>33</v>
      </c>
      <c r="Q854" s="3" t="s">
        <v>51</v>
      </c>
    </row>
    <row r="855" spans="1:17" x14ac:dyDescent="0.25">
      <c r="A855" s="5">
        <v>10380</v>
      </c>
      <c r="B855" s="5">
        <v>21</v>
      </c>
      <c r="C855" s="5">
        <v>47.18</v>
      </c>
      <c r="D855" s="5">
        <v>990.78</v>
      </c>
      <c r="E855" s="5" t="str">
        <f t="shared" si="53"/>
        <v>Low</v>
      </c>
      <c r="F855" s="5">
        <f t="shared" si="54"/>
        <v>297.23399999999998</v>
      </c>
      <c r="G855" s="6">
        <v>38399</v>
      </c>
      <c r="H855" s="5" t="s">
        <v>25</v>
      </c>
      <c r="I855" s="5" t="str">
        <f t="shared" si="52"/>
        <v>Yes</v>
      </c>
      <c r="J855" s="5" t="s">
        <v>681</v>
      </c>
      <c r="K855" s="5">
        <v>2005</v>
      </c>
      <c r="L855" s="5" t="str">
        <f t="shared" si="55"/>
        <v>Feb-2005</v>
      </c>
      <c r="M855" s="5" t="s">
        <v>550</v>
      </c>
      <c r="N855" s="5" t="s">
        <v>174</v>
      </c>
      <c r="O855" s="5" t="s">
        <v>178</v>
      </c>
      <c r="P855" s="5" t="s">
        <v>42</v>
      </c>
      <c r="Q855" s="5" t="s">
        <v>36</v>
      </c>
    </row>
    <row r="856" spans="1:17" x14ac:dyDescent="0.25">
      <c r="A856" s="3">
        <v>10390</v>
      </c>
      <c r="B856" s="3">
        <v>26</v>
      </c>
      <c r="C856" s="3">
        <v>78.11</v>
      </c>
      <c r="D856" s="3">
        <v>2030.86</v>
      </c>
      <c r="E856" s="3" t="str">
        <f t="shared" si="53"/>
        <v>Medium</v>
      </c>
      <c r="F856" s="3">
        <f t="shared" si="54"/>
        <v>609.25799999999992</v>
      </c>
      <c r="G856" s="4">
        <v>38415</v>
      </c>
      <c r="H856" s="3" t="s">
        <v>25</v>
      </c>
      <c r="I856" s="3" t="str">
        <f t="shared" si="52"/>
        <v>Yes</v>
      </c>
      <c r="J856" s="3" t="s">
        <v>691</v>
      </c>
      <c r="K856" s="3">
        <v>2005</v>
      </c>
      <c r="L856" s="3" t="str">
        <f t="shared" si="55"/>
        <v>Mar-2005</v>
      </c>
      <c r="M856" s="3" t="s">
        <v>550</v>
      </c>
      <c r="N856" s="3" t="s">
        <v>272</v>
      </c>
      <c r="O856" s="3" t="s">
        <v>32</v>
      </c>
      <c r="P856" s="3" t="s">
        <v>33</v>
      </c>
      <c r="Q856" s="3" t="s">
        <v>36</v>
      </c>
    </row>
    <row r="857" spans="1:17" x14ac:dyDescent="0.25">
      <c r="A857" s="5">
        <v>10421</v>
      </c>
      <c r="B857" s="5">
        <v>35</v>
      </c>
      <c r="C857" s="5">
        <v>100</v>
      </c>
      <c r="D857" s="5">
        <v>3500</v>
      </c>
      <c r="E857" s="5" t="str">
        <f t="shared" si="53"/>
        <v>Medium</v>
      </c>
      <c r="F857" s="5">
        <f t="shared" si="54"/>
        <v>1050</v>
      </c>
      <c r="G857" s="6">
        <v>38501</v>
      </c>
      <c r="H857" s="5" t="s">
        <v>300</v>
      </c>
      <c r="I857" s="5" t="str">
        <f t="shared" si="52"/>
        <v>No</v>
      </c>
      <c r="J857" s="5" t="s">
        <v>682</v>
      </c>
      <c r="K857" s="5">
        <v>2005</v>
      </c>
      <c r="L857" s="5" t="str">
        <f t="shared" si="55"/>
        <v>May-2005</v>
      </c>
      <c r="M857" s="5" t="s">
        <v>550</v>
      </c>
      <c r="N857" s="5" t="s">
        <v>272</v>
      </c>
      <c r="O857" s="5" t="s">
        <v>32</v>
      </c>
      <c r="P857" s="5" t="s">
        <v>33</v>
      </c>
      <c r="Q857" s="5" t="s">
        <v>51</v>
      </c>
    </row>
    <row r="858" spans="1:17" x14ac:dyDescent="0.25">
      <c r="A858" s="3">
        <v>10109</v>
      </c>
      <c r="B858" s="3">
        <v>26</v>
      </c>
      <c r="C858" s="3">
        <v>100</v>
      </c>
      <c r="D858" s="3">
        <v>2600</v>
      </c>
      <c r="E858" s="3" t="str">
        <f t="shared" si="53"/>
        <v>Medium</v>
      </c>
      <c r="F858" s="3">
        <f t="shared" si="54"/>
        <v>780</v>
      </c>
      <c r="G858" s="4">
        <v>37690</v>
      </c>
      <c r="H858" s="3" t="s">
        <v>25</v>
      </c>
      <c r="I858" s="3" t="str">
        <f t="shared" si="52"/>
        <v>Yes</v>
      </c>
      <c r="J858" s="3" t="s">
        <v>691</v>
      </c>
      <c r="K858" s="3">
        <v>2003</v>
      </c>
      <c r="L858" s="3" t="str">
        <f t="shared" si="55"/>
        <v>Mar-2003</v>
      </c>
      <c r="M858" s="3" t="s">
        <v>181</v>
      </c>
      <c r="N858" s="3" t="s">
        <v>309</v>
      </c>
      <c r="O858" s="3" t="s">
        <v>32</v>
      </c>
      <c r="P858" s="3" t="s">
        <v>33</v>
      </c>
      <c r="Q858" s="3" t="s">
        <v>51</v>
      </c>
    </row>
    <row r="859" spans="1:17" x14ac:dyDescent="0.25">
      <c r="A859" s="5">
        <v>10123</v>
      </c>
      <c r="B859" s="5">
        <v>46</v>
      </c>
      <c r="C859" s="5">
        <v>100</v>
      </c>
      <c r="D859" s="5">
        <v>4600</v>
      </c>
      <c r="E859" s="5" t="str">
        <f t="shared" si="53"/>
        <v>Medium</v>
      </c>
      <c r="F859" s="5">
        <f t="shared" si="54"/>
        <v>1380</v>
      </c>
      <c r="G859" s="6">
        <v>37761</v>
      </c>
      <c r="H859" s="5" t="s">
        <v>25</v>
      </c>
      <c r="I859" s="5" t="str">
        <f t="shared" si="52"/>
        <v>Yes</v>
      </c>
      <c r="J859" s="5" t="s">
        <v>682</v>
      </c>
      <c r="K859" s="5">
        <v>2003</v>
      </c>
      <c r="L859" s="5" t="str">
        <f t="shared" si="55"/>
        <v>May-2003</v>
      </c>
      <c r="M859" s="5" t="s">
        <v>181</v>
      </c>
      <c r="N859" s="5" t="s">
        <v>312</v>
      </c>
      <c r="O859" s="5" t="s">
        <v>41</v>
      </c>
      <c r="P859" s="5" t="s">
        <v>42</v>
      </c>
      <c r="Q859" s="5" t="s">
        <v>51</v>
      </c>
    </row>
    <row r="860" spans="1:17" x14ac:dyDescent="0.25">
      <c r="A860" s="3">
        <v>10137</v>
      </c>
      <c r="B860" s="3">
        <v>37</v>
      </c>
      <c r="C860" s="3">
        <v>100</v>
      </c>
      <c r="D860" s="3">
        <v>3700</v>
      </c>
      <c r="E860" s="3" t="str">
        <f t="shared" si="53"/>
        <v>Medium</v>
      </c>
      <c r="F860" s="3">
        <f t="shared" si="54"/>
        <v>1110</v>
      </c>
      <c r="G860" s="4">
        <v>37812</v>
      </c>
      <c r="H860" s="3" t="s">
        <v>25</v>
      </c>
      <c r="I860" s="3" t="str">
        <f t="shared" si="52"/>
        <v>Yes</v>
      </c>
      <c r="J860" s="3" t="s">
        <v>683</v>
      </c>
      <c r="K860" s="3">
        <v>2003</v>
      </c>
      <c r="L860" s="3" t="str">
        <f t="shared" si="55"/>
        <v>Jul-2003</v>
      </c>
      <c r="M860" s="3" t="s">
        <v>181</v>
      </c>
      <c r="N860" s="3" t="s">
        <v>37</v>
      </c>
      <c r="O860" s="3" t="s">
        <v>41</v>
      </c>
      <c r="P860" s="3" t="s">
        <v>42</v>
      </c>
      <c r="Q860" s="3" t="s">
        <v>51</v>
      </c>
    </row>
    <row r="861" spans="1:17" x14ac:dyDescent="0.25">
      <c r="A861" s="5">
        <v>10148</v>
      </c>
      <c r="B861" s="5">
        <v>27</v>
      </c>
      <c r="C861" s="5">
        <v>100</v>
      </c>
      <c r="D861" s="5">
        <v>2700</v>
      </c>
      <c r="E861" s="5" t="str">
        <f t="shared" si="53"/>
        <v>Medium</v>
      </c>
      <c r="F861" s="5">
        <f t="shared" si="54"/>
        <v>810</v>
      </c>
      <c r="G861" s="6">
        <v>37875</v>
      </c>
      <c r="H861" s="5" t="s">
        <v>25</v>
      </c>
      <c r="I861" s="5" t="str">
        <f t="shared" si="52"/>
        <v>Yes</v>
      </c>
      <c r="J861" s="5" t="s">
        <v>690</v>
      </c>
      <c r="K861" s="5">
        <v>2003</v>
      </c>
      <c r="L861" s="5" t="str">
        <f t="shared" si="55"/>
        <v>Sep-2003</v>
      </c>
      <c r="M861" s="5" t="s">
        <v>181</v>
      </c>
      <c r="N861" s="5" t="s">
        <v>285</v>
      </c>
      <c r="O861" s="5" t="s">
        <v>95</v>
      </c>
      <c r="P861" s="5" t="s">
        <v>96</v>
      </c>
      <c r="Q861" s="5" t="s">
        <v>51</v>
      </c>
    </row>
    <row r="862" spans="1:17" x14ac:dyDescent="0.25">
      <c r="A862" s="3">
        <v>10161</v>
      </c>
      <c r="B862" s="3">
        <v>23</v>
      </c>
      <c r="C862" s="3">
        <v>100</v>
      </c>
      <c r="D862" s="3">
        <v>2300</v>
      </c>
      <c r="E862" s="3" t="str">
        <f t="shared" si="53"/>
        <v>Medium</v>
      </c>
      <c r="F862" s="3">
        <f t="shared" si="54"/>
        <v>690</v>
      </c>
      <c r="G862" s="4">
        <v>37911</v>
      </c>
      <c r="H862" s="3" t="s">
        <v>25</v>
      </c>
      <c r="I862" s="3" t="str">
        <f t="shared" si="52"/>
        <v>Yes</v>
      </c>
      <c r="J862" s="3" t="s">
        <v>685</v>
      </c>
      <c r="K862" s="3">
        <v>2003</v>
      </c>
      <c r="L862" s="3" t="str">
        <f t="shared" si="55"/>
        <v>Oct-2003</v>
      </c>
      <c r="M862" s="3" t="s">
        <v>181</v>
      </c>
      <c r="N862" s="3" t="s">
        <v>498</v>
      </c>
      <c r="O862" s="3" t="s">
        <v>326</v>
      </c>
      <c r="P862" s="3" t="s">
        <v>42</v>
      </c>
      <c r="Q862" s="3" t="s">
        <v>51</v>
      </c>
    </row>
    <row r="863" spans="1:17" x14ac:dyDescent="0.25">
      <c r="A863" s="5">
        <v>10172</v>
      </c>
      <c r="B863" s="5">
        <v>39</v>
      </c>
      <c r="C863" s="5">
        <v>100</v>
      </c>
      <c r="D863" s="5">
        <v>3900</v>
      </c>
      <c r="E863" s="5" t="str">
        <f t="shared" si="53"/>
        <v>Medium</v>
      </c>
      <c r="F863" s="5">
        <f t="shared" si="54"/>
        <v>1170</v>
      </c>
      <c r="G863" s="6">
        <v>37930</v>
      </c>
      <c r="H863" s="5" t="s">
        <v>25</v>
      </c>
      <c r="I863" s="5" t="str">
        <f t="shared" si="52"/>
        <v>Yes</v>
      </c>
      <c r="J863" s="5" t="s">
        <v>686</v>
      </c>
      <c r="K863" s="5">
        <v>2003</v>
      </c>
      <c r="L863" s="5" t="str">
        <f t="shared" si="55"/>
        <v>Nov-2003</v>
      </c>
      <c r="M863" s="5" t="s">
        <v>181</v>
      </c>
      <c r="N863" s="5" t="s">
        <v>109</v>
      </c>
      <c r="O863" s="5" t="s">
        <v>32</v>
      </c>
      <c r="P863" s="5" t="s">
        <v>33</v>
      </c>
      <c r="Q863" s="5" t="s">
        <v>51</v>
      </c>
    </row>
    <row r="864" spans="1:17" x14ac:dyDescent="0.25">
      <c r="A864" s="3">
        <v>10181</v>
      </c>
      <c r="B864" s="3">
        <v>27</v>
      </c>
      <c r="C864" s="3">
        <v>100</v>
      </c>
      <c r="D864" s="3">
        <v>2700</v>
      </c>
      <c r="E864" s="3" t="str">
        <f t="shared" si="53"/>
        <v>Medium</v>
      </c>
      <c r="F864" s="3">
        <f t="shared" si="54"/>
        <v>810</v>
      </c>
      <c r="G864" s="4">
        <v>37937</v>
      </c>
      <c r="H864" s="3" t="s">
        <v>25</v>
      </c>
      <c r="I864" s="3" t="str">
        <f t="shared" si="52"/>
        <v>Yes</v>
      </c>
      <c r="J864" s="3" t="s">
        <v>686</v>
      </c>
      <c r="K864" s="3">
        <v>2003</v>
      </c>
      <c r="L864" s="3" t="str">
        <f t="shared" si="55"/>
        <v>Nov-2003</v>
      </c>
      <c r="M864" s="3" t="s">
        <v>181</v>
      </c>
      <c r="N864" s="3" t="s">
        <v>73</v>
      </c>
      <c r="O864" s="3" t="s">
        <v>78</v>
      </c>
      <c r="P864" s="3" t="s">
        <v>42</v>
      </c>
      <c r="Q864" s="3" t="s">
        <v>51</v>
      </c>
    </row>
    <row r="865" spans="1:17" x14ac:dyDescent="0.25">
      <c r="A865" s="5">
        <v>10192</v>
      </c>
      <c r="B865" s="5">
        <v>38</v>
      </c>
      <c r="C865" s="5">
        <v>100</v>
      </c>
      <c r="D865" s="5">
        <v>3800</v>
      </c>
      <c r="E865" s="5" t="str">
        <f t="shared" si="53"/>
        <v>Medium</v>
      </c>
      <c r="F865" s="5">
        <f t="shared" si="54"/>
        <v>1140</v>
      </c>
      <c r="G865" s="6">
        <v>37945</v>
      </c>
      <c r="H865" s="5" t="s">
        <v>25</v>
      </c>
      <c r="I865" s="5" t="str">
        <f t="shared" si="52"/>
        <v>Yes</v>
      </c>
      <c r="J865" s="5" t="s">
        <v>686</v>
      </c>
      <c r="K865" s="5">
        <v>2003</v>
      </c>
      <c r="L865" s="5" t="str">
        <f t="shared" si="55"/>
        <v>Nov-2003</v>
      </c>
      <c r="M865" s="5" t="s">
        <v>181</v>
      </c>
      <c r="N865" s="5" t="s">
        <v>277</v>
      </c>
      <c r="O865" s="5" t="s">
        <v>32</v>
      </c>
      <c r="P865" s="5" t="s">
        <v>33</v>
      </c>
      <c r="Q865" s="5" t="s">
        <v>51</v>
      </c>
    </row>
    <row r="866" spans="1:17" x14ac:dyDescent="0.25">
      <c r="A866" s="3">
        <v>10204</v>
      </c>
      <c r="B866" s="3">
        <v>27</v>
      </c>
      <c r="C866" s="3">
        <v>100</v>
      </c>
      <c r="D866" s="3">
        <v>2700</v>
      </c>
      <c r="E866" s="3" t="str">
        <f t="shared" si="53"/>
        <v>Medium</v>
      </c>
      <c r="F866" s="3">
        <f t="shared" si="54"/>
        <v>810</v>
      </c>
      <c r="G866" s="4">
        <v>37957</v>
      </c>
      <c r="H866" s="3" t="s">
        <v>25</v>
      </c>
      <c r="I866" s="3" t="str">
        <f t="shared" si="52"/>
        <v>Yes</v>
      </c>
      <c r="J866" s="3" t="s">
        <v>687</v>
      </c>
      <c r="K866" s="3">
        <v>2003</v>
      </c>
      <c r="L866" s="3" t="str">
        <f t="shared" si="55"/>
        <v>Dec-2003</v>
      </c>
      <c r="M866" s="3" t="s">
        <v>181</v>
      </c>
      <c r="N866" s="3" t="s">
        <v>475</v>
      </c>
      <c r="O866" s="3" t="s">
        <v>32</v>
      </c>
      <c r="P866" s="3" t="s">
        <v>33</v>
      </c>
      <c r="Q866" s="3" t="s">
        <v>51</v>
      </c>
    </row>
    <row r="867" spans="1:17" x14ac:dyDescent="0.25">
      <c r="A867" s="5">
        <v>10212</v>
      </c>
      <c r="B867" s="5">
        <v>40</v>
      </c>
      <c r="C867" s="5">
        <v>100</v>
      </c>
      <c r="D867" s="5">
        <v>4000</v>
      </c>
      <c r="E867" s="5" t="str">
        <f t="shared" si="53"/>
        <v>Medium</v>
      </c>
      <c r="F867" s="5">
        <f t="shared" si="54"/>
        <v>1200</v>
      </c>
      <c r="G867" s="6">
        <v>38002</v>
      </c>
      <c r="H867" s="5" t="s">
        <v>25</v>
      </c>
      <c r="I867" s="5" t="str">
        <f t="shared" si="52"/>
        <v>Yes</v>
      </c>
      <c r="J867" s="5" t="s">
        <v>549</v>
      </c>
      <c r="K867" s="5">
        <v>2004</v>
      </c>
      <c r="L867" s="5" t="str">
        <f t="shared" si="55"/>
        <v>Jan-2004</v>
      </c>
      <c r="M867" s="5" t="s">
        <v>181</v>
      </c>
      <c r="N867" s="5" t="s">
        <v>174</v>
      </c>
      <c r="O867" s="5" t="s">
        <v>178</v>
      </c>
      <c r="P867" s="5" t="s">
        <v>42</v>
      </c>
      <c r="Q867" s="5" t="s">
        <v>51</v>
      </c>
    </row>
    <row r="868" spans="1:17" x14ac:dyDescent="0.25">
      <c r="A868" s="3">
        <v>10226</v>
      </c>
      <c r="B868" s="3">
        <v>24</v>
      </c>
      <c r="C868" s="3">
        <v>100</v>
      </c>
      <c r="D868" s="3">
        <v>2400</v>
      </c>
      <c r="E868" s="3" t="str">
        <f t="shared" si="53"/>
        <v>Medium</v>
      </c>
      <c r="F868" s="3">
        <f t="shared" si="54"/>
        <v>720</v>
      </c>
      <c r="G868" s="4">
        <v>38043</v>
      </c>
      <c r="H868" s="3" t="s">
        <v>25</v>
      </c>
      <c r="I868" s="3" t="str">
        <f t="shared" si="52"/>
        <v>Yes</v>
      </c>
      <c r="J868" s="3" t="s">
        <v>681</v>
      </c>
      <c r="K868" s="3">
        <v>2004</v>
      </c>
      <c r="L868" s="3" t="str">
        <f t="shared" si="55"/>
        <v>Feb-2004</v>
      </c>
      <c r="M868" s="3" t="s">
        <v>181</v>
      </c>
      <c r="N868" s="3" t="s">
        <v>362</v>
      </c>
      <c r="O868" s="3" t="s">
        <v>32</v>
      </c>
      <c r="P868" s="3" t="s">
        <v>33</v>
      </c>
      <c r="Q868" s="3" t="s">
        <v>51</v>
      </c>
    </row>
    <row r="869" spans="1:17" x14ac:dyDescent="0.25">
      <c r="A869" s="5">
        <v>10241</v>
      </c>
      <c r="B869" s="5">
        <v>44</v>
      </c>
      <c r="C869" s="5">
        <v>100</v>
      </c>
      <c r="D869" s="5">
        <v>4400</v>
      </c>
      <c r="E869" s="5" t="str">
        <f t="shared" si="53"/>
        <v>Medium</v>
      </c>
      <c r="F869" s="5">
        <f t="shared" si="54"/>
        <v>1320</v>
      </c>
      <c r="G869" s="6">
        <v>38090</v>
      </c>
      <c r="H869" s="5" t="s">
        <v>25</v>
      </c>
      <c r="I869" s="5" t="str">
        <f t="shared" si="52"/>
        <v>Yes</v>
      </c>
      <c r="J869" s="5" t="s">
        <v>688</v>
      </c>
      <c r="K869" s="5">
        <v>2004</v>
      </c>
      <c r="L869" s="5" t="str">
        <f t="shared" si="55"/>
        <v>Apr-2004</v>
      </c>
      <c r="M869" s="5" t="s">
        <v>181</v>
      </c>
      <c r="N869" s="5" t="s">
        <v>531</v>
      </c>
      <c r="O869" s="5" t="s">
        <v>41</v>
      </c>
      <c r="P869" s="5" t="s">
        <v>42</v>
      </c>
      <c r="Q869" s="5" t="s">
        <v>51</v>
      </c>
    </row>
    <row r="870" spans="1:17" x14ac:dyDescent="0.25">
      <c r="A870" s="3">
        <v>10253</v>
      </c>
      <c r="B870" s="3">
        <v>37</v>
      </c>
      <c r="C870" s="3">
        <v>100</v>
      </c>
      <c r="D870" s="3">
        <v>3700</v>
      </c>
      <c r="E870" s="3" t="str">
        <f t="shared" si="53"/>
        <v>Medium</v>
      </c>
      <c r="F870" s="3">
        <f t="shared" si="54"/>
        <v>1110</v>
      </c>
      <c r="G870" s="4">
        <v>38139</v>
      </c>
      <c r="H870" s="3" t="s">
        <v>339</v>
      </c>
      <c r="I870" s="3" t="str">
        <f t="shared" si="52"/>
        <v>No</v>
      </c>
      <c r="J870" s="3" t="s">
        <v>689</v>
      </c>
      <c r="K870" s="3">
        <v>2004</v>
      </c>
      <c r="L870" s="3" t="str">
        <f t="shared" si="55"/>
        <v>Jun-2004</v>
      </c>
      <c r="M870" s="3" t="s">
        <v>181</v>
      </c>
      <c r="N870" s="3" t="s">
        <v>165</v>
      </c>
      <c r="O870" s="3" t="s">
        <v>170</v>
      </c>
      <c r="P870" s="3" t="s">
        <v>42</v>
      </c>
      <c r="Q870" s="3" t="s">
        <v>51</v>
      </c>
    </row>
    <row r="871" spans="1:17" x14ac:dyDescent="0.25">
      <c r="A871" s="5">
        <v>10266</v>
      </c>
      <c r="B871" s="5">
        <v>20</v>
      </c>
      <c r="C871" s="5">
        <v>100</v>
      </c>
      <c r="D871" s="5">
        <v>2000</v>
      </c>
      <c r="E871" s="5" t="str">
        <f t="shared" si="53"/>
        <v>Medium</v>
      </c>
      <c r="F871" s="5">
        <f t="shared" si="54"/>
        <v>600</v>
      </c>
      <c r="G871" s="6">
        <v>38174</v>
      </c>
      <c r="H871" s="5" t="s">
        <v>25</v>
      </c>
      <c r="I871" s="5" t="str">
        <f t="shared" si="52"/>
        <v>Yes</v>
      </c>
      <c r="J871" s="5" t="s">
        <v>683</v>
      </c>
      <c r="K871" s="5">
        <v>2004</v>
      </c>
      <c r="L871" s="5" t="str">
        <f t="shared" si="55"/>
        <v>Jul-2004</v>
      </c>
      <c r="M871" s="5" t="s">
        <v>181</v>
      </c>
      <c r="N871" s="5" t="s">
        <v>452</v>
      </c>
      <c r="O871" s="5" t="s">
        <v>258</v>
      </c>
      <c r="P871" s="5" t="s">
        <v>42</v>
      </c>
      <c r="Q871" s="5" t="s">
        <v>36</v>
      </c>
    </row>
    <row r="872" spans="1:17" x14ac:dyDescent="0.25">
      <c r="A872" s="3">
        <v>10278</v>
      </c>
      <c r="B872" s="3">
        <v>39</v>
      </c>
      <c r="C872" s="3">
        <v>100</v>
      </c>
      <c r="D872" s="3">
        <v>3900</v>
      </c>
      <c r="E872" s="3" t="str">
        <f t="shared" si="53"/>
        <v>Medium</v>
      </c>
      <c r="F872" s="3">
        <f t="shared" si="54"/>
        <v>1170</v>
      </c>
      <c r="G872" s="4">
        <v>38205</v>
      </c>
      <c r="H872" s="3" t="s">
        <v>25</v>
      </c>
      <c r="I872" s="3" t="str">
        <f t="shared" si="52"/>
        <v>Yes</v>
      </c>
      <c r="J872" s="3" t="s">
        <v>684</v>
      </c>
      <c r="K872" s="3">
        <v>2004</v>
      </c>
      <c r="L872" s="3" t="str">
        <f t="shared" si="55"/>
        <v>Aug-2004</v>
      </c>
      <c r="M872" s="3" t="s">
        <v>181</v>
      </c>
      <c r="N872" s="3" t="s">
        <v>539</v>
      </c>
      <c r="O872" s="3" t="s">
        <v>32</v>
      </c>
      <c r="P872" s="3" t="s">
        <v>33</v>
      </c>
      <c r="Q872" s="3" t="s">
        <v>51</v>
      </c>
    </row>
    <row r="873" spans="1:17" x14ac:dyDescent="0.25">
      <c r="A873" s="5">
        <v>10287</v>
      </c>
      <c r="B873" s="5">
        <v>44</v>
      </c>
      <c r="C873" s="5">
        <v>100</v>
      </c>
      <c r="D873" s="5">
        <v>4400</v>
      </c>
      <c r="E873" s="5" t="str">
        <f t="shared" si="53"/>
        <v>Medium</v>
      </c>
      <c r="F873" s="5">
        <f t="shared" si="54"/>
        <v>1320</v>
      </c>
      <c r="G873" s="6">
        <v>38229</v>
      </c>
      <c r="H873" s="5" t="s">
        <v>25</v>
      </c>
      <c r="I873" s="5" t="str">
        <f t="shared" si="52"/>
        <v>Yes</v>
      </c>
      <c r="J873" s="5" t="s">
        <v>684</v>
      </c>
      <c r="K873" s="5">
        <v>2004</v>
      </c>
      <c r="L873" s="5" t="str">
        <f t="shared" si="55"/>
        <v>Aug-2004</v>
      </c>
      <c r="M873" s="5" t="s">
        <v>181</v>
      </c>
      <c r="N873" s="5" t="s">
        <v>446</v>
      </c>
      <c r="O873" s="5" t="s">
        <v>450</v>
      </c>
      <c r="P873" s="5" t="s">
        <v>42</v>
      </c>
      <c r="Q873" s="5" t="s">
        <v>51</v>
      </c>
    </row>
    <row r="874" spans="1:17" x14ac:dyDescent="0.25">
      <c r="A874" s="3">
        <v>10301</v>
      </c>
      <c r="B874" s="3">
        <v>22</v>
      </c>
      <c r="C874" s="3">
        <v>100</v>
      </c>
      <c r="D874" s="3">
        <v>2200</v>
      </c>
      <c r="E874" s="3" t="str">
        <f t="shared" si="53"/>
        <v>Medium</v>
      </c>
      <c r="F874" s="3">
        <f t="shared" si="54"/>
        <v>660</v>
      </c>
      <c r="G874" s="4">
        <v>37899</v>
      </c>
      <c r="H874" s="3" t="s">
        <v>25</v>
      </c>
      <c r="I874" s="3" t="str">
        <f t="shared" si="52"/>
        <v>Yes</v>
      </c>
      <c r="J874" s="3" t="s">
        <v>685</v>
      </c>
      <c r="K874" s="3">
        <v>2003</v>
      </c>
      <c r="L874" s="3" t="str">
        <f t="shared" si="55"/>
        <v>Oct-2003</v>
      </c>
      <c r="M874" s="3" t="s">
        <v>181</v>
      </c>
      <c r="N874" s="3" t="s">
        <v>543</v>
      </c>
      <c r="O874" s="3" t="s">
        <v>78</v>
      </c>
      <c r="P874" s="3" t="s">
        <v>42</v>
      </c>
      <c r="Q874" s="3" t="s">
        <v>51</v>
      </c>
    </row>
    <row r="875" spans="1:17" x14ac:dyDescent="0.25">
      <c r="A875" s="5">
        <v>10311</v>
      </c>
      <c r="B875" s="5">
        <v>43</v>
      </c>
      <c r="C875" s="5">
        <v>100</v>
      </c>
      <c r="D875" s="5">
        <v>4300</v>
      </c>
      <c r="E875" s="5" t="str">
        <f t="shared" si="53"/>
        <v>Medium</v>
      </c>
      <c r="F875" s="5">
        <f t="shared" si="54"/>
        <v>1290</v>
      </c>
      <c r="G875" s="6">
        <v>38276</v>
      </c>
      <c r="H875" s="5" t="s">
        <v>25</v>
      </c>
      <c r="I875" s="5" t="str">
        <f t="shared" si="52"/>
        <v>Yes</v>
      </c>
      <c r="J875" s="5" t="s">
        <v>685</v>
      </c>
      <c r="K875" s="5">
        <v>2004</v>
      </c>
      <c r="L875" s="5" t="str">
        <f t="shared" si="55"/>
        <v>Oct-2004</v>
      </c>
      <c r="M875" s="5" t="s">
        <v>181</v>
      </c>
      <c r="N875" s="5" t="s">
        <v>174</v>
      </c>
      <c r="O875" s="5" t="s">
        <v>178</v>
      </c>
      <c r="P875" s="5" t="s">
        <v>42</v>
      </c>
      <c r="Q875" s="5" t="s">
        <v>51</v>
      </c>
    </row>
    <row r="876" spans="1:17" x14ac:dyDescent="0.25">
      <c r="A876" s="3">
        <v>10321</v>
      </c>
      <c r="B876" s="3">
        <v>27</v>
      </c>
      <c r="C876" s="3">
        <v>100</v>
      </c>
      <c r="D876" s="3">
        <v>2700</v>
      </c>
      <c r="E876" s="3" t="str">
        <f t="shared" si="53"/>
        <v>Medium</v>
      </c>
      <c r="F876" s="3">
        <f t="shared" si="54"/>
        <v>810</v>
      </c>
      <c r="G876" s="4">
        <v>38295</v>
      </c>
      <c r="H876" s="3" t="s">
        <v>25</v>
      </c>
      <c r="I876" s="3" t="str">
        <f t="shared" si="52"/>
        <v>Yes</v>
      </c>
      <c r="J876" s="3" t="s">
        <v>686</v>
      </c>
      <c r="K876" s="3">
        <v>2004</v>
      </c>
      <c r="L876" s="3" t="str">
        <f t="shared" si="55"/>
        <v>Nov-2004</v>
      </c>
      <c r="M876" s="3" t="s">
        <v>181</v>
      </c>
      <c r="N876" s="3" t="s">
        <v>160</v>
      </c>
      <c r="O876" s="3" t="s">
        <v>32</v>
      </c>
      <c r="P876" s="3" t="s">
        <v>33</v>
      </c>
      <c r="Q876" s="3" t="s">
        <v>36</v>
      </c>
    </row>
    <row r="877" spans="1:17" x14ac:dyDescent="0.25">
      <c r="A877" s="5">
        <v>10331</v>
      </c>
      <c r="B877" s="5">
        <v>26</v>
      </c>
      <c r="C877" s="5">
        <v>64.900000000000006</v>
      </c>
      <c r="D877" s="5">
        <v>1687.4</v>
      </c>
      <c r="E877" s="5" t="str">
        <f t="shared" si="53"/>
        <v>Low</v>
      </c>
      <c r="F877" s="5">
        <f t="shared" si="54"/>
        <v>506.22</v>
      </c>
      <c r="G877" s="6">
        <v>38308</v>
      </c>
      <c r="H877" s="5" t="s">
        <v>25</v>
      </c>
      <c r="I877" s="5" t="str">
        <f t="shared" si="52"/>
        <v>Yes</v>
      </c>
      <c r="J877" s="5" t="s">
        <v>686</v>
      </c>
      <c r="K877" s="5">
        <v>2004</v>
      </c>
      <c r="L877" s="5" t="str">
        <f t="shared" si="55"/>
        <v>Nov-2004</v>
      </c>
      <c r="M877" s="5" t="s">
        <v>181</v>
      </c>
      <c r="N877" s="5" t="s">
        <v>309</v>
      </c>
      <c r="O877" s="5" t="s">
        <v>32</v>
      </c>
      <c r="P877" s="5" t="s">
        <v>33</v>
      </c>
      <c r="Q877" s="5" t="s">
        <v>36</v>
      </c>
    </row>
    <row r="878" spans="1:17" x14ac:dyDescent="0.25">
      <c r="A878" s="3">
        <v>10343</v>
      </c>
      <c r="B878" s="3">
        <v>25</v>
      </c>
      <c r="C878" s="3">
        <v>52.32</v>
      </c>
      <c r="D878" s="3">
        <v>1308</v>
      </c>
      <c r="E878" s="3" t="str">
        <f t="shared" si="53"/>
        <v>Low</v>
      </c>
      <c r="F878" s="3">
        <f t="shared" si="54"/>
        <v>392.4</v>
      </c>
      <c r="G878" s="4">
        <v>38315</v>
      </c>
      <c r="H878" s="3" t="s">
        <v>25</v>
      </c>
      <c r="I878" s="3" t="str">
        <f t="shared" si="52"/>
        <v>Yes</v>
      </c>
      <c r="J878" s="3" t="s">
        <v>686</v>
      </c>
      <c r="K878" s="3">
        <v>2004</v>
      </c>
      <c r="L878" s="3" t="str">
        <f t="shared" si="55"/>
        <v>Nov-2004</v>
      </c>
      <c r="M878" s="3" t="s">
        <v>181</v>
      </c>
      <c r="N878" s="3" t="s">
        <v>37</v>
      </c>
      <c r="O878" s="3" t="s">
        <v>41</v>
      </c>
      <c r="P878" s="3" t="s">
        <v>42</v>
      </c>
      <c r="Q878" s="3" t="s">
        <v>36</v>
      </c>
    </row>
    <row r="879" spans="1:17" x14ac:dyDescent="0.25">
      <c r="A879" s="5">
        <v>10366</v>
      </c>
      <c r="B879" s="5">
        <v>49</v>
      </c>
      <c r="C879" s="5">
        <v>100</v>
      </c>
      <c r="D879" s="5">
        <v>4900</v>
      </c>
      <c r="E879" s="5" t="str">
        <f t="shared" si="53"/>
        <v>Medium</v>
      </c>
      <c r="F879" s="5">
        <f t="shared" si="54"/>
        <v>1470</v>
      </c>
      <c r="G879" s="6">
        <v>38362</v>
      </c>
      <c r="H879" s="5" t="s">
        <v>25</v>
      </c>
      <c r="I879" s="5" t="str">
        <f t="shared" si="52"/>
        <v>Yes</v>
      </c>
      <c r="J879" s="5" t="s">
        <v>549</v>
      </c>
      <c r="K879" s="5">
        <v>2005</v>
      </c>
      <c r="L879" s="5" t="str">
        <f t="shared" si="55"/>
        <v>Jan-2005</v>
      </c>
      <c r="M879" s="5" t="s">
        <v>181</v>
      </c>
      <c r="N879" s="5" t="s">
        <v>577</v>
      </c>
      <c r="O879" s="5" t="s">
        <v>370</v>
      </c>
      <c r="P879" s="5" t="s">
        <v>42</v>
      </c>
      <c r="Q879" s="5" t="s">
        <v>51</v>
      </c>
    </row>
    <row r="880" spans="1:17" x14ac:dyDescent="0.25">
      <c r="A880" s="3">
        <v>10379</v>
      </c>
      <c r="B880" s="3">
        <v>29</v>
      </c>
      <c r="C880" s="3">
        <v>100</v>
      </c>
      <c r="D880" s="3">
        <v>2900</v>
      </c>
      <c r="E880" s="3" t="str">
        <f t="shared" si="53"/>
        <v>Medium</v>
      </c>
      <c r="F880" s="3">
        <f t="shared" si="54"/>
        <v>870</v>
      </c>
      <c r="G880" s="4">
        <v>38393</v>
      </c>
      <c r="H880" s="3" t="s">
        <v>25</v>
      </c>
      <c r="I880" s="3" t="str">
        <f t="shared" si="52"/>
        <v>Yes</v>
      </c>
      <c r="J880" s="3" t="s">
        <v>681</v>
      </c>
      <c r="K880" s="3">
        <v>2005</v>
      </c>
      <c r="L880" s="3" t="str">
        <f t="shared" si="55"/>
        <v>Feb-2005</v>
      </c>
      <c r="M880" s="3" t="s">
        <v>181</v>
      </c>
      <c r="N880" s="3" t="s">
        <v>174</v>
      </c>
      <c r="O880" s="3" t="s">
        <v>178</v>
      </c>
      <c r="P880" s="3" t="s">
        <v>42</v>
      </c>
      <c r="Q880" s="3" t="s">
        <v>51</v>
      </c>
    </row>
    <row r="881" spans="1:17" x14ac:dyDescent="0.25">
      <c r="A881" s="5">
        <v>10407</v>
      </c>
      <c r="B881" s="5">
        <v>41</v>
      </c>
      <c r="C881" s="5">
        <v>100</v>
      </c>
      <c r="D881" s="5">
        <v>4100</v>
      </c>
      <c r="E881" s="5" t="str">
        <f t="shared" si="53"/>
        <v>Medium</v>
      </c>
      <c r="F881" s="5">
        <f t="shared" si="54"/>
        <v>1230</v>
      </c>
      <c r="G881" s="6">
        <v>38464</v>
      </c>
      <c r="H881" s="5" t="s">
        <v>401</v>
      </c>
      <c r="I881" s="5" t="str">
        <f t="shared" si="52"/>
        <v>No</v>
      </c>
      <c r="J881" s="5" t="s">
        <v>688</v>
      </c>
      <c r="K881" s="5">
        <v>2005</v>
      </c>
      <c r="L881" s="5" t="str">
        <f t="shared" si="55"/>
        <v>Apr-2005</v>
      </c>
      <c r="M881" s="5" t="s">
        <v>181</v>
      </c>
      <c r="N881" s="5" t="s">
        <v>397</v>
      </c>
      <c r="O881" s="5" t="s">
        <v>32</v>
      </c>
      <c r="P881" s="5" t="s">
        <v>33</v>
      </c>
      <c r="Q881" s="5" t="s">
        <v>51</v>
      </c>
    </row>
    <row r="882" spans="1:17" x14ac:dyDescent="0.25">
      <c r="A882" s="3">
        <v>10419</v>
      </c>
      <c r="B882" s="3">
        <v>55</v>
      </c>
      <c r="C882" s="3">
        <v>100</v>
      </c>
      <c r="D882" s="3">
        <v>5500</v>
      </c>
      <c r="E882" s="3" t="str">
        <f t="shared" si="53"/>
        <v>High</v>
      </c>
      <c r="F882" s="3">
        <f t="shared" si="54"/>
        <v>1650</v>
      </c>
      <c r="G882" s="4">
        <v>38489</v>
      </c>
      <c r="H882" s="3" t="s">
        <v>25</v>
      </c>
      <c r="I882" s="3" t="str">
        <f t="shared" si="52"/>
        <v>Yes</v>
      </c>
      <c r="J882" s="3" t="s">
        <v>682</v>
      </c>
      <c r="K882" s="3">
        <v>2005</v>
      </c>
      <c r="L882" s="3" t="str">
        <f t="shared" si="55"/>
        <v>May-2005</v>
      </c>
      <c r="M882" s="3" t="s">
        <v>181</v>
      </c>
      <c r="N882" s="3" t="s">
        <v>144</v>
      </c>
      <c r="O882" s="3" t="s">
        <v>148</v>
      </c>
      <c r="P882" s="3" t="s">
        <v>42</v>
      </c>
      <c r="Q882" s="3" t="s">
        <v>151</v>
      </c>
    </row>
    <row r="883" spans="1:17" x14ac:dyDescent="0.25">
      <c r="A883" s="5">
        <v>10103</v>
      </c>
      <c r="B883" s="5">
        <v>27</v>
      </c>
      <c r="C883" s="5">
        <v>83.07</v>
      </c>
      <c r="D883" s="5">
        <v>2242.89</v>
      </c>
      <c r="E883" s="5" t="str">
        <f t="shared" si="53"/>
        <v>Medium</v>
      </c>
      <c r="F883" s="5">
        <f t="shared" si="54"/>
        <v>672.86699999999996</v>
      </c>
      <c r="G883" s="6">
        <v>37650</v>
      </c>
      <c r="H883" s="5" t="s">
        <v>25</v>
      </c>
      <c r="I883" s="5" t="str">
        <f t="shared" si="52"/>
        <v>Yes</v>
      </c>
      <c r="J883" s="5" t="s">
        <v>549</v>
      </c>
      <c r="K883" s="5">
        <v>2003</v>
      </c>
      <c r="L883" s="5" t="str">
        <f t="shared" si="55"/>
        <v>Jan-2003</v>
      </c>
      <c r="M883" s="5" t="s">
        <v>550</v>
      </c>
      <c r="N883" s="5" t="s">
        <v>133</v>
      </c>
      <c r="O883" s="5" t="s">
        <v>78</v>
      </c>
      <c r="P883" s="5" t="s">
        <v>42</v>
      </c>
      <c r="Q883" s="5" t="s">
        <v>36</v>
      </c>
    </row>
    <row r="884" spans="1:17" x14ac:dyDescent="0.25">
      <c r="A884" s="3">
        <v>10112</v>
      </c>
      <c r="B884" s="3">
        <v>23</v>
      </c>
      <c r="C884" s="3">
        <v>100</v>
      </c>
      <c r="D884" s="3">
        <v>2300</v>
      </c>
      <c r="E884" s="3" t="str">
        <f t="shared" si="53"/>
        <v>Medium</v>
      </c>
      <c r="F884" s="3">
        <f t="shared" si="54"/>
        <v>690</v>
      </c>
      <c r="G884" s="4">
        <v>37704</v>
      </c>
      <c r="H884" s="3" t="s">
        <v>25</v>
      </c>
      <c r="I884" s="3" t="str">
        <f t="shared" si="52"/>
        <v>Yes</v>
      </c>
      <c r="J884" s="3" t="s">
        <v>691</v>
      </c>
      <c r="K884" s="3">
        <v>2003</v>
      </c>
      <c r="L884" s="3" t="str">
        <f t="shared" si="55"/>
        <v>Mar-2003</v>
      </c>
      <c r="M884" s="3" t="s">
        <v>550</v>
      </c>
      <c r="N884" s="3" t="s">
        <v>183</v>
      </c>
      <c r="O884" s="3" t="s">
        <v>188</v>
      </c>
      <c r="P884" s="3" t="s">
        <v>42</v>
      </c>
      <c r="Q884" s="3" t="s">
        <v>36</v>
      </c>
    </row>
    <row r="885" spans="1:17" x14ac:dyDescent="0.25">
      <c r="A885" s="5">
        <v>10126</v>
      </c>
      <c r="B885" s="5">
        <v>31</v>
      </c>
      <c r="C885" s="5">
        <v>90.17</v>
      </c>
      <c r="D885" s="5">
        <v>2795.27</v>
      </c>
      <c r="E885" s="5" t="str">
        <f t="shared" si="53"/>
        <v>Medium</v>
      </c>
      <c r="F885" s="5">
        <f t="shared" si="54"/>
        <v>838.58100000000002</v>
      </c>
      <c r="G885" s="6">
        <v>37769</v>
      </c>
      <c r="H885" s="5" t="s">
        <v>25</v>
      </c>
      <c r="I885" s="5" t="str">
        <f t="shared" si="52"/>
        <v>Yes</v>
      </c>
      <c r="J885" s="5" t="s">
        <v>682</v>
      </c>
      <c r="K885" s="5">
        <v>2003</v>
      </c>
      <c r="L885" s="5" t="str">
        <f t="shared" si="55"/>
        <v>May-2003</v>
      </c>
      <c r="M885" s="5" t="s">
        <v>550</v>
      </c>
      <c r="N885" s="5" t="s">
        <v>191</v>
      </c>
      <c r="O885" s="5" t="s">
        <v>178</v>
      </c>
      <c r="P885" s="5" t="s">
        <v>42</v>
      </c>
      <c r="Q885" s="5" t="s">
        <v>36</v>
      </c>
    </row>
    <row r="886" spans="1:17" x14ac:dyDescent="0.25">
      <c r="A886" s="3">
        <v>10139</v>
      </c>
      <c r="B886" s="3">
        <v>46</v>
      </c>
      <c r="C886" s="3">
        <v>100</v>
      </c>
      <c r="D886" s="3">
        <v>4600</v>
      </c>
      <c r="E886" s="3" t="str">
        <f t="shared" si="53"/>
        <v>Medium</v>
      </c>
      <c r="F886" s="3">
        <f t="shared" si="54"/>
        <v>1380</v>
      </c>
      <c r="G886" s="4">
        <v>37818</v>
      </c>
      <c r="H886" s="3" t="s">
        <v>25</v>
      </c>
      <c r="I886" s="3" t="str">
        <f t="shared" si="52"/>
        <v>Yes</v>
      </c>
      <c r="J886" s="3" t="s">
        <v>683</v>
      </c>
      <c r="K886" s="3">
        <v>2003</v>
      </c>
      <c r="L886" s="3" t="str">
        <f t="shared" si="55"/>
        <v>Jul-2003</v>
      </c>
      <c r="M886" s="3" t="s">
        <v>550</v>
      </c>
      <c r="N886" s="3" t="s">
        <v>152</v>
      </c>
      <c r="O886" s="3" t="s">
        <v>95</v>
      </c>
      <c r="P886" s="3" t="s">
        <v>96</v>
      </c>
      <c r="Q886" s="3" t="s">
        <v>51</v>
      </c>
    </row>
    <row r="887" spans="1:17" x14ac:dyDescent="0.25">
      <c r="A887" s="5">
        <v>10150</v>
      </c>
      <c r="B887" s="5">
        <v>47</v>
      </c>
      <c r="C887" s="5">
        <v>91.18</v>
      </c>
      <c r="D887" s="5">
        <v>4285.46</v>
      </c>
      <c r="E887" s="5" t="str">
        <f t="shared" si="53"/>
        <v>Medium</v>
      </c>
      <c r="F887" s="5">
        <f t="shared" si="54"/>
        <v>1285.6379999999999</v>
      </c>
      <c r="G887" s="6">
        <v>37883</v>
      </c>
      <c r="H887" s="5" t="s">
        <v>25</v>
      </c>
      <c r="I887" s="5" t="str">
        <f t="shared" si="52"/>
        <v>Yes</v>
      </c>
      <c r="J887" s="5" t="s">
        <v>690</v>
      </c>
      <c r="K887" s="5">
        <v>2003</v>
      </c>
      <c r="L887" s="5" t="str">
        <f t="shared" si="55"/>
        <v>Sep-2003</v>
      </c>
      <c r="M887" s="5" t="s">
        <v>550</v>
      </c>
      <c r="N887" s="5" t="s">
        <v>196</v>
      </c>
      <c r="O887" s="5" t="s">
        <v>199</v>
      </c>
      <c r="P887" s="5" t="s">
        <v>675</v>
      </c>
      <c r="Q887" s="5" t="s">
        <v>51</v>
      </c>
    </row>
    <row r="888" spans="1:17" x14ac:dyDescent="0.25">
      <c r="A888" s="3">
        <v>10163</v>
      </c>
      <c r="B888" s="3">
        <v>31</v>
      </c>
      <c r="C888" s="3">
        <v>100</v>
      </c>
      <c r="D888" s="3">
        <v>3100</v>
      </c>
      <c r="E888" s="3" t="str">
        <f t="shared" si="53"/>
        <v>Medium</v>
      </c>
      <c r="F888" s="3">
        <f t="shared" si="54"/>
        <v>930</v>
      </c>
      <c r="G888" s="4">
        <v>37914</v>
      </c>
      <c r="H888" s="3" t="s">
        <v>25</v>
      </c>
      <c r="I888" s="3" t="str">
        <f t="shared" si="52"/>
        <v>Yes</v>
      </c>
      <c r="J888" s="3" t="s">
        <v>685</v>
      </c>
      <c r="K888" s="3">
        <v>2003</v>
      </c>
      <c r="L888" s="3" t="str">
        <f t="shared" si="55"/>
        <v>Oct-2003</v>
      </c>
      <c r="M888" s="3" t="s">
        <v>550</v>
      </c>
      <c r="N888" s="3" t="s">
        <v>203</v>
      </c>
      <c r="O888" s="3" t="s">
        <v>32</v>
      </c>
      <c r="P888" s="3" t="s">
        <v>33</v>
      </c>
      <c r="Q888" s="3" t="s">
        <v>51</v>
      </c>
    </row>
    <row r="889" spans="1:17" x14ac:dyDescent="0.25">
      <c r="A889" s="5">
        <v>10174</v>
      </c>
      <c r="B889" s="5">
        <v>46</v>
      </c>
      <c r="C889" s="5">
        <v>100</v>
      </c>
      <c r="D889" s="5">
        <v>4600</v>
      </c>
      <c r="E889" s="5" t="str">
        <f t="shared" si="53"/>
        <v>Medium</v>
      </c>
      <c r="F889" s="5">
        <f t="shared" si="54"/>
        <v>1380</v>
      </c>
      <c r="G889" s="6">
        <v>37931</v>
      </c>
      <c r="H889" s="5" t="s">
        <v>25</v>
      </c>
      <c r="I889" s="5" t="str">
        <f t="shared" si="52"/>
        <v>Yes</v>
      </c>
      <c r="J889" s="5" t="s">
        <v>686</v>
      </c>
      <c r="K889" s="5">
        <v>2003</v>
      </c>
      <c r="L889" s="5" t="str">
        <f t="shared" si="55"/>
        <v>Nov-2003</v>
      </c>
      <c r="M889" s="5" t="s">
        <v>550</v>
      </c>
      <c r="N889" s="5" t="s">
        <v>207</v>
      </c>
      <c r="O889" s="5" t="s">
        <v>95</v>
      </c>
      <c r="P889" s="5" t="s">
        <v>96</v>
      </c>
      <c r="Q889" s="5" t="s">
        <v>51</v>
      </c>
    </row>
    <row r="890" spans="1:17" x14ac:dyDescent="0.25">
      <c r="A890" s="3">
        <v>10183</v>
      </c>
      <c r="B890" s="3">
        <v>37</v>
      </c>
      <c r="C890" s="3">
        <v>89.15</v>
      </c>
      <c r="D890" s="3">
        <v>3298.55</v>
      </c>
      <c r="E890" s="3" t="str">
        <f t="shared" si="53"/>
        <v>Medium</v>
      </c>
      <c r="F890" s="3">
        <f t="shared" si="54"/>
        <v>989.56500000000005</v>
      </c>
      <c r="G890" s="4">
        <v>37938</v>
      </c>
      <c r="H890" s="3" t="s">
        <v>25</v>
      </c>
      <c r="I890" s="3" t="str">
        <f t="shared" si="52"/>
        <v>Yes</v>
      </c>
      <c r="J890" s="3" t="s">
        <v>686</v>
      </c>
      <c r="K890" s="3">
        <v>2003</v>
      </c>
      <c r="L890" s="3" t="str">
        <f t="shared" si="55"/>
        <v>Nov-2003</v>
      </c>
      <c r="M890" s="3" t="s">
        <v>550</v>
      </c>
      <c r="N890" s="3" t="s">
        <v>214</v>
      </c>
      <c r="O890" s="3" t="s">
        <v>32</v>
      </c>
      <c r="P890" s="3" t="s">
        <v>33</v>
      </c>
      <c r="Q890" s="3" t="s">
        <v>51</v>
      </c>
    </row>
    <row r="891" spans="1:17" x14ac:dyDescent="0.25">
      <c r="A891" s="5">
        <v>10193</v>
      </c>
      <c r="B891" s="5">
        <v>28</v>
      </c>
      <c r="C891" s="5">
        <v>93.21</v>
      </c>
      <c r="D891" s="5">
        <v>2609.8799999999997</v>
      </c>
      <c r="E891" s="5" t="str">
        <f t="shared" si="53"/>
        <v>Medium</v>
      </c>
      <c r="F891" s="5">
        <f t="shared" si="54"/>
        <v>782.96399999999983</v>
      </c>
      <c r="G891" s="6">
        <v>37946</v>
      </c>
      <c r="H891" s="5" t="s">
        <v>25</v>
      </c>
      <c r="I891" s="5" t="str">
        <f t="shared" si="52"/>
        <v>Yes</v>
      </c>
      <c r="J891" s="5" t="s">
        <v>686</v>
      </c>
      <c r="K891" s="5">
        <v>2003</v>
      </c>
      <c r="L891" s="5" t="str">
        <f t="shared" si="55"/>
        <v>Nov-2003</v>
      </c>
      <c r="M891" s="5" t="s">
        <v>550</v>
      </c>
      <c r="N891" s="5" t="s">
        <v>558</v>
      </c>
      <c r="O891" s="5" t="s">
        <v>95</v>
      </c>
      <c r="P891" s="5" t="s">
        <v>96</v>
      </c>
      <c r="Q891" s="5" t="s">
        <v>36</v>
      </c>
    </row>
    <row r="892" spans="1:17" x14ac:dyDescent="0.25">
      <c r="A892" s="3">
        <v>10206</v>
      </c>
      <c r="B892" s="3">
        <v>37</v>
      </c>
      <c r="C892" s="3">
        <v>90.17</v>
      </c>
      <c r="D892" s="3">
        <v>3336.29</v>
      </c>
      <c r="E892" s="3" t="str">
        <f t="shared" si="53"/>
        <v>Medium</v>
      </c>
      <c r="F892" s="3">
        <f t="shared" si="54"/>
        <v>1000.8869999999999</v>
      </c>
      <c r="G892" s="4">
        <v>37960</v>
      </c>
      <c r="H892" s="3" t="s">
        <v>25</v>
      </c>
      <c r="I892" s="3" t="str">
        <f t="shared" si="52"/>
        <v>Yes</v>
      </c>
      <c r="J892" s="3" t="s">
        <v>687</v>
      </c>
      <c r="K892" s="3">
        <v>2003</v>
      </c>
      <c r="L892" s="3" t="str">
        <f t="shared" si="55"/>
        <v>Dec-2003</v>
      </c>
      <c r="M892" s="3" t="s">
        <v>550</v>
      </c>
      <c r="N892" s="3" t="s">
        <v>225</v>
      </c>
      <c r="O892" s="3" t="s">
        <v>231</v>
      </c>
      <c r="P892" s="3" t="s">
        <v>33</v>
      </c>
      <c r="Q892" s="3" t="s">
        <v>51</v>
      </c>
    </row>
    <row r="893" spans="1:17" x14ac:dyDescent="0.25">
      <c r="A893" s="5">
        <v>10215</v>
      </c>
      <c r="B893" s="5">
        <v>49</v>
      </c>
      <c r="C893" s="5">
        <v>100</v>
      </c>
      <c r="D893" s="5">
        <v>4900</v>
      </c>
      <c r="E893" s="5" t="str">
        <f t="shared" si="53"/>
        <v>Medium</v>
      </c>
      <c r="F893" s="5">
        <f t="shared" si="54"/>
        <v>1470</v>
      </c>
      <c r="G893" s="6">
        <v>38015</v>
      </c>
      <c r="H893" s="5" t="s">
        <v>25</v>
      </c>
      <c r="I893" s="5" t="str">
        <f t="shared" si="52"/>
        <v>Yes</v>
      </c>
      <c r="J893" s="5" t="s">
        <v>549</v>
      </c>
      <c r="K893" s="5">
        <v>2004</v>
      </c>
      <c r="L893" s="5" t="str">
        <f t="shared" si="55"/>
        <v>Jan-2004</v>
      </c>
      <c r="M893" s="5" t="s">
        <v>550</v>
      </c>
      <c r="N893" s="5" t="s">
        <v>234</v>
      </c>
      <c r="O893" s="5" t="s">
        <v>32</v>
      </c>
      <c r="P893" s="5" t="s">
        <v>33</v>
      </c>
      <c r="Q893" s="5" t="s">
        <v>51</v>
      </c>
    </row>
    <row r="894" spans="1:17" x14ac:dyDescent="0.25">
      <c r="A894" s="3">
        <v>10228</v>
      </c>
      <c r="B894" s="3">
        <v>24</v>
      </c>
      <c r="C894" s="3">
        <v>100</v>
      </c>
      <c r="D894" s="3">
        <v>2400</v>
      </c>
      <c r="E894" s="3" t="str">
        <f t="shared" si="53"/>
        <v>Medium</v>
      </c>
      <c r="F894" s="3">
        <f t="shared" si="54"/>
        <v>720</v>
      </c>
      <c r="G894" s="4">
        <v>38056</v>
      </c>
      <c r="H894" s="3" t="s">
        <v>25</v>
      </c>
      <c r="I894" s="3" t="str">
        <f t="shared" si="52"/>
        <v>Yes</v>
      </c>
      <c r="J894" s="3" t="s">
        <v>691</v>
      </c>
      <c r="K894" s="3">
        <v>2004</v>
      </c>
      <c r="L894" s="3" t="str">
        <f t="shared" si="55"/>
        <v>Mar-2004</v>
      </c>
      <c r="M894" s="3" t="s">
        <v>550</v>
      </c>
      <c r="N894" s="3" t="s">
        <v>239</v>
      </c>
      <c r="O894" s="3" t="s">
        <v>32</v>
      </c>
      <c r="P894" s="3" t="s">
        <v>33</v>
      </c>
      <c r="Q894" s="3" t="s">
        <v>36</v>
      </c>
    </row>
    <row r="895" spans="1:17" x14ac:dyDescent="0.25">
      <c r="A895" s="5">
        <v>10244</v>
      </c>
      <c r="B895" s="5">
        <v>30</v>
      </c>
      <c r="C895" s="5">
        <v>100</v>
      </c>
      <c r="D895" s="5">
        <v>3000</v>
      </c>
      <c r="E895" s="5" t="str">
        <f t="shared" si="53"/>
        <v>Medium</v>
      </c>
      <c r="F895" s="5">
        <f t="shared" si="54"/>
        <v>900</v>
      </c>
      <c r="G895" s="6">
        <v>38106</v>
      </c>
      <c r="H895" s="5" t="s">
        <v>25</v>
      </c>
      <c r="I895" s="5" t="str">
        <f t="shared" si="52"/>
        <v>Yes</v>
      </c>
      <c r="J895" s="5" t="s">
        <v>688</v>
      </c>
      <c r="K895" s="5">
        <v>2004</v>
      </c>
      <c r="L895" s="5" t="str">
        <f t="shared" si="55"/>
        <v>Apr-2004</v>
      </c>
      <c r="M895" s="5" t="s">
        <v>550</v>
      </c>
      <c r="N895" s="5" t="s">
        <v>174</v>
      </c>
      <c r="O895" s="5" t="s">
        <v>178</v>
      </c>
      <c r="P895" s="5" t="s">
        <v>42</v>
      </c>
      <c r="Q895" s="5" t="s">
        <v>51</v>
      </c>
    </row>
    <row r="896" spans="1:17" x14ac:dyDescent="0.25">
      <c r="A896" s="3">
        <v>10257</v>
      </c>
      <c r="B896" s="3">
        <v>50</v>
      </c>
      <c r="C896" s="3">
        <v>88.14</v>
      </c>
      <c r="D896" s="3">
        <v>4407</v>
      </c>
      <c r="E896" s="3" t="str">
        <f t="shared" si="53"/>
        <v>Medium</v>
      </c>
      <c r="F896" s="3">
        <f t="shared" si="54"/>
        <v>1322.1</v>
      </c>
      <c r="G896" s="4">
        <v>38152</v>
      </c>
      <c r="H896" s="3" t="s">
        <v>25</v>
      </c>
      <c r="I896" s="3" t="str">
        <f t="shared" si="52"/>
        <v>Yes</v>
      </c>
      <c r="J896" s="3" t="s">
        <v>689</v>
      </c>
      <c r="K896" s="3">
        <v>2004</v>
      </c>
      <c r="L896" s="3" t="str">
        <f t="shared" si="55"/>
        <v>Jun-2004</v>
      </c>
      <c r="M896" s="3" t="s">
        <v>550</v>
      </c>
      <c r="N896" s="3" t="s">
        <v>397</v>
      </c>
      <c r="O896" s="3" t="s">
        <v>32</v>
      </c>
      <c r="P896" s="3" t="s">
        <v>33</v>
      </c>
      <c r="Q896" s="3" t="s">
        <v>51</v>
      </c>
    </row>
    <row r="897" spans="1:17" x14ac:dyDescent="0.25">
      <c r="A897" s="5">
        <v>10270</v>
      </c>
      <c r="B897" s="5">
        <v>31</v>
      </c>
      <c r="C897" s="5">
        <v>96.24</v>
      </c>
      <c r="D897" s="5">
        <v>2983.44</v>
      </c>
      <c r="E897" s="5" t="str">
        <f t="shared" si="53"/>
        <v>Medium</v>
      </c>
      <c r="F897" s="5">
        <f t="shared" si="54"/>
        <v>895.03200000000004</v>
      </c>
      <c r="G897" s="6">
        <v>38187</v>
      </c>
      <c r="H897" s="5" t="s">
        <v>25</v>
      </c>
      <c r="I897" s="5" t="str">
        <f t="shared" si="52"/>
        <v>Yes</v>
      </c>
      <c r="J897" s="5" t="s">
        <v>683</v>
      </c>
      <c r="K897" s="5">
        <v>2004</v>
      </c>
      <c r="L897" s="5" t="str">
        <f t="shared" si="55"/>
        <v>Jul-2004</v>
      </c>
      <c r="M897" s="5" t="s">
        <v>550</v>
      </c>
      <c r="N897" s="5" t="s">
        <v>152</v>
      </c>
      <c r="O897" s="5" t="s">
        <v>95</v>
      </c>
      <c r="P897" s="5" t="s">
        <v>96</v>
      </c>
      <c r="Q897" s="5" t="s">
        <v>36</v>
      </c>
    </row>
    <row r="898" spans="1:17" x14ac:dyDescent="0.25">
      <c r="A898" s="3">
        <v>10280</v>
      </c>
      <c r="B898" s="3">
        <v>46</v>
      </c>
      <c r="C898" s="3">
        <v>100</v>
      </c>
      <c r="D898" s="3">
        <v>4600</v>
      </c>
      <c r="E898" s="3" t="str">
        <f t="shared" si="53"/>
        <v>Medium</v>
      </c>
      <c r="F898" s="3">
        <f t="shared" si="54"/>
        <v>1380</v>
      </c>
      <c r="G898" s="4">
        <v>38216</v>
      </c>
      <c r="H898" s="3" t="s">
        <v>25</v>
      </c>
      <c r="I898" s="3" t="str">
        <f t="shared" ref="I898:I961" si="56">IF(H898="Shipped","Yes","No")</f>
        <v>Yes</v>
      </c>
      <c r="J898" s="3" t="s">
        <v>684</v>
      </c>
      <c r="K898" s="3">
        <v>2004</v>
      </c>
      <c r="L898" s="3" t="str">
        <f t="shared" si="55"/>
        <v>Aug-2004</v>
      </c>
      <c r="M898" s="3" t="s">
        <v>550</v>
      </c>
      <c r="N898" s="3" t="s">
        <v>254</v>
      </c>
      <c r="O898" s="3" t="s">
        <v>258</v>
      </c>
      <c r="P898" s="3" t="s">
        <v>42</v>
      </c>
      <c r="Q898" s="3" t="s">
        <v>51</v>
      </c>
    </row>
    <row r="899" spans="1:17" x14ac:dyDescent="0.25">
      <c r="A899" s="5">
        <v>10291</v>
      </c>
      <c r="B899" s="5">
        <v>47</v>
      </c>
      <c r="C899" s="5">
        <v>100</v>
      </c>
      <c r="D899" s="5">
        <v>4700</v>
      </c>
      <c r="E899" s="5" t="str">
        <f t="shared" ref="E899:E962" si="57">IF(D899&gt;=5000,"High",IF(D899&gt;=2000,"Medium","Low"))</f>
        <v>Medium</v>
      </c>
      <c r="F899" s="5">
        <f t="shared" ref="F899:F962" si="58">(D899*0.3)</f>
        <v>1410</v>
      </c>
      <c r="G899" s="6">
        <v>38238</v>
      </c>
      <c r="H899" s="5" t="s">
        <v>25</v>
      </c>
      <c r="I899" s="5" t="str">
        <f t="shared" si="56"/>
        <v>Yes</v>
      </c>
      <c r="J899" s="5" t="s">
        <v>690</v>
      </c>
      <c r="K899" s="5">
        <v>2004</v>
      </c>
      <c r="L899" s="5" t="str">
        <f t="shared" ref="L899:L962" si="59">TEXT(G:G,"MMM-YYYY")</f>
        <v>Sep-2004</v>
      </c>
      <c r="M899" s="5" t="s">
        <v>550</v>
      </c>
      <c r="N899" s="5" t="s">
        <v>261</v>
      </c>
      <c r="O899" s="5" t="s">
        <v>188</v>
      </c>
      <c r="P899" s="5" t="s">
        <v>42</v>
      </c>
      <c r="Q899" s="5" t="s">
        <v>51</v>
      </c>
    </row>
    <row r="900" spans="1:17" x14ac:dyDescent="0.25">
      <c r="A900" s="3">
        <v>10304</v>
      </c>
      <c r="B900" s="3">
        <v>46</v>
      </c>
      <c r="C900" s="3">
        <v>100</v>
      </c>
      <c r="D900" s="3">
        <v>4600</v>
      </c>
      <c r="E900" s="3" t="str">
        <f t="shared" si="57"/>
        <v>Medium</v>
      </c>
      <c r="F900" s="3">
        <f t="shared" si="58"/>
        <v>1380</v>
      </c>
      <c r="G900" s="4">
        <v>38271</v>
      </c>
      <c r="H900" s="3" t="s">
        <v>25</v>
      </c>
      <c r="I900" s="3" t="str">
        <f t="shared" si="56"/>
        <v>Yes</v>
      </c>
      <c r="J900" s="3" t="s">
        <v>685</v>
      </c>
      <c r="K900" s="3">
        <v>2004</v>
      </c>
      <c r="L900" s="3" t="str">
        <f t="shared" si="59"/>
        <v>Oct-2004</v>
      </c>
      <c r="M900" s="3" t="s">
        <v>550</v>
      </c>
      <c r="N900" s="3" t="s">
        <v>267</v>
      </c>
      <c r="O900" s="3" t="s">
        <v>41</v>
      </c>
      <c r="P900" s="3" t="s">
        <v>42</v>
      </c>
      <c r="Q900" s="3" t="s">
        <v>51</v>
      </c>
    </row>
    <row r="901" spans="1:17" x14ac:dyDescent="0.25">
      <c r="A901" s="5">
        <v>10312</v>
      </c>
      <c r="B901" s="5">
        <v>37</v>
      </c>
      <c r="C901" s="5">
        <v>100</v>
      </c>
      <c r="D901" s="5">
        <v>3700</v>
      </c>
      <c r="E901" s="5" t="str">
        <f t="shared" si="57"/>
        <v>Medium</v>
      </c>
      <c r="F901" s="5">
        <f t="shared" si="58"/>
        <v>1110</v>
      </c>
      <c r="G901" s="6">
        <v>38281</v>
      </c>
      <c r="H901" s="5" t="s">
        <v>25</v>
      </c>
      <c r="I901" s="5" t="str">
        <f t="shared" si="56"/>
        <v>Yes</v>
      </c>
      <c r="J901" s="5" t="s">
        <v>685</v>
      </c>
      <c r="K901" s="5">
        <v>2004</v>
      </c>
      <c r="L901" s="5" t="str">
        <f t="shared" si="59"/>
        <v>Oct-2004</v>
      </c>
      <c r="M901" s="5" t="s">
        <v>550</v>
      </c>
      <c r="N901" s="5" t="s">
        <v>272</v>
      </c>
      <c r="O901" s="5" t="s">
        <v>32</v>
      </c>
      <c r="P901" s="5" t="s">
        <v>33</v>
      </c>
      <c r="Q901" s="5" t="s">
        <v>51</v>
      </c>
    </row>
    <row r="902" spans="1:17" x14ac:dyDescent="0.25">
      <c r="A902" s="3">
        <v>10322</v>
      </c>
      <c r="B902" s="3">
        <v>33</v>
      </c>
      <c r="C902" s="3">
        <v>100</v>
      </c>
      <c r="D902" s="3">
        <v>3300</v>
      </c>
      <c r="E902" s="3" t="str">
        <f t="shared" si="57"/>
        <v>Medium</v>
      </c>
      <c r="F902" s="3">
        <f t="shared" si="58"/>
        <v>990</v>
      </c>
      <c r="G902" s="4">
        <v>38295</v>
      </c>
      <c r="H902" s="3" t="s">
        <v>25</v>
      </c>
      <c r="I902" s="3" t="str">
        <f t="shared" si="56"/>
        <v>Yes</v>
      </c>
      <c r="J902" s="3" t="s">
        <v>686</v>
      </c>
      <c r="K902" s="3">
        <v>2004</v>
      </c>
      <c r="L902" s="3" t="str">
        <f t="shared" si="59"/>
        <v>Nov-2004</v>
      </c>
      <c r="M902" s="3" t="s">
        <v>550</v>
      </c>
      <c r="N902" s="3" t="s">
        <v>277</v>
      </c>
      <c r="O902" s="3" t="s">
        <v>32</v>
      </c>
      <c r="P902" s="3" t="s">
        <v>33</v>
      </c>
      <c r="Q902" s="3" t="s">
        <v>51</v>
      </c>
    </row>
    <row r="903" spans="1:17" x14ac:dyDescent="0.25">
      <c r="A903" s="5">
        <v>10333</v>
      </c>
      <c r="B903" s="5">
        <v>31</v>
      </c>
      <c r="C903" s="5">
        <v>90.17</v>
      </c>
      <c r="D903" s="5">
        <v>2795.27</v>
      </c>
      <c r="E903" s="5" t="str">
        <f t="shared" si="57"/>
        <v>Medium</v>
      </c>
      <c r="F903" s="5">
        <f t="shared" si="58"/>
        <v>838.58100000000002</v>
      </c>
      <c r="G903" s="6">
        <v>38309</v>
      </c>
      <c r="H903" s="5" t="s">
        <v>25</v>
      </c>
      <c r="I903" s="5" t="str">
        <f t="shared" si="56"/>
        <v>Yes</v>
      </c>
      <c r="J903" s="5" t="s">
        <v>686</v>
      </c>
      <c r="K903" s="5">
        <v>2004</v>
      </c>
      <c r="L903" s="5" t="str">
        <f t="shared" si="59"/>
        <v>Nov-2004</v>
      </c>
      <c r="M903" s="5" t="s">
        <v>550</v>
      </c>
      <c r="N903" s="5" t="s">
        <v>81</v>
      </c>
      <c r="O903" s="5" t="s">
        <v>32</v>
      </c>
      <c r="P903" s="5" t="s">
        <v>33</v>
      </c>
      <c r="Q903" s="5" t="s">
        <v>36</v>
      </c>
    </row>
    <row r="904" spans="1:17" x14ac:dyDescent="0.25">
      <c r="A904" s="3">
        <v>10347</v>
      </c>
      <c r="B904" s="3">
        <v>48</v>
      </c>
      <c r="C904" s="3">
        <v>100</v>
      </c>
      <c r="D904" s="3">
        <v>4800</v>
      </c>
      <c r="E904" s="3" t="str">
        <f t="shared" si="57"/>
        <v>Medium</v>
      </c>
      <c r="F904" s="3">
        <f t="shared" si="58"/>
        <v>1440</v>
      </c>
      <c r="G904" s="4">
        <v>38320</v>
      </c>
      <c r="H904" s="3" t="s">
        <v>25</v>
      </c>
      <c r="I904" s="3" t="str">
        <f t="shared" si="56"/>
        <v>Yes</v>
      </c>
      <c r="J904" s="3" t="s">
        <v>686</v>
      </c>
      <c r="K904" s="3">
        <v>2004</v>
      </c>
      <c r="L904" s="3" t="str">
        <f t="shared" si="59"/>
        <v>Nov-2004</v>
      </c>
      <c r="M904" s="3" t="s">
        <v>550</v>
      </c>
      <c r="N904" s="3" t="s">
        <v>89</v>
      </c>
      <c r="O904" s="3" t="s">
        <v>95</v>
      </c>
      <c r="P904" s="3" t="s">
        <v>96</v>
      </c>
      <c r="Q904" s="3" t="s">
        <v>51</v>
      </c>
    </row>
    <row r="905" spans="1:17" x14ac:dyDescent="0.25">
      <c r="A905" s="5">
        <v>10357</v>
      </c>
      <c r="B905" s="5">
        <v>41</v>
      </c>
      <c r="C905" s="5">
        <v>87.13</v>
      </c>
      <c r="D905" s="5">
        <v>3572.33</v>
      </c>
      <c r="E905" s="5" t="str">
        <f t="shared" si="57"/>
        <v>Medium</v>
      </c>
      <c r="F905" s="5">
        <f t="shared" si="58"/>
        <v>1071.6989999999998</v>
      </c>
      <c r="G905" s="6">
        <v>38331</v>
      </c>
      <c r="H905" s="5" t="s">
        <v>25</v>
      </c>
      <c r="I905" s="5" t="str">
        <f t="shared" si="56"/>
        <v>Yes</v>
      </c>
      <c r="J905" s="5" t="s">
        <v>687</v>
      </c>
      <c r="K905" s="5">
        <v>2004</v>
      </c>
      <c r="L905" s="5" t="str">
        <f t="shared" si="59"/>
        <v>Dec-2004</v>
      </c>
      <c r="M905" s="5" t="s">
        <v>550</v>
      </c>
      <c r="N905" s="5" t="s">
        <v>272</v>
      </c>
      <c r="O905" s="5" t="s">
        <v>32</v>
      </c>
      <c r="P905" s="5" t="s">
        <v>33</v>
      </c>
      <c r="Q905" s="5" t="s">
        <v>51</v>
      </c>
    </row>
    <row r="906" spans="1:17" x14ac:dyDescent="0.25">
      <c r="A906" s="3">
        <v>10369</v>
      </c>
      <c r="B906" s="3">
        <v>42</v>
      </c>
      <c r="C906" s="3">
        <v>100</v>
      </c>
      <c r="D906" s="3">
        <v>4200</v>
      </c>
      <c r="E906" s="3" t="str">
        <f t="shared" si="57"/>
        <v>Medium</v>
      </c>
      <c r="F906" s="3">
        <f t="shared" si="58"/>
        <v>1260</v>
      </c>
      <c r="G906" s="4">
        <v>38372</v>
      </c>
      <c r="H906" s="3" t="s">
        <v>25</v>
      </c>
      <c r="I906" s="3" t="str">
        <f t="shared" si="56"/>
        <v>Yes</v>
      </c>
      <c r="J906" s="3" t="s">
        <v>549</v>
      </c>
      <c r="K906" s="3">
        <v>2005</v>
      </c>
      <c r="L906" s="3" t="str">
        <f t="shared" si="59"/>
        <v>Jan-2005</v>
      </c>
      <c r="M906" s="3" t="s">
        <v>550</v>
      </c>
      <c r="N906" s="3" t="s">
        <v>281</v>
      </c>
      <c r="O906" s="3" t="s">
        <v>32</v>
      </c>
      <c r="P906" s="3" t="s">
        <v>33</v>
      </c>
      <c r="Q906" s="3" t="s">
        <v>51</v>
      </c>
    </row>
    <row r="907" spans="1:17" x14ac:dyDescent="0.25">
      <c r="A907" s="5">
        <v>10381</v>
      </c>
      <c r="B907" s="5">
        <v>41</v>
      </c>
      <c r="C907" s="5">
        <v>100</v>
      </c>
      <c r="D907" s="5">
        <v>4100</v>
      </c>
      <c r="E907" s="5" t="str">
        <f t="shared" si="57"/>
        <v>Medium</v>
      </c>
      <c r="F907" s="5">
        <f t="shared" si="58"/>
        <v>1230</v>
      </c>
      <c r="G907" s="6">
        <v>38400</v>
      </c>
      <c r="H907" s="5" t="s">
        <v>25</v>
      </c>
      <c r="I907" s="5" t="str">
        <f t="shared" si="56"/>
        <v>Yes</v>
      </c>
      <c r="J907" s="5" t="s">
        <v>681</v>
      </c>
      <c r="K907" s="5">
        <v>2005</v>
      </c>
      <c r="L907" s="5" t="str">
        <f t="shared" si="59"/>
        <v>Feb-2005</v>
      </c>
      <c r="M907" s="5" t="s">
        <v>550</v>
      </c>
      <c r="N907" s="5" t="s">
        <v>58</v>
      </c>
      <c r="O907" s="5" t="s">
        <v>32</v>
      </c>
      <c r="P907" s="5" t="s">
        <v>33</v>
      </c>
      <c r="Q907" s="5" t="s">
        <v>51</v>
      </c>
    </row>
    <row r="908" spans="1:17" x14ac:dyDescent="0.25">
      <c r="A908" s="3">
        <v>10391</v>
      </c>
      <c r="B908" s="3">
        <v>32</v>
      </c>
      <c r="C908" s="3">
        <v>45.25</v>
      </c>
      <c r="D908" s="3">
        <v>1448</v>
      </c>
      <c r="E908" s="3" t="str">
        <f t="shared" si="57"/>
        <v>Low</v>
      </c>
      <c r="F908" s="3">
        <f t="shared" si="58"/>
        <v>434.4</v>
      </c>
      <c r="G908" s="4">
        <v>38420</v>
      </c>
      <c r="H908" s="3" t="s">
        <v>25</v>
      </c>
      <c r="I908" s="3" t="str">
        <f t="shared" si="56"/>
        <v>Yes</v>
      </c>
      <c r="J908" s="3" t="s">
        <v>691</v>
      </c>
      <c r="K908" s="3">
        <v>2005</v>
      </c>
      <c r="L908" s="3" t="str">
        <f t="shared" si="59"/>
        <v>Mar-2005</v>
      </c>
      <c r="M908" s="3" t="s">
        <v>550</v>
      </c>
      <c r="N908" s="3" t="s">
        <v>285</v>
      </c>
      <c r="O908" s="3" t="s">
        <v>95</v>
      </c>
      <c r="P908" s="3" t="s">
        <v>96</v>
      </c>
      <c r="Q908" s="3" t="s">
        <v>36</v>
      </c>
    </row>
    <row r="909" spans="1:17" x14ac:dyDescent="0.25">
      <c r="A909" s="5">
        <v>10423</v>
      </c>
      <c r="B909" s="5">
        <v>10</v>
      </c>
      <c r="C909" s="5">
        <v>88.14</v>
      </c>
      <c r="D909" s="5">
        <v>881.4</v>
      </c>
      <c r="E909" s="5" t="str">
        <f t="shared" si="57"/>
        <v>Low</v>
      </c>
      <c r="F909" s="5">
        <f t="shared" si="58"/>
        <v>264.41999999999996</v>
      </c>
      <c r="G909" s="6">
        <v>38502</v>
      </c>
      <c r="H909" s="5" t="s">
        <v>300</v>
      </c>
      <c r="I909" s="5" t="str">
        <f t="shared" si="56"/>
        <v>No</v>
      </c>
      <c r="J909" s="5" t="s">
        <v>682</v>
      </c>
      <c r="K909" s="5">
        <v>2005</v>
      </c>
      <c r="L909" s="5" t="str">
        <f t="shared" si="59"/>
        <v>May-2005</v>
      </c>
      <c r="M909" s="5" t="s">
        <v>550</v>
      </c>
      <c r="N909" s="5" t="s">
        <v>365</v>
      </c>
      <c r="O909" s="5" t="s">
        <v>370</v>
      </c>
      <c r="P909" s="5" t="s">
        <v>42</v>
      </c>
      <c r="Q909" s="5" t="s">
        <v>36</v>
      </c>
    </row>
    <row r="910" spans="1:17" x14ac:dyDescent="0.25">
      <c r="A910" s="3">
        <v>10103</v>
      </c>
      <c r="B910" s="3">
        <v>35</v>
      </c>
      <c r="C910" s="3">
        <v>57.46</v>
      </c>
      <c r="D910" s="3">
        <v>2011.1000000000001</v>
      </c>
      <c r="E910" s="3" t="str">
        <f t="shared" si="57"/>
        <v>Medium</v>
      </c>
      <c r="F910" s="3">
        <f t="shared" si="58"/>
        <v>603.33000000000004</v>
      </c>
      <c r="G910" s="4">
        <v>37650</v>
      </c>
      <c r="H910" s="3" t="s">
        <v>25</v>
      </c>
      <c r="I910" s="3" t="str">
        <f t="shared" si="56"/>
        <v>Yes</v>
      </c>
      <c r="J910" s="3" t="s">
        <v>549</v>
      </c>
      <c r="K910" s="3">
        <v>2003</v>
      </c>
      <c r="L910" s="3" t="str">
        <f t="shared" si="59"/>
        <v>Jan-2003</v>
      </c>
      <c r="M910" s="3" t="s">
        <v>550</v>
      </c>
      <c r="N910" s="3" t="s">
        <v>133</v>
      </c>
      <c r="O910" s="3" t="s">
        <v>78</v>
      </c>
      <c r="P910" s="3" t="s">
        <v>42</v>
      </c>
      <c r="Q910" s="3" t="s">
        <v>36</v>
      </c>
    </row>
    <row r="911" spans="1:17" x14ac:dyDescent="0.25">
      <c r="A911" s="5">
        <v>10111</v>
      </c>
      <c r="B911" s="5">
        <v>28</v>
      </c>
      <c r="C911" s="5">
        <v>64.33</v>
      </c>
      <c r="D911" s="5">
        <v>1801.24</v>
      </c>
      <c r="E911" s="5" t="str">
        <f t="shared" si="57"/>
        <v>Low</v>
      </c>
      <c r="F911" s="5">
        <f t="shared" si="58"/>
        <v>540.37199999999996</v>
      </c>
      <c r="G911" s="6">
        <v>37705</v>
      </c>
      <c r="H911" s="5" t="s">
        <v>25</v>
      </c>
      <c r="I911" s="5" t="str">
        <f t="shared" si="56"/>
        <v>Yes</v>
      </c>
      <c r="J911" s="5" t="s">
        <v>691</v>
      </c>
      <c r="K911" s="5">
        <v>2003</v>
      </c>
      <c r="L911" s="5" t="str">
        <f t="shared" si="59"/>
        <v>Mar-2003</v>
      </c>
      <c r="M911" s="5" t="s">
        <v>550</v>
      </c>
      <c r="N911" s="5" t="s">
        <v>81</v>
      </c>
      <c r="O911" s="5" t="s">
        <v>32</v>
      </c>
      <c r="P911" s="5" t="s">
        <v>33</v>
      </c>
      <c r="Q911" s="5" t="s">
        <v>36</v>
      </c>
    </row>
    <row r="912" spans="1:17" x14ac:dyDescent="0.25">
      <c r="A912" s="3">
        <v>10126</v>
      </c>
      <c r="B912" s="3">
        <v>46</v>
      </c>
      <c r="C912" s="3">
        <v>73.7</v>
      </c>
      <c r="D912" s="3">
        <v>3390.2000000000003</v>
      </c>
      <c r="E912" s="3" t="str">
        <f t="shared" si="57"/>
        <v>Medium</v>
      </c>
      <c r="F912" s="3">
        <f t="shared" si="58"/>
        <v>1017.0600000000001</v>
      </c>
      <c r="G912" s="4">
        <v>37769</v>
      </c>
      <c r="H912" s="3" t="s">
        <v>25</v>
      </c>
      <c r="I912" s="3" t="str">
        <f t="shared" si="56"/>
        <v>Yes</v>
      </c>
      <c r="J912" s="3" t="s">
        <v>682</v>
      </c>
      <c r="K912" s="3">
        <v>2003</v>
      </c>
      <c r="L912" s="3" t="str">
        <f t="shared" si="59"/>
        <v>May-2003</v>
      </c>
      <c r="M912" s="3" t="s">
        <v>550</v>
      </c>
      <c r="N912" s="3" t="s">
        <v>191</v>
      </c>
      <c r="O912" s="3" t="s">
        <v>178</v>
      </c>
      <c r="P912" s="3" t="s">
        <v>42</v>
      </c>
      <c r="Q912" s="3" t="s">
        <v>51</v>
      </c>
    </row>
    <row r="913" spans="1:17" x14ac:dyDescent="0.25">
      <c r="A913" s="5">
        <v>10139</v>
      </c>
      <c r="B913" s="5">
        <v>20</v>
      </c>
      <c r="C913" s="5">
        <v>71.2</v>
      </c>
      <c r="D913" s="5">
        <v>1424</v>
      </c>
      <c r="E913" s="5" t="str">
        <f t="shared" si="57"/>
        <v>Low</v>
      </c>
      <c r="F913" s="5">
        <f t="shared" si="58"/>
        <v>427.2</v>
      </c>
      <c r="G913" s="6">
        <v>37818</v>
      </c>
      <c r="H913" s="5" t="s">
        <v>25</v>
      </c>
      <c r="I913" s="5" t="str">
        <f t="shared" si="56"/>
        <v>Yes</v>
      </c>
      <c r="J913" s="5" t="s">
        <v>683</v>
      </c>
      <c r="K913" s="5">
        <v>2003</v>
      </c>
      <c r="L913" s="5" t="str">
        <f t="shared" si="59"/>
        <v>Jul-2003</v>
      </c>
      <c r="M913" s="5" t="s">
        <v>550</v>
      </c>
      <c r="N913" s="5" t="s">
        <v>152</v>
      </c>
      <c r="O913" s="5" t="s">
        <v>95</v>
      </c>
      <c r="P913" s="5" t="s">
        <v>96</v>
      </c>
      <c r="Q913" s="5" t="s">
        <v>36</v>
      </c>
    </row>
    <row r="914" spans="1:17" x14ac:dyDescent="0.25">
      <c r="A914" s="3">
        <v>10150</v>
      </c>
      <c r="B914" s="3">
        <v>30</v>
      </c>
      <c r="C914" s="3">
        <v>49.97</v>
      </c>
      <c r="D914" s="3">
        <v>1499.1</v>
      </c>
      <c r="E914" s="3" t="str">
        <f t="shared" si="57"/>
        <v>Low</v>
      </c>
      <c r="F914" s="3">
        <f t="shared" si="58"/>
        <v>449.72999999999996</v>
      </c>
      <c r="G914" s="4">
        <v>37883</v>
      </c>
      <c r="H914" s="3" t="s">
        <v>25</v>
      </c>
      <c r="I914" s="3" t="str">
        <f t="shared" si="56"/>
        <v>Yes</v>
      </c>
      <c r="J914" s="3" t="s">
        <v>690</v>
      </c>
      <c r="K914" s="3">
        <v>2003</v>
      </c>
      <c r="L914" s="3" t="str">
        <f t="shared" si="59"/>
        <v>Sep-2003</v>
      </c>
      <c r="M914" s="3" t="s">
        <v>550</v>
      </c>
      <c r="N914" s="3" t="s">
        <v>196</v>
      </c>
      <c r="O914" s="3" t="s">
        <v>199</v>
      </c>
      <c r="P914" s="3" t="s">
        <v>675</v>
      </c>
      <c r="Q914" s="3" t="s">
        <v>36</v>
      </c>
    </row>
    <row r="915" spans="1:17" x14ac:dyDescent="0.25">
      <c r="A915" s="5">
        <v>10163</v>
      </c>
      <c r="B915" s="5">
        <v>48</v>
      </c>
      <c r="C915" s="5">
        <v>69.959999999999994</v>
      </c>
      <c r="D915" s="5">
        <v>3358.08</v>
      </c>
      <c r="E915" s="5" t="str">
        <f t="shared" si="57"/>
        <v>Medium</v>
      </c>
      <c r="F915" s="5">
        <f t="shared" si="58"/>
        <v>1007.424</v>
      </c>
      <c r="G915" s="6">
        <v>37914</v>
      </c>
      <c r="H915" s="5" t="s">
        <v>25</v>
      </c>
      <c r="I915" s="5" t="str">
        <f t="shared" si="56"/>
        <v>Yes</v>
      </c>
      <c r="J915" s="5" t="s">
        <v>685</v>
      </c>
      <c r="K915" s="5">
        <v>2003</v>
      </c>
      <c r="L915" s="5" t="str">
        <f t="shared" si="59"/>
        <v>Oct-2003</v>
      </c>
      <c r="M915" s="5" t="s">
        <v>550</v>
      </c>
      <c r="N915" s="5" t="s">
        <v>203</v>
      </c>
      <c r="O915" s="5" t="s">
        <v>32</v>
      </c>
      <c r="P915" s="5" t="s">
        <v>33</v>
      </c>
      <c r="Q915" s="5" t="s">
        <v>51</v>
      </c>
    </row>
    <row r="916" spans="1:17" x14ac:dyDescent="0.25">
      <c r="A916" s="3">
        <v>10173</v>
      </c>
      <c r="B916" s="3">
        <v>28</v>
      </c>
      <c r="C916" s="3">
        <v>53.72</v>
      </c>
      <c r="D916" s="3">
        <v>1504.1599999999999</v>
      </c>
      <c r="E916" s="3" t="str">
        <f t="shared" si="57"/>
        <v>Low</v>
      </c>
      <c r="F916" s="3">
        <f t="shared" si="58"/>
        <v>451.24799999999993</v>
      </c>
      <c r="G916" s="4">
        <v>37930</v>
      </c>
      <c r="H916" s="3" t="s">
        <v>25</v>
      </c>
      <c r="I916" s="3" t="str">
        <f t="shared" si="56"/>
        <v>Yes</v>
      </c>
      <c r="J916" s="3" t="s">
        <v>686</v>
      </c>
      <c r="K916" s="3">
        <v>2003</v>
      </c>
      <c r="L916" s="3" t="str">
        <f t="shared" si="59"/>
        <v>Nov-2003</v>
      </c>
      <c r="M916" s="3" t="s">
        <v>550</v>
      </c>
      <c r="N916" s="3" t="s">
        <v>552</v>
      </c>
      <c r="O916" s="3" t="s">
        <v>258</v>
      </c>
      <c r="P916" s="3" t="s">
        <v>42</v>
      </c>
      <c r="Q916" s="3" t="s">
        <v>36</v>
      </c>
    </row>
    <row r="917" spans="1:17" x14ac:dyDescent="0.25">
      <c r="A917" s="5">
        <v>10183</v>
      </c>
      <c r="B917" s="5">
        <v>39</v>
      </c>
      <c r="C917" s="5">
        <v>68.08</v>
      </c>
      <c r="D917" s="5">
        <v>2655.12</v>
      </c>
      <c r="E917" s="5" t="str">
        <f t="shared" si="57"/>
        <v>Medium</v>
      </c>
      <c r="F917" s="5">
        <f t="shared" si="58"/>
        <v>796.53599999999994</v>
      </c>
      <c r="G917" s="6">
        <v>37938</v>
      </c>
      <c r="H917" s="5" t="s">
        <v>25</v>
      </c>
      <c r="I917" s="5" t="str">
        <f t="shared" si="56"/>
        <v>Yes</v>
      </c>
      <c r="J917" s="5" t="s">
        <v>686</v>
      </c>
      <c r="K917" s="5">
        <v>2003</v>
      </c>
      <c r="L917" s="5" t="str">
        <f t="shared" si="59"/>
        <v>Nov-2003</v>
      </c>
      <c r="M917" s="5" t="s">
        <v>550</v>
      </c>
      <c r="N917" s="5" t="s">
        <v>214</v>
      </c>
      <c r="O917" s="5" t="s">
        <v>32</v>
      </c>
      <c r="P917" s="5" t="s">
        <v>33</v>
      </c>
      <c r="Q917" s="5" t="s">
        <v>36</v>
      </c>
    </row>
    <row r="918" spans="1:17" x14ac:dyDescent="0.25">
      <c r="A918" s="3">
        <v>10193</v>
      </c>
      <c r="B918" s="3">
        <v>24</v>
      </c>
      <c r="C918" s="3">
        <v>51.84</v>
      </c>
      <c r="D918" s="3">
        <v>1244.1600000000001</v>
      </c>
      <c r="E918" s="3" t="str">
        <f t="shared" si="57"/>
        <v>Low</v>
      </c>
      <c r="F918" s="3">
        <f t="shared" si="58"/>
        <v>373.24799999999999</v>
      </c>
      <c r="G918" s="4">
        <v>37946</v>
      </c>
      <c r="H918" s="3" t="s">
        <v>25</v>
      </c>
      <c r="I918" s="3" t="str">
        <f t="shared" si="56"/>
        <v>Yes</v>
      </c>
      <c r="J918" s="3" t="s">
        <v>686</v>
      </c>
      <c r="K918" s="3">
        <v>2003</v>
      </c>
      <c r="L918" s="3" t="str">
        <f t="shared" si="59"/>
        <v>Nov-2003</v>
      </c>
      <c r="M918" s="3" t="s">
        <v>550</v>
      </c>
      <c r="N918" s="3" t="s">
        <v>558</v>
      </c>
      <c r="O918" s="3" t="s">
        <v>95</v>
      </c>
      <c r="P918" s="3" t="s">
        <v>96</v>
      </c>
      <c r="Q918" s="3" t="s">
        <v>36</v>
      </c>
    </row>
    <row r="919" spans="1:17" x14ac:dyDescent="0.25">
      <c r="A919" s="5">
        <v>10206</v>
      </c>
      <c r="B919" s="5">
        <v>28</v>
      </c>
      <c r="C919" s="5">
        <v>67.459999999999994</v>
      </c>
      <c r="D919" s="5">
        <v>1888.8799999999999</v>
      </c>
      <c r="E919" s="5" t="str">
        <f t="shared" si="57"/>
        <v>Low</v>
      </c>
      <c r="F919" s="5">
        <f t="shared" si="58"/>
        <v>566.66399999999999</v>
      </c>
      <c r="G919" s="6">
        <v>37960</v>
      </c>
      <c r="H919" s="5" t="s">
        <v>25</v>
      </c>
      <c r="I919" s="5" t="str">
        <f t="shared" si="56"/>
        <v>Yes</v>
      </c>
      <c r="J919" s="5" t="s">
        <v>687</v>
      </c>
      <c r="K919" s="5">
        <v>2003</v>
      </c>
      <c r="L919" s="5" t="str">
        <f t="shared" si="59"/>
        <v>Dec-2003</v>
      </c>
      <c r="M919" s="5" t="s">
        <v>550</v>
      </c>
      <c r="N919" s="5" t="s">
        <v>225</v>
      </c>
      <c r="O919" s="5" t="s">
        <v>231</v>
      </c>
      <c r="P919" s="5" t="s">
        <v>33</v>
      </c>
      <c r="Q919" s="5" t="s">
        <v>36</v>
      </c>
    </row>
    <row r="920" spans="1:17" x14ac:dyDescent="0.25">
      <c r="A920" s="3">
        <v>10215</v>
      </c>
      <c r="B920" s="3">
        <v>31</v>
      </c>
      <c r="C920" s="3">
        <v>58.71</v>
      </c>
      <c r="D920" s="3">
        <v>1820.01</v>
      </c>
      <c r="E920" s="3" t="str">
        <f t="shared" si="57"/>
        <v>Low</v>
      </c>
      <c r="F920" s="3">
        <f t="shared" si="58"/>
        <v>546.00299999999993</v>
      </c>
      <c r="G920" s="4">
        <v>38015</v>
      </c>
      <c r="H920" s="3" t="s">
        <v>25</v>
      </c>
      <c r="I920" s="3" t="str">
        <f t="shared" si="56"/>
        <v>Yes</v>
      </c>
      <c r="J920" s="3" t="s">
        <v>549</v>
      </c>
      <c r="K920" s="3">
        <v>2004</v>
      </c>
      <c r="L920" s="3" t="str">
        <f t="shared" si="59"/>
        <v>Jan-2004</v>
      </c>
      <c r="M920" s="3" t="s">
        <v>550</v>
      </c>
      <c r="N920" s="3" t="s">
        <v>234</v>
      </c>
      <c r="O920" s="3" t="s">
        <v>32</v>
      </c>
      <c r="P920" s="3" t="s">
        <v>33</v>
      </c>
      <c r="Q920" s="3" t="s">
        <v>36</v>
      </c>
    </row>
    <row r="921" spans="1:17" x14ac:dyDescent="0.25">
      <c r="A921" s="5">
        <v>10228</v>
      </c>
      <c r="B921" s="5">
        <v>45</v>
      </c>
      <c r="C921" s="5">
        <v>63.71</v>
      </c>
      <c r="D921" s="5">
        <v>2866.95</v>
      </c>
      <c r="E921" s="5" t="str">
        <f t="shared" si="57"/>
        <v>Medium</v>
      </c>
      <c r="F921" s="5">
        <f t="shared" si="58"/>
        <v>860.08499999999992</v>
      </c>
      <c r="G921" s="6">
        <v>38056</v>
      </c>
      <c r="H921" s="5" t="s">
        <v>25</v>
      </c>
      <c r="I921" s="5" t="str">
        <f t="shared" si="56"/>
        <v>Yes</v>
      </c>
      <c r="J921" s="5" t="s">
        <v>691</v>
      </c>
      <c r="K921" s="5">
        <v>2004</v>
      </c>
      <c r="L921" s="5" t="str">
        <f t="shared" si="59"/>
        <v>Mar-2004</v>
      </c>
      <c r="M921" s="5" t="s">
        <v>550</v>
      </c>
      <c r="N921" s="5" t="s">
        <v>239</v>
      </c>
      <c r="O921" s="5" t="s">
        <v>32</v>
      </c>
      <c r="P921" s="5" t="s">
        <v>33</v>
      </c>
      <c r="Q921" s="5" t="s">
        <v>36</v>
      </c>
    </row>
    <row r="922" spans="1:17" x14ac:dyDescent="0.25">
      <c r="A922" s="3">
        <v>10244</v>
      </c>
      <c r="B922" s="3">
        <v>24</v>
      </c>
      <c r="C922" s="3">
        <v>58.09</v>
      </c>
      <c r="D922" s="3">
        <v>1394.16</v>
      </c>
      <c r="E922" s="3" t="str">
        <f t="shared" si="57"/>
        <v>Low</v>
      </c>
      <c r="F922" s="3">
        <f t="shared" si="58"/>
        <v>418.24799999999999</v>
      </c>
      <c r="G922" s="4">
        <v>38106</v>
      </c>
      <c r="H922" s="3" t="s">
        <v>25</v>
      </c>
      <c r="I922" s="3" t="str">
        <f t="shared" si="56"/>
        <v>Yes</v>
      </c>
      <c r="J922" s="3" t="s">
        <v>688</v>
      </c>
      <c r="K922" s="3">
        <v>2004</v>
      </c>
      <c r="L922" s="3" t="str">
        <f t="shared" si="59"/>
        <v>Apr-2004</v>
      </c>
      <c r="M922" s="3" t="s">
        <v>550</v>
      </c>
      <c r="N922" s="3" t="s">
        <v>174</v>
      </c>
      <c r="O922" s="3" t="s">
        <v>178</v>
      </c>
      <c r="P922" s="3" t="s">
        <v>42</v>
      </c>
      <c r="Q922" s="3" t="s">
        <v>36</v>
      </c>
    </row>
    <row r="923" spans="1:17" x14ac:dyDescent="0.25">
      <c r="A923" s="5">
        <v>10257</v>
      </c>
      <c r="B923" s="5">
        <v>49</v>
      </c>
      <c r="C923" s="5">
        <v>53.72</v>
      </c>
      <c r="D923" s="5">
        <v>2632.2799999999997</v>
      </c>
      <c r="E923" s="5" t="str">
        <f t="shared" si="57"/>
        <v>Medium</v>
      </c>
      <c r="F923" s="5">
        <f t="shared" si="58"/>
        <v>789.68399999999986</v>
      </c>
      <c r="G923" s="6">
        <v>38152</v>
      </c>
      <c r="H923" s="5" t="s">
        <v>25</v>
      </c>
      <c r="I923" s="5" t="str">
        <f t="shared" si="56"/>
        <v>Yes</v>
      </c>
      <c r="J923" s="5" t="s">
        <v>689</v>
      </c>
      <c r="K923" s="5">
        <v>2004</v>
      </c>
      <c r="L923" s="5" t="str">
        <f t="shared" si="59"/>
        <v>Jun-2004</v>
      </c>
      <c r="M923" s="5" t="s">
        <v>550</v>
      </c>
      <c r="N923" s="5" t="s">
        <v>397</v>
      </c>
      <c r="O923" s="5" t="s">
        <v>32</v>
      </c>
      <c r="P923" s="5" t="s">
        <v>33</v>
      </c>
      <c r="Q923" s="5" t="s">
        <v>36</v>
      </c>
    </row>
    <row r="924" spans="1:17" x14ac:dyDescent="0.25">
      <c r="A924" s="3">
        <v>10269</v>
      </c>
      <c r="B924" s="3">
        <v>32</v>
      </c>
      <c r="C924" s="3">
        <v>63.08</v>
      </c>
      <c r="D924" s="3">
        <v>2018.56</v>
      </c>
      <c r="E924" s="3" t="str">
        <f t="shared" si="57"/>
        <v>Medium</v>
      </c>
      <c r="F924" s="3">
        <f t="shared" si="58"/>
        <v>605.56799999999998</v>
      </c>
      <c r="G924" s="4">
        <v>38184</v>
      </c>
      <c r="H924" s="3" t="s">
        <v>25</v>
      </c>
      <c r="I924" s="3" t="str">
        <f t="shared" si="56"/>
        <v>Yes</v>
      </c>
      <c r="J924" s="3" t="s">
        <v>683</v>
      </c>
      <c r="K924" s="3">
        <v>2004</v>
      </c>
      <c r="L924" s="3" t="str">
        <f t="shared" si="59"/>
        <v>Jul-2004</v>
      </c>
      <c r="M924" s="3" t="s">
        <v>550</v>
      </c>
      <c r="N924" s="3" t="s">
        <v>144</v>
      </c>
      <c r="O924" s="3" t="s">
        <v>148</v>
      </c>
      <c r="P924" s="3" t="s">
        <v>42</v>
      </c>
      <c r="Q924" s="3" t="s">
        <v>36</v>
      </c>
    </row>
    <row r="925" spans="1:17" x14ac:dyDescent="0.25">
      <c r="A925" s="5">
        <v>10280</v>
      </c>
      <c r="B925" s="5">
        <v>43</v>
      </c>
      <c r="C925" s="5">
        <v>68.709999999999994</v>
      </c>
      <c r="D925" s="5">
        <v>2954.5299999999997</v>
      </c>
      <c r="E925" s="5" t="str">
        <f t="shared" si="57"/>
        <v>Medium</v>
      </c>
      <c r="F925" s="5">
        <f t="shared" si="58"/>
        <v>886.35899999999992</v>
      </c>
      <c r="G925" s="6">
        <v>38216</v>
      </c>
      <c r="H925" s="5" t="s">
        <v>25</v>
      </c>
      <c r="I925" s="5" t="str">
        <f t="shared" si="56"/>
        <v>Yes</v>
      </c>
      <c r="J925" s="5" t="s">
        <v>684</v>
      </c>
      <c r="K925" s="5">
        <v>2004</v>
      </c>
      <c r="L925" s="5" t="str">
        <f t="shared" si="59"/>
        <v>Aug-2004</v>
      </c>
      <c r="M925" s="5" t="s">
        <v>550</v>
      </c>
      <c r="N925" s="5" t="s">
        <v>254</v>
      </c>
      <c r="O925" s="5" t="s">
        <v>258</v>
      </c>
      <c r="P925" s="5" t="s">
        <v>42</v>
      </c>
      <c r="Q925" s="5" t="s">
        <v>36</v>
      </c>
    </row>
    <row r="926" spans="1:17" x14ac:dyDescent="0.25">
      <c r="A926" s="3">
        <v>10291</v>
      </c>
      <c r="B926" s="3">
        <v>37</v>
      </c>
      <c r="C926" s="3">
        <v>50.59</v>
      </c>
      <c r="D926" s="3">
        <v>1871.8300000000002</v>
      </c>
      <c r="E926" s="3" t="str">
        <f t="shared" si="57"/>
        <v>Low</v>
      </c>
      <c r="F926" s="3">
        <f t="shared" si="58"/>
        <v>561.54899999999998</v>
      </c>
      <c r="G926" s="4">
        <v>38238</v>
      </c>
      <c r="H926" s="3" t="s">
        <v>25</v>
      </c>
      <c r="I926" s="3" t="str">
        <f t="shared" si="56"/>
        <v>Yes</v>
      </c>
      <c r="J926" s="3" t="s">
        <v>690</v>
      </c>
      <c r="K926" s="3">
        <v>2004</v>
      </c>
      <c r="L926" s="3" t="str">
        <f t="shared" si="59"/>
        <v>Sep-2004</v>
      </c>
      <c r="M926" s="3" t="s">
        <v>550</v>
      </c>
      <c r="N926" s="3" t="s">
        <v>261</v>
      </c>
      <c r="O926" s="3" t="s">
        <v>188</v>
      </c>
      <c r="P926" s="3" t="s">
        <v>42</v>
      </c>
      <c r="Q926" s="3" t="s">
        <v>36</v>
      </c>
    </row>
    <row r="927" spans="1:17" x14ac:dyDescent="0.25">
      <c r="A927" s="5">
        <v>10304</v>
      </c>
      <c r="B927" s="5">
        <v>24</v>
      </c>
      <c r="C927" s="5">
        <v>64.959999999999994</v>
      </c>
      <c r="D927" s="5">
        <v>1559.04</v>
      </c>
      <c r="E927" s="5" t="str">
        <f t="shared" si="57"/>
        <v>Low</v>
      </c>
      <c r="F927" s="5">
        <f t="shared" si="58"/>
        <v>467.71199999999999</v>
      </c>
      <c r="G927" s="6">
        <v>38271</v>
      </c>
      <c r="H927" s="5" t="s">
        <v>25</v>
      </c>
      <c r="I927" s="5" t="str">
        <f t="shared" si="56"/>
        <v>Yes</v>
      </c>
      <c r="J927" s="5" t="s">
        <v>685</v>
      </c>
      <c r="K927" s="5">
        <v>2004</v>
      </c>
      <c r="L927" s="5" t="str">
        <f t="shared" si="59"/>
        <v>Oct-2004</v>
      </c>
      <c r="M927" s="5" t="s">
        <v>550</v>
      </c>
      <c r="N927" s="5" t="s">
        <v>267</v>
      </c>
      <c r="O927" s="5" t="s">
        <v>41</v>
      </c>
      <c r="P927" s="5" t="s">
        <v>42</v>
      </c>
      <c r="Q927" s="5" t="s">
        <v>36</v>
      </c>
    </row>
    <row r="928" spans="1:17" x14ac:dyDescent="0.25">
      <c r="A928" s="3">
        <v>10312</v>
      </c>
      <c r="B928" s="3">
        <v>35</v>
      </c>
      <c r="C928" s="3">
        <v>53.72</v>
      </c>
      <c r="D928" s="3">
        <v>1880.2</v>
      </c>
      <c r="E928" s="3" t="str">
        <f t="shared" si="57"/>
        <v>Low</v>
      </c>
      <c r="F928" s="3">
        <f t="shared" si="58"/>
        <v>564.05999999999995</v>
      </c>
      <c r="G928" s="4">
        <v>38281</v>
      </c>
      <c r="H928" s="3" t="s">
        <v>25</v>
      </c>
      <c r="I928" s="3" t="str">
        <f t="shared" si="56"/>
        <v>Yes</v>
      </c>
      <c r="J928" s="3" t="s">
        <v>685</v>
      </c>
      <c r="K928" s="3">
        <v>2004</v>
      </c>
      <c r="L928" s="3" t="str">
        <f t="shared" si="59"/>
        <v>Oct-2004</v>
      </c>
      <c r="M928" s="3" t="s">
        <v>550</v>
      </c>
      <c r="N928" s="3" t="s">
        <v>272</v>
      </c>
      <c r="O928" s="3" t="s">
        <v>32</v>
      </c>
      <c r="P928" s="3" t="s">
        <v>33</v>
      </c>
      <c r="Q928" s="3" t="s">
        <v>36</v>
      </c>
    </row>
    <row r="929" spans="1:17" x14ac:dyDescent="0.25">
      <c r="A929" s="5">
        <v>10322</v>
      </c>
      <c r="B929" s="5">
        <v>41</v>
      </c>
      <c r="C929" s="5">
        <v>29.87</v>
      </c>
      <c r="D929" s="5">
        <v>1224.67</v>
      </c>
      <c r="E929" s="5" t="str">
        <f t="shared" si="57"/>
        <v>Low</v>
      </c>
      <c r="F929" s="5">
        <f t="shared" si="58"/>
        <v>367.40100000000001</v>
      </c>
      <c r="G929" s="6">
        <v>38295</v>
      </c>
      <c r="H929" s="5" t="s">
        <v>25</v>
      </c>
      <c r="I929" s="5" t="str">
        <f t="shared" si="56"/>
        <v>Yes</v>
      </c>
      <c r="J929" s="5" t="s">
        <v>686</v>
      </c>
      <c r="K929" s="5">
        <v>2004</v>
      </c>
      <c r="L929" s="5" t="str">
        <f t="shared" si="59"/>
        <v>Nov-2004</v>
      </c>
      <c r="M929" s="5" t="s">
        <v>550</v>
      </c>
      <c r="N929" s="5" t="s">
        <v>277</v>
      </c>
      <c r="O929" s="5" t="s">
        <v>32</v>
      </c>
      <c r="P929" s="5" t="s">
        <v>33</v>
      </c>
      <c r="Q929" s="5" t="s">
        <v>36</v>
      </c>
    </row>
    <row r="930" spans="1:17" x14ac:dyDescent="0.25">
      <c r="A930" s="3">
        <v>10332</v>
      </c>
      <c r="B930" s="3">
        <v>26</v>
      </c>
      <c r="C930" s="3">
        <v>100</v>
      </c>
      <c r="D930" s="3">
        <v>2600</v>
      </c>
      <c r="E930" s="3" t="str">
        <f t="shared" si="57"/>
        <v>Medium</v>
      </c>
      <c r="F930" s="3">
        <f t="shared" si="58"/>
        <v>780</v>
      </c>
      <c r="G930" s="4">
        <v>38308</v>
      </c>
      <c r="H930" s="3" t="s">
        <v>25</v>
      </c>
      <c r="I930" s="3" t="str">
        <f t="shared" si="56"/>
        <v>Yes</v>
      </c>
      <c r="J930" s="3" t="s">
        <v>686</v>
      </c>
      <c r="K930" s="3">
        <v>2004</v>
      </c>
      <c r="L930" s="3" t="str">
        <f t="shared" si="59"/>
        <v>Nov-2004</v>
      </c>
      <c r="M930" s="3" t="s">
        <v>550</v>
      </c>
      <c r="N930" s="3" t="s">
        <v>492</v>
      </c>
      <c r="O930" s="3" t="s">
        <v>170</v>
      </c>
      <c r="P930" s="3" t="s">
        <v>42</v>
      </c>
      <c r="Q930" s="3" t="s">
        <v>36</v>
      </c>
    </row>
    <row r="931" spans="1:17" x14ac:dyDescent="0.25">
      <c r="A931" s="5">
        <v>10347</v>
      </c>
      <c r="B931" s="5">
        <v>34</v>
      </c>
      <c r="C931" s="5">
        <v>64.959999999999994</v>
      </c>
      <c r="D931" s="5">
        <v>2208.64</v>
      </c>
      <c r="E931" s="5" t="str">
        <f t="shared" si="57"/>
        <v>Medium</v>
      </c>
      <c r="F931" s="5">
        <f t="shared" si="58"/>
        <v>662.59199999999998</v>
      </c>
      <c r="G931" s="6">
        <v>38320</v>
      </c>
      <c r="H931" s="5" t="s">
        <v>25</v>
      </c>
      <c r="I931" s="5" t="str">
        <f t="shared" si="56"/>
        <v>Yes</v>
      </c>
      <c r="J931" s="5" t="s">
        <v>686</v>
      </c>
      <c r="K931" s="5">
        <v>2004</v>
      </c>
      <c r="L931" s="5" t="str">
        <f t="shared" si="59"/>
        <v>Nov-2004</v>
      </c>
      <c r="M931" s="5" t="s">
        <v>550</v>
      </c>
      <c r="N931" s="5" t="s">
        <v>89</v>
      </c>
      <c r="O931" s="5" t="s">
        <v>95</v>
      </c>
      <c r="P931" s="5" t="s">
        <v>96</v>
      </c>
      <c r="Q931" s="5" t="s">
        <v>36</v>
      </c>
    </row>
    <row r="932" spans="1:17" x14ac:dyDescent="0.25">
      <c r="A932" s="3">
        <v>10357</v>
      </c>
      <c r="B932" s="3">
        <v>49</v>
      </c>
      <c r="C932" s="3">
        <v>70.58</v>
      </c>
      <c r="D932" s="3">
        <v>3458.42</v>
      </c>
      <c r="E932" s="3" t="str">
        <f t="shared" si="57"/>
        <v>Medium</v>
      </c>
      <c r="F932" s="3">
        <f t="shared" si="58"/>
        <v>1037.5260000000001</v>
      </c>
      <c r="G932" s="4">
        <v>38331</v>
      </c>
      <c r="H932" s="3" t="s">
        <v>25</v>
      </c>
      <c r="I932" s="3" t="str">
        <f t="shared" si="56"/>
        <v>Yes</v>
      </c>
      <c r="J932" s="3" t="s">
        <v>687</v>
      </c>
      <c r="K932" s="3">
        <v>2004</v>
      </c>
      <c r="L932" s="3" t="str">
        <f t="shared" si="59"/>
        <v>Dec-2004</v>
      </c>
      <c r="M932" s="3" t="s">
        <v>550</v>
      </c>
      <c r="N932" s="3" t="s">
        <v>272</v>
      </c>
      <c r="O932" s="3" t="s">
        <v>32</v>
      </c>
      <c r="P932" s="3" t="s">
        <v>33</v>
      </c>
      <c r="Q932" s="3" t="s">
        <v>51</v>
      </c>
    </row>
    <row r="933" spans="1:17" x14ac:dyDescent="0.25">
      <c r="A933" s="5">
        <v>10369</v>
      </c>
      <c r="B933" s="5">
        <v>28</v>
      </c>
      <c r="C933" s="5">
        <v>44.21</v>
      </c>
      <c r="D933" s="5">
        <v>1237.8800000000001</v>
      </c>
      <c r="E933" s="5" t="str">
        <f t="shared" si="57"/>
        <v>Low</v>
      </c>
      <c r="F933" s="5">
        <f t="shared" si="58"/>
        <v>371.36400000000003</v>
      </c>
      <c r="G933" s="6">
        <v>38372</v>
      </c>
      <c r="H933" s="5" t="s">
        <v>25</v>
      </c>
      <c r="I933" s="5" t="str">
        <f t="shared" si="56"/>
        <v>Yes</v>
      </c>
      <c r="J933" s="5" t="s">
        <v>549</v>
      </c>
      <c r="K933" s="5">
        <v>2005</v>
      </c>
      <c r="L933" s="5" t="str">
        <f t="shared" si="59"/>
        <v>Jan-2005</v>
      </c>
      <c r="M933" s="5" t="s">
        <v>550</v>
      </c>
      <c r="N933" s="5" t="s">
        <v>281</v>
      </c>
      <c r="O933" s="5" t="s">
        <v>32</v>
      </c>
      <c r="P933" s="5" t="s">
        <v>33</v>
      </c>
      <c r="Q933" s="5" t="s">
        <v>36</v>
      </c>
    </row>
    <row r="934" spans="1:17" x14ac:dyDescent="0.25">
      <c r="A934" s="3">
        <v>10381</v>
      </c>
      <c r="B934" s="3">
        <v>40</v>
      </c>
      <c r="C934" s="3">
        <v>68.08</v>
      </c>
      <c r="D934" s="3">
        <v>2723.2</v>
      </c>
      <c r="E934" s="3" t="str">
        <f t="shared" si="57"/>
        <v>Medium</v>
      </c>
      <c r="F934" s="3">
        <f t="shared" si="58"/>
        <v>816.95999999999992</v>
      </c>
      <c r="G934" s="4">
        <v>38400</v>
      </c>
      <c r="H934" s="3" t="s">
        <v>25</v>
      </c>
      <c r="I934" s="3" t="str">
        <f t="shared" si="56"/>
        <v>Yes</v>
      </c>
      <c r="J934" s="3" t="s">
        <v>681</v>
      </c>
      <c r="K934" s="3">
        <v>2005</v>
      </c>
      <c r="L934" s="3" t="str">
        <f t="shared" si="59"/>
        <v>Feb-2005</v>
      </c>
      <c r="M934" s="3" t="s">
        <v>550</v>
      </c>
      <c r="N934" s="3" t="s">
        <v>58</v>
      </c>
      <c r="O934" s="3" t="s">
        <v>32</v>
      </c>
      <c r="P934" s="3" t="s">
        <v>33</v>
      </c>
      <c r="Q934" s="3" t="s">
        <v>36</v>
      </c>
    </row>
    <row r="935" spans="1:17" x14ac:dyDescent="0.25">
      <c r="A935" s="5">
        <v>10392</v>
      </c>
      <c r="B935" s="5">
        <v>37</v>
      </c>
      <c r="C935" s="5">
        <v>59.96</v>
      </c>
      <c r="D935" s="5">
        <v>2218.52</v>
      </c>
      <c r="E935" s="5" t="str">
        <f t="shared" si="57"/>
        <v>Medium</v>
      </c>
      <c r="F935" s="5">
        <f t="shared" si="58"/>
        <v>665.55599999999993</v>
      </c>
      <c r="G935" s="6">
        <v>38421</v>
      </c>
      <c r="H935" s="5" t="s">
        <v>25</v>
      </c>
      <c r="I935" s="5" t="str">
        <f t="shared" si="56"/>
        <v>Yes</v>
      </c>
      <c r="J935" s="5" t="s">
        <v>691</v>
      </c>
      <c r="K935" s="5">
        <v>2005</v>
      </c>
      <c r="L935" s="5" t="str">
        <f t="shared" si="59"/>
        <v>Mar-2005</v>
      </c>
      <c r="M935" s="5" t="s">
        <v>550</v>
      </c>
      <c r="N935" s="5" t="s">
        <v>409</v>
      </c>
      <c r="O935" s="5" t="s">
        <v>148</v>
      </c>
      <c r="P935" s="5" t="s">
        <v>42</v>
      </c>
      <c r="Q935" s="5" t="s">
        <v>36</v>
      </c>
    </row>
    <row r="936" spans="1:17" x14ac:dyDescent="0.25">
      <c r="A936" s="3">
        <v>10423</v>
      </c>
      <c r="B936" s="3">
        <v>31</v>
      </c>
      <c r="C936" s="3">
        <v>53.72</v>
      </c>
      <c r="D936" s="3">
        <v>1665.32</v>
      </c>
      <c r="E936" s="3" t="str">
        <f t="shared" si="57"/>
        <v>Low</v>
      </c>
      <c r="F936" s="3">
        <f t="shared" si="58"/>
        <v>499.59599999999995</v>
      </c>
      <c r="G936" s="4">
        <v>38502</v>
      </c>
      <c r="H936" s="3" t="s">
        <v>300</v>
      </c>
      <c r="I936" s="3" t="str">
        <f t="shared" si="56"/>
        <v>No</v>
      </c>
      <c r="J936" s="3" t="s">
        <v>682</v>
      </c>
      <c r="K936" s="3">
        <v>2005</v>
      </c>
      <c r="L936" s="3" t="str">
        <f t="shared" si="59"/>
        <v>May-2005</v>
      </c>
      <c r="M936" s="3" t="s">
        <v>550</v>
      </c>
      <c r="N936" s="3" t="s">
        <v>365</v>
      </c>
      <c r="O936" s="3" t="s">
        <v>370</v>
      </c>
      <c r="P936" s="3" t="s">
        <v>42</v>
      </c>
      <c r="Q936" s="3" t="s">
        <v>36</v>
      </c>
    </row>
    <row r="937" spans="1:17" x14ac:dyDescent="0.25">
      <c r="A937" s="5">
        <v>10106</v>
      </c>
      <c r="B937" s="5">
        <v>41</v>
      </c>
      <c r="C937" s="5">
        <v>83.44</v>
      </c>
      <c r="D937" s="5">
        <v>3421.04</v>
      </c>
      <c r="E937" s="5" t="str">
        <f t="shared" si="57"/>
        <v>Medium</v>
      </c>
      <c r="F937" s="5">
        <f t="shared" si="58"/>
        <v>1026.3119999999999</v>
      </c>
      <c r="G937" s="6">
        <v>37669</v>
      </c>
      <c r="H937" s="5" t="s">
        <v>25</v>
      </c>
      <c r="I937" s="5" t="str">
        <f t="shared" si="56"/>
        <v>Yes</v>
      </c>
      <c r="J937" s="5" t="s">
        <v>681</v>
      </c>
      <c r="K937" s="5">
        <v>2003</v>
      </c>
      <c r="L937" s="5" t="str">
        <f t="shared" si="59"/>
        <v>Feb-2003</v>
      </c>
      <c r="M937" s="5" t="s">
        <v>598</v>
      </c>
      <c r="N937" s="5" t="s">
        <v>552</v>
      </c>
      <c r="O937" s="5" t="s">
        <v>258</v>
      </c>
      <c r="P937" s="5" t="s">
        <v>42</v>
      </c>
      <c r="Q937" s="5" t="s">
        <v>51</v>
      </c>
    </row>
    <row r="938" spans="1:17" x14ac:dyDescent="0.25">
      <c r="A938" s="3">
        <v>10119</v>
      </c>
      <c r="B938" s="3">
        <v>21</v>
      </c>
      <c r="C938" s="3">
        <v>89.46</v>
      </c>
      <c r="D938" s="3">
        <v>1878.6599999999999</v>
      </c>
      <c r="E938" s="3" t="str">
        <f t="shared" si="57"/>
        <v>Low</v>
      </c>
      <c r="F938" s="3">
        <f t="shared" si="58"/>
        <v>563.59799999999996</v>
      </c>
      <c r="G938" s="4">
        <v>37739</v>
      </c>
      <c r="H938" s="3" t="s">
        <v>25</v>
      </c>
      <c r="I938" s="3" t="str">
        <f t="shared" si="56"/>
        <v>Yes</v>
      </c>
      <c r="J938" s="3" t="s">
        <v>688</v>
      </c>
      <c r="K938" s="3">
        <v>2003</v>
      </c>
      <c r="L938" s="3" t="str">
        <f t="shared" si="59"/>
        <v>Apr-2003</v>
      </c>
      <c r="M938" s="3" t="s">
        <v>598</v>
      </c>
      <c r="N938" s="3" t="s">
        <v>144</v>
      </c>
      <c r="O938" s="3" t="s">
        <v>148</v>
      </c>
      <c r="P938" s="3" t="s">
        <v>42</v>
      </c>
      <c r="Q938" s="3" t="s">
        <v>36</v>
      </c>
    </row>
    <row r="939" spans="1:17" x14ac:dyDescent="0.25">
      <c r="A939" s="5">
        <v>10130</v>
      </c>
      <c r="B939" s="5">
        <v>40</v>
      </c>
      <c r="C939" s="5">
        <v>96.34</v>
      </c>
      <c r="D939" s="5">
        <v>3853.6000000000004</v>
      </c>
      <c r="E939" s="5" t="str">
        <f t="shared" si="57"/>
        <v>Medium</v>
      </c>
      <c r="F939" s="5">
        <f t="shared" si="58"/>
        <v>1156.0800000000002</v>
      </c>
      <c r="G939" s="6">
        <v>37788</v>
      </c>
      <c r="H939" s="5" t="s">
        <v>25</v>
      </c>
      <c r="I939" s="5" t="str">
        <f t="shared" si="56"/>
        <v>Yes</v>
      </c>
      <c r="J939" s="5" t="s">
        <v>689</v>
      </c>
      <c r="K939" s="5">
        <v>2003</v>
      </c>
      <c r="L939" s="5" t="str">
        <f t="shared" si="59"/>
        <v>Jun-2003</v>
      </c>
      <c r="M939" s="5" t="s">
        <v>598</v>
      </c>
      <c r="N939" s="5" t="s">
        <v>600</v>
      </c>
      <c r="O939" s="5" t="s">
        <v>32</v>
      </c>
      <c r="P939" s="5" t="s">
        <v>33</v>
      </c>
      <c r="Q939" s="5" t="s">
        <v>51</v>
      </c>
    </row>
    <row r="940" spans="1:17" x14ac:dyDescent="0.25">
      <c r="A940" s="3">
        <v>10143</v>
      </c>
      <c r="B940" s="3">
        <v>46</v>
      </c>
      <c r="C940" s="3">
        <v>74.84</v>
      </c>
      <c r="D940" s="3">
        <v>3442.6400000000003</v>
      </c>
      <c r="E940" s="3" t="str">
        <f t="shared" si="57"/>
        <v>Medium</v>
      </c>
      <c r="F940" s="3">
        <f t="shared" si="58"/>
        <v>1032.7920000000001</v>
      </c>
      <c r="G940" s="4">
        <v>37843</v>
      </c>
      <c r="H940" s="3" t="s">
        <v>25</v>
      </c>
      <c r="I940" s="3" t="str">
        <f t="shared" si="56"/>
        <v>Yes</v>
      </c>
      <c r="J940" s="3" t="s">
        <v>684</v>
      </c>
      <c r="K940" s="3">
        <v>2003</v>
      </c>
      <c r="L940" s="3" t="str">
        <f t="shared" si="59"/>
        <v>Aug-2003</v>
      </c>
      <c r="M940" s="3" t="s">
        <v>598</v>
      </c>
      <c r="N940" s="3" t="s">
        <v>335</v>
      </c>
      <c r="O940" s="3" t="s">
        <v>32</v>
      </c>
      <c r="P940" s="3" t="s">
        <v>33</v>
      </c>
      <c r="Q940" s="3" t="s">
        <v>51</v>
      </c>
    </row>
    <row r="941" spans="1:17" x14ac:dyDescent="0.25">
      <c r="A941" s="5">
        <v>10155</v>
      </c>
      <c r="B941" s="5">
        <v>44</v>
      </c>
      <c r="C941" s="5">
        <v>79.14</v>
      </c>
      <c r="D941" s="5">
        <v>3482.16</v>
      </c>
      <c r="E941" s="5" t="str">
        <f t="shared" si="57"/>
        <v>Medium</v>
      </c>
      <c r="F941" s="5">
        <f t="shared" si="58"/>
        <v>1044.6479999999999</v>
      </c>
      <c r="G941" s="6">
        <v>37900</v>
      </c>
      <c r="H941" s="5" t="s">
        <v>25</v>
      </c>
      <c r="I941" s="5" t="str">
        <f t="shared" si="56"/>
        <v>Yes</v>
      </c>
      <c r="J941" s="5" t="s">
        <v>685</v>
      </c>
      <c r="K941" s="5">
        <v>2003</v>
      </c>
      <c r="L941" s="5" t="str">
        <f t="shared" si="59"/>
        <v>Oct-2003</v>
      </c>
      <c r="M941" s="5" t="s">
        <v>598</v>
      </c>
      <c r="N941" s="5" t="s">
        <v>126</v>
      </c>
      <c r="O941" s="5" t="s">
        <v>130</v>
      </c>
      <c r="P941" s="5" t="s">
        <v>42</v>
      </c>
      <c r="Q941" s="5" t="s">
        <v>51</v>
      </c>
    </row>
    <row r="942" spans="1:17" x14ac:dyDescent="0.25">
      <c r="A942" s="3">
        <v>10167</v>
      </c>
      <c r="B942" s="3">
        <v>46</v>
      </c>
      <c r="C942" s="3">
        <v>73.12</v>
      </c>
      <c r="D942" s="3">
        <v>3363.5200000000004</v>
      </c>
      <c r="E942" s="3" t="str">
        <f t="shared" si="57"/>
        <v>Medium</v>
      </c>
      <c r="F942" s="3">
        <f t="shared" si="58"/>
        <v>1009.056</v>
      </c>
      <c r="G942" s="4">
        <v>37917</v>
      </c>
      <c r="H942" s="3" t="s">
        <v>339</v>
      </c>
      <c r="I942" s="3" t="str">
        <f t="shared" si="56"/>
        <v>No</v>
      </c>
      <c r="J942" s="3" t="s">
        <v>685</v>
      </c>
      <c r="K942" s="3">
        <v>2003</v>
      </c>
      <c r="L942" s="3" t="str">
        <f t="shared" si="59"/>
        <v>Oct-2003</v>
      </c>
      <c r="M942" s="3" t="s">
        <v>598</v>
      </c>
      <c r="N942" s="3" t="s">
        <v>261</v>
      </c>
      <c r="O942" s="3" t="s">
        <v>188</v>
      </c>
      <c r="P942" s="3" t="s">
        <v>42</v>
      </c>
      <c r="Q942" s="3" t="s">
        <v>51</v>
      </c>
    </row>
    <row r="943" spans="1:17" x14ac:dyDescent="0.25">
      <c r="A943" s="5">
        <v>10178</v>
      </c>
      <c r="B943" s="5">
        <v>41</v>
      </c>
      <c r="C943" s="5">
        <v>81.72</v>
      </c>
      <c r="D943" s="5">
        <v>3350.52</v>
      </c>
      <c r="E943" s="5" t="str">
        <f t="shared" si="57"/>
        <v>Medium</v>
      </c>
      <c r="F943" s="5">
        <f t="shared" si="58"/>
        <v>1005.1559999999999</v>
      </c>
      <c r="G943" s="6">
        <v>37933</v>
      </c>
      <c r="H943" s="5" t="s">
        <v>25</v>
      </c>
      <c r="I943" s="5" t="str">
        <f t="shared" si="56"/>
        <v>Yes</v>
      </c>
      <c r="J943" s="5" t="s">
        <v>686</v>
      </c>
      <c r="K943" s="5">
        <v>2003</v>
      </c>
      <c r="L943" s="5" t="str">
        <f t="shared" si="59"/>
        <v>Nov-2003</v>
      </c>
      <c r="M943" s="5" t="s">
        <v>598</v>
      </c>
      <c r="N943" s="5" t="s">
        <v>340</v>
      </c>
      <c r="O943" s="5" t="s">
        <v>41</v>
      </c>
      <c r="P943" s="5" t="s">
        <v>42</v>
      </c>
      <c r="Q943" s="5" t="s">
        <v>51</v>
      </c>
    </row>
    <row r="944" spans="1:17" x14ac:dyDescent="0.25">
      <c r="A944" s="3">
        <v>10186</v>
      </c>
      <c r="B944" s="3">
        <v>32</v>
      </c>
      <c r="C944" s="3">
        <v>89.46</v>
      </c>
      <c r="D944" s="3">
        <v>2862.72</v>
      </c>
      <c r="E944" s="3" t="str">
        <f t="shared" si="57"/>
        <v>Medium</v>
      </c>
      <c r="F944" s="3">
        <f t="shared" si="58"/>
        <v>858.81599999999992</v>
      </c>
      <c r="G944" s="4">
        <v>37939</v>
      </c>
      <c r="H944" s="3" t="s">
        <v>25</v>
      </c>
      <c r="I944" s="3" t="str">
        <f t="shared" si="56"/>
        <v>Yes</v>
      </c>
      <c r="J944" s="3" t="s">
        <v>686</v>
      </c>
      <c r="K944" s="3">
        <v>2003</v>
      </c>
      <c r="L944" s="3" t="str">
        <f t="shared" si="59"/>
        <v>Nov-2003</v>
      </c>
      <c r="M944" s="3" t="s">
        <v>598</v>
      </c>
      <c r="N944" s="3" t="s">
        <v>346</v>
      </c>
      <c r="O944" s="3" t="s">
        <v>170</v>
      </c>
      <c r="P944" s="3" t="s">
        <v>42</v>
      </c>
      <c r="Q944" s="3" t="s">
        <v>36</v>
      </c>
    </row>
    <row r="945" spans="1:17" x14ac:dyDescent="0.25">
      <c r="A945" s="5">
        <v>10197</v>
      </c>
      <c r="B945" s="5">
        <v>46</v>
      </c>
      <c r="C945" s="5">
        <v>87.74</v>
      </c>
      <c r="D945" s="5">
        <v>4036.04</v>
      </c>
      <c r="E945" s="5" t="str">
        <f t="shared" si="57"/>
        <v>Medium</v>
      </c>
      <c r="F945" s="5">
        <f t="shared" si="58"/>
        <v>1210.8119999999999</v>
      </c>
      <c r="G945" s="6">
        <v>37951</v>
      </c>
      <c r="H945" s="5" t="s">
        <v>25</v>
      </c>
      <c r="I945" s="5" t="str">
        <f t="shared" si="56"/>
        <v>Yes</v>
      </c>
      <c r="J945" s="5" t="s">
        <v>686</v>
      </c>
      <c r="K945" s="5">
        <v>2003</v>
      </c>
      <c r="L945" s="5" t="str">
        <f t="shared" si="59"/>
        <v>Nov-2003</v>
      </c>
      <c r="M945" s="5" t="s">
        <v>598</v>
      </c>
      <c r="N945" s="5" t="s">
        <v>352</v>
      </c>
      <c r="O945" s="5" t="s">
        <v>178</v>
      </c>
      <c r="P945" s="5" t="s">
        <v>42</v>
      </c>
      <c r="Q945" s="5" t="s">
        <v>51</v>
      </c>
    </row>
    <row r="946" spans="1:17" x14ac:dyDescent="0.25">
      <c r="A946" s="3">
        <v>10209</v>
      </c>
      <c r="B946" s="3">
        <v>28</v>
      </c>
      <c r="C946" s="3">
        <v>100</v>
      </c>
      <c r="D946" s="3">
        <v>2800</v>
      </c>
      <c r="E946" s="3" t="str">
        <f t="shared" si="57"/>
        <v>Medium</v>
      </c>
      <c r="F946" s="3">
        <f t="shared" si="58"/>
        <v>840</v>
      </c>
      <c r="G946" s="4">
        <v>37995</v>
      </c>
      <c r="H946" s="3" t="s">
        <v>25</v>
      </c>
      <c r="I946" s="3" t="str">
        <f t="shared" si="56"/>
        <v>Yes</v>
      </c>
      <c r="J946" s="3" t="s">
        <v>549</v>
      </c>
      <c r="K946" s="3">
        <v>2004</v>
      </c>
      <c r="L946" s="3" t="str">
        <f t="shared" si="59"/>
        <v>Jan-2004</v>
      </c>
      <c r="M946" s="3" t="s">
        <v>598</v>
      </c>
      <c r="N946" s="3" t="s">
        <v>358</v>
      </c>
      <c r="O946" s="3" t="s">
        <v>32</v>
      </c>
      <c r="P946" s="3" t="s">
        <v>33</v>
      </c>
      <c r="Q946" s="3" t="s">
        <v>36</v>
      </c>
    </row>
    <row r="947" spans="1:17" x14ac:dyDescent="0.25">
      <c r="A947" s="5">
        <v>10222</v>
      </c>
      <c r="B947" s="5">
        <v>49</v>
      </c>
      <c r="C947" s="5">
        <v>94.62</v>
      </c>
      <c r="D947" s="5">
        <v>4636.38</v>
      </c>
      <c r="E947" s="5" t="str">
        <f t="shared" si="57"/>
        <v>Medium</v>
      </c>
      <c r="F947" s="5">
        <f t="shared" si="58"/>
        <v>1390.914</v>
      </c>
      <c r="G947" s="6">
        <v>38036</v>
      </c>
      <c r="H947" s="5" t="s">
        <v>25</v>
      </c>
      <c r="I947" s="5" t="str">
        <f t="shared" si="56"/>
        <v>Yes</v>
      </c>
      <c r="J947" s="5" t="s">
        <v>681</v>
      </c>
      <c r="K947" s="5">
        <v>2004</v>
      </c>
      <c r="L947" s="5" t="str">
        <f t="shared" si="59"/>
        <v>Feb-2004</v>
      </c>
      <c r="M947" s="5" t="s">
        <v>598</v>
      </c>
      <c r="N947" s="5" t="s">
        <v>362</v>
      </c>
      <c r="O947" s="5" t="s">
        <v>32</v>
      </c>
      <c r="P947" s="5" t="s">
        <v>33</v>
      </c>
      <c r="Q947" s="5" t="s">
        <v>51</v>
      </c>
    </row>
    <row r="948" spans="1:17" x14ac:dyDescent="0.25">
      <c r="A948" s="3">
        <v>10248</v>
      </c>
      <c r="B948" s="3">
        <v>21</v>
      </c>
      <c r="C948" s="3">
        <v>73.98</v>
      </c>
      <c r="D948" s="3">
        <v>1553.5800000000002</v>
      </c>
      <c r="E948" s="3" t="str">
        <f t="shared" si="57"/>
        <v>Low</v>
      </c>
      <c r="F948" s="3">
        <f t="shared" si="58"/>
        <v>466.07400000000001</v>
      </c>
      <c r="G948" s="4">
        <v>38114</v>
      </c>
      <c r="H948" s="3" t="s">
        <v>339</v>
      </c>
      <c r="I948" s="3" t="str">
        <f t="shared" si="56"/>
        <v>No</v>
      </c>
      <c r="J948" s="3" t="s">
        <v>682</v>
      </c>
      <c r="K948" s="3">
        <v>2004</v>
      </c>
      <c r="L948" s="3" t="str">
        <f t="shared" si="59"/>
        <v>May-2004</v>
      </c>
      <c r="M948" s="3" t="s">
        <v>598</v>
      </c>
      <c r="N948" s="3" t="s">
        <v>28</v>
      </c>
      <c r="O948" s="3" t="s">
        <v>32</v>
      </c>
      <c r="P948" s="3" t="s">
        <v>33</v>
      </c>
      <c r="Q948" s="3" t="s">
        <v>36</v>
      </c>
    </row>
    <row r="949" spans="1:17" x14ac:dyDescent="0.25">
      <c r="A949" s="5">
        <v>10262</v>
      </c>
      <c r="B949" s="5">
        <v>32</v>
      </c>
      <c r="C949" s="5">
        <v>84.3</v>
      </c>
      <c r="D949" s="5">
        <v>2697.6</v>
      </c>
      <c r="E949" s="5" t="str">
        <f t="shared" si="57"/>
        <v>Medium</v>
      </c>
      <c r="F949" s="5">
        <f t="shared" si="58"/>
        <v>809.28</v>
      </c>
      <c r="G949" s="6">
        <v>38162</v>
      </c>
      <c r="H949" s="5" t="s">
        <v>339</v>
      </c>
      <c r="I949" s="5" t="str">
        <f t="shared" si="56"/>
        <v>No</v>
      </c>
      <c r="J949" s="5" t="s">
        <v>689</v>
      </c>
      <c r="K949" s="5">
        <v>2004</v>
      </c>
      <c r="L949" s="5" t="str">
        <f t="shared" si="59"/>
        <v>Jun-2004</v>
      </c>
      <c r="M949" s="5" t="s">
        <v>598</v>
      </c>
      <c r="N949" s="5" t="s">
        <v>174</v>
      </c>
      <c r="O949" s="5" t="s">
        <v>178</v>
      </c>
      <c r="P949" s="5" t="s">
        <v>42</v>
      </c>
      <c r="Q949" s="5" t="s">
        <v>36</v>
      </c>
    </row>
    <row r="950" spans="1:17" x14ac:dyDescent="0.25">
      <c r="A950" s="3">
        <v>10273</v>
      </c>
      <c r="B950" s="3">
        <v>34</v>
      </c>
      <c r="C950" s="3">
        <v>98.06</v>
      </c>
      <c r="D950" s="3">
        <v>3334.04</v>
      </c>
      <c r="E950" s="3" t="str">
        <f t="shared" si="57"/>
        <v>Medium</v>
      </c>
      <c r="F950" s="3">
        <f t="shared" si="58"/>
        <v>1000.212</v>
      </c>
      <c r="G950" s="4">
        <v>38189</v>
      </c>
      <c r="H950" s="3" t="s">
        <v>25</v>
      </c>
      <c r="I950" s="3" t="str">
        <f t="shared" si="56"/>
        <v>Yes</v>
      </c>
      <c r="J950" s="3" t="s">
        <v>683</v>
      </c>
      <c r="K950" s="3">
        <v>2004</v>
      </c>
      <c r="L950" s="3" t="str">
        <f t="shared" si="59"/>
        <v>Jul-2004</v>
      </c>
      <c r="M950" s="3" t="s">
        <v>598</v>
      </c>
      <c r="N950" s="3" t="s">
        <v>365</v>
      </c>
      <c r="O950" s="3" t="s">
        <v>370</v>
      </c>
      <c r="P950" s="3" t="s">
        <v>42</v>
      </c>
      <c r="Q950" s="3" t="s">
        <v>51</v>
      </c>
    </row>
    <row r="951" spans="1:17" x14ac:dyDescent="0.25">
      <c r="A951" s="5">
        <v>10283</v>
      </c>
      <c r="B951" s="5">
        <v>21</v>
      </c>
      <c r="C951" s="5">
        <v>98.06</v>
      </c>
      <c r="D951" s="5">
        <v>2059.2600000000002</v>
      </c>
      <c r="E951" s="5" t="str">
        <f t="shared" si="57"/>
        <v>Medium</v>
      </c>
      <c r="F951" s="5">
        <f t="shared" si="58"/>
        <v>617.77800000000002</v>
      </c>
      <c r="G951" s="6">
        <v>38219</v>
      </c>
      <c r="H951" s="5" t="s">
        <v>25</v>
      </c>
      <c r="I951" s="5" t="str">
        <f t="shared" si="56"/>
        <v>Yes</v>
      </c>
      <c r="J951" s="5" t="s">
        <v>684</v>
      </c>
      <c r="K951" s="5">
        <v>2004</v>
      </c>
      <c r="L951" s="5" t="str">
        <f t="shared" si="59"/>
        <v>Aug-2004</v>
      </c>
      <c r="M951" s="5" t="s">
        <v>598</v>
      </c>
      <c r="N951" s="5" t="s">
        <v>373</v>
      </c>
      <c r="O951" s="5" t="s">
        <v>231</v>
      </c>
      <c r="P951" s="5" t="s">
        <v>33</v>
      </c>
      <c r="Q951" s="5" t="s">
        <v>36</v>
      </c>
    </row>
    <row r="952" spans="1:17" x14ac:dyDescent="0.25">
      <c r="A952" s="3">
        <v>10296</v>
      </c>
      <c r="B952" s="3">
        <v>21</v>
      </c>
      <c r="C952" s="3">
        <v>96.34</v>
      </c>
      <c r="D952" s="3">
        <v>2023.14</v>
      </c>
      <c r="E952" s="3" t="str">
        <f t="shared" si="57"/>
        <v>Medium</v>
      </c>
      <c r="F952" s="3">
        <f t="shared" si="58"/>
        <v>606.94200000000001</v>
      </c>
      <c r="G952" s="4">
        <v>38245</v>
      </c>
      <c r="H952" s="3" t="s">
        <v>25</v>
      </c>
      <c r="I952" s="3" t="str">
        <f t="shared" si="56"/>
        <v>Yes</v>
      </c>
      <c r="J952" s="3" t="s">
        <v>690</v>
      </c>
      <c r="K952" s="3">
        <v>2004</v>
      </c>
      <c r="L952" s="3" t="str">
        <f t="shared" si="59"/>
        <v>Sep-2004</v>
      </c>
      <c r="M952" s="3" t="s">
        <v>598</v>
      </c>
      <c r="N952" s="3" t="s">
        <v>572</v>
      </c>
      <c r="O952" s="3" t="s">
        <v>443</v>
      </c>
      <c r="P952" s="3" t="s">
        <v>42</v>
      </c>
      <c r="Q952" s="3" t="s">
        <v>36</v>
      </c>
    </row>
    <row r="953" spans="1:17" x14ac:dyDescent="0.25">
      <c r="A953" s="5">
        <v>10307</v>
      </c>
      <c r="B953" s="5">
        <v>31</v>
      </c>
      <c r="C953" s="5">
        <v>83.44</v>
      </c>
      <c r="D953" s="5">
        <v>2586.64</v>
      </c>
      <c r="E953" s="5" t="str">
        <f t="shared" si="57"/>
        <v>Medium</v>
      </c>
      <c r="F953" s="5">
        <f t="shared" si="58"/>
        <v>775.99199999999996</v>
      </c>
      <c r="G953" s="6">
        <v>38274</v>
      </c>
      <c r="H953" s="5" t="s">
        <v>25</v>
      </c>
      <c r="I953" s="5" t="str">
        <f t="shared" si="56"/>
        <v>Yes</v>
      </c>
      <c r="J953" s="5" t="s">
        <v>685</v>
      </c>
      <c r="K953" s="5">
        <v>2004</v>
      </c>
      <c r="L953" s="5" t="str">
        <f t="shared" si="59"/>
        <v>Oct-2004</v>
      </c>
      <c r="M953" s="5" t="s">
        <v>598</v>
      </c>
      <c r="N953" s="5" t="s">
        <v>214</v>
      </c>
      <c r="O953" s="5" t="s">
        <v>32</v>
      </c>
      <c r="P953" s="5" t="s">
        <v>33</v>
      </c>
      <c r="Q953" s="5" t="s">
        <v>36</v>
      </c>
    </row>
    <row r="954" spans="1:17" x14ac:dyDescent="0.25">
      <c r="A954" s="3">
        <v>10316</v>
      </c>
      <c r="B954" s="3">
        <v>21</v>
      </c>
      <c r="C954" s="3">
        <v>94.62</v>
      </c>
      <c r="D954" s="3">
        <v>1987.02</v>
      </c>
      <c r="E954" s="3" t="str">
        <f t="shared" si="57"/>
        <v>Low</v>
      </c>
      <c r="F954" s="3">
        <f t="shared" si="58"/>
        <v>596.10599999999999</v>
      </c>
      <c r="G954" s="4">
        <v>38292</v>
      </c>
      <c r="H954" s="3" t="s">
        <v>25</v>
      </c>
      <c r="I954" s="3" t="str">
        <f t="shared" si="56"/>
        <v>Yes</v>
      </c>
      <c r="J954" s="3" t="s">
        <v>686</v>
      </c>
      <c r="K954" s="3">
        <v>2004</v>
      </c>
      <c r="L954" s="3" t="str">
        <f t="shared" si="59"/>
        <v>Nov-2004</v>
      </c>
      <c r="M954" s="3" t="s">
        <v>598</v>
      </c>
      <c r="N954" s="3" t="s">
        <v>383</v>
      </c>
      <c r="O954" s="3" t="s">
        <v>170</v>
      </c>
      <c r="P954" s="3" t="s">
        <v>42</v>
      </c>
      <c r="Q954" s="3" t="s">
        <v>36</v>
      </c>
    </row>
    <row r="955" spans="1:17" x14ac:dyDescent="0.25">
      <c r="A955" s="5">
        <v>10327</v>
      </c>
      <c r="B955" s="5">
        <v>25</v>
      </c>
      <c r="C955" s="5">
        <v>45.86</v>
      </c>
      <c r="D955" s="5">
        <v>1146.5</v>
      </c>
      <c r="E955" s="5" t="str">
        <f t="shared" si="57"/>
        <v>Low</v>
      </c>
      <c r="F955" s="5">
        <f t="shared" si="58"/>
        <v>343.95</v>
      </c>
      <c r="G955" s="6">
        <v>38301</v>
      </c>
      <c r="H955" s="5" t="s">
        <v>408</v>
      </c>
      <c r="I955" s="5" t="str">
        <f t="shared" si="56"/>
        <v>No</v>
      </c>
      <c r="J955" s="5" t="s">
        <v>686</v>
      </c>
      <c r="K955" s="5">
        <v>2004</v>
      </c>
      <c r="L955" s="5" t="str">
        <f t="shared" si="59"/>
        <v>Nov-2004</v>
      </c>
      <c r="M955" s="5" t="s">
        <v>598</v>
      </c>
      <c r="N955" s="5" t="s">
        <v>322</v>
      </c>
      <c r="O955" s="5" t="s">
        <v>326</v>
      </c>
      <c r="P955" s="5" t="s">
        <v>42</v>
      </c>
      <c r="Q955" s="5" t="s">
        <v>36</v>
      </c>
    </row>
    <row r="956" spans="1:17" x14ac:dyDescent="0.25">
      <c r="A956" s="3">
        <v>10338</v>
      </c>
      <c r="B956" s="3">
        <v>28</v>
      </c>
      <c r="C956" s="3">
        <v>82.58</v>
      </c>
      <c r="D956" s="3">
        <v>2312.2399999999998</v>
      </c>
      <c r="E956" s="3" t="str">
        <f t="shared" si="57"/>
        <v>Medium</v>
      </c>
      <c r="F956" s="3">
        <f t="shared" si="58"/>
        <v>693.67199999999991</v>
      </c>
      <c r="G956" s="4">
        <v>38313</v>
      </c>
      <c r="H956" s="3" t="s">
        <v>25</v>
      </c>
      <c r="I956" s="3" t="str">
        <f t="shared" si="56"/>
        <v>Yes</v>
      </c>
      <c r="J956" s="3" t="s">
        <v>686</v>
      </c>
      <c r="K956" s="3">
        <v>2004</v>
      </c>
      <c r="L956" s="3" t="str">
        <f t="shared" si="59"/>
        <v>Nov-2004</v>
      </c>
      <c r="M956" s="3" t="s">
        <v>598</v>
      </c>
      <c r="N956" s="3" t="s">
        <v>577</v>
      </c>
      <c r="O956" s="3" t="s">
        <v>370</v>
      </c>
      <c r="P956" s="3" t="s">
        <v>42</v>
      </c>
      <c r="Q956" s="3" t="s">
        <v>36</v>
      </c>
    </row>
    <row r="957" spans="1:17" x14ac:dyDescent="0.25">
      <c r="A957" s="5">
        <v>10350</v>
      </c>
      <c r="B957" s="5">
        <v>43</v>
      </c>
      <c r="C957" s="5">
        <v>64.97</v>
      </c>
      <c r="D957" s="5">
        <v>2793.71</v>
      </c>
      <c r="E957" s="5" t="str">
        <f t="shared" si="57"/>
        <v>Medium</v>
      </c>
      <c r="F957" s="5">
        <f t="shared" si="58"/>
        <v>838.11299999999994</v>
      </c>
      <c r="G957" s="6">
        <v>38323</v>
      </c>
      <c r="H957" s="5" t="s">
        <v>25</v>
      </c>
      <c r="I957" s="5" t="str">
        <f t="shared" si="56"/>
        <v>Yes</v>
      </c>
      <c r="J957" s="5" t="s">
        <v>687</v>
      </c>
      <c r="K957" s="5">
        <v>2004</v>
      </c>
      <c r="L957" s="5" t="str">
        <f t="shared" si="59"/>
        <v>Dec-2004</v>
      </c>
      <c r="M957" s="5" t="s">
        <v>598</v>
      </c>
      <c r="N957" s="5" t="s">
        <v>174</v>
      </c>
      <c r="O957" s="5" t="s">
        <v>178</v>
      </c>
      <c r="P957" s="5" t="s">
        <v>42</v>
      </c>
      <c r="Q957" s="5" t="s">
        <v>36</v>
      </c>
    </row>
    <row r="958" spans="1:17" x14ac:dyDescent="0.25">
      <c r="A958" s="3">
        <v>10373</v>
      </c>
      <c r="B958" s="3">
        <v>22</v>
      </c>
      <c r="C958" s="3">
        <v>86.74</v>
      </c>
      <c r="D958" s="3">
        <v>1908.28</v>
      </c>
      <c r="E958" s="3" t="str">
        <f t="shared" si="57"/>
        <v>Low</v>
      </c>
      <c r="F958" s="3">
        <f t="shared" si="58"/>
        <v>572.48399999999992</v>
      </c>
      <c r="G958" s="4">
        <v>38383</v>
      </c>
      <c r="H958" s="3" t="s">
        <v>25</v>
      </c>
      <c r="I958" s="3" t="str">
        <f t="shared" si="56"/>
        <v>Yes</v>
      </c>
      <c r="J958" s="3" t="s">
        <v>549</v>
      </c>
      <c r="K958" s="3">
        <v>2005</v>
      </c>
      <c r="L958" s="3" t="str">
        <f t="shared" si="59"/>
        <v>Jan-2005</v>
      </c>
      <c r="M958" s="3" t="s">
        <v>598</v>
      </c>
      <c r="N958" s="3" t="s">
        <v>391</v>
      </c>
      <c r="O958" s="3" t="s">
        <v>130</v>
      </c>
      <c r="P958" s="3" t="s">
        <v>42</v>
      </c>
      <c r="Q958" s="3" t="s">
        <v>36</v>
      </c>
    </row>
    <row r="959" spans="1:17" x14ac:dyDescent="0.25">
      <c r="A959" s="5">
        <v>10386</v>
      </c>
      <c r="B959" s="5">
        <v>37</v>
      </c>
      <c r="C959" s="5">
        <v>93.01</v>
      </c>
      <c r="D959" s="5">
        <v>3441.3700000000003</v>
      </c>
      <c r="E959" s="5" t="str">
        <f t="shared" si="57"/>
        <v>Medium</v>
      </c>
      <c r="F959" s="5">
        <f t="shared" si="58"/>
        <v>1032.4110000000001</v>
      </c>
      <c r="G959" s="6">
        <v>38412</v>
      </c>
      <c r="H959" s="5" t="s">
        <v>408</v>
      </c>
      <c r="I959" s="5" t="str">
        <f t="shared" si="56"/>
        <v>No</v>
      </c>
      <c r="J959" s="5" t="s">
        <v>691</v>
      </c>
      <c r="K959" s="5">
        <v>2005</v>
      </c>
      <c r="L959" s="5" t="str">
        <f t="shared" si="59"/>
        <v>Mar-2005</v>
      </c>
      <c r="M959" s="5" t="s">
        <v>598</v>
      </c>
      <c r="N959" s="5" t="s">
        <v>174</v>
      </c>
      <c r="O959" s="5" t="s">
        <v>178</v>
      </c>
      <c r="P959" s="5" t="s">
        <v>42</v>
      </c>
      <c r="Q959" s="5" t="s">
        <v>51</v>
      </c>
    </row>
    <row r="960" spans="1:17" x14ac:dyDescent="0.25">
      <c r="A960" s="3">
        <v>10398</v>
      </c>
      <c r="B960" s="3">
        <v>28</v>
      </c>
      <c r="C960" s="3">
        <v>72.260000000000005</v>
      </c>
      <c r="D960" s="3">
        <v>2023.2800000000002</v>
      </c>
      <c r="E960" s="3" t="str">
        <f t="shared" si="57"/>
        <v>Medium</v>
      </c>
      <c r="F960" s="3">
        <f t="shared" si="58"/>
        <v>606.98400000000004</v>
      </c>
      <c r="G960" s="4">
        <v>38441</v>
      </c>
      <c r="H960" s="3" t="s">
        <v>25</v>
      </c>
      <c r="I960" s="3" t="str">
        <f t="shared" si="56"/>
        <v>Yes</v>
      </c>
      <c r="J960" s="3" t="s">
        <v>691</v>
      </c>
      <c r="K960" s="3">
        <v>2005</v>
      </c>
      <c r="L960" s="3" t="str">
        <f t="shared" si="59"/>
        <v>Mar-2005</v>
      </c>
      <c r="M960" s="3" t="s">
        <v>598</v>
      </c>
      <c r="N960" s="3" t="s">
        <v>37</v>
      </c>
      <c r="O960" s="3" t="s">
        <v>41</v>
      </c>
      <c r="P960" s="3" t="s">
        <v>42</v>
      </c>
      <c r="Q960" s="3" t="s">
        <v>36</v>
      </c>
    </row>
    <row r="961" spans="1:17" x14ac:dyDescent="0.25">
      <c r="A961" s="5">
        <v>10400</v>
      </c>
      <c r="B961" s="5">
        <v>30</v>
      </c>
      <c r="C961" s="5">
        <v>74.84</v>
      </c>
      <c r="D961" s="5">
        <v>2245.2000000000003</v>
      </c>
      <c r="E961" s="5" t="str">
        <f t="shared" si="57"/>
        <v>Medium</v>
      </c>
      <c r="F961" s="5">
        <f t="shared" si="58"/>
        <v>673.56000000000006</v>
      </c>
      <c r="G961" s="6">
        <v>38443</v>
      </c>
      <c r="H961" s="5" t="s">
        <v>25</v>
      </c>
      <c r="I961" s="5" t="str">
        <f t="shared" si="56"/>
        <v>Yes</v>
      </c>
      <c r="J961" s="5" t="s">
        <v>688</v>
      </c>
      <c r="K961" s="5">
        <v>2005</v>
      </c>
      <c r="L961" s="5" t="str">
        <f t="shared" si="59"/>
        <v>Apr-2005</v>
      </c>
      <c r="M961" s="5" t="s">
        <v>598</v>
      </c>
      <c r="N961" s="5" t="s">
        <v>397</v>
      </c>
      <c r="O961" s="5" t="s">
        <v>32</v>
      </c>
      <c r="P961" s="5" t="s">
        <v>33</v>
      </c>
      <c r="Q961" s="5" t="s">
        <v>36</v>
      </c>
    </row>
    <row r="962" spans="1:17" x14ac:dyDescent="0.25">
      <c r="A962" s="3">
        <v>10414</v>
      </c>
      <c r="B962" s="3">
        <v>44</v>
      </c>
      <c r="C962" s="3">
        <v>73.98</v>
      </c>
      <c r="D962" s="3">
        <v>3255.1200000000003</v>
      </c>
      <c r="E962" s="3" t="str">
        <f t="shared" si="57"/>
        <v>Medium</v>
      </c>
      <c r="F962" s="3">
        <f t="shared" si="58"/>
        <v>976.53600000000006</v>
      </c>
      <c r="G962" s="4">
        <v>38478</v>
      </c>
      <c r="H962" s="3" t="s">
        <v>401</v>
      </c>
      <c r="I962" s="3" t="str">
        <f t="shared" ref="I962:I1025" si="60">IF(H962="Shipped","Yes","No")</f>
        <v>No</v>
      </c>
      <c r="J962" s="3" t="s">
        <v>682</v>
      </c>
      <c r="K962" s="3">
        <v>2005</v>
      </c>
      <c r="L962" s="3" t="str">
        <f t="shared" si="59"/>
        <v>May-2005</v>
      </c>
      <c r="M962" s="3" t="s">
        <v>598</v>
      </c>
      <c r="N962" s="3" t="s">
        <v>379</v>
      </c>
      <c r="O962" s="3" t="s">
        <v>32</v>
      </c>
      <c r="P962" s="3" t="s">
        <v>33</v>
      </c>
      <c r="Q962" s="3" t="s">
        <v>51</v>
      </c>
    </row>
    <row r="963" spans="1:17" x14ac:dyDescent="0.25">
      <c r="A963" s="5">
        <v>10103</v>
      </c>
      <c r="B963" s="5">
        <v>25</v>
      </c>
      <c r="C963" s="5">
        <v>100</v>
      </c>
      <c r="D963" s="5">
        <v>2500</v>
      </c>
      <c r="E963" s="5" t="str">
        <f t="shared" ref="E963:E1026" si="61">IF(D963&gt;=5000,"High",IF(D963&gt;=2000,"Medium","Low"))</f>
        <v>Medium</v>
      </c>
      <c r="F963" s="5">
        <f t="shared" ref="F963:F1026" si="62">(D963*0.3)</f>
        <v>750</v>
      </c>
      <c r="G963" s="6">
        <v>37650</v>
      </c>
      <c r="H963" s="5" t="s">
        <v>25</v>
      </c>
      <c r="I963" s="5" t="str">
        <f t="shared" si="60"/>
        <v>Yes</v>
      </c>
      <c r="J963" s="5" t="s">
        <v>549</v>
      </c>
      <c r="K963" s="5">
        <v>2003</v>
      </c>
      <c r="L963" s="5" t="str">
        <f t="shared" ref="L963:L1026" si="63">TEXT(G:G,"MMM-YYYY")</f>
        <v>Jan-2003</v>
      </c>
      <c r="M963" s="5" t="s">
        <v>550</v>
      </c>
      <c r="N963" s="5" t="s">
        <v>133</v>
      </c>
      <c r="O963" s="5" t="s">
        <v>78</v>
      </c>
      <c r="P963" s="5" t="s">
        <v>42</v>
      </c>
      <c r="Q963" s="5" t="s">
        <v>36</v>
      </c>
    </row>
    <row r="964" spans="1:17" x14ac:dyDescent="0.25">
      <c r="A964" s="3">
        <v>10111</v>
      </c>
      <c r="B964" s="3">
        <v>43</v>
      </c>
      <c r="C964" s="3">
        <v>100</v>
      </c>
      <c r="D964" s="3">
        <v>4300</v>
      </c>
      <c r="E964" s="3" t="str">
        <f t="shared" si="61"/>
        <v>Medium</v>
      </c>
      <c r="F964" s="3">
        <f t="shared" si="62"/>
        <v>1290</v>
      </c>
      <c r="G964" s="4">
        <v>37705</v>
      </c>
      <c r="H964" s="3" t="s">
        <v>25</v>
      </c>
      <c r="I964" s="3" t="str">
        <f t="shared" si="60"/>
        <v>Yes</v>
      </c>
      <c r="J964" s="3" t="s">
        <v>691</v>
      </c>
      <c r="K964" s="3">
        <v>2003</v>
      </c>
      <c r="L964" s="3" t="str">
        <f t="shared" si="63"/>
        <v>Mar-2003</v>
      </c>
      <c r="M964" s="3" t="s">
        <v>550</v>
      </c>
      <c r="N964" s="3" t="s">
        <v>81</v>
      </c>
      <c r="O964" s="3" t="s">
        <v>32</v>
      </c>
      <c r="P964" s="3" t="s">
        <v>33</v>
      </c>
      <c r="Q964" s="3" t="s">
        <v>51</v>
      </c>
    </row>
    <row r="965" spans="1:17" x14ac:dyDescent="0.25">
      <c r="A965" s="5">
        <v>10126</v>
      </c>
      <c r="B965" s="5">
        <v>30</v>
      </c>
      <c r="C965" s="5">
        <v>97.39</v>
      </c>
      <c r="D965" s="5">
        <v>2921.7</v>
      </c>
      <c r="E965" s="5" t="str">
        <f t="shared" si="61"/>
        <v>Medium</v>
      </c>
      <c r="F965" s="5">
        <f t="shared" si="62"/>
        <v>876.50999999999988</v>
      </c>
      <c r="G965" s="6">
        <v>37769</v>
      </c>
      <c r="H965" s="5" t="s">
        <v>25</v>
      </c>
      <c r="I965" s="5" t="str">
        <f t="shared" si="60"/>
        <v>Yes</v>
      </c>
      <c r="J965" s="5" t="s">
        <v>682</v>
      </c>
      <c r="K965" s="5">
        <v>2003</v>
      </c>
      <c r="L965" s="5" t="str">
        <f t="shared" si="63"/>
        <v>May-2003</v>
      </c>
      <c r="M965" s="5" t="s">
        <v>550</v>
      </c>
      <c r="N965" s="5" t="s">
        <v>191</v>
      </c>
      <c r="O965" s="5" t="s">
        <v>178</v>
      </c>
      <c r="P965" s="5" t="s">
        <v>42</v>
      </c>
      <c r="Q965" s="5" t="s">
        <v>36</v>
      </c>
    </row>
    <row r="966" spans="1:17" x14ac:dyDescent="0.25">
      <c r="A966" s="3">
        <v>10139</v>
      </c>
      <c r="B966" s="3">
        <v>20</v>
      </c>
      <c r="C966" s="3">
        <v>90.06</v>
      </c>
      <c r="D966" s="3">
        <v>1801.2</v>
      </c>
      <c r="E966" s="3" t="str">
        <f t="shared" si="61"/>
        <v>Low</v>
      </c>
      <c r="F966" s="3">
        <f t="shared" si="62"/>
        <v>540.36</v>
      </c>
      <c r="G966" s="4">
        <v>37818</v>
      </c>
      <c r="H966" s="3" t="s">
        <v>25</v>
      </c>
      <c r="I966" s="3" t="str">
        <f t="shared" si="60"/>
        <v>Yes</v>
      </c>
      <c r="J966" s="3" t="s">
        <v>683</v>
      </c>
      <c r="K966" s="3">
        <v>2003</v>
      </c>
      <c r="L966" s="3" t="str">
        <f t="shared" si="63"/>
        <v>Jul-2003</v>
      </c>
      <c r="M966" s="3" t="s">
        <v>550</v>
      </c>
      <c r="N966" s="3" t="s">
        <v>152</v>
      </c>
      <c r="O966" s="3" t="s">
        <v>95</v>
      </c>
      <c r="P966" s="3" t="s">
        <v>96</v>
      </c>
      <c r="Q966" s="3" t="s">
        <v>36</v>
      </c>
    </row>
    <row r="967" spans="1:17" x14ac:dyDescent="0.25">
      <c r="A967" s="5">
        <v>10150</v>
      </c>
      <c r="B967" s="5">
        <v>26</v>
      </c>
      <c r="C967" s="5">
        <v>100</v>
      </c>
      <c r="D967" s="5">
        <v>2600</v>
      </c>
      <c r="E967" s="5" t="str">
        <f t="shared" si="61"/>
        <v>Medium</v>
      </c>
      <c r="F967" s="5">
        <f t="shared" si="62"/>
        <v>780</v>
      </c>
      <c r="G967" s="6">
        <v>37883</v>
      </c>
      <c r="H967" s="5" t="s">
        <v>25</v>
      </c>
      <c r="I967" s="5" t="str">
        <f t="shared" si="60"/>
        <v>Yes</v>
      </c>
      <c r="J967" s="5" t="s">
        <v>690</v>
      </c>
      <c r="K967" s="5">
        <v>2003</v>
      </c>
      <c r="L967" s="5" t="str">
        <f t="shared" si="63"/>
        <v>Sep-2003</v>
      </c>
      <c r="M967" s="5" t="s">
        <v>550</v>
      </c>
      <c r="N967" s="5" t="s">
        <v>196</v>
      </c>
      <c r="O967" s="5" t="s">
        <v>199</v>
      </c>
      <c r="P967" s="5" t="s">
        <v>675</v>
      </c>
      <c r="Q967" s="5" t="s">
        <v>36</v>
      </c>
    </row>
    <row r="968" spans="1:17" x14ac:dyDescent="0.25">
      <c r="A968" s="3">
        <v>10163</v>
      </c>
      <c r="B968" s="3">
        <v>40</v>
      </c>
      <c r="C968" s="3">
        <v>100</v>
      </c>
      <c r="D968" s="3">
        <v>4000</v>
      </c>
      <c r="E968" s="3" t="str">
        <f t="shared" si="61"/>
        <v>Medium</v>
      </c>
      <c r="F968" s="3">
        <f t="shared" si="62"/>
        <v>1200</v>
      </c>
      <c r="G968" s="4">
        <v>37914</v>
      </c>
      <c r="H968" s="3" t="s">
        <v>25</v>
      </c>
      <c r="I968" s="3" t="str">
        <f t="shared" si="60"/>
        <v>Yes</v>
      </c>
      <c r="J968" s="3" t="s">
        <v>685</v>
      </c>
      <c r="K968" s="3">
        <v>2003</v>
      </c>
      <c r="L968" s="3" t="str">
        <f t="shared" si="63"/>
        <v>Oct-2003</v>
      </c>
      <c r="M968" s="3" t="s">
        <v>550</v>
      </c>
      <c r="N968" s="3" t="s">
        <v>203</v>
      </c>
      <c r="O968" s="3" t="s">
        <v>32</v>
      </c>
      <c r="P968" s="3" t="s">
        <v>33</v>
      </c>
      <c r="Q968" s="3" t="s">
        <v>51</v>
      </c>
    </row>
    <row r="969" spans="1:17" x14ac:dyDescent="0.25">
      <c r="A969" s="5">
        <v>10173</v>
      </c>
      <c r="B969" s="5">
        <v>31</v>
      </c>
      <c r="C969" s="5">
        <v>89.01</v>
      </c>
      <c r="D969" s="5">
        <v>2759.31</v>
      </c>
      <c r="E969" s="5" t="str">
        <f t="shared" si="61"/>
        <v>Medium</v>
      </c>
      <c r="F969" s="5">
        <f t="shared" si="62"/>
        <v>827.79300000000001</v>
      </c>
      <c r="G969" s="6">
        <v>37930</v>
      </c>
      <c r="H969" s="5" t="s">
        <v>25</v>
      </c>
      <c r="I969" s="5" t="str">
        <f t="shared" si="60"/>
        <v>Yes</v>
      </c>
      <c r="J969" s="5" t="s">
        <v>686</v>
      </c>
      <c r="K969" s="5">
        <v>2003</v>
      </c>
      <c r="L969" s="5" t="str">
        <f t="shared" si="63"/>
        <v>Nov-2003</v>
      </c>
      <c r="M969" s="5" t="s">
        <v>550</v>
      </c>
      <c r="N969" s="5" t="s">
        <v>552</v>
      </c>
      <c r="O969" s="5" t="s">
        <v>258</v>
      </c>
      <c r="P969" s="5" t="s">
        <v>42</v>
      </c>
      <c r="Q969" s="5" t="s">
        <v>36</v>
      </c>
    </row>
    <row r="970" spans="1:17" x14ac:dyDescent="0.25">
      <c r="A970" s="3">
        <v>10183</v>
      </c>
      <c r="B970" s="3">
        <v>22</v>
      </c>
      <c r="C970" s="3">
        <v>100</v>
      </c>
      <c r="D970" s="3">
        <v>2200</v>
      </c>
      <c r="E970" s="3" t="str">
        <f t="shared" si="61"/>
        <v>Medium</v>
      </c>
      <c r="F970" s="3">
        <f t="shared" si="62"/>
        <v>660</v>
      </c>
      <c r="G970" s="4">
        <v>37938</v>
      </c>
      <c r="H970" s="3" t="s">
        <v>25</v>
      </c>
      <c r="I970" s="3" t="str">
        <f t="shared" si="60"/>
        <v>Yes</v>
      </c>
      <c r="J970" s="3" t="s">
        <v>686</v>
      </c>
      <c r="K970" s="3">
        <v>2003</v>
      </c>
      <c r="L970" s="3" t="str">
        <f t="shared" si="63"/>
        <v>Nov-2003</v>
      </c>
      <c r="M970" s="3" t="s">
        <v>550</v>
      </c>
      <c r="N970" s="3" t="s">
        <v>214</v>
      </c>
      <c r="O970" s="3" t="s">
        <v>32</v>
      </c>
      <c r="P970" s="3" t="s">
        <v>33</v>
      </c>
      <c r="Q970" s="3" t="s">
        <v>36</v>
      </c>
    </row>
    <row r="971" spans="1:17" x14ac:dyDescent="0.25">
      <c r="A971" s="5">
        <v>10193</v>
      </c>
      <c r="B971" s="5">
        <v>23</v>
      </c>
      <c r="C971" s="5">
        <v>100</v>
      </c>
      <c r="D971" s="5">
        <v>2300</v>
      </c>
      <c r="E971" s="5" t="str">
        <f t="shared" si="61"/>
        <v>Medium</v>
      </c>
      <c r="F971" s="5">
        <f t="shared" si="62"/>
        <v>690</v>
      </c>
      <c r="G971" s="6">
        <v>37946</v>
      </c>
      <c r="H971" s="5" t="s">
        <v>25</v>
      </c>
      <c r="I971" s="5" t="str">
        <f t="shared" si="60"/>
        <v>Yes</v>
      </c>
      <c r="J971" s="5" t="s">
        <v>686</v>
      </c>
      <c r="K971" s="5">
        <v>2003</v>
      </c>
      <c r="L971" s="5" t="str">
        <f t="shared" si="63"/>
        <v>Nov-2003</v>
      </c>
      <c r="M971" s="5" t="s">
        <v>550</v>
      </c>
      <c r="N971" s="5" t="s">
        <v>558</v>
      </c>
      <c r="O971" s="5" t="s">
        <v>95</v>
      </c>
      <c r="P971" s="5" t="s">
        <v>96</v>
      </c>
      <c r="Q971" s="5" t="s">
        <v>36</v>
      </c>
    </row>
    <row r="972" spans="1:17" x14ac:dyDescent="0.25">
      <c r="A972" s="3">
        <v>10206</v>
      </c>
      <c r="B972" s="3">
        <v>30</v>
      </c>
      <c r="C972" s="3">
        <v>100</v>
      </c>
      <c r="D972" s="3">
        <v>3000</v>
      </c>
      <c r="E972" s="3" t="str">
        <f t="shared" si="61"/>
        <v>Medium</v>
      </c>
      <c r="F972" s="3">
        <f t="shared" si="62"/>
        <v>900</v>
      </c>
      <c r="G972" s="4">
        <v>37960</v>
      </c>
      <c r="H972" s="3" t="s">
        <v>25</v>
      </c>
      <c r="I972" s="3" t="str">
        <f t="shared" si="60"/>
        <v>Yes</v>
      </c>
      <c r="J972" s="3" t="s">
        <v>687</v>
      </c>
      <c r="K972" s="3">
        <v>2003</v>
      </c>
      <c r="L972" s="3" t="str">
        <f t="shared" si="63"/>
        <v>Dec-2003</v>
      </c>
      <c r="M972" s="3" t="s">
        <v>550</v>
      </c>
      <c r="N972" s="3" t="s">
        <v>225</v>
      </c>
      <c r="O972" s="3" t="s">
        <v>231</v>
      </c>
      <c r="P972" s="3" t="s">
        <v>33</v>
      </c>
      <c r="Q972" s="3" t="s">
        <v>51</v>
      </c>
    </row>
    <row r="973" spans="1:17" x14ac:dyDescent="0.25">
      <c r="A973" s="5">
        <v>10215</v>
      </c>
      <c r="B973" s="5">
        <v>49</v>
      </c>
      <c r="C973" s="5">
        <v>100</v>
      </c>
      <c r="D973" s="5">
        <v>4900</v>
      </c>
      <c r="E973" s="5" t="str">
        <f t="shared" si="61"/>
        <v>Medium</v>
      </c>
      <c r="F973" s="5">
        <f t="shared" si="62"/>
        <v>1470</v>
      </c>
      <c r="G973" s="6">
        <v>38015</v>
      </c>
      <c r="H973" s="5" t="s">
        <v>25</v>
      </c>
      <c r="I973" s="5" t="str">
        <f t="shared" si="60"/>
        <v>Yes</v>
      </c>
      <c r="J973" s="5" t="s">
        <v>549</v>
      </c>
      <c r="K973" s="5">
        <v>2004</v>
      </c>
      <c r="L973" s="5" t="str">
        <f t="shared" si="63"/>
        <v>Jan-2004</v>
      </c>
      <c r="M973" s="5" t="s">
        <v>550</v>
      </c>
      <c r="N973" s="5" t="s">
        <v>234</v>
      </c>
      <c r="O973" s="5" t="s">
        <v>32</v>
      </c>
      <c r="P973" s="5" t="s">
        <v>33</v>
      </c>
      <c r="Q973" s="5" t="s">
        <v>51</v>
      </c>
    </row>
    <row r="974" spans="1:17" x14ac:dyDescent="0.25">
      <c r="A974" s="3">
        <v>10228</v>
      </c>
      <c r="B974" s="3">
        <v>31</v>
      </c>
      <c r="C974" s="3">
        <v>100</v>
      </c>
      <c r="D974" s="3">
        <v>3100</v>
      </c>
      <c r="E974" s="3" t="str">
        <f t="shared" si="61"/>
        <v>Medium</v>
      </c>
      <c r="F974" s="3">
        <f t="shared" si="62"/>
        <v>930</v>
      </c>
      <c r="G974" s="4">
        <v>38056</v>
      </c>
      <c r="H974" s="3" t="s">
        <v>25</v>
      </c>
      <c r="I974" s="3" t="str">
        <f t="shared" si="60"/>
        <v>Yes</v>
      </c>
      <c r="J974" s="3" t="s">
        <v>691</v>
      </c>
      <c r="K974" s="3">
        <v>2004</v>
      </c>
      <c r="L974" s="3" t="str">
        <f t="shared" si="63"/>
        <v>Mar-2004</v>
      </c>
      <c r="M974" s="3" t="s">
        <v>550</v>
      </c>
      <c r="N974" s="3" t="s">
        <v>239</v>
      </c>
      <c r="O974" s="3" t="s">
        <v>32</v>
      </c>
      <c r="P974" s="3" t="s">
        <v>33</v>
      </c>
      <c r="Q974" s="3" t="s">
        <v>51</v>
      </c>
    </row>
    <row r="975" spans="1:17" x14ac:dyDescent="0.25">
      <c r="A975" s="5">
        <v>10244</v>
      </c>
      <c r="B975" s="5">
        <v>29</v>
      </c>
      <c r="C975" s="5">
        <v>100</v>
      </c>
      <c r="D975" s="5">
        <v>2900</v>
      </c>
      <c r="E975" s="5" t="str">
        <f t="shared" si="61"/>
        <v>Medium</v>
      </c>
      <c r="F975" s="5">
        <f t="shared" si="62"/>
        <v>870</v>
      </c>
      <c r="G975" s="6">
        <v>38106</v>
      </c>
      <c r="H975" s="5" t="s">
        <v>25</v>
      </c>
      <c r="I975" s="5" t="str">
        <f t="shared" si="60"/>
        <v>Yes</v>
      </c>
      <c r="J975" s="5" t="s">
        <v>688</v>
      </c>
      <c r="K975" s="5">
        <v>2004</v>
      </c>
      <c r="L975" s="5" t="str">
        <f t="shared" si="63"/>
        <v>Apr-2004</v>
      </c>
      <c r="M975" s="5" t="s">
        <v>550</v>
      </c>
      <c r="N975" s="5" t="s">
        <v>174</v>
      </c>
      <c r="O975" s="5" t="s">
        <v>178</v>
      </c>
      <c r="P975" s="5" t="s">
        <v>42</v>
      </c>
      <c r="Q975" s="5" t="s">
        <v>51</v>
      </c>
    </row>
    <row r="976" spans="1:17" x14ac:dyDescent="0.25">
      <c r="A976" s="3">
        <v>10257</v>
      </c>
      <c r="B976" s="3">
        <v>37</v>
      </c>
      <c r="C976" s="3">
        <v>84.82</v>
      </c>
      <c r="D976" s="3">
        <v>3138.3399999999997</v>
      </c>
      <c r="E976" s="3" t="str">
        <f t="shared" si="61"/>
        <v>Medium</v>
      </c>
      <c r="F976" s="3">
        <f t="shared" si="62"/>
        <v>941.50199999999984</v>
      </c>
      <c r="G976" s="4">
        <v>38152</v>
      </c>
      <c r="H976" s="3" t="s">
        <v>25</v>
      </c>
      <c r="I976" s="3" t="str">
        <f t="shared" si="60"/>
        <v>Yes</v>
      </c>
      <c r="J976" s="3" t="s">
        <v>689</v>
      </c>
      <c r="K976" s="3">
        <v>2004</v>
      </c>
      <c r="L976" s="3" t="str">
        <f t="shared" si="63"/>
        <v>Jun-2004</v>
      </c>
      <c r="M976" s="3" t="s">
        <v>550</v>
      </c>
      <c r="N976" s="3" t="s">
        <v>397</v>
      </c>
      <c r="O976" s="3" t="s">
        <v>32</v>
      </c>
      <c r="P976" s="3" t="s">
        <v>33</v>
      </c>
      <c r="Q976" s="3" t="s">
        <v>51</v>
      </c>
    </row>
    <row r="977" spans="1:17" x14ac:dyDescent="0.25">
      <c r="A977" s="5">
        <v>10270</v>
      </c>
      <c r="B977" s="5">
        <v>38</v>
      </c>
      <c r="C977" s="5">
        <v>100</v>
      </c>
      <c r="D977" s="5">
        <v>3800</v>
      </c>
      <c r="E977" s="5" t="str">
        <f t="shared" si="61"/>
        <v>Medium</v>
      </c>
      <c r="F977" s="5">
        <f t="shared" si="62"/>
        <v>1140</v>
      </c>
      <c r="G977" s="6">
        <v>38187</v>
      </c>
      <c r="H977" s="5" t="s">
        <v>25</v>
      </c>
      <c r="I977" s="5" t="str">
        <f t="shared" si="60"/>
        <v>Yes</v>
      </c>
      <c r="J977" s="5" t="s">
        <v>683</v>
      </c>
      <c r="K977" s="5">
        <v>2004</v>
      </c>
      <c r="L977" s="5" t="str">
        <f t="shared" si="63"/>
        <v>Jul-2004</v>
      </c>
      <c r="M977" s="5" t="s">
        <v>550</v>
      </c>
      <c r="N977" s="5" t="s">
        <v>152</v>
      </c>
      <c r="O977" s="5" t="s">
        <v>95</v>
      </c>
      <c r="P977" s="5" t="s">
        <v>96</v>
      </c>
      <c r="Q977" s="5" t="s">
        <v>51</v>
      </c>
    </row>
    <row r="978" spans="1:17" x14ac:dyDescent="0.25">
      <c r="A978" s="3">
        <v>10280</v>
      </c>
      <c r="B978" s="3">
        <v>29</v>
      </c>
      <c r="C978" s="3">
        <v>100</v>
      </c>
      <c r="D978" s="3">
        <v>2900</v>
      </c>
      <c r="E978" s="3" t="str">
        <f t="shared" si="61"/>
        <v>Medium</v>
      </c>
      <c r="F978" s="3">
        <f t="shared" si="62"/>
        <v>870</v>
      </c>
      <c r="G978" s="4">
        <v>38216</v>
      </c>
      <c r="H978" s="3" t="s">
        <v>25</v>
      </c>
      <c r="I978" s="3" t="str">
        <f t="shared" si="60"/>
        <v>Yes</v>
      </c>
      <c r="J978" s="3" t="s">
        <v>684</v>
      </c>
      <c r="K978" s="3">
        <v>2004</v>
      </c>
      <c r="L978" s="3" t="str">
        <f t="shared" si="63"/>
        <v>Aug-2004</v>
      </c>
      <c r="M978" s="3" t="s">
        <v>550</v>
      </c>
      <c r="N978" s="3" t="s">
        <v>254</v>
      </c>
      <c r="O978" s="3" t="s">
        <v>258</v>
      </c>
      <c r="P978" s="3" t="s">
        <v>42</v>
      </c>
      <c r="Q978" s="3" t="s">
        <v>51</v>
      </c>
    </row>
    <row r="979" spans="1:17" x14ac:dyDescent="0.25">
      <c r="A979" s="5">
        <v>10291</v>
      </c>
      <c r="B979" s="5">
        <v>23</v>
      </c>
      <c r="C979" s="5">
        <v>100</v>
      </c>
      <c r="D979" s="5">
        <v>2300</v>
      </c>
      <c r="E979" s="5" t="str">
        <f t="shared" si="61"/>
        <v>Medium</v>
      </c>
      <c r="F979" s="5">
        <f t="shared" si="62"/>
        <v>690</v>
      </c>
      <c r="G979" s="6">
        <v>38238</v>
      </c>
      <c r="H979" s="5" t="s">
        <v>25</v>
      </c>
      <c r="I979" s="5" t="str">
        <f t="shared" si="60"/>
        <v>Yes</v>
      </c>
      <c r="J979" s="5" t="s">
        <v>690</v>
      </c>
      <c r="K979" s="5">
        <v>2004</v>
      </c>
      <c r="L979" s="5" t="str">
        <f t="shared" si="63"/>
        <v>Sep-2004</v>
      </c>
      <c r="M979" s="5" t="s">
        <v>550</v>
      </c>
      <c r="N979" s="5" t="s">
        <v>261</v>
      </c>
      <c r="O979" s="5" t="s">
        <v>188</v>
      </c>
      <c r="P979" s="5" t="s">
        <v>42</v>
      </c>
      <c r="Q979" s="5" t="s">
        <v>36</v>
      </c>
    </row>
    <row r="980" spans="1:17" x14ac:dyDescent="0.25">
      <c r="A980" s="3">
        <v>10304</v>
      </c>
      <c r="B980" s="3">
        <v>26</v>
      </c>
      <c r="C980" s="3">
        <v>85.87</v>
      </c>
      <c r="D980" s="3">
        <v>2232.62</v>
      </c>
      <c r="E980" s="3" t="str">
        <f t="shared" si="61"/>
        <v>Medium</v>
      </c>
      <c r="F980" s="3">
        <f t="shared" si="62"/>
        <v>669.78599999999994</v>
      </c>
      <c r="G980" s="4">
        <v>38271</v>
      </c>
      <c r="H980" s="3" t="s">
        <v>25</v>
      </c>
      <c r="I980" s="3" t="str">
        <f t="shared" si="60"/>
        <v>Yes</v>
      </c>
      <c r="J980" s="3" t="s">
        <v>685</v>
      </c>
      <c r="K980" s="3">
        <v>2004</v>
      </c>
      <c r="L980" s="3" t="str">
        <f t="shared" si="63"/>
        <v>Oct-2004</v>
      </c>
      <c r="M980" s="3" t="s">
        <v>550</v>
      </c>
      <c r="N980" s="3" t="s">
        <v>267</v>
      </c>
      <c r="O980" s="3" t="s">
        <v>41</v>
      </c>
      <c r="P980" s="3" t="s">
        <v>42</v>
      </c>
      <c r="Q980" s="3" t="s">
        <v>36</v>
      </c>
    </row>
    <row r="981" spans="1:17" x14ac:dyDescent="0.25">
      <c r="A981" s="5">
        <v>10312</v>
      </c>
      <c r="B981" s="5">
        <v>38</v>
      </c>
      <c r="C981" s="5">
        <v>100</v>
      </c>
      <c r="D981" s="5">
        <v>3800</v>
      </c>
      <c r="E981" s="5" t="str">
        <f t="shared" si="61"/>
        <v>Medium</v>
      </c>
      <c r="F981" s="5">
        <f t="shared" si="62"/>
        <v>1140</v>
      </c>
      <c r="G981" s="6">
        <v>38281</v>
      </c>
      <c r="H981" s="5" t="s">
        <v>25</v>
      </c>
      <c r="I981" s="5" t="str">
        <f t="shared" si="60"/>
        <v>Yes</v>
      </c>
      <c r="J981" s="5" t="s">
        <v>685</v>
      </c>
      <c r="K981" s="5">
        <v>2004</v>
      </c>
      <c r="L981" s="5" t="str">
        <f t="shared" si="63"/>
        <v>Oct-2004</v>
      </c>
      <c r="M981" s="5" t="s">
        <v>550</v>
      </c>
      <c r="N981" s="5" t="s">
        <v>272</v>
      </c>
      <c r="O981" s="5" t="s">
        <v>32</v>
      </c>
      <c r="P981" s="5" t="s">
        <v>33</v>
      </c>
      <c r="Q981" s="5" t="s">
        <v>51</v>
      </c>
    </row>
    <row r="982" spans="1:17" x14ac:dyDescent="0.25">
      <c r="A982" s="3">
        <v>10322</v>
      </c>
      <c r="B982" s="3">
        <v>48</v>
      </c>
      <c r="C982" s="3">
        <v>47.04</v>
      </c>
      <c r="D982" s="3">
        <v>2257.92</v>
      </c>
      <c r="E982" s="3" t="str">
        <f t="shared" si="61"/>
        <v>Medium</v>
      </c>
      <c r="F982" s="3">
        <f t="shared" si="62"/>
        <v>677.37599999999998</v>
      </c>
      <c r="G982" s="4">
        <v>38295</v>
      </c>
      <c r="H982" s="3" t="s">
        <v>25</v>
      </c>
      <c r="I982" s="3" t="str">
        <f t="shared" si="60"/>
        <v>Yes</v>
      </c>
      <c r="J982" s="3" t="s">
        <v>686</v>
      </c>
      <c r="K982" s="3">
        <v>2004</v>
      </c>
      <c r="L982" s="3" t="str">
        <f t="shared" si="63"/>
        <v>Nov-2004</v>
      </c>
      <c r="M982" s="3" t="s">
        <v>550</v>
      </c>
      <c r="N982" s="3" t="s">
        <v>277</v>
      </c>
      <c r="O982" s="3" t="s">
        <v>32</v>
      </c>
      <c r="P982" s="3" t="s">
        <v>33</v>
      </c>
      <c r="Q982" s="3" t="s">
        <v>36</v>
      </c>
    </row>
    <row r="983" spans="1:17" x14ac:dyDescent="0.25">
      <c r="A983" s="5">
        <v>10332</v>
      </c>
      <c r="B983" s="5">
        <v>40</v>
      </c>
      <c r="C983" s="5">
        <v>39.799999999999997</v>
      </c>
      <c r="D983" s="5">
        <v>1592</v>
      </c>
      <c r="E983" s="5" t="str">
        <f t="shared" si="61"/>
        <v>Low</v>
      </c>
      <c r="F983" s="5">
        <f t="shared" si="62"/>
        <v>477.59999999999997</v>
      </c>
      <c r="G983" s="6">
        <v>38308</v>
      </c>
      <c r="H983" s="5" t="s">
        <v>25</v>
      </c>
      <c r="I983" s="5" t="str">
        <f t="shared" si="60"/>
        <v>Yes</v>
      </c>
      <c r="J983" s="5" t="s">
        <v>686</v>
      </c>
      <c r="K983" s="5">
        <v>2004</v>
      </c>
      <c r="L983" s="5" t="str">
        <f t="shared" si="63"/>
        <v>Nov-2004</v>
      </c>
      <c r="M983" s="5" t="s">
        <v>550</v>
      </c>
      <c r="N983" s="5" t="s">
        <v>492</v>
      </c>
      <c r="O983" s="5" t="s">
        <v>170</v>
      </c>
      <c r="P983" s="5" t="s">
        <v>42</v>
      </c>
      <c r="Q983" s="5" t="s">
        <v>36</v>
      </c>
    </row>
    <row r="984" spans="1:17" x14ac:dyDescent="0.25">
      <c r="A984" s="3">
        <v>10347</v>
      </c>
      <c r="B984" s="3">
        <v>45</v>
      </c>
      <c r="C984" s="3">
        <v>100</v>
      </c>
      <c r="D984" s="3">
        <v>4500</v>
      </c>
      <c r="E984" s="3" t="str">
        <f t="shared" si="61"/>
        <v>Medium</v>
      </c>
      <c r="F984" s="3">
        <f t="shared" si="62"/>
        <v>1350</v>
      </c>
      <c r="G984" s="4">
        <v>38320</v>
      </c>
      <c r="H984" s="3" t="s">
        <v>25</v>
      </c>
      <c r="I984" s="3" t="str">
        <f t="shared" si="60"/>
        <v>Yes</v>
      </c>
      <c r="J984" s="3" t="s">
        <v>686</v>
      </c>
      <c r="K984" s="3">
        <v>2004</v>
      </c>
      <c r="L984" s="3" t="str">
        <f t="shared" si="63"/>
        <v>Nov-2004</v>
      </c>
      <c r="M984" s="3" t="s">
        <v>550</v>
      </c>
      <c r="N984" s="3" t="s">
        <v>89</v>
      </c>
      <c r="O984" s="3" t="s">
        <v>95</v>
      </c>
      <c r="P984" s="3" t="s">
        <v>96</v>
      </c>
      <c r="Q984" s="3" t="s">
        <v>51</v>
      </c>
    </row>
    <row r="985" spans="1:17" x14ac:dyDescent="0.25">
      <c r="A985" s="5">
        <v>10357</v>
      </c>
      <c r="B985" s="5">
        <v>44</v>
      </c>
      <c r="C985" s="5">
        <v>100</v>
      </c>
      <c r="D985" s="5">
        <v>4400</v>
      </c>
      <c r="E985" s="5" t="str">
        <f t="shared" si="61"/>
        <v>Medium</v>
      </c>
      <c r="F985" s="5">
        <f t="shared" si="62"/>
        <v>1320</v>
      </c>
      <c r="G985" s="6">
        <v>38331</v>
      </c>
      <c r="H985" s="5" t="s">
        <v>25</v>
      </c>
      <c r="I985" s="5" t="str">
        <f t="shared" si="60"/>
        <v>Yes</v>
      </c>
      <c r="J985" s="5" t="s">
        <v>687</v>
      </c>
      <c r="K985" s="5">
        <v>2004</v>
      </c>
      <c r="L985" s="5" t="str">
        <f t="shared" si="63"/>
        <v>Dec-2004</v>
      </c>
      <c r="M985" s="5" t="s">
        <v>550</v>
      </c>
      <c r="N985" s="5" t="s">
        <v>272</v>
      </c>
      <c r="O985" s="5" t="s">
        <v>32</v>
      </c>
      <c r="P985" s="5" t="s">
        <v>33</v>
      </c>
      <c r="Q985" s="5" t="s">
        <v>51</v>
      </c>
    </row>
    <row r="986" spans="1:17" x14ac:dyDescent="0.25">
      <c r="A986" s="3">
        <v>10369</v>
      </c>
      <c r="B986" s="3">
        <v>21</v>
      </c>
      <c r="C986" s="3">
        <v>94.22</v>
      </c>
      <c r="D986" s="3">
        <v>1978.62</v>
      </c>
      <c r="E986" s="3" t="str">
        <f t="shared" si="61"/>
        <v>Low</v>
      </c>
      <c r="F986" s="3">
        <f t="shared" si="62"/>
        <v>593.5859999999999</v>
      </c>
      <c r="G986" s="4">
        <v>38372</v>
      </c>
      <c r="H986" s="3" t="s">
        <v>25</v>
      </c>
      <c r="I986" s="3" t="str">
        <f t="shared" si="60"/>
        <v>Yes</v>
      </c>
      <c r="J986" s="3" t="s">
        <v>549</v>
      </c>
      <c r="K986" s="3">
        <v>2005</v>
      </c>
      <c r="L986" s="3" t="str">
        <f t="shared" si="63"/>
        <v>Jan-2005</v>
      </c>
      <c r="M986" s="3" t="s">
        <v>550</v>
      </c>
      <c r="N986" s="3" t="s">
        <v>281</v>
      </c>
      <c r="O986" s="3" t="s">
        <v>32</v>
      </c>
      <c r="P986" s="3" t="s">
        <v>33</v>
      </c>
      <c r="Q986" s="3" t="s">
        <v>36</v>
      </c>
    </row>
    <row r="987" spans="1:17" x14ac:dyDescent="0.25">
      <c r="A987" s="5">
        <v>10381</v>
      </c>
      <c r="B987" s="5">
        <v>35</v>
      </c>
      <c r="C987" s="5">
        <v>100</v>
      </c>
      <c r="D987" s="5">
        <v>3500</v>
      </c>
      <c r="E987" s="5" t="str">
        <f t="shared" si="61"/>
        <v>Medium</v>
      </c>
      <c r="F987" s="5">
        <f t="shared" si="62"/>
        <v>1050</v>
      </c>
      <c r="G987" s="6">
        <v>38400</v>
      </c>
      <c r="H987" s="5" t="s">
        <v>25</v>
      </c>
      <c r="I987" s="5" t="str">
        <f t="shared" si="60"/>
        <v>Yes</v>
      </c>
      <c r="J987" s="5" t="s">
        <v>681</v>
      </c>
      <c r="K987" s="5">
        <v>2005</v>
      </c>
      <c r="L987" s="5" t="str">
        <f t="shared" si="63"/>
        <v>Feb-2005</v>
      </c>
      <c r="M987" s="5" t="s">
        <v>550</v>
      </c>
      <c r="N987" s="5" t="s">
        <v>58</v>
      </c>
      <c r="O987" s="5" t="s">
        <v>32</v>
      </c>
      <c r="P987" s="5" t="s">
        <v>33</v>
      </c>
      <c r="Q987" s="5" t="s">
        <v>51</v>
      </c>
    </row>
    <row r="988" spans="1:17" x14ac:dyDescent="0.25">
      <c r="A988" s="3">
        <v>10392</v>
      </c>
      <c r="B988" s="3">
        <v>29</v>
      </c>
      <c r="C988" s="3">
        <v>86.92</v>
      </c>
      <c r="D988" s="3">
        <v>2520.6799999999998</v>
      </c>
      <c r="E988" s="3" t="str">
        <f t="shared" si="61"/>
        <v>Medium</v>
      </c>
      <c r="F988" s="3">
        <f t="shared" si="62"/>
        <v>756.20399999999995</v>
      </c>
      <c r="G988" s="4">
        <v>38421</v>
      </c>
      <c r="H988" s="3" t="s">
        <v>25</v>
      </c>
      <c r="I988" s="3" t="str">
        <f t="shared" si="60"/>
        <v>Yes</v>
      </c>
      <c r="J988" s="3" t="s">
        <v>691</v>
      </c>
      <c r="K988" s="3">
        <v>2005</v>
      </c>
      <c r="L988" s="3" t="str">
        <f t="shared" si="63"/>
        <v>Mar-2005</v>
      </c>
      <c r="M988" s="3" t="s">
        <v>550</v>
      </c>
      <c r="N988" s="3" t="s">
        <v>409</v>
      </c>
      <c r="O988" s="3" t="s">
        <v>148</v>
      </c>
      <c r="P988" s="3" t="s">
        <v>42</v>
      </c>
      <c r="Q988" s="3" t="s">
        <v>36</v>
      </c>
    </row>
    <row r="989" spans="1:17" x14ac:dyDescent="0.25">
      <c r="A989" s="5">
        <v>10423</v>
      </c>
      <c r="B989" s="5">
        <v>21</v>
      </c>
      <c r="C989" s="5">
        <v>84.82</v>
      </c>
      <c r="D989" s="5">
        <v>1781.2199999999998</v>
      </c>
      <c r="E989" s="5" t="str">
        <f t="shared" si="61"/>
        <v>Low</v>
      </c>
      <c r="F989" s="5">
        <f t="shared" si="62"/>
        <v>534.36599999999987</v>
      </c>
      <c r="G989" s="6">
        <v>38502</v>
      </c>
      <c r="H989" s="5" t="s">
        <v>300</v>
      </c>
      <c r="I989" s="5" t="str">
        <f t="shared" si="60"/>
        <v>No</v>
      </c>
      <c r="J989" s="5" t="s">
        <v>682</v>
      </c>
      <c r="K989" s="5">
        <v>2005</v>
      </c>
      <c r="L989" s="5" t="str">
        <f t="shared" si="63"/>
        <v>May-2005</v>
      </c>
      <c r="M989" s="5" t="s">
        <v>550</v>
      </c>
      <c r="N989" s="5" t="s">
        <v>365</v>
      </c>
      <c r="O989" s="5" t="s">
        <v>370</v>
      </c>
      <c r="P989" s="5" t="s">
        <v>42</v>
      </c>
      <c r="Q989" s="5" t="s">
        <v>36</v>
      </c>
    </row>
    <row r="990" spans="1:17" x14ac:dyDescent="0.25">
      <c r="A990" s="3">
        <v>10105</v>
      </c>
      <c r="B990" s="3">
        <v>22</v>
      </c>
      <c r="C990" s="3">
        <v>100</v>
      </c>
      <c r="D990" s="3">
        <v>2200</v>
      </c>
      <c r="E990" s="3" t="str">
        <f t="shared" si="61"/>
        <v>Medium</v>
      </c>
      <c r="F990" s="3">
        <f t="shared" si="62"/>
        <v>660</v>
      </c>
      <c r="G990" s="4">
        <v>37663</v>
      </c>
      <c r="H990" s="3" t="s">
        <v>25</v>
      </c>
      <c r="I990" s="3" t="str">
        <f t="shared" si="60"/>
        <v>Yes</v>
      </c>
      <c r="J990" s="3" t="s">
        <v>681</v>
      </c>
      <c r="K990" s="3">
        <v>2003</v>
      </c>
      <c r="L990" s="3" t="str">
        <f t="shared" si="63"/>
        <v>Feb-2003</v>
      </c>
      <c r="M990" s="3" t="s">
        <v>550</v>
      </c>
      <c r="N990" s="3" t="s">
        <v>322</v>
      </c>
      <c r="O990" s="3" t="s">
        <v>326</v>
      </c>
      <c r="P990" s="3" t="s">
        <v>42</v>
      </c>
      <c r="Q990" s="3" t="s">
        <v>51</v>
      </c>
    </row>
    <row r="991" spans="1:17" x14ac:dyDescent="0.25">
      <c r="A991" s="5">
        <v>10117</v>
      </c>
      <c r="B991" s="5">
        <v>26</v>
      </c>
      <c r="C991" s="5">
        <v>100</v>
      </c>
      <c r="D991" s="5">
        <v>2600</v>
      </c>
      <c r="E991" s="5" t="str">
        <f t="shared" si="61"/>
        <v>Medium</v>
      </c>
      <c r="F991" s="5">
        <f t="shared" si="62"/>
        <v>780</v>
      </c>
      <c r="G991" s="6">
        <v>37727</v>
      </c>
      <c r="H991" s="5" t="s">
        <v>25</v>
      </c>
      <c r="I991" s="5" t="str">
        <f t="shared" si="60"/>
        <v>Yes</v>
      </c>
      <c r="J991" s="5" t="s">
        <v>688</v>
      </c>
      <c r="K991" s="5">
        <v>2003</v>
      </c>
      <c r="L991" s="5" t="str">
        <f t="shared" si="63"/>
        <v>Apr-2003</v>
      </c>
      <c r="M991" s="5" t="s">
        <v>550</v>
      </c>
      <c r="N991" s="5" t="s">
        <v>196</v>
      </c>
      <c r="O991" s="5" t="s">
        <v>199</v>
      </c>
      <c r="P991" s="5" t="s">
        <v>675</v>
      </c>
      <c r="Q991" s="5" t="s">
        <v>51</v>
      </c>
    </row>
    <row r="992" spans="1:17" x14ac:dyDescent="0.25">
      <c r="A992" s="3">
        <v>10128</v>
      </c>
      <c r="B992" s="3">
        <v>41</v>
      </c>
      <c r="C992" s="3">
        <v>100</v>
      </c>
      <c r="D992" s="3">
        <v>4100</v>
      </c>
      <c r="E992" s="3" t="str">
        <f t="shared" si="61"/>
        <v>Medium</v>
      </c>
      <c r="F992" s="3">
        <f t="shared" si="62"/>
        <v>1230</v>
      </c>
      <c r="G992" s="4">
        <v>37778</v>
      </c>
      <c r="H992" s="3" t="s">
        <v>25</v>
      </c>
      <c r="I992" s="3" t="str">
        <f t="shared" si="60"/>
        <v>Yes</v>
      </c>
      <c r="J992" s="3" t="s">
        <v>689</v>
      </c>
      <c r="K992" s="3">
        <v>2003</v>
      </c>
      <c r="L992" s="3" t="str">
        <f t="shared" si="63"/>
        <v>Jun-2003</v>
      </c>
      <c r="M992" s="3" t="s">
        <v>550</v>
      </c>
      <c r="N992" s="3" t="s">
        <v>174</v>
      </c>
      <c r="O992" s="3" t="s">
        <v>178</v>
      </c>
      <c r="P992" s="3" t="s">
        <v>42</v>
      </c>
      <c r="Q992" s="3" t="s">
        <v>51</v>
      </c>
    </row>
    <row r="993" spans="1:17" x14ac:dyDescent="0.25">
      <c r="A993" s="5">
        <v>10142</v>
      </c>
      <c r="B993" s="5">
        <v>47</v>
      </c>
      <c r="C993" s="5">
        <v>100</v>
      </c>
      <c r="D993" s="5">
        <v>4700</v>
      </c>
      <c r="E993" s="5" t="str">
        <f t="shared" si="61"/>
        <v>Medium</v>
      </c>
      <c r="F993" s="5">
        <f t="shared" si="62"/>
        <v>1410</v>
      </c>
      <c r="G993" s="6">
        <v>37841</v>
      </c>
      <c r="H993" s="5" t="s">
        <v>25</v>
      </c>
      <c r="I993" s="5" t="str">
        <f t="shared" si="60"/>
        <v>Yes</v>
      </c>
      <c r="J993" s="5" t="s">
        <v>684</v>
      </c>
      <c r="K993" s="5">
        <v>2003</v>
      </c>
      <c r="L993" s="5" t="str">
        <f t="shared" si="63"/>
        <v>Aug-2003</v>
      </c>
      <c r="M993" s="5" t="s">
        <v>550</v>
      </c>
      <c r="N993" s="5" t="s">
        <v>272</v>
      </c>
      <c r="O993" s="5" t="s">
        <v>32</v>
      </c>
      <c r="P993" s="5" t="s">
        <v>33</v>
      </c>
      <c r="Q993" s="5" t="s">
        <v>51</v>
      </c>
    </row>
    <row r="994" spans="1:17" x14ac:dyDescent="0.25">
      <c r="A994" s="3">
        <v>10153</v>
      </c>
      <c r="B994" s="3">
        <v>31</v>
      </c>
      <c r="C994" s="3">
        <v>100</v>
      </c>
      <c r="D994" s="3">
        <v>3100</v>
      </c>
      <c r="E994" s="3" t="str">
        <f t="shared" si="61"/>
        <v>Medium</v>
      </c>
      <c r="F994" s="3">
        <f t="shared" si="62"/>
        <v>930</v>
      </c>
      <c r="G994" s="4">
        <v>37892</v>
      </c>
      <c r="H994" s="3" t="s">
        <v>25</v>
      </c>
      <c r="I994" s="3" t="str">
        <f t="shared" si="60"/>
        <v>Yes</v>
      </c>
      <c r="J994" s="3" t="s">
        <v>690</v>
      </c>
      <c r="K994" s="3">
        <v>2003</v>
      </c>
      <c r="L994" s="3" t="str">
        <f t="shared" si="63"/>
        <v>Sep-2003</v>
      </c>
      <c r="M994" s="3" t="s">
        <v>550</v>
      </c>
      <c r="N994" s="3" t="s">
        <v>174</v>
      </c>
      <c r="O994" s="3" t="s">
        <v>178</v>
      </c>
      <c r="P994" s="3" t="s">
        <v>42</v>
      </c>
      <c r="Q994" s="3" t="s">
        <v>51</v>
      </c>
    </row>
    <row r="995" spans="1:17" x14ac:dyDescent="0.25">
      <c r="A995" s="5">
        <v>10166</v>
      </c>
      <c r="B995" s="5">
        <v>43</v>
      </c>
      <c r="C995" s="5">
        <v>100</v>
      </c>
      <c r="D995" s="5">
        <v>4300</v>
      </c>
      <c r="E995" s="5" t="str">
        <f t="shared" si="61"/>
        <v>Medium</v>
      </c>
      <c r="F995" s="5">
        <f t="shared" si="62"/>
        <v>1290</v>
      </c>
      <c r="G995" s="6">
        <v>37915</v>
      </c>
      <c r="H995" s="5" t="s">
        <v>25</v>
      </c>
      <c r="I995" s="5" t="str">
        <f t="shared" si="60"/>
        <v>Yes</v>
      </c>
      <c r="J995" s="5" t="s">
        <v>685</v>
      </c>
      <c r="K995" s="5">
        <v>2003</v>
      </c>
      <c r="L995" s="5" t="str">
        <f t="shared" si="63"/>
        <v>Oct-2003</v>
      </c>
      <c r="M995" s="5" t="s">
        <v>550</v>
      </c>
      <c r="N995" s="5" t="s">
        <v>160</v>
      </c>
      <c r="O995" s="5" t="s">
        <v>32</v>
      </c>
      <c r="P995" s="5" t="s">
        <v>33</v>
      </c>
      <c r="Q995" s="5" t="s">
        <v>51</v>
      </c>
    </row>
    <row r="996" spans="1:17" x14ac:dyDescent="0.25">
      <c r="A996" s="3">
        <v>10177</v>
      </c>
      <c r="B996" s="3">
        <v>23</v>
      </c>
      <c r="C996" s="3">
        <v>100</v>
      </c>
      <c r="D996" s="3">
        <v>2300</v>
      </c>
      <c r="E996" s="3" t="str">
        <f t="shared" si="61"/>
        <v>Medium</v>
      </c>
      <c r="F996" s="3">
        <f t="shared" si="62"/>
        <v>690</v>
      </c>
      <c r="G996" s="4">
        <v>37932</v>
      </c>
      <c r="H996" s="3" t="s">
        <v>25</v>
      </c>
      <c r="I996" s="3" t="str">
        <f t="shared" si="60"/>
        <v>Yes</v>
      </c>
      <c r="J996" s="3" t="s">
        <v>686</v>
      </c>
      <c r="K996" s="3">
        <v>2003</v>
      </c>
      <c r="L996" s="3" t="str">
        <f t="shared" si="63"/>
        <v>Nov-2003</v>
      </c>
      <c r="M996" s="3" t="s">
        <v>550</v>
      </c>
      <c r="N996" s="3" t="s">
        <v>487</v>
      </c>
      <c r="O996" s="3" t="s">
        <v>178</v>
      </c>
      <c r="P996" s="3" t="s">
        <v>42</v>
      </c>
      <c r="Q996" s="3" t="s">
        <v>51</v>
      </c>
    </row>
    <row r="997" spans="1:17" x14ac:dyDescent="0.25">
      <c r="A997" s="5">
        <v>10185</v>
      </c>
      <c r="B997" s="5">
        <v>28</v>
      </c>
      <c r="C997" s="5">
        <v>100</v>
      </c>
      <c r="D997" s="5">
        <v>2800</v>
      </c>
      <c r="E997" s="5" t="str">
        <f t="shared" si="61"/>
        <v>Medium</v>
      </c>
      <c r="F997" s="5">
        <f t="shared" si="62"/>
        <v>840</v>
      </c>
      <c r="G997" s="6">
        <v>37939</v>
      </c>
      <c r="H997" s="5" t="s">
        <v>25</v>
      </c>
      <c r="I997" s="5" t="str">
        <f t="shared" si="60"/>
        <v>Yes</v>
      </c>
      <c r="J997" s="5" t="s">
        <v>686</v>
      </c>
      <c r="K997" s="5">
        <v>2003</v>
      </c>
      <c r="L997" s="5" t="str">
        <f t="shared" si="63"/>
        <v>Nov-2003</v>
      </c>
      <c r="M997" s="5" t="s">
        <v>550</v>
      </c>
      <c r="N997" s="5" t="s">
        <v>335</v>
      </c>
      <c r="O997" s="5" t="s">
        <v>32</v>
      </c>
      <c r="P997" s="5" t="s">
        <v>33</v>
      </c>
      <c r="Q997" s="5" t="s">
        <v>51</v>
      </c>
    </row>
    <row r="998" spans="1:17" x14ac:dyDescent="0.25">
      <c r="A998" s="3">
        <v>10196</v>
      </c>
      <c r="B998" s="3">
        <v>49</v>
      </c>
      <c r="C998" s="3">
        <v>100</v>
      </c>
      <c r="D998" s="3">
        <v>4900</v>
      </c>
      <c r="E998" s="3" t="str">
        <f t="shared" si="61"/>
        <v>Medium</v>
      </c>
      <c r="F998" s="3">
        <f t="shared" si="62"/>
        <v>1470</v>
      </c>
      <c r="G998" s="4">
        <v>37951</v>
      </c>
      <c r="H998" s="3" t="s">
        <v>25</v>
      </c>
      <c r="I998" s="3" t="str">
        <f t="shared" si="60"/>
        <v>Yes</v>
      </c>
      <c r="J998" s="3" t="s">
        <v>686</v>
      </c>
      <c r="K998" s="3">
        <v>2003</v>
      </c>
      <c r="L998" s="3" t="str">
        <f t="shared" si="63"/>
        <v>Nov-2003</v>
      </c>
      <c r="M998" s="3" t="s">
        <v>550</v>
      </c>
      <c r="N998" s="3" t="s">
        <v>242</v>
      </c>
      <c r="O998" s="3" t="s">
        <v>32</v>
      </c>
      <c r="P998" s="3" t="s">
        <v>33</v>
      </c>
      <c r="Q998" s="3" t="s">
        <v>51</v>
      </c>
    </row>
    <row r="999" spans="1:17" x14ac:dyDescent="0.25">
      <c r="A999" s="5">
        <v>10208</v>
      </c>
      <c r="B999" s="5">
        <v>24</v>
      </c>
      <c r="C999" s="5">
        <v>100</v>
      </c>
      <c r="D999" s="5">
        <v>2400</v>
      </c>
      <c r="E999" s="5" t="str">
        <f t="shared" si="61"/>
        <v>Medium</v>
      </c>
      <c r="F999" s="5">
        <f t="shared" si="62"/>
        <v>720</v>
      </c>
      <c r="G999" s="6">
        <v>37988</v>
      </c>
      <c r="H999" s="5" t="s">
        <v>25</v>
      </c>
      <c r="I999" s="5" t="str">
        <f t="shared" si="60"/>
        <v>Yes</v>
      </c>
      <c r="J999" s="5" t="s">
        <v>549</v>
      </c>
      <c r="K999" s="5">
        <v>2004</v>
      </c>
      <c r="L999" s="5" t="str">
        <f t="shared" si="63"/>
        <v>Jan-2004</v>
      </c>
      <c r="M999" s="5" t="s">
        <v>550</v>
      </c>
      <c r="N999" s="5" t="s">
        <v>219</v>
      </c>
      <c r="O999" s="5" t="s">
        <v>41</v>
      </c>
      <c r="P999" s="5" t="s">
        <v>42</v>
      </c>
      <c r="Q999" s="5" t="s">
        <v>36</v>
      </c>
    </row>
    <row r="1000" spans="1:17" x14ac:dyDescent="0.25">
      <c r="A1000" s="3">
        <v>10221</v>
      </c>
      <c r="B1000" s="3">
        <v>33</v>
      </c>
      <c r="C1000" s="3">
        <v>100</v>
      </c>
      <c r="D1000" s="3">
        <v>3300</v>
      </c>
      <c r="E1000" s="3" t="str">
        <f t="shared" si="61"/>
        <v>Medium</v>
      </c>
      <c r="F1000" s="3">
        <f t="shared" si="62"/>
        <v>990</v>
      </c>
      <c r="G1000" s="4">
        <v>38035</v>
      </c>
      <c r="H1000" s="3" t="s">
        <v>25</v>
      </c>
      <c r="I1000" s="3" t="str">
        <f t="shared" si="60"/>
        <v>Yes</v>
      </c>
      <c r="J1000" s="3" t="s">
        <v>681</v>
      </c>
      <c r="K1000" s="3">
        <v>2004</v>
      </c>
      <c r="L1000" s="3" t="str">
        <f t="shared" si="63"/>
        <v>Feb-2004</v>
      </c>
      <c r="M1000" s="3" t="s">
        <v>550</v>
      </c>
      <c r="N1000" s="3" t="s">
        <v>365</v>
      </c>
      <c r="O1000" s="3" t="s">
        <v>370</v>
      </c>
      <c r="P1000" s="3" t="s">
        <v>42</v>
      </c>
      <c r="Q1000" s="3" t="s">
        <v>51</v>
      </c>
    </row>
    <row r="1001" spans="1:17" x14ac:dyDescent="0.25">
      <c r="A1001" s="5">
        <v>10232</v>
      </c>
      <c r="B1001" s="5">
        <v>22</v>
      </c>
      <c r="C1001" s="5">
        <v>100</v>
      </c>
      <c r="D1001" s="5">
        <v>2200</v>
      </c>
      <c r="E1001" s="5" t="str">
        <f t="shared" si="61"/>
        <v>Medium</v>
      </c>
      <c r="F1001" s="5">
        <f t="shared" si="62"/>
        <v>660</v>
      </c>
      <c r="G1001" s="6">
        <v>38066</v>
      </c>
      <c r="H1001" s="5" t="s">
        <v>25</v>
      </c>
      <c r="I1001" s="5" t="str">
        <f t="shared" si="60"/>
        <v>Yes</v>
      </c>
      <c r="J1001" s="5" t="s">
        <v>691</v>
      </c>
      <c r="K1001" s="5">
        <v>2004</v>
      </c>
      <c r="L1001" s="5" t="str">
        <f t="shared" si="63"/>
        <v>Mar-2004</v>
      </c>
      <c r="M1001" s="5" t="s">
        <v>550</v>
      </c>
      <c r="N1001" s="5" t="s">
        <v>383</v>
      </c>
      <c r="O1001" s="5" t="s">
        <v>170</v>
      </c>
      <c r="P1001" s="5" t="s">
        <v>42</v>
      </c>
      <c r="Q1001" s="5" t="s">
        <v>51</v>
      </c>
    </row>
    <row r="1002" spans="1:17" x14ac:dyDescent="0.25">
      <c r="A1002" s="3">
        <v>10248</v>
      </c>
      <c r="B1002" s="3">
        <v>32</v>
      </c>
      <c r="C1002" s="3">
        <v>100</v>
      </c>
      <c r="D1002" s="3">
        <v>3200</v>
      </c>
      <c r="E1002" s="3" t="str">
        <f t="shared" si="61"/>
        <v>Medium</v>
      </c>
      <c r="F1002" s="3">
        <f t="shared" si="62"/>
        <v>960</v>
      </c>
      <c r="G1002" s="4">
        <v>38114</v>
      </c>
      <c r="H1002" s="3" t="s">
        <v>339</v>
      </c>
      <c r="I1002" s="3" t="str">
        <f t="shared" si="60"/>
        <v>No</v>
      </c>
      <c r="J1002" s="3" t="s">
        <v>682</v>
      </c>
      <c r="K1002" s="3">
        <v>2004</v>
      </c>
      <c r="L1002" s="3" t="str">
        <f t="shared" si="63"/>
        <v>May-2004</v>
      </c>
      <c r="M1002" s="3" t="s">
        <v>550</v>
      </c>
      <c r="N1002" s="3" t="s">
        <v>28</v>
      </c>
      <c r="O1002" s="3" t="s">
        <v>32</v>
      </c>
      <c r="P1002" s="3" t="s">
        <v>33</v>
      </c>
      <c r="Q1002" s="3" t="s">
        <v>51</v>
      </c>
    </row>
    <row r="1003" spans="1:17" x14ac:dyDescent="0.25">
      <c r="A1003" s="5">
        <v>10273</v>
      </c>
      <c r="B1003" s="5">
        <v>40</v>
      </c>
      <c r="C1003" s="5">
        <v>100</v>
      </c>
      <c r="D1003" s="5">
        <v>4000</v>
      </c>
      <c r="E1003" s="5" t="str">
        <f t="shared" si="61"/>
        <v>Medium</v>
      </c>
      <c r="F1003" s="5">
        <f t="shared" si="62"/>
        <v>1200</v>
      </c>
      <c r="G1003" s="6">
        <v>38189</v>
      </c>
      <c r="H1003" s="5" t="s">
        <v>25</v>
      </c>
      <c r="I1003" s="5" t="str">
        <f t="shared" si="60"/>
        <v>Yes</v>
      </c>
      <c r="J1003" s="5" t="s">
        <v>683</v>
      </c>
      <c r="K1003" s="5">
        <v>2004</v>
      </c>
      <c r="L1003" s="5" t="str">
        <f t="shared" si="63"/>
        <v>Jul-2004</v>
      </c>
      <c r="M1003" s="5" t="s">
        <v>550</v>
      </c>
      <c r="N1003" s="5" t="s">
        <v>365</v>
      </c>
      <c r="O1003" s="5" t="s">
        <v>370</v>
      </c>
      <c r="P1003" s="5" t="s">
        <v>42</v>
      </c>
      <c r="Q1003" s="5" t="s">
        <v>51</v>
      </c>
    </row>
    <row r="1004" spans="1:17" x14ac:dyDescent="0.25">
      <c r="A1004" s="3">
        <v>10282</v>
      </c>
      <c r="B1004" s="3">
        <v>43</v>
      </c>
      <c r="C1004" s="3">
        <v>100</v>
      </c>
      <c r="D1004" s="3">
        <v>4300</v>
      </c>
      <c r="E1004" s="3" t="str">
        <f t="shared" si="61"/>
        <v>Medium</v>
      </c>
      <c r="F1004" s="3">
        <f t="shared" si="62"/>
        <v>1290</v>
      </c>
      <c r="G1004" s="4">
        <v>38219</v>
      </c>
      <c r="H1004" s="3" t="s">
        <v>25</v>
      </c>
      <c r="I1004" s="3" t="str">
        <f t="shared" si="60"/>
        <v>Yes</v>
      </c>
      <c r="J1004" s="3" t="s">
        <v>684</v>
      </c>
      <c r="K1004" s="3">
        <v>2004</v>
      </c>
      <c r="L1004" s="3" t="str">
        <f t="shared" si="63"/>
        <v>Aug-2004</v>
      </c>
      <c r="M1004" s="3" t="s">
        <v>550</v>
      </c>
      <c r="N1004" s="3" t="s">
        <v>272</v>
      </c>
      <c r="O1004" s="3" t="s">
        <v>32</v>
      </c>
      <c r="P1004" s="3" t="s">
        <v>33</v>
      </c>
      <c r="Q1004" s="3" t="s">
        <v>51</v>
      </c>
    </row>
    <row r="1005" spans="1:17" x14ac:dyDescent="0.25">
      <c r="A1005" s="5">
        <v>10293</v>
      </c>
      <c r="B1005" s="5">
        <v>24</v>
      </c>
      <c r="C1005" s="5">
        <v>100</v>
      </c>
      <c r="D1005" s="5">
        <v>2400</v>
      </c>
      <c r="E1005" s="5" t="str">
        <f t="shared" si="61"/>
        <v>Medium</v>
      </c>
      <c r="F1005" s="5">
        <f t="shared" si="62"/>
        <v>720</v>
      </c>
      <c r="G1005" s="6">
        <v>38239</v>
      </c>
      <c r="H1005" s="5" t="s">
        <v>25</v>
      </c>
      <c r="I1005" s="5" t="str">
        <f t="shared" si="60"/>
        <v>Yes</v>
      </c>
      <c r="J1005" s="5" t="s">
        <v>690</v>
      </c>
      <c r="K1005" s="5">
        <v>2004</v>
      </c>
      <c r="L1005" s="5" t="str">
        <f t="shared" si="63"/>
        <v>Sep-2004</v>
      </c>
      <c r="M1005" s="5" t="s">
        <v>550</v>
      </c>
      <c r="N1005" s="5" t="s">
        <v>254</v>
      </c>
      <c r="O1005" s="5" t="s">
        <v>258</v>
      </c>
      <c r="P1005" s="5" t="s">
        <v>42</v>
      </c>
      <c r="Q1005" s="5" t="s">
        <v>36</v>
      </c>
    </row>
    <row r="1006" spans="1:17" x14ac:dyDescent="0.25">
      <c r="A1006" s="3">
        <v>10306</v>
      </c>
      <c r="B1006" s="3">
        <v>32</v>
      </c>
      <c r="C1006" s="3">
        <v>100</v>
      </c>
      <c r="D1006" s="3">
        <v>3200</v>
      </c>
      <c r="E1006" s="3" t="str">
        <f t="shared" si="61"/>
        <v>Medium</v>
      </c>
      <c r="F1006" s="3">
        <f t="shared" si="62"/>
        <v>960</v>
      </c>
      <c r="G1006" s="4">
        <v>38274</v>
      </c>
      <c r="H1006" s="3" t="s">
        <v>25</v>
      </c>
      <c r="I1006" s="3" t="str">
        <f t="shared" si="60"/>
        <v>Yes</v>
      </c>
      <c r="J1006" s="3" t="s">
        <v>685</v>
      </c>
      <c r="K1006" s="3">
        <v>2004</v>
      </c>
      <c r="L1006" s="3" t="str">
        <f t="shared" si="63"/>
        <v>Oct-2004</v>
      </c>
      <c r="M1006" s="3" t="s">
        <v>550</v>
      </c>
      <c r="N1006" s="3" t="s">
        <v>492</v>
      </c>
      <c r="O1006" s="3" t="s">
        <v>170</v>
      </c>
      <c r="P1006" s="3" t="s">
        <v>42</v>
      </c>
      <c r="Q1006" s="3" t="s">
        <v>51</v>
      </c>
    </row>
    <row r="1007" spans="1:17" x14ac:dyDescent="0.25">
      <c r="A1007" s="5">
        <v>10314</v>
      </c>
      <c r="B1007" s="5">
        <v>20</v>
      </c>
      <c r="C1007" s="5">
        <v>100</v>
      </c>
      <c r="D1007" s="5">
        <v>2000</v>
      </c>
      <c r="E1007" s="5" t="str">
        <f t="shared" si="61"/>
        <v>Medium</v>
      </c>
      <c r="F1007" s="5">
        <f t="shared" si="62"/>
        <v>600</v>
      </c>
      <c r="G1007" s="6">
        <v>38282</v>
      </c>
      <c r="H1007" s="5" t="s">
        <v>25</v>
      </c>
      <c r="I1007" s="5" t="str">
        <f t="shared" si="60"/>
        <v>Yes</v>
      </c>
      <c r="J1007" s="5" t="s">
        <v>685</v>
      </c>
      <c r="K1007" s="5">
        <v>2004</v>
      </c>
      <c r="L1007" s="5" t="str">
        <f t="shared" si="63"/>
        <v>Oct-2004</v>
      </c>
      <c r="M1007" s="5" t="s">
        <v>550</v>
      </c>
      <c r="N1007" s="5" t="s">
        <v>498</v>
      </c>
      <c r="O1007" s="5" t="s">
        <v>326</v>
      </c>
      <c r="P1007" s="5" t="s">
        <v>42</v>
      </c>
      <c r="Q1007" s="5" t="s">
        <v>36</v>
      </c>
    </row>
    <row r="1008" spans="1:17" x14ac:dyDescent="0.25">
      <c r="A1008" s="3">
        <v>10325</v>
      </c>
      <c r="B1008" s="3">
        <v>24</v>
      </c>
      <c r="C1008" s="3">
        <v>69.12</v>
      </c>
      <c r="D1008" s="3">
        <v>1658.88</v>
      </c>
      <c r="E1008" s="3" t="str">
        <f t="shared" si="61"/>
        <v>Low</v>
      </c>
      <c r="F1008" s="3">
        <f t="shared" si="62"/>
        <v>497.66399999999999</v>
      </c>
      <c r="G1008" s="4">
        <v>38296</v>
      </c>
      <c r="H1008" s="3" t="s">
        <v>25</v>
      </c>
      <c r="I1008" s="3" t="str">
        <f t="shared" si="60"/>
        <v>Yes</v>
      </c>
      <c r="J1008" s="3" t="s">
        <v>686</v>
      </c>
      <c r="K1008" s="3">
        <v>2004</v>
      </c>
      <c r="L1008" s="3" t="str">
        <f t="shared" si="63"/>
        <v>Nov-2004</v>
      </c>
      <c r="M1008" s="3" t="s">
        <v>550</v>
      </c>
      <c r="N1008" s="3" t="s">
        <v>133</v>
      </c>
      <c r="O1008" s="3" t="s">
        <v>78</v>
      </c>
      <c r="P1008" s="3" t="s">
        <v>42</v>
      </c>
      <c r="Q1008" s="3" t="s">
        <v>36</v>
      </c>
    </row>
    <row r="1009" spans="1:17" x14ac:dyDescent="0.25">
      <c r="A1009" s="5">
        <v>10336</v>
      </c>
      <c r="B1009" s="5">
        <v>48</v>
      </c>
      <c r="C1009" s="5">
        <v>100</v>
      </c>
      <c r="D1009" s="5">
        <v>4800</v>
      </c>
      <c r="E1009" s="5" t="str">
        <f t="shared" si="61"/>
        <v>Medium</v>
      </c>
      <c r="F1009" s="5">
        <f t="shared" si="62"/>
        <v>1440</v>
      </c>
      <c r="G1009" s="6">
        <v>38311</v>
      </c>
      <c r="H1009" s="5" t="s">
        <v>25</v>
      </c>
      <c r="I1009" s="5" t="str">
        <f t="shared" si="60"/>
        <v>Yes</v>
      </c>
      <c r="J1009" s="5" t="s">
        <v>686</v>
      </c>
      <c r="K1009" s="5">
        <v>2004</v>
      </c>
      <c r="L1009" s="5" t="str">
        <f t="shared" si="63"/>
        <v>Nov-2004</v>
      </c>
      <c r="M1009" s="5" t="s">
        <v>550</v>
      </c>
      <c r="N1009" s="5" t="s">
        <v>403</v>
      </c>
      <c r="O1009" s="5" t="s">
        <v>41</v>
      </c>
      <c r="P1009" s="5" t="s">
        <v>42</v>
      </c>
      <c r="Q1009" s="5" t="s">
        <v>51</v>
      </c>
    </row>
    <row r="1010" spans="1:17" x14ac:dyDescent="0.25">
      <c r="A1010" s="3">
        <v>10350</v>
      </c>
      <c r="B1010" s="3">
        <v>44</v>
      </c>
      <c r="C1010" s="3">
        <v>100</v>
      </c>
      <c r="D1010" s="3">
        <v>4400</v>
      </c>
      <c r="E1010" s="3" t="str">
        <f t="shared" si="61"/>
        <v>Medium</v>
      </c>
      <c r="F1010" s="3">
        <f t="shared" si="62"/>
        <v>1320</v>
      </c>
      <c r="G1010" s="4">
        <v>38323</v>
      </c>
      <c r="H1010" s="3" t="s">
        <v>25</v>
      </c>
      <c r="I1010" s="3" t="str">
        <f t="shared" si="60"/>
        <v>Yes</v>
      </c>
      <c r="J1010" s="3" t="s">
        <v>687</v>
      </c>
      <c r="K1010" s="3">
        <v>2004</v>
      </c>
      <c r="L1010" s="3" t="str">
        <f t="shared" si="63"/>
        <v>Dec-2004</v>
      </c>
      <c r="M1010" s="3" t="s">
        <v>550</v>
      </c>
      <c r="N1010" s="3" t="s">
        <v>174</v>
      </c>
      <c r="O1010" s="3" t="s">
        <v>178</v>
      </c>
      <c r="P1010" s="3" t="s">
        <v>42</v>
      </c>
      <c r="Q1010" s="3" t="s">
        <v>51</v>
      </c>
    </row>
    <row r="1011" spans="1:17" x14ac:dyDescent="0.25">
      <c r="A1011" s="5">
        <v>10372</v>
      </c>
      <c r="B1011" s="5">
        <v>28</v>
      </c>
      <c r="C1011" s="5">
        <v>100</v>
      </c>
      <c r="D1011" s="5">
        <v>2800</v>
      </c>
      <c r="E1011" s="5" t="str">
        <f t="shared" si="61"/>
        <v>Medium</v>
      </c>
      <c r="F1011" s="5">
        <f t="shared" si="62"/>
        <v>840</v>
      </c>
      <c r="G1011" s="6">
        <v>38378</v>
      </c>
      <c r="H1011" s="5" t="s">
        <v>25</v>
      </c>
      <c r="I1011" s="5" t="str">
        <f t="shared" si="60"/>
        <v>Yes</v>
      </c>
      <c r="J1011" s="5" t="s">
        <v>549</v>
      </c>
      <c r="K1011" s="5">
        <v>2005</v>
      </c>
      <c r="L1011" s="5" t="str">
        <f t="shared" si="63"/>
        <v>Jan-2005</v>
      </c>
      <c r="M1011" s="5" t="s">
        <v>550</v>
      </c>
      <c r="N1011" s="5" t="s">
        <v>246</v>
      </c>
      <c r="O1011" s="5" t="s">
        <v>200</v>
      </c>
      <c r="P1011" s="5" t="s">
        <v>675</v>
      </c>
      <c r="Q1011" s="5" t="s">
        <v>51</v>
      </c>
    </row>
    <row r="1012" spans="1:17" x14ac:dyDescent="0.25">
      <c r="A1012" s="3">
        <v>10383</v>
      </c>
      <c r="B1012" s="3">
        <v>24</v>
      </c>
      <c r="C1012" s="3">
        <v>61.52</v>
      </c>
      <c r="D1012" s="3">
        <v>1476.48</v>
      </c>
      <c r="E1012" s="3" t="str">
        <f t="shared" si="61"/>
        <v>Low</v>
      </c>
      <c r="F1012" s="3">
        <f t="shared" si="62"/>
        <v>442.94400000000002</v>
      </c>
      <c r="G1012" s="4">
        <v>38405</v>
      </c>
      <c r="H1012" s="3" t="s">
        <v>25</v>
      </c>
      <c r="I1012" s="3" t="str">
        <f t="shared" si="60"/>
        <v>Yes</v>
      </c>
      <c r="J1012" s="3" t="s">
        <v>681</v>
      </c>
      <c r="K1012" s="3">
        <v>2005</v>
      </c>
      <c r="L1012" s="3" t="str">
        <f t="shared" si="63"/>
        <v>Feb-2005</v>
      </c>
      <c r="M1012" s="3" t="s">
        <v>550</v>
      </c>
      <c r="N1012" s="3" t="s">
        <v>174</v>
      </c>
      <c r="O1012" s="3" t="s">
        <v>178</v>
      </c>
      <c r="P1012" s="3" t="s">
        <v>42</v>
      </c>
      <c r="Q1012" s="3" t="s">
        <v>36</v>
      </c>
    </row>
    <row r="1013" spans="1:17" x14ac:dyDescent="0.25">
      <c r="A1013" s="5">
        <v>10396</v>
      </c>
      <c r="B1013" s="5">
        <v>33</v>
      </c>
      <c r="C1013" s="5">
        <v>100</v>
      </c>
      <c r="D1013" s="5">
        <v>3300</v>
      </c>
      <c r="E1013" s="5" t="str">
        <f t="shared" si="61"/>
        <v>Medium</v>
      </c>
      <c r="F1013" s="5">
        <f t="shared" si="62"/>
        <v>990</v>
      </c>
      <c r="G1013" s="6">
        <v>38434</v>
      </c>
      <c r="H1013" s="5" t="s">
        <v>25</v>
      </c>
      <c r="I1013" s="5" t="str">
        <f t="shared" si="60"/>
        <v>Yes</v>
      </c>
      <c r="J1013" s="5" t="s">
        <v>691</v>
      </c>
      <c r="K1013" s="5">
        <v>2005</v>
      </c>
      <c r="L1013" s="5" t="str">
        <f t="shared" si="63"/>
        <v>Mar-2005</v>
      </c>
      <c r="M1013" s="5" t="s">
        <v>550</v>
      </c>
      <c r="N1013" s="5" t="s">
        <v>272</v>
      </c>
      <c r="O1013" s="5" t="s">
        <v>32</v>
      </c>
      <c r="P1013" s="5" t="s">
        <v>33</v>
      </c>
      <c r="Q1013" s="5" t="s">
        <v>51</v>
      </c>
    </row>
    <row r="1014" spans="1:17" x14ac:dyDescent="0.25">
      <c r="A1014" s="3">
        <v>10414</v>
      </c>
      <c r="B1014" s="3">
        <v>41</v>
      </c>
      <c r="C1014" s="3">
        <v>100</v>
      </c>
      <c r="D1014" s="3">
        <v>4100</v>
      </c>
      <c r="E1014" s="3" t="str">
        <f t="shared" si="61"/>
        <v>Medium</v>
      </c>
      <c r="F1014" s="3">
        <f t="shared" si="62"/>
        <v>1230</v>
      </c>
      <c r="G1014" s="4">
        <v>38478</v>
      </c>
      <c r="H1014" s="3" t="s">
        <v>401</v>
      </c>
      <c r="I1014" s="3" t="str">
        <f t="shared" si="60"/>
        <v>No</v>
      </c>
      <c r="J1014" s="3" t="s">
        <v>682</v>
      </c>
      <c r="K1014" s="3">
        <v>2005</v>
      </c>
      <c r="L1014" s="3" t="str">
        <f t="shared" si="63"/>
        <v>May-2005</v>
      </c>
      <c r="M1014" s="3" t="s">
        <v>550</v>
      </c>
      <c r="N1014" s="3" t="s">
        <v>379</v>
      </c>
      <c r="O1014" s="3" t="s">
        <v>32</v>
      </c>
      <c r="P1014" s="3" t="s">
        <v>33</v>
      </c>
      <c r="Q1014" s="3" t="s">
        <v>51</v>
      </c>
    </row>
    <row r="1015" spans="1:17" x14ac:dyDescent="0.25">
      <c r="A1015" s="5">
        <v>10104</v>
      </c>
      <c r="B1015" s="5">
        <v>23</v>
      </c>
      <c r="C1015" s="5">
        <v>100</v>
      </c>
      <c r="D1015" s="5">
        <v>2300</v>
      </c>
      <c r="E1015" s="5" t="str">
        <f t="shared" si="61"/>
        <v>Medium</v>
      </c>
      <c r="F1015" s="5">
        <f t="shared" si="62"/>
        <v>690</v>
      </c>
      <c r="G1015" s="6">
        <v>37652</v>
      </c>
      <c r="H1015" s="5" t="s">
        <v>25</v>
      </c>
      <c r="I1015" s="5" t="str">
        <f t="shared" si="60"/>
        <v>Yes</v>
      </c>
      <c r="J1015" s="5" t="s">
        <v>549</v>
      </c>
      <c r="K1015" s="5">
        <v>2003</v>
      </c>
      <c r="L1015" s="5" t="str">
        <f t="shared" si="63"/>
        <v>Jan-2003</v>
      </c>
      <c r="M1015" s="5" t="s">
        <v>181</v>
      </c>
      <c r="N1015" s="5" t="s">
        <v>174</v>
      </c>
      <c r="O1015" s="5" t="s">
        <v>178</v>
      </c>
      <c r="P1015" s="5" t="s">
        <v>42</v>
      </c>
      <c r="Q1015" s="5" t="s">
        <v>51</v>
      </c>
    </row>
    <row r="1016" spans="1:17" x14ac:dyDescent="0.25">
      <c r="A1016" s="3">
        <v>10109</v>
      </c>
      <c r="B1016" s="3">
        <v>46</v>
      </c>
      <c r="C1016" s="3">
        <v>100</v>
      </c>
      <c r="D1016" s="3">
        <v>4600</v>
      </c>
      <c r="E1016" s="3" t="str">
        <f t="shared" si="61"/>
        <v>Medium</v>
      </c>
      <c r="F1016" s="3">
        <f t="shared" si="62"/>
        <v>1380</v>
      </c>
      <c r="G1016" s="4">
        <v>37690</v>
      </c>
      <c r="H1016" s="3" t="s">
        <v>25</v>
      </c>
      <c r="I1016" s="3" t="str">
        <f t="shared" si="60"/>
        <v>Yes</v>
      </c>
      <c r="J1016" s="3" t="s">
        <v>691</v>
      </c>
      <c r="K1016" s="3">
        <v>2003</v>
      </c>
      <c r="L1016" s="3" t="str">
        <f t="shared" si="63"/>
        <v>Mar-2003</v>
      </c>
      <c r="M1016" s="3" t="s">
        <v>181</v>
      </c>
      <c r="N1016" s="3" t="s">
        <v>309</v>
      </c>
      <c r="O1016" s="3" t="s">
        <v>32</v>
      </c>
      <c r="P1016" s="3" t="s">
        <v>33</v>
      </c>
      <c r="Q1016" s="3" t="s">
        <v>151</v>
      </c>
    </row>
    <row r="1017" spans="1:17" x14ac:dyDescent="0.25">
      <c r="A1017" s="5">
        <v>10114</v>
      </c>
      <c r="B1017" s="5">
        <v>48</v>
      </c>
      <c r="C1017" s="5">
        <v>100</v>
      </c>
      <c r="D1017" s="5">
        <v>4800</v>
      </c>
      <c r="E1017" s="5" t="str">
        <f t="shared" si="61"/>
        <v>Medium</v>
      </c>
      <c r="F1017" s="5">
        <f t="shared" si="62"/>
        <v>1440</v>
      </c>
      <c r="G1017" s="6">
        <v>37712</v>
      </c>
      <c r="H1017" s="5" t="s">
        <v>25</v>
      </c>
      <c r="I1017" s="5" t="str">
        <f t="shared" si="60"/>
        <v>Yes</v>
      </c>
      <c r="J1017" s="5" t="s">
        <v>688</v>
      </c>
      <c r="K1017" s="5">
        <v>2003</v>
      </c>
      <c r="L1017" s="5" t="str">
        <f t="shared" si="63"/>
        <v>Apr-2003</v>
      </c>
      <c r="M1017" s="5" t="s">
        <v>181</v>
      </c>
      <c r="N1017" s="5" t="s">
        <v>403</v>
      </c>
      <c r="O1017" s="5" t="s">
        <v>41</v>
      </c>
      <c r="P1017" s="5" t="s">
        <v>42</v>
      </c>
      <c r="Q1017" s="5" t="s">
        <v>151</v>
      </c>
    </row>
    <row r="1018" spans="1:17" x14ac:dyDescent="0.25">
      <c r="A1018" s="3">
        <v>10122</v>
      </c>
      <c r="B1018" s="3">
        <v>25</v>
      </c>
      <c r="C1018" s="3">
        <v>100</v>
      </c>
      <c r="D1018" s="3">
        <v>2500</v>
      </c>
      <c r="E1018" s="3" t="str">
        <f t="shared" si="61"/>
        <v>Medium</v>
      </c>
      <c r="F1018" s="3">
        <f t="shared" si="62"/>
        <v>750</v>
      </c>
      <c r="G1018" s="4">
        <v>37749</v>
      </c>
      <c r="H1018" s="3" t="s">
        <v>25</v>
      </c>
      <c r="I1018" s="3" t="str">
        <f t="shared" si="60"/>
        <v>Yes</v>
      </c>
      <c r="J1018" s="3" t="s">
        <v>682</v>
      </c>
      <c r="K1018" s="3">
        <v>2003</v>
      </c>
      <c r="L1018" s="3" t="str">
        <f t="shared" si="63"/>
        <v>May-2003</v>
      </c>
      <c r="M1018" s="3" t="s">
        <v>181</v>
      </c>
      <c r="N1018" s="3" t="s">
        <v>433</v>
      </c>
      <c r="O1018" s="3" t="s">
        <v>41</v>
      </c>
      <c r="P1018" s="3" t="s">
        <v>42</v>
      </c>
      <c r="Q1018" s="3" t="s">
        <v>51</v>
      </c>
    </row>
    <row r="1019" spans="1:17" x14ac:dyDescent="0.25">
      <c r="A1019" s="5">
        <v>10127</v>
      </c>
      <c r="B1019" s="5">
        <v>22</v>
      </c>
      <c r="C1019" s="5">
        <v>100</v>
      </c>
      <c r="D1019" s="5">
        <v>2200</v>
      </c>
      <c r="E1019" s="5" t="str">
        <f t="shared" si="61"/>
        <v>Medium</v>
      </c>
      <c r="F1019" s="5">
        <f t="shared" si="62"/>
        <v>660</v>
      </c>
      <c r="G1019" s="6">
        <v>37775</v>
      </c>
      <c r="H1019" s="5" t="s">
        <v>25</v>
      </c>
      <c r="I1019" s="5" t="str">
        <f t="shared" si="60"/>
        <v>Yes</v>
      </c>
      <c r="J1019" s="5" t="s">
        <v>689</v>
      </c>
      <c r="K1019" s="5">
        <v>2003</v>
      </c>
      <c r="L1019" s="5" t="str">
        <f t="shared" si="63"/>
        <v>Jun-2003</v>
      </c>
      <c r="M1019" s="5" t="s">
        <v>181</v>
      </c>
      <c r="N1019" s="5" t="s">
        <v>475</v>
      </c>
      <c r="O1019" s="5" t="s">
        <v>32</v>
      </c>
      <c r="P1019" s="5" t="s">
        <v>33</v>
      </c>
      <c r="Q1019" s="5" t="s">
        <v>51</v>
      </c>
    </row>
    <row r="1020" spans="1:17" x14ac:dyDescent="0.25">
      <c r="A1020" s="3">
        <v>10136</v>
      </c>
      <c r="B1020" s="3">
        <v>41</v>
      </c>
      <c r="C1020" s="3">
        <v>100</v>
      </c>
      <c r="D1020" s="3">
        <v>4100</v>
      </c>
      <c r="E1020" s="3" t="str">
        <f t="shared" si="61"/>
        <v>Medium</v>
      </c>
      <c r="F1020" s="3">
        <f t="shared" si="62"/>
        <v>1230</v>
      </c>
      <c r="G1020" s="4">
        <v>37806</v>
      </c>
      <c r="H1020" s="3" t="s">
        <v>25</v>
      </c>
      <c r="I1020" s="3" t="str">
        <f t="shared" si="60"/>
        <v>Yes</v>
      </c>
      <c r="J1020" s="3" t="s">
        <v>683</v>
      </c>
      <c r="K1020" s="3">
        <v>2003</v>
      </c>
      <c r="L1020" s="3" t="str">
        <f t="shared" si="63"/>
        <v>Jul-2003</v>
      </c>
      <c r="M1020" s="3" t="s">
        <v>181</v>
      </c>
      <c r="N1020" s="3" t="s">
        <v>340</v>
      </c>
      <c r="O1020" s="3" t="s">
        <v>41</v>
      </c>
      <c r="P1020" s="3" t="s">
        <v>42</v>
      </c>
      <c r="Q1020" s="3" t="s">
        <v>151</v>
      </c>
    </row>
    <row r="1021" spans="1:17" x14ac:dyDescent="0.25">
      <c r="A1021" s="5">
        <v>10141</v>
      </c>
      <c r="B1021" s="5">
        <v>34</v>
      </c>
      <c r="C1021" s="5">
        <v>100</v>
      </c>
      <c r="D1021" s="5">
        <v>3400</v>
      </c>
      <c r="E1021" s="5" t="str">
        <f t="shared" si="61"/>
        <v>Medium</v>
      </c>
      <c r="F1021" s="5">
        <f t="shared" si="62"/>
        <v>1020</v>
      </c>
      <c r="G1021" s="6">
        <v>37834</v>
      </c>
      <c r="H1021" s="5" t="s">
        <v>25</v>
      </c>
      <c r="I1021" s="5" t="str">
        <f t="shared" si="60"/>
        <v>Yes</v>
      </c>
      <c r="J1021" s="5" t="s">
        <v>684</v>
      </c>
      <c r="K1021" s="5">
        <v>2003</v>
      </c>
      <c r="L1021" s="5" t="str">
        <f t="shared" si="63"/>
        <v>Aug-2003</v>
      </c>
      <c r="M1021" s="5" t="s">
        <v>181</v>
      </c>
      <c r="N1021" s="5" t="s">
        <v>467</v>
      </c>
      <c r="O1021" s="5" t="s">
        <v>130</v>
      </c>
      <c r="P1021" s="5" t="s">
        <v>42</v>
      </c>
      <c r="Q1021" s="5" t="s">
        <v>51</v>
      </c>
    </row>
    <row r="1022" spans="1:17" x14ac:dyDescent="0.25">
      <c r="A1022" s="3">
        <v>10148</v>
      </c>
      <c r="B1022" s="3">
        <v>32</v>
      </c>
      <c r="C1022" s="3">
        <v>100</v>
      </c>
      <c r="D1022" s="3">
        <v>3200</v>
      </c>
      <c r="E1022" s="3" t="str">
        <f t="shared" si="61"/>
        <v>Medium</v>
      </c>
      <c r="F1022" s="3">
        <f t="shared" si="62"/>
        <v>960</v>
      </c>
      <c r="G1022" s="4">
        <v>37875</v>
      </c>
      <c r="H1022" s="3" t="s">
        <v>25</v>
      </c>
      <c r="I1022" s="3" t="str">
        <f t="shared" si="60"/>
        <v>Yes</v>
      </c>
      <c r="J1022" s="3" t="s">
        <v>690</v>
      </c>
      <c r="K1022" s="3">
        <v>2003</v>
      </c>
      <c r="L1022" s="3" t="str">
        <f t="shared" si="63"/>
        <v>Sep-2003</v>
      </c>
      <c r="M1022" s="3" t="s">
        <v>181</v>
      </c>
      <c r="N1022" s="3" t="s">
        <v>285</v>
      </c>
      <c r="O1022" s="3" t="s">
        <v>95</v>
      </c>
      <c r="P1022" s="3" t="s">
        <v>96</v>
      </c>
      <c r="Q1022" s="3" t="s">
        <v>51</v>
      </c>
    </row>
    <row r="1023" spans="1:17" x14ac:dyDescent="0.25">
      <c r="A1023" s="5">
        <v>10151</v>
      </c>
      <c r="B1023" s="5">
        <v>21</v>
      </c>
      <c r="C1023" s="5">
        <v>100</v>
      </c>
      <c r="D1023" s="5">
        <v>2100</v>
      </c>
      <c r="E1023" s="5" t="str">
        <f t="shared" si="61"/>
        <v>Medium</v>
      </c>
      <c r="F1023" s="5">
        <f t="shared" si="62"/>
        <v>630</v>
      </c>
      <c r="G1023" s="6">
        <v>37885</v>
      </c>
      <c r="H1023" s="5" t="s">
        <v>25</v>
      </c>
      <c r="I1023" s="5" t="str">
        <f t="shared" si="60"/>
        <v>Yes</v>
      </c>
      <c r="J1023" s="5" t="s">
        <v>690</v>
      </c>
      <c r="K1023" s="5">
        <v>2003</v>
      </c>
      <c r="L1023" s="5" t="str">
        <f t="shared" si="63"/>
        <v>Sep-2003</v>
      </c>
      <c r="M1023" s="5" t="s">
        <v>181</v>
      </c>
      <c r="N1023" s="5" t="s">
        <v>391</v>
      </c>
      <c r="O1023" s="5" t="s">
        <v>130</v>
      </c>
      <c r="P1023" s="5" t="s">
        <v>42</v>
      </c>
      <c r="Q1023" s="5" t="s">
        <v>51</v>
      </c>
    </row>
    <row r="1024" spans="1:17" x14ac:dyDescent="0.25">
      <c r="A1024" s="3">
        <v>10160</v>
      </c>
      <c r="B1024" s="3">
        <v>20</v>
      </c>
      <c r="C1024" s="3">
        <v>100</v>
      </c>
      <c r="D1024" s="3">
        <v>2000</v>
      </c>
      <c r="E1024" s="3" t="str">
        <f t="shared" si="61"/>
        <v>Medium</v>
      </c>
      <c r="F1024" s="3">
        <f t="shared" si="62"/>
        <v>600</v>
      </c>
      <c r="G1024" s="4">
        <v>37905</v>
      </c>
      <c r="H1024" s="3" t="s">
        <v>25</v>
      </c>
      <c r="I1024" s="3" t="str">
        <f t="shared" si="60"/>
        <v>Yes</v>
      </c>
      <c r="J1024" s="3" t="s">
        <v>685</v>
      </c>
      <c r="K1024" s="3">
        <v>2003</v>
      </c>
      <c r="L1024" s="3" t="str">
        <f t="shared" si="63"/>
        <v>Oct-2003</v>
      </c>
      <c r="M1024" s="3" t="s">
        <v>181</v>
      </c>
      <c r="N1024" s="3" t="s">
        <v>358</v>
      </c>
      <c r="O1024" s="3" t="s">
        <v>32</v>
      </c>
      <c r="P1024" s="3" t="s">
        <v>33</v>
      </c>
      <c r="Q1024" s="3" t="s">
        <v>51</v>
      </c>
    </row>
    <row r="1025" spans="1:17" x14ac:dyDescent="0.25">
      <c r="A1025" s="5">
        <v>10165</v>
      </c>
      <c r="B1025" s="5">
        <v>47</v>
      </c>
      <c r="C1025" s="5">
        <v>100</v>
      </c>
      <c r="D1025" s="5">
        <v>4700</v>
      </c>
      <c r="E1025" s="5" t="str">
        <f t="shared" si="61"/>
        <v>Medium</v>
      </c>
      <c r="F1025" s="5">
        <f t="shared" si="62"/>
        <v>1410</v>
      </c>
      <c r="G1025" s="6">
        <v>37916</v>
      </c>
      <c r="H1025" s="5" t="s">
        <v>25</v>
      </c>
      <c r="I1025" s="5" t="str">
        <f t="shared" si="60"/>
        <v>Yes</v>
      </c>
      <c r="J1025" s="5" t="s">
        <v>685</v>
      </c>
      <c r="K1025" s="5">
        <v>2003</v>
      </c>
      <c r="L1025" s="5" t="str">
        <f t="shared" si="63"/>
        <v>Oct-2003</v>
      </c>
      <c r="M1025" s="5" t="s">
        <v>181</v>
      </c>
      <c r="N1025" s="5" t="s">
        <v>196</v>
      </c>
      <c r="O1025" s="5" t="s">
        <v>199</v>
      </c>
      <c r="P1025" s="5" t="s">
        <v>675</v>
      </c>
      <c r="Q1025" s="5" t="s">
        <v>151</v>
      </c>
    </row>
    <row r="1026" spans="1:17" x14ac:dyDescent="0.25">
      <c r="A1026" s="3">
        <v>10171</v>
      </c>
      <c r="B1026" s="3">
        <v>39</v>
      </c>
      <c r="C1026" s="3">
        <v>100</v>
      </c>
      <c r="D1026" s="3">
        <v>3900</v>
      </c>
      <c r="E1026" s="3" t="str">
        <f t="shared" si="61"/>
        <v>Medium</v>
      </c>
      <c r="F1026" s="3">
        <f t="shared" si="62"/>
        <v>1170</v>
      </c>
      <c r="G1026" s="4">
        <v>37930</v>
      </c>
      <c r="H1026" s="3" t="s">
        <v>25</v>
      </c>
      <c r="I1026" s="3" t="str">
        <f t="shared" ref="I1026:I1089" si="64">IF(H1026="Shipped","Yes","No")</f>
        <v>Yes</v>
      </c>
      <c r="J1026" s="3" t="s">
        <v>686</v>
      </c>
      <c r="K1026" s="3">
        <v>2003</v>
      </c>
      <c r="L1026" s="3" t="str">
        <f t="shared" si="63"/>
        <v>Nov-2003</v>
      </c>
      <c r="M1026" s="3" t="s">
        <v>181</v>
      </c>
      <c r="N1026" s="3" t="s">
        <v>292</v>
      </c>
      <c r="O1026" s="3" t="s">
        <v>231</v>
      </c>
      <c r="P1026" s="3" t="s">
        <v>33</v>
      </c>
      <c r="Q1026" s="3" t="s">
        <v>51</v>
      </c>
    </row>
    <row r="1027" spans="1:17" x14ac:dyDescent="0.25">
      <c r="A1027" s="5">
        <v>10175</v>
      </c>
      <c r="B1027" s="5">
        <v>29</v>
      </c>
      <c r="C1027" s="5">
        <v>100</v>
      </c>
      <c r="D1027" s="5">
        <v>2900</v>
      </c>
      <c r="E1027" s="5" t="str">
        <f t="shared" ref="E1027:E1090" si="65">IF(D1027&gt;=5000,"High",IF(D1027&gt;=2000,"Medium","Low"))</f>
        <v>Medium</v>
      </c>
      <c r="F1027" s="5">
        <f t="shared" ref="F1027:F1090" si="66">(D1027*0.3)</f>
        <v>870</v>
      </c>
      <c r="G1027" s="6">
        <v>37931</v>
      </c>
      <c r="H1027" s="5" t="s">
        <v>25</v>
      </c>
      <c r="I1027" s="5" t="str">
        <f t="shared" si="64"/>
        <v>Yes</v>
      </c>
      <c r="J1027" s="5" t="s">
        <v>686</v>
      </c>
      <c r="K1027" s="5">
        <v>2003</v>
      </c>
      <c r="L1027" s="5" t="str">
        <f t="shared" ref="L1027:L1090" si="67">TEXT(G:G,"MMM-YYYY")</f>
        <v>Nov-2003</v>
      </c>
      <c r="M1027" s="5" t="s">
        <v>181</v>
      </c>
      <c r="N1027" s="5" t="s">
        <v>329</v>
      </c>
      <c r="O1027" s="5" t="s">
        <v>170</v>
      </c>
      <c r="P1027" s="5" t="s">
        <v>42</v>
      </c>
      <c r="Q1027" s="5" t="s">
        <v>51</v>
      </c>
    </row>
    <row r="1028" spans="1:17" x14ac:dyDescent="0.25">
      <c r="A1028" s="3">
        <v>10181</v>
      </c>
      <c r="B1028" s="3">
        <v>45</v>
      </c>
      <c r="C1028" s="3">
        <v>100</v>
      </c>
      <c r="D1028" s="3">
        <v>4500</v>
      </c>
      <c r="E1028" s="3" t="str">
        <f t="shared" si="65"/>
        <v>Medium</v>
      </c>
      <c r="F1028" s="3">
        <f t="shared" si="66"/>
        <v>1350</v>
      </c>
      <c r="G1028" s="4">
        <v>37937</v>
      </c>
      <c r="H1028" s="3" t="s">
        <v>25</v>
      </c>
      <c r="I1028" s="3" t="str">
        <f t="shared" si="64"/>
        <v>Yes</v>
      </c>
      <c r="J1028" s="3" t="s">
        <v>686</v>
      </c>
      <c r="K1028" s="3">
        <v>2003</v>
      </c>
      <c r="L1028" s="3" t="str">
        <f t="shared" si="67"/>
        <v>Nov-2003</v>
      </c>
      <c r="M1028" s="3" t="s">
        <v>181</v>
      </c>
      <c r="N1028" s="3" t="s">
        <v>73</v>
      </c>
      <c r="O1028" s="3" t="s">
        <v>78</v>
      </c>
      <c r="P1028" s="3" t="s">
        <v>42</v>
      </c>
      <c r="Q1028" s="3" t="s">
        <v>51</v>
      </c>
    </row>
    <row r="1029" spans="1:17" x14ac:dyDescent="0.25">
      <c r="A1029" s="5">
        <v>10184</v>
      </c>
      <c r="B1029" s="5">
        <v>28</v>
      </c>
      <c r="C1029" s="5">
        <v>100</v>
      </c>
      <c r="D1029" s="5">
        <v>2800</v>
      </c>
      <c r="E1029" s="5" t="str">
        <f t="shared" si="65"/>
        <v>Medium</v>
      </c>
      <c r="F1029" s="5">
        <f t="shared" si="66"/>
        <v>840</v>
      </c>
      <c r="G1029" s="6">
        <v>37939</v>
      </c>
      <c r="H1029" s="5" t="s">
        <v>25</v>
      </c>
      <c r="I1029" s="5" t="str">
        <f t="shared" si="64"/>
        <v>Yes</v>
      </c>
      <c r="J1029" s="5" t="s">
        <v>686</v>
      </c>
      <c r="K1029" s="5">
        <v>2003</v>
      </c>
      <c r="L1029" s="5" t="str">
        <f t="shared" si="67"/>
        <v>Nov-2003</v>
      </c>
      <c r="M1029" s="5" t="s">
        <v>181</v>
      </c>
      <c r="N1029" s="5" t="s">
        <v>520</v>
      </c>
      <c r="O1029" s="5" t="s">
        <v>178</v>
      </c>
      <c r="P1029" s="5" t="s">
        <v>42</v>
      </c>
      <c r="Q1029" s="5" t="s">
        <v>51</v>
      </c>
    </row>
    <row r="1030" spans="1:17" x14ac:dyDescent="0.25">
      <c r="A1030" s="3">
        <v>10192</v>
      </c>
      <c r="B1030" s="3">
        <v>26</v>
      </c>
      <c r="C1030" s="3">
        <v>100</v>
      </c>
      <c r="D1030" s="3">
        <v>2600</v>
      </c>
      <c r="E1030" s="3" t="str">
        <f t="shared" si="65"/>
        <v>Medium</v>
      </c>
      <c r="F1030" s="3">
        <f t="shared" si="66"/>
        <v>780</v>
      </c>
      <c r="G1030" s="4">
        <v>37945</v>
      </c>
      <c r="H1030" s="3" t="s">
        <v>25</v>
      </c>
      <c r="I1030" s="3" t="str">
        <f t="shared" si="64"/>
        <v>Yes</v>
      </c>
      <c r="J1030" s="3" t="s">
        <v>686</v>
      </c>
      <c r="K1030" s="3">
        <v>2003</v>
      </c>
      <c r="L1030" s="3" t="str">
        <f t="shared" si="67"/>
        <v>Nov-2003</v>
      </c>
      <c r="M1030" s="3" t="s">
        <v>181</v>
      </c>
      <c r="N1030" s="3" t="s">
        <v>277</v>
      </c>
      <c r="O1030" s="3" t="s">
        <v>32</v>
      </c>
      <c r="P1030" s="3" t="s">
        <v>33</v>
      </c>
      <c r="Q1030" s="3" t="s">
        <v>51</v>
      </c>
    </row>
    <row r="1031" spans="1:17" x14ac:dyDescent="0.25">
      <c r="A1031" s="5">
        <v>10195</v>
      </c>
      <c r="B1031" s="5">
        <v>50</v>
      </c>
      <c r="C1031" s="5">
        <v>100</v>
      </c>
      <c r="D1031" s="5">
        <v>5000</v>
      </c>
      <c r="E1031" s="5" t="str">
        <f t="shared" si="65"/>
        <v>High</v>
      </c>
      <c r="F1031" s="5">
        <f t="shared" si="66"/>
        <v>1500</v>
      </c>
      <c r="G1031" s="6">
        <v>37950</v>
      </c>
      <c r="H1031" s="5" t="s">
        <v>25</v>
      </c>
      <c r="I1031" s="5" t="str">
        <f t="shared" si="64"/>
        <v>Yes</v>
      </c>
      <c r="J1031" s="5" t="s">
        <v>686</v>
      </c>
      <c r="K1031" s="5">
        <v>2003</v>
      </c>
      <c r="L1031" s="5" t="str">
        <f t="shared" si="67"/>
        <v>Nov-2003</v>
      </c>
      <c r="M1031" s="5" t="s">
        <v>181</v>
      </c>
      <c r="N1031" s="5" t="s">
        <v>317</v>
      </c>
      <c r="O1031" s="5" t="s">
        <v>32</v>
      </c>
      <c r="P1031" s="5" t="s">
        <v>33</v>
      </c>
      <c r="Q1031" s="5" t="s">
        <v>151</v>
      </c>
    </row>
    <row r="1032" spans="1:17" x14ac:dyDescent="0.25">
      <c r="A1032" s="3">
        <v>10203</v>
      </c>
      <c r="B1032" s="3">
        <v>48</v>
      </c>
      <c r="C1032" s="3">
        <v>100</v>
      </c>
      <c r="D1032" s="3">
        <v>4800</v>
      </c>
      <c r="E1032" s="3" t="str">
        <f t="shared" si="65"/>
        <v>Medium</v>
      </c>
      <c r="F1032" s="3">
        <f t="shared" si="66"/>
        <v>1440</v>
      </c>
      <c r="G1032" s="4">
        <v>37957</v>
      </c>
      <c r="H1032" s="3" t="s">
        <v>25</v>
      </c>
      <c r="I1032" s="3" t="str">
        <f t="shared" si="64"/>
        <v>Yes</v>
      </c>
      <c r="J1032" s="3" t="s">
        <v>687</v>
      </c>
      <c r="K1032" s="3">
        <v>2003</v>
      </c>
      <c r="L1032" s="3" t="str">
        <f t="shared" si="67"/>
        <v>Dec-2003</v>
      </c>
      <c r="M1032" s="3" t="s">
        <v>181</v>
      </c>
      <c r="N1032" s="3" t="s">
        <v>174</v>
      </c>
      <c r="O1032" s="3" t="s">
        <v>178</v>
      </c>
      <c r="P1032" s="3" t="s">
        <v>42</v>
      </c>
      <c r="Q1032" s="3" t="s">
        <v>151</v>
      </c>
    </row>
    <row r="1033" spans="1:17" x14ac:dyDescent="0.25">
      <c r="A1033" s="5">
        <v>10207</v>
      </c>
      <c r="B1033" s="5">
        <v>25</v>
      </c>
      <c r="C1033" s="5">
        <v>100</v>
      </c>
      <c r="D1033" s="5">
        <v>2500</v>
      </c>
      <c r="E1033" s="5" t="str">
        <f t="shared" si="65"/>
        <v>Medium</v>
      </c>
      <c r="F1033" s="5">
        <f t="shared" si="66"/>
        <v>750</v>
      </c>
      <c r="G1033" s="6">
        <v>37964</v>
      </c>
      <c r="H1033" s="5" t="s">
        <v>25</v>
      </c>
      <c r="I1033" s="5" t="str">
        <f t="shared" si="64"/>
        <v>Yes</v>
      </c>
      <c r="J1033" s="5" t="s">
        <v>687</v>
      </c>
      <c r="K1033" s="5">
        <v>2003</v>
      </c>
      <c r="L1033" s="5" t="str">
        <f t="shared" si="67"/>
        <v>Dec-2003</v>
      </c>
      <c r="M1033" s="5" t="s">
        <v>181</v>
      </c>
      <c r="N1033" s="5" t="s">
        <v>415</v>
      </c>
      <c r="O1033" s="5" t="s">
        <v>32</v>
      </c>
      <c r="P1033" s="5" t="s">
        <v>33</v>
      </c>
      <c r="Q1033" s="5" t="s">
        <v>51</v>
      </c>
    </row>
    <row r="1034" spans="1:17" x14ac:dyDescent="0.25">
      <c r="A1034" s="3">
        <v>10212</v>
      </c>
      <c r="B1034" s="3">
        <v>40</v>
      </c>
      <c r="C1034" s="3">
        <v>100</v>
      </c>
      <c r="D1034" s="3">
        <v>4000</v>
      </c>
      <c r="E1034" s="3" t="str">
        <f t="shared" si="65"/>
        <v>Medium</v>
      </c>
      <c r="F1034" s="3">
        <f t="shared" si="66"/>
        <v>1200</v>
      </c>
      <c r="G1034" s="4">
        <v>38002</v>
      </c>
      <c r="H1034" s="3" t="s">
        <v>25</v>
      </c>
      <c r="I1034" s="3" t="str">
        <f t="shared" si="64"/>
        <v>Yes</v>
      </c>
      <c r="J1034" s="3" t="s">
        <v>549</v>
      </c>
      <c r="K1034" s="3">
        <v>2004</v>
      </c>
      <c r="L1034" s="3" t="str">
        <f t="shared" si="67"/>
        <v>Jan-2004</v>
      </c>
      <c r="M1034" s="3" t="s">
        <v>181</v>
      </c>
      <c r="N1034" s="3" t="s">
        <v>174</v>
      </c>
      <c r="O1034" s="3" t="s">
        <v>178</v>
      </c>
      <c r="P1034" s="3" t="s">
        <v>42</v>
      </c>
      <c r="Q1034" s="3" t="s">
        <v>51</v>
      </c>
    </row>
    <row r="1035" spans="1:17" x14ac:dyDescent="0.25">
      <c r="A1035" s="5">
        <v>10225</v>
      </c>
      <c r="B1035" s="5">
        <v>43</v>
      </c>
      <c r="C1035" s="5">
        <v>100</v>
      </c>
      <c r="D1035" s="5">
        <v>4300</v>
      </c>
      <c r="E1035" s="5" t="str">
        <f t="shared" si="65"/>
        <v>Medium</v>
      </c>
      <c r="F1035" s="5">
        <f t="shared" si="66"/>
        <v>1290</v>
      </c>
      <c r="G1035" s="6">
        <v>38039</v>
      </c>
      <c r="H1035" s="5" t="s">
        <v>25</v>
      </c>
      <c r="I1035" s="5" t="str">
        <f t="shared" si="64"/>
        <v>Yes</v>
      </c>
      <c r="J1035" s="5" t="s">
        <v>681</v>
      </c>
      <c r="K1035" s="5">
        <v>2004</v>
      </c>
      <c r="L1035" s="5" t="str">
        <f t="shared" si="67"/>
        <v>Feb-2004</v>
      </c>
      <c r="M1035" s="5" t="s">
        <v>181</v>
      </c>
      <c r="N1035" s="5" t="s">
        <v>446</v>
      </c>
      <c r="O1035" s="5" t="s">
        <v>450</v>
      </c>
      <c r="P1035" s="5" t="s">
        <v>42</v>
      </c>
      <c r="Q1035" s="5" t="s">
        <v>51</v>
      </c>
    </row>
    <row r="1036" spans="1:17" x14ac:dyDescent="0.25">
      <c r="A1036" s="3">
        <v>10229</v>
      </c>
      <c r="B1036" s="3">
        <v>22</v>
      </c>
      <c r="C1036" s="3">
        <v>100</v>
      </c>
      <c r="D1036" s="3">
        <v>2200</v>
      </c>
      <c r="E1036" s="3" t="str">
        <f t="shared" si="65"/>
        <v>Medium</v>
      </c>
      <c r="F1036" s="3">
        <f t="shared" si="66"/>
        <v>660</v>
      </c>
      <c r="G1036" s="4">
        <v>38057</v>
      </c>
      <c r="H1036" s="3" t="s">
        <v>25</v>
      </c>
      <c r="I1036" s="3" t="str">
        <f t="shared" si="64"/>
        <v>Yes</v>
      </c>
      <c r="J1036" s="3" t="s">
        <v>691</v>
      </c>
      <c r="K1036" s="3">
        <v>2004</v>
      </c>
      <c r="L1036" s="3" t="str">
        <f t="shared" si="67"/>
        <v>Mar-2004</v>
      </c>
      <c r="M1036" s="3" t="s">
        <v>181</v>
      </c>
      <c r="N1036" s="3" t="s">
        <v>272</v>
      </c>
      <c r="O1036" s="3" t="s">
        <v>32</v>
      </c>
      <c r="P1036" s="3" t="s">
        <v>33</v>
      </c>
      <c r="Q1036" s="3" t="s">
        <v>51</v>
      </c>
    </row>
    <row r="1037" spans="1:17" x14ac:dyDescent="0.25">
      <c r="A1037" s="5">
        <v>10239</v>
      </c>
      <c r="B1037" s="5">
        <v>47</v>
      </c>
      <c r="C1037" s="5">
        <v>100</v>
      </c>
      <c r="D1037" s="5">
        <v>4700</v>
      </c>
      <c r="E1037" s="5" t="str">
        <f t="shared" si="65"/>
        <v>Medium</v>
      </c>
      <c r="F1037" s="5">
        <f t="shared" si="66"/>
        <v>1410</v>
      </c>
      <c r="G1037" s="6">
        <v>38089</v>
      </c>
      <c r="H1037" s="5" t="s">
        <v>25</v>
      </c>
      <c r="I1037" s="5" t="str">
        <f t="shared" si="64"/>
        <v>Yes</v>
      </c>
      <c r="J1037" s="5" t="s">
        <v>688</v>
      </c>
      <c r="K1037" s="5">
        <v>2004</v>
      </c>
      <c r="L1037" s="5" t="str">
        <f t="shared" si="67"/>
        <v>Apr-2004</v>
      </c>
      <c r="M1037" s="5" t="s">
        <v>181</v>
      </c>
      <c r="N1037" s="5" t="s">
        <v>391</v>
      </c>
      <c r="O1037" s="5" t="s">
        <v>130</v>
      </c>
      <c r="P1037" s="5" t="s">
        <v>42</v>
      </c>
      <c r="Q1037" s="5" t="s">
        <v>151</v>
      </c>
    </row>
    <row r="1038" spans="1:17" x14ac:dyDescent="0.25">
      <c r="A1038" s="3">
        <v>10246</v>
      </c>
      <c r="B1038" s="3">
        <v>36</v>
      </c>
      <c r="C1038" s="3">
        <v>100</v>
      </c>
      <c r="D1038" s="3">
        <v>3600</v>
      </c>
      <c r="E1038" s="3" t="str">
        <f t="shared" si="65"/>
        <v>Medium</v>
      </c>
      <c r="F1038" s="3">
        <f t="shared" si="66"/>
        <v>1080</v>
      </c>
      <c r="G1038" s="4">
        <v>38112</v>
      </c>
      <c r="H1038" s="3" t="s">
        <v>25</v>
      </c>
      <c r="I1038" s="3" t="str">
        <f t="shared" si="64"/>
        <v>Yes</v>
      </c>
      <c r="J1038" s="3" t="s">
        <v>682</v>
      </c>
      <c r="K1038" s="3">
        <v>2004</v>
      </c>
      <c r="L1038" s="3" t="str">
        <f t="shared" si="67"/>
        <v>May-2004</v>
      </c>
      <c r="M1038" s="3" t="s">
        <v>181</v>
      </c>
      <c r="N1038" s="3" t="s">
        <v>174</v>
      </c>
      <c r="O1038" s="3" t="s">
        <v>178</v>
      </c>
      <c r="P1038" s="3" t="s">
        <v>42</v>
      </c>
      <c r="Q1038" s="3" t="s">
        <v>151</v>
      </c>
    </row>
    <row r="1039" spans="1:17" x14ac:dyDescent="0.25">
      <c r="A1039" s="5">
        <v>10253</v>
      </c>
      <c r="B1039" s="5">
        <v>40</v>
      </c>
      <c r="C1039" s="5">
        <v>100</v>
      </c>
      <c r="D1039" s="5">
        <v>4000</v>
      </c>
      <c r="E1039" s="5" t="str">
        <f t="shared" si="65"/>
        <v>Medium</v>
      </c>
      <c r="F1039" s="5">
        <f t="shared" si="66"/>
        <v>1200</v>
      </c>
      <c r="G1039" s="6">
        <v>38139</v>
      </c>
      <c r="H1039" s="5" t="s">
        <v>339</v>
      </c>
      <c r="I1039" s="5" t="str">
        <f t="shared" si="64"/>
        <v>No</v>
      </c>
      <c r="J1039" s="5" t="s">
        <v>689</v>
      </c>
      <c r="K1039" s="5">
        <v>2004</v>
      </c>
      <c r="L1039" s="5" t="str">
        <f t="shared" si="67"/>
        <v>Jun-2004</v>
      </c>
      <c r="M1039" s="5" t="s">
        <v>181</v>
      </c>
      <c r="N1039" s="5" t="s">
        <v>165</v>
      </c>
      <c r="O1039" s="5" t="s">
        <v>170</v>
      </c>
      <c r="P1039" s="5" t="s">
        <v>42</v>
      </c>
      <c r="Q1039" s="5" t="s">
        <v>51</v>
      </c>
    </row>
    <row r="1040" spans="1:17" x14ac:dyDescent="0.25">
      <c r="A1040" s="3">
        <v>10259</v>
      </c>
      <c r="B1040" s="3">
        <v>27</v>
      </c>
      <c r="C1040" s="3">
        <v>100</v>
      </c>
      <c r="D1040" s="3">
        <v>2700</v>
      </c>
      <c r="E1040" s="3" t="str">
        <f t="shared" si="65"/>
        <v>Medium</v>
      </c>
      <c r="F1040" s="3">
        <f t="shared" si="66"/>
        <v>810</v>
      </c>
      <c r="G1040" s="4">
        <v>38153</v>
      </c>
      <c r="H1040" s="3" t="s">
        <v>25</v>
      </c>
      <c r="I1040" s="3" t="str">
        <f t="shared" si="64"/>
        <v>Yes</v>
      </c>
      <c r="J1040" s="3" t="s">
        <v>689</v>
      </c>
      <c r="K1040" s="3">
        <v>2004</v>
      </c>
      <c r="L1040" s="3" t="str">
        <f t="shared" si="67"/>
        <v>Jun-2004</v>
      </c>
      <c r="M1040" s="3" t="s">
        <v>181</v>
      </c>
      <c r="N1040" s="3" t="s">
        <v>418</v>
      </c>
      <c r="O1040" s="3" t="s">
        <v>199</v>
      </c>
      <c r="P1040" s="3" t="s">
        <v>96</v>
      </c>
      <c r="Q1040" s="3" t="s">
        <v>51</v>
      </c>
    </row>
    <row r="1041" spans="1:17" x14ac:dyDescent="0.25">
      <c r="A1041" s="5">
        <v>10266</v>
      </c>
      <c r="B1041" s="5">
        <v>29</v>
      </c>
      <c r="C1041" s="5">
        <v>100</v>
      </c>
      <c r="D1041" s="5">
        <v>2900</v>
      </c>
      <c r="E1041" s="5" t="str">
        <f t="shared" si="65"/>
        <v>Medium</v>
      </c>
      <c r="F1041" s="5">
        <f t="shared" si="66"/>
        <v>870</v>
      </c>
      <c r="G1041" s="6">
        <v>38174</v>
      </c>
      <c r="H1041" s="5" t="s">
        <v>25</v>
      </c>
      <c r="I1041" s="5" t="str">
        <f t="shared" si="64"/>
        <v>Yes</v>
      </c>
      <c r="J1041" s="5" t="s">
        <v>683</v>
      </c>
      <c r="K1041" s="5">
        <v>2004</v>
      </c>
      <c r="L1041" s="5" t="str">
        <f t="shared" si="67"/>
        <v>Jul-2004</v>
      </c>
      <c r="M1041" s="5" t="s">
        <v>181</v>
      </c>
      <c r="N1041" s="5" t="s">
        <v>452</v>
      </c>
      <c r="O1041" s="5" t="s">
        <v>258</v>
      </c>
      <c r="P1041" s="5" t="s">
        <v>42</v>
      </c>
      <c r="Q1041" s="5" t="s">
        <v>51</v>
      </c>
    </row>
    <row r="1042" spans="1:17" x14ac:dyDescent="0.25">
      <c r="A1042" s="3">
        <v>10271</v>
      </c>
      <c r="B1042" s="3">
        <v>20</v>
      </c>
      <c r="C1042" s="3">
        <v>100</v>
      </c>
      <c r="D1042" s="3">
        <v>2000</v>
      </c>
      <c r="E1042" s="3" t="str">
        <f t="shared" si="65"/>
        <v>Medium</v>
      </c>
      <c r="F1042" s="3">
        <f t="shared" si="66"/>
        <v>600</v>
      </c>
      <c r="G1042" s="4">
        <v>38188</v>
      </c>
      <c r="H1042" s="3" t="s">
        <v>25</v>
      </c>
      <c r="I1042" s="3" t="str">
        <f t="shared" si="64"/>
        <v>Yes</v>
      </c>
      <c r="J1042" s="3" t="s">
        <v>683</v>
      </c>
      <c r="K1042" s="3">
        <v>2004</v>
      </c>
      <c r="L1042" s="3" t="str">
        <f t="shared" si="67"/>
        <v>Jul-2004</v>
      </c>
      <c r="M1042" s="3" t="s">
        <v>181</v>
      </c>
      <c r="N1042" s="3" t="s">
        <v>272</v>
      </c>
      <c r="O1042" s="3" t="s">
        <v>32</v>
      </c>
      <c r="P1042" s="3" t="s">
        <v>33</v>
      </c>
      <c r="Q1042" s="3" t="s">
        <v>51</v>
      </c>
    </row>
    <row r="1043" spans="1:17" x14ac:dyDescent="0.25">
      <c r="A1043" s="5">
        <v>10278</v>
      </c>
      <c r="B1043" s="5">
        <v>42</v>
      </c>
      <c r="C1043" s="5">
        <v>100</v>
      </c>
      <c r="D1043" s="5">
        <v>4200</v>
      </c>
      <c r="E1043" s="5" t="str">
        <f t="shared" si="65"/>
        <v>Medium</v>
      </c>
      <c r="F1043" s="5">
        <f t="shared" si="66"/>
        <v>1260</v>
      </c>
      <c r="G1043" s="6">
        <v>38205</v>
      </c>
      <c r="H1043" s="5" t="s">
        <v>25</v>
      </c>
      <c r="I1043" s="5" t="str">
        <f t="shared" si="64"/>
        <v>Yes</v>
      </c>
      <c r="J1043" s="5" t="s">
        <v>684</v>
      </c>
      <c r="K1043" s="5">
        <v>2004</v>
      </c>
      <c r="L1043" s="5" t="str">
        <f t="shared" si="67"/>
        <v>Aug-2004</v>
      </c>
      <c r="M1043" s="5" t="s">
        <v>181</v>
      </c>
      <c r="N1043" s="5" t="s">
        <v>539</v>
      </c>
      <c r="O1043" s="5" t="s">
        <v>32</v>
      </c>
      <c r="P1043" s="5" t="s">
        <v>33</v>
      </c>
      <c r="Q1043" s="5" t="s">
        <v>51</v>
      </c>
    </row>
    <row r="1044" spans="1:17" x14ac:dyDescent="0.25">
      <c r="A1044" s="3">
        <v>10281</v>
      </c>
      <c r="B1044" s="3">
        <v>25</v>
      </c>
      <c r="C1044" s="3">
        <v>100</v>
      </c>
      <c r="D1044" s="3">
        <v>2500</v>
      </c>
      <c r="E1044" s="3" t="str">
        <f t="shared" si="65"/>
        <v>Medium</v>
      </c>
      <c r="F1044" s="3">
        <f t="shared" si="66"/>
        <v>750</v>
      </c>
      <c r="G1044" s="4">
        <v>38218</v>
      </c>
      <c r="H1044" s="3" t="s">
        <v>25</v>
      </c>
      <c r="I1044" s="3" t="str">
        <f t="shared" si="64"/>
        <v>Yes</v>
      </c>
      <c r="J1044" s="3" t="s">
        <v>684</v>
      </c>
      <c r="K1044" s="3">
        <v>2004</v>
      </c>
      <c r="L1044" s="3" t="str">
        <f t="shared" si="67"/>
        <v>Aug-2004</v>
      </c>
      <c r="M1044" s="3" t="s">
        <v>181</v>
      </c>
      <c r="N1044" s="3" t="s">
        <v>139</v>
      </c>
      <c r="O1044" s="3" t="s">
        <v>32</v>
      </c>
      <c r="P1044" s="3" t="s">
        <v>33</v>
      </c>
      <c r="Q1044" s="3" t="s">
        <v>51</v>
      </c>
    </row>
    <row r="1045" spans="1:17" x14ac:dyDescent="0.25">
      <c r="A1045" s="5">
        <v>10287</v>
      </c>
      <c r="B1045" s="5">
        <v>36</v>
      </c>
      <c r="C1045" s="5">
        <v>100</v>
      </c>
      <c r="D1045" s="5">
        <v>3600</v>
      </c>
      <c r="E1045" s="5" t="str">
        <f t="shared" si="65"/>
        <v>Medium</v>
      </c>
      <c r="F1045" s="5">
        <f t="shared" si="66"/>
        <v>1080</v>
      </c>
      <c r="G1045" s="6">
        <v>38229</v>
      </c>
      <c r="H1045" s="5" t="s">
        <v>25</v>
      </c>
      <c r="I1045" s="5" t="str">
        <f t="shared" si="64"/>
        <v>Yes</v>
      </c>
      <c r="J1045" s="5" t="s">
        <v>684</v>
      </c>
      <c r="K1045" s="5">
        <v>2004</v>
      </c>
      <c r="L1045" s="5" t="str">
        <f t="shared" si="67"/>
        <v>Aug-2004</v>
      </c>
      <c r="M1045" s="5" t="s">
        <v>181</v>
      </c>
      <c r="N1045" s="5" t="s">
        <v>446</v>
      </c>
      <c r="O1045" s="5" t="s">
        <v>450</v>
      </c>
      <c r="P1045" s="5" t="s">
        <v>42</v>
      </c>
      <c r="Q1045" s="5" t="s">
        <v>51</v>
      </c>
    </row>
    <row r="1046" spans="1:17" x14ac:dyDescent="0.25">
      <c r="A1046" s="3">
        <v>10292</v>
      </c>
      <c r="B1046" s="3">
        <v>21</v>
      </c>
      <c r="C1046" s="3">
        <v>100</v>
      </c>
      <c r="D1046" s="3">
        <v>2100</v>
      </c>
      <c r="E1046" s="3" t="str">
        <f t="shared" si="65"/>
        <v>Medium</v>
      </c>
      <c r="F1046" s="3">
        <f t="shared" si="66"/>
        <v>630</v>
      </c>
      <c r="G1046" s="4">
        <v>38238</v>
      </c>
      <c r="H1046" s="3" t="s">
        <v>25</v>
      </c>
      <c r="I1046" s="3" t="str">
        <f t="shared" si="64"/>
        <v>Yes</v>
      </c>
      <c r="J1046" s="3" t="s">
        <v>690</v>
      </c>
      <c r="K1046" s="3">
        <v>2004</v>
      </c>
      <c r="L1046" s="3" t="str">
        <f t="shared" si="67"/>
        <v>Sep-2004</v>
      </c>
      <c r="M1046" s="3" t="s">
        <v>181</v>
      </c>
      <c r="N1046" s="3" t="s">
        <v>28</v>
      </c>
      <c r="O1046" s="3" t="s">
        <v>32</v>
      </c>
      <c r="P1046" s="3" t="s">
        <v>33</v>
      </c>
      <c r="Q1046" s="3" t="s">
        <v>36</v>
      </c>
    </row>
    <row r="1047" spans="1:17" x14ac:dyDescent="0.25">
      <c r="A1047" s="5">
        <v>10301</v>
      </c>
      <c r="B1047" s="5">
        <v>23</v>
      </c>
      <c r="C1047" s="5">
        <v>100</v>
      </c>
      <c r="D1047" s="5">
        <v>2300</v>
      </c>
      <c r="E1047" s="5" t="str">
        <f t="shared" si="65"/>
        <v>Medium</v>
      </c>
      <c r="F1047" s="5">
        <f t="shared" si="66"/>
        <v>690</v>
      </c>
      <c r="G1047" s="6">
        <v>37899</v>
      </c>
      <c r="H1047" s="5" t="s">
        <v>25</v>
      </c>
      <c r="I1047" s="5" t="str">
        <f t="shared" si="64"/>
        <v>Yes</v>
      </c>
      <c r="J1047" s="5" t="s">
        <v>685</v>
      </c>
      <c r="K1047" s="5">
        <v>2003</v>
      </c>
      <c r="L1047" s="5" t="str">
        <f t="shared" si="67"/>
        <v>Oct-2003</v>
      </c>
      <c r="M1047" s="5" t="s">
        <v>181</v>
      </c>
      <c r="N1047" s="5" t="s">
        <v>543</v>
      </c>
      <c r="O1047" s="5" t="s">
        <v>78</v>
      </c>
      <c r="P1047" s="5" t="s">
        <v>42</v>
      </c>
      <c r="Q1047" s="5" t="s">
        <v>51</v>
      </c>
    </row>
    <row r="1048" spans="1:17" x14ac:dyDescent="0.25">
      <c r="A1048" s="3">
        <v>10305</v>
      </c>
      <c r="B1048" s="3">
        <v>37</v>
      </c>
      <c r="C1048" s="3">
        <v>100</v>
      </c>
      <c r="D1048" s="3">
        <v>3700</v>
      </c>
      <c r="E1048" s="3" t="str">
        <f t="shared" si="65"/>
        <v>Medium</v>
      </c>
      <c r="F1048" s="3">
        <f t="shared" si="66"/>
        <v>1110</v>
      </c>
      <c r="G1048" s="4">
        <v>38273</v>
      </c>
      <c r="H1048" s="3" t="s">
        <v>25</v>
      </c>
      <c r="I1048" s="3" t="str">
        <f t="shared" si="64"/>
        <v>Yes</v>
      </c>
      <c r="J1048" s="3" t="s">
        <v>685</v>
      </c>
      <c r="K1048" s="3">
        <v>2004</v>
      </c>
      <c r="L1048" s="3" t="str">
        <f t="shared" si="67"/>
        <v>Oct-2004</v>
      </c>
      <c r="M1048" s="3" t="s">
        <v>181</v>
      </c>
      <c r="N1048" s="3" t="s">
        <v>120</v>
      </c>
      <c r="O1048" s="3" t="s">
        <v>32</v>
      </c>
      <c r="P1048" s="3" t="s">
        <v>33</v>
      </c>
      <c r="Q1048" s="3" t="s">
        <v>151</v>
      </c>
    </row>
    <row r="1049" spans="1:17" x14ac:dyDescent="0.25">
      <c r="A1049" s="5">
        <v>10310</v>
      </c>
      <c r="B1049" s="5">
        <v>48</v>
      </c>
      <c r="C1049" s="5">
        <v>100</v>
      </c>
      <c r="D1049" s="5">
        <v>4800</v>
      </c>
      <c r="E1049" s="5" t="str">
        <f t="shared" si="65"/>
        <v>Medium</v>
      </c>
      <c r="F1049" s="5">
        <f t="shared" si="66"/>
        <v>1440</v>
      </c>
      <c r="G1049" s="6">
        <v>38276</v>
      </c>
      <c r="H1049" s="5" t="s">
        <v>25</v>
      </c>
      <c r="I1049" s="5" t="str">
        <f t="shared" si="64"/>
        <v>Yes</v>
      </c>
      <c r="J1049" s="5" t="s">
        <v>685</v>
      </c>
      <c r="K1049" s="5">
        <v>2004</v>
      </c>
      <c r="L1049" s="5" t="str">
        <f t="shared" si="67"/>
        <v>Oct-2004</v>
      </c>
      <c r="M1049" s="5" t="s">
        <v>181</v>
      </c>
      <c r="N1049" s="5" t="s">
        <v>439</v>
      </c>
      <c r="O1049" s="5" t="s">
        <v>443</v>
      </c>
      <c r="P1049" s="5" t="s">
        <v>42</v>
      </c>
      <c r="Q1049" s="5" t="s">
        <v>151</v>
      </c>
    </row>
    <row r="1050" spans="1:17" x14ac:dyDescent="0.25">
      <c r="A1050" s="3">
        <v>10313</v>
      </c>
      <c r="B1050" s="3">
        <v>25</v>
      </c>
      <c r="C1050" s="3">
        <v>100</v>
      </c>
      <c r="D1050" s="3">
        <v>2500</v>
      </c>
      <c r="E1050" s="3" t="str">
        <f t="shared" si="65"/>
        <v>Medium</v>
      </c>
      <c r="F1050" s="3">
        <f t="shared" si="66"/>
        <v>750</v>
      </c>
      <c r="G1050" s="4">
        <v>38282</v>
      </c>
      <c r="H1050" s="3" t="s">
        <v>25</v>
      </c>
      <c r="I1050" s="3" t="str">
        <f t="shared" si="64"/>
        <v>Yes</v>
      </c>
      <c r="J1050" s="3" t="s">
        <v>685</v>
      </c>
      <c r="K1050" s="3">
        <v>2004</v>
      </c>
      <c r="L1050" s="3" t="str">
        <f t="shared" si="67"/>
        <v>Oct-2004</v>
      </c>
      <c r="M1050" s="3" t="s">
        <v>181</v>
      </c>
      <c r="N1050" s="3" t="s">
        <v>225</v>
      </c>
      <c r="O1050" s="3" t="s">
        <v>231</v>
      </c>
      <c r="P1050" s="3" t="s">
        <v>33</v>
      </c>
      <c r="Q1050" s="3" t="s">
        <v>51</v>
      </c>
    </row>
    <row r="1051" spans="1:17" x14ac:dyDescent="0.25">
      <c r="A1051" s="5">
        <v>10321</v>
      </c>
      <c r="B1051" s="5">
        <v>33</v>
      </c>
      <c r="C1051" s="5">
        <v>100</v>
      </c>
      <c r="D1051" s="5">
        <v>3300</v>
      </c>
      <c r="E1051" s="5" t="str">
        <f t="shared" si="65"/>
        <v>Medium</v>
      </c>
      <c r="F1051" s="5">
        <f t="shared" si="66"/>
        <v>990</v>
      </c>
      <c r="G1051" s="6">
        <v>38295</v>
      </c>
      <c r="H1051" s="5" t="s">
        <v>25</v>
      </c>
      <c r="I1051" s="5" t="str">
        <f t="shared" si="64"/>
        <v>Yes</v>
      </c>
      <c r="J1051" s="5" t="s">
        <v>686</v>
      </c>
      <c r="K1051" s="5">
        <v>2004</v>
      </c>
      <c r="L1051" s="5" t="str">
        <f t="shared" si="67"/>
        <v>Nov-2004</v>
      </c>
      <c r="M1051" s="5" t="s">
        <v>181</v>
      </c>
      <c r="N1051" s="5" t="s">
        <v>160</v>
      </c>
      <c r="O1051" s="5" t="s">
        <v>32</v>
      </c>
      <c r="P1051" s="5" t="s">
        <v>33</v>
      </c>
      <c r="Q1051" s="5" t="s">
        <v>51</v>
      </c>
    </row>
    <row r="1052" spans="1:17" x14ac:dyDescent="0.25">
      <c r="A1052" s="3">
        <v>10324</v>
      </c>
      <c r="B1052" s="3">
        <v>27</v>
      </c>
      <c r="C1052" s="3">
        <v>100</v>
      </c>
      <c r="D1052" s="3">
        <v>2700</v>
      </c>
      <c r="E1052" s="3" t="str">
        <f t="shared" si="65"/>
        <v>Medium</v>
      </c>
      <c r="F1052" s="3">
        <f t="shared" si="66"/>
        <v>810</v>
      </c>
      <c r="G1052" s="4">
        <v>38296</v>
      </c>
      <c r="H1052" s="3" t="s">
        <v>25</v>
      </c>
      <c r="I1052" s="3" t="str">
        <f t="shared" si="64"/>
        <v>Yes</v>
      </c>
      <c r="J1052" s="3" t="s">
        <v>686</v>
      </c>
      <c r="K1052" s="3">
        <v>2004</v>
      </c>
      <c r="L1052" s="3" t="str">
        <f t="shared" si="67"/>
        <v>Nov-2004</v>
      </c>
      <c r="M1052" s="3" t="s">
        <v>181</v>
      </c>
      <c r="N1052" s="3" t="s">
        <v>99</v>
      </c>
      <c r="O1052" s="3" t="s">
        <v>32</v>
      </c>
      <c r="P1052" s="3" t="s">
        <v>33</v>
      </c>
      <c r="Q1052" s="3" t="s">
        <v>51</v>
      </c>
    </row>
    <row r="1053" spans="1:17" x14ac:dyDescent="0.25">
      <c r="A1053" s="5">
        <v>10331</v>
      </c>
      <c r="B1053" s="5">
        <v>27</v>
      </c>
      <c r="C1053" s="5">
        <v>100</v>
      </c>
      <c r="D1053" s="5">
        <v>2700</v>
      </c>
      <c r="E1053" s="5" t="str">
        <f t="shared" si="65"/>
        <v>Medium</v>
      </c>
      <c r="F1053" s="5">
        <f t="shared" si="66"/>
        <v>810</v>
      </c>
      <c r="G1053" s="6">
        <v>38308</v>
      </c>
      <c r="H1053" s="5" t="s">
        <v>25</v>
      </c>
      <c r="I1053" s="5" t="str">
        <f t="shared" si="64"/>
        <v>Yes</v>
      </c>
      <c r="J1053" s="5" t="s">
        <v>686</v>
      </c>
      <c r="K1053" s="5">
        <v>2004</v>
      </c>
      <c r="L1053" s="5" t="str">
        <f t="shared" si="67"/>
        <v>Nov-2004</v>
      </c>
      <c r="M1053" s="5" t="s">
        <v>181</v>
      </c>
      <c r="N1053" s="5" t="s">
        <v>309</v>
      </c>
      <c r="O1053" s="5" t="s">
        <v>32</v>
      </c>
      <c r="P1053" s="5" t="s">
        <v>33</v>
      </c>
      <c r="Q1053" s="5" t="s">
        <v>51</v>
      </c>
    </row>
    <row r="1054" spans="1:17" x14ac:dyDescent="0.25">
      <c r="A1054" s="3">
        <v>10334</v>
      </c>
      <c r="B1054" s="3">
        <v>20</v>
      </c>
      <c r="C1054" s="3">
        <v>100</v>
      </c>
      <c r="D1054" s="3">
        <v>2000</v>
      </c>
      <c r="E1054" s="3" t="str">
        <f t="shared" si="65"/>
        <v>Medium</v>
      </c>
      <c r="F1054" s="3">
        <f t="shared" si="66"/>
        <v>600</v>
      </c>
      <c r="G1054" s="4">
        <v>38310</v>
      </c>
      <c r="H1054" s="3" t="s">
        <v>401</v>
      </c>
      <c r="I1054" s="3" t="str">
        <f t="shared" si="64"/>
        <v>No</v>
      </c>
      <c r="J1054" s="3" t="s">
        <v>686</v>
      </c>
      <c r="K1054" s="3">
        <v>2004</v>
      </c>
      <c r="L1054" s="3" t="str">
        <f t="shared" si="67"/>
        <v>Nov-2004</v>
      </c>
      <c r="M1054" s="3" t="s">
        <v>181</v>
      </c>
      <c r="N1054" s="3" t="s">
        <v>183</v>
      </c>
      <c r="O1054" s="3" t="s">
        <v>188</v>
      </c>
      <c r="P1054" s="3" t="s">
        <v>42</v>
      </c>
      <c r="Q1054" s="3" t="s">
        <v>36</v>
      </c>
    </row>
    <row r="1055" spans="1:17" x14ac:dyDescent="0.25">
      <c r="A1055" s="5">
        <v>10342</v>
      </c>
      <c r="B1055" s="5">
        <v>30</v>
      </c>
      <c r="C1055" s="5">
        <v>100</v>
      </c>
      <c r="D1055" s="5">
        <v>3000</v>
      </c>
      <c r="E1055" s="5" t="str">
        <f t="shared" si="65"/>
        <v>Medium</v>
      </c>
      <c r="F1055" s="5">
        <f t="shared" si="66"/>
        <v>900</v>
      </c>
      <c r="G1055" s="6">
        <v>38315</v>
      </c>
      <c r="H1055" s="5" t="s">
        <v>25</v>
      </c>
      <c r="I1055" s="5" t="str">
        <f t="shared" si="64"/>
        <v>Yes</v>
      </c>
      <c r="J1055" s="5" t="s">
        <v>686</v>
      </c>
      <c r="K1055" s="5">
        <v>2004</v>
      </c>
      <c r="L1055" s="5" t="str">
        <f t="shared" si="67"/>
        <v>Nov-2004</v>
      </c>
      <c r="M1055" s="5" t="s">
        <v>181</v>
      </c>
      <c r="N1055" s="5" t="s">
        <v>89</v>
      </c>
      <c r="O1055" s="5" t="s">
        <v>95</v>
      </c>
      <c r="P1055" s="5" t="s">
        <v>96</v>
      </c>
      <c r="Q1055" s="5" t="s">
        <v>51</v>
      </c>
    </row>
    <row r="1056" spans="1:17" x14ac:dyDescent="0.25">
      <c r="A1056" s="3">
        <v>10349</v>
      </c>
      <c r="B1056" s="3">
        <v>48</v>
      </c>
      <c r="C1056" s="3">
        <v>100</v>
      </c>
      <c r="D1056" s="3">
        <v>4800</v>
      </c>
      <c r="E1056" s="3" t="str">
        <f t="shared" si="65"/>
        <v>Medium</v>
      </c>
      <c r="F1056" s="3">
        <f t="shared" si="66"/>
        <v>1440</v>
      </c>
      <c r="G1056" s="4">
        <v>38322</v>
      </c>
      <c r="H1056" s="3" t="s">
        <v>25</v>
      </c>
      <c r="I1056" s="3" t="str">
        <f t="shared" si="64"/>
        <v>Yes</v>
      </c>
      <c r="J1056" s="3" t="s">
        <v>687</v>
      </c>
      <c r="K1056" s="3">
        <v>2004</v>
      </c>
      <c r="L1056" s="3" t="str">
        <f t="shared" si="67"/>
        <v>Dec-2004</v>
      </c>
      <c r="M1056" s="3" t="s">
        <v>181</v>
      </c>
      <c r="N1056" s="3" t="s">
        <v>475</v>
      </c>
      <c r="O1056" s="3" t="s">
        <v>32</v>
      </c>
      <c r="P1056" s="3" t="s">
        <v>33</v>
      </c>
      <c r="Q1056" s="3" t="s">
        <v>151</v>
      </c>
    </row>
    <row r="1057" spans="1:17" x14ac:dyDescent="0.25">
      <c r="A1057" s="5">
        <v>10358</v>
      </c>
      <c r="B1057" s="5">
        <v>32</v>
      </c>
      <c r="C1057" s="5">
        <v>93.49</v>
      </c>
      <c r="D1057" s="5">
        <v>2991.68</v>
      </c>
      <c r="E1057" s="5" t="str">
        <f t="shared" si="65"/>
        <v>Medium</v>
      </c>
      <c r="F1057" s="5">
        <f t="shared" si="66"/>
        <v>897.50399999999991</v>
      </c>
      <c r="G1057" s="6">
        <v>38331</v>
      </c>
      <c r="H1057" s="5" t="s">
        <v>25</v>
      </c>
      <c r="I1057" s="5" t="str">
        <f t="shared" si="64"/>
        <v>Yes</v>
      </c>
      <c r="J1057" s="5" t="s">
        <v>687</v>
      </c>
      <c r="K1057" s="5">
        <v>2004</v>
      </c>
      <c r="L1057" s="5" t="str">
        <f t="shared" si="67"/>
        <v>Dec-2004</v>
      </c>
      <c r="M1057" s="5" t="s">
        <v>181</v>
      </c>
      <c r="N1057" s="5" t="s">
        <v>174</v>
      </c>
      <c r="O1057" s="5" t="s">
        <v>178</v>
      </c>
      <c r="P1057" s="5" t="s">
        <v>42</v>
      </c>
      <c r="Q1057" s="5" t="s">
        <v>36</v>
      </c>
    </row>
    <row r="1058" spans="1:17" x14ac:dyDescent="0.25">
      <c r="A1058" s="3">
        <v>10366</v>
      </c>
      <c r="B1058" s="3">
        <v>34</v>
      </c>
      <c r="C1058" s="3">
        <v>100</v>
      </c>
      <c r="D1058" s="3">
        <v>3400</v>
      </c>
      <c r="E1058" s="3" t="str">
        <f t="shared" si="65"/>
        <v>Medium</v>
      </c>
      <c r="F1058" s="3">
        <f t="shared" si="66"/>
        <v>1020</v>
      </c>
      <c r="G1058" s="4">
        <v>38362</v>
      </c>
      <c r="H1058" s="3" t="s">
        <v>25</v>
      </c>
      <c r="I1058" s="3" t="str">
        <f t="shared" si="64"/>
        <v>Yes</v>
      </c>
      <c r="J1058" s="3" t="s">
        <v>549</v>
      </c>
      <c r="K1058" s="3">
        <v>2005</v>
      </c>
      <c r="L1058" s="3" t="str">
        <f t="shared" si="67"/>
        <v>Jan-2005</v>
      </c>
      <c r="M1058" s="3" t="s">
        <v>181</v>
      </c>
      <c r="N1058" s="3" t="s">
        <v>577</v>
      </c>
      <c r="O1058" s="3" t="s">
        <v>370</v>
      </c>
      <c r="P1058" s="3" t="s">
        <v>42</v>
      </c>
      <c r="Q1058" s="3" t="s">
        <v>51</v>
      </c>
    </row>
    <row r="1059" spans="1:17" x14ac:dyDescent="0.25">
      <c r="A1059" s="5">
        <v>10370</v>
      </c>
      <c r="B1059" s="5">
        <v>27</v>
      </c>
      <c r="C1059" s="5">
        <v>56.85</v>
      </c>
      <c r="D1059" s="5">
        <v>1534.95</v>
      </c>
      <c r="E1059" s="5" t="str">
        <f t="shared" si="65"/>
        <v>Low</v>
      </c>
      <c r="F1059" s="5">
        <f t="shared" si="66"/>
        <v>460.48500000000001</v>
      </c>
      <c r="G1059" s="6">
        <v>38372</v>
      </c>
      <c r="H1059" s="5" t="s">
        <v>25</v>
      </c>
      <c r="I1059" s="5" t="str">
        <f t="shared" si="64"/>
        <v>Yes</v>
      </c>
      <c r="J1059" s="5" t="s">
        <v>549</v>
      </c>
      <c r="K1059" s="5">
        <v>2005</v>
      </c>
      <c r="L1059" s="5" t="str">
        <f t="shared" si="67"/>
        <v>Jan-2005</v>
      </c>
      <c r="M1059" s="5" t="s">
        <v>181</v>
      </c>
      <c r="N1059" s="5" t="s">
        <v>285</v>
      </c>
      <c r="O1059" s="5" t="s">
        <v>95</v>
      </c>
      <c r="P1059" s="5" t="s">
        <v>96</v>
      </c>
      <c r="Q1059" s="5" t="s">
        <v>36</v>
      </c>
    </row>
    <row r="1060" spans="1:17" x14ac:dyDescent="0.25">
      <c r="A1060" s="3">
        <v>10377</v>
      </c>
      <c r="B1060" s="3">
        <v>39</v>
      </c>
      <c r="C1060" s="3">
        <v>100</v>
      </c>
      <c r="D1060" s="3">
        <v>3900</v>
      </c>
      <c r="E1060" s="3" t="str">
        <f t="shared" si="65"/>
        <v>Medium</v>
      </c>
      <c r="F1060" s="3">
        <f t="shared" si="66"/>
        <v>1170</v>
      </c>
      <c r="G1060" s="4">
        <v>38392</v>
      </c>
      <c r="H1060" s="3" t="s">
        <v>25</v>
      </c>
      <c r="I1060" s="3" t="str">
        <f t="shared" si="64"/>
        <v>Yes</v>
      </c>
      <c r="J1060" s="3" t="s">
        <v>681</v>
      </c>
      <c r="K1060" s="3">
        <v>2005</v>
      </c>
      <c r="L1060" s="3" t="str">
        <f t="shared" si="67"/>
        <v>Feb-2005</v>
      </c>
      <c r="M1060" s="3" t="s">
        <v>181</v>
      </c>
      <c r="N1060" s="3" t="s">
        <v>126</v>
      </c>
      <c r="O1060" s="3" t="s">
        <v>130</v>
      </c>
      <c r="P1060" s="3" t="s">
        <v>42</v>
      </c>
      <c r="Q1060" s="3" t="s">
        <v>151</v>
      </c>
    </row>
    <row r="1061" spans="1:17" x14ac:dyDescent="0.25">
      <c r="A1061" s="5">
        <v>10383</v>
      </c>
      <c r="B1061" s="5">
        <v>47</v>
      </c>
      <c r="C1061" s="5">
        <v>100</v>
      </c>
      <c r="D1061" s="5">
        <v>4700</v>
      </c>
      <c r="E1061" s="5" t="str">
        <f t="shared" si="65"/>
        <v>Medium</v>
      </c>
      <c r="F1061" s="5">
        <f t="shared" si="66"/>
        <v>1410</v>
      </c>
      <c r="G1061" s="6">
        <v>38405</v>
      </c>
      <c r="H1061" s="5" t="s">
        <v>25</v>
      </c>
      <c r="I1061" s="5" t="str">
        <f t="shared" si="64"/>
        <v>Yes</v>
      </c>
      <c r="J1061" s="5" t="s">
        <v>681</v>
      </c>
      <c r="K1061" s="5">
        <v>2005</v>
      </c>
      <c r="L1061" s="5" t="str">
        <f t="shared" si="67"/>
        <v>Feb-2005</v>
      </c>
      <c r="M1061" s="5" t="s">
        <v>181</v>
      </c>
      <c r="N1061" s="5" t="s">
        <v>174</v>
      </c>
      <c r="O1061" s="5" t="s">
        <v>178</v>
      </c>
      <c r="P1061" s="5" t="s">
        <v>42</v>
      </c>
      <c r="Q1061" s="5" t="s">
        <v>51</v>
      </c>
    </row>
    <row r="1062" spans="1:17" x14ac:dyDescent="0.25">
      <c r="A1062" s="3">
        <v>10394</v>
      </c>
      <c r="B1062" s="3">
        <v>22</v>
      </c>
      <c r="C1062" s="3">
        <v>100</v>
      </c>
      <c r="D1062" s="3">
        <v>2200</v>
      </c>
      <c r="E1062" s="3" t="str">
        <f t="shared" si="65"/>
        <v>Medium</v>
      </c>
      <c r="F1062" s="3">
        <f t="shared" si="66"/>
        <v>660</v>
      </c>
      <c r="G1062" s="4">
        <v>38426</v>
      </c>
      <c r="H1062" s="3" t="s">
        <v>25</v>
      </c>
      <c r="I1062" s="3" t="str">
        <f t="shared" si="64"/>
        <v>Yes</v>
      </c>
      <c r="J1062" s="3" t="s">
        <v>691</v>
      </c>
      <c r="K1062" s="3">
        <v>2005</v>
      </c>
      <c r="L1062" s="3" t="str">
        <f t="shared" si="67"/>
        <v>Mar-2005</v>
      </c>
      <c r="M1062" s="3" t="s">
        <v>181</v>
      </c>
      <c r="N1062" s="3" t="s">
        <v>174</v>
      </c>
      <c r="O1062" s="3" t="s">
        <v>178</v>
      </c>
      <c r="P1062" s="3" t="s">
        <v>42</v>
      </c>
      <c r="Q1062" s="3" t="s">
        <v>51</v>
      </c>
    </row>
    <row r="1063" spans="1:17" x14ac:dyDescent="0.25">
      <c r="A1063" s="5">
        <v>10405</v>
      </c>
      <c r="B1063" s="5">
        <v>55</v>
      </c>
      <c r="C1063" s="5">
        <v>100</v>
      </c>
      <c r="D1063" s="5">
        <v>5500</v>
      </c>
      <c r="E1063" s="5" t="str">
        <f t="shared" si="65"/>
        <v>High</v>
      </c>
      <c r="F1063" s="5">
        <f t="shared" si="66"/>
        <v>1650</v>
      </c>
      <c r="G1063" s="6">
        <v>38456</v>
      </c>
      <c r="H1063" s="5" t="s">
        <v>25</v>
      </c>
      <c r="I1063" s="5" t="str">
        <f t="shared" si="64"/>
        <v>Yes</v>
      </c>
      <c r="J1063" s="5" t="s">
        <v>688</v>
      </c>
      <c r="K1063" s="5">
        <v>2005</v>
      </c>
      <c r="L1063" s="5" t="str">
        <f t="shared" si="67"/>
        <v>Apr-2005</v>
      </c>
      <c r="M1063" s="5" t="s">
        <v>181</v>
      </c>
      <c r="N1063" s="5" t="s">
        <v>531</v>
      </c>
      <c r="O1063" s="5" t="s">
        <v>41</v>
      </c>
      <c r="P1063" s="5" t="s">
        <v>42</v>
      </c>
      <c r="Q1063" s="5" t="s">
        <v>151</v>
      </c>
    </row>
    <row r="1064" spans="1:17" x14ac:dyDescent="0.25">
      <c r="A1064" s="3">
        <v>10412</v>
      </c>
      <c r="B1064" s="3">
        <v>60</v>
      </c>
      <c r="C1064" s="3">
        <v>100</v>
      </c>
      <c r="D1064" s="3">
        <v>6000</v>
      </c>
      <c r="E1064" s="3" t="str">
        <f t="shared" si="65"/>
        <v>High</v>
      </c>
      <c r="F1064" s="3">
        <f t="shared" si="66"/>
        <v>1800</v>
      </c>
      <c r="G1064" s="4">
        <v>38475</v>
      </c>
      <c r="H1064" s="3" t="s">
        <v>25</v>
      </c>
      <c r="I1064" s="3" t="str">
        <f t="shared" si="64"/>
        <v>Yes</v>
      </c>
      <c r="J1064" s="3" t="s">
        <v>682</v>
      </c>
      <c r="K1064" s="3">
        <v>2005</v>
      </c>
      <c r="L1064" s="3" t="str">
        <f t="shared" si="67"/>
        <v>May-2005</v>
      </c>
      <c r="M1064" s="3" t="s">
        <v>181</v>
      </c>
      <c r="N1064" s="3" t="s">
        <v>174</v>
      </c>
      <c r="O1064" s="3" t="s">
        <v>178</v>
      </c>
      <c r="P1064" s="3" t="s">
        <v>42</v>
      </c>
      <c r="Q1064" s="3" t="s">
        <v>151</v>
      </c>
    </row>
    <row r="1065" spans="1:17" x14ac:dyDescent="0.25">
      <c r="A1065" s="5">
        <v>10419</v>
      </c>
      <c r="B1065" s="5">
        <v>35</v>
      </c>
      <c r="C1065" s="5">
        <v>100</v>
      </c>
      <c r="D1065" s="5">
        <v>3500</v>
      </c>
      <c r="E1065" s="5" t="str">
        <f t="shared" si="65"/>
        <v>Medium</v>
      </c>
      <c r="F1065" s="5">
        <f t="shared" si="66"/>
        <v>1050</v>
      </c>
      <c r="G1065" s="6">
        <v>38489</v>
      </c>
      <c r="H1065" s="5" t="s">
        <v>25</v>
      </c>
      <c r="I1065" s="5" t="str">
        <f t="shared" si="64"/>
        <v>Yes</v>
      </c>
      <c r="J1065" s="5" t="s">
        <v>682</v>
      </c>
      <c r="K1065" s="5">
        <v>2005</v>
      </c>
      <c r="L1065" s="5" t="str">
        <f t="shared" si="67"/>
        <v>May-2005</v>
      </c>
      <c r="M1065" s="5" t="s">
        <v>181</v>
      </c>
      <c r="N1065" s="5" t="s">
        <v>144</v>
      </c>
      <c r="O1065" s="5" t="s">
        <v>148</v>
      </c>
      <c r="P1065" s="5" t="s">
        <v>42</v>
      </c>
      <c r="Q1065" s="5" t="s">
        <v>51</v>
      </c>
    </row>
    <row r="1066" spans="1:17" x14ac:dyDescent="0.25">
      <c r="A1066" s="3">
        <v>10425</v>
      </c>
      <c r="B1066" s="3">
        <v>28</v>
      </c>
      <c r="C1066" s="3">
        <v>100</v>
      </c>
      <c r="D1066" s="3">
        <v>2800</v>
      </c>
      <c r="E1066" s="3" t="str">
        <f t="shared" si="65"/>
        <v>Medium</v>
      </c>
      <c r="F1066" s="3">
        <f t="shared" si="66"/>
        <v>840</v>
      </c>
      <c r="G1066" s="4">
        <v>38503</v>
      </c>
      <c r="H1066" s="3" t="s">
        <v>300</v>
      </c>
      <c r="I1066" s="3" t="str">
        <f t="shared" si="64"/>
        <v>No</v>
      </c>
      <c r="J1066" s="3" t="s">
        <v>682</v>
      </c>
      <c r="K1066" s="3">
        <v>2005</v>
      </c>
      <c r="L1066" s="3" t="str">
        <f t="shared" si="67"/>
        <v>May-2005</v>
      </c>
      <c r="M1066" s="3" t="s">
        <v>181</v>
      </c>
      <c r="N1066" s="3" t="s">
        <v>114</v>
      </c>
      <c r="O1066" s="3" t="s">
        <v>41</v>
      </c>
      <c r="P1066" s="3" t="s">
        <v>42</v>
      </c>
      <c r="Q1066" s="3" t="s">
        <v>51</v>
      </c>
    </row>
    <row r="1067" spans="1:17" x14ac:dyDescent="0.25">
      <c r="A1067" s="5">
        <v>10105</v>
      </c>
      <c r="B1067" s="5">
        <v>38</v>
      </c>
      <c r="C1067" s="5">
        <v>100</v>
      </c>
      <c r="D1067" s="5">
        <v>3800</v>
      </c>
      <c r="E1067" s="5" t="str">
        <f t="shared" si="65"/>
        <v>Medium</v>
      </c>
      <c r="F1067" s="5">
        <f t="shared" si="66"/>
        <v>1140</v>
      </c>
      <c r="G1067" s="6">
        <v>37663</v>
      </c>
      <c r="H1067" s="5" t="s">
        <v>25</v>
      </c>
      <c r="I1067" s="5" t="str">
        <f t="shared" si="64"/>
        <v>Yes</v>
      </c>
      <c r="J1067" s="5" t="s">
        <v>681</v>
      </c>
      <c r="K1067" s="5">
        <v>2003</v>
      </c>
      <c r="L1067" s="5" t="str">
        <f t="shared" si="67"/>
        <v>Feb-2003</v>
      </c>
      <c r="M1067" s="5" t="s">
        <v>605</v>
      </c>
      <c r="N1067" s="5" t="s">
        <v>322</v>
      </c>
      <c r="O1067" s="5" t="s">
        <v>326</v>
      </c>
      <c r="P1067" s="5" t="s">
        <v>42</v>
      </c>
      <c r="Q1067" s="5" t="s">
        <v>51</v>
      </c>
    </row>
    <row r="1068" spans="1:17" x14ac:dyDescent="0.25">
      <c r="A1068" s="3">
        <v>10117</v>
      </c>
      <c r="B1068" s="3">
        <v>21</v>
      </c>
      <c r="C1068" s="3">
        <v>95.8</v>
      </c>
      <c r="D1068" s="3">
        <v>2011.8</v>
      </c>
      <c r="E1068" s="3" t="str">
        <f t="shared" si="65"/>
        <v>Medium</v>
      </c>
      <c r="F1068" s="3">
        <f t="shared" si="66"/>
        <v>603.54</v>
      </c>
      <c r="G1068" s="4">
        <v>37727</v>
      </c>
      <c r="H1068" s="3" t="s">
        <v>25</v>
      </c>
      <c r="I1068" s="3" t="str">
        <f t="shared" si="64"/>
        <v>Yes</v>
      </c>
      <c r="J1068" s="3" t="s">
        <v>688</v>
      </c>
      <c r="K1068" s="3">
        <v>2003</v>
      </c>
      <c r="L1068" s="3" t="str">
        <f t="shared" si="67"/>
        <v>Apr-2003</v>
      </c>
      <c r="M1068" s="3" t="s">
        <v>605</v>
      </c>
      <c r="N1068" s="3" t="s">
        <v>196</v>
      </c>
      <c r="O1068" s="3" t="s">
        <v>199</v>
      </c>
      <c r="P1068" s="3" t="s">
        <v>675</v>
      </c>
      <c r="Q1068" s="3" t="s">
        <v>36</v>
      </c>
    </row>
    <row r="1069" spans="1:17" x14ac:dyDescent="0.25">
      <c r="A1069" s="5">
        <v>10128</v>
      </c>
      <c r="B1069" s="5">
        <v>41</v>
      </c>
      <c r="C1069" s="5">
        <v>100</v>
      </c>
      <c r="D1069" s="5">
        <v>4100</v>
      </c>
      <c r="E1069" s="5" t="str">
        <f t="shared" si="65"/>
        <v>Medium</v>
      </c>
      <c r="F1069" s="5">
        <f t="shared" si="66"/>
        <v>1230</v>
      </c>
      <c r="G1069" s="6">
        <v>37778</v>
      </c>
      <c r="H1069" s="5" t="s">
        <v>25</v>
      </c>
      <c r="I1069" s="5" t="str">
        <f t="shared" si="64"/>
        <v>Yes</v>
      </c>
      <c r="J1069" s="5" t="s">
        <v>689</v>
      </c>
      <c r="K1069" s="5">
        <v>2003</v>
      </c>
      <c r="L1069" s="5" t="str">
        <f t="shared" si="67"/>
        <v>Jun-2003</v>
      </c>
      <c r="M1069" s="5" t="s">
        <v>605</v>
      </c>
      <c r="N1069" s="5" t="s">
        <v>174</v>
      </c>
      <c r="O1069" s="5" t="s">
        <v>178</v>
      </c>
      <c r="P1069" s="5" t="s">
        <v>42</v>
      </c>
      <c r="Q1069" s="5" t="s">
        <v>51</v>
      </c>
    </row>
    <row r="1070" spans="1:17" x14ac:dyDescent="0.25">
      <c r="A1070" s="3">
        <v>10142</v>
      </c>
      <c r="B1070" s="3">
        <v>22</v>
      </c>
      <c r="C1070" s="3">
        <v>97.81</v>
      </c>
      <c r="D1070" s="3">
        <v>2151.8200000000002</v>
      </c>
      <c r="E1070" s="3" t="str">
        <f t="shared" si="65"/>
        <v>Medium</v>
      </c>
      <c r="F1070" s="3">
        <f t="shared" si="66"/>
        <v>645.54600000000005</v>
      </c>
      <c r="G1070" s="4">
        <v>37841</v>
      </c>
      <c r="H1070" s="3" t="s">
        <v>25</v>
      </c>
      <c r="I1070" s="3" t="str">
        <f t="shared" si="64"/>
        <v>Yes</v>
      </c>
      <c r="J1070" s="3" t="s">
        <v>684</v>
      </c>
      <c r="K1070" s="3">
        <v>2003</v>
      </c>
      <c r="L1070" s="3" t="str">
        <f t="shared" si="67"/>
        <v>Aug-2003</v>
      </c>
      <c r="M1070" s="3" t="s">
        <v>605</v>
      </c>
      <c r="N1070" s="3" t="s">
        <v>272</v>
      </c>
      <c r="O1070" s="3" t="s">
        <v>32</v>
      </c>
      <c r="P1070" s="3" t="s">
        <v>33</v>
      </c>
      <c r="Q1070" s="3" t="s">
        <v>36</v>
      </c>
    </row>
    <row r="1071" spans="1:17" x14ac:dyDescent="0.25">
      <c r="A1071" s="5">
        <v>10153</v>
      </c>
      <c r="B1071" s="5">
        <v>29</v>
      </c>
      <c r="C1071" s="5">
        <v>88.74</v>
      </c>
      <c r="D1071" s="5">
        <v>2573.46</v>
      </c>
      <c r="E1071" s="5" t="str">
        <f t="shared" si="65"/>
        <v>Medium</v>
      </c>
      <c r="F1071" s="5">
        <f t="shared" si="66"/>
        <v>772.03800000000001</v>
      </c>
      <c r="G1071" s="6">
        <v>37892</v>
      </c>
      <c r="H1071" s="5" t="s">
        <v>25</v>
      </c>
      <c r="I1071" s="5" t="str">
        <f t="shared" si="64"/>
        <v>Yes</v>
      </c>
      <c r="J1071" s="5" t="s">
        <v>690</v>
      </c>
      <c r="K1071" s="5">
        <v>2003</v>
      </c>
      <c r="L1071" s="5" t="str">
        <f t="shared" si="67"/>
        <v>Sep-2003</v>
      </c>
      <c r="M1071" s="5" t="s">
        <v>605</v>
      </c>
      <c r="N1071" s="5" t="s">
        <v>174</v>
      </c>
      <c r="O1071" s="5" t="s">
        <v>178</v>
      </c>
      <c r="P1071" s="5" t="s">
        <v>42</v>
      </c>
      <c r="Q1071" s="5" t="s">
        <v>36</v>
      </c>
    </row>
    <row r="1072" spans="1:17" x14ac:dyDescent="0.25">
      <c r="A1072" s="3">
        <v>10165</v>
      </c>
      <c r="B1072" s="3">
        <v>50</v>
      </c>
      <c r="C1072" s="3">
        <v>100</v>
      </c>
      <c r="D1072" s="3">
        <v>5000</v>
      </c>
      <c r="E1072" s="3" t="str">
        <f t="shared" si="65"/>
        <v>High</v>
      </c>
      <c r="F1072" s="3">
        <f t="shared" si="66"/>
        <v>1500</v>
      </c>
      <c r="G1072" s="4">
        <v>37916</v>
      </c>
      <c r="H1072" s="3" t="s">
        <v>25</v>
      </c>
      <c r="I1072" s="3" t="str">
        <f t="shared" si="64"/>
        <v>Yes</v>
      </c>
      <c r="J1072" s="3" t="s">
        <v>685</v>
      </c>
      <c r="K1072" s="3">
        <v>2003</v>
      </c>
      <c r="L1072" s="3" t="str">
        <f t="shared" si="67"/>
        <v>Oct-2003</v>
      </c>
      <c r="M1072" s="3" t="s">
        <v>605</v>
      </c>
      <c r="N1072" s="3" t="s">
        <v>196</v>
      </c>
      <c r="O1072" s="3" t="s">
        <v>199</v>
      </c>
      <c r="P1072" s="3" t="s">
        <v>675</v>
      </c>
      <c r="Q1072" s="3" t="s">
        <v>51</v>
      </c>
    </row>
    <row r="1073" spans="1:17" x14ac:dyDescent="0.25">
      <c r="A1073" s="5">
        <v>10177</v>
      </c>
      <c r="B1073" s="5">
        <v>29</v>
      </c>
      <c r="C1073" s="5">
        <v>100</v>
      </c>
      <c r="D1073" s="5">
        <v>2900</v>
      </c>
      <c r="E1073" s="5" t="str">
        <f t="shared" si="65"/>
        <v>Medium</v>
      </c>
      <c r="F1073" s="5">
        <f t="shared" si="66"/>
        <v>870</v>
      </c>
      <c r="G1073" s="6">
        <v>37932</v>
      </c>
      <c r="H1073" s="5" t="s">
        <v>25</v>
      </c>
      <c r="I1073" s="5" t="str">
        <f t="shared" si="64"/>
        <v>Yes</v>
      </c>
      <c r="J1073" s="5" t="s">
        <v>686</v>
      </c>
      <c r="K1073" s="5">
        <v>2003</v>
      </c>
      <c r="L1073" s="5" t="str">
        <f t="shared" si="67"/>
        <v>Nov-2003</v>
      </c>
      <c r="M1073" s="5" t="s">
        <v>605</v>
      </c>
      <c r="N1073" s="5" t="s">
        <v>487</v>
      </c>
      <c r="O1073" s="5" t="s">
        <v>178</v>
      </c>
      <c r="P1073" s="5" t="s">
        <v>42</v>
      </c>
      <c r="Q1073" s="5" t="s">
        <v>51</v>
      </c>
    </row>
    <row r="1074" spans="1:17" x14ac:dyDescent="0.25">
      <c r="A1074" s="3">
        <v>10185</v>
      </c>
      <c r="B1074" s="3">
        <v>49</v>
      </c>
      <c r="C1074" s="3">
        <v>80.67</v>
      </c>
      <c r="D1074" s="3">
        <v>3952.83</v>
      </c>
      <c r="E1074" s="3" t="str">
        <f t="shared" si="65"/>
        <v>Medium</v>
      </c>
      <c r="F1074" s="3">
        <f t="shared" si="66"/>
        <v>1185.8489999999999</v>
      </c>
      <c r="G1074" s="4">
        <v>37939</v>
      </c>
      <c r="H1074" s="3" t="s">
        <v>25</v>
      </c>
      <c r="I1074" s="3" t="str">
        <f t="shared" si="64"/>
        <v>Yes</v>
      </c>
      <c r="J1074" s="3" t="s">
        <v>686</v>
      </c>
      <c r="K1074" s="3">
        <v>2003</v>
      </c>
      <c r="L1074" s="3" t="str">
        <f t="shared" si="67"/>
        <v>Nov-2003</v>
      </c>
      <c r="M1074" s="3" t="s">
        <v>605</v>
      </c>
      <c r="N1074" s="3" t="s">
        <v>335</v>
      </c>
      <c r="O1074" s="3" t="s">
        <v>32</v>
      </c>
      <c r="P1074" s="3" t="s">
        <v>33</v>
      </c>
      <c r="Q1074" s="3" t="s">
        <v>51</v>
      </c>
    </row>
    <row r="1075" spans="1:17" x14ac:dyDescent="0.25">
      <c r="A1075" s="5">
        <v>10196</v>
      </c>
      <c r="B1075" s="5">
        <v>35</v>
      </c>
      <c r="C1075" s="5">
        <v>100</v>
      </c>
      <c r="D1075" s="5">
        <v>3500</v>
      </c>
      <c r="E1075" s="5" t="str">
        <f t="shared" si="65"/>
        <v>Medium</v>
      </c>
      <c r="F1075" s="5">
        <f t="shared" si="66"/>
        <v>1050</v>
      </c>
      <c r="G1075" s="6">
        <v>37951</v>
      </c>
      <c r="H1075" s="5" t="s">
        <v>25</v>
      </c>
      <c r="I1075" s="5" t="str">
        <f t="shared" si="64"/>
        <v>Yes</v>
      </c>
      <c r="J1075" s="5" t="s">
        <v>686</v>
      </c>
      <c r="K1075" s="5">
        <v>2003</v>
      </c>
      <c r="L1075" s="5" t="str">
        <f t="shared" si="67"/>
        <v>Nov-2003</v>
      </c>
      <c r="M1075" s="5" t="s">
        <v>605</v>
      </c>
      <c r="N1075" s="5" t="s">
        <v>242</v>
      </c>
      <c r="O1075" s="5" t="s">
        <v>32</v>
      </c>
      <c r="P1075" s="5" t="s">
        <v>33</v>
      </c>
      <c r="Q1075" s="5" t="s">
        <v>51</v>
      </c>
    </row>
    <row r="1076" spans="1:17" x14ac:dyDescent="0.25">
      <c r="A1076" s="3">
        <v>10208</v>
      </c>
      <c r="B1076" s="3">
        <v>48</v>
      </c>
      <c r="C1076" s="3">
        <v>100</v>
      </c>
      <c r="D1076" s="3">
        <v>4800</v>
      </c>
      <c r="E1076" s="3" t="str">
        <f t="shared" si="65"/>
        <v>Medium</v>
      </c>
      <c r="F1076" s="3">
        <f t="shared" si="66"/>
        <v>1440</v>
      </c>
      <c r="G1076" s="4">
        <v>37988</v>
      </c>
      <c r="H1076" s="3" t="s">
        <v>25</v>
      </c>
      <c r="I1076" s="3" t="str">
        <f t="shared" si="64"/>
        <v>Yes</v>
      </c>
      <c r="J1076" s="3" t="s">
        <v>549</v>
      </c>
      <c r="K1076" s="3">
        <v>2004</v>
      </c>
      <c r="L1076" s="3" t="str">
        <f t="shared" si="67"/>
        <v>Jan-2004</v>
      </c>
      <c r="M1076" s="3" t="s">
        <v>605</v>
      </c>
      <c r="N1076" s="3" t="s">
        <v>219</v>
      </c>
      <c r="O1076" s="3" t="s">
        <v>41</v>
      </c>
      <c r="P1076" s="3" t="s">
        <v>42</v>
      </c>
      <c r="Q1076" s="3" t="s">
        <v>51</v>
      </c>
    </row>
    <row r="1077" spans="1:17" x14ac:dyDescent="0.25">
      <c r="A1077" s="5">
        <v>10221</v>
      </c>
      <c r="B1077" s="5">
        <v>23</v>
      </c>
      <c r="C1077" s="5">
        <v>80.67</v>
      </c>
      <c r="D1077" s="5">
        <v>1855.41</v>
      </c>
      <c r="E1077" s="5" t="str">
        <f t="shared" si="65"/>
        <v>Low</v>
      </c>
      <c r="F1077" s="5">
        <f t="shared" si="66"/>
        <v>556.62300000000005</v>
      </c>
      <c r="G1077" s="6">
        <v>38035</v>
      </c>
      <c r="H1077" s="5" t="s">
        <v>25</v>
      </c>
      <c r="I1077" s="5" t="str">
        <f t="shared" si="64"/>
        <v>Yes</v>
      </c>
      <c r="J1077" s="5" t="s">
        <v>681</v>
      </c>
      <c r="K1077" s="5">
        <v>2004</v>
      </c>
      <c r="L1077" s="5" t="str">
        <f t="shared" si="67"/>
        <v>Feb-2004</v>
      </c>
      <c r="M1077" s="5" t="s">
        <v>605</v>
      </c>
      <c r="N1077" s="5" t="s">
        <v>365</v>
      </c>
      <c r="O1077" s="5" t="s">
        <v>370</v>
      </c>
      <c r="P1077" s="5" t="s">
        <v>42</v>
      </c>
      <c r="Q1077" s="5" t="s">
        <v>36</v>
      </c>
    </row>
    <row r="1078" spans="1:17" x14ac:dyDescent="0.25">
      <c r="A1078" s="3">
        <v>10232</v>
      </c>
      <c r="B1078" s="3">
        <v>48</v>
      </c>
      <c r="C1078" s="3">
        <v>95.8</v>
      </c>
      <c r="D1078" s="3">
        <v>4598.3999999999996</v>
      </c>
      <c r="E1078" s="3" t="str">
        <f t="shared" si="65"/>
        <v>Medium</v>
      </c>
      <c r="F1078" s="3">
        <f t="shared" si="66"/>
        <v>1379.5199999999998</v>
      </c>
      <c r="G1078" s="4">
        <v>38066</v>
      </c>
      <c r="H1078" s="3" t="s">
        <v>25</v>
      </c>
      <c r="I1078" s="3" t="str">
        <f t="shared" si="64"/>
        <v>Yes</v>
      </c>
      <c r="J1078" s="3" t="s">
        <v>691</v>
      </c>
      <c r="K1078" s="3">
        <v>2004</v>
      </c>
      <c r="L1078" s="3" t="str">
        <f t="shared" si="67"/>
        <v>Mar-2004</v>
      </c>
      <c r="M1078" s="3" t="s">
        <v>605</v>
      </c>
      <c r="N1078" s="3" t="s">
        <v>383</v>
      </c>
      <c r="O1078" s="3" t="s">
        <v>170</v>
      </c>
      <c r="P1078" s="3" t="s">
        <v>42</v>
      </c>
      <c r="Q1078" s="3" t="s">
        <v>51</v>
      </c>
    </row>
    <row r="1079" spans="1:17" x14ac:dyDescent="0.25">
      <c r="A1079" s="5">
        <v>10248</v>
      </c>
      <c r="B1079" s="5">
        <v>42</v>
      </c>
      <c r="C1079" s="5">
        <v>100</v>
      </c>
      <c r="D1079" s="5">
        <v>4200</v>
      </c>
      <c r="E1079" s="5" t="str">
        <f t="shared" si="65"/>
        <v>Medium</v>
      </c>
      <c r="F1079" s="5">
        <f t="shared" si="66"/>
        <v>1260</v>
      </c>
      <c r="G1079" s="6">
        <v>38114</v>
      </c>
      <c r="H1079" s="5" t="s">
        <v>339</v>
      </c>
      <c r="I1079" s="5" t="str">
        <f t="shared" si="64"/>
        <v>No</v>
      </c>
      <c r="J1079" s="5" t="s">
        <v>682</v>
      </c>
      <c r="K1079" s="5">
        <v>2004</v>
      </c>
      <c r="L1079" s="5" t="str">
        <f t="shared" si="67"/>
        <v>May-2004</v>
      </c>
      <c r="M1079" s="5" t="s">
        <v>605</v>
      </c>
      <c r="N1079" s="5" t="s">
        <v>28</v>
      </c>
      <c r="O1079" s="5" t="s">
        <v>32</v>
      </c>
      <c r="P1079" s="5" t="s">
        <v>33</v>
      </c>
      <c r="Q1079" s="5" t="s">
        <v>51</v>
      </c>
    </row>
    <row r="1080" spans="1:17" x14ac:dyDescent="0.25">
      <c r="A1080" s="3">
        <v>10273</v>
      </c>
      <c r="B1080" s="3">
        <v>47</v>
      </c>
      <c r="C1080" s="3">
        <v>100</v>
      </c>
      <c r="D1080" s="3">
        <v>4700</v>
      </c>
      <c r="E1080" s="3" t="str">
        <f t="shared" si="65"/>
        <v>Medium</v>
      </c>
      <c r="F1080" s="3">
        <f t="shared" si="66"/>
        <v>1410</v>
      </c>
      <c r="G1080" s="4">
        <v>38189</v>
      </c>
      <c r="H1080" s="3" t="s">
        <v>25</v>
      </c>
      <c r="I1080" s="3" t="str">
        <f t="shared" si="64"/>
        <v>Yes</v>
      </c>
      <c r="J1080" s="3" t="s">
        <v>683</v>
      </c>
      <c r="K1080" s="3">
        <v>2004</v>
      </c>
      <c r="L1080" s="3" t="str">
        <f t="shared" si="67"/>
        <v>Jul-2004</v>
      </c>
      <c r="M1080" s="3" t="s">
        <v>605</v>
      </c>
      <c r="N1080" s="3" t="s">
        <v>365</v>
      </c>
      <c r="O1080" s="3" t="s">
        <v>370</v>
      </c>
      <c r="P1080" s="3" t="s">
        <v>42</v>
      </c>
      <c r="Q1080" s="3" t="s">
        <v>51</v>
      </c>
    </row>
    <row r="1081" spans="1:17" x14ac:dyDescent="0.25">
      <c r="A1081" s="5">
        <v>10282</v>
      </c>
      <c r="B1081" s="5">
        <v>36</v>
      </c>
      <c r="C1081" s="5">
        <v>100</v>
      </c>
      <c r="D1081" s="5">
        <v>3600</v>
      </c>
      <c r="E1081" s="5" t="str">
        <f t="shared" si="65"/>
        <v>Medium</v>
      </c>
      <c r="F1081" s="5">
        <f t="shared" si="66"/>
        <v>1080</v>
      </c>
      <c r="G1081" s="6">
        <v>38219</v>
      </c>
      <c r="H1081" s="5" t="s">
        <v>25</v>
      </c>
      <c r="I1081" s="5" t="str">
        <f t="shared" si="64"/>
        <v>Yes</v>
      </c>
      <c r="J1081" s="5" t="s">
        <v>684</v>
      </c>
      <c r="K1081" s="5">
        <v>2004</v>
      </c>
      <c r="L1081" s="5" t="str">
        <f t="shared" si="67"/>
        <v>Aug-2004</v>
      </c>
      <c r="M1081" s="5" t="s">
        <v>605</v>
      </c>
      <c r="N1081" s="5" t="s">
        <v>272</v>
      </c>
      <c r="O1081" s="5" t="s">
        <v>32</v>
      </c>
      <c r="P1081" s="5" t="s">
        <v>33</v>
      </c>
      <c r="Q1081" s="5" t="s">
        <v>51</v>
      </c>
    </row>
    <row r="1082" spans="1:17" x14ac:dyDescent="0.25">
      <c r="A1082" s="3">
        <v>10293</v>
      </c>
      <c r="B1082" s="3">
        <v>22</v>
      </c>
      <c r="C1082" s="3">
        <v>100</v>
      </c>
      <c r="D1082" s="3">
        <v>2200</v>
      </c>
      <c r="E1082" s="3" t="str">
        <f t="shared" si="65"/>
        <v>Medium</v>
      </c>
      <c r="F1082" s="3">
        <f t="shared" si="66"/>
        <v>660</v>
      </c>
      <c r="G1082" s="4">
        <v>38239</v>
      </c>
      <c r="H1082" s="3" t="s">
        <v>25</v>
      </c>
      <c r="I1082" s="3" t="str">
        <f t="shared" si="64"/>
        <v>Yes</v>
      </c>
      <c r="J1082" s="3" t="s">
        <v>690</v>
      </c>
      <c r="K1082" s="3">
        <v>2004</v>
      </c>
      <c r="L1082" s="3" t="str">
        <f t="shared" si="67"/>
        <v>Sep-2004</v>
      </c>
      <c r="M1082" s="3" t="s">
        <v>605</v>
      </c>
      <c r="N1082" s="3" t="s">
        <v>254</v>
      </c>
      <c r="O1082" s="3" t="s">
        <v>258</v>
      </c>
      <c r="P1082" s="3" t="s">
        <v>42</v>
      </c>
      <c r="Q1082" s="3" t="s">
        <v>36</v>
      </c>
    </row>
    <row r="1083" spans="1:17" x14ac:dyDescent="0.25">
      <c r="A1083" s="5">
        <v>10306</v>
      </c>
      <c r="B1083" s="5">
        <v>40</v>
      </c>
      <c r="C1083" s="5">
        <v>91.76</v>
      </c>
      <c r="D1083" s="5">
        <v>3670.4</v>
      </c>
      <c r="E1083" s="5" t="str">
        <f t="shared" si="65"/>
        <v>Medium</v>
      </c>
      <c r="F1083" s="5">
        <f t="shared" si="66"/>
        <v>1101.1199999999999</v>
      </c>
      <c r="G1083" s="6">
        <v>38274</v>
      </c>
      <c r="H1083" s="5" t="s">
        <v>25</v>
      </c>
      <c r="I1083" s="5" t="str">
        <f t="shared" si="64"/>
        <v>Yes</v>
      </c>
      <c r="J1083" s="5" t="s">
        <v>685</v>
      </c>
      <c r="K1083" s="5">
        <v>2004</v>
      </c>
      <c r="L1083" s="5" t="str">
        <f t="shared" si="67"/>
        <v>Oct-2004</v>
      </c>
      <c r="M1083" s="5" t="s">
        <v>605</v>
      </c>
      <c r="N1083" s="5" t="s">
        <v>492</v>
      </c>
      <c r="O1083" s="5" t="s">
        <v>170</v>
      </c>
      <c r="P1083" s="5" t="s">
        <v>42</v>
      </c>
      <c r="Q1083" s="5" t="s">
        <v>51</v>
      </c>
    </row>
    <row r="1084" spans="1:17" x14ac:dyDescent="0.25">
      <c r="A1084" s="3">
        <v>10314</v>
      </c>
      <c r="B1084" s="3">
        <v>23</v>
      </c>
      <c r="C1084" s="3">
        <v>100</v>
      </c>
      <c r="D1084" s="3">
        <v>2300</v>
      </c>
      <c r="E1084" s="3" t="str">
        <f t="shared" si="65"/>
        <v>Medium</v>
      </c>
      <c r="F1084" s="3">
        <f t="shared" si="66"/>
        <v>690</v>
      </c>
      <c r="G1084" s="4">
        <v>38282</v>
      </c>
      <c r="H1084" s="3" t="s">
        <v>25</v>
      </c>
      <c r="I1084" s="3" t="str">
        <f t="shared" si="64"/>
        <v>Yes</v>
      </c>
      <c r="J1084" s="3" t="s">
        <v>685</v>
      </c>
      <c r="K1084" s="3">
        <v>2004</v>
      </c>
      <c r="L1084" s="3" t="str">
        <f t="shared" si="67"/>
        <v>Oct-2004</v>
      </c>
      <c r="M1084" s="3" t="s">
        <v>605</v>
      </c>
      <c r="N1084" s="3" t="s">
        <v>498</v>
      </c>
      <c r="O1084" s="3" t="s">
        <v>326</v>
      </c>
      <c r="P1084" s="3" t="s">
        <v>42</v>
      </c>
      <c r="Q1084" s="3" t="s">
        <v>36</v>
      </c>
    </row>
    <row r="1085" spans="1:17" x14ac:dyDescent="0.25">
      <c r="A1085" s="5">
        <v>10326</v>
      </c>
      <c r="B1085" s="5">
        <v>32</v>
      </c>
      <c r="C1085" s="5">
        <v>100</v>
      </c>
      <c r="D1085" s="5">
        <v>3200</v>
      </c>
      <c r="E1085" s="5" t="str">
        <f t="shared" si="65"/>
        <v>Medium</v>
      </c>
      <c r="F1085" s="5">
        <f t="shared" si="66"/>
        <v>960</v>
      </c>
      <c r="G1085" s="6">
        <v>38300</v>
      </c>
      <c r="H1085" s="5" t="s">
        <v>25</v>
      </c>
      <c r="I1085" s="5" t="str">
        <f t="shared" si="64"/>
        <v>Yes</v>
      </c>
      <c r="J1085" s="5" t="s">
        <v>686</v>
      </c>
      <c r="K1085" s="5">
        <v>2004</v>
      </c>
      <c r="L1085" s="5" t="str">
        <f t="shared" si="67"/>
        <v>Nov-2004</v>
      </c>
      <c r="M1085" s="5" t="s">
        <v>605</v>
      </c>
      <c r="N1085" s="5" t="s">
        <v>183</v>
      </c>
      <c r="O1085" s="5" t="s">
        <v>188</v>
      </c>
      <c r="P1085" s="5" t="s">
        <v>42</v>
      </c>
      <c r="Q1085" s="5" t="s">
        <v>51</v>
      </c>
    </row>
    <row r="1086" spans="1:17" x14ac:dyDescent="0.25">
      <c r="A1086" s="3">
        <v>10336</v>
      </c>
      <c r="B1086" s="3">
        <v>21</v>
      </c>
      <c r="C1086" s="3">
        <v>100</v>
      </c>
      <c r="D1086" s="3">
        <v>2100</v>
      </c>
      <c r="E1086" s="3" t="str">
        <f t="shared" si="65"/>
        <v>Medium</v>
      </c>
      <c r="F1086" s="3">
        <f t="shared" si="66"/>
        <v>630</v>
      </c>
      <c r="G1086" s="4">
        <v>38311</v>
      </c>
      <c r="H1086" s="3" t="s">
        <v>25</v>
      </c>
      <c r="I1086" s="3" t="str">
        <f t="shared" si="64"/>
        <v>Yes</v>
      </c>
      <c r="J1086" s="3" t="s">
        <v>686</v>
      </c>
      <c r="K1086" s="3">
        <v>2004</v>
      </c>
      <c r="L1086" s="3" t="str">
        <f t="shared" si="67"/>
        <v>Nov-2004</v>
      </c>
      <c r="M1086" s="3" t="s">
        <v>605</v>
      </c>
      <c r="N1086" s="3" t="s">
        <v>403</v>
      </c>
      <c r="O1086" s="3" t="s">
        <v>41</v>
      </c>
      <c r="P1086" s="3" t="s">
        <v>42</v>
      </c>
      <c r="Q1086" s="3" t="s">
        <v>36</v>
      </c>
    </row>
    <row r="1087" spans="1:17" x14ac:dyDescent="0.25">
      <c r="A1087" s="5">
        <v>10350</v>
      </c>
      <c r="B1087" s="5">
        <v>41</v>
      </c>
      <c r="C1087" s="5">
        <v>93.04</v>
      </c>
      <c r="D1087" s="5">
        <v>3814.6400000000003</v>
      </c>
      <c r="E1087" s="5" t="str">
        <f t="shared" si="65"/>
        <v>Medium</v>
      </c>
      <c r="F1087" s="5">
        <f t="shared" si="66"/>
        <v>1144.3920000000001</v>
      </c>
      <c r="G1087" s="6">
        <v>38323</v>
      </c>
      <c r="H1087" s="5" t="s">
        <v>25</v>
      </c>
      <c r="I1087" s="5" t="str">
        <f t="shared" si="64"/>
        <v>Yes</v>
      </c>
      <c r="J1087" s="5" t="s">
        <v>687</v>
      </c>
      <c r="K1087" s="5">
        <v>2004</v>
      </c>
      <c r="L1087" s="5" t="str">
        <f t="shared" si="67"/>
        <v>Dec-2004</v>
      </c>
      <c r="M1087" s="5" t="s">
        <v>605</v>
      </c>
      <c r="N1087" s="5" t="s">
        <v>174</v>
      </c>
      <c r="O1087" s="5" t="s">
        <v>178</v>
      </c>
      <c r="P1087" s="5" t="s">
        <v>42</v>
      </c>
      <c r="Q1087" s="5" t="s">
        <v>51</v>
      </c>
    </row>
    <row r="1088" spans="1:17" x14ac:dyDescent="0.25">
      <c r="A1088" s="3">
        <v>10372</v>
      </c>
      <c r="B1088" s="3">
        <v>25</v>
      </c>
      <c r="C1088" s="3">
        <v>84.71</v>
      </c>
      <c r="D1088" s="3">
        <v>2117.75</v>
      </c>
      <c r="E1088" s="3" t="str">
        <f t="shared" si="65"/>
        <v>Medium</v>
      </c>
      <c r="F1088" s="3">
        <f t="shared" si="66"/>
        <v>635.32499999999993</v>
      </c>
      <c r="G1088" s="4">
        <v>38378</v>
      </c>
      <c r="H1088" s="3" t="s">
        <v>25</v>
      </c>
      <c r="I1088" s="3" t="str">
        <f t="shared" si="64"/>
        <v>Yes</v>
      </c>
      <c r="J1088" s="3" t="s">
        <v>549</v>
      </c>
      <c r="K1088" s="3">
        <v>2005</v>
      </c>
      <c r="L1088" s="3" t="str">
        <f t="shared" si="67"/>
        <v>Jan-2005</v>
      </c>
      <c r="M1088" s="3" t="s">
        <v>605</v>
      </c>
      <c r="N1088" s="3" t="s">
        <v>246</v>
      </c>
      <c r="O1088" s="3" t="s">
        <v>200</v>
      </c>
      <c r="P1088" s="3" t="s">
        <v>675</v>
      </c>
      <c r="Q1088" s="3" t="s">
        <v>36</v>
      </c>
    </row>
    <row r="1089" spans="1:17" x14ac:dyDescent="0.25">
      <c r="A1089" s="5">
        <v>10383</v>
      </c>
      <c r="B1089" s="5">
        <v>26</v>
      </c>
      <c r="C1089" s="5">
        <v>100</v>
      </c>
      <c r="D1089" s="5">
        <v>2600</v>
      </c>
      <c r="E1089" s="5" t="str">
        <f t="shared" si="65"/>
        <v>Medium</v>
      </c>
      <c r="F1089" s="5">
        <f t="shared" si="66"/>
        <v>780</v>
      </c>
      <c r="G1089" s="6">
        <v>38405</v>
      </c>
      <c r="H1089" s="5" t="s">
        <v>25</v>
      </c>
      <c r="I1089" s="5" t="str">
        <f t="shared" si="64"/>
        <v>Yes</v>
      </c>
      <c r="J1089" s="5" t="s">
        <v>681</v>
      </c>
      <c r="K1089" s="5">
        <v>2005</v>
      </c>
      <c r="L1089" s="5" t="str">
        <f t="shared" si="67"/>
        <v>Feb-2005</v>
      </c>
      <c r="M1089" s="5" t="s">
        <v>605</v>
      </c>
      <c r="N1089" s="5" t="s">
        <v>174</v>
      </c>
      <c r="O1089" s="5" t="s">
        <v>178</v>
      </c>
      <c r="P1089" s="5" t="s">
        <v>42</v>
      </c>
      <c r="Q1089" s="5" t="s">
        <v>51</v>
      </c>
    </row>
    <row r="1090" spans="1:17" x14ac:dyDescent="0.25">
      <c r="A1090" s="3">
        <v>10396</v>
      </c>
      <c r="B1090" s="3">
        <v>24</v>
      </c>
      <c r="C1090" s="3">
        <v>89.75</v>
      </c>
      <c r="D1090" s="3">
        <v>2154</v>
      </c>
      <c r="E1090" s="3" t="str">
        <f t="shared" si="65"/>
        <v>Medium</v>
      </c>
      <c r="F1090" s="3">
        <f t="shared" si="66"/>
        <v>646.19999999999993</v>
      </c>
      <c r="G1090" s="4">
        <v>38434</v>
      </c>
      <c r="H1090" s="3" t="s">
        <v>25</v>
      </c>
      <c r="I1090" s="3" t="str">
        <f t="shared" ref="I1090:I1153" si="68">IF(H1090="Shipped","Yes","No")</f>
        <v>Yes</v>
      </c>
      <c r="J1090" s="3" t="s">
        <v>691</v>
      </c>
      <c r="K1090" s="3">
        <v>2005</v>
      </c>
      <c r="L1090" s="3" t="str">
        <f t="shared" si="67"/>
        <v>Mar-2005</v>
      </c>
      <c r="M1090" s="3" t="s">
        <v>605</v>
      </c>
      <c r="N1090" s="3" t="s">
        <v>272</v>
      </c>
      <c r="O1090" s="3" t="s">
        <v>32</v>
      </c>
      <c r="P1090" s="3" t="s">
        <v>33</v>
      </c>
      <c r="Q1090" s="3" t="s">
        <v>36</v>
      </c>
    </row>
    <row r="1091" spans="1:17" x14ac:dyDescent="0.25">
      <c r="A1091" s="5">
        <v>10414</v>
      </c>
      <c r="B1091" s="5">
        <v>48</v>
      </c>
      <c r="C1091" s="5">
        <v>100</v>
      </c>
      <c r="D1091" s="5">
        <v>4800</v>
      </c>
      <c r="E1091" s="5" t="str">
        <f t="shared" ref="E1091:E1154" si="69">IF(D1091&gt;=5000,"High",IF(D1091&gt;=2000,"Medium","Low"))</f>
        <v>Medium</v>
      </c>
      <c r="F1091" s="5">
        <f t="shared" ref="F1091:F1154" si="70">(D1091*0.3)</f>
        <v>1440</v>
      </c>
      <c r="G1091" s="6">
        <v>38478</v>
      </c>
      <c r="H1091" s="5" t="s">
        <v>401</v>
      </c>
      <c r="I1091" s="5" t="str">
        <f t="shared" si="68"/>
        <v>No</v>
      </c>
      <c r="J1091" s="5" t="s">
        <v>682</v>
      </c>
      <c r="K1091" s="5">
        <v>2005</v>
      </c>
      <c r="L1091" s="5" t="str">
        <f t="shared" ref="L1091:L1154" si="71">TEXT(G:G,"MMM-YYYY")</f>
        <v>May-2005</v>
      </c>
      <c r="M1091" s="5" t="s">
        <v>605</v>
      </c>
      <c r="N1091" s="5" t="s">
        <v>379</v>
      </c>
      <c r="O1091" s="5" t="s">
        <v>32</v>
      </c>
      <c r="P1091" s="5" t="s">
        <v>33</v>
      </c>
      <c r="Q1091" s="5" t="s">
        <v>51</v>
      </c>
    </row>
    <row r="1092" spans="1:17" x14ac:dyDescent="0.25">
      <c r="A1092" s="3">
        <v>10108</v>
      </c>
      <c r="B1092" s="3">
        <v>26</v>
      </c>
      <c r="C1092" s="3">
        <v>68.349999999999994</v>
      </c>
      <c r="D1092" s="3">
        <v>1777.1</v>
      </c>
      <c r="E1092" s="3" t="str">
        <f t="shared" si="69"/>
        <v>Low</v>
      </c>
      <c r="F1092" s="3">
        <f t="shared" si="70"/>
        <v>533.13</v>
      </c>
      <c r="G1092" s="4">
        <v>37683</v>
      </c>
      <c r="H1092" s="3" t="s">
        <v>25</v>
      </c>
      <c r="I1092" s="3" t="str">
        <f t="shared" si="68"/>
        <v>Yes</v>
      </c>
      <c r="J1092" s="3" t="s">
        <v>691</v>
      </c>
      <c r="K1092" s="3">
        <v>2003</v>
      </c>
      <c r="L1092" s="3" t="str">
        <f t="shared" si="71"/>
        <v>Mar-2003</v>
      </c>
      <c r="M1092" s="3" t="s">
        <v>181</v>
      </c>
      <c r="N1092" s="3" t="s">
        <v>425</v>
      </c>
      <c r="O1092" s="3" t="s">
        <v>430</v>
      </c>
      <c r="P1092" s="3" t="s">
        <v>675</v>
      </c>
      <c r="Q1092" s="3" t="s">
        <v>36</v>
      </c>
    </row>
    <row r="1093" spans="1:17" x14ac:dyDescent="0.25">
      <c r="A1093" s="5">
        <v>10122</v>
      </c>
      <c r="B1093" s="5">
        <v>21</v>
      </c>
      <c r="C1093" s="5">
        <v>73.17</v>
      </c>
      <c r="D1093" s="5">
        <v>1536.57</v>
      </c>
      <c r="E1093" s="5" t="str">
        <f t="shared" si="69"/>
        <v>Low</v>
      </c>
      <c r="F1093" s="5">
        <f t="shared" si="70"/>
        <v>460.97099999999995</v>
      </c>
      <c r="G1093" s="6">
        <v>37749</v>
      </c>
      <c r="H1093" s="5" t="s">
        <v>25</v>
      </c>
      <c r="I1093" s="5" t="str">
        <f t="shared" si="68"/>
        <v>Yes</v>
      </c>
      <c r="J1093" s="5" t="s">
        <v>682</v>
      </c>
      <c r="K1093" s="5">
        <v>2003</v>
      </c>
      <c r="L1093" s="5" t="str">
        <f t="shared" si="71"/>
        <v>May-2003</v>
      </c>
      <c r="M1093" s="5" t="s">
        <v>181</v>
      </c>
      <c r="N1093" s="5" t="s">
        <v>433</v>
      </c>
      <c r="O1093" s="5" t="s">
        <v>41</v>
      </c>
      <c r="P1093" s="5" t="s">
        <v>42</v>
      </c>
      <c r="Q1093" s="5" t="s">
        <v>36</v>
      </c>
    </row>
    <row r="1094" spans="1:17" x14ac:dyDescent="0.25">
      <c r="A1094" s="3">
        <v>10135</v>
      </c>
      <c r="B1094" s="3">
        <v>45</v>
      </c>
      <c r="C1094" s="3">
        <v>78</v>
      </c>
      <c r="D1094" s="3">
        <v>3510</v>
      </c>
      <c r="E1094" s="3" t="str">
        <f t="shared" si="69"/>
        <v>Medium</v>
      </c>
      <c r="F1094" s="3">
        <f t="shared" si="70"/>
        <v>1053</v>
      </c>
      <c r="G1094" s="4">
        <v>37804</v>
      </c>
      <c r="H1094" s="3" t="s">
        <v>25</v>
      </c>
      <c r="I1094" s="3" t="str">
        <f t="shared" si="68"/>
        <v>Yes</v>
      </c>
      <c r="J1094" s="3" t="s">
        <v>683</v>
      </c>
      <c r="K1094" s="3">
        <v>2003</v>
      </c>
      <c r="L1094" s="3" t="str">
        <f t="shared" si="71"/>
        <v>Jul-2003</v>
      </c>
      <c r="M1094" s="3" t="s">
        <v>181</v>
      </c>
      <c r="N1094" s="3" t="s">
        <v>272</v>
      </c>
      <c r="O1094" s="3" t="s">
        <v>32</v>
      </c>
      <c r="P1094" s="3" t="s">
        <v>33</v>
      </c>
      <c r="Q1094" s="3" t="s">
        <v>51</v>
      </c>
    </row>
    <row r="1095" spans="1:17" x14ac:dyDescent="0.25">
      <c r="A1095" s="5">
        <v>10147</v>
      </c>
      <c r="B1095" s="5">
        <v>36</v>
      </c>
      <c r="C1095" s="5">
        <v>86.04</v>
      </c>
      <c r="D1095" s="5">
        <v>3097.44</v>
      </c>
      <c r="E1095" s="5" t="str">
        <f t="shared" si="69"/>
        <v>Medium</v>
      </c>
      <c r="F1095" s="5">
        <f t="shared" si="70"/>
        <v>929.23199999999997</v>
      </c>
      <c r="G1095" s="6">
        <v>37869</v>
      </c>
      <c r="H1095" s="5" t="s">
        <v>25</v>
      </c>
      <c r="I1095" s="5" t="str">
        <f t="shared" si="68"/>
        <v>Yes</v>
      </c>
      <c r="J1095" s="5" t="s">
        <v>690</v>
      </c>
      <c r="K1095" s="5">
        <v>2003</v>
      </c>
      <c r="L1095" s="5" t="str">
        <f t="shared" si="71"/>
        <v>Sep-2003</v>
      </c>
      <c r="M1095" s="5" t="s">
        <v>181</v>
      </c>
      <c r="N1095" s="5" t="s">
        <v>281</v>
      </c>
      <c r="O1095" s="5" t="s">
        <v>32</v>
      </c>
      <c r="P1095" s="5" t="s">
        <v>33</v>
      </c>
      <c r="Q1095" s="5" t="s">
        <v>51</v>
      </c>
    </row>
    <row r="1096" spans="1:17" x14ac:dyDescent="0.25">
      <c r="A1096" s="3">
        <v>10159</v>
      </c>
      <c r="B1096" s="3">
        <v>21</v>
      </c>
      <c r="C1096" s="3">
        <v>81.209999999999994</v>
      </c>
      <c r="D1096" s="3">
        <v>1705.4099999999999</v>
      </c>
      <c r="E1096" s="3" t="str">
        <f t="shared" si="69"/>
        <v>Low</v>
      </c>
      <c r="F1096" s="3">
        <f t="shared" si="70"/>
        <v>511.62299999999993</v>
      </c>
      <c r="G1096" s="4">
        <v>37904</v>
      </c>
      <c r="H1096" s="3" t="s">
        <v>25</v>
      </c>
      <c r="I1096" s="3" t="str">
        <f t="shared" si="68"/>
        <v>Yes</v>
      </c>
      <c r="J1096" s="3" t="s">
        <v>685</v>
      </c>
      <c r="K1096" s="3">
        <v>2003</v>
      </c>
      <c r="L1096" s="3" t="str">
        <f t="shared" si="71"/>
        <v>Oct-2003</v>
      </c>
      <c r="M1096" s="3" t="s">
        <v>181</v>
      </c>
      <c r="N1096" s="3" t="s">
        <v>58</v>
      </c>
      <c r="O1096" s="3" t="s">
        <v>32</v>
      </c>
      <c r="P1096" s="3" t="s">
        <v>33</v>
      </c>
      <c r="Q1096" s="3" t="s">
        <v>36</v>
      </c>
    </row>
    <row r="1097" spans="1:17" x14ac:dyDescent="0.25">
      <c r="A1097" s="5">
        <v>10169</v>
      </c>
      <c r="B1097" s="5">
        <v>32</v>
      </c>
      <c r="C1097" s="5">
        <v>70.760000000000005</v>
      </c>
      <c r="D1097" s="5">
        <v>2264.3200000000002</v>
      </c>
      <c r="E1097" s="5" t="str">
        <f t="shared" si="69"/>
        <v>Medium</v>
      </c>
      <c r="F1097" s="5">
        <f t="shared" si="70"/>
        <v>679.29600000000005</v>
      </c>
      <c r="G1097" s="6">
        <v>37929</v>
      </c>
      <c r="H1097" s="5" t="s">
        <v>25</v>
      </c>
      <c r="I1097" s="5" t="str">
        <f t="shared" si="68"/>
        <v>Yes</v>
      </c>
      <c r="J1097" s="5" t="s">
        <v>686</v>
      </c>
      <c r="K1097" s="5">
        <v>2003</v>
      </c>
      <c r="L1097" s="5" t="str">
        <f t="shared" si="71"/>
        <v>Nov-2003</v>
      </c>
      <c r="M1097" s="5" t="s">
        <v>181</v>
      </c>
      <c r="N1097" s="5" t="s">
        <v>285</v>
      </c>
      <c r="O1097" s="5" t="s">
        <v>95</v>
      </c>
      <c r="P1097" s="5" t="s">
        <v>96</v>
      </c>
      <c r="Q1097" s="5" t="s">
        <v>36</v>
      </c>
    </row>
    <row r="1098" spans="1:17" x14ac:dyDescent="0.25">
      <c r="A1098" s="3">
        <v>10181</v>
      </c>
      <c r="B1098" s="3">
        <v>30</v>
      </c>
      <c r="C1098" s="3">
        <v>82.82</v>
      </c>
      <c r="D1098" s="3">
        <v>2484.6</v>
      </c>
      <c r="E1098" s="3" t="str">
        <f t="shared" si="69"/>
        <v>Medium</v>
      </c>
      <c r="F1098" s="3">
        <f t="shared" si="70"/>
        <v>745.38</v>
      </c>
      <c r="G1098" s="4">
        <v>37937</v>
      </c>
      <c r="H1098" s="3" t="s">
        <v>25</v>
      </c>
      <c r="I1098" s="3" t="str">
        <f t="shared" si="68"/>
        <v>Yes</v>
      </c>
      <c r="J1098" s="3" t="s">
        <v>686</v>
      </c>
      <c r="K1098" s="3">
        <v>2003</v>
      </c>
      <c r="L1098" s="3" t="str">
        <f t="shared" si="71"/>
        <v>Nov-2003</v>
      </c>
      <c r="M1098" s="3" t="s">
        <v>181</v>
      </c>
      <c r="N1098" s="3" t="s">
        <v>73</v>
      </c>
      <c r="O1098" s="3" t="s">
        <v>78</v>
      </c>
      <c r="P1098" s="3" t="s">
        <v>42</v>
      </c>
      <c r="Q1098" s="3" t="s">
        <v>36</v>
      </c>
    </row>
    <row r="1099" spans="1:17" x14ac:dyDescent="0.25">
      <c r="A1099" s="5">
        <v>10191</v>
      </c>
      <c r="B1099" s="5">
        <v>36</v>
      </c>
      <c r="C1099" s="5">
        <v>94.88</v>
      </c>
      <c r="D1099" s="5">
        <v>3415.68</v>
      </c>
      <c r="E1099" s="5" t="str">
        <f t="shared" si="69"/>
        <v>Medium</v>
      </c>
      <c r="F1099" s="5">
        <f t="shared" si="70"/>
        <v>1024.704</v>
      </c>
      <c r="G1099" s="6">
        <v>37945</v>
      </c>
      <c r="H1099" s="5" t="s">
        <v>25</v>
      </c>
      <c r="I1099" s="5" t="str">
        <f t="shared" si="68"/>
        <v>Yes</v>
      </c>
      <c r="J1099" s="5" t="s">
        <v>686</v>
      </c>
      <c r="K1099" s="5">
        <v>2003</v>
      </c>
      <c r="L1099" s="5" t="str">
        <f t="shared" si="71"/>
        <v>Nov-2003</v>
      </c>
      <c r="M1099" s="5" t="s">
        <v>181</v>
      </c>
      <c r="N1099" s="5" t="s">
        <v>439</v>
      </c>
      <c r="O1099" s="5" t="s">
        <v>443</v>
      </c>
      <c r="P1099" s="5" t="s">
        <v>42</v>
      </c>
      <c r="Q1099" s="5" t="s">
        <v>51</v>
      </c>
    </row>
    <row r="1100" spans="1:17" x14ac:dyDescent="0.25">
      <c r="A1100" s="3">
        <v>10203</v>
      </c>
      <c r="B1100" s="3">
        <v>33</v>
      </c>
      <c r="C1100" s="3">
        <v>86.04</v>
      </c>
      <c r="D1100" s="3">
        <v>2839.32</v>
      </c>
      <c r="E1100" s="3" t="str">
        <f t="shared" si="69"/>
        <v>Medium</v>
      </c>
      <c r="F1100" s="3">
        <f t="shared" si="70"/>
        <v>851.79600000000005</v>
      </c>
      <c r="G1100" s="4">
        <v>37957</v>
      </c>
      <c r="H1100" s="3" t="s">
        <v>25</v>
      </c>
      <c r="I1100" s="3" t="str">
        <f t="shared" si="68"/>
        <v>Yes</v>
      </c>
      <c r="J1100" s="3" t="s">
        <v>687</v>
      </c>
      <c r="K1100" s="3">
        <v>2003</v>
      </c>
      <c r="L1100" s="3" t="str">
        <f t="shared" si="71"/>
        <v>Dec-2003</v>
      </c>
      <c r="M1100" s="3" t="s">
        <v>181</v>
      </c>
      <c r="N1100" s="3" t="s">
        <v>174</v>
      </c>
      <c r="O1100" s="3" t="s">
        <v>178</v>
      </c>
      <c r="P1100" s="3" t="s">
        <v>42</v>
      </c>
      <c r="Q1100" s="3" t="s">
        <v>36</v>
      </c>
    </row>
    <row r="1101" spans="1:17" x14ac:dyDescent="0.25">
      <c r="A1101" s="5">
        <v>10211</v>
      </c>
      <c r="B1101" s="5">
        <v>35</v>
      </c>
      <c r="C1101" s="5">
        <v>78</v>
      </c>
      <c r="D1101" s="5">
        <v>2730</v>
      </c>
      <c r="E1101" s="5" t="str">
        <f t="shared" si="69"/>
        <v>Medium</v>
      </c>
      <c r="F1101" s="5">
        <f t="shared" si="70"/>
        <v>819</v>
      </c>
      <c r="G1101" s="6">
        <v>38001</v>
      </c>
      <c r="H1101" s="5" t="s">
        <v>25</v>
      </c>
      <c r="I1101" s="5" t="str">
        <f t="shared" si="68"/>
        <v>Yes</v>
      </c>
      <c r="J1101" s="5" t="s">
        <v>549</v>
      </c>
      <c r="K1101" s="5">
        <v>2004</v>
      </c>
      <c r="L1101" s="5" t="str">
        <f t="shared" si="71"/>
        <v>Jan-2004</v>
      </c>
      <c r="M1101" s="5" t="s">
        <v>181</v>
      </c>
      <c r="N1101" s="5" t="s">
        <v>84</v>
      </c>
      <c r="O1101" s="5" t="s">
        <v>41</v>
      </c>
      <c r="P1101" s="5" t="s">
        <v>42</v>
      </c>
      <c r="Q1101" s="5" t="s">
        <v>36</v>
      </c>
    </row>
    <row r="1102" spans="1:17" x14ac:dyDescent="0.25">
      <c r="A1102" s="3">
        <v>10225</v>
      </c>
      <c r="B1102" s="3">
        <v>37</v>
      </c>
      <c r="C1102" s="3">
        <v>95.69</v>
      </c>
      <c r="D1102" s="3">
        <v>3540.5299999999997</v>
      </c>
      <c r="E1102" s="3" t="str">
        <f t="shared" si="69"/>
        <v>Medium</v>
      </c>
      <c r="F1102" s="3">
        <f t="shared" si="70"/>
        <v>1062.1589999999999</v>
      </c>
      <c r="G1102" s="4">
        <v>38039</v>
      </c>
      <c r="H1102" s="3" t="s">
        <v>25</v>
      </c>
      <c r="I1102" s="3" t="str">
        <f t="shared" si="68"/>
        <v>Yes</v>
      </c>
      <c r="J1102" s="3" t="s">
        <v>681</v>
      </c>
      <c r="K1102" s="3">
        <v>2004</v>
      </c>
      <c r="L1102" s="3" t="str">
        <f t="shared" si="71"/>
        <v>Feb-2004</v>
      </c>
      <c r="M1102" s="3" t="s">
        <v>181</v>
      </c>
      <c r="N1102" s="3" t="s">
        <v>446</v>
      </c>
      <c r="O1102" s="3" t="s">
        <v>450</v>
      </c>
      <c r="P1102" s="3" t="s">
        <v>42</v>
      </c>
      <c r="Q1102" s="3" t="s">
        <v>51</v>
      </c>
    </row>
    <row r="1103" spans="1:17" x14ac:dyDescent="0.25">
      <c r="A1103" s="5">
        <v>10238</v>
      </c>
      <c r="B1103" s="5">
        <v>41</v>
      </c>
      <c r="C1103" s="5">
        <v>73.17</v>
      </c>
      <c r="D1103" s="5">
        <v>2999.9700000000003</v>
      </c>
      <c r="E1103" s="5" t="str">
        <f t="shared" si="69"/>
        <v>Medium</v>
      </c>
      <c r="F1103" s="5">
        <f t="shared" si="70"/>
        <v>899.9910000000001</v>
      </c>
      <c r="G1103" s="6">
        <v>38086</v>
      </c>
      <c r="H1103" s="5" t="s">
        <v>25</v>
      </c>
      <c r="I1103" s="5" t="str">
        <f t="shared" si="68"/>
        <v>Yes</v>
      </c>
      <c r="J1103" s="5" t="s">
        <v>688</v>
      </c>
      <c r="K1103" s="5">
        <v>2004</v>
      </c>
      <c r="L1103" s="5" t="str">
        <f t="shared" si="71"/>
        <v>Apr-2004</v>
      </c>
      <c r="M1103" s="5" t="s">
        <v>181</v>
      </c>
      <c r="N1103" s="5" t="s">
        <v>322</v>
      </c>
      <c r="O1103" s="5" t="s">
        <v>326</v>
      </c>
      <c r="P1103" s="5" t="s">
        <v>42</v>
      </c>
      <c r="Q1103" s="5" t="s">
        <v>36</v>
      </c>
    </row>
    <row r="1104" spans="1:17" x14ac:dyDescent="0.25">
      <c r="A1104" s="3">
        <v>10252</v>
      </c>
      <c r="B1104" s="3">
        <v>20</v>
      </c>
      <c r="C1104" s="3">
        <v>76.39</v>
      </c>
      <c r="D1104" s="3">
        <v>1527.8</v>
      </c>
      <c r="E1104" s="3" t="str">
        <f t="shared" si="69"/>
        <v>Low</v>
      </c>
      <c r="F1104" s="3">
        <f t="shared" si="70"/>
        <v>458.34</v>
      </c>
      <c r="G1104" s="4">
        <v>38133</v>
      </c>
      <c r="H1104" s="3" t="s">
        <v>25</v>
      </c>
      <c r="I1104" s="3" t="str">
        <f t="shared" si="68"/>
        <v>Yes</v>
      </c>
      <c r="J1104" s="3" t="s">
        <v>682</v>
      </c>
      <c r="K1104" s="3">
        <v>2004</v>
      </c>
      <c r="L1104" s="3" t="str">
        <f t="shared" si="71"/>
        <v>May-2004</v>
      </c>
      <c r="M1104" s="3" t="s">
        <v>181</v>
      </c>
      <c r="N1104" s="3" t="s">
        <v>84</v>
      </c>
      <c r="O1104" s="3" t="s">
        <v>41</v>
      </c>
      <c r="P1104" s="3" t="s">
        <v>42</v>
      </c>
      <c r="Q1104" s="3" t="s">
        <v>36</v>
      </c>
    </row>
    <row r="1105" spans="1:17" x14ac:dyDescent="0.25">
      <c r="A1105" s="5">
        <v>10265</v>
      </c>
      <c r="B1105" s="5">
        <v>45</v>
      </c>
      <c r="C1105" s="5">
        <v>86.84</v>
      </c>
      <c r="D1105" s="5">
        <v>3907.8</v>
      </c>
      <c r="E1105" s="5" t="str">
        <f t="shared" si="69"/>
        <v>Medium</v>
      </c>
      <c r="F1105" s="5">
        <f t="shared" si="70"/>
        <v>1172.3399999999999</v>
      </c>
      <c r="G1105" s="6">
        <v>38170</v>
      </c>
      <c r="H1105" s="5" t="s">
        <v>25</v>
      </c>
      <c r="I1105" s="5" t="str">
        <f t="shared" si="68"/>
        <v>Yes</v>
      </c>
      <c r="J1105" s="5" t="s">
        <v>683</v>
      </c>
      <c r="K1105" s="5">
        <v>2004</v>
      </c>
      <c r="L1105" s="5" t="str">
        <f t="shared" si="71"/>
        <v>Jul-2004</v>
      </c>
      <c r="M1105" s="5" t="s">
        <v>181</v>
      </c>
      <c r="N1105" s="5" t="s">
        <v>558</v>
      </c>
      <c r="O1105" s="5" t="s">
        <v>95</v>
      </c>
      <c r="P1105" s="5" t="s">
        <v>96</v>
      </c>
      <c r="Q1105" s="5" t="s">
        <v>51</v>
      </c>
    </row>
    <row r="1106" spans="1:17" x14ac:dyDescent="0.25">
      <c r="A1106" s="3">
        <v>10276</v>
      </c>
      <c r="B1106" s="3">
        <v>38</v>
      </c>
      <c r="C1106" s="3">
        <v>69.959999999999994</v>
      </c>
      <c r="D1106" s="3">
        <v>2658.4799999999996</v>
      </c>
      <c r="E1106" s="3" t="str">
        <f t="shared" si="69"/>
        <v>Medium</v>
      </c>
      <c r="F1106" s="3">
        <f t="shared" si="70"/>
        <v>797.54399999999987</v>
      </c>
      <c r="G1106" s="4">
        <v>38201</v>
      </c>
      <c r="H1106" s="3" t="s">
        <v>25</v>
      </c>
      <c r="I1106" s="3" t="str">
        <f t="shared" si="68"/>
        <v>Yes</v>
      </c>
      <c r="J1106" s="3" t="s">
        <v>684</v>
      </c>
      <c r="K1106" s="3">
        <v>2004</v>
      </c>
      <c r="L1106" s="3" t="str">
        <f t="shared" si="71"/>
        <v>Aug-2004</v>
      </c>
      <c r="M1106" s="3" t="s">
        <v>181</v>
      </c>
      <c r="N1106" s="3" t="s">
        <v>458</v>
      </c>
      <c r="O1106" s="3" t="s">
        <v>32</v>
      </c>
      <c r="P1106" s="3" t="s">
        <v>33</v>
      </c>
      <c r="Q1106" s="3" t="s">
        <v>36</v>
      </c>
    </row>
    <row r="1107" spans="1:17" x14ac:dyDescent="0.25">
      <c r="A1107" s="5">
        <v>10287</v>
      </c>
      <c r="B1107" s="5">
        <v>43</v>
      </c>
      <c r="C1107" s="5">
        <v>70.760000000000005</v>
      </c>
      <c r="D1107" s="5">
        <v>3042.6800000000003</v>
      </c>
      <c r="E1107" s="5" t="str">
        <f t="shared" si="69"/>
        <v>Medium</v>
      </c>
      <c r="F1107" s="5">
        <f t="shared" si="70"/>
        <v>912.80400000000009</v>
      </c>
      <c r="G1107" s="6">
        <v>38229</v>
      </c>
      <c r="H1107" s="5" t="s">
        <v>25</v>
      </c>
      <c r="I1107" s="5" t="str">
        <f t="shared" si="68"/>
        <v>Yes</v>
      </c>
      <c r="J1107" s="5" t="s">
        <v>684</v>
      </c>
      <c r="K1107" s="5">
        <v>2004</v>
      </c>
      <c r="L1107" s="5" t="str">
        <f t="shared" si="71"/>
        <v>Aug-2004</v>
      </c>
      <c r="M1107" s="5" t="s">
        <v>181</v>
      </c>
      <c r="N1107" s="5" t="s">
        <v>446</v>
      </c>
      <c r="O1107" s="5" t="s">
        <v>450</v>
      </c>
      <c r="P1107" s="5" t="s">
        <v>42</v>
      </c>
      <c r="Q1107" s="5" t="s">
        <v>51</v>
      </c>
    </row>
    <row r="1108" spans="1:17" x14ac:dyDescent="0.25">
      <c r="A1108" s="3">
        <v>10300</v>
      </c>
      <c r="B1108" s="3">
        <v>49</v>
      </c>
      <c r="C1108" s="3">
        <v>78.8</v>
      </c>
      <c r="D1108" s="3">
        <v>3861.2</v>
      </c>
      <c r="E1108" s="3" t="str">
        <f t="shared" si="69"/>
        <v>Medium</v>
      </c>
      <c r="F1108" s="3">
        <f t="shared" si="70"/>
        <v>1158.3599999999999</v>
      </c>
      <c r="G1108" s="4">
        <v>37898</v>
      </c>
      <c r="H1108" s="3" t="s">
        <v>25</v>
      </c>
      <c r="I1108" s="3" t="str">
        <f t="shared" si="68"/>
        <v>Yes</v>
      </c>
      <c r="J1108" s="3" t="s">
        <v>685</v>
      </c>
      <c r="K1108" s="3">
        <v>2003</v>
      </c>
      <c r="L1108" s="3" t="str">
        <f t="shared" si="71"/>
        <v>Oct-2003</v>
      </c>
      <c r="M1108" s="3" t="s">
        <v>181</v>
      </c>
      <c r="N1108" s="3" t="s">
        <v>462</v>
      </c>
      <c r="O1108" s="3" t="s">
        <v>443</v>
      </c>
      <c r="P1108" s="3" t="s">
        <v>42</v>
      </c>
      <c r="Q1108" s="3" t="s">
        <v>51</v>
      </c>
    </row>
    <row r="1109" spans="1:17" x14ac:dyDescent="0.25">
      <c r="A1109" s="5">
        <v>10310</v>
      </c>
      <c r="B1109" s="5">
        <v>27</v>
      </c>
      <c r="C1109" s="5">
        <v>80.41</v>
      </c>
      <c r="D1109" s="5">
        <v>2171.0699999999997</v>
      </c>
      <c r="E1109" s="5" t="str">
        <f t="shared" si="69"/>
        <v>Medium</v>
      </c>
      <c r="F1109" s="5">
        <f t="shared" si="70"/>
        <v>651.32099999999991</v>
      </c>
      <c r="G1109" s="6">
        <v>38276</v>
      </c>
      <c r="H1109" s="5" t="s">
        <v>25</v>
      </c>
      <c r="I1109" s="5" t="str">
        <f t="shared" si="68"/>
        <v>Yes</v>
      </c>
      <c r="J1109" s="5" t="s">
        <v>685</v>
      </c>
      <c r="K1109" s="5">
        <v>2004</v>
      </c>
      <c r="L1109" s="5" t="str">
        <f t="shared" si="71"/>
        <v>Oct-2004</v>
      </c>
      <c r="M1109" s="5" t="s">
        <v>181</v>
      </c>
      <c r="N1109" s="5" t="s">
        <v>439</v>
      </c>
      <c r="O1109" s="5" t="s">
        <v>443</v>
      </c>
      <c r="P1109" s="5" t="s">
        <v>42</v>
      </c>
      <c r="Q1109" s="5" t="s">
        <v>36</v>
      </c>
    </row>
    <row r="1110" spans="1:17" x14ac:dyDescent="0.25">
      <c r="A1110" s="3">
        <v>10319</v>
      </c>
      <c r="B1110" s="3">
        <v>46</v>
      </c>
      <c r="C1110" s="3">
        <v>73.98</v>
      </c>
      <c r="D1110" s="3">
        <v>3403.0800000000004</v>
      </c>
      <c r="E1110" s="3" t="str">
        <f t="shared" si="69"/>
        <v>Medium</v>
      </c>
      <c r="F1110" s="3">
        <f t="shared" si="70"/>
        <v>1020.9240000000001</v>
      </c>
      <c r="G1110" s="4">
        <v>38294</v>
      </c>
      <c r="H1110" s="3" t="s">
        <v>25</v>
      </c>
      <c r="I1110" s="3" t="str">
        <f t="shared" si="68"/>
        <v>Yes</v>
      </c>
      <c r="J1110" s="3" t="s">
        <v>686</v>
      </c>
      <c r="K1110" s="3">
        <v>2004</v>
      </c>
      <c r="L1110" s="3" t="str">
        <f t="shared" si="71"/>
        <v>Nov-2004</v>
      </c>
      <c r="M1110" s="3" t="s">
        <v>181</v>
      </c>
      <c r="N1110" s="3" t="s">
        <v>507</v>
      </c>
      <c r="O1110" s="3" t="s">
        <v>32</v>
      </c>
      <c r="P1110" s="3" t="s">
        <v>33</v>
      </c>
      <c r="Q1110" s="3" t="s">
        <v>51</v>
      </c>
    </row>
    <row r="1111" spans="1:17" x14ac:dyDescent="0.25">
      <c r="A1111" s="5">
        <v>10329</v>
      </c>
      <c r="B1111" s="5">
        <v>38</v>
      </c>
      <c r="C1111" s="5">
        <v>59.1</v>
      </c>
      <c r="D1111" s="5">
        <v>2245.8000000000002</v>
      </c>
      <c r="E1111" s="5" t="str">
        <f t="shared" si="69"/>
        <v>Medium</v>
      </c>
      <c r="F1111" s="5">
        <f t="shared" si="70"/>
        <v>673.74</v>
      </c>
      <c r="G1111" s="6">
        <v>38306</v>
      </c>
      <c r="H1111" s="5" t="s">
        <v>25</v>
      </c>
      <c r="I1111" s="5" t="str">
        <f t="shared" si="68"/>
        <v>Yes</v>
      </c>
      <c r="J1111" s="5" t="s">
        <v>686</v>
      </c>
      <c r="K1111" s="5">
        <v>2004</v>
      </c>
      <c r="L1111" s="5" t="str">
        <f t="shared" si="71"/>
        <v>Nov-2004</v>
      </c>
      <c r="M1111" s="5" t="s">
        <v>181</v>
      </c>
      <c r="N1111" s="5" t="s">
        <v>28</v>
      </c>
      <c r="O1111" s="5" t="s">
        <v>32</v>
      </c>
      <c r="P1111" s="5" t="s">
        <v>33</v>
      </c>
      <c r="Q1111" s="5" t="s">
        <v>36</v>
      </c>
    </row>
    <row r="1112" spans="1:17" x14ac:dyDescent="0.25">
      <c r="A1112" s="3">
        <v>10342</v>
      </c>
      <c r="B1112" s="3">
        <v>25</v>
      </c>
      <c r="C1112" s="3">
        <v>66.739999999999995</v>
      </c>
      <c r="D1112" s="3">
        <v>1668.4999999999998</v>
      </c>
      <c r="E1112" s="3" t="str">
        <f t="shared" si="69"/>
        <v>Low</v>
      </c>
      <c r="F1112" s="3">
        <f t="shared" si="70"/>
        <v>500.5499999999999</v>
      </c>
      <c r="G1112" s="4">
        <v>38315</v>
      </c>
      <c r="H1112" s="3" t="s">
        <v>25</v>
      </c>
      <c r="I1112" s="3" t="str">
        <f t="shared" si="68"/>
        <v>Yes</v>
      </c>
      <c r="J1112" s="3" t="s">
        <v>686</v>
      </c>
      <c r="K1112" s="3">
        <v>2004</v>
      </c>
      <c r="L1112" s="3" t="str">
        <f t="shared" si="71"/>
        <v>Nov-2004</v>
      </c>
      <c r="M1112" s="3" t="s">
        <v>181</v>
      </c>
      <c r="N1112" s="3" t="s">
        <v>89</v>
      </c>
      <c r="O1112" s="3" t="s">
        <v>95</v>
      </c>
      <c r="P1112" s="3" t="s">
        <v>96</v>
      </c>
      <c r="Q1112" s="3" t="s">
        <v>36</v>
      </c>
    </row>
    <row r="1113" spans="1:17" x14ac:dyDescent="0.25">
      <c r="A1113" s="5">
        <v>10363</v>
      </c>
      <c r="B1113" s="5">
        <v>46</v>
      </c>
      <c r="C1113" s="5">
        <v>60.3</v>
      </c>
      <c r="D1113" s="5">
        <v>2773.7999999999997</v>
      </c>
      <c r="E1113" s="5" t="str">
        <f t="shared" si="69"/>
        <v>Medium</v>
      </c>
      <c r="F1113" s="5">
        <f t="shared" si="70"/>
        <v>832.13999999999987</v>
      </c>
      <c r="G1113" s="6">
        <v>38358</v>
      </c>
      <c r="H1113" s="5" t="s">
        <v>25</v>
      </c>
      <c r="I1113" s="5" t="str">
        <f t="shared" si="68"/>
        <v>Yes</v>
      </c>
      <c r="J1113" s="5" t="s">
        <v>549</v>
      </c>
      <c r="K1113" s="5">
        <v>2005</v>
      </c>
      <c r="L1113" s="5" t="str">
        <f t="shared" si="71"/>
        <v>Jan-2005</v>
      </c>
      <c r="M1113" s="5" t="s">
        <v>181</v>
      </c>
      <c r="N1113" s="5" t="s">
        <v>467</v>
      </c>
      <c r="O1113" s="5" t="s">
        <v>130</v>
      </c>
      <c r="P1113" s="5" t="s">
        <v>42</v>
      </c>
      <c r="Q1113" s="5" t="s">
        <v>36</v>
      </c>
    </row>
    <row r="1114" spans="1:17" x14ac:dyDescent="0.25">
      <c r="A1114" s="3">
        <v>10378</v>
      </c>
      <c r="B1114" s="3">
        <v>22</v>
      </c>
      <c r="C1114" s="3">
        <v>100</v>
      </c>
      <c r="D1114" s="3">
        <v>2200</v>
      </c>
      <c r="E1114" s="3" t="str">
        <f t="shared" si="69"/>
        <v>Medium</v>
      </c>
      <c r="F1114" s="3">
        <f t="shared" si="70"/>
        <v>660</v>
      </c>
      <c r="G1114" s="4">
        <v>38393</v>
      </c>
      <c r="H1114" s="3" t="s">
        <v>25</v>
      </c>
      <c r="I1114" s="3" t="str">
        <f t="shared" si="68"/>
        <v>Yes</v>
      </c>
      <c r="J1114" s="3" t="s">
        <v>681</v>
      </c>
      <c r="K1114" s="3">
        <v>2005</v>
      </c>
      <c r="L1114" s="3" t="str">
        <f t="shared" si="71"/>
        <v>Feb-2005</v>
      </c>
      <c r="M1114" s="3" t="s">
        <v>181</v>
      </c>
      <c r="N1114" s="3" t="s">
        <v>174</v>
      </c>
      <c r="O1114" s="3" t="s">
        <v>178</v>
      </c>
      <c r="P1114" s="3" t="s">
        <v>42</v>
      </c>
      <c r="Q1114" s="3" t="s">
        <v>36</v>
      </c>
    </row>
    <row r="1115" spans="1:17" x14ac:dyDescent="0.25">
      <c r="A1115" s="5">
        <v>10390</v>
      </c>
      <c r="B1115" s="5">
        <v>40</v>
      </c>
      <c r="C1115" s="5">
        <v>100</v>
      </c>
      <c r="D1115" s="5">
        <v>4000</v>
      </c>
      <c r="E1115" s="5" t="str">
        <f t="shared" si="69"/>
        <v>Medium</v>
      </c>
      <c r="F1115" s="5">
        <f t="shared" si="70"/>
        <v>1200</v>
      </c>
      <c r="G1115" s="6">
        <v>38415</v>
      </c>
      <c r="H1115" s="5" t="s">
        <v>25</v>
      </c>
      <c r="I1115" s="5" t="str">
        <f t="shared" si="68"/>
        <v>Yes</v>
      </c>
      <c r="J1115" s="5" t="s">
        <v>691</v>
      </c>
      <c r="K1115" s="5">
        <v>2005</v>
      </c>
      <c r="L1115" s="5" t="str">
        <f t="shared" si="71"/>
        <v>Mar-2005</v>
      </c>
      <c r="M1115" s="5" t="s">
        <v>181</v>
      </c>
      <c r="N1115" s="5" t="s">
        <v>272</v>
      </c>
      <c r="O1115" s="5" t="s">
        <v>32</v>
      </c>
      <c r="P1115" s="5" t="s">
        <v>33</v>
      </c>
      <c r="Q1115" s="5" t="s">
        <v>51</v>
      </c>
    </row>
    <row r="1116" spans="1:17" x14ac:dyDescent="0.25">
      <c r="A1116" s="3">
        <v>10103</v>
      </c>
      <c r="B1116" s="3">
        <v>46</v>
      </c>
      <c r="C1116" s="3">
        <v>100</v>
      </c>
      <c r="D1116" s="3">
        <v>4600</v>
      </c>
      <c r="E1116" s="3" t="str">
        <f t="shared" si="69"/>
        <v>Medium</v>
      </c>
      <c r="F1116" s="3">
        <f t="shared" si="70"/>
        <v>1380</v>
      </c>
      <c r="G1116" s="4">
        <v>37650</v>
      </c>
      <c r="H1116" s="3" t="s">
        <v>25</v>
      </c>
      <c r="I1116" s="3" t="str">
        <f t="shared" si="68"/>
        <v>Yes</v>
      </c>
      <c r="J1116" s="3" t="s">
        <v>549</v>
      </c>
      <c r="K1116" s="3">
        <v>2003</v>
      </c>
      <c r="L1116" s="3" t="str">
        <f t="shared" si="71"/>
        <v>Jan-2003</v>
      </c>
      <c r="M1116" s="3" t="s">
        <v>550</v>
      </c>
      <c r="N1116" s="3" t="s">
        <v>133</v>
      </c>
      <c r="O1116" s="3" t="s">
        <v>78</v>
      </c>
      <c r="P1116" s="3" t="s">
        <v>42</v>
      </c>
      <c r="Q1116" s="3" t="s">
        <v>51</v>
      </c>
    </row>
    <row r="1117" spans="1:17" x14ac:dyDescent="0.25">
      <c r="A1117" s="5">
        <v>10111</v>
      </c>
      <c r="B1117" s="5">
        <v>39</v>
      </c>
      <c r="C1117" s="5">
        <v>100</v>
      </c>
      <c r="D1117" s="5">
        <v>3900</v>
      </c>
      <c r="E1117" s="5" t="str">
        <f t="shared" si="69"/>
        <v>Medium</v>
      </c>
      <c r="F1117" s="5">
        <f t="shared" si="70"/>
        <v>1170</v>
      </c>
      <c r="G1117" s="6">
        <v>37705</v>
      </c>
      <c r="H1117" s="5" t="s">
        <v>25</v>
      </c>
      <c r="I1117" s="5" t="str">
        <f t="shared" si="68"/>
        <v>Yes</v>
      </c>
      <c r="J1117" s="5" t="s">
        <v>691</v>
      </c>
      <c r="K1117" s="5">
        <v>2003</v>
      </c>
      <c r="L1117" s="5" t="str">
        <f t="shared" si="71"/>
        <v>Mar-2003</v>
      </c>
      <c r="M1117" s="5" t="s">
        <v>550</v>
      </c>
      <c r="N1117" s="5" t="s">
        <v>81</v>
      </c>
      <c r="O1117" s="5" t="s">
        <v>32</v>
      </c>
      <c r="P1117" s="5" t="s">
        <v>33</v>
      </c>
      <c r="Q1117" s="5" t="s">
        <v>51</v>
      </c>
    </row>
    <row r="1118" spans="1:17" x14ac:dyDescent="0.25">
      <c r="A1118" s="3">
        <v>10126</v>
      </c>
      <c r="B1118" s="3">
        <v>38</v>
      </c>
      <c r="C1118" s="3">
        <v>82.34</v>
      </c>
      <c r="D1118" s="3">
        <v>3128.92</v>
      </c>
      <c r="E1118" s="3" t="str">
        <f t="shared" si="69"/>
        <v>Medium</v>
      </c>
      <c r="F1118" s="3">
        <f t="shared" si="70"/>
        <v>938.67599999999993</v>
      </c>
      <c r="G1118" s="4">
        <v>37769</v>
      </c>
      <c r="H1118" s="3" t="s">
        <v>25</v>
      </c>
      <c r="I1118" s="3" t="str">
        <f t="shared" si="68"/>
        <v>Yes</v>
      </c>
      <c r="J1118" s="3" t="s">
        <v>682</v>
      </c>
      <c r="K1118" s="3">
        <v>2003</v>
      </c>
      <c r="L1118" s="3" t="str">
        <f t="shared" si="71"/>
        <v>May-2003</v>
      </c>
      <c r="M1118" s="3" t="s">
        <v>550</v>
      </c>
      <c r="N1118" s="3" t="s">
        <v>191</v>
      </c>
      <c r="O1118" s="3" t="s">
        <v>178</v>
      </c>
      <c r="P1118" s="3" t="s">
        <v>42</v>
      </c>
      <c r="Q1118" s="3" t="s">
        <v>51</v>
      </c>
    </row>
    <row r="1119" spans="1:17" x14ac:dyDescent="0.25">
      <c r="A1119" s="5">
        <v>10139</v>
      </c>
      <c r="B1119" s="5">
        <v>30</v>
      </c>
      <c r="C1119" s="5">
        <v>100</v>
      </c>
      <c r="D1119" s="5">
        <v>3000</v>
      </c>
      <c r="E1119" s="5" t="str">
        <f t="shared" si="69"/>
        <v>Medium</v>
      </c>
      <c r="F1119" s="5">
        <f t="shared" si="70"/>
        <v>900</v>
      </c>
      <c r="G1119" s="6">
        <v>37818</v>
      </c>
      <c r="H1119" s="5" t="s">
        <v>25</v>
      </c>
      <c r="I1119" s="5" t="str">
        <f t="shared" si="68"/>
        <v>Yes</v>
      </c>
      <c r="J1119" s="5" t="s">
        <v>683</v>
      </c>
      <c r="K1119" s="5">
        <v>2003</v>
      </c>
      <c r="L1119" s="5" t="str">
        <f t="shared" si="71"/>
        <v>Jul-2003</v>
      </c>
      <c r="M1119" s="5" t="s">
        <v>550</v>
      </c>
      <c r="N1119" s="5" t="s">
        <v>152</v>
      </c>
      <c r="O1119" s="5" t="s">
        <v>95</v>
      </c>
      <c r="P1119" s="5" t="s">
        <v>96</v>
      </c>
      <c r="Q1119" s="5" t="s">
        <v>51</v>
      </c>
    </row>
    <row r="1120" spans="1:17" x14ac:dyDescent="0.25">
      <c r="A1120" s="3">
        <v>10149</v>
      </c>
      <c r="B1120" s="3">
        <v>42</v>
      </c>
      <c r="C1120" s="3">
        <v>94.25</v>
      </c>
      <c r="D1120" s="3">
        <v>3958.5</v>
      </c>
      <c r="E1120" s="3" t="str">
        <f t="shared" si="69"/>
        <v>Medium</v>
      </c>
      <c r="F1120" s="3">
        <f t="shared" si="70"/>
        <v>1187.55</v>
      </c>
      <c r="G1120" s="4">
        <v>37876</v>
      </c>
      <c r="H1120" s="3" t="s">
        <v>25</v>
      </c>
      <c r="I1120" s="3" t="str">
        <f t="shared" si="68"/>
        <v>Yes</v>
      </c>
      <c r="J1120" s="3" t="s">
        <v>690</v>
      </c>
      <c r="K1120" s="3">
        <v>2003</v>
      </c>
      <c r="L1120" s="3" t="str">
        <f t="shared" si="71"/>
        <v>Sep-2003</v>
      </c>
      <c r="M1120" s="3" t="s">
        <v>550</v>
      </c>
      <c r="N1120" s="3" t="s">
        <v>526</v>
      </c>
      <c r="O1120" s="3" t="s">
        <v>32</v>
      </c>
      <c r="P1120" s="3" t="s">
        <v>33</v>
      </c>
      <c r="Q1120" s="3" t="s">
        <v>51</v>
      </c>
    </row>
    <row r="1121" spans="1:17" x14ac:dyDescent="0.25">
      <c r="A1121" s="5">
        <v>10163</v>
      </c>
      <c r="B1121" s="5">
        <v>43</v>
      </c>
      <c r="C1121" s="5">
        <v>100</v>
      </c>
      <c r="D1121" s="5">
        <v>4300</v>
      </c>
      <c r="E1121" s="5" t="str">
        <f t="shared" si="69"/>
        <v>Medium</v>
      </c>
      <c r="F1121" s="5">
        <f t="shared" si="70"/>
        <v>1290</v>
      </c>
      <c r="G1121" s="6">
        <v>37914</v>
      </c>
      <c r="H1121" s="5" t="s">
        <v>25</v>
      </c>
      <c r="I1121" s="5" t="str">
        <f t="shared" si="68"/>
        <v>Yes</v>
      </c>
      <c r="J1121" s="5" t="s">
        <v>685</v>
      </c>
      <c r="K1121" s="5">
        <v>2003</v>
      </c>
      <c r="L1121" s="5" t="str">
        <f t="shared" si="71"/>
        <v>Oct-2003</v>
      </c>
      <c r="M1121" s="5" t="s">
        <v>550</v>
      </c>
      <c r="N1121" s="5" t="s">
        <v>203</v>
      </c>
      <c r="O1121" s="5" t="s">
        <v>32</v>
      </c>
      <c r="P1121" s="5" t="s">
        <v>33</v>
      </c>
      <c r="Q1121" s="5" t="s">
        <v>51</v>
      </c>
    </row>
    <row r="1122" spans="1:17" x14ac:dyDescent="0.25">
      <c r="A1122" s="3">
        <v>10173</v>
      </c>
      <c r="B1122" s="3">
        <v>29</v>
      </c>
      <c r="C1122" s="3">
        <v>95.24</v>
      </c>
      <c r="D1122" s="3">
        <v>2761.96</v>
      </c>
      <c r="E1122" s="3" t="str">
        <f t="shared" si="69"/>
        <v>Medium</v>
      </c>
      <c r="F1122" s="3">
        <f t="shared" si="70"/>
        <v>828.58799999999997</v>
      </c>
      <c r="G1122" s="4">
        <v>37930</v>
      </c>
      <c r="H1122" s="3" t="s">
        <v>25</v>
      </c>
      <c r="I1122" s="3" t="str">
        <f t="shared" si="68"/>
        <v>Yes</v>
      </c>
      <c r="J1122" s="3" t="s">
        <v>686</v>
      </c>
      <c r="K1122" s="3">
        <v>2003</v>
      </c>
      <c r="L1122" s="3" t="str">
        <f t="shared" si="71"/>
        <v>Nov-2003</v>
      </c>
      <c r="M1122" s="3" t="s">
        <v>550</v>
      </c>
      <c r="N1122" s="3" t="s">
        <v>552</v>
      </c>
      <c r="O1122" s="3" t="s">
        <v>258</v>
      </c>
      <c r="P1122" s="3" t="s">
        <v>42</v>
      </c>
      <c r="Q1122" s="3" t="s">
        <v>36</v>
      </c>
    </row>
    <row r="1123" spans="1:17" x14ac:dyDescent="0.25">
      <c r="A1123" s="5">
        <v>10182</v>
      </c>
      <c r="B1123" s="5">
        <v>33</v>
      </c>
      <c r="C1123" s="5">
        <v>86.31</v>
      </c>
      <c r="D1123" s="5">
        <v>2848.23</v>
      </c>
      <c r="E1123" s="5" t="str">
        <f t="shared" si="69"/>
        <v>Medium</v>
      </c>
      <c r="F1123" s="5">
        <f t="shared" si="70"/>
        <v>854.46899999999994</v>
      </c>
      <c r="G1123" s="6">
        <v>37937</v>
      </c>
      <c r="H1123" s="5" t="s">
        <v>25</v>
      </c>
      <c r="I1123" s="5" t="str">
        <f t="shared" si="68"/>
        <v>Yes</v>
      </c>
      <c r="J1123" s="5" t="s">
        <v>686</v>
      </c>
      <c r="K1123" s="5">
        <v>2003</v>
      </c>
      <c r="L1123" s="5" t="str">
        <f t="shared" si="71"/>
        <v>Nov-2003</v>
      </c>
      <c r="M1123" s="5" t="s">
        <v>550</v>
      </c>
      <c r="N1123" s="5" t="s">
        <v>272</v>
      </c>
      <c r="O1123" s="5" t="s">
        <v>32</v>
      </c>
      <c r="P1123" s="5" t="s">
        <v>33</v>
      </c>
      <c r="Q1123" s="5" t="s">
        <v>36</v>
      </c>
    </row>
    <row r="1124" spans="1:17" x14ac:dyDescent="0.25">
      <c r="A1124" s="3">
        <v>10193</v>
      </c>
      <c r="B1124" s="3">
        <v>32</v>
      </c>
      <c r="C1124" s="3">
        <v>79.37</v>
      </c>
      <c r="D1124" s="3">
        <v>2539.84</v>
      </c>
      <c r="E1124" s="3" t="str">
        <f t="shared" si="69"/>
        <v>Medium</v>
      </c>
      <c r="F1124" s="3">
        <f t="shared" si="70"/>
        <v>761.952</v>
      </c>
      <c r="G1124" s="4">
        <v>37946</v>
      </c>
      <c r="H1124" s="3" t="s">
        <v>25</v>
      </c>
      <c r="I1124" s="3" t="str">
        <f t="shared" si="68"/>
        <v>Yes</v>
      </c>
      <c r="J1124" s="3" t="s">
        <v>686</v>
      </c>
      <c r="K1124" s="3">
        <v>2003</v>
      </c>
      <c r="L1124" s="3" t="str">
        <f t="shared" si="71"/>
        <v>Nov-2003</v>
      </c>
      <c r="M1124" s="3" t="s">
        <v>550</v>
      </c>
      <c r="N1124" s="3" t="s">
        <v>558</v>
      </c>
      <c r="O1124" s="3" t="s">
        <v>95</v>
      </c>
      <c r="P1124" s="3" t="s">
        <v>96</v>
      </c>
      <c r="Q1124" s="3" t="s">
        <v>36</v>
      </c>
    </row>
    <row r="1125" spans="1:17" x14ac:dyDescent="0.25">
      <c r="A1125" s="5">
        <v>10206</v>
      </c>
      <c r="B1125" s="5">
        <v>28</v>
      </c>
      <c r="C1125" s="5">
        <v>87.3</v>
      </c>
      <c r="D1125" s="5">
        <v>2444.4</v>
      </c>
      <c r="E1125" s="5" t="str">
        <f t="shared" si="69"/>
        <v>Medium</v>
      </c>
      <c r="F1125" s="5">
        <f t="shared" si="70"/>
        <v>733.32</v>
      </c>
      <c r="G1125" s="6">
        <v>37960</v>
      </c>
      <c r="H1125" s="5" t="s">
        <v>25</v>
      </c>
      <c r="I1125" s="5" t="str">
        <f t="shared" si="68"/>
        <v>Yes</v>
      </c>
      <c r="J1125" s="5" t="s">
        <v>687</v>
      </c>
      <c r="K1125" s="5">
        <v>2003</v>
      </c>
      <c r="L1125" s="5" t="str">
        <f t="shared" si="71"/>
        <v>Dec-2003</v>
      </c>
      <c r="M1125" s="5" t="s">
        <v>550</v>
      </c>
      <c r="N1125" s="5" t="s">
        <v>225</v>
      </c>
      <c r="O1125" s="5" t="s">
        <v>231</v>
      </c>
      <c r="P1125" s="5" t="s">
        <v>33</v>
      </c>
      <c r="Q1125" s="5" t="s">
        <v>36</v>
      </c>
    </row>
    <row r="1126" spans="1:17" x14ac:dyDescent="0.25">
      <c r="A1126" s="3">
        <v>10215</v>
      </c>
      <c r="B1126" s="3">
        <v>41</v>
      </c>
      <c r="C1126" s="3">
        <v>100</v>
      </c>
      <c r="D1126" s="3">
        <v>4100</v>
      </c>
      <c r="E1126" s="3" t="str">
        <f t="shared" si="69"/>
        <v>Medium</v>
      </c>
      <c r="F1126" s="3">
        <f t="shared" si="70"/>
        <v>1230</v>
      </c>
      <c r="G1126" s="4">
        <v>38015</v>
      </c>
      <c r="H1126" s="3" t="s">
        <v>25</v>
      </c>
      <c r="I1126" s="3" t="str">
        <f t="shared" si="68"/>
        <v>Yes</v>
      </c>
      <c r="J1126" s="3" t="s">
        <v>549</v>
      </c>
      <c r="K1126" s="3">
        <v>2004</v>
      </c>
      <c r="L1126" s="3" t="str">
        <f t="shared" si="71"/>
        <v>Jan-2004</v>
      </c>
      <c r="M1126" s="3" t="s">
        <v>550</v>
      </c>
      <c r="N1126" s="3" t="s">
        <v>234</v>
      </c>
      <c r="O1126" s="3" t="s">
        <v>32</v>
      </c>
      <c r="P1126" s="3" t="s">
        <v>33</v>
      </c>
      <c r="Q1126" s="3" t="s">
        <v>51</v>
      </c>
    </row>
    <row r="1127" spans="1:17" x14ac:dyDescent="0.25">
      <c r="A1127" s="5">
        <v>10227</v>
      </c>
      <c r="B1127" s="5">
        <v>33</v>
      </c>
      <c r="C1127" s="5">
        <v>100</v>
      </c>
      <c r="D1127" s="5">
        <v>3300</v>
      </c>
      <c r="E1127" s="5" t="str">
        <f t="shared" si="69"/>
        <v>Medium</v>
      </c>
      <c r="F1127" s="5">
        <f t="shared" si="70"/>
        <v>990</v>
      </c>
      <c r="G1127" s="6">
        <v>38048</v>
      </c>
      <c r="H1127" s="5" t="s">
        <v>25</v>
      </c>
      <c r="I1127" s="5" t="str">
        <f t="shared" si="68"/>
        <v>Yes</v>
      </c>
      <c r="J1127" s="5" t="s">
        <v>691</v>
      </c>
      <c r="K1127" s="5">
        <v>2004</v>
      </c>
      <c r="L1127" s="5" t="str">
        <f t="shared" si="71"/>
        <v>Mar-2004</v>
      </c>
      <c r="M1127" s="5" t="s">
        <v>550</v>
      </c>
      <c r="N1127" s="5" t="s">
        <v>219</v>
      </c>
      <c r="O1127" s="5" t="s">
        <v>41</v>
      </c>
      <c r="P1127" s="5" t="s">
        <v>42</v>
      </c>
      <c r="Q1127" s="5" t="s">
        <v>51</v>
      </c>
    </row>
    <row r="1128" spans="1:17" x14ac:dyDescent="0.25">
      <c r="A1128" s="3">
        <v>10244</v>
      </c>
      <c r="B1128" s="3">
        <v>36</v>
      </c>
      <c r="C1128" s="3">
        <v>84.33</v>
      </c>
      <c r="D1128" s="3">
        <v>3035.88</v>
      </c>
      <c r="E1128" s="3" t="str">
        <f t="shared" si="69"/>
        <v>Medium</v>
      </c>
      <c r="F1128" s="3">
        <f t="shared" si="70"/>
        <v>910.76400000000001</v>
      </c>
      <c r="G1128" s="4">
        <v>38106</v>
      </c>
      <c r="H1128" s="3" t="s">
        <v>25</v>
      </c>
      <c r="I1128" s="3" t="str">
        <f t="shared" si="68"/>
        <v>Yes</v>
      </c>
      <c r="J1128" s="3" t="s">
        <v>688</v>
      </c>
      <c r="K1128" s="3">
        <v>2004</v>
      </c>
      <c r="L1128" s="3" t="str">
        <f t="shared" si="71"/>
        <v>Apr-2004</v>
      </c>
      <c r="M1128" s="3" t="s">
        <v>550</v>
      </c>
      <c r="N1128" s="3" t="s">
        <v>174</v>
      </c>
      <c r="O1128" s="3" t="s">
        <v>178</v>
      </c>
      <c r="P1128" s="3" t="s">
        <v>42</v>
      </c>
      <c r="Q1128" s="3" t="s">
        <v>51</v>
      </c>
    </row>
    <row r="1129" spans="1:17" x14ac:dyDescent="0.25">
      <c r="A1129" s="5">
        <v>10257</v>
      </c>
      <c r="B1129" s="5">
        <v>26</v>
      </c>
      <c r="C1129" s="5">
        <v>89.29</v>
      </c>
      <c r="D1129" s="5">
        <v>2321.54</v>
      </c>
      <c r="E1129" s="5" t="str">
        <f t="shared" si="69"/>
        <v>Medium</v>
      </c>
      <c r="F1129" s="5">
        <f t="shared" si="70"/>
        <v>696.46199999999999</v>
      </c>
      <c r="G1129" s="6">
        <v>38152</v>
      </c>
      <c r="H1129" s="5" t="s">
        <v>25</v>
      </c>
      <c r="I1129" s="5" t="str">
        <f t="shared" si="68"/>
        <v>Yes</v>
      </c>
      <c r="J1129" s="5" t="s">
        <v>689</v>
      </c>
      <c r="K1129" s="5">
        <v>2004</v>
      </c>
      <c r="L1129" s="5" t="str">
        <f t="shared" si="71"/>
        <v>Jun-2004</v>
      </c>
      <c r="M1129" s="5" t="s">
        <v>550</v>
      </c>
      <c r="N1129" s="5" t="s">
        <v>397</v>
      </c>
      <c r="O1129" s="5" t="s">
        <v>32</v>
      </c>
      <c r="P1129" s="5" t="s">
        <v>33</v>
      </c>
      <c r="Q1129" s="5" t="s">
        <v>36</v>
      </c>
    </row>
    <row r="1130" spans="1:17" x14ac:dyDescent="0.25">
      <c r="A1130" s="3">
        <v>10280</v>
      </c>
      <c r="B1130" s="3">
        <v>34</v>
      </c>
      <c r="C1130" s="3">
        <v>100</v>
      </c>
      <c r="D1130" s="3">
        <v>3400</v>
      </c>
      <c r="E1130" s="3" t="str">
        <f t="shared" si="69"/>
        <v>Medium</v>
      </c>
      <c r="F1130" s="3">
        <f t="shared" si="70"/>
        <v>1020</v>
      </c>
      <c r="G1130" s="4">
        <v>38216</v>
      </c>
      <c r="H1130" s="3" t="s">
        <v>25</v>
      </c>
      <c r="I1130" s="3" t="str">
        <f t="shared" si="68"/>
        <v>Yes</v>
      </c>
      <c r="J1130" s="3" t="s">
        <v>684</v>
      </c>
      <c r="K1130" s="3">
        <v>2004</v>
      </c>
      <c r="L1130" s="3" t="str">
        <f t="shared" si="71"/>
        <v>Aug-2004</v>
      </c>
      <c r="M1130" s="3" t="s">
        <v>550</v>
      </c>
      <c r="N1130" s="3" t="s">
        <v>254</v>
      </c>
      <c r="O1130" s="3" t="s">
        <v>258</v>
      </c>
      <c r="P1130" s="3" t="s">
        <v>42</v>
      </c>
      <c r="Q1130" s="3" t="s">
        <v>51</v>
      </c>
    </row>
    <row r="1131" spans="1:17" x14ac:dyDescent="0.25">
      <c r="A1131" s="5">
        <v>10290</v>
      </c>
      <c r="B1131" s="5">
        <v>26</v>
      </c>
      <c r="C1131" s="5">
        <v>96.23</v>
      </c>
      <c r="D1131" s="5">
        <v>2501.98</v>
      </c>
      <c r="E1131" s="5" t="str">
        <f t="shared" si="69"/>
        <v>Medium</v>
      </c>
      <c r="F1131" s="5">
        <f t="shared" si="70"/>
        <v>750.59399999999994</v>
      </c>
      <c r="G1131" s="6">
        <v>38237</v>
      </c>
      <c r="H1131" s="5" t="s">
        <v>25</v>
      </c>
      <c r="I1131" s="5" t="str">
        <f t="shared" si="68"/>
        <v>Yes</v>
      </c>
      <c r="J1131" s="5" t="s">
        <v>690</v>
      </c>
      <c r="K1131" s="5">
        <v>2004</v>
      </c>
      <c r="L1131" s="5" t="str">
        <f t="shared" si="71"/>
        <v>Sep-2004</v>
      </c>
      <c r="M1131" s="5" t="s">
        <v>550</v>
      </c>
      <c r="N1131" s="5" t="s">
        <v>600</v>
      </c>
      <c r="O1131" s="5" t="s">
        <v>32</v>
      </c>
      <c r="P1131" s="5" t="s">
        <v>33</v>
      </c>
      <c r="Q1131" s="5" t="s">
        <v>36</v>
      </c>
    </row>
    <row r="1132" spans="1:17" x14ac:dyDescent="0.25">
      <c r="A1132" s="3">
        <v>10304</v>
      </c>
      <c r="B1132" s="3">
        <v>38</v>
      </c>
      <c r="C1132" s="3">
        <v>100</v>
      </c>
      <c r="D1132" s="3">
        <v>3800</v>
      </c>
      <c r="E1132" s="3" t="str">
        <f t="shared" si="69"/>
        <v>Medium</v>
      </c>
      <c r="F1132" s="3">
        <f t="shared" si="70"/>
        <v>1140</v>
      </c>
      <c r="G1132" s="4">
        <v>38271</v>
      </c>
      <c r="H1132" s="3" t="s">
        <v>25</v>
      </c>
      <c r="I1132" s="3" t="str">
        <f t="shared" si="68"/>
        <v>Yes</v>
      </c>
      <c r="J1132" s="3" t="s">
        <v>685</v>
      </c>
      <c r="K1132" s="3">
        <v>2004</v>
      </c>
      <c r="L1132" s="3" t="str">
        <f t="shared" si="71"/>
        <v>Oct-2004</v>
      </c>
      <c r="M1132" s="3" t="s">
        <v>550</v>
      </c>
      <c r="N1132" s="3" t="s">
        <v>267</v>
      </c>
      <c r="O1132" s="3" t="s">
        <v>41</v>
      </c>
      <c r="P1132" s="3" t="s">
        <v>42</v>
      </c>
      <c r="Q1132" s="3" t="s">
        <v>51</v>
      </c>
    </row>
    <row r="1133" spans="1:17" x14ac:dyDescent="0.25">
      <c r="A1133" s="5">
        <v>10312</v>
      </c>
      <c r="B1133" s="5">
        <v>33</v>
      </c>
      <c r="C1133" s="5">
        <v>100</v>
      </c>
      <c r="D1133" s="5">
        <v>3300</v>
      </c>
      <c r="E1133" s="5" t="str">
        <f t="shared" si="69"/>
        <v>Medium</v>
      </c>
      <c r="F1133" s="5">
        <f t="shared" si="70"/>
        <v>990</v>
      </c>
      <c r="G1133" s="6">
        <v>38281</v>
      </c>
      <c r="H1133" s="5" t="s">
        <v>25</v>
      </c>
      <c r="I1133" s="5" t="str">
        <f t="shared" si="68"/>
        <v>Yes</v>
      </c>
      <c r="J1133" s="5" t="s">
        <v>685</v>
      </c>
      <c r="K1133" s="5">
        <v>2004</v>
      </c>
      <c r="L1133" s="5" t="str">
        <f t="shared" si="71"/>
        <v>Oct-2004</v>
      </c>
      <c r="M1133" s="5" t="s">
        <v>550</v>
      </c>
      <c r="N1133" s="5" t="s">
        <v>272</v>
      </c>
      <c r="O1133" s="5" t="s">
        <v>32</v>
      </c>
      <c r="P1133" s="5" t="s">
        <v>33</v>
      </c>
      <c r="Q1133" s="5" t="s">
        <v>51</v>
      </c>
    </row>
    <row r="1134" spans="1:17" x14ac:dyDescent="0.25">
      <c r="A1134" s="3">
        <v>10323</v>
      </c>
      <c r="B1134" s="3">
        <v>33</v>
      </c>
      <c r="C1134" s="3">
        <v>91.27</v>
      </c>
      <c r="D1134" s="3">
        <v>3011.91</v>
      </c>
      <c r="E1134" s="3" t="str">
        <f t="shared" si="69"/>
        <v>Medium</v>
      </c>
      <c r="F1134" s="3">
        <f t="shared" si="70"/>
        <v>903.57299999999998</v>
      </c>
      <c r="G1134" s="4">
        <v>38296</v>
      </c>
      <c r="H1134" s="3" t="s">
        <v>25</v>
      </c>
      <c r="I1134" s="3" t="str">
        <f t="shared" si="68"/>
        <v>Yes</v>
      </c>
      <c r="J1134" s="3" t="s">
        <v>686</v>
      </c>
      <c r="K1134" s="3">
        <v>2004</v>
      </c>
      <c r="L1134" s="3" t="str">
        <f t="shared" si="71"/>
        <v>Nov-2004</v>
      </c>
      <c r="M1134" s="3" t="s">
        <v>550</v>
      </c>
      <c r="N1134" s="3" t="s">
        <v>462</v>
      </c>
      <c r="O1134" s="3" t="s">
        <v>443</v>
      </c>
      <c r="P1134" s="3" t="s">
        <v>42</v>
      </c>
      <c r="Q1134" s="3" t="s">
        <v>51</v>
      </c>
    </row>
    <row r="1135" spans="1:17" x14ac:dyDescent="0.25">
      <c r="A1135" s="5">
        <v>10333</v>
      </c>
      <c r="B1135" s="5">
        <v>46</v>
      </c>
      <c r="C1135" s="5">
        <v>100</v>
      </c>
      <c r="D1135" s="5">
        <v>4600</v>
      </c>
      <c r="E1135" s="5" t="str">
        <f t="shared" si="69"/>
        <v>Medium</v>
      </c>
      <c r="F1135" s="5">
        <f t="shared" si="70"/>
        <v>1380</v>
      </c>
      <c r="G1135" s="6">
        <v>38309</v>
      </c>
      <c r="H1135" s="5" t="s">
        <v>25</v>
      </c>
      <c r="I1135" s="5" t="str">
        <f t="shared" si="68"/>
        <v>Yes</v>
      </c>
      <c r="J1135" s="5" t="s">
        <v>686</v>
      </c>
      <c r="K1135" s="5">
        <v>2004</v>
      </c>
      <c r="L1135" s="5" t="str">
        <f t="shared" si="71"/>
        <v>Nov-2004</v>
      </c>
      <c r="M1135" s="5" t="s">
        <v>550</v>
      </c>
      <c r="N1135" s="5" t="s">
        <v>81</v>
      </c>
      <c r="O1135" s="5" t="s">
        <v>32</v>
      </c>
      <c r="P1135" s="5" t="s">
        <v>33</v>
      </c>
      <c r="Q1135" s="5" t="s">
        <v>151</v>
      </c>
    </row>
    <row r="1136" spans="1:17" x14ac:dyDescent="0.25">
      <c r="A1136" s="3">
        <v>10347</v>
      </c>
      <c r="B1136" s="3">
        <v>26</v>
      </c>
      <c r="C1136" s="3">
        <v>100</v>
      </c>
      <c r="D1136" s="3">
        <v>2600</v>
      </c>
      <c r="E1136" s="3" t="str">
        <f t="shared" si="69"/>
        <v>Medium</v>
      </c>
      <c r="F1136" s="3">
        <f t="shared" si="70"/>
        <v>780</v>
      </c>
      <c r="G1136" s="4">
        <v>38320</v>
      </c>
      <c r="H1136" s="3" t="s">
        <v>25</v>
      </c>
      <c r="I1136" s="3" t="str">
        <f t="shared" si="68"/>
        <v>Yes</v>
      </c>
      <c r="J1136" s="3" t="s">
        <v>686</v>
      </c>
      <c r="K1136" s="3">
        <v>2004</v>
      </c>
      <c r="L1136" s="3" t="str">
        <f t="shared" si="71"/>
        <v>Nov-2004</v>
      </c>
      <c r="M1136" s="3" t="s">
        <v>550</v>
      </c>
      <c r="N1136" s="3" t="s">
        <v>89</v>
      </c>
      <c r="O1136" s="3" t="s">
        <v>95</v>
      </c>
      <c r="P1136" s="3" t="s">
        <v>96</v>
      </c>
      <c r="Q1136" s="3" t="s">
        <v>36</v>
      </c>
    </row>
    <row r="1137" spans="1:17" x14ac:dyDescent="0.25">
      <c r="A1137" s="5">
        <v>10357</v>
      </c>
      <c r="B1137" s="5">
        <v>25</v>
      </c>
      <c r="C1137" s="5">
        <v>100</v>
      </c>
      <c r="D1137" s="5">
        <v>2500</v>
      </c>
      <c r="E1137" s="5" t="str">
        <f t="shared" si="69"/>
        <v>Medium</v>
      </c>
      <c r="F1137" s="5">
        <f t="shared" si="70"/>
        <v>750</v>
      </c>
      <c r="G1137" s="6">
        <v>38331</v>
      </c>
      <c r="H1137" s="5" t="s">
        <v>25</v>
      </c>
      <c r="I1137" s="5" t="str">
        <f t="shared" si="68"/>
        <v>Yes</v>
      </c>
      <c r="J1137" s="5" t="s">
        <v>687</v>
      </c>
      <c r="K1137" s="5">
        <v>2004</v>
      </c>
      <c r="L1137" s="5" t="str">
        <f t="shared" si="71"/>
        <v>Dec-2004</v>
      </c>
      <c r="M1137" s="5" t="s">
        <v>550</v>
      </c>
      <c r="N1137" s="5" t="s">
        <v>272</v>
      </c>
      <c r="O1137" s="5" t="s">
        <v>32</v>
      </c>
      <c r="P1137" s="5" t="s">
        <v>33</v>
      </c>
      <c r="Q1137" s="5" t="s">
        <v>36</v>
      </c>
    </row>
    <row r="1138" spans="1:17" x14ac:dyDescent="0.25">
      <c r="A1138" s="3">
        <v>10369</v>
      </c>
      <c r="B1138" s="3">
        <v>45</v>
      </c>
      <c r="C1138" s="3">
        <v>73.08</v>
      </c>
      <c r="D1138" s="3">
        <v>3288.6</v>
      </c>
      <c r="E1138" s="3" t="str">
        <f t="shared" si="69"/>
        <v>Medium</v>
      </c>
      <c r="F1138" s="3">
        <f t="shared" si="70"/>
        <v>986.57999999999993</v>
      </c>
      <c r="G1138" s="4">
        <v>38372</v>
      </c>
      <c r="H1138" s="3" t="s">
        <v>25</v>
      </c>
      <c r="I1138" s="3" t="str">
        <f t="shared" si="68"/>
        <v>Yes</v>
      </c>
      <c r="J1138" s="3" t="s">
        <v>549</v>
      </c>
      <c r="K1138" s="3">
        <v>2005</v>
      </c>
      <c r="L1138" s="3" t="str">
        <f t="shared" si="71"/>
        <v>Jan-2005</v>
      </c>
      <c r="M1138" s="3" t="s">
        <v>550</v>
      </c>
      <c r="N1138" s="3" t="s">
        <v>281</v>
      </c>
      <c r="O1138" s="3" t="s">
        <v>32</v>
      </c>
      <c r="P1138" s="3" t="s">
        <v>33</v>
      </c>
      <c r="Q1138" s="3" t="s">
        <v>51</v>
      </c>
    </row>
    <row r="1139" spans="1:17" x14ac:dyDescent="0.25">
      <c r="A1139" s="5">
        <v>10382</v>
      </c>
      <c r="B1139" s="5">
        <v>50</v>
      </c>
      <c r="C1139" s="5">
        <v>100</v>
      </c>
      <c r="D1139" s="5">
        <v>5000</v>
      </c>
      <c r="E1139" s="5" t="str">
        <f t="shared" si="69"/>
        <v>High</v>
      </c>
      <c r="F1139" s="5">
        <f t="shared" si="70"/>
        <v>1500</v>
      </c>
      <c r="G1139" s="6">
        <v>38400</v>
      </c>
      <c r="H1139" s="5" t="s">
        <v>25</v>
      </c>
      <c r="I1139" s="5" t="str">
        <f t="shared" si="68"/>
        <v>Yes</v>
      </c>
      <c r="J1139" s="5" t="s">
        <v>681</v>
      </c>
      <c r="K1139" s="5">
        <v>2005</v>
      </c>
      <c r="L1139" s="5" t="str">
        <f t="shared" si="71"/>
        <v>Feb-2005</v>
      </c>
      <c r="M1139" s="5" t="s">
        <v>550</v>
      </c>
      <c r="N1139" s="5" t="s">
        <v>272</v>
      </c>
      <c r="O1139" s="5" t="s">
        <v>32</v>
      </c>
      <c r="P1139" s="5" t="s">
        <v>33</v>
      </c>
      <c r="Q1139" s="5" t="s">
        <v>151</v>
      </c>
    </row>
    <row r="1140" spans="1:17" x14ac:dyDescent="0.25">
      <c r="A1140" s="3">
        <v>10392</v>
      </c>
      <c r="B1140" s="3">
        <v>36</v>
      </c>
      <c r="C1140" s="3">
        <v>100</v>
      </c>
      <c r="D1140" s="3">
        <v>3600</v>
      </c>
      <c r="E1140" s="3" t="str">
        <f t="shared" si="69"/>
        <v>Medium</v>
      </c>
      <c r="F1140" s="3">
        <f t="shared" si="70"/>
        <v>1080</v>
      </c>
      <c r="G1140" s="4">
        <v>38421</v>
      </c>
      <c r="H1140" s="3" t="s">
        <v>25</v>
      </c>
      <c r="I1140" s="3" t="str">
        <f t="shared" si="68"/>
        <v>Yes</v>
      </c>
      <c r="J1140" s="3" t="s">
        <v>691</v>
      </c>
      <c r="K1140" s="3">
        <v>2005</v>
      </c>
      <c r="L1140" s="3" t="str">
        <f t="shared" si="71"/>
        <v>Mar-2005</v>
      </c>
      <c r="M1140" s="3" t="s">
        <v>550</v>
      </c>
      <c r="N1140" s="3" t="s">
        <v>409</v>
      </c>
      <c r="O1140" s="3" t="s">
        <v>148</v>
      </c>
      <c r="P1140" s="3" t="s">
        <v>42</v>
      </c>
      <c r="Q1140" s="3" t="s">
        <v>51</v>
      </c>
    </row>
    <row r="1141" spans="1:17" x14ac:dyDescent="0.25">
      <c r="A1141" s="5">
        <v>10423</v>
      </c>
      <c r="B1141" s="5">
        <v>21</v>
      </c>
      <c r="C1141" s="5">
        <v>89.29</v>
      </c>
      <c r="D1141" s="5">
        <v>1875.0900000000001</v>
      </c>
      <c r="E1141" s="5" t="str">
        <f t="shared" si="69"/>
        <v>Low</v>
      </c>
      <c r="F1141" s="5">
        <f t="shared" si="70"/>
        <v>562.52700000000004</v>
      </c>
      <c r="G1141" s="6">
        <v>38502</v>
      </c>
      <c r="H1141" s="5" t="s">
        <v>300</v>
      </c>
      <c r="I1141" s="5" t="str">
        <f t="shared" si="68"/>
        <v>No</v>
      </c>
      <c r="J1141" s="5" t="s">
        <v>682</v>
      </c>
      <c r="K1141" s="5">
        <v>2005</v>
      </c>
      <c r="L1141" s="5" t="str">
        <f t="shared" si="71"/>
        <v>May-2005</v>
      </c>
      <c r="M1141" s="5" t="s">
        <v>550</v>
      </c>
      <c r="N1141" s="5" t="s">
        <v>365</v>
      </c>
      <c r="O1141" s="5" t="s">
        <v>370</v>
      </c>
      <c r="P1141" s="5" t="s">
        <v>42</v>
      </c>
      <c r="Q1141" s="5" t="s">
        <v>36</v>
      </c>
    </row>
    <row r="1142" spans="1:17" x14ac:dyDescent="0.25">
      <c r="A1142" s="3">
        <v>10108</v>
      </c>
      <c r="B1142" s="3">
        <v>29</v>
      </c>
      <c r="C1142" s="3">
        <v>100</v>
      </c>
      <c r="D1142" s="3">
        <v>2900</v>
      </c>
      <c r="E1142" s="3" t="str">
        <f t="shared" si="69"/>
        <v>Medium</v>
      </c>
      <c r="F1142" s="3">
        <f t="shared" si="70"/>
        <v>870</v>
      </c>
      <c r="G1142" s="4">
        <v>37683</v>
      </c>
      <c r="H1142" s="3" t="s">
        <v>25</v>
      </c>
      <c r="I1142" s="3" t="str">
        <f t="shared" si="68"/>
        <v>Yes</v>
      </c>
      <c r="J1142" s="3" t="s">
        <v>691</v>
      </c>
      <c r="K1142" s="3">
        <v>2003</v>
      </c>
      <c r="L1142" s="3" t="str">
        <f t="shared" si="71"/>
        <v>Mar-2003</v>
      </c>
      <c r="M1142" s="3" t="s">
        <v>181</v>
      </c>
      <c r="N1142" s="3" t="s">
        <v>425</v>
      </c>
      <c r="O1142" s="3" t="s">
        <v>430</v>
      </c>
      <c r="P1142" s="3" t="s">
        <v>675</v>
      </c>
      <c r="Q1142" s="3" t="s">
        <v>51</v>
      </c>
    </row>
    <row r="1143" spans="1:17" x14ac:dyDescent="0.25">
      <c r="A1143" s="5">
        <v>10122</v>
      </c>
      <c r="B1143" s="5">
        <v>21</v>
      </c>
      <c r="C1143" s="5">
        <v>100</v>
      </c>
      <c r="D1143" s="5">
        <v>2100</v>
      </c>
      <c r="E1143" s="5" t="str">
        <f t="shared" si="69"/>
        <v>Medium</v>
      </c>
      <c r="F1143" s="5">
        <f t="shared" si="70"/>
        <v>630</v>
      </c>
      <c r="G1143" s="6">
        <v>37749</v>
      </c>
      <c r="H1143" s="5" t="s">
        <v>25</v>
      </c>
      <c r="I1143" s="5" t="str">
        <f t="shared" si="68"/>
        <v>Yes</v>
      </c>
      <c r="J1143" s="5" t="s">
        <v>682</v>
      </c>
      <c r="K1143" s="5">
        <v>2003</v>
      </c>
      <c r="L1143" s="5" t="str">
        <f t="shared" si="71"/>
        <v>May-2003</v>
      </c>
      <c r="M1143" s="5" t="s">
        <v>181</v>
      </c>
      <c r="N1143" s="5" t="s">
        <v>433</v>
      </c>
      <c r="O1143" s="5" t="s">
        <v>41</v>
      </c>
      <c r="P1143" s="5" t="s">
        <v>42</v>
      </c>
      <c r="Q1143" s="5" t="s">
        <v>36</v>
      </c>
    </row>
    <row r="1144" spans="1:17" x14ac:dyDescent="0.25">
      <c r="A1144" s="3">
        <v>10135</v>
      </c>
      <c r="B1144" s="3">
        <v>42</v>
      </c>
      <c r="C1144" s="3">
        <v>100</v>
      </c>
      <c r="D1144" s="3">
        <v>4200</v>
      </c>
      <c r="E1144" s="3" t="str">
        <f t="shared" si="69"/>
        <v>Medium</v>
      </c>
      <c r="F1144" s="3">
        <f t="shared" si="70"/>
        <v>1260</v>
      </c>
      <c r="G1144" s="4">
        <v>37804</v>
      </c>
      <c r="H1144" s="3" t="s">
        <v>25</v>
      </c>
      <c r="I1144" s="3" t="str">
        <f t="shared" si="68"/>
        <v>Yes</v>
      </c>
      <c r="J1144" s="3" t="s">
        <v>683</v>
      </c>
      <c r="K1144" s="3">
        <v>2003</v>
      </c>
      <c r="L1144" s="3" t="str">
        <f t="shared" si="71"/>
        <v>Jul-2003</v>
      </c>
      <c r="M1144" s="3" t="s">
        <v>181</v>
      </c>
      <c r="N1144" s="3" t="s">
        <v>272</v>
      </c>
      <c r="O1144" s="3" t="s">
        <v>32</v>
      </c>
      <c r="P1144" s="3" t="s">
        <v>33</v>
      </c>
      <c r="Q1144" s="3" t="s">
        <v>51</v>
      </c>
    </row>
    <row r="1145" spans="1:17" x14ac:dyDescent="0.25">
      <c r="A1145" s="5">
        <v>10147</v>
      </c>
      <c r="B1145" s="5">
        <v>37</v>
      </c>
      <c r="C1145" s="5">
        <v>100</v>
      </c>
      <c r="D1145" s="5">
        <v>3700</v>
      </c>
      <c r="E1145" s="5" t="str">
        <f t="shared" si="69"/>
        <v>Medium</v>
      </c>
      <c r="F1145" s="5">
        <f t="shared" si="70"/>
        <v>1110</v>
      </c>
      <c r="G1145" s="6">
        <v>37869</v>
      </c>
      <c r="H1145" s="5" t="s">
        <v>25</v>
      </c>
      <c r="I1145" s="5" t="str">
        <f t="shared" si="68"/>
        <v>Yes</v>
      </c>
      <c r="J1145" s="5" t="s">
        <v>690</v>
      </c>
      <c r="K1145" s="5">
        <v>2003</v>
      </c>
      <c r="L1145" s="5" t="str">
        <f t="shared" si="71"/>
        <v>Sep-2003</v>
      </c>
      <c r="M1145" s="5" t="s">
        <v>181</v>
      </c>
      <c r="N1145" s="5" t="s">
        <v>281</v>
      </c>
      <c r="O1145" s="5" t="s">
        <v>32</v>
      </c>
      <c r="P1145" s="5" t="s">
        <v>33</v>
      </c>
      <c r="Q1145" s="5" t="s">
        <v>51</v>
      </c>
    </row>
    <row r="1146" spans="1:17" x14ac:dyDescent="0.25">
      <c r="A1146" s="3">
        <v>10159</v>
      </c>
      <c r="B1146" s="3">
        <v>25</v>
      </c>
      <c r="C1146" s="3">
        <v>100</v>
      </c>
      <c r="D1146" s="3">
        <v>2500</v>
      </c>
      <c r="E1146" s="3" t="str">
        <f t="shared" si="69"/>
        <v>Medium</v>
      </c>
      <c r="F1146" s="3">
        <f t="shared" si="70"/>
        <v>750</v>
      </c>
      <c r="G1146" s="4">
        <v>37904</v>
      </c>
      <c r="H1146" s="3" t="s">
        <v>25</v>
      </c>
      <c r="I1146" s="3" t="str">
        <f t="shared" si="68"/>
        <v>Yes</v>
      </c>
      <c r="J1146" s="3" t="s">
        <v>685</v>
      </c>
      <c r="K1146" s="3">
        <v>2003</v>
      </c>
      <c r="L1146" s="3" t="str">
        <f t="shared" si="71"/>
        <v>Oct-2003</v>
      </c>
      <c r="M1146" s="3" t="s">
        <v>181</v>
      </c>
      <c r="N1146" s="3" t="s">
        <v>58</v>
      </c>
      <c r="O1146" s="3" t="s">
        <v>32</v>
      </c>
      <c r="P1146" s="3" t="s">
        <v>33</v>
      </c>
      <c r="Q1146" s="3" t="s">
        <v>51</v>
      </c>
    </row>
    <row r="1147" spans="1:17" x14ac:dyDescent="0.25">
      <c r="A1147" s="5">
        <v>10169</v>
      </c>
      <c r="B1147" s="5">
        <v>36</v>
      </c>
      <c r="C1147" s="5">
        <v>100</v>
      </c>
      <c r="D1147" s="5">
        <v>3600</v>
      </c>
      <c r="E1147" s="5" t="str">
        <f t="shared" si="69"/>
        <v>Medium</v>
      </c>
      <c r="F1147" s="5">
        <f t="shared" si="70"/>
        <v>1080</v>
      </c>
      <c r="G1147" s="6">
        <v>37929</v>
      </c>
      <c r="H1147" s="5" t="s">
        <v>25</v>
      </c>
      <c r="I1147" s="5" t="str">
        <f t="shared" si="68"/>
        <v>Yes</v>
      </c>
      <c r="J1147" s="5" t="s">
        <v>686</v>
      </c>
      <c r="K1147" s="5">
        <v>2003</v>
      </c>
      <c r="L1147" s="5" t="str">
        <f t="shared" si="71"/>
        <v>Nov-2003</v>
      </c>
      <c r="M1147" s="5" t="s">
        <v>181</v>
      </c>
      <c r="N1147" s="5" t="s">
        <v>285</v>
      </c>
      <c r="O1147" s="5" t="s">
        <v>95</v>
      </c>
      <c r="P1147" s="5" t="s">
        <v>96</v>
      </c>
      <c r="Q1147" s="5" t="s">
        <v>51</v>
      </c>
    </row>
    <row r="1148" spans="1:17" x14ac:dyDescent="0.25">
      <c r="A1148" s="3">
        <v>10181</v>
      </c>
      <c r="B1148" s="3">
        <v>22</v>
      </c>
      <c r="C1148" s="3">
        <v>100</v>
      </c>
      <c r="D1148" s="3">
        <v>2200</v>
      </c>
      <c r="E1148" s="3" t="str">
        <f t="shared" si="69"/>
        <v>Medium</v>
      </c>
      <c r="F1148" s="3">
        <f t="shared" si="70"/>
        <v>660</v>
      </c>
      <c r="G1148" s="4">
        <v>37937</v>
      </c>
      <c r="H1148" s="3" t="s">
        <v>25</v>
      </c>
      <c r="I1148" s="3" t="str">
        <f t="shared" si="68"/>
        <v>Yes</v>
      </c>
      <c r="J1148" s="3" t="s">
        <v>686</v>
      </c>
      <c r="K1148" s="3">
        <v>2003</v>
      </c>
      <c r="L1148" s="3" t="str">
        <f t="shared" si="71"/>
        <v>Nov-2003</v>
      </c>
      <c r="M1148" s="3" t="s">
        <v>181</v>
      </c>
      <c r="N1148" s="3" t="s">
        <v>73</v>
      </c>
      <c r="O1148" s="3" t="s">
        <v>78</v>
      </c>
      <c r="P1148" s="3" t="s">
        <v>42</v>
      </c>
      <c r="Q1148" s="3" t="s">
        <v>51</v>
      </c>
    </row>
    <row r="1149" spans="1:17" x14ac:dyDescent="0.25">
      <c r="A1149" s="5">
        <v>10191</v>
      </c>
      <c r="B1149" s="5">
        <v>23</v>
      </c>
      <c r="C1149" s="5">
        <v>100</v>
      </c>
      <c r="D1149" s="5">
        <v>2300</v>
      </c>
      <c r="E1149" s="5" t="str">
        <f t="shared" si="69"/>
        <v>Medium</v>
      </c>
      <c r="F1149" s="5">
        <f t="shared" si="70"/>
        <v>690</v>
      </c>
      <c r="G1149" s="6">
        <v>37945</v>
      </c>
      <c r="H1149" s="5" t="s">
        <v>25</v>
      </c>
      <c r="I1149" s="5" t="str">
        <f t="shared" si="68"/>
        <v>Yes</v>
      </c>
      <c r="J1149" s="5" t="s">
        <v>686</v>
      </c>
      <c r="K1149" s="5">
        <v>2003</v>
      </c>
      <c r="L1149" s="5" t="str">
        <f t="shared" si="71"/>
        <v>Nov-2003</v>
      </c>
      <c r="M1149" s="5" t="s">
        <v>181</v>
      </c>
      <c r="N1149" s="5" t="s">
        <v>439</v>
      </c>
      <c r="O1149" s="5" t="s">
        <v>443</v>
      </c>
      <c r="P1149" s="5" t="s">
        <v>42</v>
      </c>
      <c r="Q1149" s="5" t="s">
        <v>51</v>
      </c>
    </row>
    <row r="1150" spans="1:17" x14ac:dyDescent="0.25">
      <c r="A1150" s="3">
        <v>10203</v>
      </c>
      <c r="B1150" s="3">
        <v>32</v>
      </c>
      <c r="C1150" s="3">
        <v>100</v>
      </c>
      <c r="D1150" s="3">
        <v>3200</v>
      </c>
      <c r="E1150" s="3" t="str">
        <f t="shared" si="69"/>
        <v>Medium</v>
      </c>
      <c r="F1150" s="3">
        <f t="shared" si="70"/>
        <v>960</v>
      </c>
      <c r="G1150" s="4">
        <v>37957</v>
      </c>
      <c r="H1150" s="3" t="s">
        <v>25</v>
      </c>
      <c r="I1150" s="3" t="str">
        <f t="shared" si="68"/>
        <v>Yes</v>
      </c>
      <c r="J1150" s="3" t="s">
        <v>687</v>
      </c>
      <c r="K1150" s="3">
        <v>2003</v>
      </c>
      <c r="L1150" s="3" t="str">
        <f t="shared" si="71"/>
        <v>Dec-2003</v>
      </c>
      <c r="M1150" s="3" t="s">
        <v>181</v>
      </c>
      <c r="N1150" s="3" t="s">
        <v>174</v>
      </c>
      <c r="O1150" s="3" t="s">
        <v>178</v>
      </c>
      <c r="P1150" s="3" t="s">
        <v>42</v>
      </c>
      <c r="Q1150" s="3" t="s">
        <v>51</v>
      </c>
    </row>
    <row r="1151" spans="1:17" x14ac:dyDescent="0.25">
      <c r="A1151" s="5">
        <v>10211</v>
      </c>
      <c r="B1151" s="5">
        <v>28</v>
      </c>
      <c r="C1151" s="5">
        <v>100</v>
      </c>
      <c r="D1151" s="5">
        <v>2800</v>
      </c>
      <c r="E1151" s="5" t="str">
        <f t="shared" si="69"/>
        <v>Medium</v>
      </c>
      <c r="F1151" s="5">
        <f t="shared" si="70"/>
        <v>840</v>
      </c>
      <c r="G1151" s="6">
        <v>38001</v>
      </c>
      <c r="H1151" s="5" t="s">
        <v>25</v>
      </c>
      <c r="I1151" s="5" t="str">
        <f t="shared" si="68"/>
        <v>Yes</v>
      </c>
      <c r="J1151" s="5" t="s">
        <v>549</v>
      </c>
      <c r="K1151" s="5">
        <v>2004</v>
      </c>
      <c r="L1151" s="5" t="str">
        <f t="shared" si="71"/>
        <v>Jan-2004</v>
      </c>
      <c r="M1151" s="5" t="s">
        <v>181</v>
      </c>
      <c r="N1151" s="5" t="s">
        <v>84</v>
      </c>
      <c r="O1151" s="5" t="s">
        <v>41</v>
      </c>
      <c r="P1151" s="5" t="s">
        <v>42</v>
      </c>
      <c r="Q1151" s="5" t="s">
        <v>51</v>
      </c>
    </row>
    <row r="1152" spans="1:17" x14ac:dyDescent="0.25">
      <c r="A1152" s="3">
        <v>10225</v>
      </c>
      <c r="B1152" s="3">
        <v>27</v>
      </c>
      <c r="C1152" s="3">
        <v>100</v>
      </c>
      <c r="D1152" s="3">
        <v>2700</v>
      </c>
      <c r="E1152" s="3" t="str">
        <f t="shared" si="69"/>
        <v>Medium</v>
      </c>
      <c r="F1152" s="3">
        <f t="shared" si="70"/>
        <v>810</v>
      </c>
      <c r="G1152" s="4">
        <v>38039</v>
      </c>
      <c r="H1152" s="3" t="s">
        <v>25</v>
      </c>
      <c r="I1152" s="3" t="str">
        <f t="shared" si="68"/>
        <v>Yes</v>
      </c>
      <c r="J1152" s="3" t="s">
        <v>681</v>
      </c>
      <c r="K1152" s="3">
        <v>2004</v>
      </c>
      <c r="L1152" s="3" t="str">
        <f t="shared" si="71"/>
        <v>Feb-2004</v>
      </c>
      <c r="M1152" s="3" t="s">
        <v>181</v>
      </c>
      <c r="N1152" s="3" t="s">
        <v>446</v>
      </c>
      <c r="O1152" s="3" t="s">
        <v>450</v>
      </c>
      <c r="P1152" s="3" t="s">
        <v>42</v>
      </c>
      <c r="Q1152" s="3" t="s">
        <v>51</v>
      </c>
    </row>
    <row r="1153" spans="1:17" x14ac:dyDescent="0.25">
      <c r="A1153" s="5">
        <v>10238</v>
      </c>
      <c r="B1153" s="5">
        <v>49</v>
      </c>
      <c r="C1153" s="5">
        <v>100</v>
      </c>
      <c r="D1153" s="5">
        <v>4900</v>
      </c>
      <c r="E1153" s="5" t="str">
        <f t="shared" si="69"/>
        <v>Medium</v>
      </c>
      <c r="F1153" s="5">
        <f t="shared" si="70"/>
        <v>1470</v>
      </c>
      <c r="G1153" s="6">
        <v>38086</v>
      </c>
      <c r="H1153" s="5" t="s">
        <v>25</v>
      </c>
      <c r="I1153" s="5" t="str">
        <f t="shared" si="68"/>
        <v>Yes</v>
      </c>
      <c r="J1153" s="5" t="s">
        <v>688</v>
      </c>
      <c r="K1153" s="5">
        <v>2004</v>
      </c>
      <c r="L1153" s="5" t="str">
        <f t="shared" si="71"/>
        <v>Apr-2004</v>
      </c>
      <c r="M1153" s="5" t="s">
        <v>181</v>
      </c>
      <c r="N1153" s="5" t="s">
        <v>322</v>
      </c>
      <c r="O1153" s="5" t="s">
        <v>326</v>
      </c>
      <c r="P1153" s="5" t="s">
        <v>42</v>
      </c>
      <c r="Q1153" s="5" t="s">
        <v>51</v>
      </c>
    </row>
    <row r="1154" spans="1:17" x14ac:dyDescent="0.25">
      <c r="A1154" s="3">
        <v>10252</v>
      </c>
      <c r="B1154" s="3">
        <v>41</v>
      </c>
      <c r="C1154" s="3">
        <v>100</v>
      </c>
      <c r="D1154" s="3">
        <v>4100</v>
      </c>
      <c r="E1154" s="3" t="str">
        <f t="shared" si="69"/>
        <v>Medium</v>
      </c>
      <c r="F1154" s="3">
        <f t="shared" si="70"/>
        <v>1230</v>
      </c>
      <c r="G1154" s="4">
        <v>38133</v>
      </c>
      <c r="H1154" s="3" t="s">
        <v>25</v>
      </c>
      <c r="I1154" s="3" t="str">
        <f t="shared" ref="I1154:I1217" si="72">IF(H1154="Shipped","Yes","No")</f>
        <v>Yes</v>
      </c>
      <c r="J1154" s="3" t="s">
        <v>682</v>
      </c>
      <c r="K1154" s="3">
        <v>2004</v>
      </c>
      <c r="L1154" s="3" t="str">
        <f t="shared" si="71"/>
        <v>May-2004</v>
      </c>
      <c r="M1154" s="3" t="s">
        <v>181</v>
      </c>
      <c r="N1154" s="3" t="s">
        <v>84</v>
      </c>
      <c r="O1154" s="3" t="s">
        <v>41</v>
      </c>
      <c r="P1154" s="3" t="s">
        <v>42</v>
      </c>
      <c r="Q1154" s="3" t="s">
        <v>51</v>
      </c>
    </row>
    <row r="1155" spans="1:17" x14ac:dyDescent="0.25">
      <c r="A1155" s="5">
        <v>10265</v>
      </c>
      <c r="B1155" s="5">
        <v>49</v>
      </c>
      <c r="C1155" s="5">
        <v>100</v>
      </c>
      <c r="D1155" s="5">
        <v>4900</v>
      </c>
      <c r="E1155" s="5" t="str">
        <f t="shared" ref="E1155:E1218" si="73">IF(D1155&gt;=5000,"High",IF(D1155&gt;=2000,"Medium","Low"))</f>
        <v>Medium</v>
      </c>
      <c r="F1155" s="5">
        <f t="shared" ref="F1155:F1218" si="74">(D1155*0.3)</f>
        <v>1470</v>
      </c>
      <c r="G1155" s="6">
        <v>38170</v>
      </c>
      <c r="H1155" s="5" t="s">
        <v>25</v>
      </c>
      <c r="I1155" s="5" t="str">
        <f t="shared" si="72"/>
        <v>Yes</v>
      </c>
      <c r="J1155" s="5" t="s">
        <v>683</v>
      </c>
      <c r="K1155" s="5">
        <v>2004</v>
      </c>
      <c r="L1155" s="5" t="str">
        <f t="shared" ref="L1155:L1218" si="75">TEXT(G:G,"MMM-YYYY")</f>
        <v>Jul-2004</v>
      </c>
      <c r="M1155" s="5" t="s">
        <v>181</v>
      </c>
      <c r="N1155" s="5" t="s">
        <v>558</v>
      </c>
      <c r="O1155" s="5" t="s">
        <v>95</v>
      </c>
      <c r="P1155" s="5" t="s">
        <v>96</v>
      </c>
      <c r="Q1155" s="5" t="s">
        <v>151</v>
      </c>
    </row>
    <row r="1156" spans="1:17" x14ac:dyDescent="0.25">
      <c r="A1156" s="3">
        <v>10276</v>
      </c>
      <c r="B1156" s="3">
        <v>30</v>
      </c>
      <c r="C1156" s="3">
        <v>100</v>
      </c>
      <c r="D1156" s="3">
        <v>3000</v>
      </c>
      <c r="E1156" s="3" t="str">
        <f t="shared" si="73"/>
        <v>Medium</v>
      </c>
      <c r="F1156" s="3">
        <f t="shared" si="74"/>
        <v>900</v>
      </c>
      <c r="G1156" s="4">
        <v>38201</v>
      </c>
      <c r="H1156" s="3" t="s">
        <v>25</v>
      </c>
      <c r="I1156" s="3" t="str">
        <f t="shared" si="72"/>
        <v>Yes</v>
      </c>
      <c r="J1156" s="3" t="s">
        <v>684</v>
      </c>
      <c r="K1156" s="3">
        <v>2004</v>
      </c>
      <c r="L1156" s="3" t="str">
        <f t="shared" si="75"/>
        <v>Aug-2004</v>
      </c>
      <c r="M1156" s="3" t="s">
        <v>181</v>
      </c>
      <c r="N1156" s="3" t="s">
        <v>458</v>
      </c>
      <c r="O1156" s="3" t="s">
        <v>32</v>
      </c>
      <c r="P1156" s="3" t="s">
        <v>33</v>
      </c>
      <c r="Q1156" s="3" t="s">
        <v>51</v>
      </c>
    </row>
    <row r="1157" spans="1:17" x14ac:dyDescent="0.25">
      <c r="A1157" s="5">
        <v>10287</v>
      </c>
      <c r="B1157" s="5">
        <v>40</v>
      </c>
      <c r="C1157" s="5">
        <v>100</v>
      </c>
      <c r="D1157" s="5">
        <v>4000</v>
      </c>
      <c r="E1157" s="5" t="str">
        <f t="shared" si="73"/>
        <v>Medium</v>
      </c>
      <c r="F1157" s="5">
        <f t="shared" si="74"/>
        <v>1200</v>
      </c>
      <c r="G1157" s="6">
        <v>38229</v>
      </c>
      <c r="H1157" s="5" t="s">
        <v>25</v>
      </c>
      <c r="I1157" s="5" t="str">
        <f t="shared" si="72"/>
        <v>Yes</v>
      </c>
      <c r="J1157" s="5" t="s">
        <v>684</v>
      </c>
      <c r="K1157" s="5">
        <v>2004</v>
      </c>
      <c r="L1157" s="5" t="str">
        <f t="shared" si="75"/>
        <v>Aug-2004</v>
      </c>
      <c r="M1157" s="5" t="s">
        <v>181</v>
      </c>
      <c r="N1157" s="5" t="s">
        <v>446</v>
      </c>
      <c r="O1157" s="5" t="s">
        <v>450</v>
      </c>
      <c r="P1157" s="5" t="s">
        <v>42</v>
      </c>
      <c r="Q1157" s="5" t="s">
        <v>51</v>
      </c>
    </row>
    <row r="1158" spans="1:17" x14ac:dyDescent="0.25">
      <c r="A1158" s="3">
        <v>10300</v>
      </c>
      <c r="B1158" s="3">
        <v>23</v>
      </c>
      <c r="C1158" s="3">
        <v>100</v>
      </c>
      <c r="D1158" s="3">
        <v>2300</v>
      </c>
      <c r="E1158" s="3" t="str">
        <f t="shared" si="73"/>
        <v>Medium</v>
      </c>
      <c r="F1158" s="3">
        <f t="shared" si="74"/>
        <v>690</v>
      </c>
      <c r="G1158" s="4">
        <v>37898</v>
      </c>
      <c r="H1158" s="3" t="s">
        <v>25</v>
      </c>
      <c r="I1158" s="3" t="str">
        <f t="shared" si="72"/>
        <v>Yes</v>
      </c>
      <c r="J1158" s="3" t="s">
        <v>685</v>
      </c>
      <c r="K1158" s="3">
        <v>2003</v>
      </c>
      <c r="L1158" s="3" t="str">
        <f t="shared" si="75"/>
        <v>Oct-2003</v>
      </c>
      <c r="M1158" s="3" t="s">
        <v>181</v>
      </c>
      <c r="N1158" s="3" t="s">
        <v>462</v>
      </c>
      <c r="O1158" s="3" t="s">
        <v>443</v>
      </c>
      <c r="P1158" s="3" t="s">
        <v>42</v>
      </c>
      <c r="Q1158" s="3" t="s">
        <v>51</v>
      </c>
    </row>
    <row r="1159" spans="1:17" x14ac:dyDescent="0.25">
      <c r="A1159" s="5">
        <v>10310</v>
      </c>
      <c r="B1159" s="5">
        <v>49</v>
      </c>
      <c r="C1159" s="5">
        <v>100</v>
      </c>
      <c r="D1159" s="5">
        <v>4900</v>
      </c>
      <c r="E1159" s="5" t="str">
        <f t="shared" si="73"/>
        <v>Medium</v>
      </c>
      <c r="F1159" s="5">
        <f t="shared" si="74"/>
        <v>1470</v>
      </c>
      <c r="G1159" s="6">
        <v>38276</v>
      </c>
      <c r="H1159" s="5" t="s">
        <v>25</v>
      </c>
      <c r="I1159" s="5" t="str">
        <f t="shared" si="72"/>
        <v>Yes</v>
      </c>
      <c r="J1159" s="5" t="s">
        <v>685</v>
      </c>
      <c r="K1159" s="5">
        <v>2004</v>
      </c>
      <c r="L1159" s="5" t="str">
        <f t="shared" si="75"/>
        <v>Oct-2004</v>
      </c>
      <c r="M1159" s="5" t="s">
        <v>181</v>
      </c>
      <c r="N1159" s="5" t="s">
        <v>439</v>
      </c>
      <c r="O1159" s="5" t="s">
        <v>443</v>
      </c>
      <c r="P1159" s="5" t="s">
        <v>42</v>
      </c>
      <c r="Q1159" s="5" t="s">
        <v>51</v>
      </c>
    </row>
    <row r="1160" spans="1:17" x14ac:dyDescent="0.25">
      <c r="A1160" s="3">
        <v>10320</v>
      </c>
      <c r="B1160" s="3">
        <v>25</v>
      </c>
      <c r="C1160" s="3">
        <v>100</v>
      </c>
      <c r="D1160" s="3">
        <v>2500</v>
      </c>
      <c r="E1160" s="3" t="str">
        <f t="shared" si="73"/>
        <v>Medium</v>
      </c>
      <c r="F1160" s="3">
        <f t="shared" si="74"/>
        <v>750</v>
      </c>
      <c r="G1160" s="4">
        <v>38294</v>
      </c>
      <c r="H1160" s="3" t="s">
        <v>25</v>
      </c>
      <c r="I1160" s="3" t="str">
        <f t="shared" si="72"/>
        <v>Yes</v>
      </c>
      <c r="J1160" s="3" t="s">
        <v>686</v>
      </c>
      <c r="K1160" s="3">
        <v>2004</v>
      </c>
      <c r="L1160" s="3" t="str">
        <f t="shared" si="75"/>
        <v>Nov-2004</v>
      </c>
      <c r="M1160" s="3" t="s">
        <v>181</v>
      </c>
      <c r="N1160" s="3" t="s">
        <v>183</v>
      </c>
      <c r="O1160" s="3" t="s">
        <v>188</v>
      </c>
      <c r="P1160" s="3" t="s">
        <v>42</v>
      </c>
      <c r="Q1160" s="3" t="s">
        <v>51</v>
      </c>
    </row>
    <row r="1161" spans="1:17" x14ac:dyDescent="0.25">
      <c r="A1161" s="5">
        <v>10330</v>
      </c>
      <c r="B1161" s="5">
        <v>37</v>
      </c>
      <c r="C1161" s="5">
        <v>100</v>
      </c>
      <c r="D1161" s="5">
        <v>3700</v>
      </c>
      <c r="E1161" s="5" t="str">
        <f t="shared" si="73"/>
        <v>Medium</v>
      </c>
      <c r="F1161" s="5">
        <f t="shared" si="74"/>
        <v>1110</v>
      </c>
      <c r="G1161" s="6">
        <v>38307</v>
      </c>
      <c r="H1161" s="5" t="s">
        <v>25</v>
      </c>
      <c r="I1161" s="5" t="str">
        <f t="shared" si="72"/>
        <v>Yes</v>
      </c>
      <c r="J1161" s="5" t="s">
        <v>686</v>
      </c>
      <c r="K1161" s="5">
        <v>2004</v>
      </c>
      <c r="L1161" s="5" t="str">
        <f t="shared" si="75"/>
        <v>Nov-2004</v>
      </c>
      <c r="M1161" s="5" t="s">
        <v>181</v>
      </c>
      <c r="N1161" s="5" t="s">
        <v>425</v>
      </c>
      <c r="O1161" s="5" t="s">
        <v>430</v>
      </c>
      <c r="P1161" s="5" t="s">
        <v>675</v>
      </c>
      <c r="Q1161" s="5" t="s">
        <v>51</v>
      </c>
    </row>
    <row r="1162" spans="1:17" x14ac:dyDescent="0.25">
      <c r="A1162" s="3">
        <v>10342</v>
      </c>
      <c r="B1162" s="3">
        <v>55</v>
      </c>
      <c r="C1162" s="3">
        <v>100</v>
      </c>
      <c r="D1162" s="3">
        <v>5500</v>
      </c>
      <c r="E1162" s="3" t="str">
        <f t="shared" si="73"/>
        <v>High</v>
      </c>
      <c r="F1162" s="3">
        <f t="shared" si="74"/>
        <v>1650</v>
      </c>
      <c r="G1162" s="4">
        <v>38315</v>
      </c>
      <c r="H1162" s="3" t="s">
        <v>25</v>
      </c>
      <c r="I1162" s="3" t="str">
        <f t="shared" si="72"/>
        <v>Yes</v>
      </c>
      <c r="J1162" s="3" t="s">
        <v>686</v>
      </c>
      <c r="K1162" s="3">
        <v>2004</v>
      </c>
      <c r="L1162" s="3" t="str">
        <f t="shared" si="75"/>
        <v>Nov-2004</v>
      </c>
      <c r="M1162" s="3" t="s">
        <v>181</v>
      </c>
      <c r="N1162" s="3" t="s">
        <v>89</v>
      </c>
      <c r="O1162" s="3" t="s">
        <v>95</v>
      </c>
      <c r="P1162" s="3" t="s">
        <v>96</v>
      </c>
      <c r="Q1162" s="3" t="s">
        <v>51</v>
      </c>
    </row>
    <row r="1163" spans="1:17" x14ac:dyDescent="0.25">
      <c r="A1163" s="5">
        <v>10355</v>
      </c>
      <c r="B1163" s="5">
        <v>23</v>
      </c>
      <c r="C1163" s="5">
        <v>100</v>
      </c>
      <c r="D1163" s="5">
        <v>2300</v>
      </c>
      <c r="E1163" s="5" t="str">
        <f t="shared" si="73"/>
        <v>Medium</v>
      </c>
      <c r="F1163" s="5">
        <f t="shared" si="74"/>
        <v>690</v>
      </c>
      <c r="G1163" s="6">
        <v>38328</v>
      </c>
      <c r="H1163" s="5" t="s">
        <v>25</v>
      </c>
      <c r="I1163" s="5" t="str">
        <f t="shared" si="72"/>
        <v>Yes</v>
      </c>
      <c r="J1163" s="5" t="s">
        <v>687</v>
      </c>
      <c r="K1163" s="5">
        <v>2004</v>
      </c>
      <c r="L1163" s="5" t="str">
        <f t="shared" si="75"/>
        <v>Dec-2004</v>
      </c>
      <c r="M1163" s="5" t="s">
        <v>181</v>
      </c>
      <c r="N1163" s="5" t="s">
        <v>174</v>
      </c>
      <c r="O1163" s="5" t="s">
        <v>178</v>
      </c>
      <c r="P1163" s="5" t="s">
        <v>42</v>
      </c>
      <c r="Q1163" s="5" t="s">
        <v>51</v>
      </c>
    </row>
    <row r="1164" spans="1:17" x14ac:dyDescent="0.25">
      <c r="A1164" s="3">
        <v>10363</v>
      </c>
      <c r="B1164" s="3">
        <v>24</v>
      </c>
      <c r="C1164" s="3">
        <v>100</v>
      </c>
      <c r="D1164" s="3">
        <v>2400</v>
      </c>
      <c r="E1164" s="3" t="str">
        <f t="shared" si="73"/>
        <v>Medium</v>
      </c>
      <c r="F1164" s="3">
        <f t="shared" si="74"/>
        <v>720</v>
      </c>
      <c r="G1164" s="4">
        <v>38358</v>
      </c>
      <c r="H1164" s="3" t="s">
        <v>25</v>
      </c>
      <c r="I1164" s="3" t="str">
        <f t="shared" si="72"/>
        <v>Yes</v>
      </c>
      <c r="J1164" s="3" t="s">
        <v>549</v>
      </c>
      <c r="K1164" s="3">
        <v>2005</v>
      </c>
      <c r="L1164" s="3" t="str">
        <f t="shared" si="75"/>
        <v>Jan-2005</v>
      </c>
      <c r="M1164" s="3" t="s">
        <v>181</v>
      </c>
      <c r="N1164" s="3" t="s">
        <v>467</v>
      </c>
      <c r="O1164" s="3" t="s">
        <v>130</v>
      </c>
      <c r="P1164" s="3" t="s">
        <v>42</v>
      </c>
      <c r="Q1164" s="3" t="s">
        <v>51</v>
      </c>
    </row>
    <row r="1165" spans="1:17" x14ac:dyDescent="0.25">
      <c r="A1165" s="5">
        <v>10378</v>
      </c>
      <c r="B1165" s="5">
        <v>43</v>
      </c>
      <c r="C1165" s="5">
        <v>96.49</v>
      </c>
      <c r="D1165" s="5">
        <v>4149.07</v>
      </c>
      <c r="E1165" s="5" t="str">
        <f t="shared" si="73"/>
        <v>Medium</v>
      </c>
      <c r="F1165" s="5">
        <f t="shared" si="74"/>
        <v>1244.7209999999998</v>
      </c>
      <c r="G1165" s="6">
        <v>38393</v>
      </c>
      <c r="H1165" s="5" t="s">
        <v>25</v>
      </c>
      <c r="I1165" s="5" t="str">
        <f t="shared" si="72"/>
        <v>Yes</v>
      </c>
      <c r="J1165" s="5" t="s">
        <v>681</v>
      </c>
      <c r="K1165" s="5">
        <v>2005</v>
      </c>
      <c r="L1165" s="5" t="str">
        <f t="shared" si="75"/>
        <v>Feb-2005</v>
      </c>
      <c r="M1165" s="5" t="s">
        <v>181</v>
      </c>
      <c r="N1165" s="5" t="s">
        <v>174</v>
      </c>
      <c r="O1165" s="5" t="s">
        <v>178</v>
      </c>
      <c r="P1165" s="5" t="s">
        <v>42</v>
      </c>
      <c r="Q1165" s="5" t="s">
        <v>51</v>
      </c>
    </row>
    <row r="1166" spans="1:17" x14ac:dyDescent="0.25">
      <c r="A1166" s="3">
        <v>10390</v>
      </c>
      <c r="B1166" s="3">
        <v>50</v>
      </c>
      <c r="C1166" s="3">
        <v>100</v>
      </c>
      <c r="D1166" s="3">
        <v>5000</v>
      </c>
      <c r="E1166" s="3" t="str">
        <f t="shared" si="73"/>
        <v>High</v>
      </c>
      <c r="F1166" s="3">
        <f t="shared" si="74"/>
        <v>1500</v>
      </c>
      <c r="G1166" s="4">
        <v>38415</v>
      </c>
      <c r="H1166" s="3" t="s">
        <v>25</v>
      </c>
      <c r="I1166" s="3" t="str">
        <f t="shared" si="72"/>
        <v>Yes</v>
      </c>
      <c r="J1166" s="3" t="s">
        <v>691</v>
      </c>
      <c r="K1166" s="3">
        <v>2005</v>
      </c>
      <c r="L1166" s="3" t="str">
        <f t="shared" si="75"/>
        <v>Mar-2005</v>
      </c>
      <c r="M1166" s="3" t="s">
        <v>181</v>
      </c>
      <c r="N1166" s="3" t="s">
        <v>272</v>
      </c>
      <c r="O1166" s="3" t="s">
        <v>32</v>
      </c>
      <c r="P1166" s="3" t="s">
        <v>33</v>
      </c>
      <c r="Q1166" s="3" t="s">
        <v>151</v>
      </c>
    </row>
    <row r="1167" spans="1:17" x14ac:dyDescent="0.25">
      <c r="A1167" s="5">
        <v>10109</v>
      </c>
      <c r="B1167" s="5">
        <v>47</v>
      </c>
      <c r="C1167" s="5">
        <v>100</v>
      </c>
      <c r="D1167" s="5">
        <v>4700</v>
      </c>
      <c r="E1167" s="5" t="str">
        <f t="shared" si="73"/>
        <v>Medium</v>
      </c>
      <c r="F1167" s="5">
        <f t="shared" si="74"/>
        <v>1410</v>
      </c>
      <c r="G1167" s="6">
        <v>37690</v>
      </c>
      <c r="H1167" s="5" t="s">
        <v>25</v>
      </c>
      <c r="I1167" s="5" t="str">
        <f t="shared" si="72"/>
        <v>Yes</v>
      </c>
      <c r="J1167" s="5" t="s">
        <v>691</v>
      </c>
      <c r="K1167" s="5">
        <v>2003</v>
      </c>
      <c r="L1167" s="5" t="str">
        <f t="shared" si="75"/>
        <v>Mar-2003</v>
      </c>
      <c r="M1167" s="5" t="s">
        <v>181</v>
      </c>
      <c r="N1167" s="5" t="s">
        <v>309</v>
      </c>
      <c r="O1167" s="5" t="s">
        <v>32</v>
      </c>
      <c r="P1167" s="5" t="s">
        <v>33</v>
      </c>
      <c r="Q1167" s="5" t="s">
        <v>51</v>
      </c>
    </row>
    <row r="1168" spans="1:17" x14ac:dyDescent="0.25">
      <c r="A1168" s="3">
        <v>10123</v>
      </c>
      <c r="B1168" s="3">
        <v>34</v>
      </c>
      <c r="C1168" s="3">
        <v>100</v>
      </c>
      <c r="D1168" s="3">
        <v>3400</v>
      </c>
      <c r="E1168" s="3" t="str">
        <f t="shared" si="73"/>
        <v>Medium</v>
      </c>
      <c r="F1168" s="3">
        <f t="shared" si="74"/>
        <v>1020</v>
      </c>
      <c r="G1168" s="4">
        <v>37761</v>
      </c>
      <c r="H1168" s="3" t="s">
        <v>25</v>
      </c>
      <c r="I1168" s="3" t="str">
        <f t="shared" si="72"/>
        <v>Yes</v>
      </c>
      <c r="J1168" s="3" t="s">
        <v>682</v>
      </c>
      <c r="K1168" s="3">
        <v>2003</v>
      </c>
      <c r="L1168" s="3" t="str">
        <f t="shared" si="75"/>
        <v>May-2003</v>
      </c>
      <c r="M1168" s="3" t="s">
        <v>181</v>
      </c>
      <c r="N1168" s="3" t="s">
        <v>312</v>
      </c>
      <c r="O1168" s="3" t="s">
        <v>41</v>
      </c>
      <c r="P1168" s="3" t="s">
        <v>42</v>
      </c>
      <c r="Q1168" s="3" t="s">
        <v>51</v>
      </c>
    </row>
    <row r="1169" spans="1:17" x14ac:dyDescent="0.25">
      <c r="A1169" s="5">
        <v>10137</v>
      </c>
      <c r="B1169" s="5">
        <v>31</v>
      </c>
      <c r="C1169" s="5">
        <v>100</v>
      </c>
      <c r="D1169" s="5">
        <v>3100</v>
      </c>
      <c r="E1169" s="5" t="str">
        <f t="shared" si="73"/>
        <v>Medium</v>
      </c>
      <c r="F1169" s="5">
        <f t="shared" si="74"/>
        <v>930</v>
      </c>
      <c r="G1169" s="6">
        <v>37812</v>
      </c>
      <c r="H1169" s="5" t="s">
        <v>25</v>
      </c>
      <c r="I1169" s="5" t="str">
        <f t="shared" si="72"/>
        <v>Yes</v>
      </c>
      <c r="J1169" s="5" t="s">
        <v>683</v>
      </c>
      <c r="K1169" s="5">
        <v>2003</v>
      </c>
      <c r="L1169" s="5" t="str">
        <f t="shared" si="75"/>
        <v>Jul-2003</v>
      </c>
      <c r="M1169" s="5" t="s">
        <v>181</v>
      </c>
      <c r="N1169" s="5" t="s">
        <v>37</v>
      </c>
      <c r="O1169" s="5" t="s">
        <v>41</v>
      </c>
      <c r="P1169" s="5" t="s">
        <v>42</v>
      </c>
      <c r="Q1169" s="5" t="s">
        <v>51</v>
      </c>
    </row>
    <row r="1170" spans="1:17" x14ac:dyDescent="0.25">
      <c r="A1170" s="3">
        <v>10148</v>
      </c>
      <c r="B1170" s="3">
        <v>28</v>
      </c>
      <c r="C1170" s="3">
        <v>100</v>
      </c>
      <c r="D1170" s="3">
        <v>2800</v>
      </c>
      <c r="E1170" s="3" t="str">
        <f t="shared" si="73"/>
        <v>Medium</v>
      </c>
      <c r="F1170" s="3">
        <f t="shared" si="74"/>
        <v>840</v>
      </c>
      <c r="G1170" s="4">
        <v>37875</v>
      </c>
      <c r="H1170" s="3" t="s">
        <v>25</v>
      </c>
      <c r="I1170" s="3" t="str">
        <f t="shared" si="72"/>
        <v>Yes</v>
      </c>
      <c r="J1170" s="3" t="s">
        <v>690</v>
      </c>
      <c r="K1170" s="3">
        <v>2003</v>
      </c>
      <c r="L1170" s="3" t="str">
        <f t="shared" si="75"/>
        <v>Sep-2003</v>
      </c>
      <c r="M1170" s="3" t="s">
        <v>181</v>
      </c>
      <c r="N1170" s="3" t="s">
        <v>285</v>
      </c>
      <c r="O1170" s="3" t="s">
        <v>95</v>
      </c>
      <c r="P1170" s="3" t="s">
        <v>96</v>
      </c>
      <c r="Q1170" s="3" t="s">
        <v>51</v>
      </c>
    </row>
    <row r="1171" spans="1:17" x14ac:dyDescent="0.25">
      <c r="A1171" s="5">
        <v>10161</v>
      </c>
      <c r="B1171" s="5">
        <v>36</v>
      </c>
      <c r="C1171" s="5">
        <v>100</v>
      </c>
      <c r="D1171" s="5">
        <v>3600</v>
      </c>
      <c r="E1171" s="5" t="str">
        <f t="shared" si="73"/>
        <v>Medium</v>
      </c>
      <c r="F1171" s="5">
        <f t="shared" si="74"/>
        <v>1080</v>
      </c>
      <c r="G1171" s="6">
        <v>37911</v>
      </c>
      <c r="H1171" s="5" t="s">
        <v>25</v>
      </c>
      <c r="I1171" s="5" t="str">
        <f t="shared" si="72"/>
        <v>Yes</v>
      </c>
      <c r="J1171" s="5" t="s">
        <v>685</v>
      </c>
      <c r="K1171" s="5">
        <v>2003</v>
      </c>
      <c r="L1171" s="5" t="str">
        <f t="shared" si="75"/>
        <v>Oct-2003</v>
      </c>
      <c r="M1171" s="5" t="s">
        <v>181</v>
      </c>
      <c r="N1171" s="5" t="s">
        <v>498</v>
      </c>
      <c r="O1171" s="5" t="s">
        <v>326</v>
      </c>
      <c r="P1171" s="5" t="s">
        <v>42</v>
      </c>
      <c r="Q1171" s="5" t="s">
        <v>51</v>
      </c>
    </row>
    <row r="1172" spans="1:17" x14ac:dyDescent="0.25">
      <c r="A1172" s="3">
        <v>10172</v>
      </c>
      <c r="B1172" s="3">
        <v>48</v>
      </c>
      <c r="C1172" s="3">
        <v>100</v>
      </c>
      <c r="D1172" s="3">
        <v>4800</v>
      </c>
      <c r="E1172" s="3" t="str">
        <f t="shared" si="73"/>
        <v>Medium</v>
      </c>
      <c r="F1172" s="3">
        <f t="shared" si="74"/>
        <v>1440</v>
      </c>
      <c r="G1172" s="4">
        <v>37930</v>
      </c>
      <c r="H1172" s="3" t="s">
        <v>25</v>
      </c>
      <c r="I1172" s="3" t="str">
        <f t="shared" si="72"/>
        <v>Yes</v>
      </c>
      <c r="J1172" s="3" t="s">
        <v>686</v>
      </c>
      <c r="K1172" s="3">
        <v>2003</v>
      </c>
      <c r="L1172" s="3" t="str">
        <f t="shared" si="75"/>
        <v>Nov-2003</v>
      </c>
      <c r="M1172" s="3" t="s">
        <v>181</v>
      </c>
      <c r="N1172" s="3" t="s">
        <v>109</v>
      </c>
      <c r="O1172" s="3" t="s">
        <v>32</v>
      </c>
      <c r="P1172" s="3" t="s">
        <v>33</v>
      </c>
      <c r="Q1172" s="3" t="s">
        <v>51</v>
      </c>
    </row>
    <row r="1173" spans="1:17" x14ac:dyDescent="0.25">
      <c r="A1173" s="5">
        <v>10181</v>
      </c>
      <c r="B1173" s="5">
        <v>39</v>
      </c>
      <c r="C1173" s="5">
        <v>100</v>
      </c>
      <c r="D1173" s="5">
        <v>3900</v>
      </c>
      <c r="E1173" s="5" t="str">
        <f t="shared" si="73"/>
        <v>Medium</v>
      </c>
      <c r="F1173" s="5">
        <f t="shared" si="74"/>
        <v>1170</v>
      </c>
      <c r="G1173" s="6">
        <v>37937</v>
      </c>
      <c r="H1173" s="5" t="s">
        <v>25</v>
      </c>
      <c r="I1173" s="5" t="str">
        <f t="shared" si="72"/>
        <v>Yes</v>
      </c>
      <c r="J1173" s="5" t="s">
        <v>686</v>
      </c>
      <c r="K1173" s="5">
        <v>2003</v>
      </c>
      <c r="L1173" s="5" t="str">
        <f t="shared" si="75"/>
        <v>Nov-2003</v>
      </c>
      <c r="M1173" s="5" t="s">
        <v>181</v>
      </c>
      <c r="N1173" s="5" t="s">
        <v>73</v>
      </c>
      <c r="O1173" s="5" t="s">
        <v>78</v>
      </c>
      <c r="P1173" s="5" t="s">
        <v>42</v>
      </c>
      <c r="Q1173" s="5" t="s">
        <v>51</v>
      </c>
    </row>
    <row r="1174" spans="1:17" x14ac:dyDescent="0.25">
      <c r="A1174" s="3">
        <v>10192</v>
      </c>
      <c r="B1174" s="3">
        <v>45</v>
      </c>
      <c r="C1174" s="3">
        <v>100</v>
      </c>
      <c r="D1174" s="3">
        <v>4500</v>
      </c>
      <c r="E1174" s="3" t="str">
        <f t="shared" si="73"/>
        <v>Medium</v>
      </c>
      <c r="F1174" s="3">
        <f t="shared" si="74"/>
        <v>1350</v>
      </c>
      <c r="G1174" s="4">
        <v>37945</v>
      </c>
      <c r="H1174" s="3" t="s">
        <v>25</v>
      </c>
      <c r="I1174" s="3" t="str">
        <f t="shared" si="72"/>
        <v>Yes</v>
      </c>
      <c r="J1174" s="3" t="s">
        <v>686</v>
      </c>
      <c r="K1174" s="3">
        <v>2003</v>
      </c>
      <c r="L1174" s="3" t="str">
        <f t="shared" si="75"/>
        <v>Nov-2003</v>
      </c>
      <c r="M1174" s="3" t="s">
        <v>181</v>
      </c>
      <c r="N1174" s="3" t="s">
        <v>277</v>
      </c>
      <c r="O1174" s="3" t="s">
        <v>32</v>
      </c>
      <c r="P1174" s="3" t="s">
        <v>33</v>
      </c>
      <c r="Q1174" s="3" t="s">
        <v>51</v>
      </c>
    </row>
    <row r="1175" spans="1:17" x14ac:dyDescent="0.25">
      <c r="A1175" s="5">
        <v>10204</v>
      </c>
      <c r="B1175" s="5">
        <v>35</v>
      </c>
      <c r="C1175" s="5">
        <v>100</v>
      </c>
      <c r="D1175" s="5">
        <v>3500</v>
      </c>
      <c r="E1175" s="5" t="str">
        <f t="shared" si="73"/>
        <v>Medium</v>
      </c>
      <c r="F1175" s="5">
        <f t="shared" si="74"/>
        <v>1050</v>
      </c>
      <c r="G1175" s="6">
        <v>37957</v>
      </c>
      <c r="H1175" s="5" t="s">
        <v>25</v>
      </c>
      <c r="I1175" s="5" t="str">
        <f t="shared" si="72"/>
        <v>Yes</v>
      </c>
      <c r="J1175" s="5" t="s">
        <v>687</v>
      </c>
      <c r="K1175" s="5">
        <v>2003</v>
      </c>
      <c r="L1175" s="5" t="str">
        <f t="shared" si="75"/>
        <v>Dec-2003</v>
      </c>
      <c r="M1175" s="5" t="s">
        <v>181</v>
      </c>
      <c r="N1175" s="5" t="s">
        <v>475</v>
      </c>
      <c r="O1175" s="5" t="s">
        <v>32</v>
      </c>
      <c r="P1175" s="5" t="s">
        <v>33</v>
      </c>
      <c r="Q1175" s="5" t="s">
        <v>51</v>
      </c>
    </row>
    <row r="1176" spans="1:17" x14ac:dyDescent="0.25">
      <c r="A1176" s="3">
        <v>10212</v>
      </c>
      <c r="B1176" s="3">
        <v>45</v>
      </c>
      <c r="C1176" s="3">
        <v>100</v>
      </c>
      <c r="D1176" s="3">
        <v>4500</v>
      </c>
      <c r="E1176" s="3" t="str">
        <f t="shared" si="73"/>
        <v>Medium</v>
      </c>
      <c r="F1176" s="3">
        <f t="shared" si="74"/>
        <v>1350</v>
      </c>
      <c r="G1176" s="4">
        <v>38002</v>
      </c>
      <c r="H1176" s="3" t="s">
        <v>25</v>
      </c>
      <c r="I1176" s="3" t="str">
        <f t="shared" si="72"/>
        <v>Yes</v>
      </c>
      <c r="J1176" s="3" t="s">
        <v>549</v>
      </c>
      <c r="K1176" s="3">
        <v>2004</v>
      </c>
      <c r="L1176" s="3" t="str">
        <f t="shared" si="75"/>
        <v>Jan-2004</v>
      </c>
      <c r="M1176" s="3" t="s">
        <v>181</v>
      </c>
      <c r="N1176" s="3" t="s">
        <v>174</v>
      </c>
      <c r="O1176" s="3" t="s">
        <v>178</v>
      </c>
      <c r="P1176" s="3" t="s">
        <v>42</v>
      </c>
      <c r="Q1176" s="3" t="s">
        <v>51</v>
      </c>
    </row>
    <row r="1177" spans="1:17" x14ac:dyDescent="0.25">
      <c r="A1177" s="5">
        <v>10226</v>
      </c>
      <c r="B1177" s="5">
        <v>46</v>
      </c>
      <c r="C1177" s="5">
        <v>100</v>
      </c>
      <c r="D1177" s="5">
        <v>4600</v>
      </c>
      <c r="E1177" s="5" t="str">
        <f t="shared" si="73"/>
        <v>Medium</v>
      </c>
      <c r="F1177" s="5">
        <f t="shared" si="74"/>
        <v>1380</v>
      </c>
      <c r="G1177" s="6">
        <v>38043</v>
      </c>
      <c r="H1177" s="5" t="s">
        <v>25</v>
      </c>
      <c r="I1177" s="5" t="str">
        <f t="shared" si="72"/>
        <v>Yes</v>
      </c>
      <c r="J1177" s="5" t="s">
        <v>681</v>
      </c>
      <c r="K1177" s="5">
        <v>2004</v>
      </c>
      <c r="L1177" s="5" t="str">
        <f t="shared" si="75"/>
        <v>Feb-2004</v>
      </c>
      <c r="M1177" s="5" t="s">
        <v>181</v>
      </c>
      <c r="N1177" s="5" t="s">
        <v>362</v>
      </c>
      <c r="O1177" s="5" t="s">
        <v>32</v>
      </c>
      <c r="P1177" s="5" t="s">
        <v>33</v>
      </c>
      <c r="Q1177" s="5" t="s">
        <v>151</v>
      </c>
    </row>
    <row r="1178" spans="1:17" x14ac:dyDescent="0.25">
      <c r="A1178" s="3">
        <v>10240</v>
      </c>
      <c r="B1178" s="3">
        <v>37</v>
      </c>
      <c r="C1178" s="3">
        <v>100</v>
      </c>
      <c r="D1178" s="3">
        <v>3700</v>
      </c>
      <c r="E1178" s="3" t="str">
        <f t="shared" si="73"/>
        <v>Medium</v>
      </c>
      <c r="F1178" s="3">
        <f t="shared" si="74"/>
        <v>1110</v>
      </c>
      <c r="G1178" s="4">
        <v>38090</v>
      </c>
      <c r="H1178" s="3" t="s">
        <v>25</v>
      </c>
      <c r="I1178" s="3" t="str">
        <f t="shared" si="72"/>
        <v>Yes</v>
      </c>
      <c r="J1178" s="3" t="s">
        <v>688</v>
      </c>
      <c r="K1178" s="3">
        <v>2004</v>
      </c>
      <c r="L1178" s="3" t="str">
        <f t="shared" si="75"/>
        <v>Apr-2004</v>
      </c>
      <c r="M1178" s="3" t="s">
        <v>181</v>
      </c>
      <c r="N1178" s="3" t="s">
        <v>302</v>
      </c>
      <c r="O1178" s="3" t="s">
        <v>200</v>
      </c>
      <c r="P1178" s="3" t="s">
        <v>675</v>
      </c>
      <c r="Q1178" s="3" t="s">
        <v>51</v>
      </c>
    </row>
    <row r="1179" spans="1:17" x14ac:dyDescent="0.25">
      <c r="A1179" s="5">
        <v>10253</v>
      </c>
      <c r="B1179" s="5">
        <v>31</v>
      </c>
      <c r="C1179" s="5">
        <v>100</v>
      </c>
      <c r="D1179" s="5">
        <v>3100</v>
      </c>
      <c r="E1179" s="5" t="str">
        <f t="shared" si="73"/>
        <v>Medium</v>
      </c>
      <c r="F1179" s="5">
        <f t="shared" si="74"/>
        <v>930</v>
      </c>
      <c r="G1179" s="6">
        <v>38139</v>
      </c>
      <c r="H1179" s="5" t="s">
        <v>339</v>
      </c>
      <c r="I1179" s="5" t="str">
        <f t="shared" si="72"/>
        <v>No</v>
      </c>
      <c r="J1179" s="5" t="s">
        <v>689</v>
      </c>
      <c r="K1179" s="5">
        <v>2004</v>
      </c>
      <c r="L1179" s="5" t="str">
        <f t="shared" si="75"/>
        <v>Jun-2004</v>
      </c>
      <c r="M1179" s="5" t="s">
        <v>181</v>
      </c>
      <c r="N1179" s="5" t="s">
        <v>165</v>
      </c>
      <c r="O1179" s="5" t="s">
        <v>170</v>
      </c>
      <c r="P1179" s="5" t="s">
        <v>42</v>
      </c>
      <c r="Q1179" s="5" t="s">
        <v>51</v>
      </c>
    </row>
    <row r="1180" spans="1:17" x14ac:dyDescent="0.25">
      <c r="A1180" s="3">
        <v>10266</v>
      </c>
      <c r="B1180" s="3">
        <v>33</v>
      </c>
      <c r="C1180" s="3">
        <v>100</v>
      </c>
      <c r="D1180" s="3">
        <v>3300</v>
      </c>
      <c r="E1180" s="3" t="str">
        <f t="shared" si="73"/>
        <v>Medium</v>
      </c>
      <c r="F1180" s="3">
        <f t="shared" si="74"/>
        <v>990</v>
      </c>
      <c r="G1180" s="4">
        <v>38174</v>
      </c>
      <c r="H1180" s="3" t="s">
        <v>25</v>
      </c>
      <c r="I1180" s="3" t="str">
        <f t="shared" si="72"/>
        <v>Yes</v>
      </c>
      <c r="J1180" s="3" t="s">
        <v>683</v>
      </c>
      <c r="K1180" s="3">
        <v>2004</v>
      </c>
      <c r="L1180" s="3" t="str">
        <f t="shared" si="75"/>
        <v>Jul-2004</v>
      </c>
      <c r="M1180" s="3" t="s">
        <v>181</v>
      </c>
      <c r="N1180" s="3" t="s">
        <v>452</v>
      </c>
      <c r="O1180" s="3" t="s">
        <v>258</v>
      </c>
      <c r="P1180" s="3" t="s">
        <v>42</v>
      </c>
      <c r="Q1180" s="3" t="s">
        <v>51</v>
      </c>
    </row>
    <row r="1181" spans="1:17" x14ac:dyDescent="0.25">
      <c r="A1181" s="5">
        <v>10278</v>
      </c>
      <c r="B1181" s="5">
        <v>31</v>
      </c>
      <c r="C1181" s="5">
        <v>100</v>
      </c>
      <c r="D1181" s="5">
        <v>3100</v>
      </c>
      <c r="E1181" s="5" t="str">
        <f t="shared" si="73"/>
        <v>Medium</v>
      </c>
      <c r="F1181" s="5">
        <f t="shared" si="74"/>
        <v>930</v>
      </c>
      <c r="G1181" s="6">
        <v>38205</v>
      </c>
      <c r="H1181" s="5" t="s">
        <v>25</v>
      </c>
      <c r="I1181" s="5" t="str">
        <f t="shared" si="72"/>
        <v>Yes</v>
      </c>
      <c r="J1181" s="5" t="s">
        <v>684</v>
      </c>
      <c r="K1181" s="5">
        <v>2004</v>
      </c>
      <c r="L1181" s="5" t="str">
        <f t="shared" si="75"/>
        <v>Aug-2004</v>
      </c>
      <c r="M1181" s="5" t="s">
        <v>181</v>
      </c>
      <c r="N1181" s="5" t="s">
        <v>539</v>
      </c>
      <c r="O1181" s="5" t="s">
        <v>32</v>
      </c>
      <c r="P1181" s="5" t="s">
        <v>33</v>
      </c>
      <c r="Q1181" s="5" t="s">
        <v>51</v>
      </c>
    </row>
    <row r="1182" spans="1:17" x14ac:dyDescent="0.25">
      <c r="A1182" s="3">
        <v>10287</v>
      </c>
      <c r="B1182" s="3">
        <v>27</v>
      </c>
      <c r="C1182" s="3">
        <v>100</v>
      </c>
      <c r="D1182" s="3">
        <v>2700</v>
      </c>
      <c r="E1182" s="3" t="str">
        <f t="shared" si="73"/>
        <v>Medium</v>
      </c>
      <c r="F1182" s="3">
        <f t="shared" si="74"/>
        <v>810</v>
      </c>
      <c r="G1182" s="4">
        <v>38229</v>
      </c>
      <c r="H1182" s="3" t="s">
        <v>25</v>
      </c>
      <c r="I1182" s="3" t="str">
        <f t="shared" si="72"/>
        <v>Yes</v>
      </c>
      <c r="J1182" s="3" t="s">
        <v>684</v>
      </c>
      <c r="K1182" s="3">
        <v>2004</v>
      </c>
      <c r="L1182" s="3" t="str">
        <f t="shared" si="75"/>
        <v>Aug-2004</v>
      </c>
      <c r="M1182" s="3" t="s">
        <v>181</v>
      </c>
      <c r="N1182" s="3" t="s">
        <v>446</v>
      </c>
      <c r="O1182" s="3" t="s">
        <v>450</v>
      </c>
      <c r="P1182" s="3" t="s">
        <v>42</v>
      </c>
      <c r="Q1182" s="3" t="s">
        <v>51</v>
      </c>
    </row>
    <row r="1183" spans="1:17" x14ac:dyDescent="0.25">
      <c r="A1183" s="5">
        <v>10301</v>
      </c>
      <c r="B1183" s="5">
        <v>39</v>
      </c>
      <c r="C1183" s="5">
        <v>100</v>
      </c>
      <c r="D1183" s="5">
        <v>3900</v>
      </c>
      <c r="E1183" s="5" t="str">
        <f t="shared" si="73"/>
        <v>Medium</v>
      </c>
      <c r="F1183" s="5">
        <f t="shared" si="74"/>
        <v>1170</v>
      </c>
      <c r="G1183" s="6">
        <v>37899</v>
      </c>
      <c r="H1183" s="5" t="s">
        <v>25</v>
      </c>
      <c r="I1183" s="5" t="str">
        <f t="shared" si="72"/>
        <v>Yes</v>
      </c>
      <c r="J1183" s="5" t="s">
        <v>685</v>
      </c>
      <c r="K1183" s="5">
        <v>2003</v>
      </c>
      <c r="L1183" s="5" t="str">
        <f t="shared" si="75"/>
        <v>Oct-2003</v>
      </c>
      <c r="M1183" s="5" t="s">
        <v>181</v>
      </c>
      <c r="N1183" s="5" t="s">
        <v>543</v>
      </c>
      <c r="O1183" s="5" t="s">
        <v>78</v>
      </c>
      <c r="P1183" s="5" t="s">
        <v>42</v>
      </c>
      <c r="Q1183" s="5" t="s">
        <v>51</v>
      </c>
    </row>
    <row r="1184" spans="1:17" x14ac:dyDescent="0.25">
      <c r="A1184" s="3">
        <v>10311</v>
      </c>
      <c r="B1184" s="3">
        <v>32</v>
      </c>
      <c r="C1184" s="3">
        <v>100</v>
      </c>
      <c r="D1184" s="3">
        <v>3200</v>
      </c>
      <c r="E1184" s="3" t="str">
        <f t="shared" si="73"/>
        <v>Medium</v>
      </c>
      <c r="F1184" s="3">
        <f t="shared" si="74"/>
        <v>960</v>
      </c>
      <c r="G1184" s="4">
        <v>38276</v>
      </c>
      <c r="H1184" s="3" t="s">
        <v>25</v>
      </c>
      <c r="I1184" s="3" t="str">
        <f t="shared" si="72"/>
        <v>Yes</v>
      </c>
      <c r="J1184" s="3" t="s">
        <v>685</v>
      </c>
      <c r="K1184" s="3">
        <v>2004</v>
      </c>
      <c r="L1184" s="3" t="str">
        <f t="shared" si="75"/>
        <v>Oct-2004</v>
      </c>
      <c r="M1184" s="3" t="s">
        <v>181</v>
      </c>
      <c r="N1184" s="3" t="s">
        <v>174</v>
      </c>
      <c r="O1184" s="3" t="s">
        <v>178</v>
      </c>
      <c r="P1184" s="3" t="s">
        <v>42</v>
      </c>
      <c r="Q1184" s="3" t="s">
        <v>51</v>
      </c>
    </row>
    <row r="1185" spans="1:17" x14ac:dyDescent="0.25">
      <c r="A1185" s="5">
        <v>10321</v>
      </c>
      <c r="B1185" s="5">
        <v>28</v>
      </c>
      <c r="C1185" s="5">
        <v>100</v>
      </c>
      <c r="D1185" s="5">
        <v>2800</v>
      </c>
      <c r="E1185" s="5" t="str">
        <f t="shared" si="73"/>
        <v>Medium</v>
      </c>
      <c r="F1185" s="5">
        <f t="shared" si="74"/>
        <v>840</v>
      </c>
      <c r="G1185" s="6">
        <v>38295</v>
      </c>
      <c r="H1185" s="5" t="s">
        <v>25</v>
      </c>
      <c r="I1185" s="5" t="str">
        <f t="shared" si="72"/>
        <v>Yes</v>
      </c>
      <c r="J1185" s="5" t="s">
        <v>686</v>
      </c>
      <c r="K1185" s="5">
        <v>2004</v>
      </c>
      <c r="L1185" s="5" t="str">
        <f t="shared" si="75"/>
        <v>Nov-2004</v>
      </c>
      <c r="M1185" s="5" t="s">
        <v>181</v>
      </c>
      <c r="N1185" s="5" t="s">
        <v>160</v>
      </c>
      <c r="O1185" s="5" t="s">
        <v>32</v>
      </c>
      <c r="P1185" s="5" t="s">
        <v>33</v>
      </c>
      <c r="Q1185" s="5" t="s">
        <v>51</v>
      </c>
    </row>
    <row r="1186" spans="1:17" x14ac:dyDescent="0.25">
      <c r="A1186" s="3">
        <v>10331</v>
      </c>
      <c r="B1186" s="3">
        <v>26</v>
      </c>
      <c r="C1186" s="3">
        <v>67.91</v>
      </c>
      <c r="D1186" s="3">
        <v>1765.6599999999999</v>
      </c>
      <c r="E1186" s="3" t="str">
        <f t="shared" si="73"/>
        <v>Low</v>
      </c>
      <c r="F1186" s="3">
        <f t="shared" si="74"/>
        <v>529.69799999999998</v>
      </c>
      <c r="G1186" s="4">
        <v>38308</v>
      </c>
      <c r="H1186" s="3" t="s">
        <v>25</v>
      </c>
      <c r="I1186" s="3" t="str">
        <f t="shared" si="72"/>
        <v>Yes</v>
      </c>
      <c r="J1186" s="3" t="s">
        <v>686</v>
      </c>
      <c r="K1186" s="3">
        <v>2004</v>
      </c>
      <c r="L1186" s="3" t="str">
        <f t="shared" si="75"/>
        <v>Nov-2004</v>
      </c>
      <c r="M1186" s="3" t="s">
        <v>181</v>
      </c>
      <c r="N1186" s="3" t="s">
        <v>309</v>
      </c>
      <c r="O1186" s="3" t="s">
        <v>32</v>
      </c>
      <c r="P1186" s="3" t="s">
        <v>33</v>
      </c>
      <c r="Q1186" s="3" t="s">
        <v>36</v>
      </c>
    </row>
    <row r="1187" spans="1:17" x14ac:dyDescent="0.25">
      <c r="A1187" s="5">
        <v>10343</v>
      </c>
      <c r="B1187" s="5">
        <v>44</v>
      </c>
      <c r="C1187" s="5">
        <v>84.88</v>
      </c>
      <c r="D1187" s="5">
        <v>3734.72</v>
      </c>
      <c r="E1187" s="5" t="str">
        <f t="shared" si="73"/>
        <v>Medium</v>
      </c>
      <c r="F1187" s="5">
        <f t="shared" si="74"/>
        <v>1120.4159999999999</v>
      </c>
      <c r="G1187" s="6">
        <v>38315</v>
      </c>
      <c r="H1187" s="5" t="s">
        <v>25</v>
      </c>
      <c r="I1187" s="5" t="str">
        <f t="shared" si="72"/>
        <v>Yes</v>
      </c>
      <c r="J1187" s="5" t="s">
        <v>686</v>
      </c>
      <c r="K1187" s="5">
        <v>2004</v>
      </c>
      <c r="L1187" s="5" t="str">
        <f t="shared" si="75"/>
        <v>Nov-2004</v>
      </c>
      <c r="M1187" s="5" t="s">
        <v>181</v>
      </c>
      <c r="N1187" s="5" t="s">
        <v>37</v>
      </c>
      <c r="O1187" s="5" t="s">
        <v>41</v>
      </c>
      <c r="P1187" s="5" t="s">
        <v>42</v>
      </c>
      <c r="Q1187" s="5" t="s">
        <v>51</v>
      </c>
    </row>
    <row r="1188" spans="1:17" x14ac:dyDescent="0.25">
      <c r="A1188" s="3">
        <v>10367</v>
      </c>
      <c r="B1188" s="3">
        <v>46</v>
      </c>
      <c r="C1188" s="3">
        <v>100</v>
      </c>
      <c r="D1188" s="3">
        <v>4600</v>
      </c>
      <c r="E1188" s="3" t="str">
        <f t="shared" si="73"/>
        <v>Medium</v>
      </c>
      <c r="F1188" s="3">
        <f t="shared" si="74"/>
        <v>1380</v>
      </c>
      <c r="G1188" s="4">
        <v>38364</v>
      </c>
      <c r="H1188" s="3" t="s">
        <v>408</v>
      </c>
      <c r="I1188" s="3" t="str">
        <f t="shared" si="72"/>
        <v>No</v>
      </c>
      <c r="J1188" s="3" t="s">
        <v>549</v>
      </c>
      <c r="K1188" s="3">
        <v>2005</v>
      </c>
      <c r="L1188" s="3" t="str">
        <f t="shared" si="75"/>
        <v>Jan-2005</v>
      </c>
      <c r="M1188" s="3" t="s">
        <v>181</v>
      </c>
      <c r="N1188" s="3" t="s">
        <v>52</v>
      </c>
      <c r="O1188" s="3" t="s">
        <v>32</v>
      </c>
      <c r="P1188" s="3" t="s">
        <v>33</v>
      </c>
      <c r="Q1188" s="3" t="s">
        <v>51</v>
      </c>
    </row>
    <row r="1189" spans="1:17" x14ac:dyDescent="0.25">
      <c r="A1189" s="5">
        <v>10379</v>
      </c>
      <c r="B1189" s="5">
        <v>32</v>
      </c>
      <c r="C1189" s="5">
        <v>70.83</v>
      </c>
      <c r="D1189" s="5">
        <v>2266.56</v>
      </c>
      <c r="E1189" s="5" t="str">
        <f t="shared" si="73"/>
        <v>Medium</v>
      </c>
      <c r="F1189" s="5">
        <f t="shared" si="74"/>
        <v>679.96799999999996</v>
      </c>
      <c r="G1189" s="6">
        <v>38393</v>
      </c>
      <c r="H1189" s="5" t="s">
        <v>25</v>
      </c>
      <c r="I1189" s="5" t="str">
        <f t="shared" si="72"/>
        <v>Yes</v>
      </c>
      <c r="J1189" s="5" t="s">
        <v>681</v>
      </c>
      <c r="K1189" s="5">
        <v>2005</v>
      </c>
      <c r="L1189" s="5" t="str">
        <f t="shared" si="75"/>
        <v>Feb-2005</v>
      </c>
      <c r="M1189" s="5" t="s">
        <v>181</v>
      </c>
      <c r="N1189" s="5" t="s">
        <v>174</v>
      </c>
      <c r="O1189" s="5" t="s">
        <v>178</v>
      </c>
      <c r="P1189" s="5" t="s">
        <v>42</v>
      </c>
      <c r="Q1189" s="5" t="s">
        <v>36</v>
      </c>
    </row>
    <row r="1190" spans="1:17" x14ac:dyDescent="0.25">
      <c r="A1190" s="3">
        <v>10406</v>
      </c>
      <c r="B1190" s="3">
        <v>65</v>
      </c>
      <c r="C1190" s="3">
        <v>100</v>
      </c>
      <c r="D1190" s="3">
        <v>6500</v>
      </c>
      <c r="E1190" s="3" t="str">
        <f t="shared" si="73"/>
        <v>High</v>
      </c>
      <c r="F1190" s="3">
        <f t="shared" si="74"/>
        <v>1950</v>
      </c>
      <c r="G1190" s="4">
        <v>38457</v>
      </c>
      <c r="H1190" s="3" t="s">
        <v>173</v>
      </c>
      <c r="I1190" s="3" t="str">
        <f t="shared" si="72"/>
        <v>No</v>
      </c>
      <c r="J1190" s="3" t="s">
        <v>688</v>
      </c>
      <c r="K1190" s="3">
        <v>2005</v>
      </c>
      <c r="L1190" s="3" t="str">
        <f t="shared" si="75"/>
        <v>Apr-2005</v>
      </c>
      <c r="M1190" s="3" t="s">
        <v>181</v>
      </c>
      <c r="N1190" s="3" t="s">
        <v>322</v>
      </c>
      <c r="O1190" s="3" t="s">
        <v>326</v>
      </c>
      <c r="P1190" s="3" t="s">
        <v>42</v>
      </c>
      <c r="Q1190" s="3" t="s">
        <v>151</v>
      </c>
    </row>
    <row r="1191" spans="1:17" x14ac:dyDescent="0.25">
      <c r="A1191" s="5">
        <v>10419</v>
      </c>
      <c r="B1191" s="5">
        <v>43</v>
      </c>
      <c r="C1191" s="5">
        <v>100</v>
      </c>
      <c r="D1191" s="5">
        <v>4300</v>
      </c>
      <c r="E1191" s="5" t="str">
        <f t="shared" si="73"/>
        <v>Medium</v>
      </c>
      <c r="F1191" s="5">
        <f t="shared" si="74"/>
        <v>1290</v>
      </c>
      <c r="G1191" s="6">
        <v>38489</v>
      </c>
      <c r="H1191" s="5" t="s">
        <v>25</v>
      </c>
      <c r="I1191" s="5" t="str">
        <f t="shared" si="72"/>
        <v>Yes</v>
      </c>
      <c r="J1191" s="5" t="s">
        <v>682</v>
      </c>
      <c r="K1191" s="5">
        <v>2005</v>
      </c>
      <c r="L1191" s="5" t="str">
        <f t="shared" si="75"/>
        <v>May-2005</v>
      </c>
      <c r="M1191" s="5" t="s">
        <v>181</v>
      </c>
      <c r="N1191" s="5" t="s">
        <v>144</v>
      </c>
      <c r="O1191" s="5" t="s">
        <v>148</v>
      </c>
      <c r="P1191" s="5" t="s">
        <v>42</v>
      </c>
      <c r="Q1191" s="5" t="s">
        <v>51</v>
      </c>
    </row>
    <row r="1192" spans="1:17" x14ac:dyDescent="0.25">
      <c r="A1192" s="3">
        <v>10108</v>
      </c>
      <c r="B1192" s="3">
        <v>43</v>
      </c>
      <c r="C1192" s="3">
        <v>67.77</v>
      </c>
      <c r="D1192" s="3">
        <v>2914.1099999999997</v>
      </c>
      <c r="E1192" s="3" t="str">
        <f t="shared" si="73"/>
        <v>Medium</v>
      </c>
      <c r="F1192" s="3">
        <f t="shared" si="74"/>
        <v>874.23299999999983</v>
      </c>
      <c r="G1192" s="4">
        <v>37683</v>
      </c>
      <c r="H1192" s="3" t="s">
        <v>25</v>
      </c>
      <c r="I1192" s="3" t="str">
        <f t="shared" si="72"/>
        <v>Yes</v>
      </c>
      <c r="J1192" s="3" t="s">
        <v>691</v>
      </c>
      <c r="K1192" s="3">
        <v>2003</v>
      </c>
      <c r="L1192" s="3" t="str">
        <f t="shared" si="75"/>
        <v>Mar-2003</v>
      </c>
      <c r="M1192" s="3" t="s">
        <v>26</v>
      </c>
      <c r="N1192" s="3" t="s">
        <v>425</v>
      </c>
      <c r="O1192" s="3" t="s">
        <v>430</v>
      </c>
      <c r="P1192" s="3" t="s">
        <v>675</v>
      </c>
      <c r="Q1192" s="3" t="s">
        <v>36</v>
      </c>
    </row>
    <row r="1193" spans="1:17" x14ac:dyDescent="0.25">
      <c r="A1193" s="5">
        <v>10122</v>
      </c>
      <c r="B1193" s="5">
        <v>35</v>
      </c>
      <c r="C1193" s="5">
        <v>49.74</v>
      </c>
      <c r="D1193" s="5">
        <v>1740.9</v>
      </c>
      <c r="E1193" s="5" t="str">
        <f t="shared" si="73"/>
        <v>Low</v>
      </c>
      <c r="F1193" s="5">
        <f t="shared" si="74"/>
        <v>522.27</v>
      </c>
      <c r="G1193" s="6">
        <v>37749</v>
      </c>
      <c r="H1193" s="5" t="s">
        <v>25</v>
      </c>
      <c r="I1193" s="5" t="str">
        <f t="shared" si="72"/>
        <v>Yes</v>
      </c>
      <c r="J1193" s="5" t="s">
        <v>682</v>
      </c>
      <c r="K1193" s="5">
        <v>2003</v>
      </c>
      <c r="L1193" s="5" t="str">
        <f t="shared" si="75"/>
        <v>May-2003</v>
      </c>
      <c r="M1193" s="5" t="s">
        <v>26</v>
      </c>
      <c r="N1193" s="5" t="s">
        <v>433</v>
      </c>
      <c r="O1193" s="5" t="s">
        <v>41</v>
      </c>
      <c r="P1193" s="5" t="s">
        <v>42</v>
      </c>
      <c r="Q1193" s="5" t="s">
        <v>36</v>
      </c>
    </row>
    <row r="1194" spans="1:17" x14ac:dyDescent="0.25">
      <c r="A1194" s="3">
        <v>10135</v>
      </c>
      <c r="B1194" s="3">
        <v>45</v>
      </c>
      <c r="C1194" s="3">
        <v>50.36</v>
      </c>
      <c r="D1194" s="3">
        <v>2266.1999999999998</v>
      </c>
      <c r="E1194" s="3" t="str">
        <f t="shared" si="73"/>
        <v>Medium</v>
      </c>
      <c r="F1194" s="3">
        <f t="shared" si="74"/>
        <v>679.8599999999999</v>
      </c>
      <c r="G1194" s="4">
        <v>37804</v>
      </c>
      <c r="H1194" s="3" t="s">
        <v>25</v>
      </c>
      <c r="I1194" s="3" t="str">
        <f t="shared" si="72"/>
        <v>Yes</v>
      </c>
      <c r="J1194" s="3" t="s">
        <v>683</v>
      </c>
      <c r="K1194" s="3">
        <v>2003</v>
      </c>
      <c r="L1194" s="3" t="str">
        <f t="shared" si="75"/>
        <v>Jul-2003</v>
      </c>
      <c r="M1194" s="3" t="s">
        <v>26</v>
      </c>
      <c r="N1194" s="3" t="s">
        <v>272</v>
      </c>
      <c r="O1194" s="3" t="s">
        <v>32</v>
      </c>
      <c r="P1194" s="3" t="s">
        <v>33</v>
      </c>
      <c r="Q1194" s="3" t="s">
        <v>36</v>
      </c>
    </row>
    <row r="1195" spans="1:17" x14ac:dyDescent="0.25">
      <c r="A1195" s="5">
        <v>10146</v>
      </c>
      <c r="B1195" s="5">
        <v>47</v>
      </c>
      <c r="C1195" s="5">
        <v>67.14</v>
      </c>
      <c r="D1195" s="5">
        <v>3155.58</v>
      </c>
      <c r="E1195" s="5" t="str">
        <f t="shared" si="73"/>
        <v>Medium</v>
      </c>
      <c r="F1195" s="5">
        <f t="shared" si="74"/>
        <v>946.67399999999998</v>
      </c>
      <c r="G1195" s="6">
        <v>37867</v>
      </c>
      <c r="H1195" s="5" t="s">
        <v>25</v>
      </c>
      <c r="I1195" s="5" t="str">
        <f t="shared" si="72"/>
        <v>Yes</v>
      </c>
      <c r="J1195" s="5" t="s">
        <v>690</v>
      </c>
      <c r="K1195" s="5">
        <v>2003</v>
      </c>
      <c r="L1195" s="5" t="str">
        <f t="shared" si="75"/>
        <v>Sep-2003</v>
      </c>
      <c r="M1195" s="5" t="s">
        <v>26</v>
      </c>
      <c r="N1195" s="5" t="s">
        <v>568</v>
      </c>
      <c r="O1195" s="5" t="s">
        <v>32</v>
      </c>
      <c r="P1195" s="5" t="s">
        <v>33</v>
      </c>
      <c r="Q1195" s="5" t="s">
        <v>51</v>
      </c>
    </row>
    <row r="1196" spans="1:17" x14ac:dyDescent="0.25">
      <c r="A1196" s="3">
        <v>10159</v>
      </c>
      <c r="B1196" s="3">
        <v>21</v>
      </c>
      <c r="C1196" s="3">
        <v>64.66</v>
      </c>
      <c r="D1196" s="3">
        <v>1357.86</v>
      </c>
      <c r="E1196" s="3" t="str">
        <f t="shared" si="73"/>
        <v>Low</v>
      </c>
      <c r="F1196" s="3">
        <f t="shared" si="74"/>
        <v>407.35799999999995</v>
      </c>
      <c r="G1196" s="4">
        <v>37904</v>
      </c>
      <c r="H1196" s="3" t="s">
        <v>25</v>
      </c>
      <c r="I1196" s="3" t="str">
        <f t="shared" si="72"/>
        <v>Yes</v>
      </c>
      <c r="J1196" s="3" t="s">
        <v>685</v>
      </c>
      <c r="K1196" s="3">
        <v>2003</v>
      </c>
      <c r="L1196" s="3" t="str">
        <f t="shared" si="75"/>
        <v>Oct-2003</v>
      </c>
      <c r="M1196" s="3" t="s">
        <v>26</v>
      </c>
      <c r="N1196" s="3" t="s">
        <v>58</v>
      </c>
      <c r="O1196" s="3" t="s">
        <v>32</v>
      </c>
      <c r="P1196" s="3" t="s">
        <v>33</v>
      </c>
      <c r="Q1196" s="3" t="s">
        <v>36</v>
      </c>
    </row>
    <row r="1197" spans="1:17" x14ac:dyDescent="0.25">
      <c r="A1197" s="5">
        <v>10169</v>
      </c>
      <c r="B1197" s="5">
        <v>38</v>
      </c>
      <c r="C1197" s="5">
        <v>68.39</v>
      </c>
      <c r="D1197" s="5">
        <v>2598.8200000000002</v>
      </c>
      <c r="E1197" s="5" t="str">
        <f t="shared" si="73"/>
        <v>Medium</v>
      </c>
      <c r="F1197" s="5">
        <f t="shared" si="74"/>
        <v>779.64600000000007</v>
      </c>
      <c r="G1197" s="6">
        <v>37929</v>
      </c>
      <c r="H1197" s="5" t="s">
        <v>25</v>
      </c>
      <c r="I1197" s="5" t="str">
        <f t="shared" si="72"/>
        <v>Yes</v>
      </c>
      <c r="J1197" s="5" t="s">
        <v>686</v>
      </c>
      <c r="K1197" s="5">
        <v>2003</v>
      </c>
      <c r="L1197" s="5" t="str">
        <f t="shared" si="75"/>
        <v>Nov-2003</v>
      </c>
      <c r="M1197" s="5" t="s">
        <v>26</v>
      </c>
      <c r="N1197" s="5" t="s">
        <v>285</v>
      </c>
      <c r="O1197" s="5" t="s">
        <v>95</v>
      </c>
      <c r="P1197" s="5" t="s">
        <v>96</v>
      </c>
      <c r="Q1197" s="5" t="s">
        <v>36</v>
      </c>
    </row>
    <row r="1198" spans="1:17" x14ac:dyDescent="0.25">
      <c r="A1198" s="3">
        <v>10180</v>
      </c>
      <c r="B1198" s="3">
        <v>21</v>
      </c>
      <c r="C1198" s="3">
        <v>50.36</v>
      </c>
      <c r="D1198" s="3">
        <v>1057.56</v>
      </c>
      <c r="E1198" s="3" t="str">
        <f t="shared" si="73"/>
        <v>Low</v>
      </c>
      <c r="F1198" s="3">
        <f t="shared" si="74"/>
        <v>317.26799999999997</v>
      </c>
      <c r="G1198" s="4">
        <v>37936</v>
      </c>
      <c r="H1198" s="3" t="s">
        <v>25</v>
      </c>
      <c r="I1198" s="3" t="str">
        <f t="shared" si="72"/>
        <v>Yes</v>
      </c>
      <c r="J1198" s="3" t="s">
        <v>686</v>
      </c>
      <c r="K1198" s="3">
        <v>2003</v>
      </c>
      <c r="L1198" s="3" t="str">
        <f t="shared" si="75"/>
        <v>Nov-2003</v>
      </c>
      <c r="M1198" s="3" t="s">
        <v>26</v>
      </c>
      <c r="N1198" s="3" t="s">
        <v>67</v>
      </c>
      <c r="O1198" s="3" t="s">
        <v>41</v>
      </c>
      <c r="P1198" s="3" t="s">
        <v>42</v>
      </c>
      <c r="Q1198" s="3" t="s">
        <v>36</v>
      </c>
    </row>
    <row r="1199" spans="1:17" x14ac:dyDescent="0.25">
      <c r="A1199" s="5">
        <v>10191</v>
      </c>
      <c r="B1199" s="5">
        <v>43</v>
      </c>
      <c r="C1199" s="5">
        <v>72.739999999999995</v>
      </c>
      <c r="D1199" s="5">
        <v>3127.8199999999997</v>
      </c>
      <c r="E1199" s="5" t="str">
        <f t="shared" si="73"/>
        <v>Medium</v>
      </c>
      <c r="F1199" s="5">
        <f t="shared" si="74"/>
        <v>938.34599999999989</v>
      </c>
      <c r="G1199" s="6">
        <v>37945</v>
      </c>
      <c r="H1199" s="5" t="s">
        <v>25</v>
      </c>
      <c r="I1199" s="5" t="str">
        <f t="shared" si="72"/>
        <v>Yes</v>
      </c>
      <c r="J1199" s="5" t="s">
        <v>686</v>
      </c>
      <c r="K1199" s="5">
        <v>2003</v>
      </c>
      <c r="L1199" s="5" t="str">
        <f t="shared" si="75"/>
        <v>Nov-2003</v>
      </c>
      <c r="M1199" s="5" t="s">
        <v>26</v>
      </c>
      <c r="N1199" s="5" t="s">
        <v>439</v>
      </c>
      <c r="O1199" s="5" t="s">
        <v>443</v>
      </c>
      <c r="P1199" s="5" t="s">
        <v>42</v>
      </c>
      <c r="Q1199" s="5" t="s">
        <v>51</v>
      </c>
    </row>
    <row r="1200" spans="1:17" x14ac:dyDescent="0.25">
      <c r="A1200" s="3">
        <v>10211</v>
      </c>
      <c r="B1200" s="3">
        <v>46</v>
      </c>
      <c r="C1200" s="3">
        <v>54.09</v>
      </c>
      <c r="D1200" s="3">
        <v>2488.1400000000003</v>
      </c>
      <c r="E1200" s="3" t="str">
        <f t="shared" si="73"/>
        <v>Medium</v>
      </c>
      <c r="F1200" s="3">
        <f t="shared" si="74"/>
        <v>746.44200000000012</v>
      </c>
      <c r="G1200" s="4">
        <v>38001</v>
      </c>
      <c r="H1200" s="3" t="s">
        <v>25</v>
      </c>
      <c r="I1200" s="3" t="str">
        <f t="shared" si="72"/>
        <v>Yes</v>
      </c>
      <c r="J1200" s="3" t="s">
        <v>549</v>
      </c>
      <c r="K1200" s="3">
        <v>2004</v>
      </c>
      <c r="L1200" s="3" t="str">
        <f t="shared" si="75"/>
        <v>Jan-2004</v>
      </c>
      <c r="M1200" s="3" t="s">
        <v>26</v>
      </c>
      <c r="N1200" s="3" t="s">
        <v>84</v>
      </c>
      <c r="O1200" s="3" t="s">
        <v>41</v>
      </c>
      <c r="P1200" s="3" t="s">
        <v>42</v>
      </c>
      <c r="Q1200" s="3" t="s">
        <v>36</v>
      </c>
    </row>
    <row r="1201" spans="1:17" x14ac:dyDescent="0.25">
      <c r="A1201" s="5">
        <v>10224</v>
      </c>
      <c r="B1201" s="5">
        <v>38</v>
      </c>
      <c r="C1201" s="5">
        <v>58.44</v>
      </c>
      <c r="D1201" s="5">
        <v>2220.7199999999998</v>
      </c>
      <c r="E1201" s="5" t="str">
        <f t="shared" si="73"/>
        <v>Medium</v>
      </c>
      <c r="F1201" s="5">
        <f t="shared" si="74"/>
        <v>666.21599999999989</v>
      </c>
      <c r="G1201" s="6">
        <v>38038</v>
      </c>
      <c r="H1201" s="5" t="s">
        <v>25</v>
      </c>
      <c r="I1201" s="5" t="str">
        <f t="shared" si="72"/>
        <v>Yes</v>
      </c>
      <c r="J1201" s="5" t="s">
        <v>681</v>
      </c>
      <c r="K1201" s="5">
        <v>2004</v>
      </c>
      <c r="L1201" s="5" t="str">
        <f t="shared" si="75"/>
        <v>Feb-2004</v>
      </c>
      <c r="M1201" s="5" t="s">
        <v>26</v>
      </c>
      <c r="N1201" s="5" t="s">
        <v>67</v>
      </c>
      <c r="O1201" s="5" t="s">
        <v>41</v>
      </c>
      <c r="P1201" s="5" t="s">
        <v>42</v>
      </c>
      <c r="Q1201" s="5" t="s">
        <v>36</v>
      </c>
    </row>
    <row r="1202" spans="1:17" x14ac:dyDescent="0.25">
      <c r="A1202" s="3">
        <v>10237</v>
      </c>
      <c r="B1202" s="3">
        <v>26</v>
      </c>
      <c r="C1202" s="3">
        <v>52.22</v>
      </c>
      <c r="D1202" s="3">
        <v>1357.72</v>
      </c>
      <c r="E1202" s="3" t="str">
        <f t="shared" si="73"/>
        <v>Low</v>
      </c>
      <c r="F1202" s="3">
        <f t="shared" si="74"/>
        <v>407.31599999999997</v>
      </c>
      <c r="G1202" s="4">
        <v>38082</v>
      </c>
      <c r="H1202" s="3" t="s">
        <v>25</v>
      </c>
      <c r="I1202" s="3" t="str">
        <f t="shared" si="72"/>
        <v>Yes</v>
      </c>
      <c r="J1202" s="3" t="s">
        <v>688</v>
      </c>
      <c r="K1202" s="3">
        <v>2004</v>
      </c>
      <c r="L1202" s="3" t="str">
        <f t="shared" si="75"/>
        <v>Apr-2004</v>
      </c>
      <c r="M1202" s="3" t="s">
        <v>26</v>
      </c>
      <c r="N1202" s="3" t="s">
        <v>99</v>
      </c>
      <c r="O1202" s="3" t="s">
        <v>32</v>
      </c>
      <c r="P1202" s="3" t="s">
        <v>33</v>
      </c>
      <c r="Q1202" s="3" t="s">
        <v>36</v>
      </c>
    </row>
    <row r="1203" spans="1:17" x14ac:dyDescent="0.25">
      <c r="A1203" s="5">
        <v>10252</v>
      </c>
      <c r="B1203" s="5">
        <v>31</v>
      </c>
      <c r="C1203" s="5">
        <v>52.84</v>
      </c>
      <c r="D1203" s="5">
        <v>1638.0400000000002</v>
      </c>
      <c r="E1203" s="5" t="str">
        <f t="shared" si="73"/>
        <v>Low</v>
      </c>
      <c r="F1203" s="5">
        <f t="shared" si="74"/>
        <v>491.41200000000003</v>
      </c>
      <c r="G1203" s="6">
        <v>38133</v>
      </c>
      <c r="H1203" s="5" t="s">
        <v>25</v>
      </c>
      <c r="I1203" s="5" t="str">
        <f t="shared" si="72"/>
        <v>Yes</v>
      </c>
      <c r="J1203" s="5" t="s">
        <v>682</v>
      </c>
      <c r="K1203" s="5">
        <v>2004</v>
      </c>
      <c r="L1203" s="5" t="str">
        <f t="shared" si="75"/>
        <v>May-2004</v>
      </c>
      <c r="M1203" s="5" t="s">
        <v>26</v>
      </c>
      <c r="N1203" s="5" t="s">
        <v>84</v>
      </c>
      <c r="O1203" s="5" t="s">
        <v>41</v>
      </c>
      <c r="P1203" s="5" t="s">
        <v>42</v>
      </c>
      <c r="Q1203" s="5" t="s">
        <v>36</v>
      </c>
    </row>
    <row r="1204" spans="1:17" x14ac:dyDescent="0.25">
      <c r="A1204" s="3">
        <v>10264</v>
      </c>
      <c r="B1204" s="3">
        <v>48</v>
      </c>
      <c r="C1204" s="3">
        <v>54.71</v>
      </c>
      <c r="D1204" s="3">
        <v>2626.08</v>
      </c>
      <c r="E1204" s="3" t="str">
        <f t="shared" si="73"/>
        <v>Medium</v>
      </c>
      <c r="F1204" s="3">
        <f t="shared" si="74"/>
        <v>787.82399999999996</v>
      </c>
      <c r="G1204" s="4">
        <v>38168</v>
      </c>
      <c r="H1204" s="3" t="s">
        <v>25</v>
      </c>
      <c r="I1204" s="3" t="str">
        <f t="shared" si="72"/>
        <v>Yes</v>
      </c>
      <c r="J1204" s="3" t="s">
        <v>689</v>
      </c>
      <c r="K1204" s="3">
        <v>2004</v>
      </c>
      <c r="L1204" s="3" t="str">
        <f t="shared" si="75"/>
        <v>Jun-2004</v>
      </c>
      <c r="M1204" s="3" t="s">
        <v>26</v>
      </c>
      <c r="N1204" s="3" t="s">
        <v>379</v>
      </c>
      <c r="O1204" s="3" t="s">
        <v>32</v>
      </c>
      <c r="P1204" s="3" t="s">
        <v>33</v>
      </c>
      <c r="Q1204" s="3" t="s">
        <v>36</v>
      </c>
    </row>
    <row r="1205" spans="1:17" x14ac:dyDescent="0.25">
      <c r="A1205" s="5">
        <v>10276</v>
      </c>
      <c r="B1205" s="5">
        <v>33</v>
      </c>
      <c r="C1205" s="5">
        <v>50.36</v>
      </c>
      <c r="D1205" s="5">
        <v>1661.8799999999999</v>
      </c>
      <c r="E1205" s="5" t="str">
        <f t="shared" si="73"/>
        <v>Low</v>
      </c>
      <c r="F1205" s="5">
        <f t="shared" si="74"/>
        <v>498.56399999999996</v>
      </c>
      <c r="G1205" s="6">
        <v>38201</v>
      </c>
      <c r="H1205" s="5" t="s">
        <v>25</v>
      </c>
      <c r="I1205" s="5" t="str">
        <f t="shared" si="72"/>
        <v>Yes</v>
      </c>
      <c r="J1205" s="5" t="s">
        <v>684</v>
      </c>
      <c r="K1205" s="5">
        <v>2004</v>
      </c>
      <c r="L1205" s="5" t="str">
        <f t="shared" si="75"/>
        <v>Aug-2004</v>
      </c>
      <c r="M1205" s="5" t="s">
        <v>26</v>
      </c>
      <c r="N1205" s="5" t="s">
        <v>458</v>
      </c>
      <c r="O1205" s="5" t="s">
        <v>32</v>
      </c>
      <c r="P1205" s="5" t="s">
        <v>33</v>
      </c>
      <c r="Q1205" s="5" t="s">
        <v>36</v>
      </c>
    </row>
    <row r="1206" spans="1:17" x14ac:dyDescent="0.25">
      <c r="A1206" s="3">
        <v>10286</v>
      </c>
      <c r="B1206" s="3">
        <v>38</v>
      </c>
      <c r="C1206" s="3">
        <v>57.2</v>
      </c>
      <c r="D1206" s="3">
        <v>2173.6</v>
      </c>
      <c r="E1206" s="3" t="str">
        <f t="shared" si="73"/>
        <v>Medium</v>
      </c>
      <c r="F1206" s="3">
        <f t="shared" si="74"/>
        <v>652.07999999999993</v>
      </c>
      <c r="G1206" s="4">
        <v>38227</v>
      </c>
      <c r="H1206" s="3" t="s">
        <v>25</v>
      </c>
      <c r="I1206" s="3" t="str">
        <f t="shared" si="72"/>
        <v>Yes</v>
      </c>
      <c r="J1206" s="3" t="s">
        <v>684</v>
      </c>
      <c r="K1206" s="3">
        <v>2004</v>
      </c>
      <c r="L1206" s="3" t="str">
        <f t="shared" si="75"/>
        <v>Aug-2004</v>
      </c>
      <c r="M1206" s="3" t="s">
        <v>26</v>
      </c>
      <c r="N1206" s="3" t="s">
        <v>403</v>
      </c>
      <c r="O1206" s="3" t="s">
        <v>41</v>
      </c>
      <c r="P1206" s="3" t="s">
        <v>42</v>
      </c>
      <c r="Q1206" s="3" t="s">
        <v>36</v>
      </c>
    </row>
    <row r="1207" spans="1:17" x14ac:dyDescent="0.25">
      <c r="A1207" s="5">
        <v>10299</v>
      </c>
      <c r="B1207" s="5">
        <v>39</v>
      </c>
      <c r="C1207" s="5">
        <v>55.95</v>
      </c>
      <c r="D1207" s="5">
        <v>2182.0500000000002</v>
      </c>
      <c r="E1207" s="5" t="str">
        <f t="shared" si="73"/>
        <v>Medium</v>
      </c>
      <c r="F1207" s="5">
        <f t="shared" si="74"/>
        <v>654.61500000000001</v>
      </c>
      <c r="G1207" s="6">
        <v>38260</v>
      </c>
      <c r="H1207" s="5" t="s">
        <v>25</v>
      </c>
      <c r="I1207" s="5" t="str">
        <f t="shared" si="72"/>
        <v>Yes</v>
      </c>
      <c r="J1207" s="5" t="s">
        <v>690</v>
      </c>
      <c r="K1207" s="5">
        <v>2004</v>
      </c>
      <c r="L1207" s="5" t="str">
        <f t="shared" si="75"/>
        <v>Sep-2004</v>
      </c>
      <c r="M1207" s="5" t="s">
        <v>26</v>
      </c>
      <c r="N1207" s="5" t="s">
        <v>126</v>
      </c>
      <c r="O1207" s="5" t="s">
        <v>130</v>
      </c>
      <c r="P1207" s="5" t="s">
        <v>42</v>
      </c>
      <c r="Q1207" s="5" t="s">
        <v>36</v>
      </c>
    </row>
    <row r="1208" spans="1:17" x14ac:dyDescent="0.25">
      <c r="A1208" s="3">
        <v>10310</v>
      </c>
      <c r="B1208" s="3">
        <v>42</v>
      </c>
      <c r="C1208" s="3">
        <v>67.14</v>
      </c>
      <c r="D1208" s="3">
        <v>2819.88</v>
      </c>
      <c r="E1208" s="3" t="str">
        <f t="shared" si="73"/>
        <v>Medium</v>
      </c>
      <c r="F1208" s="3">
        <f t="shared" si="74"/>
        <v>845.96400000000006</v>
      </c>
      <c r="G1208" s="4">
        <v>38276</v>
      </c>
      <c r="H1208" s="3" t="s">
        <v>25</v>
      </c>
      <c r="I1208" s="3" t="str">
        <f t="shared" si="72"/>
        <v>Yes</v>
      </c>
      <c r="J1208" s="3" t="s">
        <v>685</v>
      </c>
      <c r="K1208" s="3">
        <v>2004</v>
      </c>
      <c r="L1208" s="3" t="str">
        <f t="shared" si="75"/>
        <v>Oct-2004</v>
      </c>
      <c r="M1208" s="3" t="s">
        <v>26</v>
      </c>
      <c r="N1208" s="3" t="s">
        <v>439</v>
      </c>
      <c r="O1208" s="3" t="s">
        <v>443</v>
      </c>
      <c r="P1208" s="3" t="s">
        <v>42</v>
      </c>
      <c r="Q1208" s="3" t="s">
        <v>36</v>
      </c>
    </row>
    <row r="1209" spans="1:17" x14ac:dyDescent="0.25">
      <c r="A1209" s="5">
        <v>10319</v>
      </c>
      <c r="B1209" s="5">
        <v>44</v>
      </c>
      <c r="C1209" s="5">
        <v>59.06</v>
      </c>
      <c r="D1209" s="5">
        <v>2598.6400000000003</v>
      </c>
      <c r="E1209" s="5" t="str">
        <f t="shared" si="73"/>
        <v>Medium</v>
      </c>
      <c r="F1209" s="5">
        <f t="shared" si="74"/>
        <v>779.5920000000001</v>
      </c>
      <c r="G1209" s="6">
        <v>38294</v>
      </c>
      <c r="H1209" s="5" t="s">
        <v>25</v>
      </c>
      <c r="I1209" s="5" t="str">
        <f t="shared" si="72"/>
        <v>Yes</v>
      </c>
      <c r="J1209" s="5" t="s">
        <v>686</v>
      </c>
      <c r="K1209" s="5">
        <v>2004</v>
      </c>
      <c r="L1209" s="5" t="str">
        <f t="shared" si="75"/>
        <v>Nov-2004</v>
      </c>
      <c r="M1209" s="5" t="s">
        <v>26</v>
      </c>
      <c r="N1209" s="5" t="s">
        <v>507</v>
      </c>
      <c r="O1209" s="5" t="s">
        <v>32</v>
      </c>
      <c r="P1209" s="5" t="s">
        <v>33</v>
      </c>
      <c r="Q1209" s="5" t="s">
        <v>36</v>
      </c>
    </row>
    <row r="1210" spans="1:17" x14ac:dyDescent="0.25">
      <c r="A1210" s="3">
        <v>10330</v>
      </c>
      <c r="B1210" s="3">
        <v>29</v>
      </c>
      <c r="C1210" s="3">
        <v>69.63</v>
      </c>
      <c r="D1210" s="3">
        <v>2019.27</v>
      </c>
      <c r="E1210" s="3" t="str">
        <f t="shared" si="73"/>
        <v>Medium</v>
      </c>
      <c r="F1210" s="3">
        <f t="shared" si="74"/>
        <v>605.78099999999995</v>
      </c>
      <c r="G1210" s="4">
        <v>38307</v>
      </c>
      <c r="H1210" s="3" t="s">
        <v>25</v>
      </c>
      <c r="I1210" s="3" t="str">
        <f t="shared" si="72"/>
        <v>Yes</v>
      </c>
      <c r="J1210" s="3" t="s">
        <v>686</v>
      </c>
      <c r="K1210" s="3">
        <v>2004</v>
      </c>
      <c r="L1210" s="3" t="str">
        <f t="shared" si="75"/>
        <v>Nov-2004</v>
      </c>
      <c r="M1210" s="3" t="s">
        <v>26</v>
      </c>
      <c r="N1210" s="3" t="s">
        <v>425</v>
      </c>
      <c r="O1210" s="3" t="s">
        <v>430</v>
      </c>
      <c r="P1210" s="3" t="s">
        <v>675</v>
      </c>
      <c r="Q1210" s="3" t="s">
        <v>36</v>
      </c>
    </row>
    <row r="1211" spans="1:17" x14ac:dyDescent="0.25">
      <c r="A1211" s="5">
        <v>10342</v>
      </c>
      <c r="B1211" s="5">
        <v>26</v>
      </c>
      <c r="C1211" s="5">
        <v>55.95</v>
      </c>
      <c r="D1211" s="5">
        <v>1454.7</v>
      </c>
      <c r="E1211" s="5" t="str">
        <f t="shared" si="73"/>
        <v>Low</v>
      </c>
      <c r="F1211" s="5">
        <f t="shared" si="74"/>
        <v>436.41</v>
      </c>
      <c r="G1211" s="6">
        <v>38315</v>
      </c>
      <c r="H1211" s="5" t="s">
        <v>25</v>
      </c>
      <c r="I1211" s="5" t="str">
        <f t="shared" si="72"/>
        <v>Yes</v>
      </c>
      <c r="J1211" s="5" t="s">
        <v>686</v>
      </c>
      <c r="K1211" s="5">
        <v>2004</v>
      </c>
      <c r="L1211" s="5" t="str">
        <f t="shared" si="75"/>
        <v>Nov-2004</v>
      </c>
      <c r="M1211" s="5" t="s">
        <v>26</v>
      </c>
      <c r="N1211" s="5" t="s">
        <v>89</v>
      </c>
      <c r="O1211" s="5" t="s">
        <v>95</v>
      </c>
      <c r="P1211" s="5" t="s">
        <v>96</v>
      </c>
      <c r="Q1211" s="5" t="s">
        <v>36</v>
      </c>
    </row>
    <row r="1212" spans="1:17" x14ac:dyDescent="0.25">
      <c r="A1212" s="3">
        <v>10355</v>
      </c>
      <c r="B1212" s="3">
        <v>31</v>
      </c>
      <c r="C1212" s="3">
        <v>53.47</v>
      </c>
      <c r="D1212" s="3">
        <v>1657.57</v>
      </c>
      <c r="E1212" s="3" t="str">
        <f t="shared" si="73"/>
        <v>Low</v>
      </c>
      <c r="F1212" s="3">
        <f t="shared" si="74"/>
        <v>497.27099999999996</v>
      </c>
      <c r="G1212" s="4">
        <v>38328</v>
      </c>
      <c r="H1212" s="3" t="s">
        <v>25</v>
      </c>
      <c r="I1212" s="3" t="str">
        <f t="shared" si="72"/>
        <v>Yes</v>
      </c>
      <c r="J1212" s="3" t="s">
        <v>687</v>
      </c>
      <c r="K1212" s="3">
        <v>2004</v>
      </c>
      <c r="L1212" s="3" t="str">
        <f t="shared" si="75"/>
        <v>Dec-2004</v>
      </c>
      <c r="M1212" s="3" t="s">
        <v>26</v>
      </c>
      <c r="N1212" s="3" t="s">
        <v>174</v>
      </c>
      <c r="O1212" s="3" t="s">
        <v>178</v>
      </c>
      <c r="P1212" s="3" t="s">
        <v>42</v>
      </c>
      <c r="Q1212" s="3" t="s">
        <v>36</v>
      </c>
    </row>
    <row r="1213" spans="1:17" x14ac:dyDescent="0.25">
      <c r="A1213" s="5">
        <v>10363</v>
      </c>
      <c r="B1213" s="5">
        <v>32</v>
      </c>
      <c r="C1213" s="5">
        <v>89.12</v>
      </c>
      <c r="D1213" s="5">
        <v>2851.84</v>
      </c>
      <c r="E1213" s="5" t="str">
        <f t="shared" si="73"/>
        <v>Medium</v>
      </c>
      <c r="F1213" s="5">
        <f t="shared" si="74"/>
        <v>855.55200000000002</v>
      </c>
      <c r="G1213" s="6">
        <v>38358</v>
      </c>
      <c r="H1213" s="5" t="s">
        <v>25</v>
      </c>
      <c r="I1213" s="5" t="str">
        <f t="shared" si="72"/>
        <v>Yes</v>
      </c>
      <c r="J1213" s="5" t="s">
        <v>549</v>
      </c>
      <c r="K1213" s="5">
        <v>2005</v>
      </c>
      <c r="L1213" s="5" t="str">
        <f t="shared" si="75"/>
        <v>Jan-2005</v>
      </c>
      <c r="M1213" s="5" t="s">
        <v>26</v>
      </c>
      <c r="N1213" s="5" t="s">
        <v>467</v>
      </c>
      <c r="O1213" s="5" t="s">
        <v>130</v>
      </c>
      <c r="P1213" s="5" t="s">
        <v>42</v>
      </c>
      <c r="Q1213" s="5" t="s">
        <v>36</v>
      </c>
    </row>
    <row r="1214" spans="1:17" x14ac:dyDescent="0.25">
      <c r="A1214" s="3">
        <v>10378</v>
      </c>
      <c r="B1214" s="3">
        <v>28</v>
      </c>
      <c r="C1214" s="3">
        <v>100</v>
      </c>
      <c r="D1214" s="3">
        <v>2800</v>
      </c>
      <c r="E1214" s="3" t="str">
        <f t="shared" si="73"/>
        <v>Medium</v>
      </c>
      <c r="F1214" s="3">
        <f t="shared" si="74"/>
        <v>840</v>
      </c>
      <c r="G1214" s="4">
        <v>38393</v>
      </c>
      <c r="H1214" s="3" t="s">
        <v>25</v>
      </c>
      <c r="I1214" s="3" t="str">
        <f t="shared" si="72"/>
        <v>Yes</v>
      </c>
      <c r="J1214" s="3" t="s">
        <v>681</v>
      </c>
      <c r="K1214" s="3">
        <v>2005</v>
      </c>
      <c r="L1214" s="3" t="str">
        <f t="shared" si="75"/>
        <v>Feb-2005</v>
      </c>
      <c r="M1214" s="3" t="s">
        <v>26</v>
      </c>
      <c r="N1214" s="3" t="s">
        <v>174</v>
      </c>
      <c r="O1214" s="3" t="s">
        <v>178</v>
      </c>
      <c r="P1214" s="3" t="s">
        <v>42</v>
      </c>
      <c r="Q1214" s="3" t="s">
        <v>51</v>
      </c>
    </row>
    <row r="1215" spans="1:17" x14ac:dyDescent="0.25">
      <c r="A1215" s="5">
        <v>10390</v>
      </c>
      <c r="B1215" s="5">
        <v>36</v>
      </c>
      <c r="C1215" s="5">
        <v>100</v>
      </c>
      <c r="D1215" s="5">
        <v>3600</v>
      </c>
      <c r="E1215" s="5" t="str">
        <f t="shared" si="73"/>
        <v>Medium</v>
      </c>
      <c r="F1215" s="5">
        <f t="shared" si="74"/>
        <v>1080</v>
      </c>
      <c r="G1215" s="6">
        <v>38415</v>
      </c>
      <c r="H1215" s="5" t="s">
        <v>25</v>
      </c>
      <c r="I1215" s="5" t="str">
        <f t="shared" si="72"/>
        <v>Yes</v>
      </c>
      <c r="J1215" s="5" t="s">
        <v>691</v>
      </c>
      <c r="K1215" s="5">
        <v>2005</v>
      </c>
      <c r="L1215" s="5" t="str">
        <f t="shared" si="75"/>
        <v>Mar-2005</v>
      </c>
      <c r="M1215" s="5" t="s">
        <v>26</v>
      </c>
      <c r="N1215" s="5" t="s">
        <v>272</v>
      </c>
      <c r="O1215" s="5" t="s">
        <v>32</v>
      </c>
      <c r="P1215" s="5" t="s">
        <v>33</v>
      </c>
      <c r="Q1215" s="5" t="s">
        <v>51</v>
      </c>
    </row>
    <row r="1216" spans="1:17" x14ac:dyDescent="0.25">
      <c r="A1216" s="3">
        <v>10403</v>
      </c>
      <c r="B1216" s="3">
        <v>36</v>
      </c>
      <c r="C1216" s="3">
        <v>52.22</v>
      </c>
      <c r="D1216" s="3">
        <v>1879.92</v>
      </c>
      <c r="E1216" s="3" t="str">
        <f t="shared" si="73"/>
        <v>Low</v>
      </c>
      <c r="F1216" s="3">
        <f t="shared" si="74"/>
        <v>563.976</v>
      </c>
      <c r="G1216" s="4">
        <v>38450</v>
      </c>
      <c r="H1216" s="3" t="s">
        <v>25</v>
      </c>
      <c r="I1216" s="3" t="str">
        <f t="shared" si="72"/>
        <v>Yes</v>
      </c>
      <c r="J1216" s="3" t="s">
        <v>688</v>
      </c>
      <c r="K1216" s="3">
        <v>2005</v>
      </c>
      <c r="L1216" s="3" t="str">
        <f t="shared" si="75"/>
        <v>Apr-2005</v>
      </c>
      <c r="M1216" s="3" t="s">
        <v>26</v>
      </c>
      <c r="N1216" s="3" t="s">
        <v>165</v>
      </c>
      <c r="O1216" s="3" t="s">
        <v>170</v>
      </c>
      <c r="P1216" s="3" t="s">
        <v>42</v>
      </c>
      <c r="Q1216" s="3" t="s">
        <v>36</v>
      </c>
    </row>
    <row r="1217" spans="1:17" x14ac:dyDescent="0.25">
      <c r="A1217" s="5">
        <v>10106</v>
      </c>
      <c r="B1217" s="5">
        <v>41</v>
      </c>
      <c r="C1217" s="5">
        <v>100</v>
      </c>
      <c r="D1217" s="5">
        <v>4100</v>
      </c>
      <c r="E1217" s="5" t="str">
        <f t="shared" si="73"/>
        <v>Medium</v>
      </c>
      <c r="F1217" s="5">
        <f t="shared" si="74"/>
        <v>1230</v>
      </c>
      <c r="G1217" s="6">
        <v>37669</v>
      </c>
      <c r="H1217" s="5" t="s">
        <v>25</v>
      </c>
      <c r="I1217" s="5" t="str">
        <f t="shared" si="72"/>
        <v>Yes</v>
      </c>
      <c r="J1217" s="5" t="s">
        <v>681</v>
      </c>
      <c r="K1217" s="5">
        <v>2003</v>
      </c>
      <c r="L1217" s="5" t="str">
        <f t="shared" si="75"/>
        <v>Feb-2003</v>
      </c>
      <c r="M1217" s="5" t="s">
        <v>550</v>
      </c>
      <c r="N1217" s="5" t="s">
        <v>552</v>
      </c>
      <c r="O1217" s="5" t="s">
        <v>258</v>
      </c>
      <c r="P1217" s="5" t="s">
        <v>42</v>
      </c>
      <c r="Q1217" s="5" t="s">
        <v>51</v>
      </c>
    </row>
    <row r="1218" spans="1:17" x14ac:dyDescent="0.25">
      <c r="A1218" s="3">
        <v>10119</v>
      </c>
      <c r="B1218" s="3">
        <v>27</v>
      </c>
      <c r="C1218" s="3">
        <v>99.52</v>
      </c>
      <c r="D1218" s="3">
        <v>2687.04</v>
      </c>
      <c r="E1218" s="3" t="str">
        <f t="shared" si="73"/>
        <v>Medium</v>
      </c>
      <c r="F1218" s="3">
        <f t="shared" si="74"/>
        <v>806.11199999999997</v>
      </c>
      <c r="G1218" s="4">
        <v>37739</v>
      </c>
      <c r="H1218" s="3" t="s">
        <v>25</v>
      </c>
      <c r="I1218" s="3" t="str">
        <f t="shared" ref="I1218:I1281" si="76">IF(H1218="Shipped","Yes","No")</f>
        <v>Yes</v>
      </c>
      <c r="J1218" s="3" t="s">
        <v>688</v>
      </c>
      <c r="K1218" s="3">
        <v>2003</v>
      </c>
      <c r="L1218" s="3" t="str">
        <f t="shared" si="75"/>
        <v>Apr-2003</v>
      </c>
      <c r="M1218" s="3" t="s">
        <v>550</v>
      </c>
      <c r="N1218" s="3" t="s">
        <v>144</v>
      </c>
      <c r="O1218" s="3" t="s">
        <v>148</v>
      </c>
      <c r="P1218" s="3" t="s">
        <v>42</v>
      </c>
      <c r="Q1218" s="3" t="s">
        <v>36</v>
      </c>
    </row>
    <row r="1219" spans="1:17" x14ac:dyDescent="0.25">
      <c r="A1219" s="5">
        <v>10130</v>
      </c>
      <c r="B1219" s="5">
        <v>33</v>
      </c>
      <c r="C1219" s="5">
        <v>100</v>
      </c>
      <c r="D1219" s="5">
        <v>3300</v>
      </c>
      <c r="E1219" s="5" t="str">
        <f t="shared" ref="E1219:E1282" si="77">IF(D1219&gt;=5000,"High",IF(D1219&gt;=2000,"Medium","Low"))</f>
        <v>Medium</v>
      </c>
      <c r="F1219" s="5">
        <f t="shared" ref="F1219:F1282" si="78">(D1219*0.3)</f>
        <v>990</v>
      </c>
      <c r="G1219" s="6">
        <v>37788</v>
      </c>
      <c r="H1219" s="5" t="s">
        <v>25</v>
      </c>
      <c r="I1219" s="5" t="str">
        <f t="shared" si="76"/>
        <v>Yes</v>
      </c>
      <c r="J1219" s="5" t="s">
        <v>689</v>
      </c>
      <c r="K1219" s="5">
        <v>2003</v>
      </c>
      <c r="L1219" s="5" t="str">
        <f t="shared" ref="L1219:L1282" si="79">TEXT(G:G,"MMM-YYYY")</f>
        <v>Jun-2003</v>
      </c>
      <c r="M1219" s="5" t="s">
        <v>550</v>
      </c>
      <c r="N1219" s="5" t="s">
        <v>600</v>
      </c>
      <c r="O1219" s="5" t="s">
        <v>32</v>
      </c>
      <c r="P1219" s="5" t="s">
        <v>33</v>
      </c>
      <c r="Q1219" s="5" t="s">
        <v>51</v>
      </c>
    </row>
    <row r="1220" spans="1:17" x14ac:dyDescent="0.25">
      <c r="A1220" s="3">
        <v>10143</v>
      </c>
      <c r="B1220" s="3">
        <v>34</v>
      </c>
      <c r="C1220" s="3">
        <v>100</v>
      </c>
      <c r="D1220" s="3">
        <v>3400</v>
      </c>
      <c r="E1220" s="3" t="str">
        <f t="shared" si="77"/>
        <v>Medium</v>
      </c>
      <c r="F1220" s="3">
        <f t="shared" si="78"/>
        <v>1020</v>
      </c>
      <c r="G1220" s="4">
        <v>37843</v>
      </c>
      <c r="H1220" s="3" t="s">
        <v>25</v>
      </c>
      <c r="I1220" s="3" t="str">
        <f t="shared" si="76"/>
        <v>Yes</v>
      </c>
      <c r="J1220" s="3" t="s">
        <v>684</v>
      </c>
      <c r="K1220" s="3">
        <v>2003</v>
      </c>
      <c r="L1220" s="3" t="str">
        <f t="shared" si="79"/>
        <v>Aug-2003</v>
      </c>
      <c r="M1220" s="3" t="s">
        <v>550</v>
      </c>
      <c r="N1220" s="3" t="s">
        <v>335</v>
      </c>
      <c r="O1220" s="3" t="s">
        <v>32</v>
      </c>
      <c r="P1220" s="3" t="s">
        <v>33</v>
      </c>
      <c r="Q1220" s="3" t="s">
        <v>51</v>
      </c>
    </row>
    <row r="1221" spans="1:17" x14ac:dyDescent="0.25">
      <c r="A1221" s="5">
        <v>10155</v>
      </c>
      <c r="B1221" s="5">
        <v>29</v>
      </c>
      <c r="C1221" s="5">
        <v>100</v>
      </c>
      <c r="D1221" s="5">
        <v>2900</v>
      </c>
      <c r="E1221" s="5" t="str">
        <f t="shared" si="77"/>
        <v>Medium</v>
      </c>
      <c r="F1221" s="5">
        <f t="shared" si="78"/>
        <v>870</v>
      </c>
      <c r="G1221" s="6">
        <v>37900</v>
      </c>
      <c r="H1221" s="5" t="s">
        <v>25</v>
      </c>
      <c r="I1221" s="5" t="str">
        <f t="shared" si="76"/>
        <v>Yes</v>
      </c>
      <c r="J1221" s="5" t="s">
        <v>685</v>
      </c>
      <c r="K1221" s="5">
        <v>2003</v>
      </c>
      <c r="L1221" s="5" t="str">
        <f t="shared" si="79"/>
        <v>Oct-2003</v>
      </c>
      <c r="M1221" s="5" t="s">
        <v>550</v>
      </c>
      <c r="N1221" s="5" t="s">
        <v>126</v>
      </c>
      <c r="O1221" s="5" t="s">
        <v>130</v>
      </c>
      <c r="P1221" s="5" t="s">
        <v>42</v>
      </c>
      <c r="Q1221" s="5" t="s">
        <v>51</v>
      </c>
    </row>
    <row r="1222" spans="1:17" x14ac:dyDescent="0.25">
      <c r="A1222" s="3">
        <v>10167</v>
      </c>
      <c r="B1222" s="3">
        <v>34</v>
      </c>
      <c r="C1222" s="3">
        <v>100</v>
      </c>
      <c r="D1222" s="3">
        <v>3400</v>
      </c>
      <c r="E1222" s="3" t="str">
        <f t="shared" si="77"/>
        <v>Medium</v>
      </c>
      <c r="F1222" s="3">
        <f t="shared" si="78"/>
        <v>1020</v>
      </c>
      <c r="G1222" s="4">
        <v>37917</v>
      </c>
      <c r="H1222" s="3" t="s">
        <v>339</v>
      </c>
      <c r="I1222" s="3" t="str">
        <f t="shared" si="76"/>
        <v>No</v>
      </c>
      <c r="J1222" s="3" t="s">
        <v>685</v>
      </c>
      <c r="K1222" s="3">
        <v>2003</v>
      </c>
      <c r="L1222" s="3" t="str">
        <f t="shared" si="79"/>
        <v>Oct-2003</v>
      </c>
      <c r="M1222" s="3" t="s">
        <v>550</v>
      </c>
      <c r="N1222" s="3" t="s">
        <v>261</v>
      </c>
      <c r="O1222" s="3" t="s">
        <v>188</v>
      </c>
      <c r="P1222" s="3" t="s">
        <v>42</v>
      </c>
      <c r="Q1222" s="3" t="s">
        <v>51</v>
      </c>
    </row>
    <row r="1223" spans="1:17" x14ac:dyDescent="0.25">
      <c r="A1223" s="5">
        <v>10178</v>
      </c>
      <c r="B1223" s="5">
        <v>48</v>
      </c>
      <c r="C1223" s="5">
        <v>100</v>
      </c>
      <c r="D1223" s="5">
        <v>4800</v>
      </c>
      <c r="E1223" s="5" t="str">
        <f t="shared" si="77"/>
        <v>Medium</v>
      </c>
      <c r="F1223" s="5">
        <f t="shared" si="78"/>
        <v>1440</v>
      </c>
      <c r="G1223" s="6">
        <v>37933</v>
      </c>
      <c r="H1223" s="5" t="s">
        <v>25</v>
      </c>
      <c r="I1223" s="5" t="str">
        <f t="shared" si="76"/>
        <v>Yes</v>
      </c>
      <c r="J1223" s="5" t="s">
        <v>686</v>
      </c>
      <c r="K1223" s="5">
        <v>2003</v>
      </c>
      <c r="L1223" s="5" t="str">
        <f t="shared" si="79"/>
        <v>Nov-2003</v>
      </c>
      <c r="M1223" s="5" t="s">
        <v>550</v>
      </c>
      <c r="N1223" s="5" t="s">
        <v>340</v>
      </c>
      <c r="O1223" s="5" t="s">
        <v>41</v>
      </c>
      <c r="P1223" s="5" t="s">
        <v>42</v>
      </c>
      <c r="Q1223" s="5" t="s">
        <v>51</v>
      </c>
    </row>
    <row r="1224" spans="1:17" x14ac:dyDescent="0.25">
      <c r="A1224" s="3">
        <v>10186</v>
      </c>
      <c r="B1224" s="3">
        <v>46</v>
      </c>
      <c r="C1224" s="3">
        <v>100</v>
      </c>
      <c r="D1224" s="3">
        <v>4600</v>
      </c>
      <c r="E1224" s="3" t="str">
        <f t="shared" si="77"/>
        <v>Medium</v>
      </c>
      <c r="F1224" s="3">
        <f t="shared" si="78"/>
        <v>1380</v>
      </c>
      <c r="G1224" s="4">
        <v>37939</v>
      </c>
      <c r="H1224" s="3" t="s">
        <v>25</v>
      </c>
      <c r="I1224" s="3" t="str">
        <f t="shared" si="76"/>
        <v>Yes</v>
      </c>
      <c r="J1224" s="3" t="s">
        <v>686</v>
      </c>
      <c r="K1224" s="3">
        <v>2003</v>
      </c>
      <c r="L1224" s="3" t="str">
        <f t="shared" si="79"/>
        <v>Nov-2003</v>
      </c>
      <c r="M1224" s="3" t="s">
        <v>550</v>
      </c>
      <c r="N1224" s="3" t="s">
        <v>346</v>
      </c>
      <c r="O1224" s="3" t="s">
        <v>170</v>
      </c>
      <c r="P1224" s="3" t="s">
        <v>42</v>
      </c>
      <c r="Q1224" s="3" t="s">
        <v>51</v>
      </c>
    </row>
    <row r="1225" spans="1:17" x14ac:dyDescent="0.25">
      <c r="A1225" s="5">
        <v>10197</v>
      </c>
      <c r="B1225" s="5">
        <v>22</v>
      </c>
      <c r="C1225" s="5">
        <v>100</v>
      </c>
      <c r="D1225" s="5">
        <v>2200</v>
      </c>
      <c r="E1225" s="5" t="str">
        <f t="shared" si="77"/>
        <v>Medium</v>
      </c>
      <c r="F1225" s="5">
        <f t="shared" si="78"/>
        <v>660</v>
      </c>
      <c r="G1225" s="6">
        <v>37951</v>
      </c>
      <c r="H1225" s="5" t="s">
        <v>25</v>
      </c>
      <c r="I1225" s="5" t="str">
        <f t="shared" si="76"/>
        <v>Yes</v>
      </c>
      <c r="J1225" s="5" t="s">
        <v>686</v>
      </c>
      <c r="K1225" s="5">
        <v>2003</v>
      </c>
      <c r="L1225" s="5" t="str">
        <f t="shared" si="79"/>
        <v>Nov-2003</v>
      </c>
      <c r="M1225" s="5" t="s">
        <v>550</v>
      </c>
      <c r="N1225" s="5" t="s">
        <v>352</v>
      </c>
      <c r="O1225" s="5" t="s">
        <v>178</v>
      </c>
      <c r="P1225" s="5" t="s">
        <v>42</v>
      </c>
      <c r="Q1225" s="5" t="s">
        <v>36</v>
      </c>
    </row>
    <row r="1226" spans="1:17" x14ac:dyDescent="0.25">
      <c r="A1226" s="3">
        <v>10209</v>
      </c>
      <c r="B1226" s="3">
        <v>20</v>
      </c>
      <c r="C1226" s="3">
        <v>100</v>
      </c>
      <c r="D1226" s="3">
        <v>2000</v>
      </c>
      <c r="E1226" s="3" t="str">
        <f t="shared" si="77"/>
        <v>Medium</v>
      </c>
      <c r="F1226" s="3">
        <f t="shared" si="78"/>
        <v>600</v>
      </c>
      <c r="G1226" s="4">
        <v>37995</v>
      </c>
      <c r="H1226" s="3" t="s">
        <v>25</v>
      </c>
      <c r="I1226" s="3" t="str">
        <f t="shared" si="76"/>
        <v>Yes</v>
      </c>
      <c r="J1226" s="3" t="s">
        <v>549</v>
      </c>
      <c r="K1226" s="3">
        <v>2004</v>
      </c>
      <c r="L1226" s="3" t="str">
        <f t="shared" si="79"/>
        <v>Jan-2004</v>
      </c>
      <c r="M1226" s="3" t="s">
        <v>550</v>
      </c>
      <c r="N1226" s="3" t="s">
        <v>358</v>
      </c>
      <c r="O1226" s="3" t="s">
        <v>32</v>
      </c>
      <c r="P1226" s="3" t="s">
        <v>33</v>
      </c>
      <c r="Q1226" s="3" t="s">
        <v>36</v>
      </c>
    </row>
    <row r="1227" spans="1:17" x14ac:dyDescent="0.25">
      <c r="A1227" s="5">
        <v>10222</v>
      </c>
      <c r="B1227" s="5">
        <v>45</v>
      </c>
      <c r="C1227" s="5">
        <v>85.75</v>
      </c>
      <c r="D1227" s="5">
        <v>3858.75</v>
      </c>
      <c r="E1227" s="5" t="str">
        <f t="shared" si="77"/>
        <v>Medium</v>
      </c>
      <c r="F1227" s="5">
        <f t="shared" si="78"/>
        <v>1157.625</v>
      </c>
      <c r="G1227" s="6">
        <v>38036</v>
      </c>
      <c r="H1227" s="5" t="s">
        <v>25</v>
      </c>
      <c r="I1227" s="5" t="str">
        <f t="shared" si="76"/>
        <v>Yes</v>
      </c>
      <c r="J1227" s="5" t="s">
        <v>681</v>
      </c>
      <c r="K1227" s="5">
        <v>2004</v>
      </c>
      <c r="L1227" s="5" t="str">
        <f t="shared" si="79"/>
        <v>Feb-2004</v>
      </c>
      <c r="M1227" s="5" t="s">
        <v>550</v>
      </c>
      <c r="N1227" s="5" t="s">
        <v>362</v>
      </c>
      <c r="O1227" s="5" t="s">
        <v>32</v>
      </c>
      <c r="P1227" s="5" t="s">
        <v>33</v>
      </c>
      <c r="Q1227" s="5" t="s">
        <v>51</v>
      </c>
    </row>
    <row r="1228" spans="1:17" x14ac:dyDescent="0.25">
      <c r="A1228" s="3">
        <v>10249</v>
      </c>
      <c r="B1228" s="3">
        <v>46</v>
      </c>
      <c r="C1228" s="3">
        <v>100</v>
      </c>
      <c r="D1228" s="3">
        <v>4600</v>
      </c>
      <c r="E1228" s="3" t="str">
        <f t="shared" si="77"/>
        <v>Medium</v>
      </c>
      <c r="F1228" s="3">
        <f t="shared" si="78"/>
        <v>1380</v>
      </c>
      <c r="G1228" s="4">
        <v>38115</v>
      </c>
      <c r="H1228" s="3" t="s">
        <v>25</v>
      </c>
      <c r="I1228" s="3" t="str">
        <f t="shared" si="76"/>
        <v>Yes</v>
      </c>
      <c r="J1228" s="3" t="s">
        <v>682</v>
      </c>
      <c r="K1228" s="3">
        <v>2004</v>
      </c>
      <c r="L1228" s="3" t="str">
        <f t="shared" si="79"/>
        <v>May-2004</v>
      </c>
      <c r="M1228" s="3" t="s">
        <v>550</v>
      </c>
      <c r="N1228" s="3" t="s">
        <v>239</v>
      </c>
      <c r="O1228" s="3" t="s">
        <v>32</v>
      </c>
      <c r="P1228" s="3" t="s">
        <v>33</v>
      </c>
      <c r="Q1228" s="3" t="s">
        <v>51</v>
      </c>
    </row>
    <row r="1229" spans="1:17" x14ac:dyDescent="0.25">
      <c r="A1229" s="5">
        <v>10262</v>
      </c>
      <c r="B1229" s="5">
        <v>34</v>
      </c>
      <c r="C1229" s="5">
        <v>100</v>
      </c>
      <c r="D1229" s="5">
        <v>3400</v>
      </c>
      <c r="E1229" s="5" t="str">
        <f t="shared" si="77"/>
        <v>Medium</v>
      </c>
      <c r="F1229" s="5">
        <f t="shared" si="78"/>
        <v>1020</v>
      </c>
      <c r="G1229" s="6">
        <v>38162</v>
      </c>
      <c r="H1229" s="5" t="s">
        <v>339</v>
      </c>
      <c r="I1229" s="5" t="str">
        <f t="shared" si="76"/>
        <v>No</v>
      </c>
      <c r="J1229" s="5" t="s">
        <v>689</v>
      </c>
      <c r="K1229" s="5">
        <v>2004</v>
      </c>
      <c r="L1229" s="5" t="str">
        <f t="shared" si="79"/>
        <v>Jun-2004</v>
      </c>
      <c r="M1229" s="5" t="s">
        <v>550</v>
      </c>
      <c r="N1229" s="5" t="s">
        <v>174</v>
      </c>
      <c r="O1229" s="5" t="s">
        <v>178</v>
      </c>
      <c r="P1229" s="5" t="s">
        <v>42</v>
      </c>
      <c r="Q1229" s="5" t="s">
        <v>51</v>
      </c>
    </row>
    <row r="1230" spans="1:17" x14ac:dyDescent="0.25">
      <c r="A1230" s="3">
        <v>10273</v>
      </c>
      <c r="B1230" s="3">
        <v>50</v>
      </c>
      <c r="C1230" s="3">
        <v>85.75</v>
      </c>
      <c r="D1230" s="3">
        <v>4287.5</v>
      </c>
      <c r="E1230" s="3" t="str">
        <f t="shared" si="77"/>
        <v>Medium</v>
      </c>
      <c r="F1230" s="3">
        <f t="shared" si="78"/>
        <v>1286.25</v>
      </c>
      <c r="G1230" s="4">
        <v>38189</v>
      </c>
      <c r="H1230" s="3" t="s">
        <v>25</v>
      </c>
      <c r="I1230" s="3" t="str">
        <f t="shared" si="76"/>
        <v>Yes</v>
      </c>
      <c r="J1230" s="3" t="s">
        <v>683</v>
      </c>
      <c r="K1230" s="3">
        <v>2004</v>
      </c>
      <c r="L1230" s="3" t="str">
        <f t="shared" si="79"/>
        <v>Jul-2004</v>
      </c>
      <c r="M1230" s="3" t="s">
        <v>550</v>
      </c>
      <c r="N1230" s="3" t="s">
        <v>365</v>
      </c>
      <c r="O1230" s="3" t="s">
        <v>370</v>
      </c>
      <c r="P1230" s="3" t="s">
        <v>42</v>
      </c>
      <c r="Q1230" s="3" t="s">
        <v>51</v>
      </c>
    </row>
    <row r="1231" spans="1:17" x14ac:dyDescent="0.25">
      <c r="A1231" s="5">
        <v>10283</v>
      </c>
      <c r="B1231" s="5">
        <v>46</v>
      </c>
      <c r="C1231" s="5">
        <v>100</v>
      </c>
      <c r="D1231" s="5">
        <v>4600</v>
      </c>
      <c r="E1231" s="5" t="str">
        <f t="shared" si="77"/>
        <v>Medium</v>
      </c>
      <c r="F1231" s="5">
        <f t="shared" si="78"/>
        <v>1380</v>
      </c>
      <c r="G1231" s="6">
        <v>38219</v>
      </c>
      <c r="H1231" s="5" t="s">
        <v>25</v>
      </c>
      <c r="I1231" s="5" t="str">
        <f t="shared" si="76"/>
        <v>Yes</v>
      </c>
      <c r="J1231" s="5" t="s">
        <v>684</v>
      </c>
      <c r="K1231" s="5">
        <v>2004</v>
      </c>
      <c r="L1231" s="5" t="str">
        <f t="shared" si="79"/>
        <v>Aug-2004</v>
      </c>
      <c r="M1231" s="5" t="s">
        <v>550</v>
      </c>
      <c r="N1231" s="5" t="s">
        <v>373</v>
      </c>
      <c r="O1231" s="5" t="s">
        <v>231</v>
      </c>
      <c r="P1231" s="5" t="s">
        <v>33</v>
      </c>
      <c r="Q1231" s="5" t="s">
        <v>51</v>
      </c>
    </row>
    <row r="1232" spans="1:17" x14ac:dyDescent="0.25">
      <c r="A1232" s="3">
        <v>10296</v>
      </c>
      <c r="B1232" s="3">
        <v>22</v>
      </c>
      <c r="C1232" s="3">
        <v>84.7</v>
      </c>
      <c r="D1232" s="3">
        <v>1863.4</v>
      </c>
      <c r="E1232" s="3" t="str">
        <f t="shared" si="77"/>
        <v>Low</v>
      </c>
      <c r="F1232" s="3">
        <f t="shared" si="78"/>
        <v>559.02</v>
      </c>
      <c r="G1232" s="4">
        <v>38245</v>
      </c>
      <c r="H1232" s="3" t="s">
        <v>25</v>
      </c>
      <c r="I1232" s="3" t="str">
        <f t="shared" si="76"/>
        <v>Yes</v>
      </c>
      <c r="J1232" s="3" t="s">
        <v>690</v>
      </c>
      <c r="K1232" s="3">
        <v>2004</v>
      </c>
      <c r="L1232" s="3" t="str">
        <f t="shared" si="79"/>
        <v>Sep-2004</v>
      </c>
      <c r="M1232" s="3" t="s">
        <v>550</v>
      </c>
      <c r="N1232" s="3" t="s">
        <v>572</v>
      </c>
      <c r="O1232" s="3" t="s">
        <v>443</v>
      </c>
      <c r="P1232" s="3" t="s">
        <v>42</v>
      </c>
      <c r="Q1232" s="3" t="s">
        <v>36</v>
      </c>
    </row>
    <row r="1233" spans="1:17" x14ac:dyDescent="0.25">
      <c r="A1233" s="5">
        <v>10307</v>
      </c>
      <c r="B1233" s="5">
        <v>48</v>
      </c>
      <c r="C1233" s="5">
        <v>86.81</v>
      </c>
      <c r="D1233" s="5">
        <v>4166.88</v>
      </c>
      <c r="E1233" s="5" t="str">
        <f t="shared" si="77"/>
        <v>Medium</v>
      </c>
      <c r="F1233" s="5">
        <f t="shared" si="78"/>
        <v>1250.0640000000001</v>
      </c>
      <c r="G1233" s="6">
        <v>38274</v>
      </c>
      <c r="H1233" s="5" t="s">
        <v>25</v>
      </c>
      <c r="I1233" s="5" t="str">
        <f t="shared" si="76"/>
        <v>Yes</v>
      </c>
      <c r="J1233" s="5" t="s">
        <v>685</v>
      </c>
      <c r="K1233" s="5">
        <v>2004</v>
      </c>
      <c r="L1233" s="5" t="str">
        <f t="shared" si="79"/>
        <v>Oct-2004</v>
      </c>
      <c r="M1233" s="5" t="s">
        <v>550</v>
      </c>
      <c r="N1233" s="5" t="s">
        <v>214</v>
      </c>
      <c r="O1233" s="5" t="s">
        <v>32</v>
      </c>
      <c r="P1233" s="5" t="s">
        <v>33</v>
      </c>
      <c r="Q1233" s="5" t="s">
        <v>51</v>
      </c>
    </row>
    <row r="1234" spans="1:17" x14ac:dyDescent="0.25">
      <c r="A1234" s="3">
        <v>10316</v>
      </c>
      <c r="B1234" s="3">
        <v>47</v>
      </c>
      <c r="C1234" s="3">
        <v>86.81</v>
      </c>
      <c r="D1234" s="3">
        <v>4080.07</v>
      </c>
      <c r="E1234" s="3" t="str">
        <f t="shared" si="77"/>
        <v>Medium</v>
      </c>
      <c r="F1234" s="3">
        <f t="shared" si="78"/>
        <v>1224.021</v>
      </c>
      <c r="G1234" s="4">
        <v>38292</v>
      </c>
      <c r="H1234" s="3" t="s">
        <v>25</v>
      </c>
      <c r="I1234" s="3" t="str">
        <f t="shared" si="76"/>
        <v>Yes</v>
      </c>
      <c r="J1234" s="3" t="s">
        <v>686</v>
      </c>
      <c r="K1234" s="3">
        <v>2004</v>
      </c>
      <c r="L1234" s="3" t="str">
        <f t="shared" si="79"/>
        <v>Nov-2004</v>
      </c>
      <c r="M1234" s="3" t="s">
        <v>550</v>
      </c>
      <c r="N1234" s="3" t="s">
        <v>383</v>
      </c>
      <c r="O1234" s="3" t="s">
        <v>170</v>
      </c>
      <c r="P1234" s="3" t="s">
        <v>42</v>
      </c>
      <c r="Q1234" s="3" t="s">
        <v>51</v>
      </c>
    </row>
    <row r="1235" spans="1:17" x14ac:dyDescent="0.25">
      <c r="A1235" s="5">
        <v>10328</v>
      </c>
      <c r="B1235" s="5">
        <v>34</v>
      </c>
      <c r="C1235" s="5">
        <v>100</v>
      </c>
      <c r="D1235" s="5">
        <v>3400</v>
      </c>
      <c r="E1235" s="5" t="str">
        <f t="shared" si="77"/>
        <v>Medium</v>
      </c>
      <c r="F1235" s="5">
        <f t="shared" si="78"/>
        <v>1020</v>
      </c>
      <c r="G1235" s="6">
        <v>38303</v>
      </c>
      <c r="H1235" s="5" t="s">
        <v>25</v>
      </c>
      <c r="I1235" s="5" t="str">
        <f t="shared" si="76"/>
        <v>Yes</v>
      </c>
      <c r="J1235" s="5" t="s">
        <v>686</v>
      </c>
      <c r="K1235" s="5">
        <v>2004</v>
      </c>
      <c r="L1235" s="5" t="str">
        <f t="shared" si="79"/>
        <v>Nov-2004</v>
      </c>
      <c r="M1235" s="5" t="s">
        <v>550</v>
      </c>
      <c r="N1235" s="5" t="s">
        <v>552</v>
      </c>
      <c r="O1235" s="5" t="s">
        <v>258</v>
      </c>
      <c r="P1235" s="5" t="s">
        <v>42</v>
      </c>
      <c r="Q1235" s="5" t="s">
        <v>51</v>
      </c>
    </row>
    <row r="1236" spans="1:17" x14ac:dyDescent="0.25">
      <c r="A1236" s="3">
        <v>10338</v>
      </c>
      <c r="B1236" s="3">
        <v>45</v>
      </c>
      <c r="C1236" s="3">
        <v>100</v>
      </c>
      <c r="D1236" s="3">
        <v>4500</v>
      </c>
      <c r="E1236" s="3" t="str">
        <f t="shared" si="77"/>
        <v>Medium</v>
      </c>
      <c r="F1236" s="3">
        <f t="shared" si="78"/>
        <v>1350</v>
      </c>
      <c r="G1236" s="4">
        <v>38313</v>
      </c>
      <c r="H1236" s="3" t="s">
        <v>25</v>
      </c>
      <c r="I1236" s="3" t="str">
        <f t="shared" si="76"/>
        <v>Yes</v>
      </c>
      <c r="J1236" s="3" t="s">
        <v>686</v>
      </c>
      <c r="K1236" s="3">
        <v>2004</v>
      </c>
      <c r="L1236" s="3" t="str">
        <f t="shared" si="79"/>
        <v>Nov-2004</v>
      </c>
      <c r="M1236" s="3" t="s">
        <v>550</v>
      </c>
      <c r="N1236" s="3" t="s">
        <v>577</v>
      </c>
      <c r="O1236" s="3" t="s">
        <v>370</v>
      </c>
      <c r="P1236" s="3" t="s">
        <v>42</v>
      </c>
      <c r="Q1236" s="3" t="s">
        <v>51</v>
      </c>
    </row>
    <row r="1237" spans="1:17" x14ac:dyDescent="0.25">
      <c r="A1237" s="5">
        <v>10351</v>
      </c>
      <c r="B1237" s="5">
        <v>20</v>
      </c>
      <c r="C1237" s="5">
        <v>100</v>
      </c>
      <c r="D1237" s="5">
        <v>2000</v>
      </c>
      <c r="E1237" s="5" t="str">
        <f t="shared" si="77"/>
        <v>Medium</v>
      </c>
      <c r="F1237" s="5">
        <f t="shared" si="78"/>
        <v>600</v>
      </c>
      <c r="G1237" s="6">
        <v>38324</v>
      </c>
      <c r="H1237" s="5" t="s">
        <v>25</v>
      </c>
      <c r="I1237" s="5" t="str">
        <f t="shared" si="76"/>
        <v>Yes</v>
      </c>
      <c r="J1237" s="5" t="s">
        <v>687</v>
      </c>
      <c r="K1237" s="5">
        <v>2004</v>
      </c>
      <c r="L1237" s="5" t="str">
        <f t="shared" si="79"/>
        <v>Dec-2004</v>
      </c>
      <c r="M1237" s="5" t="s">
        <v>550</v>
      </c>
      <c r="N1237" s="5" t="s">
        <v>329</v>
      </c>
      <c r="O1237" s="5" t="s">
        <v>170</v>
      </c>
      <c r="P1237" s="5" t="s">
        <v>42</v>
      </c>
      <c r="Q1237" s="5" t="s">
        <v>51</v>
      </c>
    </row>
    <row r="1238" spans="1:17" x14ac:dyDescent="0.25">
      <c r="A1238" s="3">
        <v>10373</v>
      </c>
      <c r="B1238" s="3">
        <v>50</v>
      </c>
      <c r="C1238" s="3">
        <v>60.49</v>
      </c>
      <c r="D1238" s="3">
        <v>3024.5</v>
      </c>
      <c r="E1238" s="3" t="str">
        <f t="shared" si="77"/>
        <v>Medium</v>
      </c>
      <c r="F1238" s="3">
        <f t="shared" si="78"/>
        <v>907.35</v>
      </c>
      <c r="G1238" s="4">
        <v>38383</v>
      </c>
      <c r="H1238" s="3" t="s">
        <v>25</v>
      </c>
      <c r="I1238" s="3" t="str">
        <f t="shared" si="76"/>
        <v>Yes</v>
      </c>
      <c r="J1238" s="3" t="s">
        <v>549</v>
      </c>
      <c r="K1238" s="3">
        <v>2005</v>
      </c>
      <c r="L1238" s="3" t="str">
        <f t="shared" si="79"/>
        <v>Jan-2005</v>
      </c>
      <c r="M1238" s="3" t="s">
        <v>550</v>
      </c>
      <c r="N1238" s="3" t="s">
        <v>391</v>
      </c>
      <c r="O1238" s="3" t="s">
        <v>130</v>
      </c>
      <c r="P1238" s="3" t="s">
        <v>42</v>
      </c>
      <c r="Q1238" s="3" t="s">
        <v>51</v>
      </c>
    </row>
    <row r="1239" spans="1:17" x14ac:dyDescent="0.25">
      <c r="A1239" s="5">
        <v>10386</v>
      </c>
      <c r="B1239" s="5">
        <v>22</v>
      </c>
      <c r="C1239" s="5">
        <v>57.55</v>
      </c>
      <c r="D1239" s="5">
        <v>1266.0999999999999</v>
      </c>
      <c r="E1239" s="5" t="str">
        <f t="shared" si="77"/>
        <v>Low</v>
      </c>
      <c r="F1239" s="5">
        <f t="shared" si="78"/>
        <v>379.83</v>
      </c>
      <c r="G1239" s="6">
        <v>38412</v>
      </c>
      <c r="H1239" s="5" t="s">
        <v>408</v>
      </c>
      <c r="I1239" s="5" t="str">
        <f t="shared" si="76"/>
        <v>No</v>
      </c>
      <c r="J1239" s="5" t="s">
        <v>691</v>
      </c>
      <c r="K1239" s="5">
        <v>2005</v>
      </c>
      <c r="L1239" s="5" t="str">
        <f t="shared" si="79"/>
        <v>Mar-2005</v>
      </c>
      <c r="M1239" s="5" t="s">
        <v>550</v>
      </c>
      <c r="N1239" s="5" t="s">
        <v>174</v>
      </c>
      <c r="O1239" s="5" t="s">
        <v>178</v>
      </c>
      <c r="P1239" s="5" t="s">
        <v>42</v>
      </c>
      <c r="Q1239" s="5" t="s">
        <v>36</v>
      </c>
    </row>
    <row r="1240" spans="1:17" x14ac:dyDescent="0.25">
      <c r="A1240" s="3">
        <v>10398</v>
      </c>
      <c r="B1240" s="3">
        <v>45</v>
      </c>
      <c r="C1240" s="3">
        <v>100</v>
      </c>
      <c r="D1240" s="3">
        <v>4500</v>
      </c>
      <c r="E1240" s="3" t="str">
        <f t="shared" si="77"/>
        <v>Medium</v>
      </c>
      <c r="F1240" s="3">
        <f t="shared" si="78"/>
        <v>1350</v>
      </c>
      <c r="G1240" s="4">
        <v>38441</v>
      </c>
      <c r="H1240" s="3" t="s">
        <v>25</v>
      </c>
      <c r="I1240" s="3" t="str">
        <f t="shared" si="76"/>
        <v>Yes</v>
      </c>
      <c r="J1240" s="3" t="s">
        <v>691</v>
      </c>
      <c r="K1240" s="3">
        <v>2005</v>
      </c>
      <c r="L1240" s="3" t="str">
        <f t="shared" si="79"/>
        <v>Mar-2005</v>
      </c>
      <c r="M1240" s="3" t="s">
        <v>550</v>
      </c>
      <c r="N1240" s="3" t="s">
        <v>37</v>
      </c>
      <c r="O1240" s="3" t="s">
        <v>41</v>
      </c>
      <c r="P1240" s="3" t="s">
        <v>42</v>
      </c>
      <c r="Q1240" s="3" t="s">
        <v>51</v>
      </c>
    </row>
    <row r="1241" spans="1:17" x14ac:dyDescent="0.25">
      <c r="A1241" s="5">
        <v>10400</v>
      </c>
      <c r="B1241" s="5">
        <v>58</v>
      </c>
      <c r="C1241" s="5">
        <v>100</v>
      </c>
      <c r="D1241" s="5">
        <v>5800</v>
      </c>
      <c r="E1241" s="5" t="str">
        <f t="shared" si="77"/>
        <v>High</v>
      </c>
      <c r="F1241" s="5">
        <f t="shared" si="78"/>
        <v>1740</v>
      </c>
      <c r="G1241" s="6">
        <v>38443</v>
      </c>
      <c r="H1241" s="5" t="s">
        <v>25</v>
      </c>
      <c r="I1241" s="5" t="str">
        <f t="shared" si="76"/>
        <v>Yes</v>
      </c>
      <c r="J1241" s="5" t="s">
        <v>688</v>
      </c>
      <c r="K1241" s="5">
        <v>2005</v>
      </c>
      <c r="L1241" s="5" t="str">
        <f t="shared" si="79"/>
        <v>Apr-2005</v>
      </c>
      <c r="M1241" s="5" t="s">
        <v>550</v>
      </c>
      <c r="N1241" s="5" t="s">
        <v>397</v>
      </c>
      <c r="O1241" s="5" t="s">
        <v>32</v>
      </c>
      <c r="P1241" s="5" t="s">
        <v>33</v>
      </c>
      <c r="Q1241" s="5" t="s">
        <v>151</v>
      </c>
    </row>
    <row r="1242" spans="1:17" x14ac:dyDescent="0.25">
      <c r="A1242" s="3">
        <v>10415</v>
      </c>
      <c r="B1242" s="3">
        <v>51</v>
      </c>
      <c r="C1242" s="3">
        <v>100</v>
      </c>
      <c r="D1242" s="3">
        <v>5100</v>
      </c>
      <c r="E1242" s="3" t="str">
        <f t="shared" si="77"/>
        <v>High</v>
      </c>
      <c r="F1242" s="3">
        <f t="shared" si="78"/>
        <v>1530</v>
      </c>
      <c r="G1242" s="4">
        <v>38481</v>
      </c>
      <c r="H1242" s="3" t="s">
        <v>173</v>
      </c>
      <c r="I1242" s="3" t="str">
        <f t="shared" si="76"/>
        <v>No</v>
      </c>
      <c r="J1242" s="3" t="s">
        <v>682</v>
      </c>
      <c r="K1242" s="3">
        <v>2005</v>
      </c>
      <c r="L1242" s="3" t="str">
        <f t="shared" si="79"/>
        <v>May-2005</v>
      </c>
      <c r="M1242" s="3" t="s">
        <v>550</v>
      </c>
      <c r="N1242" s="3" t="s">
        <v>558</v>
      </c>
      <c r="O1242" s="3" t="s">
        <v>95</v>
      </c>
      <c r="P1242" s="3" t="s">
        <v>96</v>
      </c>
      <c r="Q1242" s="3" t="s">
        <v>51</v>
      </c>
    </row>
    <row r="1243" spans="1:17" x14ac:dyDescent="0.25">
      <c r="A1243" s="5">
        <v>10104</v>
      </c>
      <c r="B1243" s="5">
        <v>38</v>
      </c>
      <c r="C1243" s="5">
        <v>100</v>
      </c>
      <c r="D1243" s="5">
        <v>3800</v>
      </c>
      <c r="E1243" s="5" t="str">
        <f t="shared" si="77"/>
        <v>Medium</v>
      </c>
      <c r="F1243" s="5">
        <f t="shared" si="78"/>
        <v>1140</v>
      </c>
      <c r="G1243" s="6">
        <v>37652</v>
      </c>
      <c r="H1243" s="5" t="s">
        <v>25</v>
      </c>
      <c r="I1243" s="5" t="str">
        <f t="shared" si="76"/>
        <v>Yes</v>
      </c>
      <c r="J1243" s="5" t="s">
        <v>549</v>
      </c>
      <c r="K1243" s="5">
        <v>2003</v>
      </c>
      <c r="L1243" s="5" t="str">
        <f t="shared" si="79"/>
        <v>Jan-2003</v>
      </c>
      <c r="M1243" s="5" t="s">
        <v>181</v>
      </c>
      <c r="N1243" s="5" t="s">
        <v>174</v>
      </c>
      <c r="O1243" s="5" t="s">
        <v>178</v>
      </c>
      <c r="P1243" s="5" t="s">
        <v>42</v>
      </c>
      <c r="Q1243" s="5" t="s">
        <v>51</v>
      </c>
    </row>
    <row r="1244" spans="1:17" x14ac:dyDescent="0.25">
      <c r="A1244" s="3">
        <v>10117</v>
      </c>
      <c r="B1244" s="3">
        <v>22</v>
      </c>
      <c r="C1244" s="3">
        <v>100</v>
      </c>
      <c r="D1244" s="3">
        <v>2200</v>
      </c>
      <c r="E1244" s="3" t="str">
        <f t="shared" si="77"/>
        <v>Medium</v>
      </c>
      <c r="F1244" s="3">
        <f t="shared" si="78"/>
        <v>660</v>
      </c>
      <c r="G1244" s="4">
        <v>37727</v>
      </c>
      <c r="H1244" s="3" t="s">
        <v>25</v>
      </c>
      <c r="I1244" s="3" t="str">
        <f t="shared" si="76"/>
        <v>Yes</v>
      </c>
      <c r="J1244" s="3" t="s">
        <v>688</v>
      </c>
      <c r="K1244" s="3">
        <v>2003</v>
      </c>
      <c r="L1244" s="3" t="str">
        <f t="shared" si="79"/>
        <v>Apr-2003</v>
      </c>
      <c r="M1244" s="3" t="s">
        <v>181</v>
      </c>
      <c r="N1244" s="3" t="s">
        <v>196</v>
      </c>
      <c r="O1244" s="3" t="s">
        <v>199</v>
      </c>
      <c r="P1244" s="3" t="s">
        <v>675</v>
      </c>
      <c r="Q1244" s="3" t="s">
        <v>36</v>
      </c>
    </row>
    <row r="1245" spans="1:17" x14ac:dyDescent="0.25">
      <c r="A1245" s="5">
        <v>10127</v>
      </c>
      <c r="B1245" s="5">
        <v>25</v>
      </c>
      <c r="C1245" s="5">
        <v>100</v>
      </c>
      <c r="D1245" s="5">
        <v>2500</v>
      </c>
      <c r="E1245" s="5" t="str">
        <f t="shared" si="77"/>
        <v>Medium</v>
      </c>
      <c r="F1245" s="5">
        <f t="shared" si="78"/>
        <v>750</v>
      </c>
      <c r="G1245" s="6">
        <v>37775</v>
      </c>
      <c r="H1245" s="5" t="s">
        <v>25</v>
      </c>
      <c r="I1245" s="5" t="str">
        <f t="shared" si="76"/>
        <v>Yes</v>
      </c>
      <c r="J1245" s="5" t="s">
        <v>689</v>
      </c>
      <c r="K1245" s="5">
        <v>2003</v>
      </c>
      <c r="L1245" s="5" t="str">
        <f t="shared" si="79"/>
        <v>Jun-2003</v>
      </c>
      <c r="M1245" s="5" t="s">
        <v>181</v>
      </c>
      <c r="N1245" s="5" t="s">
        <v>475</v>
      </c>
      <c r="O1245" s="5" t="s">
        <v>32</v>
      </c>
      <c r="P1245" s="5" t="s">
        <v>33</v>
      </c>
      <c r="Q1245" s="5" t="s">
        <v>51</v>
      </c>
    </row>
    <row r="1246" spans="1:17" x14ac:dyDescent="0.25">
      <c r="A1246" s="3">
        <v>10142</v>
      </c>
      <c r="B1246" s="3">
        <v>24</v>
      </c>
      <c r="C1246" s="3">
        <v>100</v>
      </c>
      <c r="D1246" s="3">
        <v>2400</v>
      </c>
      <c r="E1246" s="3" t="str">
        <f t="shared" si="77"/>
        <v>Medium</v>
      </c>
      <c r="F1246" s="3">
        <f t="shared" si="78"/>
        <v>720</v>
      </c>
      <c r="G1246" s="4">
        <v>37841</v>
      </c>
      <c r="H1246" s="3" t="s">
        <v>25</v>
      </c>
      <c r="I1246" s="3" t="str">
        <f t="shared" si="76"/>
        <v>Yes</v>
      </c>
      <c r="J1246" s="3" t="s">
        <v>684</v>
      </c>
      <c r="K1246" s="3">
        <v>2003</v>
      </c>
      <c r="L1246" s="3" t="str">
        <f t="shared" si="79"/>
        <v>Aug-2003</v>
      </c>
      <c r="M1246" s="3" t="s">
        <v>181</v>
      </c>
      <c r="N1246" s="3" t="s">
        <v>272</v>
      </c>
      <c r="O1246" s="3" t="s">
        <v>32</v>
      </c>
      <c r="P1246" s="3" t="s">
        <v>33</v>
      </c>
      <c r="Q1246" s="3" t="s">
        <v>51</v>
      </c>
    </row>
    <row r="1247" spans="1:17" x14ac:dyDescent="0.25">
      <c r="A1247" s="5">
        <v>10152</v>
      </c>
      <c r="B1247" s="5">
        <v>35</v>
      </c>
      <c r="C1247" s="5">
        <v>100</v>
      </c>
      <c r="D1247" s="5">
        <v>3500</v>
      </c>
      <c r="E1247" s="5" t="str">
        <f t="shared" si="77"/>
        <v>Medium</v>
      </c>
      <c r="F1247" s="5">
        <f t="shared" si="78"/>
        <v>1050</v>
      </c>
      <c r="G1247" s="6">
        <v>37889</v>
      </c>
      <c r="H1247" s="5" t="s">
        <v>25</v>
      </c>
      <c r="I1247" s="5" t="str">
        <f t="shared" si="76"/>
        <v>Yes</v>
      </c>
      <c r="J1247" s="5" t="s">
        <v>690</v>
      </c>
      <c r="K1247" s="5">
        <v>2003</v>
      </c>
      <c r="L1247" s="5" t="str">
        <f t="shared" si="79"/>
        <v>Sep-2003</v>
      </c>
      <c r="M1247" s="5" t="s">
        <v>181</v>
      </c>
      <c r="N1247" s="5" t="s">
        <v>207</v>
      </c>
      <c r="O1247" s="5" t="s">
        <v>95</v>
      </c>
      <c r="P1247" s="5" t="s">
        <v>96</v>
      </c>
      <c r="Q1247" s="5" t="s">
        <v>51</v>
      </c>
    </row>
    <row r="1248" spans="1:17" x14ac:dyDescent="0.25">
      <c r="A1248" s="3">
        <v>10165</v>
      </c>
      <c r="B1248" s="3">
        <v>28</v>
      </c>
      <c r="C1248" s="3">
        <v>100</v>
      </c>
      <c r="D1248" s="3">
        <v>2800</v>
      </c>
      <c r="E1248" s="3" t="str">
        <f t="shared" si="77"/>
        <v>Medium</v>
      </c>
      <c r="F1248" s="3">
        <f t="shared" si="78"/>
        <v>840</v>
      </c>
      <c r="G1248" s="4">
        <v>37916</v>
      </c>
      <c r="H1248" s="3" t="s">
        <v>25</v>
      </c>
      <c r="I1248" s="3" t="str">
        <f t="shared" si="76"/>
        <v>Yes</v>
      </c>
      <c r="J1248" s="3" t="s">
        <v>685</v>
      </c>
      <c r="K1248" s="3">
        <v>2003</v>
      </c>
      <c r="L1248" s="3" t="str">
        <f t="shared" si="79"/>
        <v>Oct-2003</v>
      </c>
      <c r="M1248" s="3" t="s">
        <v>181</v>
      </c>
      <c r="N1248" s="3" t="s">
        <v>196</v>
      </c>
      <c r="O1248" s="3" t="s">
        <v>199</v>
      </c>
      <c r="P1248" s="3" t="s">
        <v>675</v>
      </c>
      <c r="Q1248" s="3" t="s">
        <v>51</v>
      </c>
    </row>
    <row r="1249" spans="1:17" x14ac:dyDescent="0.25">
      <c r="A1249" s="5">
        <v>10176</v>
      </c>
      <c r="B1249" s="5">
        <v>36</v>
      </c>
      <c r="C1249" s="5">
        <v>100</v>
      </c>
      <c r="D1249" s="5">
        <v>3600</v>
      </c>
      <c r="E1249" s="5" t="str">
        <f t="shared" si="77"/>
        <v>Medium</v>
      </c>
      <c r="F1249" s="5">
        <f t="shared" si="78"/>
        <v>1080</v>
      </c>
      <c r="G1249" s="6">
        <v>37931</v>
      </c>
      <c r="H1249" s="5" t="s">
        <v>25</v>
      </c>
      <c r="I1249" s="5" t="str">
        <f t="shared" si="76"/>
        <v>Yes</v>
      </c>
      <c r="J1249" s="5" t="s">
        <v>686</v>
      </c>
      <c r="K1249" s="5">
        <v>2003</v>
      </c>
      <c r="L1249" s="5" t="str">
        <f t="shared" si="79"/>
        <v>Nov-2003</v>
      </c>
      <c r="M1249" s="5" t="s">
        <v>181</v>
      </c>
      <c r="N1249" s="5" t="s">
        <v>452</v>
      </c>
      <c r="O1249" s="5" t="s">
        <v>258</v>
      </c>
      <c r="P1249" s="5" t="s">
        <v>42</v>
      </c>
      <c r="Q1249" s="5" t="s">
        <v>51</v>
      </c>
    </row>
    <row r="1250" spans="1:17" x14ac:dyDescent="0.25">
      <c r="A1250" s="3">
        <v>10185</v>
      </c>
      <c r="B1250" s="3">
        <v>39</v>
      </c>
      <c r="C1250" s="3">
        <v>100</v>
      </c>
      <c r="D1250" s="3">
        <v>3900</v>
      </c>
      <c r="E1250" s="3" t="str">
        <f t="shared" si="77"/>
        <v>Medium</v>
      </c>
      <c r="F1250" s="3">
        <f t="shared" si="78"/>
        <v>1170</v>
      </c>
      <c r="G1250" s="4">
        <v>37939</v>
      </c>
      <c r="H1250" s="3" t="s">
        <v>25</v>
      </c>
      <c r="I1250" s="3" t="str">
        <f t="shared" si="76"/>
        <v>Yes</v>
      </c>
      <c r="J1250" s="3" t="s">
        <v>686</v>
      </c>
      <c r="K1250" s="3">
        <v>2003</v>
      </c>
      <c r="L1250" s="3" t="str">
        <f t="shared" si="79"/>
        <v>Nov-2003</v>
      </c>
      <c r="M1250" s="3" t="s">
        <v>181</v>
      </c>
      <c r="N1250" s="3" t="s">
        <v>335</v>
      </c>
      <c r="O1250" s="3" t="s">
        <v>32</v>
      </c>
      <c r="P1250" s="3" t="s">
        <v>33</v>
      </c>
      <c r="Q1250" s="3" t="s">
        <v>51</v>
      </c>
    </row>
    <row r="1251" spans="1:17" x14ac:dyDescent="0.25">
      <c r="A1251" s="5">
        <v>10196</v>
      </c>
      <c r="B1251" s="5">
        <v>27</v>
      </c>
      <c r="C1251" s="5">
        <v>100</v>
      </c>
      <c r="D1251" s="5">
        <v>2700</v>
      </c>
      <c r="E1251" s="5" t="str">
        <f t="shared" si="77"/>
        <v>Medium</v>
      </c>
      <c r="F1251" s="5">
        <f t="shared" si="78"/>
        <v>810</v>
      </c>
      <c r="G1251" s="6">
        <v>37951</v>
      </c>
      <c r="H1251" s="5" t="s">
        <v>25</v>
      </c>
      <c r="I1251" s="5" t="str">
        <f t="shared" si="76"/>
        <v>Yes</v>
      </c>
      <c r="J1251" s="5" t="s">
        <v>686</v>
      </c>
      <c r="K1251" s="5">
        <v>2003</v>
      </c>
      <c r="L1251" s="5" t="str">
        <f t="shared" si="79"/>
        <v>Nov-2003</v>
      </c>
      <c r="M1251" s="5" t="s">
        <v>181</v>
      </c>
      <c r="N1251" s="5" t="s">
        <v>242</v>
      </c>
      <c r="O1251" s="5" t="s">
        <v>32</v>
      </c>
      <c r="P1251" s="5" t="s">
        <v>33</v>
      </c>
      <c r="Q1251" s="5" t="s">
        <v>51</v>
      </c>
    </row>
    <row r="1252" spans="1:17" x14ac:dyDescent="0.25">
      <c r="A1252" s="3">
        <v>10207</v>
      </c>
      <c r="B1252" s="3">
        <v>40</v>
      </c>
      <c r="C1252" s="3">
        <v>100</v>
      </c>
      <c r="D1252" s="3">
        <v>4000</v>
      </c>
      <c r="E1252" s="3" t="str">
        <f t="shared" si="77"/>
        <v>Medium</v>
      </c>
      <c r="F1252" s="3">
        <f t="shared" si="78"/>
        <v>1200</v>
      </c>
      <c r="G1252" s="4">
        <v>37964</v>
      </c>
      <c r="H1252" s="3" t="s">
        <v>25</v>
      </c>
      <c r="I1252" s="3" t="str">
        <f t="shared" si="76"/>
        <v>Yes</v>
      </c>
      <c r="J1252" s="3" t="s">
        <v>687</v>
      </c>
      <c r="K1252" s="3">
        <v>2003</v>
      </c>
      <c r="L1252" s="3" t="str">
        <f t="shared" si="79"/>
        <v>Dec-2003</v>
      </c>
      <c r="M1252" s="3" t="s">
        <v>181</v>
      </c>
      <c r="N1252" s="3" t="s">
        <v>415</v>
      </c>
      <c r="O1252" s="3" t="s">
        <v>32</v>
      </c>
      <c r="P1252" s="3" t="s">
        <v>33</v>
      </c>
      <c r="Q1252" s="3" t="s">
        <v>51</v>
      </c>
    </row>
    <row r="1253" spans="1:17" x14ac:dyDescent="0.25">
      <c r="A1253" s="5">
        <v>10220</v>
      </c>
      <c r="B1253" s="5">
        <v>50</v>
      </c>
      <c r="C1253" s="5">
        <v>100</v>
      </c>
      <c r="D1253" s="5">
        <v>5000</v>
      </c>
      <c r="E1253" s="5" t="str">
        <f t="shared" si="77"/>
        <v>High</v>
      </c>
      <c r="F1253" s="5">
        <f t="shared" si="78"/>
        <v>1500</v>
      </c>
      <c r="G1253" s="6">
        <v>38029</v>
      </c>
      <c r="H1253" s="5" t="s">
        <v>25</v>
      </c>
      <c r="I1253" s="5" t="str">
        <f t="shared" si="76"/>
        <v>Yes</v>
      </c>
      <c r="J1253" s="5" t="s">
        <v>681</v>
      </c>
      <c r="K1253" s="5">
        <v>2004</v>
      </c>
      <c r="L1253" s="5" t="str">
        <f t="shared" si="79"/>
        <v>Feb-2004</v>
      </c>
      <c r="M1253" s="5" t="s">
        <v>181</v>
      </c>
      <c r="N1253" s="5" t="s">
        <v>479</v>
      </c>
      <c r="O1253" s="5" t="s">
        <v>484</v>
      </c>
      <c r="P1253" s="5" t="s">
        <v>42</v>
      </c>
      <c r="Q1253" s="5" t="s">
        <v>151</v>
      </c>
    </row>
    <row r="1254" spans="1:17" x14ac:dyDescent="0.25">
      <c r="A1254" s="3">
        <v>10230</v>
      </c>
      <c r="B1254" s="3">
        <v>42</v>
      </c>
      <c r="C1254" s="3">
        <v>100</v>
      </c>
      <c r="D1254" s="3">
        <v>4200</v>
      </c>
      <c r="E1254" s="3" t="str">
        <f t="shared" si="77"/>
        <v>Medium</v>
      </c>
      <c r="F1254" s="3">
        <f t="shared" si="78"/>
        <v>1260</v>
      </c>
      <c r="G1254" s="4">
        <v>38061</v>
      </c>
      <c r="H1254" s="3" t="s">
        <v>25</v>
      </c>
      <c r="I1254" s="3" t="str">
        <f t="shared" si="76"/>
        <v>Yes</v>
      </c>
      <c r="J1254" s="3" t="s">
        <v>691</v>
      </c>
      <c r="K1254" s="3">
        <v>2004</v>
      </c>
      <c r="L1254" s="3" t="str">
        <f t="shared" si="79"/>
        <v>Mar-2004</v>
      </c>
      <c r="M1254" s="3" t="s">
        <v>181</v>
      </c>
      <c r="N1254" s="3" t="s">
        <v>462</v>
      </c>
      <c r="O1254" s="3" t="s">
        <v>443</v>
      </c>
      <c r="P1254" s="3" t="s">
        <v>42</v>
      </c>
      <c r="Q1254" s="3" t="s">
        <v>151</v>
      </c>
    </row>
    <row r="1255" spans="1:17" x14ac:dyDescent="0.25">
      <c r="A1255" s="5">
        <v>10247</v>
      </c>
      <c r="B1255" s="5">
        <v>48</v>
      </c>
      <c r="C1255" s="5">
        <v>100</v>
      </c>
      <c r="D1255" s="5">
        <v>4800</v>
      </c>
      <c r="E1255" s="5" t="str">
        <f t="shared" si="77"/>
        <v>Medium</v>
      </c>
      <c r="F1255" s="5">
        <f t="shared" si="78"/>
        <v>1440</v>
      </c>
      <c r="G1255" s="6">
        <v>38112</v>
      </c>
      <c r="H1255" s="5" t="s">
        <v>25</v>
      </c>
      <c r="I1255" s="5" t="str">
        <f t="shared" si="76"/>
        <v>Yes</v>
      </c>
      <c r="J1255" s="5" t="s">
        <v>682</v>
      </c>
      <c r="K1255" s="5">
        <v>2004</v>
      </c>
      <c r="L1255" s="5" t="str">
        <f t="shared" si="79"/>
        <v>May-2004</v>
      </c>
      <c r="M1255" s="5" t="s">
        <v>181</v>
      </c>
      <c r="N1255" s="5" t="s">
        <v>467</v>
      </c>
      <c r="O1255" s="5" t="s">
        <v>130</v>
      </c>
      <c r="P1255" s="5" t="s">
        <v>42</v>
      </c>
      <c r="Q1255" s="5" t="s">
        <v>51</v>
      </c>
    </row>
    <row r="1256" spans="1:17" x14ac:dyDescent="0.25">
      <c r="A1256" s="3">
        <v>10272</v>
      </c>
      <c r="B1256" s="3">
        <v>25</v>
      </c>
      <c r="C1256" s="3">
        <v>100</v>
      </c>
      <c r="D1256" s="3">
        <v>2500</v>
      </c>
      <c r="E1256" s="3" t="str">
        <f t="shared" si="77"/>
        <v>Medium</v>
      </c>
      <c r="F1256" s="3">
        <f t="shared" si="78"/>
        <v>750</v>
      </c>
      <c r="G1256" s="4">
        <v>38188</v>
      </c>
      <c r="H1256" s="3" t="s">
        <v>25</v>
      </c>
      <c r="I1256" s="3" t="str">
        <f t="shared" si="76"/>
        <v>Yes</v>
      </c>
      <c r="J1256" s="3" t="s">
        <v>683</v>
      </c>
      <c r="K1256" s="3">
        <v>2004</v>
      </c>
      <c r="L1256" s="3" t="str">
        <f t="shared" si="79"/>
        <v>Jul-2004</v>
      </c>
      <c r="M1256" s="3" t="s">
        <v>181</v>
      </c>
      <c r="N1256" s="3" t="s">
        <v>139</v>
      </c>
      <c r="O1256" s="3" t="s">
        <v>32</v>
      </c>
      <c r="P1256" s="3" t="s">
        <v>33</v>
      </c>
      <c r="Q1256" s="3" t="s">
        <v>51</v>
      </c>
    </row>
    <row r="1257" spans="1:17" x14ac:dyDescent="0.25">
      <c r="A1257" s="5">
        <v>10282</v>
      </c>
      <c r="B1257" s="5">
        <v>31</v>
      </c>
      <c r="C1257" s="5">
        <v>100</v>
      </c>
      <c r="D1257" s="5">
        <v>3100</v>
      </c>
      <c r="E1257" s="5" t="str">
        <f t="shared" si="77"/>
        <v>Medium</v>
      </c>
      <c r="F1257" s="5">
        <f t="shared" si="78"/>
        <v>930</v>
      </c>
      <c r="G1257" s="6">
        <v>38219</v>
      </c>
      <c r="H1257" s="5" t="s">
        <v>25</v>
      </c>
      <c r="I1257" s="5" t="str">
        <f t="shared" si="76"/>
        <v>Yes</v>
      </c>
      <c r="J1257" s="5" t="s">
        <v>684</v>
      </c>
      <c r="K1257" s="5">
        <v>2004</v>
      </c>
      <c r="L1257" s="5" t="str">
        <f t="shared" si="79"/>
        <v>Aug-2004</v>
      </c>
      <c r="M1257" s="5" t="s">
        <v>181</v>
      </c>
      <c r="N1257" s="5" t="s">
        <v>272</v>
      </c>
      <c r="O1257" s="5" t="s">
        <v>32</v>
      </c>
      <c r="P1257" s="5" t="s">
        <v>33</v>
      </c>
      <c r="Q1257" s="5" t="s">
        <v>51</v>
      </c>
    </row>
    <row r="1258" spans="1:17" x14ac:dyDescent="0.25">
      <c r="A1258" s="3">
        <v>10292</v>
      </c>
      <c r="B1258" s="3">
        <v>44</v>
      </c>
      <c r="C1258" s="3">
        <v>100</v>
      </c>
      <c r="D1258" s="3">
        <v>4400</v>
      </c>
      <c r="E1258" s="3" t="str">
        <f t="shared" si="77"/>
        <v>Medium</v>
      </c>
      <c r="F1258" s="3">
        <f t="shared" si="78"/>
        <v>1320</v>
      </c>
      <c r="G1258" s="4">
        <v>38238</v>
      </c>
      <c r="H1258" s="3" t="s">
        <v>25</v>
      </c>
      <c r="I1258" s="3" t="str">
        <f t="shared" si="76"/>
        <v>Yes</v>
      </c>
      <c r="J1258" s="3" t="s">
        <v>690</v>
      </c>
      <c r="K1258" s="3">
        <v>2004</v>
      </c>
      <c r="L1258" s="3" t="str">
        <f t="shared" si="79"/>
        <v>Sep-2004</v>
      </c>
      <c r="M1258" s="3" t="s">
        <v>181</v>
      </c>
      <c r="N1258" s="3" t="s">
        <v>28</v>
      </c>
      <c r="O1258" s="3" t="s">
        <v>32</v>
      </c>
      <c r="P1258" s="3" t="s">
        <v>33</v>
      </c>
      <c r="Q1258" s="3" t="s">
        <v>151</v>
      </c>
    </row>
    <row r="1259" spans="1:17" x14ac:dyDescent="0.25">
      <c r="A1259" s="5">
        <v>10306</v>
      </c>
      <c r="B1259" s="5">
        <v>23</v>
      </c>
      <c r="C1259" s="5">
        <v>100</v>
      </c>
      <c r="D1259" s="5">
        <v>2300</v>
      </c>
      <c r="E1259" s="5" t="str">
        <f t="shared" si="77"/>
        <v>Medium</v>
      </c>
      <c r="F1259" s="5">
        <f t="shared" si="78"/>
        <v>690</v>
      </c>
      <c r="G1259" s="6">
        <v>38274</v>
      </c>
      <c r="H1259" s="5" t="s">
        <v>25</v>
      </c>
      <c r="I1259" s="5" t="str">
        <f t="shared" si="76"/>
        <v>Yes</v>
      </c>
      <c r="J1259" s="5" t="s">
        <v>685</v>
      </c>
      <c r="K1259" s="5">
        <v>2004</v>
      </c>
      <c r="L1259" s="5" t="str">
        <f t="shared" si="79"/>
        <v>Oct-2004</v>
      </c>
      <c r="M1259" s="5" t="s">
        <v>181</v>
      </c>
      <c r="N1259" s="5" t="s">
        <v>492</v>
      </c>
      <c r="O1259" s="5" t="s">
        <v>170</v>
      </c>
      <c r="P1259" s="5" t="s">
        <v>42</v>
      </c>
      <c r="Q1259" s="5" t="s">
        <v>51</v>
      </c>
    </row>
    <row r="1260" spans="1:17" x14ac:dyDescent="0.25">
      <c r="A1260" s="3">
        <v>10314</v>
      </c>
      <c r="B1260" s="3">
        <v>29</v>
      </c>
      <c r="C1260" s="3">
        <v>100</v>
      </c>
      <c r="D1260" s="3">
        <v>2900</v>
      </c>
      <c r="E1260" s="3" t="str">
        <f t="shared" si="77"/>
        <v>Medium</v>
      </c>
      <c r="F1260" s="3">
        <f t="shared" si="78"/>
        <v>870</v>
      </c>
      <c r="G1260" s="4">
        <v>38282</v>
      </c>
      <c r="H1260" s="3" t="s">
        <v>25</v>
      </c>
      <c r="I1260" s="3" t="str">
        <f t="shared" si="76"/>
        <v>Yes</v>
      </c>
      <c r="J1260" s="3" t="s">
        <v>685</v>
      </c>
      <c r="K1260" s="3">
        <v>2004</v>
      </c>
      <c r="L1260" s="3" t="str">
        <f t="shared" si="79"/>
        <v>Oct-2004</v>
      </c>
      <c r="M1260" s="3" t="s">
        <v>181</v>
      </c>
      <c r="N1260" s="3" t="s">
        <v>498</v>
      </c>
      <c r="O1260" s="3" t="s">
        <v>326</v>
      </c>
      <c r="P1260" s="3" t="s">
        <v>42</v>
      </c>
      <c r="Q1260" s="3" t="s">
        <v>51</v>
      </c>
    </row>
    <row r="1261" spans="1:17" x14ac:dyDescent="0.25">
      <c r="A1261" s="5">
        <v>10324</v>
      </c>
      <c r="B1261" s="5">
        <v>49</v>
      </c>
      <c r="C1261" s="5">
        <v>100</v>
      </c>
      <c r="D1261" s="5">
        <v>4900</v>
      </c>
      <c r="E1261" s="5" t="str">
        <f t="shared" si="77"/>
        <v>Medium</v>
      </c>
      <c r="F1261" s="5">
        <f t="shared" si="78"/>
        <v>1470</v>
      </c>
      <c r="G1261" s="6">
        <v>38296</v>
      </c>
      <c r="H1261" s="5" t="s">
        <v>25</v>
      </c>
      <c r="I1261" s="5" t="str">
        <f t="shared" si="76"/>
        <v>Yes</v>
      </c>
      <c r="J1261" s="5" t="s">
        <v>686</v>
      </c>
      <c r="K1261" s="5">
        <v>2004</v>
      </c>
      <c r="L1261" s="5" t="str">
        <f t="shared" si="79"/>
        <v>Nov-2004</v>
      </c>
      <c r="M1261" s="5" t="s">
        <v>181</v>
      </c>
      <c r="N1261" s="5" t="s">
        <v>99</v>
      </c>
      <c r="O1261" s="5" t="s">
        <v>32</v>
      </c>
      <c r="P1261" s="5" t="s">
        <v>33</v>
      </c>
      <c r="Q1261" s="5" t="s">
        <v>51</v>
      </c>
    </row>
    <row r="1262" spans="1:17" x14ac:dyDescent="0.25">
      <c r="A1262" s="3">
        <v>10337</v>
      </c>
      <c r="B1262" s="3">
        <v>36</v>
      </c>
      <c r="C1262" s="3">
        <v>100</v>
      </c>
      <c r="D1262" s="3">
        <v>3600</v>
      </c>
      <c r="E1262" s="3" t="str">
        <f t="shared" si="77"/>
        <v>Medium</v>
      </c>
      <c r="F1262" s="3">
        <f t="shared" si="78"/>
        <v>1080</v>
      </c>
      <c r="G1262" s="4">
        <v>38312</v>
      </c>
      <c r="H1262" s="3" t="s">
        <v>25</v>
      </c>
      <c r="I1262" s="3" t="str">
        <f t="shared" si="76"/>
        <v>Yes</v>
      </c>
      <c r="J1262" s="3" t="s">
        <v>686</v>
      </c>
      <c r="K1262" s="3">
        <v>2004</v>
      </c>
      <c r="L1262" s="3" t="str">
        <f t="shared" si="79"/>
        <v>Nov-2004</v>
      </c>
      <c r="M1262" s="3" t="s">
        <v>181</v>
      </c>
      <c r="N1262" s="3" t="s">
        <v>203</v>
      </c>
      <c r="O1262" s="3" t="s">
        <v>32</v>
      </c>
      <c r="P1262" s="3" t="s">
        <v>33</v>
      </c>
      <c r="Q1262" s="3" t="s">
        <v>51</v>
      </c>
    </row>
    <row r="1263" spans="1:17" x14ac:dyDescent="0.25">
      <c r="A1263" s="5">
        <v>10349</v>
      </c>
      <c r="B1263" s="5">
        <v>34</v>
      </c>
      <c r="C1263" s="5">
        <v>100</v>
      </c>
      <c r="D1263" s="5">
        <v>3400</v>
      </c>
      <c r="E1263" s="5" t="str">
        <f t="shared" si="77"/>
        <v>Medium</v>
      </c>
      <c r="F1263" s="5">
        <f t="shared" si="78"/>
        <v>1020</v>
      </c>
      <c r="G1263" s="6">
        <v>38322</v>
      </c>
      <c r="H1263" s="5" t="s">
        <v>25</v>
      </c>
      <c r="I1263" s="5" t="str">
        <f t="shared" si="76"/>
        <v>Yes</v>
      </c>
      <c r="J1263" s="5" t="s">
        <v>687</v>
      </c>
      <c r="K1263" s="5">
        <v>2004</v>
      </c>
      <c r="L1263" s="5" t="str">
        <f t="shared" si="79"/>
        <v>Dec-2004</v>
      </c>
      <c r="M1263" s="5" t="s">
        <v>181</v>
      </c>
      <c r="N1263" s="5" t="s">
        <v>475</v>
      </c>
      <c r="O1263" s="5" t="s">
        <v>32</v>
      </c>
      <c r="P1263" s="5" t="s">
        <v>33</v>
      </c>
      <c r="Q1263" s="5" t="s">
        <v>51</v>
      </c>
    </row>
    <row r="1264" spans="1:17" x14ac:dyDescent="0.25">
      <c r="A1264" s="3">
        <v>10358</v>
      </c>
      <c r="B1264" s="3">
        <v>25</v>
      </c>
      <c r="C1264" s="3">
        <v>100</v>
      </c>
      <c r="D1264" s="3">
        <v>2500</v>
      </c>
      <c r="E1264" s="3" t="str">
        <f t="shared" si="77"/>
        <v>Medium</v>
      </c>
      <c r="F1264" s="3">
        <f t="shared" si="78"/>
        <v>750</v>
      </c>
      <c r="G1264" s="4">
        <v>38331</v>
      </c>
      <c r="H1264" s="3" t="s">
        <v>25</v>
      </c>
      <c r="I1264" s="3" t="str">
        <f t="shared" si="76"/>
        <v>Yes</v>
      </c>
      <c r="J1264" s="3" t="s">
        <v>687</v>
      </c>
      <c r="K1264" s="3">
        <v>2004</v>
      </c>
      <c r="L1264" s="3" t="str">
        <f t="shared" si="79"/>
        <v>Dec-2004</v>
      </c>
      <c r="M1264" s="3" t="s">
        <v>181</v>
      </c>
      <c r="N1264" s="3" t="s">
        <v>174</v>
      </c>
      <c r="O1264" s="3" t="s">
        <v>178</v>
      </c>
      <c r="P1264" s="3" t="s">
        <v>42</v>
      </c>
      <c r="Q1264" s="3" t="s">
        <v>36</v>
      </c>
    </row>
    <row r="1265" spans="1:17" x14ac:dyDescent="0.25">
      <c r="A1265" s="5">
        <v>10372</v>
      </c>
      <c r="B1265" s="5">
        <v>48</v>
      </c>
      <c r="C1265" s="5">
        <v>100</v>
      </c>
      <c r="D1265" s="5">
        <v>4800</v>
      </c>
      <c r="E1265" s="5" t="str">
        <f t="shared" si="77"/>
        <v>Medium</v>
      </c>
      <c r="F1265" s="5">
        <f t="shared" si="78"/>
        <v>1440</v>
      </c>
      <c r="G1265" s="6">
        <v>38378</v>
      </c>
      <c r="H1265" s="5" t="s">
        <v>25</v>
      </c>
      <c r="I1265" s="5" t="str">
        <f t="shared" si="76"/>
        <v>Yes</v>
      </c>
      <c r="J1265" s="5" t="s">
        <v>549</v>
      </c>
      <c r="K1265" s="5">
        <v>2005</v>
      </c>
      <c r="L1265" s="5" t="str">
        <f t="shared" si="79"/>
        <v>Jan-2005</v>
      </c>
      <c r="M1265" s="5" t="s">
        <v>181</v>
      </c>
      <c r="N1265" s="5" t="s">
        <v>246</v>
      </c>
      <c r="O1265" s="5" t="s">
        <v>200</v>
      </c>
      <c r="P1265" s="5" t="s">
        <v>675</v>
      </c>
      <c r="Q1265" s="5" t="s">
        <v>151</v>
      </c>
    </row>
    <row r="1266" spans="1:17" x14ac:dyDescent="0.25">
      <c r="A1266" s="3">
        <v>10383</v>
      </c>
      <c r="B1266" s="3">
        <v>38</v>
      </c>
      <c r="C1266" s="3">
        <v>100</v>
      </c>
      <c r="D1266" s="3">
        <v>3800</v>
      </c>
      <c r="E1266" s="3" t="str">
        <f t="shared" si="77"/>
        <v>Medium</v>
      </c>
      <c r="F1266" s="3">
        <f t="shared" si="78"/>
        <v>1140</v>
      </c>
      <c r="G1266" s="4">
        <v>38405</v>
      </c>
      <c r="H1266" s="3" t="s">
        <v>25</v>
      </c>
      <c r="I1266" s="3" t="str">
        <f t="shared" si="76"/>
        <v>Yes</v>
      </c>
      <c r="J1266" s="3" t="s">
        <v>681</v>
      </c>
      <c r="K1266" s="3">
        <v>2005</v>
      </c>
      <c r="L1266" s="3" t="str">
        <f t="shared" si="79"/>
        <v>Feb-2005</v>
      </c>
      <c r="M1266" s="3" t="s">
        <v>181</v>
      </c>
      <c r="N1266" s="3" t="s">
        <v>174</v>
      </c>
      <c r="O1266" s="3" t="s">
        <v>178</v>
      </c>
      <c r="P1266" s="3" t="s">
        <v>42</v>
      </c>
      <c r="Q1266" s="3" t="s">
        <v>51</v>
      </c>
    </row>
    <row r="1267" spans="1:17" x14ac:dyDescent="0.25">
      <c r="A1267" s="5">
        <v>10394</v>
      </c>
      <c r="B1267" s="5">
        <v>37</v>
      </c>
      <c r="C1267" s="5">
        <v>100</v>
      </c>
      <c r="D1267" s="5">
        <v>3700</v>
      </c>
      <c r="E1267" s="5" t="str">
        <f t="shared" si="77"/>
        <v>Medium</v>
      </c>
      <c r="F1267" s="5">
        <f t="shared" si="78"/>
        <v>1110</v>
      </c>
      <c r="G1267" s="6">
        <v>38426</v>
      </c>
      <c r="H1267" s="5" t="s">
        <v>25</v>
      </c>
      <c r="I1267" s="5" t="str">
        <f t="shared" si="76"/>
        <v>Yes</v>
      </c>
      <c r="J1267" s="5" t="s">
        <v>691</v>
      </c>
      <c r="K1267" s="5">
        <v>2005</v>
      </c>
      <c r="L1267" s="5" t="str">
        <f t="shared" si="79"/>
        <v>Mar-2005</v>
      </c>
      <c r="M1267" s="5" t="s">
        <v>181</v>
      </c>
      <c r="N1267" s="5" t="s">
        <v>174</v>
      </c>
      <c r="O1267" s="5" t="s">
        <v>178</v>
      </c>
      <c r="P1267" s="5" t="s">
        <v>42</v>
      </c>
      <c r="Q1267" s="5" t="s">
        <v>51</v>
      </c>
    </row>
    <row r="1268" spans="1:17" x14ac:dyDescent="0.25">
      <c r="A1268" s="3">
        <v>10413</v>
      </c>
      <c r="B1268" s="3">
        <v>49</v>
      </c>
      <c r="C1268" s="3">
        <v>100</v>
      </c>
      <c r="D1268" s="3">
        <v>4900</v>
      </c>
      <c r="E1268" s="3" t="str">
        <f t="shared" si="77"/>
        <v>Medium</v>
      </c>
      <c r="F1268" s="3">
        <f t="shared" si="78"/>
        <v>1470</v>
      </c>
      <c r="G1268" s="4">
        <v>38477</v>
      </c>
      <c r="H1268" s="3" t="s">
        <v>25</v>
      </c>
      <c r="I1268" s="3" t="str">
        <f t="shared" si="76"/>
        <v>Yes</v>
      </c>
      <c r="J1268" s="3" t="s">
        <v>682</v>
      </c>
      <c r="K1268" s="3">
        <v>2005</v>
      </c>
      <c r="L1268" s="3" t="str">
        <f t="shared" si="79"/>
        <v>May-2005</v>
      </c>
      <c r="M1268" s="3" t="s">
        <v>181</v>
      </c>
      <c r="N1268" s="3" t="s">
        <v>109</v>
      </c>
      <c r="O1268" s="3" t="s">
        <v>32</v>
      </c>
      <c r="P1268" s="3" t="s">
        <v>33</v>
      </c>
      <c r="Q1268" s="3" t="s">
        <v>51</v>
      </c>
    </row>
    <row r="1269" spans="1:17" x14ac:dyDescent="0.25">
      <c r="A1269" s="5">
        <v>10100</v>
      </c>
      <c r="B1269" s="5">
        <v>22</v>
      </c>
      <c r="C1269" s="5">
        <v>86.51</v>
      </c>
      <c r="D1269" s="5">
        <v>1903.22</v>
      </c>
      <c r="E1269" s="5" t="str">
        <f t="shared" si="77"/>
        <v>Low</v>
      </c>
      <c r="F1269" s="5">
        <f t="shared" si="78"/>
        <v>570.96600000000001</v>
      </c>
      <c r="G1269" s="6">
        <v>37627</v>
      </c>
      <c r="H1269" s="5" t="s">
        <v>25</v>
      </c>
      <c r="I1269" s="5" t="str">
        <f t="shared" si="76"/>
        <v>Yes</v>
      </c>
      <c r="J1269" s="5" t="s">
        <v>549</v>
      </c>
      <c r="K1269" s="5">
        <v>2003</v>
      </c>
      <c r="L1269" s="5" t="str">
        <f t="shared" si="79"/>
        <v>Jan-2003</v>
      </c>
      <c r="M1269" s="5" t="s">
        <v>550</v>
      </c>
      <c r="N1269" s="5" t="s">
        <v>277</v>
      </c>
      <c r="O1269" s="5" t="s">
        <v>32</v>
      </c>
      <c r="P1269" s="5" t="s">
        <v>33</v>
      </c>
      <c r="Q1269" s="5" t="s">
        <v>36</v>
      </c>
    </row>
    <row r="1270" spans="1:17" x14ac:dyDescent="0.25">
      <c r="A1270" s="3">
        <v>10110</v>
      </c>
      <c r="B1270" s="3">
        <v>28</v>
      </c>
      <c r="C1270" s="3">
        <v>89.27</v>
      </c>
      <c r="D1270" s="3">
        <v>2499.56</v>
      </c>
      <c r="E1270" s="3" t="str">
        <f t="shared" si="77"/>
        <v>Medium</v>
      </c>
      <c r="F1270" s="3">
        <f t="shared" si="78"/>
        <v>749.86799999999994</v>
      </c>
      <c r="G1270" s="4">
        <v>37698</v>
      </c>
      <c r="H1270" s="3" t="s">
        <v>25</v>
      </c>
      <c r="I1270" s="3" t="str">
        <f t="shared" si="76"/>
        <v>Yes</v>
      </c>
      <c r="J1270" s="3" t="s">
        <v>691</v>
      </c>
      <c r="K1270" s="3">
        <v>2003</v>
      </c>
      <c r="L1270" s="3" t="str">
        <f t="shared" si="79"/>
        <v>Mar-2003</v>
      </c>
      <c r="M1270" s="3" t="s">
        <v>550</v>
      </c>
      <c r="N1270" s="3" t="s">
        <v>492</v>
      </c>
      <c r="O1270" s="3" t="s">
        <v>170</v>
      </c>
      <c r="P1270" s="3" t="s">
        <v>42</v>
      </c>
      <c r="Q1270" s="3" t="s">
        <v>36</v>
      </c>
    </row>
    <row r="1271" spans="1:17" x14ac:dyDescent="0.25">
      <c r="A1271" s="5">
        <v>10124</v>
      </c>
      <c r="B1271" s="5">
        <v>36</v>
      </c>
      <c r="C1271" s="5">
        <v>85.59</v>
      </c>
      <c r="D1271" s="5">
        <v>3081.2400000000002</v>
      </c>
      <c r="E1271" s="5" t="str">
        <f t="shared" si="77"/>
        <v>Medium</v>
      </c>
      <c r="F1271" s="5">
        <f t="shared" si="78"/>
        <v>924.37200000000007</v>
      </c>
      <c r="G1271" s="6">
        <v>37762</v>
      </c>
      <c r="H1271" s="5" t="s">
        <v>25</v>
      </c>
      <c r="I1271" s="5" t="str">
        <f t="shared" si="76"/>
        <v>Yes</v>
      </c>
      <c r="J1271" s="5" t="s">
        <v>682</v>
      </c>
      <c r="K1271" s="5">
        <v>2003</v>
      </c>
      <c r="L1271" s="5" t="str">
        <f t="shared" si="79"/>
        <v>May-2003</v>
      </c>
      <c r="M1271" s="5" t="s">
        <v>550</v>
      </c>
      <c r="N1271" s="5" t="s">
        <v>539</v>
      </c>
      <c r="O1271" s="5" t="s">
        <v>32</v>
      </c>
      <c r="P1271" s="5" t="s">
        <v>33</v>
      </c>
      <c r="Q1271" s="5" t="s">
        <v>51</v>
      </c>
    </row>
    <row r="1272" spans="1:17" x14ac:dyDescent="0.25">
      <c r="A1272" s="3">
        <v>10148</v>
      </c>
      <c r="B1272" s="3">
        <v>34</v>
      </c>
      <c r="C1272" s="3">
        <v>100</v>
      </c>
      <c r="D1272" s="3">
        <v>3400</v>
      </c>
      <c r="E1272" s="3" t="str">
        <f t="shared" si="77"/>
        <v>Medium</v>
      </c>
      <c r="F1272" s="3">
        <f t="shared" si="78"/>
        <v>1020</v>
      </c>
      <c r="G1272" s="4">
        <v>37875</v>
      </c>
      <c r="H1272" s="3" t="s">
        <v>25</v>
      </c>
      <c r="I1272" s="3" t="str">
        <f t="shared" si="76"/>
        <v>Yes</v>
      </c>
      <c r="J1272" s="3" t="s">
        <v>690</v>
      </c>
      <c r="K1272" s="3">
        <v>2003</v>
      </c>
      <c r="L1272" s="3" t="str">
        <f t="shared" si="79"/>
        <v>Sep-2003</v>
      </c>
      <c r="M1272" s="3" t="s">
        <v>550</v>
      </c>
      <c r="N1272" s="3" t="s">
        <v>285</v>
      </c>
      <c r="O1272" s="3" t="s">
        <v>95</v>
      </c>
      <c r="P1272" s="3" t="s">
        <v>96</v>
      </c>
      <c r="Q1272" s="3" t="s">
        <v>51</v>
      </c>
    </row>
    <row r="1273" spans="1:17" x14ac:dyDescent="0.25">
      <c r="A1273" s="5">
        <v>10162</v>
      </c>
      <c r="B1273" s="5">
        <v>39</v>
      </c>
      <c r="C1273" s="5">
        <v>100</v>
      </c>
      <c r="D1273" s="5">
        <v>3900</v>
      </c>
      <c r="E1273" s="5" t="str">
        <f t="shared" si="77"/>
        <v>Medium</v>
      </c>
      <c r="F1273" s="5">
        <f t="shared" si="78"/>
        <v>1170</v>
      </c>
      <c r="G1273" s="6">
        <v>37912</v>
      </c>
      <c r="H1273" s="5" t="s">
        <v>25</v>
      </c>
      <c r="I1273" s="5" t="str">
        <f t="shared" si="76"/>
        <v>Yes</v>
      </c>
      <c r="J1273" s="5" t="s">
        <v>685</v>
      </c>
      <c r="K1273" s="5">
        <v>2003</v>
      </c>
      <c r="L1273" s="5" t="str">
        <f t="shared" si="79"/>
        <v>Oct-2003</v>
      </c>
      <c r="M1273" s="5" t="s">
        <v>550</v>
      </c>
      <c r="N1273" s="5" t="s">
        <v>58</v>
      </c>
      <c r="O1273" s="5" t="s">
        <v>32</v>
      </c>
      <c r="P1273" s="5" t="s">
        <v>33</v>
      </c>
      <c r="Q1273" s="5" t="s">
        <v>51</v>
      </c>
    </row>
    <row r="1274" spans="1:17" x14ac:dyDescent="0.25">
      <c r="A1274" s="3">
        <v>10173</v>
      </c>
      <c r="B1274" s="3">
        <v>21</v>
      </c>
      <c r="C1274" s="3">
        <v>75.459999999999994</v>
      </c>
      <c r="D1274" s="3">
        <v>1584.6599999999999</v>
      </c>
      <c r="E1274" s="3" t="str">
        <f t="shared" si="77"/>
        <v>Low</v>
      </c>
      <c r="F1274" s="3">
        <f t="shared" si="78"/>
        <v>475.39799999999991</v>
      </c>
      <c r="G1274" s="4">
        <v>37930</v>
      </c>
      <c r="H1274" s="3" t="s">
        <v>25</v>
      </c>
      <c r="I1274" s="3" t="str">
        <f t="shared" si="76"/>
        <v>Yes</v>
      </c>
      <c r="J1274" s="3" t="s">
        <v>686</v>
      </c>
      <c r="K1274" s="3">
        <v>2003</v>
      </c>
      <c r="L1274" s="3" t="str">
        <f t="shared" si="79"/>
        <v>Nov-2003</v>
      </c>
      <c r="M1274" s="3" t="s">
        <v>550</v>
      </c>
      <c r="N1274" s="3" t="s">
        <v>552</v>
      </c>
      <c r="O1274" s="3" t="s">
        <v>258</v>
      </c>
      <c r="P1274" s="3" t="s">
        <v>42</v>
      </c>
      <c r="Q1274" s="3" t="s">
        <v>36</v>
      </c>
    </row>
    <row r="1275" spans="1:17" x14ac:dyDescent="0.25">
      <c r="A1275" s="5">
        <v>10182</v>
      </c>
      <c r="B1275" s="5">
        <v>36</v>
      </c>
      <c r="C1275" s="5">
        <v>100</v>
      </c>
      <c r="D1275" s="5">
        <v>3600</v>
      </c>
      <c r="E1275" s="5" t="str">
        <f t="shared" si="77"/>
        <v>Medium</v>
      </c>
      <c r="F1275" s="5">
        <f t="shared" si="78"/>
        <v>1080</v>
      </c>
      <c r="G1275" s="6">
        <v>37937</v>
      </c>
      <c r="H1275" s="5" t="s">
        <v>25</v>
      </c>
      <c r="I1275" s="5" t="str">
        <f t="shared" si="76"/>
        <v>Yes</v>
      </c>
      <c r="J1275" s="5" t="s">
        <v>686</v>
      </c>
      <c r="K1275" s="5">
        <v>2003</v>
      </c>
      <c r="L1275" s="5" t="str">
        <f t="shared" si="79"/>
        <v>Nov-2003</v>
      </c>
      <c r="M1275" s="5" t="s">
        <v>550</v>
      </c>
      <c r="N1275" s="5" t="s">
        <v>272</v>
      </c>
      <c r="O1275" s="5" t="s">
        <v>32</v>
      </c>
      <c r="P1275" s="5" t="s">
        <v>33</v>
      </c>
      <c r="Q1275" s="5" t="s">
        <v>51</v>
      </c>
    </row>
    <row r="1276" spans="1:17" x14ac:dyDescent="0.25">
      <c r="A1276" s="3">
        <v>10193</v>
      </c>
      <c r="B1276" s="3">
        <v>24</v>
      </c>
      <c r="C1276" s="3">
        <v>97.55</v>
      </c>
      <c r="D1276" s="3">
        <v>2341.1999999999998</v>
      </c>
      <c r="E1276" s="3" t="str">
        <f t="shared" si="77"/>
        <v>Medium</v>
      </c>
      <c r="F1276" s="3">
        <f t="shared" si="78"/>
        <v>702.3599999999999</v>
      </c>
      <c r="G1276" s="4">
        <v>37946</v>
      </c>
      <c r="H1276" s="3" t="s">
        <v>25</v>
      </c>
      <c r="I1276" s="3" t="str">
        <f t="shared" si="76"/>
        <v>Yes</v>
      </c>
      <c r="J1276" s="3" t="s">
        <v>686</v>
      </c>
      <c r="K1276" s="3">
        <v>2003</v>
      </c>
      <c r="L1276" s="3" t="str">
        <f t="shared" si="79"/>
        <v>Nov-2003</v>
      </c>
      <c r="M1276" s="3" t="s">
        <v>550</v>
      </c>
      <c r="N1276" s="3" t="s">
        <v>558</v>
      </c>
      <c r="O1276" s="3" t="s">
        <v>95</v>
      </c>
      <c r="P1276" s="3" t="s">
        <v>96</v>
      </c>
      <c r="Q1276" s="3" t="s">
        <v>36</v>
      </c>
    </row>
    <row r="1277" spans="1:17" x14ac:dyDescent="0.25">
      <c r="A1277" s="5">
        <v>10204</v>
      </c>
      <c r="B1277" s="5">
        <v>29</v>
      </c>
      <c r="C1277" s="5">
        <v>85.59</v>
      </c>
      <c r="D1277" s="5">
        <v>2482.11</v>
      </c>
      <c r="E1277" s="5" t="str">
        <f t="shared" si="77"/>
        <v>Medium</v>
      </c>
      <c r="F1277" s="5">
        <f t="shared" si="78"/>
        <v>744.63300000000004</v>
      </c>
      <c r="G1277" s="6">
        <v>37957</v>
      </c>
      <c r="H1277" s="5" t="s">
        <v>25</v>
      </c>
      <c r="I1277" s="5" t="str">
        <f t="shared" si="76"/>
        <v>Yes</v>
      </c>
      <c r="J1277" s="5" t="s">
        <v>687</v>
      </c>
      <c r="K1277" s="5">
        <v>2003</v>
      </c>
      <c r="L1277" s="5" t="str">
        <f t="shared" si="79"/>
        <v>Dec-2003</v>
      </c>
      <c r="M1277" s="5" t="s">
        <v>550</v>
      </c>
      <c r="N1277" s="5" t="s">
        <v>475</v>
      </c>
      <c r="O1277" s="5" t="s">
        <v>32</v>
      </c>
      <c r="P1277" s="5" t="s">
        <v>33</v>
      </c>
      <c r="Q1277" s="5" t="s">
        <v>36</v>
      </c>
    </row>
    <row r="1278" spans="1:17" x14ac:dyDescent="0.25">
      <c r="A1278" s="3">
        <v>10213</v>
      </c>
      <c r="B1278" s="3">
        <v>38</v>
      </c>
      <c r="C1278" s="3">
        <v>94.79</v>
      </c>
      <c r="D1278" s="3">
        <v>3602.0200000000004</v>
      </c>
      <c r="E1278" s="3" t="str">
        <f t="shared" si="77"/>
        <v>Medium</v>
      </c>
      <c r="F1278" s="3">
        <f t="shared" si="78"/>
        <v>1080.606</v>
      </c>
      <c r="G1278" s="4">
        <v>38008</v>
      </c>
      <c r="H1278" s="3" t="s">
        <v>25</v>
      </c>
      <c r="I1278" s="3" t="str">
        <f t="shared" si="76"/>
        <v>Yes</v>
      </c>
      <c r="J1278" s="3" t="s">
        <v>549</v>
      </c>
      <c r="K1278" s="3">
        <v>2004</v>
      </c>
      <c r="L1278" s="3" t="str">
        <f t="shared" si="79"/>
        <v>Jan-2004</v>
      </c>
      <c r="M1278" s="3" t="s">
        <v>550</v>
      </c>
      <c r="N1278" s="3" t="s">
        <v>346</v>
      </c>
      <c r="O1278" s="3" t="s">
        <v>170</v>
      </c>
      <c r="P1278" s="3" t="s">
        <v>42</v>
      </c>
      <c r="Q1278" s="3" t="s">
        <v>51</v>
      </c>
    </row>
    <row r="1279" spans="1:17" x14ac:dyDescent="0.25">
      <c r="A1279" s="5">
        <v>10227</v>
      </c>
      <c r="B1279" s="5">
        <v>34</v>
      </c>
      <c r="C1279" s="5">
        <v>100</v>
      </c>
      <c r="D1279" s="5">
        <v>3400</v>
      </c>
      <c r="E1279" s="5" t="str">
        <f t="shared" si="77"/>
        <v>Medium</v>
      </c>
      <c r="F1279" s="5">
        <f t="shared" si="78"/>
        <v>1020</v>
      </c>
      <c r="G1279" s="6">
        <v>38048</v>
      </c>
      <c r="H1279" s="5" t="s">
        <v>25</v>
      </c>
      <c r="I1279" s="5" t="str">
        <f t="shared" si="76"/>
        <v>Yes</v>
      </c>
      <c r="J1279" s="5" t="s">
        <v>691</v>
      </c>
      <c r="K1279" s="5">
        <v>2004</v>
      </c>
      <c r="L1279" s="5" t="str">
        <f t="shared" si="79"/>
        <v>Mar-2004</v>
      </c>
      <c r="M1279" s="5" t="s">
        <v>550</v>
      </c>
      <c r="N1279" s="5" t="s">
        <v>219</v>
      </c>
      <c r="O1279" s="5" t="s">
        <v>41</v>
      </c>
      <c r="P1279" s="5" t="s">
        <v>42</v>
      </c>
      <c r="Q1279" s="5" t="s">
        <v>51</v>
      </c>
    </row>
    <row r="1280" spans="1:17" x14ac:dyDescent="0.25">
      <c r="A1280" s="3">
        <v>10241</v>
      </c>
      <c r="B1280" s="3">
        <v>42</v>
      </c>
      <c r="C1280" s="3">
        <v>90.19</v>
      </c>
      <c r="D1280" s="3">
        <v>3787.98</v>
      </c>
      <c r="E1280" s="3" t="str">
        <f t="shared" si="77"/>
        <v>Medium</v>
      </c>
      <c r="F1280" s="3">
        <f t="shared" si="78"/>
        <v>1136.394</v>
      </c>
      <c r="G1280" s="4">
        <v>38090</v>
      </c>
      <c r="H1280" s="3" t="s">
        <v>25</v>
      </c>
      <c r="I1280" s="3" t="str">
        <f t="shared" si="76"/>
        <v>Yes</v>
      </c>
      <c r="J1280" s="3" t="s">
        <v>688</v>
      </c>
      <c r="K1280" s="3">
        <v>2004</v>
      </c>
      <c r="L1280" s="3" t="str">
        <f t="shared" si="79"/>
        <v>Apr-2004</v>
      </c>
      <c r="M1280" s="3" t="s">
        <v>550</v>
      </c>
      <c r="N1280" s="3" t="s">
        <v>531</v>
      </c>
      <c r="O1280" s="3" t="s">
        <v>41</v>
      </c>
      <c r="P1280" s="3" t="s">
        <v>42</v>
      </c>
      <c r="Q1280" s="3" t="s">
        <v>51</v>
      </c>
    </row>
    <row r="1281" spans="1:17" x14ac:dyDescent="0.25">
      <c r="A1281" s="5">
        <v>10280</v>
      </c>
      <c r="B1281" s="5">
        <v>35</v>
      </c>
      <c r="C1281" s="5">
        <v>100</v>
      </c>
      <c r="D1281" s="5">
        <v>3500</v>
      </c>
      <c r="E1281" s="5" t="str">
        <f t="shared" si="77"/>
        <v>Medium</v>
      </c>
      <c r="F1281" s="5">
        <f t="shared" si="78"/>
        <v>1050</v>
      </c>
      <c r="G1281" s="6">
        <v>38216</v>
      </c>
      <c r="H1281" s="5" t="s">
        <v>25</v>
      </c>
      <c r="I1281" s="5" t="str">
        <f t="shared" si="76"/>
        <v>Yes</v>
      </c>
      <c r="J1281" s="5" t="s">
        <v>684</v>
      </c>
      <c r="K1281" s="5">
        <v>2004</v>
      </c>
      <c r="L1281" s="5" t="str">
        <f t="shared" si="79"/>
        <v>Aug-2004</v>
      </c>
      <c r="M1281" s="5" t="s">
        <v>550</v>
      </c>
      <c r="N1281" s="5" t="s">
        <v>254</v>
      </c>
      <c r="O1281" s="5" t="s">
        <v>258</v>
      </c>
      <c r="P1281" s="5" t="s">
        <v>42</v>
      </c>
      <c r="Q1281" s="5" t="s">
        <v>51</v>
      </c>
    </row>
    <row r="1282" spans="1:17" x14ac:dyDescent="0.25">
      <c r="A1282" s="3">
        <v>10288</v>
      </c>
      <c r="B1282" s="3">
        <v>35</v>
      </c>
      <c r="C1282" s="3">
        <v>80.989999999999995</v>
      </c>
      <c r="D1282" s="3">
        <v>2834.6499999999996</v>
      </c>
      <c r="E1282" s="3" t="str">
        <f t="shared" si="77"/>
        <v>Medium</v>
      </c>
      <c r="F1282" s="3">
        <f t="shared" si="78"/>
        <v>850.39499999999987</v>
      </c>
      <c r="G1282" s="4">
        <v>38231</v>
      </c>
      <c r="H1282" s="3" t="s">
        <v>25</v>
      </c>
      <c r="I1282" s="3" t="str">
        <f t="shared" ref="I1282:I1345" si="80">IF(H1282="Shipped","Yes","No")</f>
        <v>Yes</v>
      </c>
      <c r="J1282" s="3" t="s">
        <v>690</v>
      </c>
      <c r="K1282" s="3">
        <v>2004</v>
      </c>
      <c r="L1282" s="3" t="str">
        <f t="shared" si="79"/>
        <v>Sep-2004</v>
      </c>
      <c r="M1282" s="3" t="s">
        <v>550</v>
      </c>
      <c r="N1282" s="3" t="s">
        <v>418</v>
      </c>
      <c r="O1282" s="3" t="s">
        <v>199</v>
      </c>
      <c r="P1282" s="3" t="s">
        <v>96</v>
      </c>
      <c r="Q1282" s="3" t="s">
        <v>36</v>
      </c>
    </row>
    <row r="1283" spans="1:17" x14ac:dyDescent="0.25">
      <c r="A1283" s="5">
        <v>10302</v>
      </c>
      <c r="B1283" s="5">
        <v>38</v>
      </c>
      <c r="C1283" s="5">
        <v>89.27</v>
      </c>
      <c r="D1283" s="5">
        <v>3392.2599999999998</v>
      </c>
      <c r="E1283" s="5" t="str">
        <f t="shared" ref="E1283:E1346" si="81">IF(D1283&gt;=5000,"High",IF(D1283&gt;=2000,"Medium","Low"))</f>
        <v>Medium</v>
      </c>
      <c r="F1283" s="5">
        <f t="shared" ref="F1283:F1346" si="82">(D1283*0.3)</f>
        <v>1017.6779999999999</v>
      </c>
      <c r="G1283" s="6">
        <v>37900</v>
      </c>
      <c r="H1283" s="5" t="s">
        <v>25</v>
      </c>
      <c r="I1283" s="5" t="str">
        <f t="shared" si="80"/>
        <v>Yes</v>
      </c>
      <c r="J1283" s="5" t="s">
        <v>685</v>
      </c>
      <c r="K1283" s="5">
        <v>2003</v>
      </c>
      <c r="L1283" s="5" t="str">
        <f t="shared" ref="L1283:L1346" si="83">TEXT(G:G,"MMM-YYYY")</f>
        <v>Oct-2003</v>
      </c>
      <c r="M1283" s="5" t="s">
        <v>550</v>
      </c>
      <c r="N1283" s="5" t="s">
        <v>165</v>
      </c>
      <c r="O1283" s="5" t="s">
        <v>170</v>
      </c>
      <c r="P1283" s="5" t="s">
        <v>42</v>
      </c>
      <c r="Q1283" s="5" t="s">
        <v>51</v>
      </c>
    </row>
    <row r="1284" spans="1:17" x14ac:dyDescent="0.25">
      <c r="A1284" s="3">
        <v>10311</v>
      </c>
      <c r="B1284" s="3">
        <v>41</v>
      </c>
      <c r="C1284" s="3">
        <v>81.91</v>
      </c>
      <c r="D1284" s="3">
        <v>3358.31</v>
      </c>
      <c r="E1284" s="3" t="str">
        <f t="shared" si="81"/>
        <v>Medium</v>
      </c>
      <c r="F1284" s="3">
        <f t="shared" si="82"/>
        <v>1007.4929999999999</v>
      </c>
      <c r="G1284" s="4">
        <v>38276</v>
      </c>
      <c r="H1284" s="3" t="s">
        <v>25</v>
      </c>
      <c r="I1284" s="3" t="str">
        <f t="shared" si="80"/>
        <v>Yes</v>
      </c>
      <c r="J1284" s="3" t="s">
        <v>685</v>
      </c>
      <c r="K1284" s="3">
        <v>2004</v>
      </c>
      <c r="L1284" s="3" t="str">
        <f t="shared" si="83"/>
        <v>Oct-2004</v>
      </c>
      <c r="M1284" s="3" t="s">
        <v>550</v>
      </c>
      <c r="N1284" s="3" t="s">
        <v>174</v>
      </c>
      <c r="O1284" s="3" t="s">
        <v>178</v>
      </c>
      <c r="P1284" s="3" t="s">
        <v>42</v>
      </c>
      <c r="Q1284" s="3" t="s">
        <v>51</v>
      </c>
    </row>
    <row r="1285" spans="1:17" x14ac:dyDescent="0.25">
      <c r="A1285" s="5">
        <v>10332</v>
      </c>
      <c r="B1285" s="5">
        <v>50</v>
      </c>
      <c r="C1285" s="5">
        <v>100</v>
      </c>
      <c r="D1285" s="5">
        <v>5000</v>
      </c>
      <c r="E1285" s="5" t="str">
        <f t="shared" si="81"/>
        <v>High</v>
      </c>
      <c r="F1285" s="5">
        <f t="shared" si="82"/>
        <v>1500</v>
      </c>
      <c r="G1285" s="6">
        <v>38308</v>
      </c>
      <c r="H1285" s="5" t="s">
        <v>25</v>
      </c>
      <c r="I1285" s="5" t="str">
        <f t="shared" si="80"/>
        <v>Yes</v>
      </c>
      <c r="J1285" s="5" t="s">
        <v>686</v>
      </c>
      <c r="K1285" s="5">
        <v>2004</v>
      </c>
      <c r="L1285" s="5" t="str">
        <f t="shared" si="83"/>
        <v>Nov-2004</v>
      </c>
      <c r="M1285" s="5" t="s">
        <v>550</v>
      </c>
      <c r="N1285" s="5" t="s">
        <v>492</v>
      </c>
      <c r="O1285" s="5" t="s">
        <v>170</v>
      </c>
      <c r="P1285" s="5" t="s">
        <v>42</v>
      </c>
      <c r="Q1285" s="5" t="s">
        <v>151</v>
      </c>
    </row>
    <row r="1286" spans="1:17" x14ac:dyDescent="0.25">
      <c r="A1286" s="3">
        <v>10344</v>
      </c>
      <c r="B1286" s="3">
        <v>21</v>
      </c>
      <c r="C1286" s="3">
        <v>100</v>
      </c>
      <c r="D1286" s="3">
        <v>2100</v>
      </c>
      <c r="E1286" s="3" t="str">
        <f t="shared" si="81"/>
        <v>Medium</v>
      </c>
      <c r="F1286" s="3">
        <f t="shared" si="82"/>
        <v>630</v>
      </c>
      <c r="G1286" s="4">
        <v>38316</v>
      </c>
      <c r="H1286" s="3" t="s">
        <v>25</v>
      </c>
      <c r="I1286" s="3" t="str">
        <f t="shared" si="80"/>
        <v>Yes</v>
      </c>
      <c r="J1286" s="3" t="s">
        <v>686</v>
      </c>
      <c r="K1286" s="3">
        <v>2004</v>
      </c>
      <c r="L1286" s="3" t="str">
        <f t="shared" si="83"/>
        <v>Nov-2004</v>
      </c>
      <c r="M1286" s="3" t="s">
        <v>550</v>
      </c>
      <c r="N1286" s="3" t="s">
        <v>433</v>
      </c>
      <c r="O1286" s="3" t="s">
        <v>41</v>
      </c>
      <c r="P1286" s="3" t="s">
        <v>42</v>
      </c>
      <c r="Q1286" s="3" t="s">
        <v>36</v>
      </c>
    </row>
    <row r="1287" spans="1:17" x14ac:dyDescent="0.25">
      <c r="A1287" s="5">
        <v>10367</v>
      </c>
      <c r="B1287" s="5">
        <v>43</v>
      </c>
      <c r="C1287" s="5">
        <v>62.72</v>
      </c>
      <c r="D1287" s="5">
        <v>2696.96</v>
      </c>
      <c r="E1287" s="5" t="str">
        <f t="shared" si="81"/>
        <v>Medium</v>
      </c>
      <c r="F1287" s="5">
        <f t="shared" si="82"/>
        <v>809.08799999999997</v>
      </c>
      <c r="G1287" s="6">
        <v>38364</v>
      </c>
      <c r="H1287" s="5" t="s">
        <v>408</v>
      </c>
      <c r="I1287" s="5" t="str">
        <f t="shared" si="80"/>
        <v>No</v>
      </c>
      <c r="J1287" s="5" t="s">
        <v>549</v>
      </c>
      <c r="K1287" s="5">
        <v>2005</v>
      </c>
      <c r="L1287" s="5" t="str">
        <f t="shared" si="83"/>
        <v>Jan-2005</v>
      </c>
      <c r="M1287" s="5" t="s">
        <v>550</v>
      </c>
      <c r="N1287" s="5" t="s">
        <v>52</v>
      </c>
      <c r="O1287" s="5" t="s">
        <v>32</v>
      </c>
      <c r="P1287" s="5" t="s">
        <v>33</v>
      </c>
      <c r="Q1287" s="5" t="s">
        <v>36</v>
      </c>
    </row>
    <row r="1288" spans="1:17" x14ac:dyDescent="0.25">
      <c r="A1288" s="3">
        <v>10380</v>
      </c>
      <c r="B1288" s="3">
        <v>32</v>
      </c>
      <c r="C1288" s="3">
        <v>100</v>
      </c>
      <c r="D1288" s="3">
        <v>3200</v>
      </c>
      <c r="E1288" s="3" t="str">
        <f t="shared" si="81"/>
        <v>Medium</v>
      </c>
      <c r="F1288" s="3">
        <f t="shared" si="82"/>
        <v>960</v>
      </c>
      <c r="G1288" s="4">
        <v>38399</v>
      </c>
      <c r="H1288" s="3" t="s">
        <v>25</v>
      </c>
      <c r="I1288" s="3" t="str">
        <f t="shared" si="80"/>
        <v>Yes</v>
      </c>
      <c r="J1288" s="3" t="s">
        <v>681</v>
      </c>
      <c r="K1288" s="3">
        <v>2005</v>
      </c>
      <c r="L1288" s="3" t="str">
        <f t="shared" si="83"/>
        <v>Feb-2005</v>
      </c>
      <c r="M1288" s="3" t="s">
        <v>550</v>
      </c>
      <c r="N1288" s="3" t="s">
        <v>174</v>
      </c>
      <c r="O1288" s="3" t="s">
        <v>178</v>
      </c>
      <c r="P1288" s="3" t="s">
        <v>42</v>
      </c>
      <c r="Q1288" s="3" t="s">
        <v>51</v>
      </c>
    </row>
    <row r="1289" spans="1:17" x14ac:dyDescent="0.25">
      <c r="A1289" s="5">
        <v>10407</v>
      </c>
      <c r="B1289" s="5">
        <v>6</v>
      </c>
      <c r="C1289" s="5">
        <v>90.19</v>
      </c>
      <c r="D1289" s="5">
        <v>541.14</v>
      </c>
      <c r="E1289" s="5" t="str">
        <f t="shared" si="81"/>
        <v>Low</v>
      </c>
      <c r="F1289" s="5">
        <f t="shared" si="82"/>
        <v>162.34199999999998</v>
      </c>
      <c r="G1289" s="6">
        <v>38464</v>
      </c>
      <c r="H1289" s="5" t="s">
        <v>401</v>
      </c>
      <c r="I1289" s="5" t="str">
        <f t="shared" si="80"/>
        <v>No</v>
      </c>
      <c r="J1289" s="5" t="s">
        <v>688</v>
      </c>
      <c r="K1289" s="5">
        <v>2005</v>
      </c>
      <c r="L1289" s="5" t="str">
        <f t="shared" si="83"/>
        <v>Apr-2005</v>
      </c>
      <c r="M1289" s="5" t="s">
        <v>550</v>
      </c>
      <c r="N1289" s="5" t="s">
        <v>397</v>
      </c>
      <c r="O1289" s="5" t="s">
        <v>32</v>
      </c>
      <c r="P1289" s="5" t="s">
        <v>33</v>
      </c>
      <c r="Q1289" s="5" t="s">
        <v>36</v>
      </c>
    </row>
    <row r="1290" spans="1:17" x14ac:dyDescent="0.25">
      <c r="A1290" s="3">
        <v>10420</v>
      </c>
      <c r="B1290" s="3">
        <v>66</v>
      </c>
      <c r="C1290" s="3">
        <v>92.95</v>
      </c>
      <c r="D1290" s="3">
        <v>6134.7</v>
      </c>
      <c r="E1290" s="3" t="str">
        <f t="shared" si="81"/>
        <v>High</v>
      </c>
      <c r="F1290" s="3">
        <f t="shared" si="82"/>
        <v>1840.4099999999999</v>
      </c>
      <c r="G1290" s="4">
        <v>38501</v>
      </c>
      <c r="H1290" s="3" t="s">
        <v>300</v>
      </c>
      <c r="I1290" s="3" t="str">
        <f t="shared" si="80"/>
        <v>No</v>
      </c>
      <c r="J1290" s="3" t="s">
        <v>682</v>
      </c>
      <c r="K1290" s="3">
        <v>2005</v>
      </c>
      <c r="L1290" s="3" t="str">
        <f t="shared" si="83"/>
        <v>May-2005</v>
      </c>
      <c r="M1290" s="3" t="s">
        <v>550</v>
      </c>
      <c r="N1290" s="3" t="s">
        <v>152</v>
      </c>
      <c r="O1290" s="3" t="s">
        <v>95</v>
      </c>
      <c r="P1290" s="3" t="s">
        <v>96</v>
      </c>
      <c r="Q1290" s="3" t="s">
        <v>51</v>
      </c>
    </row>
    <row r="1291" spans="1:17" x14ac:dyDescent="0.25">
      <c r="A1291" s="5">
        <v>10105</v>
      </c>
      <c r="B1291" s="5">
        <v>41</v>
      </c>
      <c r="C1291" s="5">
        <v>82.5</v>
      </c>
      <c r="D1291" s="5">
        <v>3382.5</v>
      </c>
      <c r="E1291" s="5" t="str">
        <f t="shared" si="81"/>
        <v>Medium</v>
      </c>
      <c r="F1291" s="5">
        <f t="shared" si="82"/>
        <v>1014.75</v>
      </c>
      <c r="G1291" s="6">
        <v>37663</v>
      </c>
      <c r="H1291" s="5" t="s">
        <v>25</v>
      </c>
      <c r="I1291" s="5" t="str">
        <f t="shared" si="80"/>
        <v>Yes</v>
      </c>
      <c r="J1291" s="5" t="s">
        <v>681</v>
      </c>
      <c r="K1291" s="5">
        <v>2003</v>
      </c>
      <c r="L1291" s="5" t="str">
        <f t="shared" si="83"/>
        <v>Feb-2003</v>
      </c>
      <c r="M1291" s="5" t="s">
        <v>550</v>
      </c>
      <c r="N1291" s="5" t="s">
        <v>322</v>
      </c>
      <c r="O1291" s="5" t="s">
        <v>326</v>
      </c>
      <c r="P1291" s="5" t="s">
        <v>42</v>
      </c>
      <c r="Q1291" s="5" t="s">
        <v>51</v>
      </c>
    </row>
    <row r="1292" spans="1:17" x14ac:dyDescent="0.25">
      <c r="A1292" s="3">
        <v>10117</v>
      </c>
      <c r="B1292" s="3">
        <v>23</v>
      </c>
      <c r="C1292" s="3">
        <v>97.42</v>
      </c>
      <c r="D1292" s="3">
        <v>2240.66</v>
      </c>
      <c r="E1292" s="3" t="str">
        <f t="shared" si="81"/>
        <v>Medium</v>
      </c>
      <c r="F1292" s="3">
        <f t="shared" si="82"/>
        <v>672.19799999999998</v>
      </c>
      <c r="G1292" s="4">
        <v>37727</v>
      </c>
      <c r="H1292" s="3" t="s">
        <v>25</v>
      </c>
      <c r="I1292" s="3" t="str">
        <f t="shared" si="80"/>
        <v>Yes</v>
      </c>
      <c r="J1292" s="3" t="s">
        <v>688</v>
      </c>
      <c r="K1292" s="3">
        <v>2003</v>
      </c>
      <c r="L1292" s="3" t="str">
        <f t="shared" si="83"/>
        <v>Apr-2003</v>
      </c>
      <c r="M1292" s="3" t="s">
        <v>550</v>
      </c>
      <c r="N1292" s="3" t="s">
        <v>196</v>
      </c>
      <c r="O1292" s="3" t="s">
        <v>199</v>
      </c>
      <c r="P1292" s="3" t="s">
        <v>675</v>
      </c>
      <c r="Q1292" s="3" t="s">
        <v>36</v>
      </c>
    </row>
    <row r="1293" spans="1:17" x14ac:dyDescent="0.25">
      <c r="A1293" s="5">
        <v>10128</v>
      </c>
      <c r="B1293" s="5">
        <v>43</v>
      </c>
      <c r="C1293" s="5">
        <v>92.16</v>
      </c>
      <c r="D1293" s="5">
        <v>3962.8799999999997</v>
      </c>
      <c r="E1293" s="5" t="str">
        <f t="shared" si="81"/>
        <v>Medium</v>
      </c>
      <c r="F1293" s="5">
        <f t="shared" si="82"/>
        <v>1188.8639999999998</v>
      </c>
      <c r="G1293" s="6">
        <v>37778</v>
      </c>
      <c r="H1293" s="5" t="s">
        <v>25</v>
      </c>
      <c r="I1293" s="5" t="str">
        <f t="shared" si="80"/>
        <v>Yes</v>
      </c>
      <c r="J1293" s="5" t="s">
        <v>689</v>
      </c>
      <c r="K1293" s="5">
        <v>2003</v>
      </c>
      <c r="L1293" s="5" t="str">
        <f t="shared" si="83"/>
        <v>Jun-2003</v>
      </c>
      <c r="M1293" s="5" t="s">
        <v>550</v>
      </c>
      <c r="N1293" s="5" t="s">
        <v>174</v>
      </c>
      <c r="O1293" s="5" t="s">
        <v>178</v>
      </c>
      <c r="P1293" s="5" t="s">
        <v>42</v>
      </c>
      <c r="Q1293" s="5" t="s">
        <v>51</v>
      </c>
    </row>
    <row r="1294" spans="1:17" x14ac:dyDescent="0.25">
      <c r="A1294" s="3">
        <v>10142</v>
      </c>
      <c r="B1294" s="3">
        <v>24</v>
      </c>
      <c r="C1294" s="3">
        <v>70.22</v>
      </c>
      <c r="D1294" s="3">
        <v>1685.28</v>
      </c>
      <c r="E1294" s="3" t="str">
        <f t="shared" si="81"/>
        <v>Low</v>
      </c>
      <c r="F1294" s="3">
        <f t="shared" si="82"/>
        <v>505.58399999999995</v>
      </c>
      <c r="G1294" s="4">
        <v>37841</v>
      </c>
      <c r="H1294" s="3" t="s">
        <v>25</v>
      </c>
      <c r="I1294" s="3" t="str">
        <f t="shared" si="80"/>
        <v>Yes</v>
      </c>
      <c r="J1294" s="3" t="s">
        <v>684</v>
      </c>
      <c r="K1294" s="3">
        <v>2003</v>
      </c>
      <c r="L1294" s="3" t="str">
        <f t="shared" si="83"/>
        <v>Aug-2003</v>
      </c>
      <c r="M1294" s="3" t="s">
        <v>550</v>
      </c>
      <c r="N1294" s="3" t="s">
        <v>272</v>
      </c>
      <c r="O1294" s="3" t="s">
        <v>32</v>
      </c>
      <c r="P1294" s="3" t="s">
        <v>33</v>
      </c>
      <c r="Q1294" s="3" t="s">
        <v>36</v>
      </c>
    </row>
    <row r="1295" spans="1:17" x14ac:dyDescent="0.25">
      <c r="A1295" s="5">
        <v>10153</v>
      </c>
      <c r="B1295" s="5">
        <v>22</v>
      </c>
      <c r="C1295" s="5">
        <v>83.38</v>
      </c>
      <c r="D1295" s="5">
        <v>1834.36</v>
      </c>
      <c r="E1295" s="5" t="str">
        <f t="shared" si="81"/>
        <v>Low</v>
      </c>
      <c r="F1295" s="5">
        <f t="shared" si="82"/>
        <v>550.30799999999999</v>
      </c>
      <c r="G1295" s="6">
        <v>37892</v>
      </c>
      <c r="H1295" s="5" t="s">
        <v>25</v>
      </c>
      <c r="I1295" s="5" t="str">
        <f t="shared" si="80"/>
        <v>Yes</v>
      </c>
      <c r="J1295" s="5" t="s">
        <v>690</v>
      </c>
      <c r="K1295" s="5">
        <v>2003</v>
      </c>
      <c r="L1295" s="5" t="str">
        <f t="shared" si="83"/>
        <v>Sep-2003</v>
      </c>
      <c r="M1295" s="5" t="s">
        <v>550</v>
      </c>
      <c r="N1295" s="5" t="s">
        <v>174</v>
      </c>
      <c r="O1295" s="5" t="s">
        <v>178</v>
      </c>
      <c r="P1295" s="5" t="s">
        <v>42</v>
      </c>
      <c r="Q1295" s="5" t="s">
        <v>36</v>
      </c>
    </row>
    <row r="1296" spans="1:17" x14ac:dyDescent="0.25">
      <c r="A1296" s="3">
        <v>10166</v>
      </c>
      <c r="B1296" s="3">
        <v>26</v>
      </c>
      <c r="C1296" s="3">
        <v>73.73</v>
      </c>
      <c r="D1296" s="3">
        <v>1916.98</v>
      </c>
      <c r="E1296" s="3" t="str">
        <f t="shared" si="81"/>
        <v>Low</v>
      </c>
      <c r="F1296" s="3">
        <f t="shared" si="82"/>
        <v>575.09399999999994</v>
      </c>
      <c r="G1296" s="4">
        <v>37915</v>
      </c>
      <c r="H1296" s="3" t="s">
        <v>25</v>
      </c>
      <c r="I1296" s="3" t="str">
        <f t="shared" si="80"/>
        <v>Yes</v>
      </c>
      <c r="J1296" s="3" t="s">
        <v>685</v>
      </c>
      <c r="K1296" s="3">
        <v>2003</v>
      </c>
      <c r="L1296" s="3" t="str">
        <f t="shared" si="83"/>
        <v>Oct-2003</v>
      </c>
      <c r="M1296" s="3" t="s">
        <v>550</v>
      </c>
      <c r="N1296" s="3" t="s">
        <v>160</v>
      </c>
      <c r="O1296" s="3" t="s">
        <v>32</v>
      </c>
      <c r="P1296" s="3" t="s">
        <v>33</v>
      </c>
      <c r="Q1296" s="3" t="s">
        <v>36</v>
      </c>
    </row>
    <row r="1297" spans="1:17" x14ac:dyDescent="0.25">
      <c r="A1297" s="5">
        <v>10177</v>
      </c>
      <c r="B1297" s="5">
        <v>35</v>
      </c>
      <c r="C1297" s="5">
        <v>74.599999999999994</v>
      </c>
      <c r="D1297" s="5">
        <v>2611</v>
      </c>
      <c r="E1297" s="5" t="str">
        <f t="shared" si="81"/>
        <v>Medium</v>
      </c>
      <c r="F1297" s="5">
        <f t="shared" si="82"/>
        <v>783.3</v>
      </c>
      <c r="G1297" s="6">
        <v>37932</v>
      </c>
      <c r="H1297" s="5" t="s">
        <v>25</v>
      </c>
      <c r="I1297" s="5" t="str">
        <f t="shared" si="80"/>
        <v>Yes</v>
      </c>
      <c r="J1297" s="5" t="s">
        <v>686</v>
      </c>
      <c r="K1297" s="5">
        <v>2003</v>
      </c>
      <c r="L1297" s="5" t="str">
        <f t="shared" si="83"/>
        <v>Nov-2003</v>
      </c>
      <c r="M1297" s="5" t="s">
        <v>550</v>
      </c>
      <c r="N1297" s="5" t="s">
        <v>487</v>
      </c>
      <c r="O1297" s="5" t="s">
        <v>178</v>
      </c>
      <c r="P1297" s="5" t="s">
        <v>42</v>
      </c>
      <c r="Q1297" s="5" t="s">
        <v>36</v>
      </c>
    </row>
    <row r="1298" spans="1:17" x14ac:dyDescent="0.25">
      <c r="A1298" s="3">
        <v>10185</v>
      </c>
      <c r="B1298" s="3">
        <v>47</v>
      </c>
      <c r="C1298" s="3">
        <v>77.239999999999995</v>
      </c>
      <c r="D1298" s="3">
        <v>3630.2799999999997</v>
      </c>
      <c r="E1298" s="3" t="str">
        <f t="shared" si="81"/>
        <v>Medium</v>
      </c>
      <c r="F1298" s="3">
        <f t="shared" si="82"/>
        <v>1089.0839999999998</v>
      </c>
      <c r="G1298" s="4">
        <v>37939</v>
      </c>
      <c r="H1298" s="3" t="s">
        <v>25</v>
      </c>
      <c r="I1298" s="3" t="str">
        <f t="shared" si="80"/>
        <v>Yes</v>
      </c>
      <c r="J1298" s="3" t="s">
        <v>686</v>
      </c>
      <c r="K1298" s="3">
        <v>2003</v>
      </c>
      <c r="L1298" s="3" t="str">
        <f t="shared" si="83"/>
        <v>Nov-2003</v>
      </c>
      <c r="M1298" s="3" t="s">
        <v>550</v>
      </c>
      <c r="N1298" s="3" t="s">
        <v>335</v>
      </c>
      <c r="O1298" s="3" t="s">
        <v>32</v>
      </c>
      <c r="P1298" s="3" t="s">
        <v>33</v>
      </c>
      <c r="Q1298" s="3" t="s">
        <v>51</v>
      </c>
    </row>
    <row r="1299" spans="1:17" x14ac:dyDescent="0.25">
      <c r="A1299" s="5">
        <v>10197</v>
      </c>
      <c r="B1299" s="5">
        <v>50</v>
      </c>
      <c r="C1299" s="5">
        <v>100</v>
      </c>
      <c r="D1299" s="5">
        <v>5000</v>
      </c>
      <c r="E1299" s="5" t="str">
        <f t="shared" si="81"/>
        <v>High</v>
      </c>
      <c r="F1299" s="5">
        <f t="shared" si="82"/>
        <v>1500</v>
      </c>
      <c r="G1299" s="6">
        <v>37951</v>
      </c>
      <c r="H1299" s="5" t="s">
        <v>25</v>
      </c>
      <c r="I1299" s="5" t="str">
        <f t="shared" si="80"/>
        <v>Yes</v>
      </c>
      <c r="J1299" s="5" t="s">
        <v>686</v>
      </c>
      <c r="K1299" s="5">
        <v>2003</v>
      </c>
      <c r="L1299" s="5" t="str">
        <f t="shared" si="83"/>
        <v>Nov-2003</v>
      </c>
      <c r="M1299" s="5" t="s">
        <v>550</v>
      </c>
      <c r="N1299" s="5" t="s">
        <v>352</v>
      </c>
      <c r="O1299" s="5" t="s">
        <v>178</v>
      </c>
      <c r="P1299" s="5" t="s">
        <v>42</v>
      </c>
      <c r="Q1299" s="5" t="s">
        <v>51</v>
      </c>
    </row>
    <row r="1300" spans="1:17" x14ac:dyDescent="0.25">
      <c r="A1300" s="3">
        <v>10208</v>
      </c>
      <c r="B1300" s="3">
        <v>45</v>
      </c>
      <c r="C1300" s="3">
        <v>87.77</v>
      </c>
      <c r="D1300" s="3">
        <v>3949.6499999999996</v>
      </c>
      <c r="E1300" s="3" t="str">
        <f t="shared" si="81"/>
        <v>Medium</v>
      </c>
      <c r="F1300" s="3">
        <f t="shared" si="82"/>
        <v>1184.8949999999998</v>
      </c>
      <c r="G1300" s="4">
        <v>37988</v>
      </c>
      <c r="H1300" s="3" t="s">
        <v>25</v>
      </c>
      <c r="I1300" s="3" t="str">
        <f t="shared" si="80"/>
        <v>Yes</v>
      </c>
      <c r="J1300" s="3" t="s">
        <v>549</v>
      </c>
      <c r="K1300" s="3">
        <v>2004</v>
      </c>
      <c r="L1300" s="3" t="str">
        <f t="shared" si="83"/>
        <v>Jan-2004</v>
      </c>
      <c r="M1300" s="3" t="s">
        <v>550</v>
      </c>
      <c r="N1300" s="3" t="s">
        <v>219</v>
      </c>
      <c r="O1300" s="3" t="s">
        <v>41</v>
      </c>
      <c r="P1300" s="3" t="s">
        <v>42</v>
      </c>
      <c r="Q1300" s="3" t="s">
        <v>51</v>
      </c>
    </row>
    <row r="1301" spans="1:17" x14ac:dyDescent="0.25">
      <c r="A1301" s="5">
        <v>10221</v>
      </c>
      <c r="B1301" s="5">
        <v>39</v>
      </c>
      <c r="C1301" s="5">
        <v>89.53</v>
      </c>
      <c r="D1301" s="5">
        <v>3491.67</v>
      </c>
      <c r="E1301" s="5" t="str">
        <f t="shared" si="81"/>
        <v>Medium</v>
      </c>
      <c r="F1301" s="5">
        <f t="shared" si="82"/>
        <v>1047.501</v>
      </c>
      <c r="G1301" s="6">
        <v>38035</v>
      </c>
      <c r="H1301" s="5" t="s">
        <v>25</v>
      </c>
      <c r="I1301" s="5" t="str">
        <f t="shared" si="80"/>
        <v>Yes</v>
      </c>
      <c r="J1301" s="5" t="s">
        <v>681</v>
      </c>
      <c r="K1301" s="5">
        <v>2004</v>
      </c>
      <c r="L1301" s="5" t="str">
        <f t="shared" si="83"/>
        <v>Feb-2004</v>
      </c>
      <c r="M1301" s="5" t="s">
        <v>550</v>
      </c>
      <c r="N1301" s="5" t="s">
        <v>365</v>
      </c>
      <c r="O1301" s="5" t="s">
        <v>370</v>
      </c>
      <c r="P1301" s="5" t="s">
        <v>42</v>
      </c>
      <c r="Q1301" s="5" t="s">
        <v>51</v>
      </c>
    </row>
    <row r="1302" spans="1:17" x14ac:dyDescent="0.25">
      <c r="A1302" s="3">
        <v>10232</v>
      </c>
      <c r="B1302" s="3">
        <v>23</v>
      </c>
      <c r="C1302" s="3">
        <v>89.53</v>
      </c>
      <c r="D1302" s="3">
        <v>2059.19</v>
      </c>
      <c r="E1302" s="3" t="str">
        <f t="shared" si="81"/>
        <v>Medium</v>
      </c>
      <c r="F1302" s="3">
        <f t="shared" si="82"/>
        <v>617.75699999999995</v>
      </c>
      <c r="G1302" s="4">
        <v>38066</v>
      </c>
      <c r="H1302" s="3" t="s">
        <v>25</v>
      </c>
      <c r="I1302" s="3" t="str">
        <f t="shared" si="80"/>
        <v>Yes</v>
      </c>
      <c r="J1302" s="3" t="s">
        <v>691</v>
      </c>
      <c r="K1302" s="3">
        <v>2004</v>
      </c>
      <c r="L1302" s="3" t="str">
        <f t="shared" si="83"/>
        <v>Mar-2004</v>
      </c>
      <c r="M1302" s="3" t="s">
        <v>550</v>
      </c>
      <c r="N1302" s="3" t="s">
        <v>383</v>
      </c>
      <c r="O1302" s="3" t="s">
        <v>170</v>
      </c>
      <c r="P1302" s="3" t="s">
        <v>42</v>
      </c>
      <c r="Q1302" s="3" t="s">
        <v>36</v>
      </c>
    </row>
    <row r="1303" spans="1:17" x14ac:dyDescent="0.25">
      <c r="A1303" s="5">
        <v>10248</v>
      </c>
      <c r="B1303" s="5">
        <v>42</v>
      </c>
      <c r="C1303" s="5">
        <v>75.48</v>
      </c>
      <c r="D1303" s="5">
        <v>3170.1600000000003</v>
      </c>
      <c r="E1303" s="5" t="str">
        <f t="shared" si="81"/>
        <v>Medium</v>
      </c>
      <c r="F1303" s="5">
        <f t="shared" si="82"/>
        <v>951.048</v>
      </c>
      <c r="G1303" s="6">
        <v>38114</v>
      </c>
      <c r="H1303" s="5" t="s">
        <v>339</v>
      </c>
      <c r="I1303" s="5" t="str">
        <f t="shared" si="80"/>
        <v>No</v>
      </c>
      <c r="J1303" s="5" t="s">
        <v>682</v>
      </c>
      <c r="K1303" s="5">
        <v>2004</v>
      </c>
      <c r="L1303" s="5" t="str">
        <f t="shared" si="83"/>
        <v>May-2004</v>
      </c>
      <c r="M1303" s="5" t="s">
        <v>550</v>
      </c>
      <c r="N1303" s="5" t="s">
        <v>28</v>
      </c>
      <c r="O1303" s="5" t="s">
        <v>32</v>
      </c>
      <c r="P1303" s="5" t="s">
        <v>33</v>
      </c>
      <c r="Q1303" s="5" t="s">
        <v>51</v>
      </c>
    </row>
    <row r="1304" spans="1:17" x14ac:dyDescent="0.25">
      <c r="A1304" s="3">
        <v>10261</v>
      </c>
      <c r="B1304" s="3">
        <v>20</v>
      </c>
      <c r="C1304" s="3">
        <v>89.53</v>
      </c>
      <c r="D1304" s="3">
        <v>1790.6</v>
      </c>
      <c r="E1304" s="3" t="str">
        <f t="shared" si="81"/>
        <v>Low</v>
      </c>
      <c r="F1304" s="3">
        <f t="shared" si="82"/>
        <v>537.17999999999995</v>
      </c>
      <c r="G1304" s="4">
        <v>38155</v>
      </c>
      <c r="H1304" s="3" t="s">
        <v>25</v>
      </c>
      <c r="I1304" s="3" t="str">
        <f t="shared" si="80"/>
        <v>Yes</v>
      </c>
      <c r="J1304" s="3" t="s">
        <v>689</v>
      </c>
      <c r="K1304" s="3">
        <v>2004</v>
      </c>
      <c r="L1304" s="3" t="str">
        <f t="shared" si="83"/>
        <v>Jun-2004</v>
      </c>
      <c r="M1304" s="3" t="s">
        <v>550</v>
      </c>
      <c r="N1304" s="3" t="s">
        <v>292</v>
      </c>
      <c r="O1304" s="3" t="s">
        <v>231</v>
      </c>
      <c r="P1304" s="3" t="s">
        <v>33</v>
      </c>
      <c r="Q1304" s="3" t="s">
        <v>36</v>
      </c>
    </row>
    <row r="1305" spans="1:17" x14ac:dyDescent="0.25">
      <c r="A1305" s="5">
        <v>10273</v>
      </c>
      <c r="B1305" s="5">
        <v>33</v>
      </c>
      <c r="C1305" s="5">
        <v>71.09</v>
      </c>
      <c r="D1305" s="5">
        <v>2345.9700000000003</v>
      </c>
      <c r="E1305" s="5" t="str">
        <f t="shared" si="81"/>
        <v>Medium</v>
      </c>
      <c r="F1305" s="5">
        <f t="shared" si="82"/>
        <v>703.79100000000005</v>
      </c>
      <c r="G1305" s="6">
        <v>38189</v>
      </c>
      <c r="H1305" s="5" t="s">
        <v>25</v>
      </c>
      <c r="I1305" s="5" t="str">
        <f t="shared" si="80"/>
        <v>Yes</v>
      </c>
      <c r="J1305" s="5" t="s">
        <v>683</v>
      </c>
      <c r="K1305" s="5">
        <v>2004</v>
      </c>
      <c r="L1305" s="5" t="str">
        <f t="shared" si="83"/>
        <v>Jul-2004</v>
      </c>
      <c r="M1305" s="5" t="s">
        <v>550</v>
      </c>
      <c r="N1305" s="5" t="s">
        <v>365</v>
      </c>
      <c r="O1305" s="5" t="s">
        <v>370</v>
      </c>
      <c r="P1305" s="5" t="s">
        <v>42</v>
      </c>
      <c r="Q1305" s="5" t="s">
        <v>36</v>
      </c>
    </row>
    <row r="1306" spans="1:17" x14ac:dyDescent="0.25">
      <c r="A1306" s="3">
        <v>10283</v>
      </c>
      <c r="B1306" s="3">
        <v>34</v>
      </c>
      <c r="C1306" s="3">
        <v>100</v>
      </c>
      <c r="D1306" s="3">
        <v>3400</v>
      </c>
      <c r="E1306" s="3" t="str">
        <f t="shared" si="81"/>
        <v>Medium</v>
      </c>
      <c r="F1306" s="3">
        <f t="shared" si="82"/>
        <v>1020</v>
      </c>
      <c r="G1306" s="4">
        <v>38219</v>
      </c>
      <c r="H1306" s="3" t="s">
        <v>25</v>
      </c>
      <c r="I1306" s="3" t="str">
        <f t="shared" si="80"/>
        <v>Yes</v>
      </c>
      <c r="J1306" s="3" t="s">
        <v>684</v>
      </c>
      <c r="K1306" s="3">
        <v>2004</v>
      </c>
      <c r="L1306" s="3" t="str">
        <f t="shared" si="83"/>
        <v>Aug-2004</v>
      </c>
      <c r="M1306" s="3" t="s">
        <v>550</v>
      </c>
      <c r="N1306" s="3" t="s">
        <v>373</v>
      </c>
      <c r="O1306" s="3" t="s">
        <v>231</v>
      </c>
      <c r="P1306" s="3" t="s">
        <v>33</v>
      </c>
      <c r="Q1306" s="3" t="s">
        <v>51</v>
      </c>
    </row>
    <row r="1307" spans="1:17" x14ac:dyDescent="0.25">
      <c r="A1307" s="5">
        <v>10293</v>
      </c>
      <c r="B1307" s="5">
        <v>49</v>
      </c>
      <c r="C1307" s="5">
        <v>100</v>
      </c>
      <c r="D1307" s="5">
        <v>4900</v>
      </c>
      <c r="E1307" s="5" t="str">
        <f t="shared" si="81"/>
        <v>Medium</v>
      </c>
      <c r="F1307" s="5">
        <f t="shared" si="82"/>
        <v>1470</v>
      </c>
      <c r="G1307" s="6">
        <v>38239</v>
      </c>
      <c r="H1307" s="5" t="s">
        <v>25</v>
      </c>
      <c r="I1307" s="5" t="str">
        <f t="shared" si="80"/>
        <v>Yes</v>
      </c>
      <c r="J1307" s="5" t="s">
        <v>690</v>
      </c>
      <c r="K1307" s="5">
        <v>2004</v>
      </c>
      <c r="L1307" s="5" t="str">
        <f t="shared" si="83"/>
        <v>Sep-2004</v>
      </c>
      <c r="M1307" s="5" t="s">
        <v>550</v>
      </c>
      <c r="N1307" s="5" t="s">
        <v>254</v>
      </c>
      <c r="O1307" s="5" t="s">
        <v>258</v>
      </c>
      <c r="P1307" s="5" t="s">
        <v>42</v>
      </c>
      <c r="Q1307" s="5" t="s">
        <v>51</v>
      </c>
    </row>
    <row r="1308" spans="1:17" x14ac:dyDescent="0.25">
      <c r="A1308" s="3">
        <v>10306</v>
      </c>
      <c r="B1308" s="3">
        <v>39</v>
      </c>
      <c r="C1308" s="3">
        <v>90.4</v>
      </c>
      <c r="D1308" s="3">
        <v>3525.6000000000004</v>
      </c>
      <c r="E1308" s="3" t="str">
        <f t="shared" si="81"/>
        <v>Medium</v>
      </c>
      <c r="F1308" s="3">
        <f t="shared" si="82"/>
        <v>1057.68</v>
      </c>
      <c r="G1308" s="4">
        <v>38274</v>
      </c>
      <c r="H1308" s="3" t="s">
        <v>25</v>
      </c>
      <c r="I1308" s="3" t="str">
        <f t="shared" si="80"/>
        <v>Yes</v>
      </c>
      <c r="J1308" s="3" t="s">
        <v>685</v>
      </c>
      <c r="K1308" s="3">
        <v>2004</v>
      </c>
      <c r="L1308" s="3" t="str">
        <f t="shared" si="83"/>
        <v>Oct-2004</v>
      </c>
      <c r="M1308" s="3" t="s">
        <v>550</v>
      </c>
      <c r="N1308" s="3" t="s">
        <v>492</v>
      </c>
      <c r="O1308" s="3" t="s">
        <v>170</v>
      </c>
      <c r="P1308" s="3" t="s">
        <v>42</v>
      </c>
      <c r="Q1308" s="3" t="s">
        <v>51</v>
      </c>
    </row>
    <row r="1309" spans="1:17" x14ac:dyDescent="0.25">
      <c r="A1309" s="5">
        <v>10315</v>
      </c>
      <c r="B1309" s="5">
        <v>36</v>
      </c>
      <c r="C1309" s="5">
        <v>100</v>
      </c>
      <c r="D1309" s="5">
        <v>3600</v>
      </c>
      <c r="E1309" s="5" t="str">
        <f t="shared" si="81"/>
        <v>Medium</v>
      </c>
      <c r="F1309" s="5">
        <f t="shared" si="82"/>
        <v>1080</v>
      </c>
      <c r="G1309" s="6">
        <v>38289</v>
      </c>
      <c r="H1309" s="5" t="s">
        <v>25</v>
      </c>
      <c r="I1309" s="5" t="str">
        <f t="shared" si="80"/>
        <v>Yes</v>
      </c>
      <c r="J1309" s="5" t="s">
        <v>685</v>
      </c>
      <c r="K1309" s="5">
        <v>2004</v>
      </c>
      <c r="L1309" s="5" t="str">
        <f t="shared" si="83"/>
        <v>Oct-2004</v>
      </c>
      <c r="M1309" s="5" t="s">
        <v>550</v>
      </c>
      <c r="N1309" s="5" t="s">
        <v>114</v>
      </c>
      <c r="O1309" s="5" t="s">
        <v>41</v>
      </c>
      <c r="P1309" s="5" t="s">
        <v>42</v>
      </c>
      <c r="Q1309" s="5" t="s">
        <v>51</v>
      </c>
    </row>
    <row r="1310" spans="1:17" x14ac:dyDescent="0.25">
      <c r="A1310" s="3">
        <v>10326</v>
      </c>
      <c r="B1310" s="3">
        <v>50</v>
      </c>
      <c r="C1310" s="3">
        <v>86.01</v>
      </c>
      <c r="D1310" s="3">
        <v>4300.5</v>
      </c>
      <c r="E1310" s="3" t="str">
        <f t="shared" si="81"/>
        <v>Medium</v>
      </c>
      <c r="F1310" s="3">
        <f t="shared" si="82"/>
        <v>1290.1499999999999</v>
      </c>
      <c r="G1310" s="4">
        <v>38300</v>
      </c>
      <c r="H1310" s="3" t="s">
        <v>25</v>
      </c>
      <c r="I1310" s="3" t="str">
        <f t="shared" si="80"/>
        <v>Yes</v>
      </c>
      <c r="J1310" s="3" t="s">
        <v>686</v>
      </c>
      <c r="K1310" s="3">
        <v>2004</v>
      </c>
      <c r="L1310" s="3" t="str">
        <f t="shared" si="83"/>
        <v>Nov-2004</v>
      </c>
      <c r="M1310" s="3" t="s">
        <v>550</v>
      </c>
      <c r="N1310" s="3" t="s">
        <v>183</v>
      </c>
      <c r="O1310" s="3" t="s">
        <v>188</v>
      </c>
      <c r="P1310" s="3" t="s">
        <v>42</v>
      </c>
      <c r="Q1310" s="3" t="s">
        <v>51</v>
      </c>
    </row>
    <row r="1311" spans="1:17" x14ac:dyDescent="0.25">
      <c r="A1311" s="5">
        <v>10337</v>
      </c>
      <c r="B1311" s="5">
        <v>29</v>
      </c>
      <c r="C1311" s="5">
        <v>100</v>
      </c>
      <c r="D1311" s="5">
        <v>2900</v>
      </c>
      <c r="E1311" s="5" t="str">
        <f t="shared" si="81"/>
        <v>Medium</v>
      </c>
      <c r="F1311" s="5">
        <f t="shared" si="82"/>
        <v>870</v>
      </c>
      <c r="G1311" s="6">
        <v>38312</v>
      </c>
      <c r="H1311" s="5" t="s">
        <v>25</v>
      </c>
      <c r="I1311" s="5" t="str">
        <f t="shared" si="80"/>
        <v>Yes</v>
      </c>
      <c r="J1311" s="5" t="s">
        <v>686</v>
      </c>
      <c r="K1311" s="5">
        <v>2004</v>
      </c>
      <c r="L1311" s="5" t="str">
        <f t="shared" si="83"/>
        <v>Nov-2004</v>
      </c>
      <c r="M1311" s="5" t="s">
        <v>550</v>
      </c>
      <c r="N1311" s="5" t="s">
        <v>203</v>
      </c>
      <c r="O1311" s="5" t="s">
        <v>32</v>
      </c>
      <c r="P1311" s="5" t="s">
        <v>33</v>
      </c>
      <c r="Q1311" s="5" t="s">
        <v>51</v>
      </c>
    </row>
    <row r="1312" spans="1:17" x14ac:dyDescent="0.25">
      <c r="A1312" s="3">
        <v>10350</v>
      </c>
      <c r="B1312" s="3">
        <v>30</v>
      </c>
      <c r="C1312" s="3">
        <v>100</v>
      </c>
      <c r="D1312" s="3">
        <v>3000</v>
      </c>
      <c r="E1312" s="3" t="str">
        <f t="shared" si="81"/>
        <v>Medium</v>
      </c>
      <c r="F1312" s="3">
        <f t="shared" si="82"/>
        <v>900</v>
      </c>
      <c r="G1312" s="4">
        <v>38323</v>
      </c>
      <c r="H1312" s="3" t="s">
        <v>25</v>
      </c>
      <c r="I1312" s="3" t="str">
        <f t="shared" si="80"/>
        <v>Yes</v>
      </c>
      <c r="J1312" s="3" t="s">
        <v>687</v>
      </c>
      <c r="K1312" s="3">
        <v>2004</v>
      </c>
      <c r="L1312" s="3" t="str">
        <f t="shared" si="83"/>
        <v>Dec-2004</v>
      </c>
      <c r="M1312" s="3" t="s">
        <v>550</v>
      </c>
      <c r="N1312" s="3" t="s">
        <v>174</v>
      </c>
      <c r="O1312" s="3" t="s">
        <v>178</v>
      </c>
      <c r="P1312" s="3" t="s">
        <v>42</v>
      </c>
      <c r="Q1312" s="3" t="s">
        <v>51</v>
      </c>
    </row>
    <row r="1313" spans="1:17" x14ac:dyDescent="0.25">
      <c r="A1313" s="5">
        <v>10372</v>
      </c>
      <c r="B1313" s="5">
        <v>41</v>
      </c>
      <c r="C1313" s="5">
        <v>86.89</v>
      </c>
      <c r="D1313" s="5">
        <v>3562.4900000000002</v>
      </c>
      <c r="E1313" s="5" t="str">
        <f t="shared" si="81"/>
        <v>Medium</v>
      </c>
      <c r="F1313" s="5">
        <f t="shared" si="82"/>
        <v>1068.7470000000001</v>
      </c>
      <c r="G1313" s="6">
        <v>38378</v>
      </c>
      <c r="H1313" s="5" t="s">
        <v>25</v>
      </c>
      <c r="I1313" s="5" t="str">
        <f t="shared" si="80"/>
        <v>Yes</v>
      </c>
      <c r="J1313" s="5" t="s">
        <v>549</v>
      </c>
      <c r="K1313" s="5">
        <v>2005</v>
      </c>
      <c r="L1313" s="5" t="str">
        <f t="shared" si="83"/>
        <v>Jan-2005</v>
      </c>
      <c r="M1313" s="5" t="s">
        <v>550</v>
      </c>
      <c r="N1313" s="5" t="s">
        <v>246</v>
      </c>
      <c r="O1313" s="5" t="s">
        <v>200</v>
      </c>
      <c r="P1313" s="5" t="s">
        <v>675</v>
      </c>
      <c r="Q1313" s="5" t="s">
        <v>51</v>
      </c>
    </row>
    <row r="1314" spans="1:17" x14ac:dyDescent="0.25">
      <c r="A1314" s="3">
        <v>10383</v>
      </c>
      <c r="B1314" s="3">
        <v>28</v>
      </c>
      <c r="C1314" s="3">
        <v>58.58</v>
      </c>
      <c r="D1314" s="3">
        <v>1640.24</v>
      </c>
      <c r="E1314" s="3" t="str">
        <f t="shared" si="81"/>
        <v>Low</v>
      </c>
      <c r="F1314" s="3">
        <f t="shared" si="82"/>
        <v>492.072</v>
      </c>
      <c r="G1314" s="4">
        <v>38405</v>
      </c>
      <c r="H1314" s="3" t="s">
        <v>25</v>
      </c>
      <c r="I1314" s="3" t="str">
        <f t="shared" si="80"/>
        <v>Yes</v>
      </c>
      <c r="J1314" s="3" t="s">
        <v>681</v>
      </c>
      <c r="K1314" s="3">
        <v>2005</v>
      </c>
      <c r="L1314" s="3" t="str">
        <f t="shared" si="83"/>
        <v>Feb-2005</v>
      </c>
      <c r="M1314" s="3" t="s">
        <v>550</v>
      </c>
      <c r="N1314" s="3" t="s">
        <v>174</v>
      </c>
      <c r="O1314" s="3" t="s">
        <v>178</v>
      </c>
      <c r="P1314" s="3" t="s">
        <v>42</v>
      </c>
      <c r="Q1314" s="3" t="s">
        <v>36</v>
      </c>
    </row>
    <row r="1315" spans="1:17" x14ac:dyDescent="0.25">
      <c r="A1315" s="5">
        <v>10396</v>
      </c>
      <c r="B1315" s="5">
        <v>45</v>
      </c>
      <c r="C1315" s="5">
        <v>100</v>
      </c>
      <c r="D1315" s="5">
        <v>4500</v>
      </c>
      <c r="E1315" s="5" t="str">
        <f t="shared" si="81"/>
        <v>Medium</v>
      </c>
      <c r="F1315" s="5">
        <f t="shared" si="82"/>
        <v>1350</v>
      </c>
      <c r="G1315" s="6">
        <v>38434</v>
      </c>
      <c r="H1315" s="5" t="s">
        <v>25</v>
      </c>
      <c r="I1315" s="5" t="str">
        <f t="shared" si="80"/>
        <v>Yes</v>
      </c>
      <c r="J1315" s="5" t="s">
        <v>691</v>
      </c>
      <c r="K1315" s="5">
        <v>2005</v>
      </c>
      <c r="L1315" s="5" t="str">
        <f t="shared" si="83"/>
        <v>Mar-2005</v>
      </c>
      <c r="M1315" s="5" t="s">
        <v>550</v>
      </c>
      <c r="N1315" s="5" t="s">
        <v>272</v>
      </c>
      <c r="O1315" s="5" t="s">
        <v>32</v>
      </c>
      <c r="P1315" s="5" t="s">
        <v>33</v>
      </c>
      <c r="Q1315" s="5" t="s">
        <v>51</v>
      </c>
    </row>
    <row r="1316" spans="1:17" x14ac:dyDescent="0.25">
      <c r="A1316" s="3">
        <v>10414</v>
      </c>
      <c r="B1316" s="3">
        <v>16</v>
      </c>
      <c r="C1316" s="3">
        <v>75.48</v>
      </c>
      <c r="D1316" s="3">
        <v>1207.68</v>
      </c>
      <c r="E1316" s="3" t="str">
        <f t="shared" si="81"/>
        <v>Low</v>
      </c>
      <c r="F1316" s="3">
        <f t="shared" si="82"/>
        <v>362.30400000000003</v>
      </c>
      <c r="G1316" s="4">
        <v>38478</v>
      </c>
      <c r="H1316" s="3" t="s">
        <v>401</v>
      </c>
      <c r="I1316" s="3" t="str">
        <f t="shared" si="80"/>
        <v>No</v>
      </c>
      <c r="J1316" s="3" t="s">
        <v>682</v>
      </c>
      <c r="K1316" s="3">
        <v>2005</v>
      </c>
      <c r="L1316" s="3" t="str">
        <f t="shared" si="83"/>
        <v>May-2005</v>
      </c>
      <c r="M1316" s="3" t="s">
        <v>550</v>
      </c>
      <c r="N1316" s="3" t="s">
        <v>379</v>
      </c>
      <c r="O1316" s="3" t="s">
        <v>32</v>
      </c>
      <c r="P1316" s="3" t="s">
        <v>33</v>
      </c>
      <c r="Q1316" s="3" t="s">
        <v>36</v>
      </c>
    </row>
    <row r="1317" spans="1:17" x14ac:dyDescent="0.25">
      <c r="A1317" s="5">
        <v>10103</v>
      </c>
      <c r="B1317" s="5">
        <v>36</v>
      </c>
      <c r="C1317" s="5">
        <v>100</v>
      </c>
      <c r="D1317" s="5">
        <v>3600</v>
      </c>
      <c r="E1317" s="5" t="str">
        <f t="shared" si="81"/>
        <v>Medium</v>
      </c>
      <c r="F1317" s="5">
        <f t="shared" si="82"/>
        <v>1080</v>
      </c>
      <c r="G1317" s="6">
        <v>37650</v>
      </c>
      <c r="H1317" s="5" t="s">
        <v>25</v>
      </c>
      <c r="I1317" s="5" t="str">
        <f t="shared" si="80"/>
        <v>Yes</v>
      </c>
      <c r="J1317" s="5" t="s">
        <v>549</v>
      </c>
      <c r="K1317" s="5">
        <v>2003</v>
      </c>
      <c r="L1317" s="5" t="str">
        <f t="shared" si="83"/>
        <v>Jan-2003</v>
      </c>
      <c r="M1317" s="5" t="s">
        <v>504</v>
      </c>
      <c r="N1317" s="5" t="s">
        <v>133</v>
      </c>
      <c r="O1317" s="5" t="s">
        <v>78</v>
      </c>
      <c r="P1317" s="5" t="s">
        <v>42</v>
      </c>
      <c r="Q1317" s="5" t="s">
        <v>51</v>
      </c>
    </row>
    <row r="1318" spans="1:17" x14ac:dyDescent="0.25">
      <c r="A1318" s="3">
        <v>10114</v>
      </c>
      <c r="B1318" s="3">
        <v>41</v>
      </c>
      <c r="C1318" s="3">
        <v>100</v>
      </c>
      <c r="D1318" s="3">
        <v>4100</v>
      </c>
      <c r="E1318" s="3" t="str">
        <f t="shared" si="81"/>
        <v>Medium</v>
      </c>
      <c r="F1318" s="3">
        <f t="shared" si="82"/>
        <v>1230</v>
      </c>
      <c r="G1318" s="4">
        <v>37712</v>
      </c>
      <c r="H1318" s="3" t="s">
        <v>25</v>
      </c>
      <c r="I1318" s="3" t="str">
        <f t="shared" si="80"/>
        <v>Yes</v>
      </c>
      <c r="J1318" s="3" t="s">
        <v>688</v>
      </c>
      <c r="K1318" s="3">
        <v>2003</v>
      </c>
      <c r="L1318" s="3" t="str">
        <f t="shared" si="83"/>
        <v>Apr-2003</v>
      </c>
      <c r="M1318" s="3" t="s">
        <v>504</v>
      </c>
      <c r="N1318" s="3" t="s">
        <v>403</v>
      </c>
      <c r="O1318" s="3" t="s">
        <v>41</v>
      </c>
      <c r="P1318" s="3" t="s">
        <v>42</v>
      </c>
      <c r="Q1318" s="3" t="s">
        <v>51</v>
      </c>
    </row>
    <row r="1319" spans="1:17" x14ac:dyDescent="0.25">
      <c r="A1319" s="5">
        <v>10126</v>
      </c>
      <c r="B1319" s="5">
        <v>50</v>
      </c>
      <c r="C1319" s="5">
        <v>100</v>
      </c>
      <c r="D1319" s="5">
        <v>5000</v>
      </c>
      <c r="E1319" s="5" t="str">
        <f t="shared" si="81"/>
        <v>High</v>
      </c>
      <c r="F1319" s="5">
        <f t="shared" si="82"/>
        <v>1500</v>
      </c>
      <c r="G1319" s="6">
        <v>37769</v>
      </c>
      <c r="H1319" s="5" t="s">
        <v>25</v>
      </c>
      <c r="I1319" s="5" t="str">
        <f t="shared" si="80"/>
        <v>Yes</v>
      </c>
      <c r="J1319" s="5" t="s">
        <v>682</v>
      </c>
      <c r="K1319" s="5">
        <v>2003</v>
      </c>
      <c r="L1319" s="5" t="str">
        <f t="shared" si="83"/>
        <v>May-2003</v>
      </c>
      <c r="M1319" s="5" t="s">
        <v>504</v>
      </c>
      <c r="N1319" s="5" t="s">
        <v>191</v>
      </c>
      <c r="O1319" s="5" t="s">
        <v>178</v>
      </c>
      <c r="P1319" s="5" t="s">
        <v>42</v>
      </c>
      <c r="Q1319" s="5" t="s">
        <v>151</v>
      </c>
    </row>
    <row r="1320" spans="1:17" x14ac:dyDescent="0.25">
      <c r="A1320" s="3">
        <v>10140</v>
      </c>
      <c r="B1320" s="3">
        <v>40</v>
      </c>
      <c r="C1320" s="3">
        <v>100</v>
      </c>
      <c r="D1320" s="3">
        <v>4000</v>
      </c>
      <c r="E1320" s="3" t="str">
        <f t="shared" si="81"/>
        <v>Medium</v>
      </c>
      <c r="F1320" s="3">
        <f t="shared" si="82"/>
        <v>1200</v>
      </c>
      <c r="G1320" s="4">
        <v>37826</v>
      </c>
      <c r="H1320" s="3" t="s">
        <v>25</v>
      </c>
      <c r="I1320" s="3" t="str">
        <f t="shared" si="80"/>
        <v>Yes</v>
      </c>
      <c r="J1320" s="3" t="s">
        <v>683</v>
      </c>
      <c r="K1320" s="3">
        <v>2003</v>
      </c>
      <c r="L1320" s="3" t="str">
        <f t="shared" si="83"/>
        <v>Jul-2003</v>
      </c>
      <c r="M1320" s="3" t="s">
        <v>504</v>
      </c>
      <c r="N1320" s="3" t="s">
        <v>62</v>
      </c>
      <c r="O1320" s="3" t="s">
        <v>32</v>
      </c>
      <c r="P1320" s="3" t="s">
        <v>33</v>
      </c>
      <c r="Q1320" s="3" t="s">
        <v>51</v>
      </c>
    </row>
    <row r="1321" spans="1:17" x14ac:dyDescent="0.25">
      <c r="A1321" s="5">
        <v>10150</v>
      </c>
      <c r="B1321" s="5">
        <v>49</v>
      </c>
      <c r="C1321" s="5">
        <v>100</v>
      </c>
      <c r="D1321" s="5">
        <v>4900</v>
      </c>
      <c r="E1321" s="5" t="str">
        <f t="shared" si="81"/>
        <v>Medium</v>
      </c>
      <c r="F1321" s="5">
        <f t="shared" si="82"/>
        <v>1470</v>
      </c>
      <c r="G1321" s="6">
        <v>37883</v>
      </c>
      <c r="H1321" s="5" t="s">
        <v>25</v>
      </c>
      <c r="I1321" s="5" t="str">
        <f t="shared" si="80"/>
        <v>Yes</v>
      </c>
      <c r="J1321" s="5" t="s">
        <v>690</v>
      </c>
      <c r="K1321" s="5">
        <v>2003</v>
      </c>
      <c r="L1321" s="5" t="str">
        <f t="shared" si="83"/>
        <v>Sep-2003</v>
      </c>
      <c r="M1321" s="5" t="s">
        <v>504</v>
      </c>
      <c r="N1321" s="5" t="s">
        <v>196</v>
      </c>
      <c r="O1321" s="5" t="s">
        <v>199</v>
      </c>
      <c r="P1321" s="5" t="s">
        <v>675</v>
      </c>
      <c r="Q1321" s="5" t="s">
        <v>51</v>
      </c>
    </row>
    <row r="1322" spans="1:17" x14ac:dyDescent="0.25">
      <c r="A1322" s="3">
        <v>10164</v>
      </c>
      <c r="B1322" s="3">
        <v>45</v>
      </c>
      <c r="C1322" s="3">
        <v>100</v>
      </c>
      <c r="D1322" s="3">
        <v>4500</v>
      </c>
      <c r="E1322" s="3" t="str">
        <f t="shared" si="81"/>
        <v>Medium</v>
      </c>
      <c r="F1322" s="3">
        <f t="shared" si="82"/>
        <v>1350</v>
      </c>
      <c r="G1322" s="4">
        <v>37915</v>
      </c>
      <c r="H1322" s="3" t="s">
        <v>408</v>
      </c>
      <c r="I1322" s="3" t="str">
        <f t="shared" si="80"/>
        <v>No</v>
      </c>
      <c r="J1322" s="3" t="s">
        <v>685</v>
      </c>
      <c r="K1322" s="3">
        <v>2003</v>
      </c>
      <c r="L1322" s="3" t="str">
        <f t="shared" si="83"/>
        <v>Oct-2003</v>
      </c>
      <c r="M1322" s="3" t="s">
        <v>504</v>
      </c>
      <c r="N1322" s="3" t="s">
        <v>409</v>
      </c>
      <c r="O1322" s="3" t="s">
        <v>148</v>
      </c>
      <c r="P1322" s="3" t="s">
        <v>42</v>
      </c>
      <c r="Q1322" s="3" t="s">
        <v>51</v>
      </c>
    </row>
    <row r="1323" spans="1:17" x14ac:dyDescent="0.25">
      <c r="A1323" s="5">
        <v>10175</v>
      </c>
      <c r="B1323" s="5">
        <v>47</v>
      </c>
      <c r="C1323" s="5">
        <v>100</v>
      </c>
      <c r="D1323" s="5">
        <v>4700</v>
      </c>
      <c r="E1323" s="5" t="str">
        <f t="shared" si="81"/>
        <v>Medium</v>
      </c>
      <c r="F1323" s="5">
        <f t="shared" si="82"/>
        <v>1410</v>
      </c>
      <c r="G1323" s="6">
        <v>37931</v>
      </c>
      <c r="H1323" s="5" t="s">
        <v>25</v>
      </c>
      <c r="I1323" s="5" t="str">
        <f t="shared" si="80"/>
        <v>Yes</v>
      </c>
      <c r="J1323" s="5" t="s">
        <v>686</v>
      </c>
      <c r="K1323" s="5">
        <v>2003</v>
      </c>
      <c r="L1323" s="5" t="str">
        <f t="shared" si="83"/>
        <v>Nov-2003</v>
      </c>
      <c r="M1323" s="5" t="s">
        <v>504</v>
      </c>
      <c r="N1323" s="5" t="s">
        <v>329</v>
      </c>
      <c r="O1323" s="5" t="s">
        <v>170</v>
      </c>
      <c r="P1323" s="5" t="s">
        <v>42</v>
      </c>
      <c r="Q1323" s="5" t="s">
        <v>51</v>
      </c>
    </row>
    <row r="1324" spans="1:17" x14ac:dyDescent="0.25">
      <c r="A1324" s="3">
        <v>10183</v>
      </c>
      <c r="B1324" s="3">
        <v>21</v>
      </c>
      <c r="C1324" s="3">
        <v>100</v>
      </c>
      <c r="D1324" s="3">
        <v>2100</v>
      </c>
      <c r="E1324" s="3" t="str">
        <f t="shared" si="81"/>
        <v>Medium</v>
      </c>
      <c r="F1324" s="3">
        <f t="shared" si="82"/>
        <v>630</v>
      </c>
      <c r="G1324" s="4">
        <v>37938</v>
      </c>
      <c r="H1324" s="3" t="s">
        <v>25</v>
      </c>
      <c r="I1324" s="3" t="str">
        <f t="shared" si="80"/>
        <v>Yes</v>
      </c>
      <c r="J1324" s="3" t="s">
        <v>686</v>
      </c>
      <c r="K1324" s="3">
        <v>2003</v>
      </c>
      <c r="L1324" s="3" t="str">
        <f t="shared" si="83"/>
        <v>Nov-2003</v>
      </c>
      <c r="M1324" s="3" t="s">
        <v>504</v>
      </c>
      <c r="N1324" s="3" t="s">
        <v>214</v>
      </c>
      <c r="O1324" s="3" t="s">
        <v>32</v>
      </c>
      <c r="P1324" s="3" t="s">
        <v>33</v>
      </c>
      <c r="Q1324" s="3" t="s">
        <v>36</v>
      </c>
    </row>
    <row r="1325" spans="1:17" x14ac:dyDescent="0.25">
      <c r="A1325" s="5">
        <v>10194</v>
      </c>
      <c r="B1325" s="5">
        <v>32</v>
      </c>
      <c r="C1325" s="5">
        <v>100</v>
      </c>
      <c r="D1325" s="5">
        <v>3200</v>
      </c>
      <c r="E1325" s="5" t="str">
        <f t="shared" si="81"/>
        <v>Medium</v>
      </c>
      <c r="F1325" s="5">
        <f t="shared" si="82"/>
        <v>960</v>
      </c>
      <c r="G1325" s="6">
        <v>37950</v>
      </c>
      <c r="H1325" s="5" t="s">
        <v>25</v>
      </c>
      <c r="I1325" s="5" t="str">
        <f t="shared" si="80"/>
        <v>Yes</v>
      </c>
      <c r="J1325" s="5" t="s">
        <v>686</v>
      </c>
      <c r="K1325" s="5">
        <v>2003</v>
      </c>
      <c r="L1325" s="5" t="str">
        <f t="shared" si="83"/>
        <v>Nov-2003</v>
      </c>
      <c r="M1325" s="5" t="s">
        <v>504</v>
      </c>
      <c r="N1325" s="5" t="s">
        <v>219</v>
      </c>
      <c r="O1325" s="5" t="s">
        <v>41</v>
      </c>
      <c r="P1325" s="5" t="s">
        <v>42</v>
      </c>
      <c r="Q1325" s="5" t="s">
        <v>51</v>
      </c>
    </row>
    <row r="1326" spans="1:17" x14ac:dyDescent="0.25">
      <c r="A1326" s="3">
        <v>10207</v>
      </c>
      <c r="B1326" s="3">
        <v>47</v>
      </c>
      <c r="C1326" s="3">
        <v>100</v>
      </c>
      <c r="D1326" s="3">
        <v>4700</v>
      </c>
      <c r="E1326" s="3" t="str">
        <f t="shared" si="81"/>
        <v>Medium</v>
      </c>
      <c r="F1326" s="3">
        <f t="shared" si="82"/>
        <v>1410</v>
      </c>
      <c r="G1326" s="4">
        <v>37964</v>
      </c>
      <c r="H1326" s="3" t="s">
        <v>25</v>
      </c>
      <c r="I1326" s="3" t="str">
        <f t="shared" si="80"/>
        <v>Yes</v>
      </c>
      <c r="J1326" s="3" t="s">
        <v>687</v>
      </c>
      <c r="K1326" s="3">
        <v>2003</v>
      </c>
      <c r="L1326" s="3" t="str">
        <f t="shared" si="83"/>
        <v>Dec-2003</v>
      </c>
      <c r="M1326" s="3" t="s">
        <v>504</v>
      </c>
      <c r="N1326" s="3" t="s">
        <v>415</v>
      </c>
      <c r="O1326" s="3" t="s">
        <v>32</v>
      </c>
      <c r="P1326" s="3" t="s">
        <v>33</v>
      </c>
      <c r="Q1326" s="3" t="s">
        <v>51</v>
      </c>
    </row>
    <row r="1327" spans="1:17" x14ac:dyDescent="0.25">
      <c r="A1327" s="5">
        <v>10217</v>
      </c>
      <c r="B1327" s="5">
        <v>38</v>
      </c>
      <c r="C1327" s="5">
        <v>100</v>
      </c>
      <c r="D1327" s="5">
        <v>3800</v>
      </c>
      <c r="E1327" s="5" t="str">
        <f t="shared" si="81"/>
        <v>Medium</v>
      </c>
      <c r="F1327" s="5">
        <f t="shared" si="82"/>
        <v>1140</v>
      </c>
      <c r="G1327" s="6">
        <v>38021</v>
      </c>
      <c r="H1327" s="5" t="s">
        <v>25</v>
      </c>
      <c r="I1327" s="5" t="str">
        <f t="shared" si="80"/>
        <v>Yes</v>
      </c>
      <c r="J1327" s="5" t="s">
        <v>681</v>
      </c>
      <c r="K1327" s="5">
        <v>2004</v>
      </c>
      <c r="L1327" s="5" t="str">
        <f t="shared" si="83"/>
        <v>Feb-2004</v>
      </c>
      <c r="M1327" s="5" t="s">
        <v>504</v>
      </c>
      <c r="N1327" s="5" t="s">
        <v>418</v>
      </c>
      <c r="O1327" s="5" t="s">
        <v>199</v>
      </c>
      <c r="P1327" s="5" t="s">
        <v>96</v>
      </c>
      <c r="Q1327" s="5" t="s">
        <v>51</v>
      </c>
    </row>
    <row r="1328" spans="1:17" x14ac:dyDescent="0.25">
      <c r="A1328" s="3">
        <v>10229</v>
      </c>
      <c r="B1328" s="3">
        <v>41</v>
      </c>
      <c r="C1328" s="3">
        <v>100</v>
      </c>
      <c r="D1328" s="3">
        <v>4100</v>
      </c>
      <c r="E1328" s="3" t="str">
        <f t="shared" si="81"/>
        <v>Medium</v>
      </c>
      <c r="F1328" s="3">
        <f t="shared" si="82"/>
        <v>1230</v>
      </c>
      <c r="G1328" s="4">
        <v>38057</v>
      </c>
      <c r="H1328" s="3" t="s">
        <v>25</v>
      </c>
      <c r="I1328" s="3" t="str">
        <f t="shared" si="80"/>
        <v>Yes</v>
      </c>
      <c r="J1328" s="3" t="s">
        <v>691</v>
      </c>
      <c r="K1328" s="3">
        <v>2004</v>
      </c>
      <c r="L1328" s="3" t="str">
        <f t="shared" si="83"/>
        <v>Mar-2004</v>
      </c>
      <c r="M1328" s="3" t="s">
        <v>504</v>
      </c>
      <c r="N1328" s="3" t="s">
        <v>272</v>
      </c>
      <c r="O1328" s="3" t="s">
        <v>32</v>
      </c>
      <c r="P1328" s="3" t="s">
        <v>33</v>
      </c>
      <c r="Q1328" s="3" t="s">
        <v>51</v>
      </c>
    </row>
    <row r="1329" spans="1:17" x14ac:dyDescent="0.25">
      <c r="A1329" s="5">
        <v>10245</v>
      </c>
      <c r="B1329" s="5">
        <v>21</v>
      </c>
      <c r="C1329" s="5">
        <v>100</v>
      </c>
      <c r="D1329" s="5">
        <v>2100</v>
      </c>
      <c r="E1329" s="5" t="str">
        <f t="shared" si="81"/>
        <v>Medium</v>
      </c>
      <c r="F1329" s="5">
        <f t="shared" si="82"/>
        <v>630</v>
      </c>
      <c r="G1329" s="6">
        <v>38111</v>
      </c>
      <c r="H1329" s="5" t="s">
        <v>25</v>
      </c>
      <c r="I1329" s="5" t="str">
        <f t="shared" si="80"/>
        <v>Yes</v>
      </c>
      <c r="J1329" s="5" t="s">
        <v>682</v>
      </c>
      <c r="K1329" s="5">
        <v>2004</v>
      </c>
      <c r="L1329" s="5" t="str">
        <f t="shared" si="83"/>
        <v>May-2004</v>
      </c>
      <c r="M1329" s="5" t="s">
        <v>504</v>
      </c>
      <c r="N1329" s="5" t="s">
        <v>242</v>
      </c>
      <c r="O1329" s="5" t="s">
        <v>32</v>
      </c>
      <c r="P1329" s="5" t="s">
        <v>33</v>
      </c>
      <c r="Q1329" s="5" t="s">
        <v>36</v>
      </c>
    </row>
    <row r="1330" spans="1:17" x14ac:dyDescent="0.25">
      <c r="A1330" s="3">
        <v>10259</v>
      </c>
      <c r="B1330" s="3">
        <v>41</v>
      </c>
      <c r="C1330" s="3">
        <v>100</v>
      </c>
      <c r="D1330" s="3">
        <v>4100</v>
      </c>
      <c r="E1330" s="3" t="str">
        <f t="shared" si="81"/>
        <v>Medium</v>
      </c>
      <c r="F1330" s="3">
        <f t="shared" si="82"/>
        <v>1230</v>
      </c>
      <c r="G1330" s="4">
        <v>38153</v>
      </c>
      <c r="H1330" s="3" t="s">
        <v>25</v>
      </c>
      <c r="I1330" s="3" t="str">
        <f t="shared" si="80"/>
        <v>Yes</v>
      </c>
      <c r="J1330" s="3" t="s">
        <v>689</v>
      </c>
      <c r="K1330" s="3">
        <v>2004</v>
      </c>
      <c r="L1330" s="3" t="str">
        <f t="shared" si="83"/>
        <v>Jun-2004</v>
      </c>
      <c r="M1330" s="3" t="s">
        <v>504</v>
      </c>
      <c r="N1330" s="3" t="s">
        <v>418</v>
      </c>
      <c r="O1330" s="3" t="s">
        <v>199</v>
      </c>
      <c r="P1330" s="3" t="s">
        <v>96</v>
      </c>
      <c r="Q1330" s="3" t="s">
        <v>51</v>
      </c>
    </row>
    <row r="1331" spans="1:17" x14ac:dyDescent="0.25">
      <c r="A1331" s="5">
        <v>10270</v>
      </c>
      <c r="B1331" s="5">
        <v>38</v>
      </c>
      <c r="C1331" s="5">
        <v>100</v>
      </c>
      <c r="D1331" s="5">
        <v>3800</v>
      </c>
      <c r="E1331" s="5" t="str">
        <f t="shared" si="81"/>
        <v>Medium</v>
      </c>
      <c r="F1331" s="5">
        <f t="shared" si="82"/>
        <v>1140</v>
      </c>
      <c r="G1331" s="6">
        <v>38187</v>
      </c>
      <c r="H1331" s="5" t="s">
        <v>25</v>
      </c>
      <c r="I1331" s="5" t="str">
        <f t="shared" si="80"/>
        <v>Yes</v>
      </c>
      <c r="J1331" s="5" t="s">
        <v>683</v>
      </c>
      <c r="K1331" s="5">
        <v>2004</v>
      </c>
      <c r="L1331" s="5" t="str">
        <f t="shared" si="83"/>
        <v>Jul-2004</v>
      </c>
      <c r="M1331" s="5" t="s">
        <v>504</v>
      </c>
      <c r="N1331" s="5" t="s">
        <v>152</v>
      </c>
      <c r="O1331" s="5" t="s">
        <v>95</v>
      </c>
      <c r="P1331" s="5" t="s">
        <v>96</v>
      </c>
      <c r="Q1331" s="5" t="s">
        <v>51</v>
      </c>
    </row>
    <row r="1332" spans="1:17" x14ac:dyDescent="0.25">
      <c r="A1332" s="3">
        <v>10281</v>
      </c>
      <c r="B1332" s="3">
        <v>25</v>
      </c>
      <c r="C1332" s="3">
        <v>99.29</v>
      </c>
      <c r="D1332" s="3">
        <v>2482.25</v>
      </c>
      <c r="E1332" s="3" t="str">
        <f t="shared" si="81"/>
        <v>Medium</v>
      </c>
      <c r="F1332" s="3">
        <f t="shared" si="82"/>
        <v>744.67499999999995</v>
      </c>
      <c r="G1332" s="4">
        <v>38218</v>
      </c>
      <c r="H1332" s="3" t="s">
        <v>25</v>
      </c>
      <c r="I1332" s="3" t="str">
        <f t="shared" si="80"/>
        <v>Yes</v>
      </c>
      <c r="J1332" s="3" t="s">
        <v>684</v>
      </c>
      <c r="K1332" s="3">
        <v>2004</v>
      </c>
      <c r="L1332" s="3" t="str">
        <f t="shared" si="83"/>
        <v>Aug-2004</v>
      </c>
      <c r="M1332" s="3" t="s">
        <v>504</v>
      </c>
      <c r="N1332" s="3" t="s">
        <v>139</v>
      </c>
      <c r="O1332" s="3" t="s">
        <v>32</v>
      </c>
      <c r="P1332" s="3" t="s">
        <v>33</v>
      </c>
      <c r="Q1332" s="3" t="s">
        <v>36</v>
      </c>
    </row>
    <row r="1333" spans="1:17" x14ac:dyDescent="0.25">
      <c r="A1333" s="5">
        <v>10291</v>
      </c>
      <c r="B1333" s="5">
        <v>48</v>
      </c>
      <c r="C1333" s="5">
        <v>100</v>
      </c>
      <c r="D1333" s="5">
        <v>4800</v>
      </c>
      <c r="E1333" s="5" t="str">
        <f t="shared" si="81"/>
        <v>Medium</v>
      </c>
      <c r="F1333" s="5">
        <f t="shared" si="82"/>
        <v>1440</v>
      </c>
      <c r="G1333" s="6">
        <v>38238</v>
      </c>
      <c r="H1333" s="5" t="s">
        <v>25</v>
      </c>
      <c r="I1333" s="5" t="str">
        <f t="shared" si="80"/>
        <v>Yes</v>
      </c>
      <c r="J1333" s="5" t="s">
        <v>690</v>
      </c>
      <c r="K1333" s="5">
        <v>2004</v>
      </c>
      <c r="L1333" s="5" t="str">
        <f t="shared" si="83"/>
        <v>Sep-2004</v>
      </c>
      <c r="M1333" s="5" t="s">
        <v>504</v>
      </c>
      <c r="N1333" s="5" t="s">
        <v>261</v>
      </c>
      <c r="O1333" s="5" t="s">
        <v>188</v>
      </c>
      <c r="P1333" s="5" t="s">
        <v>42</v>
      </c>
      <c r="Q1333" s="5" t="s">
        <v>51</v>
      </c>
    </row>
    <row r="1334" spans="1:17" x14ac:dyDescent="0.25">
      <c r="A1334" s="3">
        <v>10305</v>
      </c>
      <c r="B1334" s="3">
        <v>22</v>
      </c>
      <c r="C1334" s="3">
        <v>99.29</v>
      </c>
      <c r="D1334" s="3">
        <v>2184.38</v>
      </c>
      <c r="E1334" s="3" t="str">
        <f t="shared" si="81"/>
        <v>Medium</v>
      </c>
      <c r="F1334" s="3">
        <f t="shared" si="82"/>
        <v>655.31399999999996</v>
      </c>
      <c r="G1334" s="4">
        <v>38273</v>
      </c>
      <c r="H1334" s="3" t="s">
        <v>25</v>
      </c>
      <c r="I1334" s="3" t="str">
        <f t="shared" si="80"/>
        <v>Yes</v>
      </c>
      <c r="J1334" s="3" t="s">
        <v>685</v>
      </c>
      <c r="K1334" s="3">
        <v>2004</v>
      </c>
      <c r="L1334" s="3" t="str">
        <f t="shared" si="83"/>
        <v>Oct-2004</v>
      </c>
      <c r="M1334" s="3" t="s">
        <v>504</v>
      </c>
      <c r="N1334" s="3" t="s">
        <v>120</v>
      </c>
      <c r="O1334" s="3" t="s">
        <v>32</v>
      </c>
      <c r="P1334" s="3" t="s">
        <v>33</v>
      </c>
      <c r="Q1334" s="3" t="s">
        <v>36</v>
      </c>
    </row>
    <row r="1335" spans="1:17" x14ac:dyDescent="0.25">
      <c r="A1335" s="5">
        <v>10313</v>
      </c>
      <c r="B1335" s="5">
        <v>28</v>
      </c>
      <c r="C1335" s="5">
        <v>100</v>
      </c>
      <c r="D1335" s="5">
        <v>2800</v>
      </c>
      <c r="E1335" s="5" t="str">
        <f t="shared" si="81"/>
        <v>Medium</v>
      </c>
      <c r="F1335" s="5">
        <f t="shared" si="82"/>
        <v>840</v>
      </c>
      <c r="G1335" s="6">
        <v>38282</v>
      </c>
      <c r="H1335" s="5" t="s">
        <v>25</v>
      </c>
      <c r="I1335" s="5" t="str">
        <f t="shared" si="80"/>
        <v>Yes</v>
      </c>
      <c r="J1335" s="5" t="s">
        <v>685</v>
      </c>
      <c r="K1335" s="5">
        <v>2004</v>
      </c>
      <c r="L1335" s="5" t="str">
        <f t="shared" si="83"/>
        <v>Oct-2004</v>
      </c>
      <c r="M1335" s="5" t="s">
        <v>504</v>
      </c>
      <c r="N1335" s="5" t="s">
        <v>225</v>
      </c>
      <c r="O1335" s="5" t="s">
        <v>231</v>
      </c>
      <c r="P1335" s="5" t="s">
        <v>33</v>
      </c>
      <c r="Q1335" s="5" t="s">
        <v>36</v>
      </c>
    </row>
    <row r="1336" spans="1:17" x14ac:dyDescent="0.25">
      <c r="A1336" s="3">
        <v>10323</v>
      </c>
      <c r="B1336" s="3">
        <v>47</v>
      </c>
      <c r="C1336" s="3">
        <v>100</v>
      </c>
      <c r="D1336" s="3">
        <v>4700</v>
      </c>
      <c r="E1336" s="3" t="str">
        <f t="shared" si="81"/>
        <v>Medium</v>
      </c>
      <c r="F1336" s="3">
        <f t="shared" si="82"/>
        <v>1410</v>
      </c>
      <c r="G1336" s="4">
        <v>38296</v>
      </c>
      <c r="H1336" s="3" t="s">
        <v>25</v>
      </c>
      <c r="I1336" s="3" t="str">
        <f t="shared" si="80"/>
        <v>Yes</v>
      </c>
      <c r="J1336" s="3" t="s">
        <v>686</v>
      </c>
      <c r="K1336" s="3">
        <v>2004</v>
      </c>
      <c r="L1336" s="3" t="str">
        <f t="shared" si="83"/>
        <v>Nov-2004</v>
      </c>
      <c r="M1336" s="3" t="s">
        <v>504</v>
      </c>
      <c r="N1336" s="3" t="s">
        <v>462</v>
      </c>
      <c r="O1336" s="3" t="s">
        <v>443</v>
      </c>
      <c r="P1336" s="3" t="s">
        <v>42</v>
      </c>
      <c r="Q1336" s="3" t="s">
        <v>51</v>
      </c>
    </row>
    <row r="1337" spans="1:17" x14ac:dyDescent="0.25">
      <c r="A1337" s="5">
        <v>10334</v>
      </c>
      <c r="B1337" s="5">
        <v>49</v>
      </c>
      <c r="C1337" s="5">
        <v>100</v>
      </c>
      <c r="D1337" s="5">
        <v>4900</v>
      </c>
      <c r="E1337" s="5" t="str">
        <f t="shared" si="81"/>
        <v>Medium</v>
      </c>
      <c r="F1337" s="5">
        <f t="shared" si="82"/>
        <v>1470</v>
      </c>
      <c r="G1337" s="6">
        <v>38310</v>
      </c>
      <c r="H1337" s="5" t="s">
        <v>401</v>
      </c>
      <c r="I1337" s="5" t="str">
        <f t="shared" si="80"/>
        <v>No</v>
      </c>
      <c r="J1337" s="5" t="s">
        <v>686</v>
      </c>
      <c r="K1337" s="5">
        <v>2004</v>
      </c>
      <c r="L1337" s="5" t="str">
        <f t="shared" si="83"/>
        <v>Nov-2004</v>
      </c>
      <c r="M1337" s="5" t="s">
        <v>504</v>
      </c>
      <c r="N1337" s="5" t="s">
        <v>183</v>
      </c>
      <c r="O1337" s="5" t="s">
        <v>188</v>
      </c>
      <c r="P1337" s="5" t="s">
        <v>42</v>
      </c>
      <c r="Q1337" s="5" t="s">
        <v>51</v>
      </c>
    </row>
    <row r="1338" spans="1:17" x14ac:dyDescent="0.25">
      <c r="A1338" s="3">
        <v>10347</v>
      </c>
      <c r="B1338" s="3">
        <v>45</v>
      </c>
      <c r="C1338" s="3">
        <v>100</v>
      </c>
      <c r="D1338" s="3">
        <v>4500</v>
      </c>
      <c r="E1338" s="3" t="str">
        <f t="shared" si="81"/>
        <v>Medium</v>
      </c>
      <c r="F1338" s="3">
        <f t="shared" si="82"/>
        <v>1350</v>
      </c>
      <c r="G1338" s="4">
        <v>38320</v>
      </c>
      <c r="H1338" s="3" t="s">
        <v>25</v>
      </c>
      <c r="I1338" s="3" t="str">
        <f t="shared" si="80"/>
        <v>Yes</v>
      </c>
      <c r="J1338" s="3" t="s">
        <v>686</v>
      </c>
      <c r="K1338" s="3">
        <v>2004</v>
      </c>
      <c r="L1338" s="3" t="str">
        <f t="shared" si="83"/>
        <v>Nov-2004</v>
      </c>
      <c r="M1338" s="3" t="s">
        <v>504</v>
      </c>
      <c r="N1338" s="3" t="s">
        <v>89</v>
      </c>
      <c r="O1338" s="3" t="s">
        <v>95</v>
      </c>
      <c r="P1338" s="3" t="s">
        <v>96</v>
      </c>
      <c r="Q1338" s="3" t="s">
        <v>51</v>
      </c>
    </row>
    <row r="1339" spans="1:17" x14ac:dyDescent="0.25">
      <c r="A1339" s="5">
        <v>10357</v>
      </c>
      <c r="B1339" s="5">
        <v>28</v>
      </c>
      <c r="C1339" s="5">
        <v>100</v>
      </c>
      <c r="D1339" s="5">
        <v>2800</v>
      </c>
      <c r="E1339" s="5" t="str">
        <f t="shared" si="81"/>
        <v>Medium</v>
      </c>
      <c r="F1339" s="5">
        <f t="shared" si="82"/>
        <v>840</v>
      </c>
      <c r="G1339" s="6">
        <v>38331</v>
      </c>
      <c r="H1339" s="5" t="s">
        <v>25</v>
      </c>
      <c r="I1339" s="5" t="str">
        <f t="shared" si="80"/>
        <v>Yes</v>
      </c>
      <c r="J1339" s="5" t="s">
        <v>687</v>
      </c>
      <c r="K1339" s="5">
        <v>2004</v>
      </c>
      <c r="L1339" s="5" t="str">
        <f t="shared" si="83"/>
        <v>Dec-2004</v>
      </c>
      <c r="M1339" s="5" t="s">
        <v>504</v>
      </c>
      <c r="N1339" s="5" t="s">
        <v>272</v>
      </c>
      <c r="O1339" s="5" t="s">
        <v>32</v>
      </c>
      <c r="P1339" s="5" t="s">
        <v>33</v>
      </c>
      <c r="Q1339" s="5" t="s">
        <v>51</v>
      </c>
    </row>
    <row r="1340" spans="1:17" x14ac:dyDescent="0.25">
      <c r="A1340" s="3">
        <v>10370</v>
      </c>
      <c r="B1340" s="3">
        <v>29</v>
      </c>
      <c r="C1340" s="3">
        <v>57.53</v>
      </c>
      <c r="D1340" s="3">
        <v>1668.3700000000001</v>
      </c>
      <c r="E1340" s="3" t="str">
        <f t="shared" si="81"/>
        <v>Low</v>
      </c>
      <c r="F1340" s="3">
        <f t="shared" si="82"/>
        <v>500.51100000000002</v>
      </c>
      <c r="G1340" s="4">
        <v>38372</v>
      </c>
      <c r="H1340" s="3" t="s">
        <v>25</v>
      </c>
      <c r="I1340" s="3" t="str">
        <f t="shared" si="80"/>
        <v>Yes</v>
      </c>
      <c r="J1340" s="3" t="s">
        <v>549</v>
      </c>
      <c r="K1340" s="3">
        <v>2005</v>
      </c>
      <c r="L1340" s="3" t="str">
        <f t="shared" si="83"/>
        <v>Jan-2005</v>
      </c>
      <c r="M1340" s="3" t="s">
        <v>504</v>
      </c>
      <c r="N1340" s="3" t="s">
        <v>285</v>
      </c>
      <c r="O1340" s="3" t="s">
        <v>95</v>
      </c>
      <c r="P1340" s="3" t="s">
        <v>96</v>
      </c>
      <c r="Q1340" s="3" t="s">
        <v>36</v>
      </c>
    </row>
    <row r="1341" spans="1:17" x14ac:dyDescent="0.25">
      <c r="A1341" s="5">
        <v>10382</v>
      </c>
      <c r="B1341" s="5">
        <v>39</v>
      </c>
      <c r="C1341" s="5">
        <v>100</v>
      </c>
      <c r="D1341" s="5">
        <v>3900</v>
      </c>
      <c r="E1341" s="5" t="str">
        <f t="shared" si="81"/>
        <v>Medium</v>
      </c>
      <c r="F1341" s="5">
        <f t="shared" si="82"/>
        <v>1170</v>
      </c>
      <c r="G1341" s="6">
        <v>38400</v>
      </c>
      <c r="H1341" s="5" t="s">
        <v>25</v>
      </c>
      <c r="I1341" s="5" t="str">
        <f t="shared" si="80"/>
        <v>Yes</v>
      </c>
      <c r="J1341" s="5" t="s">
        <v>681</v>
      </c>
      <c r="K1341" s="5">
        <v>2005</v>
      </c>
      <c r="L1341" s="5" t="str">
        <f t="shared" si="83"/>
        <v>Feb-2005</v>
      </c>
      <c r="M1341" s="5" t="s">
        <v>504</v>
      </c>
      <c r="N1341" s="5" t="s">
        <v>272</v>
      </c>
      <c r="O1341" s="5" t="s">
        <v>32</v>
      </c>
      <c r="P1341" s="5" t="s">
        <v>33</v>
      </c>
      <c r="Q1341" s="5" t="s">
        <v>51</v>
      </c>
    </row>
    <row r="1342" spans="1:17" x14ac:dyDescent="0.25">
      <c r="A1342" s="3">
        <v>10411</v>
      </c>
      <c r="B1342" s="3">
        <v>46</v>
      </c>
      <c r="C1342" s="3">
        <v>100</v>
      </c>
      <c r="D1342" s="3">
        <v>4600</v>
      </c>
      <c r="E1342" s="3" t="str">
        <f t="shared" si="81"/>
        <v>Medium</v>
      </c>
      <c r="F1342" s="3">
        <f t="shared" si="82"/>
        <v>1380</v>
      </c>
      <c r="G1342" s="4">
        <v>38473</v>
      </c>
      <c r="H1342" s="3" t="s">
        <v>25</v>
      </c>
      <c r="I1342" s="3" t="str">
        <f t="shared" si="80"/>
        <v>Yes</v>
      </c>
      <c r="J1342" s="3" t="s">
        <v>682</v>
      </c>
      <c r="K1342" s="3">
        <v>2005</v>
      </c>
      <c r="L1342" s="3" t="str">
        <f t="shared" si="83"/>
        <v>May-2005</v>
      </c>
      <c r="M1342" s="3" t="s">
        <v>504</v>
      </c>
      <c r="N1342" s="3" t="s">
        <v>292</v>
      </c>
      <c r="O1342" s="3" t="s">
        <v>231</v>
      </c>
      <c r="P1342" s="3" t="s">
        <v>33</v>
      </c>
      <c r="Q1342" s="3" t="s">
        <v>51</v>
      </c>
    </row>
    <row r="1343" spans="1:17" x14ac:dyDescent="0.25">
      <c r="A1343" s="5">
        <v>10425</v>
      </c>
      <c r="B1343" s="5">
        <v>38</v>
      </c>
      <c r="C1343" s="5">
        <v>100</v>
      </c>
      <c r="D1343" s="5">
        <v>3800</v>
      </c>
      <c r="E1343" s="5" t="str">
        <f t="shared" si="81"/>
        <v>Medium</v>
      </c>
      <c r="F1343" s="5">
        <f t="shared" si="82"/>
        <v>1140</v>
      </c>
      <c r="G1343" s="6">
        <v>38503</v>
      </c>
      <c r="H1343" s="5" t="s">
        <v>300</v>
      </c>
      <c r="I1343" s="5" t="str">
        <f t="shared" si="80"/>
        <v>No</v>
      </c>
      <c r="J1343" s="5" t="s">
        <v>682</v>
      </c>
      <c r="K1343" s="5">
        <v>2005</v>
      </c>
      <c r="L1343" s="5" t="str">
        <f t="shared" si="83"/>
        <v>May-2005</v>
      </c>
      <c r="M1343" s="5" t="s">
        <v>504</v>
      </c>
      <c r="N1343" s="5" t="s">
        <v>114</v>
      </c>
      <c r="O1343" s="5" t="s">
        <v>41</v>
      </c>
      <c r="P1343" s="5" t="s">
        <v>42</v>
      </c>
      <c r="Q1343" s="5" t="s">
        <v>51</v>
      </c>
    </row>
    <row r="1344" spans="1:17" x14ac:dyDescent="0.25">
      <c r="A1344" s="3">
        <v>10103</v>
      </c>
      <c r="B1344" s="3">
        <v>41</v>
      </c>
      <c r="C1344" s="3">
        <v>47.29</v>
      </c>
      <c r="D1344" s="3">
        <v>1938.8899999999999</v>
      </c>
      <c r="E1344" s="3" t="str">
        <f t="shared" si="81"/>
        <v>Low</v>
      </c>
      <c r="F1344" s="3">
        <f t="shared" si="82"/>
        <v>581.66699999999992</v>
      </c>
      <c r="G1344" s="4">
        <v>37650</v>
      </c>
      <c r="H1344" s="3" t="s">
        <v>25</v>
      </c>
      <c r="I1344" s="3" t="str">
        <f t="shared" si="80"/>
        <v>Yes</v>
      </c>
      <c r="J1344" s="3" t="s">
        <v>549</v>
      </c>
      <c r="K1344" s="3">
        <v>2003</v>
      </c>
      <c r="L1344" s="3" t="str">
        <f t="shared" si="83"/>
        <v>Jan-2003</v>
      </c>
      <c r="M1344" s="3" t="s">
        <v>550</v>
      </c>
      <c r="N1344" s="3" t="s">
        <v>133</v>
      </c>
      <c r="O1344" s="3" t="s">
        <v>78</v>
      </c>
      <c r="P1344" s="3" t="s">
        <v>42</v>
      </c>
      <c r="Q1344" s="3" t="s">
        <v>36</v>
      </c>
    </row>
    <row r="1345" spans="1:17" x14ac:dyDescent="0.25">
      <c r="A1345" s="5">
        <v>10113</v>
      </c>
      <c r="B1345" s="5">
        <v>50</v>
      </c>
      <c r="C1345" s="5">
        <v>49.81</v>
      </c>
      <c r="D1345" s="5">
        <v>2490.5</v>
      </c>
      <c r="E1345" s="5" t="str">
        <f t="shared" si="81"/>
        <v>Medium</v>
      </c>
      <c r="F1345" s="5">
        <f t="shared" si="82"/>
        <v>747.15</v>
      </c>
      <c r="G1345" s="6">
        <v>37706</v>
      </c>
      <c r="H1345" s="5" t="s">
        <v>25</v>
      </c>
      <c r="I1345" s="5" t="str">
        <f t="shared" si="80"/>
        <v>Yes</v>
      </c>
      <c r="J1345" s="5" t="s">
        <v>691</v>
      </c>
      <c r="K1345" s="5">
        <v>2003</v>
      </c>
      <c r="L1345" s="5" t="str">
        <f t="shared" si="83"/>
        <v>Mar-2003</v>
      </c>
      <c r="M1345" s="5" t="s">
        <v>550</v>
      </c>
      <c r="N1345" s="5" t="s">
        <v>272</v>
      </c>
      <c r="O1345" s="5" t="s">
        <v>32</v>
      </c>
      <c r="P1345" s="5" t="s">
        <v>33</v>
      </c>
      <c r="Q1345" s="5" t="s">
        <v>36</v>
      </c>
    </row>
    <row r="1346" spans="1:17" x14ac:dyDescent="0.25">
      <c r="A1346" s="3">
        <v>10126</v>
      </c>
      <c r="B1346" s="3">
        <v>43</v>
      </c>
      <c r="C1346" s="3">
        <v>53.83</v>
      </c>
      <c r="D1346" s="3">
        <v>2314.69</v>
      </c>
      <c r="E1346" s="3" t="str">
        <f t="shared" si="81"/>
        <v>Medium</v>
      </c>
      <c r="F1346" s="3">
        <f t="shared" si="82"/>
        <v>694.40700000000004</v>
      </c>
      <c r="G1346" s="4">
        <v>37769</v>
      </c>
      <c r="H1346" s="3" t="s">
        <v>25</v>
      </c>
      <c r="I1346" s="3" t="str">
        <f t="shared" ref="I1346:I1409" si="84">IF(H1346="Shipped","Yes","No")</f>
        <v>Yes</v>
      </c>
      <c r="J1346" s="3" t="s">
        <v>682</v>
      </c>
      <c r="K1346" s="3">
        <v>2003</v>
      </c>
      <c r="L1346" s="3" t="str">
        <f t="shared" si="83"/>
        <v>May-2003</v>
      </c>
      <c r="M1346" s="3" t="s">
        <v>550</v>
      </c>
      <c r="N1346" s="3" t="s">
        <v>191</v>
      </c>
      <c r="O1346" s="3" t="s">
        <v>178</v>
      </c>
      <c r="P1346" s="3" t="s">
        <v>42</v>
      </c>
      <c r="Q1346" s="3" t="s">
        <v>36</v>
      </c>
    </row>
    <row r="1347" spans="1:17" x14ac:dyDescent="0.25">
      <c r="A1347" s="5">
        <v>10140</v>
      </c>
      <c r="B1347" s="5">
        <v>29</v>
      </c>
      <c r="C1347" s="5">
        <v>43.27</v>
      </c>
      <c r="D1347" s="5">
        <v>1254.8300000000002</v>
      </c>
      <c r="E1347" s="5" t="str">
        <f t="shared" ref="E1347:E1410" si="85">IF(D1347&gt;=5000,"High",IF(D1347&gt;=2000,"Medium","Low"))</f>
        <v>Low</v>
      </c>
      <c r="F1347" s="5">
        <f t="shared" ref="F1347:F1410" si="86">(D1347*0.3)</f>
        <v>376.44900000000001</v>
      </c>
      <c r="G1347" s="6">
        <v>37826</v>
      </c>
      <c r="H1347" s="5" t="s">
        <v>25</v>
      </c>
      <c r="I1347" s="5" t="str">
        <f t="shared" si="84"/>
        <v>Yes</v>
      </c>
      <c r="J1347" s="5" t="s">
        <v>683</v>
      </c>
      <c r="K1347" s="5">
        <v>2003</v>
      </c>
      <c r="L1347" s="5" t="str">
        <f t="shared" ref="L1347:L1410" si="87">TEXT(G:G,"MMM-YYYY")</f>
        <v>Jul-2003</v>
      </c>
      <c r="M1347" s="5" t="s">
        <v>550</v>
      </c>
      <c r="N1347" s="5" t="s">
        <v>62</v>
      </c>
      <c r="O1347" s="5" t="s">
        <v>32</v>
      </c>
      <c r="P1347" s="5" t="s">
        <v>33</v>
      </c>
      <c r="Q1347" s="5" t="s">
        <v>36</v>
      </c>
    </row>
    <row r="1348" spans="1:17" x14ac:dyDescent="0.25">
      <c r="A1348" s="3">
        <v>10150</v>
      </c>
      <c r="B1348" s="3">
        <v>30</v>
      </c>
      <c r="C1348" s="3">
        <v>42.76</v>
      </c>
      <c r="D1348" s="3">
        <v>1282.8</v>
      </c>
      <c r="E1348" s="3" t="str">
        <f t="shared" si="85"/>
        <v>Low</v>
      </c>
      <c r="F1348" s="3">
        <f t="shared" si="86"/>
        <v>384.84</v>
      </c>
      <c r="G1348" s="4">
        <v>37883</v>
      </c>
      <c r="H1348" s="3" t="s">
        <v>25</v>
      </c>
      <c r="I1348" s="3" t="str">
        <f t="shared" si="84"/>
        <v>Yes</v>
      </c>
      <c r="J1348" s="3" t="s">
        <v>690</v>
      </c>
      <c r="K1348" s="3">
        <v>2003</v>
      </c>
      <c r="L1348" s="3" t="str">
        <f t="shared" si="87"/>
        <v>Sep-2003</v>
      </c>
      <c r="M1348" s="3" t="s">
        <v>550</v>
      </c>
      <c r="N1348" s="3" t="s">
        <v>196</v>
      </c>
      <c r="O1348" s="3" t="s">
        <v>199</v>
      </c>
      <c r="P1348" s="3" t="s">
        <v>675</v>
      </c>
      <c r="Q1348" s="3" t="s">
        <v>36</v>
      </c>
    </row>
    <row r="1349" spans="1:17" x14ac:dyDescent="0.25">
      <c r="A1349" s="5">
        <v>10164</v>
      </c>
      <c r="B1349" s="5">
        <v>25</v>
      </c>
      <c r="C1349" s="5">
        <v>53.83</v>
      </c>
      <c r="D1349" s="5">
        <v>1345.75</v>
      </c>
      <c r="E1349" s="5" t="str">
        <f t="shared" si="85"/>
        <v>Low</v>
      </c>
      <c r="F1349" s="5">
        <f t="shared" si="86"/>
        <v>403.72499999999997</v>
      </c>
      <c r="G1349" s="6">
        <v>37915</v>
      </c>
      <c r="H1349" s="5" t="s">
        <v>408</v>
      </c>
      <c r="I1349" s="5" t="str">
        <f t="shared" si="84"/>
        <v>No</v>
      </c>
      <c r="J1349" s="5" t="s">
        <v>685</v>
      </c>
      <c r="K1349" s="5">
        <v>2003</v>
      </c>
      <c r="L1349" s="5" t="str">
        <f t="shared" si="87"/>
        <v>Oct-2003</v>
      </c>
      <c r="M1349" s="5" t="s">
        <v>550</v>
      </c>
      <c r="N1349" s="5" t="s">
        <v>409</v>
      </c>
      <c r="O1349" s="5" t="s">
        <v>148</v>
      </c>
      <c r="P1349" s="5" t="s">
        <v>42</v>
      </c>
      <c r="Q1349" s="5" t="s">
        <v>36</v>
      </c>
    </row>
    <row r="1350" spans="1:17" x14ac:dyDescent="0.25">
      <c r="A1350" s="3">
        <v>10174</v>
      </c>
      <c r="B1350" s="3">
        <v>49</v>
      </c>
      <c r="C1350" s="3">
        <v>44.78</v>
      </c>
      <c r="D1350" s="3">
        <v>2194.2200000000003</v>
      </c>
      <c r="E1350" s="3" t="str">
        <f t="shared" si="85"/>
        <v>Medium</v>
      </c>
      <c r="F1350" s="3">
        <f t="shared" si="86"/>
        <v>658.26600000000008</v>
      </c>
      <c r="G1350" s="4">
        <v>37931</v>
      </c>
      <c r="H1350" s="3" t="s">
        <v>25</v>
      </c>
      <c r="I1350" s="3" t="str">
        <f t="shared" si="84"/>
        <v>Yes</v>
      </c>
      <c r="J1350" s="3" t="s">
        <v>686</v>
      </c>
      <c r="K1350" s="3">
        <v>2003</v>
      </c>
      <c r="L1350" s="3" t="str">
        <f t="shared" si="87"/>
        <v>Nov-2003</v>
      </c>
      <c r="M1350" s="3" t="s">
        <v>550</v>
      </c>
      <c r="N1350" s="3" t="s">
        <v>207</v>
      </c>
      <c r="O1350" s="3" t="s">
        <v>95</v>
      </c>
      <c r="P1350" s="3" t="s">
        <v>96</v>
      </c>
      <c r="Q1350" s="3" t="s">
        <v>36</v>
      </c>
    </row>
    <row r="1351" spans="1:17" x14ac:dyDescent="0.25">
      <c r="A1351" s="5">
        <v>10183</v>
      </c>
      <c r="B1351" s="5">
        <v>40</v>
      </c>
      <c r="C1351" s="5">
        <v>49.3</v>
      </c>
      <c r="D1351" s="5">
        <v>1972</v>
      </c>
      <c r="E1351" s="5" t="str">
        <f t="shared" si="85"/>
        <v>Low</v>
      </c>
      <c r="F1351" s="5">
        <f t="shared" si="86"/>
        <v>591.6</v>
      </c>
      <c r="G1351" s="6">
        <v>37938</v>
      </c>
      <c r="H1351" s="5" t="s">
        <v>25</v>
      </c>
      <c r="I1351" s="5" t="str">
        <f t="shared" si="84"/>
        <v>Yes</v>
      </c>
      <c r="J1351" s="5" t="s">
        <v>686</v>
      </c>
      <c r="K1351" s="5">
        <v>2003</v>
      </c>
      <c r="L1351" s="5" t="str">
        <f t="shared" si="87"/>
        <v>Nov-2003</v>
      </c>
      <c r="M1351" s="5" t="s">
        <v>550</v>
      </c>
      <c r="N1351" s="5" t="s">
        <v>214</v>
      </c>
      <c r="O1351" s="5" t="s">
        <v>32</v>
      </c>
      <c r="P1351" s="5" t="s">
        <v>33</v>
      </c>
      <c r="Q1351" s="5" t="s">
        <v>36</v>
      </c>
    </row>
    <row r="1352" spans="1:17" x14ac:dyDescent="0.25">
      <c r="A1352" s="3">
        <v>10194</v>
      </c>
      <c r="B1352" s="3">
        <v>41</v>
      </c>
      <c r="C1352" s="3">
        <v>44.78</v>
      </c>
      <c r="D1352" s="3">
        <v>1835.98</v>
      </c>
      <c r="E1352" s="3" t="str">
        <f t="shared" si="85"/>
        <v>Low</v>
      </c>
      <c r="F1352" s="3">
        <f t="shared" si="86"/>
        <v>550.79399999999998</v>
      </c>
      <c r="G1352" s="4">
        <v>37950</v>
      </c>
      <c r="H1352" s="3" t="s">
        <v>25</v>
      </c>
      <c r="I1352" s="3" t="str">
        <f t="shared" si="84"/>
        <v>Yes</v>
      </c>
      <c r="J1352" s="3" t="s">
        <v>686</v>
      </c>
      <c r="K1352" s="3">
        <v>2003</v>
      </c>
      <c r="L1352" s="3" t="str">
        <f t="shared" si="87"/>
        <v>Nov-2003</v>
      </c>
      <c r="M1352" s="3" t="s">
        <v>550</v>
      </c>
      <c r="N1352" s="3" t="s">
        <v>219</v>
      </c>
      <c r="O1352" s="3" t="s">
        <v>41</v>
      </c>
      <c r="P1352" s="3" t="s">
        <v>42</v>
      </c>
      <c r="Q1352" s="3" t="s">
        <v>36</v>
      </c>
    </row>
    <row r="1353" spans="1:17" x14ac:dyDescent="0.25">
      <c r="A1353" s="5">
        <v>10206</v>
      </c>
      <c r="B1353" s="5">
        <v>21</v>
      </c>
      <c r="C1353" s="5">
        <v>53.33</v>
      </c>
      <c r="D1353" s="5">
        <v>1119.93</v>
      </c>
      <c r="E1353" s="5" t="str">
        <f t="shared" si="85"/>
        <v>Low</v>
      </c>
      <c r="F1353" s="5">
        <f t="shared" si="86"/>
        <v>335.97899999999998</v>
      </c>
      <c r="G1353" s="6">
        <v>37960</v>
      </c>
      <c r="H1353" s="5" t="s">
        <v>25</v>
      </c>
      <c r="I1353" s="5" t="str">
        <f t="shared" si="84"/>
        <v>Yes</v>
      </c>
      <c r="J1353" s="5" t="s">
        <v>687</v>
      </c>
      <c r="K1353" s="5">
        <v>2003</v>
      </c>
      <c r="L1353" s="5" t="str">
        <f t="shared" si="87"/>
        <v>Dec-2003</v>
      </c>
      <c r="M1353" s="5" t="s">
        <v>550</v>
      </c>
      <c r="N1353" s="5" t="s">
        <v>225</v>
      </c>
      <c r="O1353" s="5" t="s">
        <v>231</v>
      </c>
      <c r="P1353" s="5" t="s">
        <v>33</v>
      </c>
      <c r="Q1353" s="5" t="s">
        <v>36</v>
      </c>
    </row>
    <row r="1354" spans="1:17" x14ac:dyDescent="0.25">
      <c r="A1354" s="3">
        <v>10215</v>
      </c>
      <c r="B1354" s="3">
        <v>46</v>
      </c>
      <c r="C1354" s="3">
        <v>45.28</v>
      </c>
      <c r="D1354" s="3">
        <v>2082.88</v>
      </c>
      <c r="E1354" s="3" t="str">
        <f t="shared" si="85"/>
        <v>Medium</v>
      </c>
      <c r="F1354" s="3">
        <f t="shared" si="86"/>
        <v>624.86400000000003</v>
      </c>
      <c r="G1354" s="4">
        <v>38015</v>
      </c>
      <c r="H1354" s="3" t="s">
        <v>25</v>
      </c>
      <c r="I1354" s="3" t="str">
        <f t="shared" si="84"/>
        <v>Yes</v>
      </c>
      <c r="J1354" s="3" t="s">
        <v>549</v>
      </c>
      <c r="K1354" s="3">
        <v>2004</v>
      </c>
      <c r="L1354" s="3" t="str">
        <f t="shared" si="87"/>
        <v>Jan-2004</v>
      </c>
      <c r="M1354" s="3" t="s">
        <v>550</v>
      </c>
      <c r="N1354" s="3" t="s">
        <v>234</v>
      </c>
      <c r="O1354" s="3" t="s">
        <v>32</v>
      </c>
      <c r="P1354" s="3" t="s">
        <v>33</v>
      </c>
      <c r="Q1354" s="3" t="s">
        <v>36</v>
      </c>
    </row>
    <row r="1355" spans="1:17" x14ac:dyDescent="0.25">
      <c r="A1355" s="5">
        <v>10229</v>
      </c>
      <c r="B1355" s="5">
        <v>39</v>
      </c>
      <c r="C1355" s="5">
        <v>40.25</v>
      </c>
      <c r="D1355" s="5">
        <v>1569.75</v>
      </c>
      <c r="E1355" s="5" t="str">
        <f t="shared" si="85"/>
        <v>Low</v>
      </c>
      <c r="F1355" s="5">
        <f t="shared" si="86"/>
        <v>470.92499999999995</v>
      </c>
      <c r="G1355" s="6">
        <v>38057</v>
      </c>
      <c r="H1355" s="5" t="s">
        <v>25</v>
      </c>
      <c r="I1355" s="5" t="str">
        <f t="shared" si="84"/>
        <v>Yes</v>
      </c>
      <c r="J1355" s="5" t="s">
        <v>691</v>
      </c>
      <c r="K1355" s="5">
        <v>2004</v>
      </c>
      <c r="L1355" s="5" t="str">
        <f t="shared" si="87"/>
        <v>Mar-2004</v>
      </c>
      <c r="M1355" s="5" t="s">
        <v>550</v>
      </c>
      <c r="N1355" s="5" t="s">
        <v>272</v>
      </c>
      <c r="O1355" s="5" t="s">
        <v>32</v>
      </c>
      <c r="P1355" s="5" t="s">
        <v>33</v>
      </c>
      <c r="Q1355" s="5" t="s">
        <v>36</v>
      </c>
    </row>
    <row r="1356" spans="1:17" x14ac:dyDescent="0.25">
      <c r="A1356" s="3">
        <v>10245</v>
      </c>
      <c r="B1356" s="3">
        <v>45</v>
      </c>
      <c r="C1356" s="3">
        <v>59.87</v>
      </c>
      <c r="D1356" s="3">
        <v>2694.15</v>
      </c>
      <c r="E1356" s="3" t="str">
        <f t="shared" si="85"/>
        <v>Medium</v>
      </c>
      <c r="F1356" s="3">
        <f t="shared" si="86"/>
        <v>808.245</v>
      </c>
      <c r="G1356" s="4">
        <v>38111</v>
      </c>
      <c r="H1356" s="3" t="s">
        <v>25</v>
      </c>
      <c r="I1356" s="3" t="str">
        <f t="shared" si="84"/>
        <v>Yes</v>
      </c>
      <c r="J1356" s="3" t="s">
        <v>682</v>
      </c>
      <c r="K1356" s="3">
        <v>2004</v>
      </c>
      <c r="L1356" s="3" t="str">
        <f t="shared" si="87"/>
        <v>May-2004</v>
      </c>
      <c r="M1356" s="3" t="s">
        <v>550</v>
      </c>
      <c r="N1356" s="3" t="s">
        <v>242</v>
      </c>
      <c r="O1356" s="3" t="s">
        <v>32</v>
      </c>
      <c r="P1356" s="3" t="s">
        <v>33</v>
      </c>
      <c r="Q1356" s="3" t="s">
        <v>36</v>
      </c>
    </row>
    <row r="1357" spans="1:17" x14ac:dyDescent="0.25">
      <c r="A1357" s="5">
        <v>10258</v>
      </c>
      <c r="B1357" s="5">
        <v>21</v>
      </c>
      <c r="C1357" s="5">
        <v>59.87</v>
      </c>
      <c r="D1357" s="5">
        <v>1257.27</v>
      </c>
      <c r="E1357" s="5" t="str">
        <f t="shared" si="85"/>
        <v>Low</v>
      </c>
      <c r="F1357" s="5">
        <f t="shared" si="86"/>
        <v>377.18099999999998</v>
      </c>
      <c r="G1357" s="6">
        <v>38153</v>
      </c>
      <c r="H1357" s="5" t="s">
        <v>25</v>
      </c>
      <c r="I1357" s="5" t="str">
        <f t="shared" si="84"/>
        <v>Yes</v>
      </c>
      <c r="J1357" s="5" t="s">
        <v>689</v>
      </c>
      <c r="K1357" s="5">
        <v>2004</v>
      </c>
      <c r="L1357" s="5" t="str">
        <f t="shared" si="87"/>
        <v>Jun-2004</v>
      </c>
      <c r="M1357" s="5" t="s">
        <v>550</v>
      </c>
      <c r="N1357" s="5" t="s">
        <v>246</v>
      </c>
      <c r="O1357" s="5" t="s">
        <v>200</v>
      </c>
      <c r="P1357" s="5" t="s">
        <v>675</v>
      </c>
      <c r="Q1357" s="5" t="s">
        <v>36</v>
      </c>
    </row>
    <row r="1358" spans="1:17" x14ac:dyDescent="0.25">
      <c r="A1358" s="3">
        <v>10270</v>
      </c>
      <c r="B1358" s="3">
        <v>44</v>
      </c>
      <c r="C1358" s="3">
        <v>58.36</v>
      </c>
      <c r="D1358" s="3">
        <v>2567.84</v>
      </c>
      <c r="E1358" s="3" t="str">
        <f t="shared" si="85"/>
        <v>Medium</v>
      </c>
      <c r="F1358" s="3">
        <f t="shared" si="86"/>
        <v>770.35199999999998</v>
      </c>
      <c r="G1358" s="4">
        <v>38187</v>
      </c>
      <c r="H1358" s="3" t="s">
        <v>25</v>
      </c>
      <c r="I1358" s="3" t="str">
        <f t="shared" si="84"/>
        <v>Yes</v>
      </c>
      <c r="J1358" s="3" t="s">
        <v>683</v>
      </c>
      <c r="K1358" s="3">
        <v>2004</v>
      </c>
      <c r="L1358" s="3" t="str">
        <f t="shared" si="87"/>
        <v>Jul-2004</v>
      </c>
      <c r="M1358" s="3" t="s">
        <v>550</v>
      </c>
      <c r="N1358" s="3" t="s">
        <v>152</v>
      </c>
      <c r="O1358" s="3" t="s">
        <v>95</v>
      </c>
      <c r="P1358" s="3" t="s">
        <v>96</v>
      </c>
      <c r="Q1358" s="3" t="s">
        <v>36</v>
      </c>
    </row>
    <row r="1359" spans="1:17" x14ac:dyDescent="0.25">
      <c r="A1359" s="5">
        <v>10281</v>
      </c>
      <c r="B1359" s="5">
        <v>44</v>
      </c>
      <c r="C1359" s="5">
        <v>59.87</v>
      </c>
      <c r="D1359" s="5">
        <v>2634.2799999999997</v>
      </c>
      <c r="E1359" s="5" t="str">
        <f t="shared" si="85"/>
        <v>Medium</v>
      </c>
      <c r="F1359" s="5">
        <f t="shared" si="86"/>
        <v>790.28399999999988</v>
      </c>
      <c r="G1359" s="6">
        <v>38218</v>
      </c>
      <c r="H1359" s="5" t="s">
        <v>25</v>
      </c>
      <c r="I1359" s="5" t="str">
        <f t="shared" si="84"/>
        <v>Yes</v>
      </c>
      <c r="J1359" s="5" t="s">
        <v>684</v>
      </c>
      <c r="K1359" s="5">
        <v>2004</v>
      </c>
      <c r="L1359" s="5" t="str">
        <f t="shared" si="87"/>
        <v>Aug-2004</v>
      </c>
      <c r="M1359" s="5" t="s">
        <v>550</v>
      </c>
      <c r="N1359" s="5" t="s">
        <v>139</v>
      </c>
      <c r="O1359" s="5" t="s">
        <v>32</v>
      </c>
      <c r="P1359" s="5" t="s">
        <v>33</v>
      </c>
      <c r="Q1359" s="5" t="s">
        <v>36</v>
      </c>
    </row>
    <row r="1360" spans="1:17" x14ac:dyDescent="0.25">
      <c r="A1360" s="3">
        <v>10291</v>
      </c>
      <c r="B1360" s="3">
        <v>29</v>
      </c>
      <c r="C1360" s="3">
        <v>51.82</v>
      </c>
      <c r="D1360" s="3">
        <v>1502.78</v>
      </c>
      <c r="E1360" s="3" t="str">
        <f t="shared" si="85"/>
        <v>Low</v>
      </c>
      <c r="F1360" s="3">
        <f t="shared" si="86"/>
        <v>450.834</v>
      </c>
      <c r="G1360" s="4">
        <v>38238</v>
      </c>
      <c r="H1360" s="3" t="s">
        <v>25</v>
      </c>
      <c r="I1360" s="3" t="str">
        <f t="shared" si="84"/>
        <v>Yes</v>
      </c>
      <c r="J1360" s="3" t="s">
        <v>690</v>
      </c>
      <c r="K1360" s="3">
        <v>2004</v>
      </c>
      <c r="L1360" s="3" t="str">
        <f t="shared" si="87"/>
        <v>Sep-2004</v>
      </c>
      <c r="M1360" s="3" t="s">
        <v>550</v>
      </c>
      <c r="N1360" s="3" t="s">
        <v>261</v>
      </c>
      <c r="O1360" s="3" t="s">
        <v>188</v>
      </c>
      <c r="P1360" s="3" t="s">
        <v>42</v>
      </c>
      <c r="Q1360" s="3" t="s">
        <v>36</v>
      </c>
    </row>
    <row r="1361" spans="1:17" x14ac:dyDescent="0.25">
      <c r="A1361" s="5">
        <v>10304</v>
      </c>
      <c r="B1361" s="5">
        <v>34</v>
      </c>
      <c r="C1361" s="5">
        <v>49.3</v>
      </c>
      <c r="D1361" s="5">
        <v>1676.1999999999998</v>
      </c>
      <c r="E1361" s="5" t="str">
        <f t="shared" si="85"/>
        <v>Low</v>
      </c>
      <c r="F1361" s="5">
        <f t="shared" si="86"/>
        <v>502.8599999999999</v>
      </c>
      <c r="G1361" s="6">
        <v>38271</v>
      </c>
      <c r="H1361" s="5" t="s">
        <v>25</v>
      </c>
      <c r="I1361" s="5" t="str">
        <f t="shared" si="84"/>
        <v>Yes</v>
      </c>
      <c r="J1361" s="5" t="s">
        <v>685</v>
      </c>
      <c r="K1361" s="5">
        <v>2004</v>
      </c>
      <c r="L1361" s="5" t="str">
        <f t="shared" si="87"/>
        <v>Oct-2004</v>
      </c>
      <c r="M1361" s="5" t="s">
        <v>550</v>
      </c>
      <c r="N1361" s="5" t="s">
        <v>267</v>
      </c>
      <c r="O1361" s="5" t="s">
        <v>41</v>
      </c>
      <c r="P1361" s="5" t="s">
        <v>42</v>
      </c>
      <c r="Q1361" s="5" t="s">
        <v>36</v>
      </c>
    </row>
    <row r="1362" spans="1:17" x14ac:dyDescent="0.25">
      <c r="A1362" s="3">
        <v>10312</v>
      </c>
      <c r="B1362" s="3">
        <v>39</v>
      </c>
      <c r="C1362" s="3">
        <v>56.85</v>
      </c>
      <c r="D1362" s="3">
        <v>2217.15</v>
      </c>
      <c r="E1362" s="3" t="str">
        <f t="shared" si="85"/>
        <v>Medium</v>
      </c>
      <c r="F1362" s="3">
        <f t="shared" si="86"/>
        <v>665.14499999999998</v>
      </c>
      <c r="G1362" s="4">
        <v>38281</v>
      </c>
      <c r="H1362" s="3" t="s">
        <v>25</v>
      </c>
      <c r="I1362" s="3" t="str">
        <f t="shared" si="84"/>
        <v>Yes</v>
      </c>
      <c r="J1362" s="3" t="s">
        <v>685</v>
      </c>
      <c r="K1362" s="3">
        <v>2004</v>
      </c>
      <c r="L1362" s="3" t="str">
        <f t="shared" si="87"/>
        <v>Oct-2004</v>
      </c>
      <c r="M1362" s="3" t="s">
        <v>550</v>
      </c>
      <c r="N1362" s="3" t="s">
        <v>272</v>
      </c>
      <c r="O1362" s="3" t="s">
        <v>32</v>
      </c>
      <c r="P1362" s="3" t="s">
        <v>33</v>
      </c>
      <c r="Q1362" s="3" t="s">
        <v>36</v>
      </c>
    </row>
    <row r="1363" spans="1:17" x14ac:dyDescent="0.25">
      <c r="A1363" s="5">
        <v>10324</v>
      </c>
      <c r="B1363" s="5">
        <v>38</v>
      </c>
      <c r="C1363" s="5">
        <v>100</v>
      </c>
      <c r="D1363" s="5">
        <v>3800</v>
      </c>
      <c r="E1363" s="5" t="str">
        <f t="shared" si="85"/>
        <v>Medium</v>
      </c>
      <c r="F1363" s="5">
        <f t="shared" si="86"/>
        <v>1140</v>
      </c>
      <c r="G1363" s="6">
        <v>38296</v>
      </c>
      <c r="H1363" s="5" t="s">
        <v>25</v>
      </c>
      <c r="I1363" s="5" t="str">
        <f t="shared" si="84"/>
        <v>Yes</v>
      </c>
      <c r="J1363" s="5" t="s">
        <v>686</v>
      </c>
      <c r="K1363" s="5">
        <v>2004</v>
      </c>
      <c r="L1363" s="5" t="str">
        <f t="shared" si="87"/>
        <v>Nov-2004</v>
      </c>
      <c r="M1363" s="5" t="s">
        <v>550</v>
      </c>
      <c r="N1363" s="5" t="s">
        <v>99</v>
      </c>
      <c r="O1363" s="5" t="s">
        <v>32</v>
      </c>
      <c r="P1363" s="5" t="s">
        <v>33</v>
      </c>
      <c r="Q1363" s="5" t="s">
        <v>51</v>
      </c>
    </row>
    <row r="1364" spans="1:17" x14ac:dyDescent="0.25">
      <c r="A1364" s="3">
        <v>10333</v>
      </c>
      <c r="B1364" s="3">
        <v>24</v>
      </c>
      <c r="C1364" s="3">
        <v>79.86</v>
      </c>
      <c r="D1364" s="3">
        <v>1916.6399999999999</v>
      </c>
      <c r="E1364" s="3" t="str">
        <f t="shared" si="85"/>
        <v>Low</v>
      </c>
      <c r="F1364" s="3">
        <f t="shared" si="86"/>
        <v>574.99199999999996</v>
      </c>
      <c r="G1364" s="4">
        <v>38309</v>
      </c>
      <c r="H1364" s="3" t="s">
        <v>25</v>
      </c>
      <c r="I1364" s="3" t="str">
        <f t="shared" si="84"/>
        <v>Yes</v>
      </c>
      <c r="J1364" s="3" t="s">
        <v>686</v>
      </c>
      <c r="K1364" s="3">
        <v>2004</v>
      </c>
      <c r="L1364" s="3" t="str">
        <f t="shared" si="87"/>
        <v>Nov-2004</v>
      </c>
      <c r="M1364" s="3" t="s">
        <v>550</v>
      </c>
      <c r="N1364" s="3" t="s">
        <v>81</v>
      </c>
      <c r="O1364" s="3" t="s">
        <v>32</v>
      </c>
      <c r="P1364" s="3" t="s">
        <v>33</v>
      </c>
      <c r="Q1364" s="3" t="s">
        <v>36</v>
      </c>
    </row>
    <row r="1365" spans="1:17" x14ac:dyDescent="0.25">
      <c r="A1365" s="5">
        <v>10348</v>
      </c>
      <c r="B1365" s="5">
        <v>29</v>
      </c>
      <c r="C1365" s="5">
        <v>100</v>
      </c>
      <c r="D1365" s="5">
        <v>2900</v>
      </c>
      <c r="E1365" s="5" t="str">
        <f t="shared" si="85"/>
        <v>Medium</v>
      </c>
      <c r="F1365" s="5">
        <f t="shared" si="86"/>
        <v>870</v>
      </c>
      <c r="G1365" s="6">
        <v>38292</v>
      </c>
      <c r="H1365" s="5" t="s">
        <v>25</v>
      </c>
      <c r="I1365" s="5" t="str">
        <f t="shared" si="84"/>
        <v>Yes</v>
      </c>
      <c r="J1365" s="5" t="s">
        <v>686</v>
      </c>
      <c r="K1365" s="5">
        <v>2004</v>
      </c>
      <c r="L1365" s="5" t="str">
        <f t="shared" si="87"/>
        <v>Nov-2004</v>
      </c>
      <c r="M1365" s="5" t="s">
        <v>550</v>
      </c>
      <c r="N1365" s="5" t="s">
        <v>191</v>
      </c>
      <c r="O1365" s="5" t="s">
        <v>178</v>
      </c>
      <c r="P1365" s="5" t="s">
        <v>42</v>
      </c>
      <c r="Q1365" s="5" t="s">
        <v>151</v>
      </c>
    </row>
    <row r="1366" spans="1:17" x14ac:dyDescent="0.25">
      <c r="A1366" s="3">
        <v>10358</v>
      </c>
      <c r="B1366" s="3">
        <v>30</v>
      </c>
      <c r="C1366" s="3">
        <v>100</v>
      </c>
      <c r="D1366" s="3">
        <v>3000</v>
      </c>
      <c r="E1366" s="3" t="str">
        <f t="shared" si="85"/>
        <v>Medium</v>
      </c>
      <c r="F1366" s="3">
        <f t="shared" si="86"/>
        <v>900</v>
      </c>
      <c r="G1366" s="4">
        <v>38331</v>
      </c>
      <c r="H1366" s="3" t="s">
        <v>25</v>
      </c>
      <c r="I1366" s="3" t="str">
        <f t="shared" si="84"/>
        <v>Yes</v>
      </c>
      <c r="J1366" s="3" t="s">
        <v>687</v>
      </c>
      <c r="K1366" s="3">
        <v>2004</v>
      </c>
      <c r="L1366" s="3" t="str">
        <f t="shared" si="87"/>
        <v>Dec-2004</v>
      </c>
      <c r="M1366" s="3" t="s">
        <v>550</v>
      </c>
      <c r="N1366" s="3" t="s">
        <v>174</v>
      </c>
      <c r="O1366" s="3" t="s">
        <v>178</v>
      </c>
      <c r="P1366" s="3" t="s">
        <v>42</v>
      </c>
      <c r="Q1366" s="3" t="s">
        <v>51</v>
      </c>
    </row>
    <row r="1367" spans="1:17" x14ac:dyDescent="0.25">
      <c r="A1367" s="5">
        <v>10370</v>
      </c>
      <c r="B1367" s="5">
        <v>20</v>
      </c>
      <c r="C1367" s="5">
        <v>100</v>
      </c>
      <c r="D1367" s="5">
        <v>2000</v>
      </c>
      <c r="E1367" s="5" t="str">
        <f t="shared" si="85"/>
        <v>Medium</v>
      </c>
      <c r="F1367" s="5">
        <f t="shared" si="86"/>
        <v>600</v>
      </c>
      <c r="G1367" s="6">
        <v>38372</v>
      </c>
      <c r="H1367" s="5" t="s">
        <v>25</v>
      </c>
      <c r="I1367" s="5" t="str">
        <f t="shared" si="84"/>
        <v>Yes</v>
      </c>
      <c r="J1367" s="5" t="s">
        <v>549</v>
      </c>
      <c r="K1367" s="5">
        <v>2005</v>
      </c>
      <c r="L1367" s="5" t="str">
        <f t="shared" si="87"/>
        <v>Jan-2005</v>
      </c>
      <c r="M1367" s="5" t="s">
        <v>550</v>
      </c>
      <c r="N1367" s="5" t="s">
        <v>285</v>
      </c>
      <c r="O1367" s="5" t="s">
        <v>95</v>
      </c>
      <c r="P1367" s="5" t="s">
        <v>96</v>
      </c>
      <c r="Q1367" s="5" t="s">
        <v>36</v>
      </c>
    </row>
    <row r="1368" spans="1:17" x14ac:dyDescent="0.25">
      <c r="A1368" s="3">
        <v>10382</v>
      </c>
      <c r="B1368" s="3">
        <v>39</v>
      </c>
      <c r="C1368" s="3">
        <v>100</v>
      </c>
      <c r="D1368" s="3">
        <v>3900</v>
      </c>
      <c r="E1368" s="3" t="str">
        <f t="shared" si="85"/>
        <v>Medium</v>
      </c>
      <c r="F1368" s="3">
        <f t="shared" si="86"/>
        <v>1170</v>
      </c>
      <c r="G1368" s="4">
        <v>38400</v>
      </c>
      <c r="H1368" s="3" t="s">
        <v>25</v>
      </c>
      <c r="I1368" s="3" t="str">
        <f t="shared" si="84"/>
        <v>Yes</v>
      </c>
      <c r="J1368" s="3" t="s">
        <v>681</v>
      </c>
      <c r="K1368" s="3">
        <v>2005</v>
      </c>
      <c r="L1368" s="3" t="str">
        <f t="shared" si="87"/>
        <v>Feb-2005</v>
      </c>
      <c r="M1368" s="3" t="s">
        <v>550</v>
      </c>
      <c r="N1368" s="3" t="s">
        <v>272</v>
      </c>
      <c r="O1368" s="3" t="s">
        <v>32</v>
      </c>
      <c r="P1368" s="3" t="s">
        <v>33</v>
      </c>
      <c r="Q1368" s="3" t="s">
        <v>151</v>
      </c>
    </row>
    <row r="1369" spans="1:17" x14ac:dyDescent="0.25">
      <c r="A1369" s="5">
        <v>10411</v>
      </c>
      <c r="B1369" s="5">
        <v>35</v>
      </c>
      <c r="C1369" s="5">
        <v>59.87</v>
      </c>
      <c r="D1369" s="5">
        <v>2095.4499999999998</v>
      </c>
      <c r="E1369" s="5" t="str">
        <f t="shared" si="85"/>
        <v>Medium</v>
      </c>
      <c r="F1369" s="5">
        <f t="shared" si="86"/>
        <v>628.63499999999988</v>
      </c>
      <c r="G1369" s="6">
        <v>38473</v>
      </c>
      <c r="H1369" s="5" t="s">
        <v>25</v>
      </c>
      <c r="I1369" s="5" t="str">
        <f t="shared" si="84"/>
        <v>Yes</v>
      </c>
      <c r="J1369" s="5" t="s">
        <v>682</v>
      </c>
      <c r="K1369" s="5">
        <v>2005</v>
      </c>
      <c r="L1369" s="5" t="str">
        <f t="shared" si="87"/>
        <v>May-2005</v>
      </c>
      <c r="M1369" s="5" t="s">
        <v>550</v>
      </c>
      <c r="N1369" s="5" t="s">
        <v>292</v>
      </c>
      <c r="O1369" s="5" t="s">
        <v>231</v>
      </c>
      <c r="P1369" s="5" t="s">
        <v>33</v>
      </c>
      <c r="Q1369" s="5" t="s">
        <v>36</v>
      </c>
    </row>
    <row r="1370" spans="1:17" x14ac:dyDescent="0.25">
      <c r="A1370" s="3">
        <v>10424</v>
      </c>
      <c r="B1370" s="3">
        <v>26</v>
      </c>
      <c r="C1370" s="3">
        <v>59.87</v>
      </c>
      <c r="D1370" s="3">
        <v>1556.62</v>
      </c>
      <c r="E1370" s="3" t="str">
        <f t="shared" si="85"/>
        <v>Low</v>
      </c>
      <c r="F1370" s="3">
        <f t="shared" si="86"/>
        <v>466.98599999999993</v>
      </c>
      <c r="G1370" s="4">
        <v>38503</v>
      </c>
      <c r="H1370" s="3" t="s">
        <v>300</v>
      </c>
      <c r="I1370" s="3" t="str">
        <f t="shared" si="84"/>
        <v>No</v>
      </c>
      <c r="J1370" s="3" t="s">
        <v>682</v>
      </c>
      <c r="K1370" s="3">
        <v>2005</v>
      </c>
      <c r="L1370" s="3" t="str">
        <f t="shared" si="87"/>
        <v>May-2005</v>
      </c>
      <c r="M1370" s="3" t="s">
        <v>550</v>
      </c>
      <c r="N1370" s="3" t="s">
        <v>174</v>
      </c>
      <c r="O1370" s="3" t="s">
        <v>178</v>
      </c>
      <c r="P1370" s="3" t="s">
        <v>42</v>
      </c>
      <c r="Q1370" s="3" t="s">
        <v>36</v>
      </c>
    </row>
    <row r="1371" spans="1:17" x14ac:dyDescent="0.25">
      <c r="A1371" s="5">
        <v>10108</v>
      </c>
      <c r="B1371" s="5">
        <v>44</v>
      </c>
      <c r="C1371" s="5">
        <v>100</v>
      </c>
      <c r="D1371" s="5">
        <v>4400</v>
      </c>
      <c r="E1371" s="5" t="str">
        <f t="shared" si="85"/>
        <v>Medium</v>
      </c>
      <c r="F1371" s="5">
        <f t="shared" si="86"/>
        <v>1320</v>
      </c>
      <c r="G1371" s="6">
        <v>37683</v>
      </c>
      <c r="H1371" s="5" t="s">
        <v>25</v>
      </c>
      <c r="I1371" s="5" t="str">
        <f t="shared" si="84"/>
        <v>Yes</v>
      </c>
      <c r="J1371" s="5" t="s">
        <v>691</v>
      </c>
      <c r="K1371" s="5">
        <v>2003</v>
      </c>
      <c r="L1371" s="5" t="str">
        <f t="shared" si="87"/>
        <v>Mar-2003</v>
      </c>
      <c r="M1371" s="5" t="s">
        <v>181</v>
      </c>
      <c r="N1371" s="5" t="s">
        <v>425</v>
      </c>
      <c r="O1371" s="5" t="s">
        <v>430</v>
      </c>
      <c r="P1371" s="5" t="s">
        <v>675</v>
      </c>
      <c r="Q1371" s="5" t="s">
        <v>51</v>
      </c>
    </row>
    <row r="1372" spans="1:17" x14ac:dyDescent="0.25">
      <c r="A1372" s="3">
        <v>10122</v>
      </c>
      <c r="B1372" s="3">
        <v>28</v>
      </c>
      <c r="C1372" s="3">
        <v>100</v>
      </c>
      <c r="D1372" s="3">
        <v>2800</v>
      </c>
      <c r="E1372" s="3" t="str">
        <f t="shared" si="85"/>
        <v>Medium</v>
      </c>
      <c r="F1372" s="3">
        <f t="shared" si="86"/>
        <v>840</v>
      </c>
      <c r="G1372" s="4">
        <v>37749</v>
      </c>
      <c r="H1372" s="3" t="s">
        <v>25</v>
      </c>
      <c r="I1372" s="3" t="str">
        <f t="shared" si="84"/>
        <v>Yes</v>
      </c>
      <c r="J1372" s="3" t="s">
        <v>682</v>
      </c>
      <c r="K1372" s="3">
        <v>2003</v>
      </c>
      <c r="L1372" s="3" t="str">
        <f t="shared" si="87"/>
        <v>May-2003</v>
      </c>
      <c r="M1372" s="3" t="s">
        <v>181</v>
      </c>
      <c r="N1372" s="3" t="s">
        <v>433</v>
      </c>
      <c r="O1372" s="3" t="s">
        <v>41</v>
      </c>
      <c r="P1372" s="3" t="s">
        <v>42</v>
      </c>
      <c r="Q1372" s="3" t="s">
        <v>51</v>
      </c>
    </row>
    <row r="1373" spans="1:17" x14ac:dyDescent="0.25">
      <c r="A1373" s="5">
        <v>10135</v>
      </c>
      <c r="B1373" s="5">
        <v>31</v>
      </c>
      <c r="C1373" s="5">
        <v>100</v>
      </c>
      <c r="D1373" s="5">
        <v>3100</v>
      </c>
      <c r="E1373" s="5" t="str">
        <f t="shared" si="85"/>
        <v>Medium</v>
      </c>
      <c r="F1373" s="5">
        <f t="shared" si="86"/>
        <v>930</v>
      </c>
      <c r="G1373" s="6">
        <v>37804</v>
      </c>
      <c r="H1373" s="5" t="s">
        <v>25</v>
      </c>
      <c r="I1373" s="5" t="str">
        <f t="shared" si="84"/>
        <v>Yes</v>
      </c>
      <c r="J1373" s="5" t="s">
        <v>683</v>
      </c>
      <c r="K1373" s="5">
        <v>2003</v>
      </c>
      <c r="L1373" s="5" t="str">
        <f t="shared" si="87"/>
        <v>Jul-2003</v>
      </c>
      <c r="M1373" s="5" t="s">
        <v>181</v>
      </c>
      <c r="N1373" s="5" t="s">
        <v>272</v>
      </c>
      <c r="O1373" s="5" t="s">
        <v>32</v>
      </c>
      <c r="P1373" s="5" t="s">
        <v>33</v>
      </c>
      <c r="Q1373" s="5" t="s">
        <v>51</v>
      </c>
    </row>
    <row r="1374" spans="1:17" x14ac:dyDescent="0.25">
      <c r="A1374" s="3">
        <v>10146</v>
      </c>
      <c r="B1374" s="3">
        <v>29</v>
      </c>
      <c r="C1374" s="3">
        <v>100</v>
      </c>
      <c r="D1374" s="3">
        <v>2900</v>
      </c>
      <c r="E1374" s="3" t="str">
        <f t="shared" si="85"/>
        <v>Medium</v>
      </c>
      <c r="F1374" s="3">
        <f t="shared" si="86"/>
        <v>870</v>
      </c>
      <c r="G1374" s="4">
        <v>37867</v>
      </c>
      <c r="H1374" s="3" t="s">
        <v>25</v>
      </c>
      <c r="I1374" s="3" t="str">
        <f t="shared" si="84"/>
        <v>Yes</v>
      </c>
      <c r="J1374" s="3" t="s">
        <v>690</v>
      </c>
      <c r="K1374" s="3">
        <v>2003</v>
      </c>
      <c r="L1374" s="3" t="str">
        <f t="shared" si="87"/>
        <v>Sep-2003</v>
      </c>
      <c r="M1374" s="3" t="s">
        <v>181</v>
      </c>
      <c r="N1374" s="3" t="s">
        <v>568</v>
      </c>
      <c r="O1374" s="3" t="s">
        <v>32</v>
      </c>
      <c r="P1374" s="3" t="s">
        <v>33</v>
      </c>
      <c r="Q1374" s="3" t="s">
        <v>51</v>
      </c>
    </row>
    <row r="1375" spans="1:17" x14ac:dyDescent="0.25">
      <c r="A1375" s="5">
        <v>10159</v>
      </c>
      <c r="B1375" s="5">
        <v>32</v>
      </c>
      <c r="C1375" s="5">
        <v>100</v>
      </c>
      <c r="D1375" s="5">
        <v>3200</v>
      </c>
      <c r="E1375" s="5" t="str">
        <f t="shared" si="85"/>
        <v>Medium</v>
      </c>
      <c r="F1375" s="5">
        <f t="shared" si="86"/>
        <v>960</v>
      </c>
      <c r="G1375" s="6">
        <v>37904</v>
      </c>
      <c r="H1375" s="5" t="s">
        <v>25</v>
      </c>
      <c r="I1375" s="5" t="str">
        <f t="shared" si="84"/>
        <v>Yes</v>
      </c>
      <c r="J1375" s="5" t="s">
        <v>685</v>
      </c>
      <c r="K1375" s="5">
        <v>2003</v>
      </c>
      <c r="L1375" s="5" t="str">
        <f t="shared" si="87"/>
        <v>Oct-2003</v>
      </c>
      <c r="M1375" s="5" t="s">
        <v>181</v>
      </c>
      <c r="N1375" s="5" t="s">
        <v>58</v>
      </c>
      <c r="O1375" s="5" t="s">
        <v>32</v>
      </c>
      <c r="P1375" s="5" t="s">
        <v>33</v>
      </c>
      <c r="Q1375" s="5" t="s">
        <v>51</v>
      </c>
    </row>
    <row r="1376" spans="1:17" x14ac:dyDescent="0.25">
      <c r="A1376" s="3">
        <v>10169</v>
      </c>
      <c r="B1376" s="3">
        <v>33</v>
      </c>
      <c r="C1376" s="3">
        <v>100</v>
      </c>
      <c r="D1376" s="3">
        <v>3300</v>
      </c>
      <c r="E1376" s="3" t="str">
        <f t="shared" si="85"/>
        <v>Medium</v>
      </c>
      <c r="F1376" s="3">
        <f t="shared" si="86"/>
        <v>990</v>
      </c>
      <c r="G1376" s="4">
        <v>37929</v>
      </c>
      <c r="H1376" s="3" t="s">
        <v>25</v>
      </c>
      <c r="I1376" s="3" t="str">
        <f t="shared" si="84"/>
        <v>Yes</v>
      </c>
      <c r="J1376" s="3" t="s">
        <v>686</v>
      </c>
      <c r="K1376" s="3">
        <v>2003</v>
      </c>
      <c r="L1376" s="3" t="str">
        <f t="shared" si="87"/>
        <v>Nov-2003</v>
      </c>
      <c r="M1376" s="3" t="s">
        <v>181</v>
      </c>
      <c r="N1376" s="3" t="s">
        <v>285</v>
      </c>
      <c r="O1376" s="3" t="s">
        <v>95</v>
      </c>
      <c r="P1376" s="3" t="s">
        <v>96</v>
      </c>
      <c r="Q1376" s="3" t="s">
        <v>51</v>
      </c>
    </row>
    <row r="1377" spans="1:17" x14ac:dyDescent="0.25">
      <c r="A1377" s="5">
        <v>10180</v>
      </c>
      <c r="B1377" s="5">
        <v>44</v>
      </c>
      <c r="C1377" s="5">
        <v>100</v>
      </c>
      <c r="D1377" s="5">
        <v>4400</v>
      </c>
      <c r="E1377" s="5" t="str">
        <f t="shared" si="85"/>
        <v>Medium</v>
      </c>
      <c r="F1377" s="5">
        <f t="shared" si="86"/>
        <v>1320</v>
      </c>
      <c r="G1377" s="6">
        <v>37936</v>
      </c>
      <c r="H1377" s="5" t="s">
        <v>25</v>
      </c>
      <c r="I1377" s="5" t="str">
        <f t="shared" si="84"/>
        <v>Yes</v>
      </c>
      <c r="J1377" s="5" t="s">
        <v>686</v>
      </c>
      <c r="K1377" s="5">
        <v>2003</v>
      </c>
      <c r="L1377" s="5" t="str">
        <f t="shared" si="87"/>
        <v>Nov-2003</v>
      </c>
      <c r="M1377" s="5" t="s">
        <v>181</v>
      </c>
      <c r="N1377" s="5" t="s">
        <v>67</v>
      </c>
      <c r="O1377" s="5" t="s">
        <v>41</v>
      </c>
      <c r="P1377" s="5" t="s">
        <v>42</v>
      </c>
      <c r="Q1377" s="5" t="s">
        <v>51</v>
      </c>
    </row>
    <row r="1378" spans="1:17" x14ac:dyDescent="0.25">
      <c r="A1378" s="3">
        <v>10191</v>
      </c>
      <c r="B1378" s="3">
        <v>32</v>
      </c>
      <c r="C1378" s="3">
        <v>100</v>
      </c>
      <c r="D1378" s="3">
        <v>3200</v>
      </c>
      <c r="E1378" s="3" t="str">
        <f t="shared" si="85"/>
        <v>Medium</v>
      </c>
      <c r="F1378" s="3">
        <f t="shared" si="86"/>
        <v>960</v>
      </c>
      <c r="G1378" s="4">
        <v>37945</v>
      </c>
      <c r="H1378" s="3" t="s">
        <v>25</v>
      </c>
      <c r="I1378" s="3" t="str">
        <f t="shared" si="84"/>
        <v>Yes</v>
      </c>
      <c r="J1378" s="3" t="s">
        <v>686</v>
      </c>
      <c r="K1378" s="3">
        <v>2003</v>
      </c>
      <c r="L1378" s="3" t="str">
        <f t="shared" si="87"/>
        <v>Nov-2003</v>
      </c>
      <c r="M1378" s="3" t="s">
        <v>181</v>
      </c>
      <c r="N1378" s="3" t="s">
        <v>439</v>
      </c>
      <c r="O1378" s="3" t="s">
        <v>443</v>
      </c>
      <c r="P1378" s="3" t="s">
        <v>42</v>
      </c>
      <c r="Q1378" s="3" t="s">
        <v>51</v>
      </c>
    </row>
    <row r="1379" spans="1:17" x14ac:dyDescent="0.25">
      <c r="A1379" s="5">
        <v>10211</v>
      </c>
      <c r="B1379" s="5">
        <v>41</v>
      </c>
      <c r="C1379" s="5">
        <v>100</v>
      </c>
      <c r="D1379" s="5">
        <v>4100</v>
      </c>
      <c r="E1379" s="5" t="str">
        <f t="shared" si="85"/>
        <v>Medium</v>
      </c>
      <c r="F1379" s="5">
        <f t="shared" si="86"/>
        <v>1230</v>
      </c>
      <c r="G1379" s="6">
        <v>38001</v>
      </c>
      <c r="H1379" s="5" t="s">
        <v>25</v>
      </c>
      <c r="I1379" s="5" t="str">
        <f t="shared" si="84"/>
        <v>Yes</v>
      </c>
      <c r="J1379" s="5" t="s">
        <v>549</v>
      </c>
      <c r="K1379" s="5">
        <v>2004</v>
      </c>
      <c r="L1379" s="5" t="str">
        <f t="shared" si="87"/>
        <v>Jan-2004</v>
      </c>
      <c r="M1379" s="5" t="s">
        <v>181</v>
      </c>
      <c r="N1379" s="5" t="s">
        <v>84</v>
      </c>
      <c r="O1379" s="5" t="s">
        <v>41</v>
      </c>
      <c r="P1379" s="5" t="s">
        <v>42</v>
      </c>
      <c r="Q1379" s="5" t="s">
        <v>51</v>
      </c>
    </row>
    <row r="1380" spans="1:17" x14ac:dyDescent="0.25">
      <c r="A1380" s="3">
        <v>10225</v>
      </c>
      <c r="B1380" s="3">
        <v>35</v>
      </c>
      <c r="C1380" s="3">
        <v>100</v>
      </c>
      <c r="D1380" s="3">
        <v>3500</v>
      </c>
      <c r="E1380" s="3" t="str">
        <f t="shared" si="85"/>
        <v>Medium</v>
      </c>
      <c r="F1380" s="3">
        <f t="shared" si="86"/>
        <v>1050</v>
      </c>
      <c r="G1380" s="4">
        <v>38039</v>
      </c>
      <c r="H1380" s="3" t="s">
        <v>25</v>
      </c>
      <c r="I1380" s="3" t="str">
        <f t="shared" si="84"/>
        <v>Yes</v>
      </c>
      <c r="J1380" s="3" t="s">
        <v>681</v>
      </c>
      <c r="K1380" s="3">
        <v>2004</v>
      </c>
      <c r="L1380" s="3" t="str">
        <f t="shared" si="87"/>
        <v>Feb-2004</v>
      </c>
      <c r="M1380" s="3" t="s">
        <v>181</v>
      </c>
      <c r="N1380" s="3" t="s">
        <v>446</v>
      </c>
      <c r="O1380" s="3" t="s">
        <v>450</v>
      </c>
      <c r="P1380" s="3" t="s">
        <v>42</v>
      </c>
      <c r="Q1380" s="3" t="s">
        <v>51</v>
      </c>
    </row>
    <row r="1381" spans="1:17" x14ac:dyDescent="0.25">
      <c r="A1381" s="5">
        <v>10238</v>
      </c>
      <c r="B1381" s="5">
        <v>44</v>
      </c>
      <c r="C1381" s="5">
        <v>100</v>
      </c>
      <c r="D1381" s="5">
        <v>4400</v>
      </c>
      <c r="E1381" s="5" t="str">
        <f t="shared" si="85"/>
        <v>Medium</v>
      </c>
      <c r="F1381" s="5">
        <f t="shared" si="86"/>
        <v>1320</v>
      </c>
      <c r="G1381" s="6">
        <v>38086</v>
      </c>
      <c r="H1381" s="5" t="s">
        <v>25</v>
      </c>
      <c r="I1381" s="5" t="str">
        <f t="shared" si="84"/>
        <v>Yes</v>
      </c>
      <c r="J1381" s="5" t="s">
        <v>688</v>
      </c>
      <c r="K1381" s="5">
        <v>2004</v>
      </c>
      <c r="L1381" s="5" t="str">
        <f t="shared" si="87"/>
        <v>Apr-2004</v>
      </c>
      <c r="M1381" s="5" t="s">
        <v>181</v>
      </c>
      <c r="N1381" s="5" t="s">
        <v>322</v>
      </c>
      <c r="O1381" s="5" t="s">
        <v>326</v>
      </c>
      <c r="P1381" s="5" t="s">
        <v>42</v>
      </c>
      <c r="Q1381" s="5" t="s">
        <v>51</v>
      </c>
    </row>
    <row r="1382" spans="1:17" x14ac:dyDescent="0.25">
      <c r="A1382" s="3">
        <v>10252</v>
      </c>
      <c r="B1382" s="3">
        <v>26</v>
      </c>
      <c r="C1382" s="3">
        <v>100</v>
      </c>
      <c r="D1382" s="3">
        <v>2600</v>
      </c>
      <c r="E1382" s="3" t="str">
        <f t="shared" si="85"/>
        <v>Medium</v>
      </c>
      <c r="F1382" s="3">
        <f t="shared" si="86"/>
        <v>780</v>
      </c>
      <c r="G1382" s="4">
        <v>38133</v>
      </c>
      <c r="H1382" s="3" t="s">
        <v>25</v>
      </c>
      <c r="I1382" s="3" t="str">
        <f t="shared" si="84"/>
        <v>Yes</v>
      </c>
      <c r="J1382" s="3" t="s">
        <v>682</v>
      </c>
      <c r="K1382" s="3">
        <v>2004</v>
      </c>
      <c r="L1382" s="3" t="str">
        <f t="shared" si="87"/>
        <v>May-2004</v>
      </c>
      <c r="M1382" s="3" t="s">
        <v>181</v>
      </c>
      <c r="N1382" s="3" t="s">
        <v>84</v>
      </c>
      <c r="O1382" s="3" t="s">
        <v>41</v>
      </c>
      <c r="P1382" s="3" t="s">
        <v>42</v>
      </c>
      <c r="Q1382" s="3" t="s">
        <v>51</v>
      </c>
    </row>
    <row r="1383" spans="1:17" x14ac:dyDescent="0.25">
      <c r="A1383" s="5">
        <v>10264</v>
      </c>
      <c r="B1383" s="5">
        <v>20</v>
      </c>
      <c r="C1383" s="5">
        <v>100</v>
      </c>
      <c r="D1383" s="5">
        <v>2000</v>
      </c>
      <c r="E1383" s="5" t="str">
        <f t="shared" si="85"/>
        <v>Medium</v>
      </c>
      <c r="F1383" s="5">
        <f t="shared" si="86"/>
        <v>600</v>
      </c>
      <c r="G1383" s="6">
        <v>38168</v>
      </c>
      <c r="H1383" s="5" t="s">
        <v>25</v>
      </c>
      <c r="I1383" s="5" t="str">
        <f t="shared" si="84"/>
        <v>Yes</v>
      </c>
      <c r="J1383" s="5" t="s">
        <v>689</v>
      </c>
      <c r="K1383" s="5">
        <v>2004</v>
      </c>
      <c r="L1383" s="5" t="str">
        <f t="shared" si="87"/>
        <v>Jun-2004</v>
      </c>
      <c r="M1383" s="5" t="s">
        <v>181</v>
      </c>
      <c r="N1383" s="5" t="s">
        <v>379</v>
      </c>
      <c r="O1383" s="5" t="s">
        <v>32</v>
      </c>
      <c r="P1383" s="5" t="s">
        <v>33</v>
      </c>
      <c r="Q1383" s="5" t="s">
        <v>36</v>
      </c>
    </row>
    <row r="1384" spans="1:17" x14ac:dyDescent="0.25">
      <c r="A1384" s="3">
        <v>10276</v>
      </c>
      <c r="B1384" s="3">
        <v>48</v>
      </c>
      <c r="C1384" s="3">
        <v>100</v>
      </c>
      <c r="D1384" s="3">
        <v>4800</v>
      </c>
      <c r="E1384" s="3" t="str">
        <f t="shared" si="85"/>
        <v>Medium</v>
      </c>
      <c r="F1384" s="3">
        <f t="shared" si="86"/>
        <v>1440</v>
      </c>
      <c r="G1384" s="4">
        <v>38201</v>
      </c>
      <c r="H1384" s="3" t="s">
        <v>25</v>
      </c>
      <c r="I1384" s="3" t="str">
        <f t="shared" si="84"/>
        <v>Yes</v>
      </c>
      <c r="J1384" s="3" t="s">
        <v>684</v>
      </c>
      <c r="K1384" s="3">
        <v>2004</v>
      </c>
      <c r="L1384" s="3" t="str">
        <f t="shared" si="87"/>
        <v>Aug-2004</v>
      </c>
      <c r="M1384" s="3" t="s">
        <v>181</v>
      </c>
      <c r="N1384" s="3" t="s">
        <v>458</v>
      </c>
      <c r="O1384" s="3" t="s">
        <v>32</v>
      </c>
      <c r="P1384" s="3" t="s">
        <v>33</v>
      </c>
      <c r="Q1384" s="3" t="s">
        <v>51</v>
      </c>
    </row>
    <row r="1385" spans="1:17" x14ac:dyDescent="0.25">
      <c r="A1385" s="5">
        <v>10287</v>
      </c>
      <c r="B1385" s="5">
        <v>34</v>
      </c>
      <c r="C1385" s="5">
        <v>100</v>
      </c>
      <c r="D1385" s="5">
        <v>3400</v>
      </c>
      <c r="E1385" s="5" t="str">
        <f t="shared" si="85"/>
        <v>Medium</v>
      </c>
      <c r="F1385" s="5">
        <f t="shared" si="86"/>
        <v>1020</v>
      </c>
      <c r="G1385" s="6">
        <v>38229</v>
      </c>
      <c r="H1385" s="5" t="s">
        <v>25</v>
      </c>
      <c r="I1385" s="5" t="str">
        <f t="shared" si="84"/>
        <v>Yes</v>
      </c>
      <c r="J1385" s="5" t="s">
        <v>684</v>
      </c>
      <c r="K1385" s="5">
        <v>2004</v>
      </c>
      <c r="L1385" s="5" t="str">
        <f t="shared" si="87"/>
        <v>Aug-2004</v>
      </c>
      <c r="M1385" s="5" t="s">
        <v>181</v>
      </c>
      <c r="N1385" s="5" t="s">
        <v>446</v>
      </c>
      <c r="O1385" s="5" t="s">
        <v>450</v>
      </c>
      <c r="P1385" s="5" t="s">
        <v>42</v>
      </c>
      <c r="Q1385" s="5" t="s">
        <v>51</v>
      </c>
    </row>
    <row r="1386" spans="1:17" x14ac:dyDescent="0.25">
      <c r="A1386" s="3">
        <v>10299</v>
      </c>
      <c r="B1386" s="3">
        <v>49</v>
      </c>
      <c r="C1386" s="3">
        <v>100</v>
      </c>
      <c r="D1386" s="3">
        <v>4900</v>
      </c>
      <c r="E1386" s="3" t="str">
        <f t="shared" si="85"/>
        <v>Medium</v>
      </c>
      <c r="F1386" s="3">
        <f t="shared" si="86"/>
        <v>1470</v>
      </c>
      <c r="G1386" s="4">
        <v>38260</v>
      </c>
      <c r="H1386" s="3" t="s">
        <v>25</v>
      </c>
      <c r="I1386" s="3" t="str">
        <f t="shared" si="84"/>
        <v>Yes</v>
      </c>
      <c r="J1386" s="3" t="s">
        <v>690</v>
      </c>
      <c r="K1386" s="3">
        <v>2004</v>
      </c>
      <c r="L1386" s="3" t="str">
        <f t="shared" si="87"/>
        <v>Sep-2004</v>
      </c>
      <c r="M1386" s="3" t="s">
        <v>181</v>
      </c>
      <c r="N1386" s="3" t="s">
        <v>126</v>
      </c>
      <c r="O1386" s="3" t="s">
        <v>130</v>
      </c>
      <c r="P1386" s="3" t="s">
        <v>42</v>
      </c>
      <c r="Q1386" s="3" t="s">
        <v>151</v>
      </c>
    </row>
    <row r="1387" spans="1:17" x14ac:dyDescent="0.25">
      <c r="A1387" s="5">
        <v>10310</v>
      </c>
      <c r="B1387" s="5">
        <v>40</v>
      </c>
      <c r="C1387" s="5">
        <v>100</v>
      </c>
      <c r="D1387" s="5">
        <v>4000</v>
      </c>
      <c r="E1387" s="5" t="str">
        <f t="shared" si="85"/>
        <v>Medium</v>
      </c>
      <c r="F1387" s="5">
        <f t="shared" si="86"/>
        <v>1200</v>
      </c>
      <c r="G1387" s="6">
        <v>38276</v>
      </c>
      <c r="H1387" s="5" t="s">
        <v>25</v>
      </c>
      <c r="I1387" s="5" t="str">
        <f t="shared" si="84"/>
        <v>Yes</v>
      </c>
      <c r="J1387" s="5" t="s">
        <v>685</v>
      </c>
      <c r="K1387" s="5">
        <v>2004</v>
      </c>
      <c r="L1387" s="5" t="str">
        <f t="shared" si="87"/>
        <v>Oct-2004</v>
      </c>
      <c r="M1387" s="5" t="s">
        <v>181</v>
      </c>
      <c r="N1387" s="5" t="s">
        <v>439</v>
      </c>
      <c r="O1387" s="5" t="s">
        <v>443</v>
      </c>
      <c r="P1387" s="5" t="s">
        <v>42</v>
      </c>
      <c r="Q1387" s="5" t="s">
        <v>51</v>
      </c>
    </row>
    <row r="1388" spans="1:17" x14ac:dyDescent="0.25">
      <c r="A1388" s="3">
        <v>10319</v>
      </c>
      <c r="B1388" s="3">
        <v>45</v>
      </c>
      <c r="C1388" s="3">
        <v>100</v>
      </c>
      <c r="D1388" s="3">
        <v>4500</v>
      </c>
      <c r="E1388" s="3" t="str">
        <f t="shared" si="85"/>
        <v>Medium</v>
      </c>
      <c r="F1388" s="3">
        <f t="shared" si="86"/>
        <v>1350</v>
      </c>
      <c r="G1388" s="4">
        <v>38294</v>
      </c>
      <c r="H1388" s="3" t="s">
        <v>25</v>
      </c>
      <c r="I1388" s="3" t="str">
        <f t="shared" si="84"/>
        <v>Yes</v>
      </c>
      <c r="J1388" s="3" t="s">
        <v>686</v>
      </c>
      <c r="K1388" s="3">
        <v>2004</v>
      </c>
      <c r="L1388" s="3" t="str">
        <f t="shared" si="87"/>
        <v>Nov-2004</v>
      </c>
      <c r="M1388" s="3" t="s">
        <v>181</v>
      </c>
      <c r="N1388" s="3" t="s">
        <v>507</v>
      </c>
      <c r="O1388" s="3" t="s">
        <v>32</v>
      </c>
      <c r="P1388" s="3" t="s">
        <v>33</v>
      </c>
      <c r="Q1388" s="3" t="s">
        <v>151</v>
      </c>
    </row>
    <row r="1389" spans="1:17" x14ac:dyDescent="0.25">
      <c r="A1389" s="5">
        <v>10330</v>
      </c>
      <c r="B1389" s="5">
        <v>50</v>
      </c>
      <c r="C1389" s="5">
        <v>100</v>
      </c>
      <c r="D1389" s="5">
        <v>5000</v>
      </c>
      <c r="E1389" s="5" t="str">
        <f t="shared" si="85"/>
        <v>High</v>
      </c>
      <c r="F1389" s="5">
        <f t="shared" si="86"/>
        <v>1500</v>
      </c>
      <c r="G1389" s="6">
        <v>38307</v>
      </c>
      <c r="H1389" s="5" t="s">
        <v>25</v>
      </c>
      <c r="I1389" s="5" t="str">
        <f t="shared" si="84"/>
        <v>Yes</v>
      </c>
      <c r="J1389" s="5" t="s">
        <v>686</v>
      </c>
      <c r="K1389" s="5">
        <v>2004</v>
      </c>
      <c r="L1389" s="5" t="str">
        <f t="shared" si="87"/>
        <v>Nov-2004</v>
      </c>
      <c r="M1389" s="5" t="s">
        <v>181</v>
      </c>
      <c r="N1389" s="5" t="s">
        <v>425</v>
      </c>
      <c r="O1389" s="5" t="s">
        <v>430</v>
      </c>
      <c r="P1389" s="5" t="s">
        <v>675</v>
      </c>
      <c r="Q1389" s="5" t="s">
        <v>51</v>
      </c>
    </row>
    <row r="1390" spans="1:17" x14ac:dyDescent="0.25">
      <c r="A1390" s="3">
        <v>10342</v>
      </c>
      <c r="B1390" s="3">
        <v>38</v>
      </c>
      <c r="C1390" s="3">
        <v>100</v>
      </c>
      <c r="D1390" s="3">
        <v>3800</v>
      </c>
      <c r="E1390" s="3" t="str">
        <f t="shared" si="85"/>
        <v>Medium</v>
      </c>
      <c r="F1390" s="3">
        <f t="shared" si="86"/>
        <v>1140</v>
      </c>
      <c r="G1390" s="4">
        <v>38315</v>
      </c>
      <c r="H1390" s="3" t="s">
        <v>25</v>
      </c>
      <c r="I1390" s="3" t="str">
        <f t="shared" si="84"/>
        <v>Yes</v>
      </c>
      <c r="J1390" s="3" t="s">
        <v>686</v>
      </c>
      <c r="K1390" s="3">
        <v>2004</v>
      </c>
      <c r="L1390" s="3" t="str">
        <f t="shared" si="87"/>
        <v>Nov-2004</v>
      </c>
      <c r="M1390" s="3" t="s">
        <v>181</v>
      </c>
      <c r="N1390" s="3" t="s">
        <v>89</v>
      </c>
      <c r="O1390" s="3" t="s">
        <v>95</v>
      </c>
      <c r="P1390" s="3" t="s">
        <v>96</v>
      </c>
      <c r="Q1390" s="3" t="s">
        <v>51</v>
      </c>
    </row>
    <row r="1391" spans="1:17" x14ac:dyDescent="0.25">
      <c r="A1391" s="5">
        <v>10355</v>
      </c>
      <c r="B1391" s="5">
        <v>25</v>
      </c>
      <c r="C1391" s="5">
        <v>100</v>
      </c>
      <c r="D1391" s="5">
        <v>2500</v>
      </c>
      <c r="E1391" s="5" t="str">
        <f t="shared" si="85"/>
        <v>Medium</v>
      </c>
      <c r="F1391" s="5">
        <f t="shared" si="86"/>
        <v>750</v>
      </c>
      <c r="G1391" s="6">
        <v>38328</v>
      </c>
      <c r="H1391" s="5" t="s">
        <v>25</v>
      </c>
      <c r="I1391" s="5" t="str">
        <f t="shared" si="84"/>
        <v>Yes</v>
      </c>
      <c r="J1391" s="5" t="s">
        <v>687</v>
      </c>
      <c r="K1391" s="5">
        <v>2004</v>
      </c>
      <c r="L1391" s="5" t="str">
        <f t="shared" si="87"/>
        <v>Dec-2004</v>
      </c>
      <c r="M1391" s="5" t="s">
        <v>181</v>
      </c>
      <c r="N1391" s="5" t="s">
        <v>174</v>
      </c>
      <c r="O1391" s="5" t="s">
        <v>178</v>
      </c>
      <c r="P1391" s="5" t="s">
        <v>42</v>
      </c>
      <c r="Q1391" s="5" t="s">
        <v>51</v>
      </c>
    </row>
    <row r="1392" spans="1:17" x14ac:dyDescent="0.25">
      <c r="A1392" s="3">
        <v>10363</v>
      </c>
      <c r="B1392" s="3">
        <v>28</v>
      </c>
      <c r="C1392" s="3">
        <v>58.18</v>
      </c>
      <c r="D1392" s="3">
        <v>1629.04</v>
      </c>
      <c r="E1392" s="3" t="str">
        <f t="shared" si="85"/>
        <v>Low</v>
      </c>
      <c r="F1392" s="3">
        <f t="shared" si="86"/>
        <v>488.71199999999999</v>
      </c>
      <c r="G1392" s="4">
        <v>38358</v>
      </c>
      <c r="H1392" s="3" t="s">
        <v>25</v>
      </c>
      <c r="I1392" s="3" t="str">
        <f t="shared" si="84"/>
        <v>Yes</v>
      </c>
      <c r="J1392" s="3" t="s">
        <v>549</v>
      </c>
      <c r="K1392" s="3">
        <v>2005</v>
      </c>
      <c r="L1392" s="3" t="str">
        <f t="shared" si="87"/>
        <v>Jan-2005</v>
      </c>
      <c r="M1392" s="3" t="s">
        <v>181</v>
      </c>
      <c r="N1392" s="3" t="s">
        <v>467</v>
      </c>
      <c r="O1392" s="3" t="s">
        <v>130</v>
      </c>
      <c r="P1392" s="3" t="s">
        <v>42</v>
      </c>
      <c r="Q1392" s="3" t="s">
        <v>36</v>
      </c>
    </row>
    <row r="1393" spans="1:17" x14ac:dyDescent="0.25">
      <c r="A1393" s="5">
        <v>10378</v>
      </c>
      <c r="B1393" s="5">
        <v>49</v>
      </c>
      <c r="C1393" s="5">
        <v>67.14</v>
      </c>
      <c r="D1393" s="5">
        <v>3289.86</v>
      </c>
      <c r="E1393" s="5" t="str">
        <f t="shared" si="85"/>
        <v>Medium</v>
      </c>
      <c r="F1393" s="5">
        <f t="shared" si="86"/>
        <v>986.95799999999997</v>
      </c>
      <c r="G1393" s="6">
        <v>38393</v>
      </c>
      <c r="H1393" s="5" t="s">
        <v>25</v>
      </c>
      <c r="I1393" s="5" t="str">
        <f t="shared" si="84"/>
        <v>Yes</v>
      </c>
      <c r="J1393" s="5" t="s">
        <v>681</v>
      </c>
      <c r="K1393" s="5">
        <v>2005</v>
      </c>
      <c r="L1393" s="5" t="str">
        <f t="shared" si="87"/>
        <v>Feb-2005</v>
      </c>
      <c r="M1393" s="5" t="s">
        <v>181</v>
      </c>
      <c r="N1393" s="5" t="s">
        <v>174</v>
      </c>
      <c r="O1393" s="5" t="s">
        <v>178</v>
      </c>
      <c r="P1393" s="5" t="s">
        <v>42</v>
      </c>
      <c r="Q1393" s="5" t="s">
        <v>51</v>
      </c>
    </row>
    <row r="1394" spans="1:17" x14ac:dyDescent="0.25">
      <c r="A1394" s="3">
        <v>10390</v>
      </c>
      <c r="B1394" s="3">
        <v>49</v>
      </c>
      <c r="C1394" s="3">
        <v>100</v>
      </c>
      <c r="D1394" s="3">
        <v>4900</v>
      </c>
      <c r="E1394" s="3" t="str">
        <f t="shared" si="85"/>
        <v>Medium</v>
      </c>
      <c r="F1394" s="3">
        <f t="shared" si="86"/>
        <v>1470</v>
      </c>
      <c r="G1394" s="4">
        <v>38415</v>
      </c>
      <c r="H1394" s="3" t="s">
        <v>25</v>
      </c>
      <c r="I1394" s="3" t="str">
        <f t="shared" si="84"/>
        <v>Yes</v>
      </c>
      <c r="J1394" s="3" t="s">
        <v>691</v>
      </c>
      <c r="K1394" s="3">
        <v>2005</v>
      </c>
      <c r="L1394" s="3" t="str">
        <f t="shared" si="87"/>
        <v>Mar-2005</v>
      </c>
      <c r="M1394" s="3" t="s">
        <v>181</v>
      </c>
      <c r="N1394" s="3" t="s">
        <v>272</v>
      </c>
      <c r="O1394" s="3" t="s">
        <v>32</v>
      </c>
      <c r="P1394" s="3" t="s">
        <v>33</v>
      </c>
      <c r="Q1394" s="3" t="s">
        <v>51</v>
      </c>
    </row>
    <row r="1395" spans="1:17" x14ac:dyDescent="0.25">
      <c r="A1395" s="5">
        <v>10110</v>
      </c>
      <c r="B1395" s="5">
        <v>42</v>
      </c>
      <c r="C1395" s="5">
        <v>61.29</v>
      </c>
      <c r="D1395" s="5">
        <v>2574.1799999999998</v>
      </c>
      <c r="E1395" s="5" t="str">
        <f t="shared" si="85"/>
        <v>Medium</v>
      </c>
      <c r="F1395" s="5">
        <f t="shared" si="86"/>
        <v>772.25399999999991</v>
      </c>
      <c r="G1395" s="6">
        <v>37698</v>
      </c>
      <c r="H1395" s="5" t="s">
        <v>25</v>
      </c>
      <c r="I1395" s="5" t="str">
        <f t="shared" si="84"/>
        <v>Yes</v>
      </c>
      <c r="J1395" s="5" t="s">
        <v>691</v>
      </c>
      <c r="K1395" s="5">
        <v>2003</v>
      </c>
      <c r="L1395" s="5" t="str">
        <f t="shared" si="87"/>
        <v>Mar-2003</v>
      </c>
      <c r="M1395" s="5" t="s">
        <v>181</v>
      </c>
      <c r="N1395" s="5" t="s">
        <v>492</v>
      </c>
      <c r="O1395" s="5" t="s">
        <v>170</v>
      </c>
      <c r="P1395" s="5" t="s">
        <v>42</v>
      </c>
      <c r="Q1395" s="5" t="s">
        <v>36</v>
      </c>
    </row>
    <row r="1396" spans="1:17" x14ac:dyDescent="0.25">
      <c r="A1396" s="3">
        <v>10124</v>
      </c>
      <c r="B1396" s="3">
        <v>23</v>
      </c>
      <c r="C1396" s="3">
        <v>57.73</v>
      </c>
      <c r="D1396" s="3">
        <v>1327.79</v>
      </c>
      <c r="E1396" s="3" t="str">
        <f t="shared" si="85"/>
        <v>Low</v>
      </c>
      <c r="F1396" s="3">
        <f t="shared" si="86"/>
        <v>398.33699999999999</v>
      </c>
      <c r="G1396" s="4">
        <v>37762</v>
      </c>
      <c r="H1396" s="3" t="s">
        <v>25</v>
      </c>
      <c r="I1396" s="3" t="str">
        <f t="shared" si="84"/>
        <v>Yes</v>
      </c>
      <c r="J1396" s="3" t="s">
        <v>682</v>
      </c>
      <c r="K1396" s="3">
        <v>2003</v>
      </c>
      <c r="L1396" s="3" t="str">
        <f t="shared" si="87"/>
        <v>May-2003</v>
      </c>
      <c r="M1396" s="3" t="s">
        <v>181</v>
      </c>
      <c r="N1396" s="3" t="s">
        <v>539</v>
      </c>
      <c r="O1396" s="3" t="s">
        <v>32</v>
      </c>
      <c r="P1396" s="3" t="s">
        <v>33</v>
      </c>
      <c r="Q1396" s="3" t="s">
        <v>36</v>
      </c>
    </row>
    <row r="1397" spans="1:17" x14ac:dyDescent="0.25">
      <c r="A1397" s="5">
        <v>10148</v>
      </c>
      <c r="B1397" s="5">
        <v>29</v>
      </c>
      <c r="C1397" s="5">
        <v>81.25</v>
      </c>
      <c r="D1397" s="5">
        <v>2356.25</v>
      </c>
      <c r="E1397" s="5" t="str">
        <f t="shared" si="85"/>
        <v>Medium</v>
      </c>
      <c r="F1397" s="5">
        <f t="shared" si="86"/>
        <v>706.875</v>
      </c>
      <c r="G1397" s="6">
        <v>37875</v>
      </c>
      <c r="H1397" s="5" t="s">
        <v>25</v>
      </c>
      <c r="I1397" s="5" t="str">
        <f t="shared" si="84"/>
        <v>Yes</v>
      </c>
      <c r="J1397" s="5" t="s">
        <v>690</v>
      </c>
      <c r="K1397" s="5">
        <v>2003</v>
      </c>
      <c r="L1397" s="5" t="str">
        <f t="shared" si="87"/>
        <v>Sep-2003</v>
      </c>
      <c r="M1397" s="5" t="s">
        <v>181</v>
      </c>
      <c r="N1397" s="5" t="s">
        <v>285</v>
      </c>
      <c r="O1397" s="5" t="s">
        <v>95</v>
      </c>
      <c r="P1397" s="5" t="s">
        <v>96</v>
      </c>
      <c r="Q1397" s="5" t="s">
        <v>36</v>
      </c>
    </row>
    <row r="1398" spans="1:17" x14ac:dyDescent="0.25">
      <c r="A1398" s="3">
        <v>10161</v>
      </c>
      <c r="B1398" s="3">
        <v>25</v>
      </c>
      <c r="C1398" s="3">
        <v>80.540000000000006</v>
      </c>
      <c r="D1398" s="3">
        <v>2013.5000000000002</v>
      </c>
      <c r="E1398" s="3" t="str">
        <f t="shared" si="85"/>
        <v>Medium</v>
      </c>
      <c r="F1398" s="3">
        <f t="shared" si="86"/>
        <v>604.05000000000007</v>
      </c>
      <c r="G1398" s="4">
        <v>37911</v>
      </c>
      <c r="H1398" s="3" t="s">
        <v>25</v>
      </c>
      <c r="I1398" s="3" t="str">
        <f t="shared" si="84"/>
        <v>Yes</v>
      </c>
      <c r="J1398" s="3" t="s">
        <v>685</v>
      </c>
      <c r="K1398" s="3">
        <v>2003</v>
      </c>
      <c r="L1398" s="3" t="str">
        <f t="shared" si="87"/>
        <v>Oct-2003</v>
      </c>
      <c r="M1398" s="3" t="s">
        <v>181</v>
      </c>
      <c r="N1398" s="3" t="s">
        <v>498</v>
      </c>
      <c r="O1398" s="3" t="s">
        <v>326</v>
      </c>
      <c r="P1398" s="3" t="s">
        <v>42</v>
      </c>
      <c r="Q1398" s="3" t="s">
        <v>36</v>
      </c>
    </row>
    <row r="1399" spans="1:17" x14ac:dyDescent="0.25">
      <c r="A1399" s="5">
        <v>10173</v>
      </c>
      <c r="B1399" s="5">
        <v>39</v>
      </c>
      <c r="C1399" s="5">
        <v>71.98</v>
      </c>
      <c r="D1399" s="5">
        <v>2807.2200000000003</v>
      </c>
      <c r="E1399" s="5" t="str">
        <f t="shared" si="85"/>
        <v>Medium</v>
      </c>
      <c r="F1399" s="5">
        <f t="shared" si="86"/>
        <v>842.16600000000005</v>
      </c>
      <c r="G1399" s="6">
        <v>37930</v>
      </c>
      <c r="H1399" s="5" t="s">
        <v>25</v>
      </c>
      <c r="I1399" s="5" t="str">
        <f t="shared" si="84"/>
        <v>Yes</v>
      </c>
      <c r="J1399" s="5" t="s">
        <v>686</v>
      </c>
      <c r="K1399" s="5">
        <v>2003</v>
      </c>
      <c r="L1399" s="5" t="str">
        <f t="shared" si="87"/>
        <v>Nov-2003</v>
      </c>
      <c r="M1399" s="5" t="s">
        <v>181</v>
      </c>
      <c r="N1399" s="5" t="s">
        <v>552</v>
      </c>
      <c r="O1399" s="5" t="s">
        <v>258</v>
      </c>
      <c r="P1399" s="5" t="s">
        <v>42</v>
      </c>
      <c r="Q1399" s="5" t="s">
        <v>36</v>
      </c>
    </row>
    <row r="1400" spans="1:17" x14ac:dyDescent="0.25">
      <c r="A1400" s="3">
        <v>10182</v>
      </c>
      <c r="B1400" s="3">
        <v>44</v>
      </c>
      <c r="C1400" s="3">
        <v>69.84</v>
      </c>
      <c r="D1400" s="3">
        <v>3072.96</v>
      </c>
      <c r="E1400" s="3" t="str">
        <f t="shared" si="85"/>
        <v>Medium</v>
      </c>
      <c r="F1400" s="3">
        <f t="shared" si="86"/>
        <v>921.88799999999992</v>
      </c>
      <c r="G1400" s="4">
        <v>37937</v>
      </c>
      <c r="H1400" s="3" t="s">
        <v>25</v>
      </c>
      <c r="I1400" s="3" t="str">
        <f t="shared" si="84"/>
        <v>Yes</v>
      </c>
      <c r="J1400" s="3" t="s">
        <v>686</v>
      </c>
      <c r="K1400" s="3">
        <v>2003</v>
      </c>
      <c r="L1400" s="3" t="str">
        <f t="shared" si="87"/>
        <v>Nov-2003</v>
      </c>
      <c r="M1400" s="3" t="s">
        <v>181</v>
      </c>
      <c r="N1400" s="3" t="s">
        <v>272</v>
      </c>
      <c r="O1400" s="3" t="s">
        <v>32</v>
      </c>
      <c r="P1400" s="3" t="s">
        <v>33</v>
      </c>
      <c r="Q1400" s="3" t="s">
        <v>51</v>
      </c>
    </row>
    <row r="1401" spans="1:17" x14ac:dyDescent="0.25">
      <c r="A1401" s="5">
        <v>10193</v>
      </c>
      <c r="B1401" s="5">
        <v>25</v>
      </c>
      <c r="C1401" s="5">
        <v>76.260000000000005</v>
      </c>
      <c r="D1401" s="5">
        <v>1906.5000000000002</v>
      </c>
      <c r="E1401" s="5" t="str">
        <f t="shared" si="85"/>
        <v>Low</v>
      </c>
      <c r="F1401" s="5">
        <f t="shared" si="86"/>
        <v>571.95000000000005</v>
      </c>
      <c r="G1401" s="6">
        <v>37946</v>
      </c>
      <c r="H1401" s="5" t="s">
        <v>25</v>
      </c>
      <c r="I1401" s="5" t="str">
        <f t="shared" si="84"/>
        <v>Yes</v>
      </c>
      <c r="J1401" s="5" t="s">
        <v>686</v>
      </c>
      <c r="K1401" s="5">
        <v>2003</v>
      </c>
      <c r="L1401" s="5" t="str">
        <f t="shared" si="87"/>
        <v>Nov-2003</v>
      </c>
      <c r="M1401" s="5" t="s">
        <v>181</v>
      </c>
      <c r="N1401" s="5" t="s">
        <v>558</v>
      </c>
      <c r="O1401" s="5" t="s">
        <v>95</v>
      </c>
      <c r="P1401" s="5" t="s">
        <v>96</v>
      </c>
      <c r="Q1401" s="5" t="s">
        <v>36</v>
      </c>
    </row>
    <row r="1402" spans="1:17" x14ac:dyDescent="0.25">
      <c r="A1402" s="3">
        <v>10204</v>
      </c>
      <c r="B1402" s="3">
        <v>45</v>
      </c>
      <c r="C1402" s="3">
        <v>76.260000000000005</v>
      </c>
      <c r="D1402" s="3">
        <v>3431.7000000000003</v>
      </c>
      <c r="E1402" s="3" t="str">
        <f t="shared" si="85"/>
        <v>Medium</v>
      </c>
      <c r="F1402" s="3">
        <f t="shared" si="86"/>
        <v>1029.51</v>
      </c>
      <c r="G1402" s="4">
        <v>37957</v>
      </c>
      <c r="H1402" s="3" t="s">
        <v>25</v>
      </c>
      <c r="I1402" s="3" t="str">
        <f t="shared" si="84"/>
        <v>Yes</v>
      </c>
      <c r="J1402" s="3" t="s">
        <v>687</v>
      </c>
      <c r="K1402" s="3">
        <v>2003</v>
      </c>
      <c r="L1402" s="3" t="str">
        <f t="shared" si="87"/>
        <v>Dec-2003</v>
      </c>
      <c r="M1402" s="3" t="s">
        <v>181</v>
      </c>
      <c r="N1402" s="3" t="s">
        <v>475</v>
      </c>
      <c r="O1402" s="3" t="s">
        <v>32</v>
      </c>
      <c r="P1402" s="3" t="s">
        <v>33</v>
      </c>
      <c r="Q1402" s="3" t="s">
        <v>51</v>
      </c>
    </row>
    <row r="1403" spans="1:17" x14ac:dyDescent="0.25">
      <c r="A1403" s="5">
        <v>10213</v>
      </c>
      <c r="B1403" s="5">
        <v>25</v>
      </c>
      <c r="C1403" s="5">
        <v>83.39</v>
      </c>
      <c r="D1403" s="5">
        <v>2084.75</v>
      </c>
      <c r="E1403" s="5" t="str">
        <f t="shared" si="85"/>
        <v>Medium</v>
      </c>
      <c r="F1403" s="5">
        <f t="shared" si="86"/>
        <v>625.42499999999995</v>
      </c>
      <c r="G1403" s="6">
        <v>38008</v>
      </c>
      <c r="H1403" s="5" t="s">
        <v>25</v>
      </c>
      <c r="I1403" s="5" t="str">
        <f t="shared" si="84"/>
        <v>Yes</v>
      </c>
      <c r="J1403" s="5" t="s">
        <v>549</v>
      </c>
      <c r="K1403" s="5">
        <v>2004</v>
      </c>
      <c r="L1403" s="5" t="str">
        <f t="shared" si="87"/>
        <v>Jan-2004</v>
      </c>
      <c r="M1403" s="5" t="s">
        <v>181</v>
      </c>
      <c r="N1403" s="5" t="s">
        <v>346</v>
      </c>
      <c r="O1403" s="5" t="s">
        <v>170</v>
      </c>
      <c r="P1403" s="5" t="s">
        <v>42</v>
      </c>
      <c r="Q1403" s="5" t="s">
        <v>36</v>
      </c>
    </row>
    <row r="1404" spans="1:17" x14ac:dyDescent="0.25">
      <c r="A1404" s="3">
        <v>10227</v>
      </c>
      <c r="B1404" s="3">
        <v>37</v>
      </c>
      <c r="C1404" s="3">
        <v>57.73</v>
      </c>
      <c r="D1404" s="3">
        <v>2136.0099999999998</v>
      </c>
      <c r="E1404" s="3" t="str">
        <f t="shared" si="85"/>
        <v>Medium</v>
      </c>
      <c r="F1404" s="3">
        <f t="shared" si="86"/>
        <v>640.80299999999988</v>
      </c>
      <c r="G1404" s="4">
        <v>38048</v>
      </c>
      <c r="H1404" s="3" t="s">
        <v>25</v>
      </c>
      <c r="I1404" s="3" t="str">
        <f t="shared" si="84"/>
        <v>Yes</v>
      </c>
      <c r="J1404" s="3" t="s">
        <v>691</v>
      </c>
      <c r="K1404" s="3">
        <v>2004</v>
      </c>
      <c r="L1404" s="3" t="str">
        <f t="shared" si="87"/>
        <v>Mar-2004</v>
      </c>
      <c r="M1404" s="3" t="s">
        <v>181</v>
      </c>
      <c r="N1404" s="3" t="s">
        <v>219</v>
      </c>
      <c r="O1404" s="3" t="s">
        <v>41</v>
      </c>
      <c r="P1404" s="3" t="s">
        <v>42</v>
      </c>
      <c r="Q1404" s="3" t="s">
        <v>36</v>
      </c>
    </row>
    <row r="1405" spans="1:17" x14ac:dyDescent="0.25">
      <c r="A1405" s="5">
        <v>10241</v>
      </c>
      <c r="B1405" s="5">
        <v>30</v>
      </c>
      <c r="C1405" s="5">
        <v>66.989999999999995</v>
      </c>
      <c r="D1405" s="5">
        <v>2009.6999999999998</v>
      </c>
      <c r="E1405" s="5" t="str">
        <f t="shared" si="85"/>
        <v>Medium</v>
      </c>
      <c r="F1405" s="5">
        <f t="shared" si="86"/>
        <v>602.91</v>
      </c>
      <c r="G1405" s="6">
        <v>38090</v>
      </c>
      <c r="H1405" s="5" t="s">
        <v>25</v>
      </c>
      <c r="I1405" s="5" t="str">
        <f t="shared" si="84"/>
        <v>Yes</v>
      </c>
      <c r="J1405" s="5" t="s">
        <v>688</v>
      </c>
      <c r="K1405" s="5">
        <v>2004</v>
      </c>
      <c r="L1405" s="5" t="str">
        <f t="shared" si="87"/>
        <v>Apr-2004</v>
      </c>
      <c r="M1405" s="5" t="s">
        <v>181</v>
      </c>
      <c r="N1405" s="5" t="s">
        <v>531</v>
      </c>
      <c r="O1405" s="5" t="s">
        <v>41</v>
      </c>
      <c r="P1405" s="5" t="s">
        <v>42</v>
      </c>
      <c r="Q1405" s="5" t="s">
        <v>36</v>
      </c>
    </row>
    <row r="1406" spans="1:17" x14ac:dyDescent="0.25">
      <c r="A1406" s="3">
        <v>10267</v>
      </c>
      <c r="B1406" s="3">
        <v>36</v>
      </c>
      <c r="C1406" s="3">
        <v>75.55</v>
      </c>
      <c r="D1406" s="3">
        <v>2719.7999999999997</v>
      </c>
      <c r="E1406" s="3" t="str">
        <f t="shared" si="85"/>
        <v>Medium</v>
      </c>
      <c r="F1406" s="3">
        <f t="shared" si="86"/>
        <v>815.93999999999994</v>
      </c>
      <c r="G1406" s="4">
        <v>38175</v>
      </c>
      <c r="H1406" s="3" t="s">
        <v>25</v>
      </c>
      <c r="I1406" s="3" t="str">
        <f t="shared" si="84"/>
        <v>Yes</v>
      </c>
      <c r="J1406" s="3" t="s">
        <v>683</v>
      </c>
      <c r="K1406" s="3">
        <v>2004</v>
      </c>
      <c r="L1406" s="3" t="str">
        <f t="shared" si="87"/>
        <v>Jul-2004</v>
      </c>
      <c r="M1406" s="3" t="s">
        <v>181</v>
      </c>
      <c r="N1406" s="3" t="s">
        <v>475</v>
      </c>
      <c r="O1406" s="3" t="s">
        <v>32</v>
      </c>
      <c r="P1406" s="3" t="s">
        <v>33</v>
      </c>
      <c r="Q1406" s="3" t="s">
        <v>36</v>
      </c>
    </row>
    <row r="1407" spans="1:17" x14ac:dyDescent="0.25">
      <c r="A1407" s="5">
        <v>10279</v>
      </c>
      <c r="B1407" s="5">
        <v>26</v>
      </c>
      <c r="C1407" s="5">
        <v>60.58</v>
      </c>
      <c r="D1407" s="5">
        <v>1575.08</v>
      </c>
      <c r="E1407" s="5" t="str">
        <f t="shared" si="85"/>
        <v>Low</v>
      </c>
      <c r="F1407" s="5">
        <f t="shared" si="86"/>
        <v>472.52399999999994</v>
      </c>
      <c r="G1407" s="6">
        <v>38208</v>
      </c>
      <c r="H1407" s="5" t="s">
        <v>25</v>
      </c>
      <c r="I1407" s="5" t="str">
        <f t="shared" si="84"/>
        <v>Yes</v>
      </c>
      <c r="J1407" s="5" t="s">
        <v>684</v>
      </c>
      <c r="K1407" s="5">
        <v>2004</v>
      </c>
      <c r="L1407" s="5" t="str">
        <f t="shared" si="87"/>
        <v>Aug-2004</v>
      </c>
      <c r="M1407" s="5" t="s">
        <v>181</v>
      </c>
      <c r="N1407" s="5" t="s">
        <v>174</v>
      </c>
      <c r="O1407" s="5" t="s">
        <v>178</v>
      </c>
      <c r="P1407" s="5" t="s">
        <v>42</v>
      </c>
      <c r="Q1407" s="5" t="s">
        <v>36</v>
      </c>
    </row>
    <row r="1408" spans="1:17" x14ac:dyDescent="0.25">
      <c r="A1408" s="3">
        <v>10288</v>
      </c>
      <c r="B1408" s="3">
        <v>23</v>
      </c>
      <c r="C1408" s="3">
        <v>73.41</v>
      </c>
      <c r="D1408" s="3">
        <v>1688.4299999999998</v>
      </c>
      <c r="E1408" s="3" t="str">
        <f t="shared" si="85"/>
        <v>Low</v>
      </c>
      <c r="F1408" s="3">
        <f t="shared" si="86"/>
        <v>506.52899999999994</v>
      </c>
      <c r="G1408" s="4">
        <v>38231</v>
      </c>
      <c r="H1408" s="3" t="s">
        <v>25</v>
      </c>
      <c r="I1408" s="3" t="str">
        <f t="shared" si="84"/>
        <v>Yes</v>
      </c>
      <c r="J1408" s="3" t="s">
        <v>690</v>
      </c>
      <c r="K1408" s="3">
        <v>2004</v>
      </c>
      <c r="L1408" s="3" t="str">
        <f t="shared" si="87"/>
        <v>Sep-2004</v>
      </c>
      <c r="M1408" s="3" t="s">
        <v>181</v>
      </c>
      <c r="N1408" s="3" t="s">
        <v>418</v>
      </c>
      <c r="O1408" s="3" t="s">
        <v>199</v>
      </c>
      <c r="P1408" s="3" t="s">
        <v>96</v>
      </c>
      <c r="Q1408" s="3" t="s">
        <v>36</v>
      </c>
    </row>
    <row r="1409" spans="1:17" x14ac:dyDescent="0.25">
      <c r="A1409" s="5">
        <v>10302</v>
      </c>
      <c r="B1409" s="5">
        <v>23</v>
      </c>
      <c r="C1409" s="5">
        <v>72.7</v>
      </c>
      <c r="D1409" s="5">
        <v>1672.1000000000001</v>
      </c>
      <c r="E1409" s="5" t="str">
        <f t="shared" si="85"/>
        <v>Low</v>
      </c>
      <c r="F1409" s="5">
        <f t="shared" si="86"/>
        <v>501.63</v>
      </c>
      <c r="G1409" s="6">
        <v>37900</v>
      </c>
      <c r="H1409" s="5" t="s">
        <v>25</v>
      </c>
      <c r="I1409" s="5" t="str">
        <f t="shared" si="84"/>
        <v>Yes</v>
      </c>
      <c r="J1409" s="5" t="s">
        <v>685</v>
      </c>
      <c r="K1409" s="5">
        <v>2003</v>
      </c>
      <c r="L1409" s="5" t="str">
        <f t="shared" si="87"/>
        <v>Oct-2003</v>
      </c>
      <c r="M1409" s="5" t="s">
        <v>181</v>
      </c>
      <c r="N1409" s="5" t="s">
        <v>165</v>
      </c>
      <c r="O1409" s="5" t="s">
        <v>170</v>
      </c>
      <c r="P1409" s="5" t="s">
        <v>42</v>
      </c>
      <c r="Q1409" s="5" t="s">
        <v>36</v>
      </c>
    </row>
    <row r="1410" spans="1:17" x14ac:dyDescent="0.25">
      <c r="A1410" s="3">
        <v>10311</v>
      </c>
      <c r="B1410" s="3">
        <v>25</v>
      </c>
      <c r="C1410" s="3">
        <v>66.989999999999995</v>
      </c>
      <c r="D1410" s="3">
        <v>1674.7499999999998</v>
      </c>
      <c r="E1410" s="3" t="str">
        <f t="shared" si="85"/>
        <v>Low</v>
      </c>
      <c r="F1410" s="3">
        <f t="shared" si="86"/>
        <v>502.4249999999999</v>
      </c>
      <c r="G1410" s="4">
        <v>38276</v>
      </c>
      <c r="H1410" s="3" t="s">
        <v>25</v>
      </c>
      <c r="I1410" s="3" t="str">
        <f t="shared" ref="I1410:I1473" si="88">IF(H1410="Shipped","Yes","No")</f>
        <v>Yes</v>
      </c>
      <c r="J1410" s="3" t="s">
        <v>685</v>
      </c>
      <c r="K1410" s="3">
        <v>2004</v>
      </c>
      <c r="L1410" s="3" t="str">
        <f t="shared" si="87"/>
        <v>Oct-2004</v>
      </c>
      <c r="M1410" s="3" t="s">
        <v>181</v>
      </c>
      <c r="N1410" s="3" t="s">
        <v>174</v>
      </c>
      <c r="O1410" s="3" t="s">
        <v>178</v>
      </c>
      <c r="P1410" s="3" t="s">
        <v>42</v>
      </c>
      <c r="Q1410" s="3" t="s">
        <v>36</v>
      </c>
    </row>
    <row r="1411" spans="1:17" x14ac:dyDescent="0.25">
      <c r="A1411" s="5">
        <v>10332</v>
      </c>
      <c r="B1411" s="5">
        <v>21</v>
      </c>
      <c r="C1411" s="5">
        <v>100</v>
      </c>
      <c r="D1411" s="5">
        <v>2100</v>
      </c>
      <c r="E1411" s="5" t="str">
        <f t="shared" ref="E1411:E1474" si="89">IF(D1411&gt;=5000,"High",IF(D1411&gt;=2000,"Medium","Low"))</f>
        <v>Medium</v>
      </c>
      <c r="F1411" s="5">
        <f t="shared" ref="F1411:F1474" si="90">(D1411*0.3)</f>
        <v>630</v>
      </c>
      <c r="G1411" s="6">
        <v>38308</v>
      </c>
      <c r="H1411" s="5" t="s">
        <v>25</v>
      </c>
      <c r="I1411" s="5" t="str">
        <f t="shared" si="88"/>
        <v>Yes</v>
      </c>
      <c r="J1411" s="5" t="s">
        <v>686</v>
      </c>
      <c r="K1411" s="5">
        <v>2004</v>
      </c>
      <c r="L1411" s="5" t="str">
        <f t="shared" ref="L1411:L1474" si="91">TEXT(G:G,"MMM-YYYY")</f>
        <v>Nov-2004</v>
      </c>
      <c r="M1411" s="5" t="s">
        <v>181</v>
      </c>
      <c r="N1411" s="5" t="s">
        <v>492</v>
      </c>
      <c r="O1411" s="5" t="s">
        <v>170</v>
      </c>
      <c r="P1411" s="5" t="s">
        <v>42</v>
      </c>
      <c r="Q1411" s="5" t="s">
        <v>51</v>
      </c>
    </row>
    <row r="1412" spans="1:17" x14ac:dyDescent="0.25">
      <c r="A1412" s="3">
        <v>10344</v>
      </c>
      <c r="B1412" s="3">
        <v>26</v>
      </c>
      <c r="C1412" s="3">
        <v>63.43</v>
      </c>
      <c r="D1412" s="3">
        <v>1649.18</v>
      </c>
      <c r="E1412" s="3" t="str">
        <f t="shared" si="89"/>
        <v>Low</v>
      </c>
      <c r="F1412" s="3">
        <f t="shared" si="90"/>
        <v>494.75400000000002</v>
      </c>
      <c r="G1412" s="4">
        <v>38316</v>
      </c>
      <c r="H1412" s="3" t="s">
        <v>25</v>
      </c>
      <c r="I1412" s="3" t="str">
        <f t="shared" si="88"/>
        <v>Yes</v>
      </c>
      <c r="J1412" s="3" t="s">
        <v>686</v>
      </c>
      <c r="K1412" s="3">
        <v>2004</v>
      </c>
      <c r="L1412" s="3" t="str">
        <f t="shared" si="91"/>
        <v>Nov-2004</v>
      </c>
      <c r="M1412" s="3" t="s">
        <v>181</v>
      </c>
      <c r="N1412" s="3" t="s">
        <v>433</v>
      </c>
      <c r="O1412" s="3" t="s">
        <v>41</v>
      </c>
      <c r="P1412" s="3" t="s">
        <v>42</v>
      </c>
      <c r="Q1412" s="3" t="s">
        <v>36</v>
      </c>
    </row>
    <row r="1413" spans="1:17" x14ac:dyDescent="0.25">
      <c r="A1413" s="5">
        <v>10367</v>
      </c>
      <c r="B1413" s="5">
        <v>44</v>
      </c>
      <c r="C1413" s="5">
        <v>85.25</v>
      </c>
      <c r="D1413" s="5">
        <v>3751</v>
      </c>
      <c r="E1413" s="5" t="str">
        <f t="shared" si="89"/>
        <v>Medium</v>
      </c>
      <c r="F1413" s="5">
        <f t="shared" si="90"/>
        <v>1125.3</v>
      </c>
      <c r="G1413" s="6">
        <v>38364</v>
      </c>
      <c r="H1413" s="5" t="s">
        <v>408</v>
      </c>
      <c r="I1413" s="5" t="str">
        <f t="shared" si="88"/>
        <v>No</v>
      </c>
      <c r="J1413" s="5" t="s">
        <v>549</v>
      </c>
      <c r="K1413" s="5">
        <v>2005</v>
      </c>
      <c r="L1413" s="5" t="str">
        <f t="shared" si="91"/>
        <v>Jan-2005</v>
      </c>
      <c r="M1413" s="5" t="s">
        <v>181</v>
      </c>
      <c r="N1413" s="5" t="s">
        <v>52</v>
      </c>
      <c r="O1413" s="5" t="s">
        <v>32</v>
      </c>
      <c r="P1413" s="5" t="s">
        <v>33</v>
      </c>
      <c r="Q1413" s="5" t="s">
        <v>51</v>
      </c>
    </row>
    <row r="1414" spans="1:17" x14ac:dyDescent="0.25">
      <c r="A1414" s="3">
        <v>10380</v>
      </c>
      <c r="B1414" s="3">
        <v>24</v>
      </c>
      <c r="C1414" s="3">
        <v>100</v>
      </c>
      <c r="D1414" s="3">
        <v>2400</v>
      </c>
      <c r="E1414" s="3" t="str">
        <f t="shared" si="89"/>
        <v>Medium</v>
      </c>
      <c r="F1414" s="3">
        <f t="shared" si="90"/>
        <v>720</v>
      </c>
      <c r="G1414" s="4">
        <v>38399</v>
      </c>
      <c r="H1414" s="3" t="s">
        <v>25</v>
      </c>
      <c r="I1414" s="3" t="str">
        <f t="shared" si="88"/>
        <v>Yes</v>
      </c>
      <c r="J1414" s="3" t="s">
        <v>681</v>
      </c>
      <c r="K1414" s="3">
        <v>2005</v>
      </c>
      <c r="L1414" s="3" t="str">
        <f t="shared" si="91"/>
        <v>Feb-2005</v>
      </c>
      <c r="M1414" s="3" t="s">
        <v>181</v>
      </c>
      <c r="N1414" s="3" t="s">
        <v>174</v>
      </c>
      <c r="O1414" s="3" t="s">
        <v>178</v>
      </c>
      <c r="P1414" s="3" t="s">
        <v>42</v>
      </c>
      <c r="Q1414" s="3" t="s">
        <v>51</v>
      </c>
    </row>
    <row r="1415" spans="1:17" x14ac:dyDescent="0.25">
      <c r="A1415" s="5">
        <v>10407</v>
      </c>
      <c r="B1415" s="5">
        <v>66</v>
      </c>
      <c r="C1415" s="5">
        <v>66.989999999999995</v>
      </c>
      <c r="D1415" s="5">
        <v>4421.3399999999992</v>
      </c>
      <c r="E1415" s="5" t="str">
        <f t="shared" si="89"/>
        <v>Medium</v>
      </c>
      <c r="F1415" s="5">
        <f t="shared" si="90"/>
        <v>1326.4019999999998</v>
      </c>
      <c r="G1415" s="6">
        <v>38464</v>
      </c>
      <c r="H1415" s="5" t="s">
        <v>401</v>
      </c>
      <c r="I1415" s="5" t="str">
        <f t="shared" si="88"/>
        <v>No</v>
      </c>
      <c r="J1415" s="5" t="s">
        <v>688</v>
      </c>
      <c r="K1415" s="5">
        <v>2005</v>
      </c>
      <c r="L1415" s="5" t="str">
        <f t="shared" si="91"/>
        <v>Apr-2005</v>
      </c>
      <c r="M1415" s="5" t="s">
        <v>181</v>
      </c>
      <c r="N1415" s="5" t="s">
        <v>397</v>
      </c>
      <c r="O1415" s="5" t="s">
        <v>32</v>
      </c>
      <c r="P1415" s="5" t="s">
        <v>33</v>
      </c>
      <c r="Q1415" s="5" t="s">
        <v>51</v>
      </c>
    </row>
    <row r="1416" spans="1:17" x14ac:dyDescent="0.25">
      <c r="A1416" s="3">
        <v>10420</v>
      </c>
      <c r="B1416" s="3">
        <v>36</v>
      </c>
      <c r="C1416" s="3">
        <v>57.73</v>
      </c>
      <c r="D1416" s="3">
        <v>2078.2799999999997</v>
      </c>
      <c r="E1416" s="3" t="str">
        <f t="shared" si="89"/>
        <v>Medium</v>
      </c>
      <c r="F1416" s="3">
        <f t="shared" si="90"/>
        <v>623.48399999999992</v>
      </c>
      <c r="G1416" s="4">
        <v>38501</v>
      </c>
      <c r="H1416" s="3" t="s">
        <v>300</v>
      </c>
      <c r="I1416" s="3" t="str">
        <f t="shared" si="88"/>
        <v>No</v>
      </c>
      <c r="J1416" s="3" t="s">
        <v>682</v>
      </c>
      <c r="K1416" s="3">
        <v>2005</v>
      </c>
      <c r="L1416" s="3" t="str">
        <f t="shared" si="91"/>
        <v>May-2005</v>
      </c>
      <c r="M1416" s="3" t="s">
        <v>181</v>
      </c>
      <c r="N1416" s="3" t="s">
        <v>152</v>
      </c>
      <c r="O1416" s="3" t="s">
        <v>95</v>
      </c>
      <c r="P1416" s="3" t="s">
        <v>96</v>
      </c>
      <c r="Q1416" s="3" t="s">
        <v>36</v>
      </c>
    </row>
    <row r="1417" spans="1:17" x14ac:dyDescent="0.25">
      <c r="A1417" s="5">
        <v>10110</v>
      </c>
      <c r="B1417" s="5">
        <v>36</v>
      </c>
      <c r="C1417" s="5">
        <v>85.25</v>
      </c>
      <c r="D1417" s="5">
        <v>3069</v>
      </c>
      <c r="E1417" s="5" t="str">
        <f t="shared" si="89"/>
        <v>Medium</v>
      </c>
      <c r="F1417" s="5">
        <f t="shared" si="90"/>
        <v>920.69999999999993</v>
      </c>
      <c r="G1417" s="6">
        <v>37698</v>
      </c>
      <c r="H1417" s="5" t="s">
        <v>25</v>
      </c>
      <c r="I1417" s="5" t="str">
        <f t="shared" si="88"/>
        <v>Yes</v>
      </c>
      <c r="J1417" s="5" t="s">
        <v>691</v>
      </c>
      <c r="K1417" s="5">
        <v>2003</v>
      </c>
      <c r="L1417" s="5" t="str">
        <f t="shared" si="91"/>
        <v>Mar-2003</v>
      </c>
      <c r="M1417" s="5" t="s">
        <v>181</v>
      </c>
      <c r="N1417" s="5" t="s">
        <v>492</v>
      </c>
      <c r="O1417" s="5" t="s">
        <v>170</v>
      </c>
      <c r="P1417" s="5" t="s">
        <v>42</v>
      </c>
      <c r="Q1417" s="5" t="s">
        <v>51</v>
      </c>
    </row>
    <row r="1418" spans="1:17" x14ac:dyDescent="0.25">
      <c r="A1418" s="3">
        <v>10124</v>
      </c>
      <c r="B1418" s="3">
        <v>22</v>
      </c>
      <c r="C1418" s="3">
        <v>77.900000000000006</v>
      </c>
      <c r="D1418" s="3">
        <v>1713.8000000000002</v>
      </c>
      <c r="E1418" s="3" t="str">
        <f t="shared" si="89"/>
        <v>Low</v>
      </c>
      <c r="F1418" s="3">
        <f t="shared" si="90"/>
        <v>514.14</v>
      </c>
      <c r="G1418" s="4">
        <v>37762</v>
      </c>
      <c r="H1418" s="3" t="s">
        <v>25</v>
      </c>
      <c r="I1418" s="3" t="str">
        <f t="shared" si="88"/>
        <v>Yes</v>
      </c>
      <c r="J1418" s="3" t="s">
        <v>682</v>
      </c>
      <c r="K1418" s="3">
        <v>2003</v>
      </c>
      <c r="L1418" s="3" t="str">
        <f t="shared" si="91"/>
        <v>May-2003</v>
      </c>
      <c r="M1418" s="3" t="s">
        <v>181</v>
      </c>
      <c r="N1418" s="3" t="s">
        <v>539</v>
      </c>
      <c r="O1418" s="3" t="s">
        <v>32</v>
      </c>
      <c r="P1418" s="3" t="s">
        <v>33</v>
      </c>
      <c r="Q1418" s="3" t="s">
        <v>36</v>
      </c>
    </row>
    <row r="1419" spans="1:17" x14ac:dyDescent="0.25">
      <c r="A1419" s="5">
        <v>10148</v>
      </c>
      <c r="B1419" s="5">
        <v>25</v>
      </c>
      <c r="C1419" s="5">
        <v>60.26</v>
      </c>
      <c r="D1419" s="5">
        <v>1506.5</v>
      </c>
      <c r="E1419" s="5" t="str">
        <f t="shared" si="89"/>
        <v>Low</v>
      </c>
      <c r="F1419" s="5">
        <f t="shared" si="90"/>
        <v>451.95</v>
      </c>
      <c r="G1419" s="6">
        <v>37875</v>
      </c>
      <c r="H1419" s="5" t="s">
        <v>25</v>
      </c>
      <c r="I1419" s="5" t="str">
        <f t="shared" si="88"/>
        <v>Yes</v>
      </c>
      <c r="J1419" s="5" t="s">
        <v>690</v>
      </c>
      <c r="K1419" s="5">
        <v>2003</v>
      </c>
      <c r="L1419" s="5" t="str">
        <f t="shared" si="91"/>
        <v>Sep-2003</v>
      </c>
      <c r="M1419" s="5" t="s">
        <v>181</v>
      </c>
      <c r="N1419" s="5" t="s">
        <v>285</v>
      </c>
      <c r="O1419" s="5" t="s">
        <v>95</v>
      </c>
      <c r="P1419" s="5" t="s">
        <v>96</v>
      </c>
      <c r="Q1419" s="5" t="s">
        <v>36</v>
      </c>
    </row>
    <row r="1420" spans="1:17" x14ac:dyDescent="0.25">
      <c r="A1420" s="3">
        <v>10161</v>
      </c>
      <c r="B1420" s="3">
        <v>37</v>
      </c>
      <c r="C1420" s="3">
        <v>72.760000000000005</v>
      </c>
      <c r="D1420" s="3">
        <v>2692.1200000000003</v>
      </c>
      <c r="E1420" s="3" t="str">
        <f t="shared" si="89"/>
        <v>Medium</v>
      </c>
      <c r="F1420" s="3">
        <f t="shared" si="90"/>
        <v>807.63600000000008</v>
      </c>
      <c r="G1420" s="4">
        <v>37911</v>
      </c>
      <c r="H1420" s="3" t="s">
        <v>25</v>
      </c>
      <c r="I1420" s="3" t="str">
        <f t="shared" si="88"/>
        <v>Yes</v>
      </c>
      <c r="J1420" s="3" t="s">
        <v>685</v>
      </c>
      <c r="K1420" s="3">
        <v>2003</v>
      </c>
      <c r="L1420" s="3" t="str">
        <f t="shared" si="91"/>
        <v>Oct-2003</v>
      </c>
      <c r="M1420" s="3" t="s">
        <v>181</v>
      </c>
      <c r="N1420" s="3" t="s">
        <v>498</v>
      </c>
      <c r="O1420" s="3" t="s">
        <v>326</v>
      </c>
      <c r="P1420" s="3" t="s">
        <v>42</v>
      </c>
      <c r="Q1420" s="3" t="s">
        <v>36</v>
      </c>
    </row>
    <row r="1421" spans="1:17" x14ac:dyDescent="0.25">
      <c r="A1421" s="5">
        <v>10172</v>
      </c>
      <c r="B1421" s="5">
        <v>32</v>
      </c>
      <c r="C1421" s="5">
        <v>75.69</v>
      </c>
      <c r="D1421" s="5">
        <v>2422.08</v>
      </c>
      <c r="E1421" s="5" t="str">
        <f t="shared" si="89"/>
        <v>Medium</v>
      </c>
      <c r="F1421" s="5">
        <f t="shared" si="90"/>
        <v>726.62399999999991</v>
      </c>
      <c r="G1421" s="6">
        <v>37930</v>
      </c>
      <c r="H1421" s="5" t="s">
        <v>25</v>
      </c>
      <c r="I1421" s="5" t="str">
        <f t="shared" si="88"/>
        <v>Yes</v>
      </c>
      <c r="J1421" s="5" t="s">
        <v>686</v>
      </c>
      <c r="K1421" s="5">
        <v>2003</v>
      </c>
      <c r="L1421" s="5" t="str">
        <f t="shared" si="91"/>
        <v>Nov-2003</v>
      </c>
      <c r="M1421" s="5" t="s">
        <v>181</v>
      </c>
      <c r="N1421" s="5" t="s">
        <v>109</v>
      </c>
      <c r="O1421" s="5" t="s">
        <v>32</v>
      </c>
      <c r="P1421" s="5" t="s">
        <v>33</v>
      </c>
      <c r="Q1421" s="5" t="s">
        <v>36</v>
      </c>
    </row>
    <row r="1422" spans="1:17" x14ac:dyDescent="0.25">
      <c r="A1422" s="3">
        <v>10182</v>
      </c>
      <c r="B1422" s="3">
        <v>47</v>
      </c>
      <c r="C1422" s="3">
        <v>74.22</v>
      </c>
      <c r="D1422" s="3">
        <v>3488.34</v>
      </c>
      <c r="E1422" s="3" t="str">
        <f t="shared" si="89"/>
        <v>Medium</v>
      </c>
      <c r="F1422" s="3">
        <f t="shared" si="90"/>
        <v>1046.502</v>
      </c>
      <c r="G1422" s="4">
        <v>37937</v>
      </c>
      <c r="H1422" s="3" t="s">
        <v>25</v>
      </c>
      <c r="I1422" s="3" t="str">
        <f t="shared" si="88"/>
        <v>Yes</v>
      </c>
      <c r="J1422" s="3" t="s">
        <v>686</v>
      </c>
      <c r="K1422" s="3">
        <v>2003</v>
      </c>
      <c r="L1422" s="3" t="str">
        <f t="shared" si="91"/>
        <v>Nov-2003</v>
      </c>
      <c r="M1422" s="3" t="s">
        <v>181</v>
      </c>
      <c r="N1422" s="3" t="s">
        <v>272</v>
      </c>
      <c r="O1422" s="3" t="s">
        <v>32</v>
      </c>
      <c r="P1422" s="3" t="s">
        <v>33</v>
      </c>
      <c r="Q1422" s="3" t="s">
        <v>51</v>
      </c>
    </row>
    <row r="1423" spans="1:17" x14ac:dyDescent="0.25">
      <c r="A1423" s="5">
        <v>10192</v>
      </c>
      <c r="B1423" s="5">
        <v>37</v>
      </c>
      <c r="C1423" s="5">
        <v>69.819999999999993</v>
      </c>
      <c r="D1423" s="5">
        <v>2583.3399999999997</v>
      </c>
      <c r="E1423" s="5" t="str">
        <f t="shared" si="89"/>
        <v>Medium</v>
      </c>
      <c r="F1423" s="5">
        <f t="shared" si="90"/>
        <v>775.00199999999984</v>
      </c>
      <c r="G1423" s="6">
        <v>37945</v>
      </c>
      <c r="H1423" s="5" t="s">
        <v>25</v>
      </c>
      <c r="I1423" s="5" t="str">
        <f t="shared" si="88"/>
        <v>Yes</v>
      </c>
      <c r="J1423" s="5" t="s">
        <v>686</v>
      </c>
      <c r="K1423" s="5">
        <v>2003</v>
      </c>
      <c r="L1423" s="5" t="str">
        <f t="shared" si="91"/>
        <v>Nov-2003</v>
      </c>
      <c r="M1423" s="5" t="s">
        <v>181</v>
      </c>
      <c r="N1423" s="5" t="s">
        <v>277</v>
      </c>
      <c r="O1423" s="5" t="s">
        <v>32</v>
      </c>
      <c r="P1423" s="5" t="s">
        <v>33</v>
      </c>
      <c r="Q1423" s="5" t="s">
        <v>36</v>
      </c>
    </row>
    <row r="1424" spans="1:17" x14ac:dyDescent="0.25">
      <c r="A1424" s="3">
        <v>10204</v>
      </c>
      <c r="B1424" s="3">
        <v>20</v>
      </c>
      <c r="C1424" s="3">
        <v>62.47</v>
      </c>
      <c r="D1424" s="3">
        <v>1249.4000000000001</v>
      </c>
      <c r="E1424" s="3" t="str">
        <f t="shared" si="89"/>
        <v>Low</v>
      </c>
      <c r="F1424" s="3">
        <f t="shared" si="90"/>
        <v>374.82</v>
      </c>
      <c r="G1424" s="4">
        <v>37957</v>
      </c>
      <c r="H1424" s="3" t="s">
        <v>25</v>
      </c>
      <c r="I1424" s="3" t="str">
        <f t="shared" si="88"/>
        <v>Yes</v>
      </c>
      <c r="J1424" s="3" t="s">
        <v>687</v>
      </c>
      <c r="K1424" s="3">
        <v>2003</v>
      </c>
      <c r="L1424" s="3" t="str">
        <f t="shared" si="91"/>
        <v>Dec-2003</v>
      </c>
      <c r="M1424" s="3" t="s">
        <v>181</v>
      </c>
      <c r="N1424" s="3" t="s">
        <v>475</v>
      </c>
      <c r="O1424" s="3" t="s">
        <v>32</v>
      </c>
      <c r="P1424" s="3" t="s">
        <v>33</v>
      </c>
      <c r="Q1424" s="3" t="s">
        <v>36</v>
      </c>
    </row>
    <row r="1425" spans="1:17" x14ac:dyDescent="0.25">
      <c r="A1425" s="5">
        <v>10212</v>
      </c>
      <c r="B1425" s="5">
        <v>41</v>
      </c>
      <c r="C1425" s="5">
        <v>82.31</v>
      </c>
      <c r="D1425" s="5">
        <v>3374.71</v>
      </c>
      <c r="E1425" s="5" t="str">
        <f t="shared" si="89"/>
        <v>Medium</v>
      </c>
      <c r="F1425" s="5">
        <f t="shared" si="90"/>
        <v>1012.413</v>
      </c>
      <c r="G1425" s="6">
        <v>38002</v>
      </c>
      <c r="H1425" s="5" t="s">
        <v>25</v>
      </c>
      <c r="I1425" s="5" t="str">
        <f t="shared" si="88"/>
        <v>Yes</v>
      </c>
      <c r="J1425" s="5" t="s">
        <v>549</v>
      </c>
      <c r="K1425" s="5">
        <v>2004</v>
      </c>
      <c r="L1425" s="5" t="str">
        <f t="shared" si="91"/>
        <v>Jan-2004</v>
      </c>
      <c r="M1425" s="5" t="s">
        <v>181</v>
      </c>
      <c r="N1425" s="5" t="s">
        <v>174</v>
      </c>
      <c r="O1425" s="5" t="s">
        <v>178</v>
      </c>
      <c r="P1425" s="5" t="s">
        <v>42</v>
      </c>
      <c r="Q1425" s="5" t="s">
        <v>51</v>
      </c>
    </row>
    <row r="1426" spans="1:17" x14ac:dyDescent="0.25">
      <c r="A1426" s="3">
        <v>10226</v>
      </c>
      <c r="B1426" s="3">
        <v>21</v>
      </c>
      <c r="C1426" s="3">
        <v>60.26</v>
      </c>
      <c r="D1426" s="3">
        <v>1265.46</v>
      </c>
      <c r="E1426" s="3" t="str">
        <f t="shared" si="89"/>
        <v>Low</v>
      </c>
      <c r="F1426" s="3">
        <f t="shared" si="90"/>
        <v>379.63799999999998</v>
      </c>
      <c r="G1426" s="4">
        <v>38043</v>
      </c>
      <c r="H1426" s="3" t="s">
        <v>25</v>
      </c>
      <c r="I1426" s="3" t="str">
        <f t="shared" si="88"/>
        <v>Yes</v>
      </c>
      <c r="J1426" s="3" t="s">
        <v>681</v>
      </c>
      <c r="K1426" s="3">
        <v>2004</v>
      </c>
      <c r="L1426" s="3" t="str">
        <f t="shared" si="91"/>
        <v>Feb-2004</v>
      </c>
      <c r="M1426" s="3" t="s">
        <v>181</v>
      </c>
      <c r="N1426" s="3" t="s">
        <v>362</v>
      </c>
      <c r="O1426" s="3" t="s">
        <v>32</v>
      </c>
      <c r="P1426" s="3" t="s">
        <v>33</v>
      </c>
      <c r="Q1426" s="3" t="s">
        <v>36</v>
      </c>
    </row>
    <row r="1427" spans="1:17" x14ac:dyDescent="0.25">
      <c r="A1427" s="5">
        <v>10241</v>
      </c>
      <c r="B1427" s="5">
        <v>22</v>
      </c>
      <c r="C1427" s="5">
        <v>76.430000000000007</v>
      </c>
      <c r="D1427" s="5">
        <v>1681.46</v>
      </c>
      <c r="E1427" s="5" t="str">
        <f t="shared" si="89"/>
        <v>Low</v>
      </c>
      <c r="F1427" s="5">
        <f t="shared" si="90"/>
        <v>504.43799999999999</v>
      </c>
      <c r="G1427" s="6">
        <v>38090</v>
      </c>
      <c r="H1427" s="5" t="s">
        <v>25</v>
      </c>
      <c r="I1427" s="5" t="str">
        <f t="shared" si="88"/>
        <v>Yes</v>
      </c>
      <c r="J1427" s="5" t="s">
        <v>688</v>
      </c>
      <c r="K1427" s="5">
        <v>2004</v>
      </c>
      <c r="L1427" s="5" t="str">
        <f t="shared" si="91"/>
        <v>Apr-2004</v>
      </c>
      <c r="M1427" s="5" t="s">
        <v>181</v>
      </c>
      <c r="N1427" s="5" t="s">
        <v>531</v>
      </c>
      <c r="O1427" s="5" t="s">
        <v>41</v>
      </c>
      <c r="P1427" s="5" t="s">
        <v>42</v>
      </c>
      <c r="Q1427" s="5" t="s">
        <v>36</v>
      </c>
    </row>
    <row r="1428" spans="1:17" x14ac:dyDescent="0.25">
      <c r="A1428" s="3">
        <v>10267</v>
      </c>
      <c r="B1428" s="3">
        <v>40</v>
      </c>
      <c r="C1428" s="3">
        <v>80.099999999999994</v>
      </c>
      <c r="D1428" s="3">
        <v>3204</v>
      </c>
      <c r="E1428" s="3" t="str">
        <f t="shared" si="89"/>
        <v>Medium</v>
      </c>
      <c r="F1428" s="3">
        <f t="shared" si="90"/>
        <v>961.19999999999993</v>
      </c>
      <c r="G1428" s="4">
        <v>38175</v>
      </c>
      <c r="H1428" s="3" t="s">
        <v>25</v>
      </c>
      <c r="I1428" s="3" t="str">
        <f t="shared" si="88"/>
        <v>Yes</v>
      </c>
      <c r="J1428" s="3" t="s">
        <v>683</v>
      </c>
      <c r="K1428" s="3">
        <v>2004</v>
      </c>
      <c r="L1428" s="3" t="str">
        <f t="shared" si="91"/>
        <v>Jul-2004</v>
      </c>
      <c r="M1428" s="3" t="s">
        <v>181</v>
      </c>
      <c r="N1428" s="3" t="s">
        <v>475</v>
      </c>
      <c r="O1428" s="3" t="s">
        <v>32</v>
      </c>
      <c r="P1428" s="3" t="s">
        <v>33</v>
      </c>
      <c r="Q1428" s="3" t="s">
        <v>51</v>
      </c>
    </row>
    <row r="1429" spans="1:17" x14ac:dyDescent="0.25">
      <c r="A1429" s="5">
        <v>10279</v>
      </c>
      <c r="B1429" s="5">
        <v>32</v>
      </c>
      <c r="C1429" s="5">
        <v>74.959999999999994</v>
      </c>
      <c r="D1429" s="5">
        <v>2398.7199999999998</v>
      </c>
      <c r="E1429" s="5" t="str">
        <f t="shared" si="89"/>
        <v>Medium</v>
      </c>
      <c r="F1429" s="5">
        <f t="shared" si="90"/>
        <v>719.61599999999987</v>
      </c>
      <c r="G1429" s="6">
        <v>38208</v>
      </c>
      <c r="H1429" s="5" t="s">
        <v>25</v>
      </c>
      <c r="I1429" s="5" t="str">
        <f t="shared" si="88"/>
        <v>Yes</v>
      </c>
      <c r="J1429" s="5" t="s">
        <v>684</v>
      </c>
      <c r="K1429" s="5">
        <v>2004</v>
      </c>
      <c r="L1429" s="5" t="str">
        <f t="shared" si="91"/>
        <v>Aug-2004</v>
      </c>
      <c r="M1429" s="5" t="s">
        <v>181</v>
      </c>
      <c r="N1429" s="5" t="s">
        <v>174</v>
      </c>
      <c r="O1429" s="5" t="s">
        <v>178</v>
      </c>
      <c r="P1429" s="5" t="s">
        <v>42</v>
      </c>
      <c r="Q1429" s="5" t="s">
        <v>36</v>
      </c>
    </row>
    <row r="1430" spans="1:17" x14ac:dyDescent="0.25">
      <c r="A1430" s="3">
        <v>10288</v>
      </c>
      <c r="B1430" s="3">
        <v>36</v>
      </c>
      <c r="C1430" s="3">
        <v>66.14</v>
      </c>
      <c r="D1430" s="3">
        <v>2381.04</v>
      </c>
      <c r="E1430" s="3" t="str">
        <f t="shared" si="89"/>
        <v>Medium</v>
      </c>
      <c r="F1430" s="3">
        <f t="shared" si="90"/>
        <v>714.31200000000001</v>
      </c>
      <c r="G1430" s="4">
        <v>38231</v>
      </c>
      <c r="H1430" s="3" t="s">
        <v>25</v>
      </c>
      <c r="I1430" s="3" t="str">
        <f t="shared" si="88"/>
        <v>Yes</v>
      </c>
      <c r="J1430" s="3" t="s">
        <v>690</v>
      </c>
      <c r="K1430" s="3">
        <v>2004</v>
      </c>
      <c r="L1430" s="3" t="str">
        <f t="shared" si="91"/>
        <v>Sep-2004</v>
      </c>
      <c r="M1430" s="3" t="s">
        <v>181</v>
      </c>
      <c r="N1430" s="3" t="s">
        <v>418</v>
      </c>
      <c r="O1430" s="3" t="s">
        <v>199</v>
      </c>
      <c r="P1430" s="3" t="s">
        <v>96</v>
      </c>
      <c r="Q1430" s="3" t="s">
        <v>36</v>
      </c>
    </row>
    <row r="1431" spans="1:17" x14ac:dyDescent="0.25">
      <c r="A1431" s="5">
        <v>10301</v>
      </c>
      <c r="B1431" s="5">
        <v>27</v>
      </c>
      <c r="C1431" s="5">
        <v>72.02</v>
      </c>
      <c r="D1431" s="5">
        <v>1944.54</v>
      </c>
      <c r="E1431" s="5" t="str">
        <f t="shared" si="89"/>
        <v>Low</v>
      </c>
      <c r="F1431" s="5">
        <f t="shared" si="90"/>
        <v>583.36199999999997</v>
      </c>
      <c r="G1431" s="6">
        <v>37899</v>
      </c>
      <c r="H1431" s="5" t="s">
        <v>25</v>
      </c>
      <c r="I1431" s="5" t="str">
        <f t="shared" si="88"/>
        <v>Yes</v>
      </c>
      <c r="J1431" s="5" t="s">
        <v>685</v>
      </c>
      <c r="K1431" s="5">
        <v>2003</v>
      </c>
      <c r="L1431" s="5" t="str">
        <f t="shared" si="91"/>
        <v>Oct-2003</v>
      </c>
      <c r="M1431" s="5" t="s">
        <v>181</v>
      </c>
      <c r="N1431" s="5" t="s">
        <v>543</v>
      </c>
      <c r="O1431" s="5" t="s">
        <v>78</v>
      </c>
      <c r="P1431" s="5" t="s">
        <v>42</v>
      </c>
      <c r="Q1431" s="5" t="s">
        <v>36</v>
      </c>
    </row>
    <row r="1432" spans="1:17" x14ac:dyDescent="0.25">
      <c r="A1432" s="3">
        <v>10311</v>
      </c>
      <c r="B1432" s="3">
        <v>26</v>
      </c>
      <c r="C1432" s="3">
        <v>87.45</v>
      </c>
      <c r="D1432" s="3">
        <v>2273.7000000000003</v>
      </c>
      <c r="E1432" s="3" t="str">
        <f t="shared" si="89"/>
        <v>Medium</v>
      </c>
      <c r="F1432" s="3">
        <f t="shared" si="90"/>
        <v>682.11</v>
      </c>
      <c r="G1432" s="4">
        <v>38276</v>
      </c>
      <c r="H1432" s="3" t="s">
        <v>25</v>
      </c>
      <c r="I1432" s="3" t="str">
        <f t="shared" si="88"/>
        <v>Yes</v>
      </c>
      <c r="J1432" s="3" t="s">
        <v>685</v>
      </c>
      <c r="K1432" s="3">
        <v>2004</v>
      </c>
      <c r="L1432" s="3" t="str">
        <f t="shared" si="91"/>
        <v>Oct-2004</v>
      </c>
      <c r="M1432" s="3" t="s">
        <v>181</v>
      </c>
      <c r="N1432" s="3" t="s">
        <v>174</v>
      </c>
      <c r="O1432" s="3" t="s">
        <v>178</v>
      </c>
      <c r="P1432" s="3" t="s">
        <v>42</v>
      </c>
      <c r="Q1432" s="3" t="s">
        <v>36</v>
      </c>
    </row>
    <row r="1433" spans="1:17" x14ac:dyDescent="0.25">
      <c r="A1433" s="5">
        <v>10321</v>
      </c>
      <c r="B1433" s="5">
        <v>30</v>
      </c>
      <c r="C1433" s="5">
        <v>70.55</v>
      </c>
      <c r="D1433" s="5">
        <v>2116.5</v>
      </c>
      <c r="E1433" s="5" t="str">
        <f t="shared" si="89"/>
        <v>Medium</v>
      </c>
      <c r="F1433" s="5">
        <f t="shared" si="90"/>
        <v>634.94999999999993</v>
      </c>
      <c r="G1433" s="6">
        <v>38295</v>
      </c>
      <c r="H1433" s="5" t="s">
        <v>25</v>
      </c>
      <c r="I1433" s="5" t="str">
        <f t="shared" si="88"/>
        <v>Yes</v>
      </c>
      <c r="J1433" s="5" t="s">
        <v>686</v>
      </c>
      <c r="K1433" s="5">
        <v>2004</v>
      </c>
      <c r="L1433" s="5" t="str">
        <f t="shared" si="91"/>
        <v>Nov-2004</v>
      </c>
      <c r="M1433" s="5" t="s">
        <v>181</v>
      </c>
      <c r="N1433" s="5" t="s">
        <v>160</v>
      </c>
      <c r="O1433" s="5" t="s">
        <v>32</v>
      </c>
      <c r="P1433" s="5" t="s">
        <v>33</v>
      </c>
      <c r="Q1433" s="5" t="s">
        <v>36</v>
      </c>
    </row>
    <row r="1434" spans="1:17" x14ac:dyDescent="0.25">
      <c r="A1434" s="3">
        <v>10332</v>
      </c>
      <c r="B1434" s="3">
        <v>23</v>
      </c>
      <c r="C1434" s="3">
        <v>56.84</v>
      </c>
      <c r="D1434" s="3">
        <v>1307.3200000000002</v>
      </c>
      <c r="E1434" s="3" t="str">
        <f t="shared" si="89"/>
        <v>Low</v>
      </c>
      <c r="F1434" s="3">
        <f t="shared" si="90"/>
        <v>392.19600000000003</v>
      </c>
      <c r="G1434" s="4">
        <v>38308</v>
      </c>
      <c r="H1434" s="3" t="s">
        <v>25</v>
      </c>
      <c r="I1434" s="3" t="str">
        <f t="shared" si="88"/>
        <v>Yes</v>
      </c>
      <c r="J1434" s="3" t="s">
        <v>686</v>
      </c>
      <c r="K1434" s="3">
        <v>2004</v>
      </c>
      <c r="L1434" s="3" t="str">
        <f t="shared" si="91"/>
        <v>Nov-2004</v>
      </c>
      <c r="M1434" s="3" t="s">
        <v>181</v>
      </c>
      <c r="N1434" s="3" t="s">
        <v>492</v>
      </c>
      <c r="O1434" s="3" t="s">
        <v>170</v>
      </c>
      <c r="P1434" s="3" t="s">
        <v>42</v>
      </c>
      <c r="Q1434" s="3" t="s">
        <v>36</v>
      </c>
    </row>
    <row r="1435" spans="1:17" x14ac:dyDescent="0.25">
      <c r="A1435" s="5">
        <v>10344</v>
      </c>
      <c r="B1435" s="5">
        <v>29</v>
      </c>
      <c r="C1435" s="5">
        <v>59.53</v>
      </c>
      <c r="D1435" s="5">
        <v>1726.3700000000001</v>
      </c>
      <c r="E1435" s="5" t="str">
        <f t="shared" si="89"/>
        <v>Low</v>
      </c>
      <c r="F1435" s="5">
        <f t="shared" si="90"/>
        <v>517.91100000000006</v>
      </c>
      <c r="G1435" s="6">
        <v>38316</v>
      </c>
      <c r="H1435" s="5" t="s">
        <v>25</v>
      </c>
      <c r="I1435" s="5" t="str">
        <f t="shared" si="88"/>
        <v>Yes</v>
      </c>
      <c r="J1435" s="5" t="s">
        <v>686</v>
      </c>
      <c r="K1435" s="5">
        <v>2004</v>
      </c>
      <c r="L1435" s="5" t="str">
        <f t="shared" si="91"/>
        <v>Nov-2004</v>
      </c>
      <c r="M1435" s="5" t="s">
        <v>181</v>
      </c>
      <c r="N1435" s="5" t="s">
        <v>433</v>
      </c>
      <c r="O1435" s="5" t="s">
        <v>41</v>
      </c>
      <c r="P1435" s="5" t="s">
        <v>42</v>
      </c>
      <c r="Q1435" s="5" t="s">
        <v>36</v>
      </c>
    </row>
    <row r="1436" spans="1:17" x14ac:dyDescent="0.25">
      <c r="A1436" s="3">
        <v>10367</v>
      </c>
      <c r="B1436" s="3">
        <v>21</v>
      </c>
      <c r="C1436" s="3">
        <v>60.37</v>
      </c>
      <c r="D1436" s="3">
        <v>1267.77</v>
      </c>
      <c r="E1436" s="3" t="str">
        <f t="shared" si="89"/>
        <v>Low</v>
      </c>
      <c r="F1436" s="3">
        <f t="shared" si="90"/>
        <v>380.33099999999996</v>
      </c>
      <c r="G1436" s="4">
        <v>38364</v>
      </c>
      <c r="H1436" s="3" t="s">
        <v>408</v>
      </c>
      <c r="I1436" s="3" t="str">
        <f t="shared" si="88"/>
        <v>No</v>
      </c>
      <c r="J1436" s="3" t="s">
        <v>549</v>
      </c>
      <c r="K1436" s="3">
        <v>2005</v>
      </c>
      <c r="L1436" s="3" t="str">
        <f t="shared" si="91"/>
        <v>Jan-2005</v>
      </c>
      <c r="M1436" s="3" t="s">
        <v>181</v>
      </c>
      <c r="N1436" s="3" t="s">
        <v>52</v>
      </c>
      <c r="O1436" s="3" t="s">
        <v>32</v>
      </c>
      <c r="P1436" s="3" t="s">
        <v>33</v>
      </c>
      <c r="Q1436" s="3" t="s">
        <v>36</v>
      </c>
    </row>
    <row r="1437" spans="1:17" x14ac:dyDescent="0.25">
      <c r="A1437" s="5">
        <v>10380</v>
      </c>
      <c r="B1437" s="5">
        <v>34</v>
      </c>
      <c r="C1437" s="5">
        <v>100</v>
      </c>
      <c r="D1437" s="5">
        <v>3400</v>
      </c>
      <c r="E1437" s="5" t="str">
        <f t="shared" si="89"/>
        <v>Medium</v>
      </c>
      <c r="F1437" s="5">
        <f t="shared" si="90"/>
        <v>1020</v>
      </c>
      <c r="G1437" s="6">
        <v>38399</v>
      </c>
      <c r="H1437" s="5" t="s">
        <v>25</v>
      </c>
      <c r="I1437" s="5" t="str">
        <f t="shared" si="88"/>
        <v>Yes</v>
      </c>
      <c r="J1437" s="5" t="s">
        <v>681</v>
      </c>
      <c r="K1437" s="5">
        <v>2005</v>
      </c>
      <c r="L1437" s="5" t="str">
        <f t="shared" si="91"/>
        <v>Feb-2005</v>
      </c>
      <c r="M1437" s="5" t="s">
        <v>181</v>
      </c>
      <c r="N1437" s="5" t="s">
        <v>174</v>
      </c>
      <c r="O1437" s="5" t="s">
        <v>178</v>
      </c>
      <c r="P1437" s="5" t="s">
        <v>42</v>
      </c>
      <c r="Q1437" s="5" t="s">
        <v>51</v>
      </c>
    </row>
    <row r="1438" spans="1:17" x14ac:dyDescent="0.25">
      <c r="A1438" s="3">
        <v>10407</v>
      </c>
      <c r="B1438" s="3">
        <v>26</v>
      </c>
      <c r="C1438" s="3">
        <v>76.430000000000007</v>
      </c>
      <c r="D1438" s="3">
        <v>1987.1800000000003</v>
      </c>
      <c r="E1438" s="3" t="str">
        <f t="shared" si="89"/>
        <v>Low</v>
      </c>
      <c r="F1438" s="3">
        <f t="shared" si="90"/>
        <v>596.15400000000011</v>
      </c>
      <c r="G1438" s="4">
        <v>38464</v>
      </c>
      <c r="H1438" s="3" t="s">
        <v>401</v>
      </c>
      <c r="I1438" s="3" t="str">
        <f t="shared" si="88"/>
        <v>No</v>
      </c>
      <c r="J1438" s="3" t="s">
        <v>688</v>
      </c>
      <c r="K1438" s="3">
        <v>2005</v>
      </c>
      <c r="L1438" s="3" t="str">
        <f t="shared" si="91"/>
        <v>Apr-2005</v>
      </c>
      <c r="M1438" s="3" t="s">
        <v>181</v>
      </c>
      <c r="N1438" s="3" t="s">
        <v>397</v>
      </c>
      <c r="O1438" s="3" t="s">
        <v>32</v>
      </c>
      <c r="P1438" s="3" t="s">
        <v>33</v>
      </c>
      <c r="Q1438" s="3" t="s">
        <v>36</v>
      </c>
    </row>
    <row r="1439" spans="1:17" x14ac:dyDescent="0.25">
      <c r="A1439" s="5">
        <v>10420</v>
      </c>
      <c r="B1439" s="5">
        <v>60</v>
      </c>
      <c r="C1439" s="5">
        <v>64.67</v>
      </c>
      <c r="D1439" s="5">
        <v>3880.2000000000003</v>
      </c>
      <c r="E1439" s="5" t="str">
        <f t="shared" si="89"/>
        <v>Medium</v>
      </c>
      <c r="F1439" s="5">
        <f t="shared" si="90"/>
        <v>1164.06</v>
      </c>
      <c r="G1439" s="6">
        <v>38501</v>
      </c>
      <c r="H1439" s="5" t="s">
        <v>300</v>
      </c>
      <c r="I1439" s="5" t="str">
        <f t="shared" si="88"/>
        <v>No</v>
      </c>
      <c r="J1439" s="5" t="s">
        <v>682</v>
      </c>
      <c r="K1439" s="5">
        <v>2005</v>
      </c>
      <c r="L1439" s="5" t="str">
        <f t="shared" si="91"/>
        <v>May-2005</v>
      </c>
      <c r="M1439" s="5" t="s">
        <v>181</v>
      </c>
      <c r="N1439" s="5" t="s">
        <v>152</v>
      </c>
      <c r="O1439" s="5" t="s">
        <v>95</v>
      </c>
      <c r="P1439" s="5" t="s">
        <v>96</v>
      </c>
      <c r="Q1439" s="5" t="s">
        <v>51</v>
      </c>
    </row>
    <row r="1440" spans="1:17" x14ac:dyDescent="0.25">
      <c r="A1440" s="3">
        <v>10104</v>
      </c>
      <c r="B1440" s="3">
        <v>35</v>
      </c>
      <c r="C1440" s="3">
        <v>55.49</v>
      </c>
      <c r="D1440" s="3">
        <v>1942.15</v>
      </c>
      <c r="E1440" s="3" t="str">
        <f t="shared" si="89"/>
        <v>Low</v>
      </c>
      <c r="F1440" s="3">
        <f t="shared" si="90"/>
        <v>582.64499999999998</v>
      </c>
      <c r="G1440" s="4">
        <v>37652</v>
      </c>
      <c r="H1440" s="3" t="s">
        <v>25</v>
      </c>
      <c r="I1440" s="3" t="str">
        <f t="shared" si="88"/>
        <v>Yes</v>
      </c>
      <c r="J1440" s="3" t="s">
        <v>549</v>
      </c>
      <c r="K1440" s="3">
        <v>2003</v>
      </c>
      <c r="L1440" s="3" t="str">
        <f t="shared" si="91"/>
        <v>Jan-2003</v>
      </c>
      <c r="M1440" s="3" t="s">
        <v>181</v>
      </c>
      <c r="N1440" s="3" t="s">
        <v>174</v>
      </c>
      <c r="O1440" s="3" t="s">
        <v>178</v>
      </c>
      <c r="P1440" s="3" t="s">
        <v>42</v>
      </c>
      <c r="Q1440" s="3" t="s">
        <v>36</v>
      </c>
    </row>
    <row r="1441" spans="1:17" x14ac:dyDescent="0.25">
      <c r="A1441" s="5">
        <v>10115</v>
      </c>
      <c r="B1441" s="5">
        <v>47</v>
      </c>
      <c r="C1441" s="5">
        <v>69.36</v>
      </c>
      <c r="D1441" s="5">
        <v>3259.92</v>
      </c>
      <c r="E1441" s="5" t="str">
        <f t="shared" si="89"/>
        <v>Medium</v>
      </c>
      <c r="F1441" s="5">
        <f t="shared" si="90"/>
        <v>977.976</v>
      </c>
      <c r="G1441" s="6">
        <v>37715</v>
      </c>
      <c r="H1441" s="5" t="s">
        <v>25</v>
      </c>
      <c r="I1441" s="5" t="str">
        <f t="shared" si="88"/>
        <v>Yes</v>
      </c>
      <c r="J1441" s="5" t="s">
        <v>688</v>
      </c>
      <c r="K1441" s="5">
        <v>2003</v>
      </c>
      <c r="L1441" s="5" t="str">
        <f t="shared" si="91"/>
        <v>Apr-2003</v>
      </c>
      <c r="M1441" s="5" t="s">
        <v>181</v>
      </c>
      <c r="N1441" s="5" t="s">
        <v>203</v>
      </c>
      <c r="O1441" s="5" t="s">
        <v>32</v>
      </c>
      <c r="P1441" s="5" t="s">
        <v>33</v>
      </c>
      <c r="Q1441" s="5" t="s">
        <v>51</v>
      </c>
    </row>
    <row r="1442" spans="1:17" x14ac:dyDescent="0.25">
      <c r="A1442" s="3">
        <v>10127</v>
      </c>
      <c r="B1442" s="3">
        <v>20</v>
      </c>
      <c r="C1442" s="3">
        <v>60.69</v>
      </c>
      <c r="D1442" s="3">
        <v>1213.8</v>
      </c>
      <c r="E1442" s="3" t="str">
        <f t="shared" si="89"/>
        <v>Low</v>
      </c>
      <c r="F1442" s="3">
        <f t="shared" si="90"/>
        <v>364.14</v>
      </c>
      <c r="G1442" s="4">
        <v>37775</v>
      </c>
      <c r="H1442" s="3" t="s">
        <v>25</v>
      </c>
      <c r="I1442" s="3" t="str">
        <f t="shared" si="88"/>
        <v>Yes</v>
      </c>
      <c r="J1442" s="3" t="s">
        <v>689</v>
      </c>
      <c r="K1442" s="3">
        <v>2003</v>
      </c>
      <c r="L1442" s="3" t="str">
        <f t="shared" si="91"/>
        <v>Jun-2003</v>
      </c>
      <c r="M1442" s="3" t="s">
        <v>181</v>
      </c>
      <c r="N1442" s="3" t="s">
        <v>475</v>
      </c>
      <c r="O1442" s="3" t="s">
        <v>32</v>
      </c>
      <c r="P1442" s="3" t="s">
        <v>33</v>
      </c>
      <c r="Q1442" s="3" t="s">
        <v>36</v>
      </c>
    </row>
    <row r="1443" spans="1:17" x14ac:dyDescent="0.25">
      <c r="A1443" s="5">
        <v>10141</v>
      </c>
      <c r="B1443" s="5">
        <v>20</v>
      </c>
      <c r="C1443" s="5">
        <v>54.33</v>
      </c>
      <c r="D1443" s="5">
        <v>1086.5999999999999</v>
      </c>
      <c r="E1443" s="5" t="str">
        <f t="shared" si="89"/>
        <v>Low</v>
      </c>
      <c r="F1443" s="5">
        <f t="shared" si="90"/>
        <v>325.97999999999996</v>
      </c>
      <c r="G1443" s="6">
        <v>37834</v>
      </c>
      <c r="H1443" s="5" t="s">
        <v>25</v>
      </c>
      <c r="I1443" s="5" t="str">
        <f t="shared" si="88"/>
        <v>Yes</v>
      </c>
      <c r="J1443" s="5" t="s">
        <v>684</v>
      </c>
      <c r="K1443" s="5">
        <v>2003</v>
      </c>
      <c r="L1443" s="5" t="str">
        <f t="shared" si="91"/>
        <v>Aug-2003</v>
      </c>
      <c r="M1443" s="5" t="s">
        <v>181</v>
      </c>
      <c r="N1443" s="5" t="s">
        <v>467</v>
      </c>
      <c r="O1443" s="5" t="s">
        <v>130</v>
      </c>
      <c r="P1443" s="5" t="s">
        <v>42</v>
      </c>
      <c r="Q1443" s="5" t="s">
        <v>36</v>
      </c>
    </row>
    <row r="1444" spans="1:17" x14ac:dyDescent="0.25">
      <c r="A1444" s="3">
        <v>10152</v>
      </c>
      <c r="B1444" s="3">
        <v>25</v>
      </c>
      <c r="C1444" s="3">
        <v>65.31</v>
      </c>
      <c r="D1444" s="3">
        <v>1632.75</v>
      </c>
      <c r="E1444" s="3" t="str">
        <f t="shared" si="89"/>
        <v>Low</v>
      </c>
      <c r="F1444" s="3">
        <f t="shared" si="90"/>
        <v>489.82499999999999</v>
      </c>
      <c r="G1444" s="4">
        <v>37889</v>
      </c>
      <c r="H1444" s="3" t="s">
        <v>25</v>
      </c>
      <c r="I1444" s="3" t="str">
        <f t="shared" si="88"/>
        <v>Yes</v>
      </c>
      <c r="J1444" s="3" t="s">
        <v>690</v>
      </c>
      <c r="K1444" s="3">
        <v>2003</v>
      </c>
      <c r="L1444" s="3" t="str">
        <f t="shared" si="91"/>
        <v>Sep-2003</v>
      </c>
      <c r="M1444" s="3" t="s">
        <v>181</v>
      </c>
      <c r="N1444" s="3" t="s">
        <v>207</v>
      </c>
      <c r="O1444" s="3" t="s">
        <v>95</v>
      </c>
      <c r="P1444" s="3" t="s">
        <v>96</v>
      </c>
      <c r="Q1444" s="3" t="s">
        <v>36</v>
      </c>
    </row>
    <row r="1445" spans="1:17" x14ac:dyDescent="0.25">
      <c r="A1445" s="5">
        <v>10165</v>
      </c>
      <c r="B1445" s="5">
        <v>25</v>
      </c>
      <c r="C1445" s="5">
        <v>69.36</v>
      </c>
      <c r="D1445" s="5">
        <v>1734</v>
      </c>
      <c r="E1445" s="5" t="str">
        <f t="shared" si="89"/>
        <v>Low</v>
      </c>
      <c r="F1445" s="5">
        <f t="shared" si="90"/>
        <v>520.19999999999993</v>
      </c>
      <c r="G1445" s="6">
        <v>37916</v>
      </c>
      <c r="H1445" s="5" t="s">
        <v>25</v>
      </c>
      <c r="I1445" s="5" t="str">
        <f t="shared" si="88"/>
        <v>Yes</v>
      </c>
      <c r="J1445" s="5" t="s">
        <v>685</v>
      </c>
      <c r="K1445" s="5">
        <v>2003</v>
      </c>
      <c r="L1445" s="5" t="str">
        <f t="shared" si="91"/>
        <v>Oct-2003</v>
      </c>
      <c r="M1445" s="5" t="s">
        <v>181</v>
      </c>
      <c r="N1445" s="5" t="s">
        <v>196</v>
      </c>
      <c r="O1445" s="5" t="s">
        <v>199</v>
      </c>
      <c r="P1445" s="5" t="s">
        <v>675</v>
      </c>
      <c r="Q1445" s="5" t="s">
        <v>36</v>
      </c>
    </row>
    <row r="1446" spans="1:17" x14ac:dyDescent="0.25">
      <c r="A1446" s="3">
        <v>10176</v>
      </c>
      <c r="B1446" s="3">
        <v>27</v>
      </c>
      <c r="C1446" s="3">
        <v>68.78</v>
      </c>
      <c r="D1446" s="3">
        <v>1857.06</v>
      </c>
      <c r="E1446" s="3" t="str">
        <f t="shared" si="89"/>
        <v>Low</v>
      </c>
      <c r="F1446" s="3">
        <f t="shared" si="90"/>
        <v>557.11799999999994</v>
      </c>
      <c r="G1446" s="4">
        <v>37931</v>
      </c>
      <c r="H1446" s="3" t="s">
        <v>25</v>
      </c>
      <c r="I1446" s="3" t="str">
        <f t="shared" si="88"/>
        <v>Yes</v>
      </c>
      <c r="J1446" s="3" t="s">
        <v>686</v>
      </c>
      <c r="K1446" s="3">
        <v>2003</v>
      </c>
      <c r="L1446" s="3" t="str">
        <f t="shared" si="91"/>
        <v>Nov-2003</v>
      </c>
      <c r="M1446" s="3" t="s">
        <v>181</v>
      </c>
      <c r="N1446" s="3" t="s">
        <v>452</v>
      </c>
      <c r="O1446" s="3" t="s">
        <v>258</v>
      </c>
      <c r="P1446" s="3" t="s">
        <v>42</v>
      </c>
      <c r="Q1446" s="3" t="s">
        <v>36</v>
      </c>
    </row>
    <row r="1447" spans="1:17" x14ac:dyDescent="0.25">
      <c r="A1447" s="5">
        <v>10184</v>
      </c>
      <c r="B1447" s="5">
        <v>31</v>
      </c>
      <c r="C1447" s="5">
        <v>60.11</v>
      </c>
      <c r="D1447" s="5">
        <v>1863.41</v>
      </c>
      <c r="E1447" s="5" t="str">
        <f t="shared" si="89"/>
        <v>Low</v>
      </c>
      <c r="F1447" s="5">
        <f t="shared" si="90"/>
        <v>559.02300000000002</v>
      </c>
      <c r="G1447" s="6">
        <v>37939</v>
      </c>
      <c r="H1447" s="5" t="s">
        <v>25</v>
      </c>
      <c r="I1447" s="5" t="str">
        <f t="shared" si="88"/>
        <v>Yes</v>
      </c>
      <c r="J1447" s="5" t="s">
        <v>686</v>
      </c>
      <c r="K1447" s="5">
        <v>2003</v>
      </c>
      <c r="L1447" s="5" t="str">
        <f t="shared" si="91"/>
        <v>Nov-2003</v>
      </c>
      <c r="M1447" s="5" t="s">
        <v>181</v>
      </c>
      <c r="N1447" s="5" t="s">
        <v>520</v>
      </c>
      <c r="O1447" s="5" t="s">
        <v>178</v>
      </c>
      <c r="P1447" s="5" t="s">
        <v>42</v>
      </c>
      <c r="Q1447" s="5" t="s">
        <v>36</v>
      </c>
    </row>
    <row r="1448" spans="1:17" x14ac:dyDescent="0.25">
      <c r="A1448" s="3">
        <v>10195</v>
      </c>
      <c r="B1448" s="3">
        <v>44</v>
      </c>
      <c r="C1448" s="3">
        <v>66.47</v>
      </c>
      <c r="D1448" s="3">
        <v>2924.68</v>
      </c>
      <c r="E1448" s="3" t="str">
        <f t="shared" si="89"/>
        <v>Medium</v>
      </c>
      <c r="F1448" s="3">
        <f t="shared" si="90"/>
        <v>877.40399999999988</v>
      </c>
      <c r="G1448" s="4">
        <v>37950</v>
      </c>
      <c r="H1448" s="3" t="s">
        <v>25</v>
      </c>
      <c r="I1448" s="3" t="str">
        <f t="shared" si="88"/>
        <v>Yes</v>
      </c>
      <c r="J1448" s="3" t="s">
        <v>686</v>
      </c>
      <c r="K1448" s="3">
        <v>2003</v>
      </c>
      <c r="L1448" s="3" t="str">
        <f t="shared" si="91"/>
        <v>Nov-2003</v>
      </c>
      <c r="M1448" s="3" t="s">
        <v>181</v>
      </c>
      <c r="N1448" s="3" t="s">
        <v>317</v>
      </c>
      <c r="O1448" s="3" t="s">
        <v>32</v>
      </c>
      <c r="P1448" s="3" t="s">
        <v>33</v>
      </c>
      <c r="Q1448" s="3" t="s">
        <v>36</v>
      </c>
    </row>
    <row r="1449" spans="1:17" x14ac:dyDescent="0.25">
      <c r="A1449" s="5">
        <v>10207</v>
      </c>
      <c r="B1449" s="5">
        <v>49</v>
      </c>
      <c r="C1449" s="5">
        <v>46.82</v>
      </c>
      <c r="D1449" s="5">
        <v>2294.1799999999998</v>
      </c>
      <c r="E1449" s="5" t="str">
        <f t="shared" si="89"/>
        <v>Medium</v>
      </c>
      <c r="F1449" s="5">
        <f t="shared" si="90"/>
        <v>688.25399999999991</v>
      </c>
      <c r="G1449" s="6">
        <v>37964</v>
      </c>
      <c r="H1449" s="5" t="s">
        <v>25</v>
      </c>
      <c r="I1449" s="5" t="str">
        <f t="shared" si="88"/>
        <v>Yes</v>
      </c>
      <c r="J1449" s="5" t="s">
        <v>687</v>
      </c>
      <c r="K1449" s="5">
        <v>2003</v>
      </c>
      <c r="L1449" s="5" t="str">
        <f t="shared" si="91"/>
        <v>Dec-2003</v>
      </c>
      <c r="M1449" s="5" t="s">
        <v>181</v>
      </c>
      <c r="N1449" s="5" t="s">
        <v>415</v>
      </c>
      <c r="O1449" s="5" t="s">
        <v>32</v>
      </c>
      <c r="P1449" s="5" t="s">
        <v>33</v>
      </c>
      <c r="Q1449" s="5" t="s">
        <v>36</v>
      </c>
    </row>
    <row r="1450" spans="1:17" x14ac:dyDescent="0.25">
      <c r="A1450" s="3">
        <v>10220</v>
      </c>
      <c r="B1450" s="3">
        <v>26</v>
      </c>
      <c r="C1450" s="3">
        <v>56.07</v>
      </c>
      <c r="D1450" s="3">
        <v>1457.82</v>
      </c>
      <c r="E1450" s="3" t="str">
        <f t="shared" si="89"/>
        <v>Low</v>
      </c>
      <c r="F1450" s="3">
        <f t="shared" si="90"/>
        <v>437.34599999999995</v>
      </c>
      <c r="G1450" s="4">
        <v>38029</v>
      </c>
      <c r="H1450" s="3" t="s">
        <v>25</v>
      </c>
      <c r="I1450" s="3" t="str">
        <f t="shared" si="88"/>
        <v>Yes</v>
      </c>
      <c r="J1450" s="3" t="s">
        <v>681</v>
      </c>
      <c r="K1450" s="3">
        <v>2004</v>
      </c>
      <c r="L1450" s="3" t="str">
        <f t="shared" si="91"/>
        <v>Feb-2004</v>
      </c>
      <c r="M1450" s="3" t="s">
        <v>181</v>
      </c>
      <c r="N1450" s="3" t="s">
        <v>479</v>
      </c>
      <c r="O1450" s="3" t="s">
        <v>484</v>
      </c>
      <c r="P1450" s="3" t="s">
        <v>42</v>
      </c>
      <c r="Q1450" s="3" t="s">
        <v>36</v>
      </c>
    </row>
    <row r="1451" spans="1:17" x14ac:dyDescent="0.25">
      <c r="A1451" s="5">
        <v>10230</v>
      </c>
      <c r="B1451" s="5">
        <v>36</v>
      </c>
      <c r="C1451" s="5">
        <v>54.33</v>
      </c>
      <c r="D1451" s="5">
        <v>1955.8799999999999</v>
      </c>
      <c r="E1451" s="5" t="str">
        <f t="shared" si="89"/>
        <v>Low</v>
      </c>
      <c r="F1451" s="5">
        <f t="shared" si="90"/>
        <v>586.7639999999999</v>
      </c>
      <c r="G1451" s="6">
        <v>38061</v>
      </c>
      <c r="H1451" s="5" t="s">
        <v>25</v>
      </c>
      <c r="I1451" s="5" t="str">
        <f t="shared" si="88"/>
        <v>Yes</v>
      </c>
      <c r="J1451" s="5" t="s">
        <v>691</v>
      </c>
      <c r="K1451" s="5">
        <v>2004</v>
      </c>
      <c r="L1451" s="5" t="str">
        <f t="shared" si="91"/>
        <v>Mar-2004</v>
      </c>
      <c r="M1451" s="5" t="s">
        <v>181</v>
      </c>
      <c r="N1451" s="5" t="s">
        <v>462</v>
      </c>
      <c r="O1451" s="5" t="s">
        <v>443</v>
      </c>
      <c r="P1451" s="5" t="s">
        <v>42</v>
      </c>
      <c r="Q1451" s="5" t="s">
        <v>36</v>
      </c>
    </row>
    <row r="1452" spans="1:17" x14ac:dyDescent="0.25">
      <c r="A1452" s="3">
        <v>10246</v>
      </c>
      <c r="B1452" s="3">
        <v>44</v>
      </c>
      <c r="C1452" s="3">
        <v>52.6</v>
      </c>
      <c r="D1452" s="3">
        <v>2314.4</v>
      </c>
      <c r="E1452" s="3" t="str">
        <f t="shared" si="89"/>
        <v>Medium</v>
      </c>
      <c r="F1452" s="3">
        <f t="shared" si="90"/>
        <v>694.32</v>
      </c>
      <c r="G1452" s="4">
        <v>38112</v>
      </c>
      <c r="H1452" s="3" t="s">
        <v>25</v>
      </c>
      <c r="I1452" s="3" t="str">
        <f t="shared" si="88"/>
        <v>Yes</v>
      </c>
      <c r="J1452" s="3" t="s">
        <v>682</v>
      </c>
      <c r="K1452" s="3">
        <v>2004</v>
      </c>
      <c r="L1452" s="3" t="str">
        <f t="shared" si="91"/>
        <v>May-2004</v>
      </c>
      <c r="M1452" s="3" t="s">
        <v>181</v>
      </c>
      <c r="N1452" s="3" t="s">
        <v>174</v>
      </c>
      <c r="O1452" s="3" t="s">
        <v>178</v>
      </c>
      <c r="P1452" s="3" t="s">
        <v>42</v>
      </c>
      <c r="Q1452" s="3" t="s">
        <v>36</v>
      </c>
    </row>
    <row r="1453" spans="1:17" x14ac:dyDescent="0.25">
      <c r="A1453" s="5">
        <v>10259</v>
      </c>
      <c r="B1453" s="5">
        <v>28</v>
      </c>
      <c r="C1453" s="5">
        <v>46.82</v>
      </c>
      <c r="D1453" s="5">
        <v>1310.96</v>
      </c>
      <c r="E1453" s="5" t="str">
        <f t="shared" si="89"/>
        <v>Low</v>
      </c>
      <c r="F1453" s="5">
        <f t="shared" si="90"/>
        <v>393.28800000000001</v>
      </c>
      <c r="G1453" s="6">
        <v>38153</v>
      </c>
      <c r="H1453" s="5" t="s">
        <v>25</v>
      </c>
      <c r="I1453" s="5" t="str">
        <f t="shared" si="88"/>
        <v>Yes</v>
      </c>
      <c r="J1453" s="5" t="s">
        <v>689</v>
      </c>
      <c r="K1453" s="5">
        <v>2004</v>
      </c>
      <c r="L1453" s="5" t="str">
        <f t="shared" si="91"/>
        <v>Jun-2004</v>
      </c>
      <c r="M1453" s="5" t="s">
        <v>181</v>
      </c>
      <c r="N1453" s="5" t="s">
        <v>418</v>
      </c>
      <c r="O1453" s="5" t="s">
        <v>199</v>
      </c>
      <c r="P1453" s="5" t="s">
        <v>96</v>
      </c>
      <c r="Q1453" s="5" t="s">
        <v>36</v>
      </c>
    </row>
    <row r="1454" spans="1:17" x14ac:dyDescent="0.25">
      <c r="A1454" s="3">
        <v>10271</v>
      </c>
      <c r="B1454" s="3">
        <v>45</v>
      </c>
      <c r="C1454" s="3">
        <v>64.739999999999995</v>
      </c>
      <c r="D1454" s="3">
        <v>2913.2999999999997</v>
      </c>
      <c r="E1454" s="3" t="str">
        <f t="shared" si="89"/>
        <v>Medium</v>
      </c>
      <c r="F1454" s="3">
        <f t="shared" si="90"/>
        <v>873.9899999999999</v>
      </c>
      <c r="G1454" s="4">
        <v>38188</v>
      </c>
      <c r="H1454" s="3" t="s">
        <v>25</v>
      </c>
      <c r="I1454" s="3" t="str">
        <f t="shared" si="88"/>
        <v>Yes</v>
      </c>
      <c r="J1454" s="3" t="s">
        <v>683</v>
      </c>
      <c r="K1454" s="3">
        <v>2004</v>
      </c>
      <c r="L1454" s="3" t="str">
        <f t="shared" si="91"/>
        <v>Jul-2004</v>
      </c>
      <c r="M1454" s="3" t="s">
        <v>181</v>
      </c>
      <c r="N1454" s="3" t="s">
        <v>272</v>
      </c>
      <c r="O1454" s="3" t="s">
        <v>32</v>
      </c>
      <c r="P1454" s="3" t="s">
        <v>33</v>
      </c>
      <c r="Q1454" s="3" t="s">
        <v>36</v>
      </c>
    </row>
    <row r="1455" spans="1:17" x14ac:dyDescent="0.25">
      <c r="A1455" s="5">
        <v>10282</v>
      </c>
      <c r="B1455" s="5">
        <v>29</v>
      </c>
      <c r="C1455" s="5">
        <v>46.82</v>
      </c>
      <c r="D1455" s="5">
        <v>1357.78</v>
      </c>
      <c r="E1455" s="5" t="str">
        <f t="shared" si="89"/>
        <v>Low</v>
      </c>
      <c r="F1455" s="5">
        <f t="shared" si="90"/>
        <v>407.334</v>
      </c>
      <c r="G1455" s="6">
        <v>38219</v>
      </c>
      <c r="H1455" s="5" t="s">
        <v>25</v>
      </c>
      <c r="I1455" s="5" t="str">
        <f t="shared" si="88"/>
        <v>Yes</v>
      </c>
      <c r="J1455" s="5" t="s">
        <v>684</v>
      </c>
      <c r="K1455" s="5">
        <v>2004</v>
      </c>
      <c r="L1455" s="5" t="str">
        <f t="shared" si="91"/>
        <v>Aug-2004</v>
      </c>
      <c r="M1455" s="5" t="s">
        <v>181</v>
      </c>
      <c r="N1455" s="5" t="s">
        <v>272</v>
      </c>
      <c r="O1455" s="5" t="s">
        <v>32</v>
      </c>
      <c r="P1455" s="5" t="s">
        <v>33</v>
      </c>
      <c r="Q1455" s="5" t="s">
        <v>36</v>
      </c>
    </row>
    <row r="1456" spans="1:17" x14ac:dyDescent="0.25">
      <c r="A1456" s="3">
        <v>10292</v>
      </c>
      <c r="B1456" s="3">
        <v>40</v>
      </c>
      <c r="C1456" s="3">
        <v>53.75</v>
      </c>
      <c r="D1456" s="3">
        <v>2150</v>
      </c>
      <c r="E1456" s="3" t="str">
        <f t="shared" si="89"/>
        <v>Medium</v>
      </c>
      <c r="F1456" s="3">
        <f t="shared" si="90"/>
        <v>645</v>
      </c>
      <c r="G1456" s="4">
        <v>38238</v>
      </c>
      <c r="H1456" s="3" t="s">
        <v>25</v>
      </c>
      <c r="I1456" s="3" t="str">
        <f t="shared" si="88"/>
        <v>Yes</v>
      </c>
      <c r="J1456" s="3" t="s">
        <v>690</v>
      </c>
      <c r="K1456" s="3">
        <v>2004</v>
      </c>
      <c r="L1456" s="3" t="str">
        <f t="shared" si="91"/>
        <v>Sep-2004</v>
      </c>
      <c r="M1456" s="3" t="s">
        <v>181</v>
      </c>
      <c r="N1456" s="3" t="s">
        <v>28</v>
      </c>
      <c r="O1456" s="3" t="s">
        <v>32</v>
      </c>
      <c r="P1456" s="3" t="s">
        <v>33</v>
      </c>
      <c r="Q1456" s="3" t="s">
        <v>36</v>
      </c>
    </row>
    <row r="1457" spans="1:17" x14ac:dyDescent="0.25">
      <c r="A1457" s="5">
        <v>10305</v>
      </c>
      <c r="B1457" s="5">
        <v>45</v>
      </c>
      <c r="C1457" s="5">
        <v>61.85</v>
      </c>
      <c r="D1457" s="5">
        <v>2783.25</v>
      </c>
      <c r="E1457" s="5" t="str">
        <f t="shared" si="89"/>
        <v>Medium</v>
      </c>
      <c r="F1457" s="5">
        <f t="shared" si="90"/>
        <v>834.97500000000002</v>
      </c>
      <c r="G1457" s="6">
        <v>38273</v>
      </c>
      <c r="H1457" s="5" t="s">
        <v>25</v>
      </c>
      <c r="I1457" s="5" t="str">
        <f t="shared" si="88"/>
        <v>Yes</v>
      </c>
      <c r="J1457" s="5" t="s">
        <v>685</v>
      </c>
      <c r="K1457" s="5">
        <v>2004</v>
      </c>
      <c r="L1457" s="5" t="str">
        <f t="shared" si="91"/>
        <v>Oct-2004</v>
      </c>
      <c r="M1457" s="5" t="s">
        <v>181</v>
      </c>
      <c r="N1457" s="5" t="s">
        <v>120</v>
      </c>
      <c r="O1457" s="5" t="s">
        <v>32</v>
      </c>
      <c r="P1457" s="5" t="s">
        <v>33</v>
      </c>
      <c r="Q1457" s="5" t="s">
        <v>36</v>
      </c>
    </row>
    <row r="1458" spans="1:17" x14ac:dyDescent="0.25">
      <c r="A1458" s="3">
        <v>10314</v>
      </c>
      <c r="B1458" s="3">
        <v>44</v>
      </c>
      <c r="C1458" s="3">
        <v>53.18</v>
      </c>
      <c r="D1458" s="3">
        <v>2339.92</v>
      </c>
      <c r="E1458" s="3" t="str">
        <f t="shared" si="89"/>
        <v>Medium</v>
      </c>
      <c r="F1458" s="3">
        <f t="shared" si="90"/>
        <v>701.976</v>
      </c>
      <c r="G1458" s="4">
        <v>38282</v>
      </c>
      <c r="H1458" s="3" t="s">
        <v>25</v>
      </c>
      <c r="I1458" s="3" t="str">
        <f t="shared" si="88"/>
        <v>Yes</v>
      </c>
      <c r="J1458" s="3" t="s">
        <v>685</v>
      </c>
      <c r="K1458" s="3">
        <v>2004</v>
      </c>
      <c r="L1458" s="3" t="str">
        <f t="shared" si="91"/>
        <v>Oct-2004</v>
      </c>
      <c r="M1458" s="3" t="s">
        <v>181</v>
      </c>
      <c r="N1458" s="3" t="s">
        <v>498</v>
      </c>
      <c r="O1458" s="3" t="s">
        <v>326</v>
      </c>
      <c r="P1458" s="3" t="s">
        <v>42</v>
      </c>
      <c r="Q1458" s="3" t="s">
        <v>36</v>
      </c>
    </row>
    <row r="1459" spans="1:17" x14ac:dyDescent="0.25">
      <c r="A1459" s="5">
        <v>10324</v>
      </c>
      <c r="B1459" s="5">
        <v>25</v>
      </c>
      <c r="C1459" s="5">
        <v>69.16</v>
      </c>
      <c r="D1459" s="5">
        <v>1729</v>
      </c>
      <c r="E1459" s="5" t="str">
        <f t="shared" si="89"/>
        <v>Low</v>
      </c>
      <c r="F1459" s="5">
        <f t="shared" si="90"/>
        <v>518.69999999999993</v>
      </c>
      <c r="G1459" s="6">
        <v>38296</v>
      </c>
      <c r="H1459" s="5" t="s">
        <v>25</v>
      </c>
      <c r="I1459" s="5" t="str">
        <f t="shared" si="88"/>
        <v>Yes</v>
      </c>
      <c r="J1459" s="5" t="s">
        <v>686</v>
      </c>
      <c r="K1459" s="5">
        <v>2004</v>
      </c>
      <c r="L1459" s="5" t="str">
        <f t="shared" si="91"/>
        <v>Nov-2004</v>
      </c>
      <c r="M1459" s="5" t="s">
        <v>181</v>
      </c>
      <c r="N1459" s="5" t="s">
        <v>99</v>
      </c>
      <c r="O1459" s="5" t="s">
        <v>32</v>
      </c>
      <c r="P1459" s="5" t="s">
        <v>33</v>
      </c>
      <c r="Q1459" s="5" t="s">
        <v>36</v>
      </c>
    </row>
    <row r="1460" spans="1:17" x14ac:dyDescent="0.25">
      <c r="A1460" s="3">
        <v>10336</v>
      </c>
      <c r="B1460" s="3">
        <v>45</v>
      </c>
      <c r="C1460" s="3">
        <v>100</v>
      </c>
      <c r="D1460" s="3">
        <v>4500</v>
      </c>
      <c r="E1460" s="3" t="str">
        <f t="shared" si="89"/>
        <v>Medium</v>
      </c>
      <c r="F1460" s="3">
        <f t="shared" si="90"/>
        <v>1350</v>
      </c>
      <c r="G1460" s="4">
        <v>38311</v>
      </c>
      <c r="H1460" s="3" t="s">
        <v>25</v>
      </c>
      <c r="I1460" s="3" t="str">
        <f t="shared" si="88"/>
        <v>Yes</v>
      </c>
      <c r="J1460" s="3" t="s">
        <v>686</v>
      </c>
      <c r="K1460" s="3">
        <v>2004</v>
      </c>
      <c r="L1460" s="3" t="str">
        <f t="shared" si="91"/>
        <v>Nov-2004</v>
      </c>
      <c r="M1460" s="3" t="s">
        <v>181</v>
      </c>
      <c r="N1460" s="3" t="s">
        <v>403</v>
      </c>
      <c r="O1460" s="3" t="s">
        <v>41</v>
      </c>
      <c r="P1460" s="3" t="s">
        <v>42</v>
      </c>
      <c r="Q1460" s="3" t="s">
        <v>51</v>
      </c>
    </row>
    <row r="1461" spans="1:17" x14ac:dyDescent="0.25">
      <c r="A1461" s="5">
        <v>10349</v>
      </c>
      <c r="B1461" s="5">
        <v>48</v>
      </c>
      <c r="C1461" s="5">
        <v>47.4</v>
      </c>
      <c r="D1461" s="5">
        <v>2275.1999999999998</v>
      </c>
      <c r="E1461" s="5" t="str">
        <f t="shared" si="89"/>
        <v>Medium</v>
      </c>
      <c r="F1461" s="5">
        <f t="shared" si="90"/>
        <v>682.56</v>
      </c>
      <c r="G1461" s="6">
        <v>38322</v>
      </c>
      <c r="H1461" s="5" t="s">
        <v>25</v>
      </c>
      <c r="I1461" s="5" t="str">
        <f t="shared" si="88"/>
        <v>Yes</v>
      </c>
      <c r="J1461" s="5" t="s">
        <v>687</v>
      </c>
      <c r="K1461" s="5">
        <v>2004</v>
      </c>
      <c r="L1461" s="5" t="str">
        <f t="shared" si="91"/>
        <v>Dec-2004</v>
      </c>
      <c r="M1461" s="5" t="s">
        <v>181</v>
      </c>
      <c r="N1461" s="5" t="s">
        <v>475</v>
      </c>
      <c r="O1461" s="5" t="s">
        <v>32</v>
      </c>
      <c r="P1461" s="5" t="s">
        <v>33</v>
      </c>
      <c r="Q1461" s="5" t="s">
        <v>36</v>
      </c>
    </row>
    <row r="1462" spans="1:17" x14ac:dyDescent="0.25">
      <c r="A1462" s="3">
        <v>10358</v>
      </c>
      <c r="B1462" s="3">
        <v>44</v>
      </c>
      <c r="C1462" s="3">
        <v>60.76</v>
      </c>
      <c r="D1462" s="3">
        <v>2673.44</v>
      </c>
      <c r="E1462" s="3" t="str">
        <f t="shared" si="89"/>
        <v>Medium</v>
      </c>
      <c r="F1462" s="3">
        <f t="shared" si="90"/>
        <v>802.03200000000004</v>
      </c>
      <c r="G1462" s="4">
        <v>38331</v>
      </c>
      <c r="H1462" s="3" t="s">
        <v>25</v>
      </c>
      <c r="I1462" s="3" t="str">
        <f t="shared" si="88"/>
        <v>Yes</v>
      </c>
      <c r="J1462" s="3" t="s">
        <v>687</v>
      </c>
      <c r="K1462" s="3">
        <v>2004</v>
      </c>
      <c r="L1462" s="3" t="str">
        <f t="shared" si="91"/>
        <v>Dec-2004</v>
      </c>
      <c r="M1462" s="3" t="s">
        <v>181</v>
      </c>
      <c r="N1462" s="3" t="s">
        <v>174</v>
      </c>
      <c r="O1462" s="3" t="s">
        <v>178</v>
      </c>
      <c r="P1462" s="3" t="s">
        <v>42</v>
      </c>
      <c r="Q1462" s="3" t="s">
        <v>36</v>
      </c>
    </row>
    <row r="1463" spans="1:17" x14ac:dyDescent="0.25">
      <c r="A1463" s="5">
        <v>10371</v>
      </c>
      <c r="B1463" s="5">
        <v>25</v>
      </c>
      <c r="C1463" s="5">
        <v>97.27</v>
      </c>
      <c r="D1463" s="5">
        <v>2431.75</v>
      </c>
      <c r="E1463" s="5" t="str">
        <f t="shared" si="89"/>
        <v>Medium</v>
      </c>
      <c r="F1463" s="5">
        <f t="shared" si="90"/>
        <v>729.52499999999998</v>
      </c>
      <c r="G1463" s="6">
        <v>38375</v>
      </c>
      <c r="H1463" s="5" t="s">
        <v>25</v>
      </c>
      <c r="I1463" s="5" t="str">
        <f t="shared" si="88"/>
        <v>Yes</v>
      </c>
      <c r="J1463" s="5" t="s">
        <v>549</v>
      </c>
      <c r="K1463" s="5">
        <v>2005</v>
      </c>
      <c r="L1463" s="5" t="str">
        <f t="shared" si="91"/>
        <v>Jan-2005</v>
      </c>
      <c r="M1463" s="5" t="s">
        <v>181</v>
      </c>
      <c r="N1463" s="5" t="s">
        <v>272</v>
      </c>
      <c r="O1463" s="5" t="s">
        <v>32</v>
      </c>
      <c r="P1463" s="5" t="s">
        <v>33</v>
      </c>
      <c r="Q1463" s="5" t="s">
        <v>36</v>
      </c>
    </row>
    <row r="1464" spans="1:17" x14ac:dyDescent="0.25">
      <c r="A1464" s="3">
        <v>10383</v>
      </c>
      <c r="B1464" s="3">
        <v>22</v>
      </c>
      <c r="C1464" s="3">
        <v>91.76</v>
      </c>
      <c r="D1464" s="3">
        <v>2018.72</v>
      </c>
      <c r="E1464" s="3" t="str">
        <f t="shared" si="89"/>
        <v>Medium</v>
      </c>
      <c r="F1464" s="3">
        <f t="shared" si="90"/>
        <v>605.61599999999999</v>
      </c>
      <c r="G1464" s="4">
        <v>38405</v>
      </c>
      <c r="H1464" s="3" t="s">
        <v>25</v>
      </c>
      <c r="I1464" s="3" t="str">
        <f t="shared" si="88"/>
        <v>Yes</v>
      </c>
      <c r="J1464" s="3" t="s">
        <v>681</v>
      </c>
      <c r="K1464" s="3">
        <v>2005</v>
      </c>
      <c r="L1464" s="3" t="str">
        <f t="shared" si="91"/>
        <v>Feb-2005</v>
      </c>
      <c r="M1464" s="3" t="s">
        <v>181</v>
      </c>
      <c r="N1464" s="3" t="s">
        <v>174</v>
      </c>
      <c r="O1464" s="3" t="s">
        <v>178</v>
      </c>
      <c r="P1464" s="3" t="s">
        <v>42</v>
      </c>
      <c r="Q1464" s="3" t="s">
        <v>36</v>
      </c>
    </row>
    <row r="1465" spans="1:17" x14ac:dyDescent="0.25">
      <c r="A1465" s="5">
        <v>10394</v>
      </c>
      <c r="B1465" s="5">
        <v>31</v>
      </c>
      <c r="C1465" s="5">
        <v>50.29</v>
      </c>
      <c r="D1465" s="5">
        <v>1558.99</v>
      </c>
      <c r="E1465" s="5" t="str">
        <f t="shared" si="89"/>
        <v>Low</v>
      </c>
      <c r="F1465" s="5">
        <f t="shared" si="90"/>
        <v>467.697</v>
      </c>
      <c r="G1465" s="6">
        <v>38426</v>
      </c>
      <c r="H1465" s="5" t="s">
        <v>25</v>
      </c>
      <c r="I1465" s="5" t="str">
        <f t="shared" si="88"/>
        <v>Yes</v>
      </c>
      <c r="J1465" s="5" t="s">
        <v>691</v>
      </c>
      <c r="K1465" s="5">
        <v>2005</v>
      </c>
      <c r="L1465" s="5" t="str">
        <f t="shared" si="91"/>
        <v>Mar-2005</v>
      </c>
      <c r="M1465" s="5" t="s">
        <v>181</v>
      </c>
      <c r="N1465" s="5" t="s">
        <v>174</v>
      </c>
      <c r="O1465" s="5" t="s">
        <v>178</v>
      </c>
      <c r="P1465" s="5" t="s">
        <v>42</v>
      </c>
      <c r="Q1465" s="5" t="s">
        <v>36</v>
      </c>
    </row>
    <row r="1466" spans="1:17" x14ac:dyDescent="0.25">
      <c r="A1466" s="3">
        <v>10412</v>
      </c>
      <c r="B1466" s="3">
        <v>21</v>
      </c>
      <c r="C1466" s="3">
        <v>52.6</v>
      </c>
      <c r="D1466" s="3">
        <v>1104.6000000000001</v>
      </c>
      <c r="E1466" s="3" t="str">
        <f t="shared" si="89"/>
        <v>Low</v>
      </c>
      <c r="F1466" s="3">
        <f t="shared" si="90"/>
        <v>331.38000000000005</v>
      </c>
      <c r="G1466" s="4">
        <v>38475</v>
      </c>
      <c r="H1466" s="3" t="s">
        <v>25</v>
      </c>
      <c r="I1466" s="3" t="str">
        <f t="shared" si="88"/>
        <v>Yes</v>
      </c>
      <c r="J1466" s="3" t="s">
        <v>682</v>
      </c>
      <c r="K1466" s="3">
        <v>2005</v>
      </c>
      <c r="L1466" s="3" t="str">
        <f t="shared" si="91"/>
        <v>May-2005</v>
      </c>
      <c r="M1466" s="3" t="s">
        <v>181</v>
      </c>
      <c r="N1466" s="3" t="s">
        <v>174</v>
      </c>
      <c r="O1466" s="3" t="s">
        <v>178</v>
      </c>
      <c r="P1466" s="3" t="s">
        <v>42</v>
      </c>
      <c r="Q1466" s="3" t="s">
        <v>36</v>
      </c>
    </row>
    <row r="1467" spans="1:17" x14ac:dyDescent="0.25">
      <c r="A1467" s="5">
        <v>10425</v>
      </c>
      <c r="B1467" s="5">
        <v>55</v>
      </c>
      <c r="C1467" s="5">
        <v>46.82</v>
      </c>
      <c r="D1467" s="5">
        <v>2575.1</v>
      </c>
      <c r="E1467" s="5" t="str">
        <f t="shared" si="89"/>
        <v>Medium</v>
      </c>
      <c r="F1467" s="5">
        <f t="shared" si="90"/>
        <v>772.53</v>
      </c>
      <c r="G1467" s="6">
        <v>38503</v>
      </c>
      <c r="H1467" s="5" t="s">
        <v>300</v>
      </c>
      <c r="I1467" s="5" t="str">
        <f t="shared" si="88"/>
        <v>No</v>
      </c>
      <c r="J1467" s="5" t="s">
        <v>682</v>
      </c>
      <c r="K1467" s="5">
        <v>2005</v>
      </c>
      <c r="L1467" s="5" t="str">
        <f t="shared" si="91"/>
        <v>May-2005</v>
      </c>
      <c r="M1467" s="5" t="s">
        <v>181</v>
      </c>
      <c r="N1467" s="5" t="s">
        <v>114</v>
      </c>
      <c r="O1467" s="5" t="s">
        <v>41</v>
      </c>
      <c r="P1467" s="5" t="s">
        <v>42</v>
      </c>
      <c r="Q1467" s="5" t="s">
        <v>36</v>
      </c>
    </row>
    <row r="1468" spans="1:17" x14ac:dyDescent="0.25">
      <c r="A1468" s="3">
        <v>10107</v>
      </c>
      <c r="B1468" s="3">
        <v>25</v>
      </c>
      <c r="C1468" s="3">
        <v>100</v>
      </c>
      <c r="D1468" s="3">
        <v>2500</v>
      </c>
      <c r="E1468" s="3" t="str">
        <f t="shared" si="89"/>
        <v>Medium</v>
      </c>
      <c r="F1468" s="3">
        <f t="shared" si="90"/>
        <v>750</v>
      </c>
      <c r="G1468" s="4">
        <v>37676</v>
      </c>
      <c r="H1468" s="3" t="s">
        <v>25</v>
      </c>
      <c r="I1468" s="3" t="str">
        <f t="shared" si="88"/>
        <v>Yes</v>
      </c>
      <c r="J1468" s="3" t="s">
        <v>681</v>
      </c>
      <c r="K1468" s="3">
        <v>2003</v>
      </c>
      <c r="L1468" s="3" t="str">
        <f t="shared" si="91"/>
        <v>Feb-2003</v>
      </c>
      <c r="M1468" s="3" t="s">
        <v>26</v>
      </c>
      <c r="N1468" s="3" t="s">
        <v>28</v>
      </c>
      <c r="O1468" s="3" t="s">
        <v>32</v>
      </c>
      <c r="P1468" s="3" t="s">
        <v>33</v>
      </c>
      <c r="Q1468" s="3" t="s">
        <v>36</v>
      </c>
    </row>
    <row r="1469" spans="1:17" x14ac:dyDescent="0.25">
      <c r="A1469" s="5">
        <v>10120</v>
      </c>
      <c r="B1469" s="5">
        <v>35</v>
      </c>
      <c r="C1469" s="5">
        <v>98.05</v>
      </c>
      <c r="D1469" s="5">
        <v>3431.75</v>
      </c>
      <c r="E1469" s="5" t="str">
        <f t="shared" si="89"/>
        <v>Medium</v>
      </c>
      <c r="F1469" s="5">
        <f t="shared" si="90"/>
        <v>1029.5249999999999</v>
      </c>
      <c r="G1469" s="6">
        <v>37740</v>
      </c>
      <c r="H1469" s="5" t="s">
        <v>25</v>
      </c>
      <c r="I1469" s="5" t="str">
        <f t="shared" si="88"/>
        <v>Yes</v>
      </c>
      <c r="J1469" s="5" t="s">
        <v>688</v>
      </c>
      <c r="K1469" s="5">
        <v>2003</v>
      </c>
      <c r="L1469" s="5" t="str">
        <f t="shared" si="91"/>
        <v>Apr-2003</v>
      </c>
      <c r="M1469" s="5" t="s">
        <v>26</v>
      </c>
      <c r="N1469" s="5" t="s">
        <v>89</v>
      </c>
      <c r="O1469" s="5" t="s">
        <v>95</v>
      </c>
      <c r="P1469" s="5" t="s">
        <v>96</v>
      </c>
      <c r="Q1469" s="5" t="s">
        <v>51</v>
      </c>
    </row>
    <row r="1470" spans="1:17" x14ac:dyDescent="0.25">
      <c r="A1470" s="3">
        <v>10134</v>
      </c>
      <c r="B1470" s="3">
        <v>35</v>
      </c>
      <c r="C1470" s="3">
        <v>93.54</v>
      </c>
      <c r="D1470" s="3">
        <v>3273.9</v>
      </c>
      <c r="E1470" s="3" t="str">
        <f t="shared" si="89"/>
        <v>Medium</v>
      </c>
      <c r="F1470" s="3">
        <f t="shared" si="90"/>
        <v>982.17</v>
      </c>
      <c r="G1470" s="4">
        <v>37803</v>
      </c>
      <c r="H1470" s="3" t="s">
        <v>25</v>
      </c>
      <c r="I1470" s="3" t="str">
        <f t="shared" si="88"/>
        <v>Yes</v>
      </c>
      <c r="J1470" s="3" t="s">
        <v>683</v>
      </c>
      <c r="K1470" s="3">
        <v>2003</v>
      </c>
      <c r="L1470" s="3" t="str">
        <f t="shared" si="91"/>
        <v>Jul-2003</v>
      </c>
      <c r="M1470" s="3" t="s">
        <v>26</v>
      </c>
      <c r="N1470" s="3" t="s">
        <v>45</v>
      </c>
      <c r="O1470" s="3" t="s">
        <v>41</v>
      </c>
      <c r="P1470" s="3" t="s">
        <v>42</v>
      </c>
      <c r="Q1470" s="3" t="s">
        <v>51</v>
      </c>
    </row>
    <row r="1471" spans="1:17" x14ac:dyDescent="0.25">
      <c r="A1471" s="5">
        <v>10145</v>
      </c>
      <c r="B1471" s="5">
        <v>43</v>
      </c>
      <c r="C1471" s="5">
        <v>95.8</v>
      </c>
      <c r="D1471" s="5">
        <v>4119.3999999999996</v>
      </c>
      <c r="E1471" s="5" t="str">
        <f t="shared" si="89"/>
        <v>Medium</v>
      </c>
      <c r="F1471" s="5">
        <f t="shared" si="90"/>
        <v>1235.82</v>
      </c>
      <c r="G1471" s="6">
        <v>37858</v>
      </c>
      <c r="H1471" s="5" t="s">
        <v>25</v>
      </c>
      <c r="I1471" s="5" t="str">
        <f t="shared" si="88"/>
        <v>Yes</v>
      </c>
      <c r="J1471" s="5" t="s">
        <v>684</v>
      </c>
      <c r="K1471" s="5">
        <v>2003</v>
      </c>
      <c r="L1471" s="5" t="str">
        <f t="shared" si="91"/>
        <v>Aug-2003</v>
      </c>
      <c r="M1471" s="5" t="s">
        <v>26</v>
      </c>
      <c r="N1471" s="5" t="s">
        <v>52</v>
      </c>
      <c r="O1471" s="5" t="s">
        <v>32</v>
      </c>
      <c r="P1471" s="5" t="s">
        <v>33</v>
      </c>
      <c r="Q1471" s="5" t="s">
        <v>51</v>
      </c>
    </row>
    <row r="1472" spans="1:17" x14ac:dyDescent="0.25">
      <c r="A1472" s="3">
        <v>10159</v>
      </c>
      <c r="B1472" s="3">
        <v>44</v>
      </c>
      <c r="C1472" s="3">
        <v>100</v>
      </c>
      <c r="D1472" s="3">
        <v>4400</v>
      </c>
      <c r="E1472" s="3" t="str">
        <f t="shared" si="89"/>
        <v>Medium</v>
      </c>
      <c r="F1472" s="3">
        <f t="shared" si="90"/>
        <v>1320</v>
      </c>
      <c r="G1472" s="4">
        <v>37904</v>
      </c>
      <c r="H1472" s="3" t="s">
        <v>25</v>
      </c>
      <c r="I1472" s="3" t="str">
        <f t="shared" si="88"/>
        <v>Yes</v>
      </c>
      <c r="J1472" s="3" t="s">
        <v>685</v>
      </c>
      <c r="K1472" s="3">
        <v>2003</v>
      </c>
      <c r="L1472" s="3" t="str">
        <f t="shared" si="91"/>
        <v>Oct-2003</v>
      </c>
      <c r="M1472" s="3" t="s">
        <v>26</v>
      </c>
      <c r="N1472" s="3" t="s">
        <v>58</v>
      </c>
      <c r="O1472" s="3" t="s">
        <v>32</v>
      </c>
      <c r="P1472" s="3" t="s">
        <v>33</v>
      </c>
      <c r="Q1472" s="3" t="s">
        <v>51</v>
      </c>
    </row>
    <row r="1473" spans="1:17" x14ac:dyDescent="0.25">
      <c r="A1473" s="5">
        <v>10168</v>
      </c>
      <c r="B1473" s="5">
        <v>50</v>
      </c>
      <c r="C1473" s="5">
        <v>100</v>
      </c>
      <c r="D1473" s="5">
        <v>5000</v>
      </c>
      <c r="E1473" s="5" t="str">
        <f t="shared" si="89"/>
        <v>High</v>
      </c>
      <c r="F1473" s="5">
        <f t="shared" si="90"/>
        <v>1500</v>
      </c>
      <c r="G1473" s="6">
        <v>37922</v>
      </c>
      <c r="H1473" s="5" t="s">
        <v>25</v>
      </c>
      <c r="I1473" s="5" t="str">
        <f t="shared" si="88"/>
        <v>Yes</v>
      </c>
      <c r="J1473" s="5" t="s">
        <v>685</v>
      </c>
      <c r="K1473" s="5">
        <v>2003</v>
      </c>
      <c r="L1473" s="5" t="str">
        <f t="shared" si="91"/>
        <v>Oct-2003</v>
      </c>
      <c r="M1473" s="5" t="s">
        <v>26</v>
      </c>
      <c r="N1473" s="5" t="s">
        <v>62</v>
      </c>
      <c r="O1473" s="5" t="s">
        <v>32</v>
      </c>
      <c r="P1473" s="5" t="s">
        <v>33</v>
      </c>
      <c r="Q1473" s="5" t="s">
        <v>51</v>
      </c>
    </row>
    <row r="1474" spans="1:17" x14ac:dyDescent="0.25">
      <c r="A1474" s="3">
        <v>10180</v>
      </c>
      <c r="B1474" s="3">
        <v>48</v>
      </c>
      <c r="C1474" s="3">
        <v>100</v>
      </c>
      <c r="D1474" s="3">
        <v>4800</v>
      </c>
      <c r="E1474" s="3" t="str">
        <f t="shared" si="89"/>
        <v>Medium</v>
      </c>
      <c r="F1474" s="3">
        <f t="shared" si="90"/>
        <v>1440</v>
      </c>
      <c r="G1474" s="4">
        <v>37936</v>
      </c>
      <c r="H1474" s="3" t="s">
        <v>25</v>
      </c>
      <c r="I1474" s="3" t="str">
        <f t="shared" ref="I1474:I1537" si="92">IF(H1474="Shipped","Yes","No")</f>
        <v>Yes</v>
      </c>
      <c r="J1474" s="3" t="s">
        <v>686</v>
      </c>
      <c r="K1474" s="3">
        <v>2003</v>
      </c>
      <c r="L1474" s="3" t="str">
        <f t="shared" si="91"/>
        <v>Nov-2003</v>
      </c>
      <c r="M1474" s="3" t="s">
        <v>26</v>
      </c>
      <c r="N1474" s="3" t="s">
        <v>67</v>
      </c>
      <c r="O1474" s="3" t="s">
        <v>41</v>
      </c>
      <c r="P1474" s="3" t="s">
        <v>42</v>
      </c>
      <c r="Q1474" s="3" t="s">
        <v>51</v>
      </c>
    </row>
    <row r="1475" spans="1:17" x14ac:dyDescent="0.25">
      <c r="A1475" s="5">
        <v>10188</v>
      </c>
      <c r="B1475" s="5">
        <v>25</v>
      </c>
      <c r="C1475" s="5">
        <v>100</v>
      </c>
      <c r="D1475" s="5">
        <v>2500</v>
      </c>
      <c r="E1475" s="5" t="str">
        <f t="shared" ref="E1475:E1538" si="93">IF(D1475&gt;=5000,"High",IF(D1475&gt;=2000,"Medium","Low"))</f>
        <v>Medium</v>
      </c>
      <c r="F1475" s="5">
        <f t="shared" ref="F1475:F1538" si="94">(D1475*0.3)</f>
        <v>750</v>
      </c>
      <c r="G1475" s="6">
        <v>37943</v>
      </c>
      <c r="H1475" s="5" t="s">
        <v>25</v>
      </c>
      <c r="I1475" s="5" t="str">
        <f t="shared" si="92"/>
        <v>Yes</v>
      </c>
      <c r="J1475" s="5" t="s">
        <v>686</v>
      </c>
      <c r="K1475" s="5">
        <v>2003</v>
      </c>
      <c r="L1475" s="5" t="str">
        <f t="shared" ref="L1475:L1538" si="95">TEXT(G:G,"MMM-YYYY")</f>
        <v>Nov-2003</v>
      </c>
      <c r="M1475" s="5" t="s">
        <v>26</v>
      </c>
      <c r="N1475" s="5" t="s">
        <v>73</v>
      </c>
      <c r="O1475" s="5" t="s">
        <v>78</v>
      </c>
      <c r="P1475" s="5" t="s">
        <v>42</v>
      </c>
      <c r="Q1475" s="5" t="s">
        <v>36</v>
      </c>
    </row>
    <row r="1476" spans="1:17" x14ac:dyDescent="0.25">
      <c r="A1476" s="3">
        <v>10201</v>
      </c>
      <c r="B1476" s="3">
        <v>39</v>
      </c>
      <c r="C1476" s="3">
        <v>100</v>
      </c>
      <c r="D1476" s="3">
        <v>3900</v>
      </c>
      <c r="E1476" s="3" t="str">
        <f t="shared" si="93"/>
        <v>Medium</v>
      </c>
      <c r="F1476" s="3">
        <f t="shared" si="94"/>
        <v>1170</v>
      </c>
      <c r="G1476" s="4">
        <v>37956</v>
      </c>
      <c r="H1476" s="3" t="s">
        <v>25</v>
      </c>
      <c r="I1476" s="3" t="str">
        <f t="shared" si="92"/>
        <v>Yes</v>
      </c>
      <c r="J1476" s="3" t="s">
        <v>687</v>
      </c>
      <c r="K1476" s="3">
        <v>2003</v>
      </c>
      <c r="L1476" s="3" t="str">
        <f t="shared" si="95"/>
        <v>Dec-2003</v>
      </c>
      <c r="M1476" s="3" t="s">
        <v>26</v>
      </c>
      <c r="N1476" s="3" t="s">
        <v>81</v>
      </c>
      <c r="O1476" s="3" t="s">
        <v>32</v>
      </c>
      <c r="P1476" s="3" t="s">
        <v>33</v>
      </c>
      <c r="Q1476" s="3" t="s">
        <v>51</v>
      </c>
    </row>
    <row r="1477" spans="1:17" x14ac:dyDescent="0.25">
      <c r="A1477" s="5">
        <v>10211</v>
      </c>
      <c r="B1477" s="5">
        <v>25</v>
      </c>
      <c r="C1477" s="5">
        <v>90.16</v>
      </c>
      <c r="D1477" s="5">
        <v>2254</v>
      </c>
      <c r="E1477" s="5" t="str">
        <f t="shared" si="93"/>
        <v>Medium</v>
      </c>
      <c r="F1477" s="5">
        <f t="shared" si="94"/>
        <v>676.19999999999993</v>
      </c>
      <c r="G1477" s="6">
        <v>38001</v>
      </c>
      <c r="H1477" s="5" t="s">
        <v>25</v>
      </c>
      <c r="I1477" s="5" t="str">
        <f t="shared" si="92"/>
        <v>Yes</v>
      </c>
      <c r="J1477" s="5" t="s">
        <v>549</v>
      </c>
      <c r="K1477" s="5">
        <v>2004</v>
      </c>
      <c r="L1477" s="5" t="str">
        <f t="shared" si="95"/>
        <v>Jan-2004</v>
      </c>
      <c r="M1477" s="5" t="s">
        <v>26</v>
      </c>
      <c r="N1477" s="5" t="s">
        <v>84</v>
      </c>
      <c r="O1477" s="5" t="s">
        <v>41</v>
      </c>
      <c r="P1477" s="5" t="s">
        <v>42</v>
      </c>
      <c r="Q1477" s="5" t="s">
        <v>36</v>
      </c>
    </row>
    <row r="1478" spans="1:17" x14ac:dyDescent="0.25">
      <c r="A1478" s="3">
        <v>10223</v>
      </c>
      <c r="B1478" s="3">
        <v>32</v>
      </c>
      <c r="C1478" s="3">
        <v>91.29</v>
      </c>
      <c r="D1478" s="3">
        <v>2921.28</v>
      </c>
      <c r="E1478" s="3" t="str">
        <f t="shared" si="93"/>
        <v>Medium</v>
      </c>
      <c r="F1478" s="3">
        <f t="shared" si="94"/>
        <v>876.38400000000001</v>
      </c>
      <c r="G1478" s="4">
        <v>38037</v>
      </c>
      <c r="H1478" s="3" t="s">
        <v>25</v>
      </c>
      <c r="I1478" s="3" t="str">
        <f t="shared" si="92"/>
        <v>Yes</v>
      </c>
      <c r="J1478" s="3" t="s">
        <v>681</v>
      </c>
      <c r="K1478" s="3">
        <v>2004</v>
      </c>
      <c r="L1478" s="3" t="str">
        <f t="shared" si="95"/>
        <v>Feb-2004</v>
      </c>
      <c r="M1478" s="3" t="s">
        <v>26</v>
      </c>
      <c r="N1478" s="3" t="s">
        <v>89</v>
      </c>
      <c r="O1478" s="3" t="s">
        <v>95</v>
      </c>
      <c r="P1478" s="3" t="s">
        <v>96</v>
      </c>
      <c r="Q1478" s="3" t="s">
        <v>36</v>
      </c>
    </row>
    <row r="1479" spans="1:17" x14ac:dyDescent="0.25">
      <c r="A1479" s="5">
        <v>10237</v>
      </c>
      <c r="B1479" s="5">
        <v>20</v>
      </c>
      <c r="C1479" s="5">
        <v>100</v>
      </c>
      <c r="D1479" s="5">
        <v>2000</v>
      </c>
      <c r="E1479" s="5" t="str">
        <f t="shared" si="93"/>
        <v>Medium</v>
      </c>
      <c r="F1479" s="5">
        <f t="shared" si="94"/>
        <v>600</v>
      </c>
      <c r="G1479" s="6">
        <v>38082</v>
      </c>
      <c r="H1479" s="5" t="s">
        <v>25</v>
      </c>
      <c r="I1479" s="5" t="str">
        <f t="shared" si="92"/>
        <v>Yes</v>
      </c>
      <c r="J1479" s="5" t="s">
        <v>688</v>
      </c>
      <c r="K1479" s="5">
        <v>2004</v>
      </c>
      <c r="L1479" s="5" t="str">
        <f t="shared" si="95"/>
        <v>Apr-2004</v>
      </c>
      <c r="M1479" s="5" t="s">
        <v>26</v>
      </c>
      <c r="N1479" s="5" t="s">
        <v>99</v>
      </c>
      <c r="O1479" s="5" t="s">
        <v>32</v>
      </c>
      <c r="P1479" s="5" t="s">
        <v>33</v>
      </c>
      <c r="Q1479" s="5" t="s">
        <v>36</v>
      </c>
    </row>
    <row r="1480" spans="1:17" x14ac:dyDescent="0.25">
      <c r="A1480" s="3">
        <v>10251</v>
      </c>
      <c r="B1480" s="3">
        <v>26</v>
      </c>
      <c r="C1480" s="3">
        <v>100</v>
      </c>
      <c r="D1480" s="3">
        <v>2600</v>
      </c>
      <c r="E1480" s="3" t="str">
        <f t="shared" si="93"/>
        <v>Medium</v>
      </c>
      <c r="F1480" s="3">
        <f t="shared" si="94"/>
        <v>780</v>
      </c>
      <c r="G1480" s="4">
        <v>38125</v>
      </c>
      <c r="H1480" s="3" t="s">
        <v>25</v>
      </c>
      <c r="I1480" s="3" t="str">
        <f t="shared" si="92"/>
        <v>Yes</v>
      </c>
      <c r="J1480" s="3" t="s">
        <v>682</v>
      </c>
      <c r="K1480" s="3">
        <v>2004</v>
      </c>
      <c r="L1480" s="3" t="str">
        <f t="shared" si="95"/>
        <v>May-2004</v>
      </c>
      <c r="M1480" s="3" t="s">
        <v>26</v>
      </c>
      <c r="N1480" s="3" t="s">
        <v>104</v>
      </c>
      <c r="O1480" s="3" t="s">
        <v>32</v>
      </c>
      <c r="P1480" s="3" t="s">
        <v>33</v>
      </c>
      <c r="Q1480" s="3" t="s">
        <v>36</v>
      </c>
    </row>
    <row r="1481" spans="1:17" x14ac:dyDescent="0.25">
      <c r="A1481" s="5">
        <v>10263</v>
      </c>
      <c r="B1481" s="5">
        <v>42</v>
      </c>
      <c r="C1481" s="5">
        <v>100</v>
      </c>
      <c r="D1481" s="5">
        <v>4200</v>
      </c>
      <c r="E1481" s="5" t="str">
        <f t="shared" si="93"/>
        <v>Medium</v>
      </c>
      <c r="F1481" s="5">
        <f t="shared" si="94"/>
        <v>1260</v>
      </c>
      <c r="G1481" s="6">
        <v>38166</v>
      </c>
      <c r="H1481" s="5" t="s">
        <v>25</v>
      </c>
      <c r="I1481" s="5" t="str">
        <f t="shared" si="92"/>
        <v>Yes</v>
      </c>
      <c r="J1481" s="5" t="s">
        <v>689</v>
      </c>
      <c r="K1481" s="5">
        <v>2004</v>
      </c>
      <c r="L1481" s="5" t="str">
        <f t="shared" si="95"/>
        <v>Jun-2004</v>
      </c>
      <c r="M1481" s="5" t="s">
        <v>26</v>
      </c>
      <c r="N1481" s="5" t="s">
        <v>109</v>
      </c>
      <c r="O1481" s="5" t="s">
        <v>32</v>
      </c>
      <c r="P1481" s="5" t="s">
        <v>33</v>
      </c>
      <c r="Q1481" s="5" t="s">
        <v>51</v>
      </c>
    </row>
    <row r="1482" spans="1:17" x14ac:dyDescent="0.25">
      <c r="A1482" s="3">
        <v>10275</v>
      </c>
      <c r="B1482" s="3">
        <v>21</v>
      </c>
      <c r="C1482" s="3">
        <v>100</v>
      </c>
      <c r="D1482" s="3">
        <v>2100</v>
      </c>
      <c r="E1482" s="3" t="str">
        <f t="shared" si="93"/>
        <v>Medium</v>
      </c>
      <c r="F1482" s="3">
        <f t="shared" si="94"/>
        <v>630</v>
      </c>
      <c r="G1482" s="4">
        <v>38191</v>
      </c>
      <c r="H1482" s="3" t="s">
        <v>25</v>
      </c>
      <c r="I1482" s="3" t="str">
        <f t="shared" si="92"/>
        <v>Yes</v>
      </c>
      <c r="J1482" s="3" t="s">
        <v>683</v>
      </c>
      <c r="K1482" s="3">
        <v>2004</v>
      </c>
      <c r="L1482" s="3" t="str">
        <f t="shared" si="95"/>
        <v>Jul-2004</v>
      </c>
      <c r="M1482" s="3" t="s">
        <v>26</v>
      </c>
      <c r="N1482" s="3" t="s">
        <v>114</v>
      </c>
      <c r="O1482" s="3" t="s">
        <v>41</v>
      </c>
      <c r="P1482" s="3" t="s">
        <v>42</v>
      </c>
      <c r="Q1482" s="3" t="s">
        <v>36</v>
      </c>
    </row>
    <row r="1483" spans="1:17" x14ac:dyDescent="0.25">
      <c r="A1483" s="5">
        <v>10285</v>
      </c>
      <c r="B1483" s="5">
        <v>34</v>
      </c>
      <c r="C1483" s="5">
        <v>100</v>
      </c>
      <c r="D1483" s="5">
        <v>3400</v>
      </c>
      <c r="E1483" s="5" t="str">
        <f t="shared" si="93"/>
        <v>Medium</v>
      </c>
      <c r="F1483" s="5">
        <f t="shared" si="94"/>
        <v>1020</v>
      </c>
      <c r="G1483" s="6">
        <v>38226</v>
      </c>
      <c r="H1483" s="5" t="s">
        <v>25</v>
      </c>
      <c r="I1483" s="5" t="str">
        <f t="shared" si="92"/>
        <v>Yes</v>
      </c>
      <c r="J1483" s="5" t="s">
        <v>684</v>
      </c>
      <c r="K1483" s="5">
        <v>2004</v>
      </c>
      <c r="L1483" s="5" t="str">
        <f t="shared" si="95"/>
        <v>Aug-2004</v>
      </c>
      <c r="M1483" s="5" t="s">
        <v>26</v>
      </c>
      <c r="N1483" s="5" t="s">
        <v>120</v>
      </c>
      <c r="O1483" s="5" t="s">
        <v>32</v>
      </c>
      <c r="P1483" s="5" t="s">
        <v>33</v>
      </c>
      <c r="Q1483" s="5" t="s">
        <v>51</v>
      </c>
    </row>
    <row r="1484" spans="1:17" x14ac:dyDescent="0.25">
      <c r="A1484" s="3">
        <v>10299</v>
      </c>
      <c r="B1484" s="3">
        <v>47</v>
      </c>
      <c r="C1484" s="3">
        <v>100</v>
      </c>
      <c r="D1484" s="3">
        <v>4700</v>
      </c>
      <c r="E1484" s="3" t="str">
        <f t="shared" si="93"/>
        <v>Medium</v>
      </c>
      <c r="F1484" s="3">
        <f t="shared" si="94"/>
        <v>1410</v>
      </c>
      <c r="G1484" s="4">
        <v>38260</v>
      </c>
      <c r="H1484" s="3" t="s">
        <v>25</v>
      </c>
      <c r="I1484" s="3" t="str">
        <f t="shared" si="92"/>
        <v>Yes</v>
      </c>
      <c r="J1484" s="3" t="s">
        <v>690</v>
      </c>
      <c r="K1484" s="3">
        <v>2004</v>
      </c>
      <c r="L1484" s="3" t="str">
        <f t="shared" si="95"/>
        <v>Sep-2004</v>
      </c>
      <c r="M1484" s="3" t="s">
        <v>26</v>
      </c>
      <c r="N1484" s="3" t="s">
        <v>126</v>
      </c>
      <c r="O1484" s="3" t="s">
        <v>130</v>
      </c>
      <c r="P1484" s="3" t="s">
        <v>42</v>
      </c>
      <c r="Q1484" s="3" t="s">
        <v>51</v>
      </c>
    </row>
    <row r="1485" spans="1:17" x14ac:dyDescent="0.25">
      <c r="A1485" s="5">
        <v>10309</v>
      </c>
      <c r="B1485" s="5">
        <v>21</v>
      </c>
      <c r="C1485" s="5">
        <v>100</v>
      </c>
      <c r="D1485" s="5">
        <v>2100</v>
      </c>
      <c r="E1485" s="5" t="str">
        <f t="shared" si="93"/>
        <v>Medium</v>
      </c>
      <c r="F1485" s="5">
        <f t="shared" si="94"/>
        <v>630</v>
      </c>
      <c r="G1485" s="6">
        <v>38275</v>
      </c>
      <c r="H1485" s="5" t="s">
        <v>25</v>
      </c>
      <c r="I1485" s="5" t="str">
        <f t="shared" si="92"/>
        <v>Yes</v>
      </c>
      <c r="J1485" s="5" t="s">
        <v>685</v>
      </c>
      <c r="K1485" s="5">
        <v>2004</v>
      </c>
      <c r="L1485" s="5" t="str">
        <f t="shared" si="95"/>
        <v>Oct-2004</v>
      </c>
      <c r="M1485" s="5" t="s">
        <v>26</v>
      </c>
      <c r="N1485" s="5" t="s">
        <v>133</v>
      </c>
      <c r="O1485" s="5" t="s">
        <v>78</v>
      </c>
      <c r="P1485" s="5" t="s">
        <v>42</v>
      </c>
      <c r="Q1485" s="5" t="s">
        <v>36</v>
      </c>
    </row>
    <row r="1486" spans="1:17" x14ac:dyDescent="0.25">
      <c r="A1486" s="3">
        <v>10318</v>
      </c>
      <c r="B1486" s="3">
        <v>48</v>
      </c>
      <c r="C1486" s="3">
        <v>100</v>
      </c>
      <c r="D1486" s="3">
        <v>4800</v>
      </c>
      <c r="E1486" s="3" t="str">
        <f t="shared" si="93"/>
        <v>Medium</v>
      </c>
      <c r="F1486" s="3">
        <f t="shared" si="94"/>
        <v>1440</v>
      </c>
      <c r="G1486" s="4">
        <v>38293</v>
      </c>
      <c r="H1486" s="3" t="s">
        <v>25</v>
      </c>
      <c r="I1486" s="3" t="str">
        <f t="shared" si="92"/>
        <v>Yes</v>
      </c>
      <c r="J1486" s="3" t="s">
        <v>686</v>
      </c>
      <c r="K1486" s="3">
        <v>2004</v>
      </c>
      <c r="L1486" s="3" t="str">
        <f t="shared" si="95"/>
        <v>Nov-2004</v>
      </c>
      <c r="M1486" s="3" t="s">
        <v>26</v>
      </c>
      <c r="N1486" s="3" t="s">
        <v>139</v>
      </c>
      <c r="O1486" s="3" t="s">
        <v>32</v>
      </c>
      <c r="P1486" s="3" t="s">
        <v>33</v>
      </c>
      <c r="Q1486" s="3" t="s">
        <v>51</v>
      </c>
    </row>
    <row r="1487" spans="1:17" x14ac:dyDescent="0.25">
      <c r="A1487" s="5">
        <v>10329</v>
      </c>
      <c r="B1487" s="5">
        <v>30</v>
      </c>
      <c r="C1487" s="5">
        <v>87.78</v>
      </c>
      <c r="D1487" s="5">
        <v>2633.4</v>
      </c>
      <c r="E1487" s="5" t="str">
        <f t="shared" si="93"/>
        <v>Medium</v>
      </c>
      <c r="F1487" s="5">
        <f t="shared" si="94"/>
        <v>790.02</v>
      </c>
      <c r="G1487" s="6">
        <v>38306</v>
      </c>
      <c r="H1487" s="5" t="s">
        <v>25</v>
      </c>
      <c r="I1487" s="5" t="str">
        <f t="shared" si="92"/>
        <v>Yes</v>
      </c>
      <c r="J1487" s="5" t="s">
        <v>686</v>
      </c>
      <c r="K1487" s="5">
        <v>2004</v>
      </c>
      <c r="L1487" s="5" t="str">
        <f t="shared" si="95"/>
        <v>Nov-2004</v>
      </c>
      <c r="M1487" s="5" t="s">
        <v>26</v>
      </c>
      <c r="N1487" s="5" t="s">
        <v>28</v>
      </c>
      <c r="O1487" s="5" t="s">
        <v>32</v>
      </c>
      <c r="P1487" s="5" t="s">
        <v>33</v>
      </c>
      <c r="Q1487" s="5" t="s">
        <v>36</v>
      </c>
    </row>
    <row r="1488" spans="1:17" x14ac:dyDescent="0.25">
      <c r="A1488" s="3">
        <v>10339</v>
      </c>
      <c r="B1488" s="3">
        <v>27</v>
      </c>
      <c r="C1488" s="3">
        <v>84.39</v>
      </c>
      <c r="D1488" s="3">
        <v>2278.5300000000002</v>
      </c>
      <c r="E1488" s="3" t="str">
        <f t="shared" si="93"/>
        <v>Medium</v>
      </c>
      <c r="F1488" s="3">
        <f t="shared" si="94"/>
        <v>683.55900000000008</v>
      </c>
      <c r="G1488" s="4">
        <v>38314</v>
      </c>
      <c r="H1488" s="3" t="s">
        <v>25</v>
      </c>
      <c r="I1488" s="3" t="str">
        <f t="shared" si="92"/>
        <v>Yes</v>
      </c>
      <c r="J1488" s="3" t="s">
        <v>686</v>
      </c>
      <c r="K1488" s="3">
        <v>2004</v>
      </c>
      <c r="L1488" s="3" t="str">
        <f t="shared" si="95"/>
        <v>Nov-2004</v>
      </c>
      <c r="M1488" s="3" t="s">
        <v>26</v>
      </c>
      <c r="N1488" s="3" t="s">
        <v>246</v>
      </c>
      <c r="O1488" s="3" t="s">
        <v>200</v>
      </c>
      <c r="P1488" s="3" t="s">
        <v>675</v>
      </c>
      <c r="Q1488" s="3" t="s">
        <v>36</v>
      </c>
    </row>
    <row r="1489" spans="1:17" x14ac:dyDescent="0.25">
      <c r="A1489" s="5">
        <v>10362</v>
      </c>
      <c r="B1489" s="5">
        <v>50</v>
      </c>
      <c r="C1489" s="5">
        <v>96.92</v>
      </c>
      <c r="D1489" s="5">
        <v>4846</v>
      </c>
      <c r="E1489" s="5" t="str">
        <f t="shared" si="93"/>
        <v>Medium</v>
      </c>
      <c r="F1489" s="5">
        <f t="shared" si="94"/>
        <v>1453.8</v>
      </c>
      <c r="G1489" s="6">
        <v>38357</v>
      </c>
      <c r="H1489" s="5" t="s">
        <v>25</v>
      </c>
      <c r="I1489" s="5" t="str">
        <f t="shared" si="92"/>
        <v>Yes</v>
      </c>
      <c r="J1489" s="5" t="s">
        <v>549</v>
      </c>
      <c r="K1489" s="5">
        <v>2005</v>
      </c>
      <c r="L1489" s="5" t="str">
        <f t="shared" si="95"/>
        <v>Jan-2005</v>
      </c>
      <c r="M1489" s="5" t="s">
        <v>26</v>
      </c>
      <c r="N1489" s="5" t="s">
        <v>62</v>
      </c>
      <c r="O1489" s="5" t="s">
        <v>32</v>
      </c>
      <c r="P1489" s="5" t="s">
        <v>33</v>
      </c>
      <c r="Q1489" s="5" t="s">
        <v>51</v>
      </c>
    </row>
    <row r="1490" spans="1:17" x14ac:dyDescent="0.25">
      <c r="A1490" s="3">
        <v>10374</v>
      </c>
      <c r="B1490" s="3">
        <v>38</v>
      </c>
      <c r="C1490" s="3">
        <v>100</v>
      </c>
      <c r="D1490" s="3">
        <v>3800</v>
      </c>
      <c r="E1490" s="3" t="str">
        <f t="shared" si="93"/>
        <v>Medium</v>
      </c>
      <c r="F1490" s="3">
        <f t="shared" si="94"/>
        <v>1140</v>
      </c>
      <c r="G1490" s="4">
        <v>38385</v>
      </c>
      <c r="H1490" s="3" t="s">
        <v>25</v>
      </c>
      <c r="I1490" s="3" t="str">
        <f t="shared" si="92"/>
        <v>Yes</v>
      </c>
      <c r="J1490" s="3" t="s">
        <v>681</v>
      </c>
      <c r="K1490" s="3">
        <v>2005</v>
      </c>
      <c r="L1490" s="3" t="str">
        <f t="shared" si="95"/>
        <v>Feb-2005</v>
      </c>
      <c r="M1490" s="3" t="s">
        <v>26</v>
      </c>
      <c r="N1490" s="3" t="s">
        <v>207</v>
      </c>
      <c r="O1490" s="3" t="s">
        <v>95</v>
      </c>
      <c r="P1490" s="3" t="s">
        <v>96</v>
      </c>
      <c r="Q1490" s="3" t="s">
        <v>51</v>
      </c>
    </row>
    <row r="1491" spans="1:17" x14ac:dyDescent="0.25">
      <c r="A1491" s="5">
        <v>10389</v>
      </c>
      <c r="B1491" s="5">
        <v>45</v>
      </c>
      <c r="C1491" s="5">
        <v>100</v>
      </c>
      <c r="D1491" s="5">
        <v>4500</v>
      </c>
      <c r="E1491" s="5" t="str">
        <f t="shared" si="93"/>
        <v>Medium</v>
      </c>
      <c r="F1491" s="5">
        <f t="shared" si="94"/>
        <v>1350</v>
      </c>
      <c r="G1491" s="6">
        <v>38414</v>
      </c>
      <c r="H1491" s="5" t="s">
        <v>25</v>
      </c>
      <c r="I1491" s="5" t="str">
        <f t="shared" si="92"/>
        <v>Yes</v>
      </c>
      <c r="J1491" s="5" t="s">
        <v>691</v>
      </c>
      <c r="K1491" s="5">
        <v>2005</v>
      </c>
      <c r="L1491" s="5" t="str">
        <f t="shared" si="95"/>
        <v>Mar-2005</v>
      </c>
      <c r="M1491" s="5" t="s">
        <v>26</v>
      </c>
      <c r="N1491" s="5" t="s">
        <v>261</v>
      </c>
      <c r="O1491" s="5" t="s">
        <v>188</v>
      </c>
      <c r="P1491" s="5" t="s">
        <v>42</v>
      </c>
      <c r="Q1491" s="5" t="s">
        <v>51</v>
      </c>
    </row>
    <row r="1492" spans="1:17" x14ac:dyDescent="0.25">
      <c r="A1492" s="3">
        <v>10403</v>
      </c>
      <c r="B1492" s="3">
        <v>46</v>
      </c>
      <c r="C1492" s="3">
        <v>100</v>
      </c>
      <c r="D1492" s="3">
        <v>4600</v>
      </c>
      <c r="E1492" s="3" t="str">
        <f t="shared" si="93"/>
        <v>Medium</v>
      </c>
      <c r="F1492" s="3">
        <f t="shared" si="94"/>
        <v>1380</v>
      </c>
      <c r="G1492" s="4">
        <v>38450</v>
      </c>
      <c r="H1492" s="3" t="s">
        <v>25</v>
      </c>
      <c r="I1492" s="3" t="str">
        <f t="shared" si="92"/>
        <v>Yes</v>
      </c>
      <c r="J1492" s="3" t="s">
        <v>688</v>
      </c>
      <c r="K1492" s="3">
        <v>2005</v>
      </c>
      <c r="L1492" s="3" t="str">
        <f t="shared" si="95"/>
        <v>Apr-2005</v>
      </c>
      <c r="M1492" s="3" t="s">
        <v>26</v>
      </c>
      <c r="N1492" s="3" t="s">
        <v>165</v>
      </c>
      <c r="O1492" s="3" t="s">
        <v>170</v>
      </c>
      <c r="P1492" s="3" t="s">
        <v>42</v>
      </c>
      <c r="Q1492" s="3" t="s">
        <v>51</v>
      </c>
    </row>
    <row r="1493" spans="1:17" x14ac:dyDescent="0.25">
      <c r="A1493" s="5">
        <v>10417</v>
      </c>
      <c r="B1493" s="5">
        <v>35</v>
      </c>
      <c r="C1493" s="5">
        <v>100</v>
      </c>
      <c r="D1493" s="5">
        <v>3500</v>
      </c>
      <c r="E1493" s="5" t="str">
        <f t="shared" si="93"/>
        <v>Medium</v>
      </c>
      <c r="F1493" s="5">
        <f t="shared" si="94"/>
        <v>1050</v>
      </c>
      <c r="G1493" s="6">
        <v>38485</v>
      </c>
      <c r="H1493" s="5" t="s">
        <v>173</v>
      </c>
      <c r="I1493" s="5" t="str">
        <f t="shared" si="92"/>
        <v>No</v>
      </c>
      <c r="J1493" s="5" t="s">
        <v>682</v>
      </c>
      <c r="K1493" s="5">
        <v>2005</v>
      </c>
      <c r="L1493" s="5" t="str">
        <f t="shared" si="95"/>
        <v>May-2005</v>
      </c>
      <c r="M1493" s="5" t="s">
        <v>26</v>
      </c>
      <c r="N1493" s="5" t="s">
        <v>174</v>
      </c>
      <c r="O1493" s="5" t="s">
        <v>178</v>
      </c>
      <c r="P1493" s="5" t="s">
        <v>42</v>
      </c>
      <c r="Q1493" s="5" t="s">
        <v>51</v>
      </c>
    </row>
    <row r="1494" spans="1:17" x14ac:dyDescent="0.25">
      <c r="A1494" s="3">
        <v>10110</v>
      </c>
      <c r="B1494" s="3">
        <v>29</v>
      </c>
      <c r="C1494" s="3">
        <v>59.37</v>
      </c>
      <c r="D1494" s="3">
        <v>1721.73</v>
      </c>
      <c r="E1494" s="3" t="str">
        <f t="shared" si="93"/>
        <v>Low</v>
      </c>
      <c r="F1494" s="3">
        <f t="shared" si="94"/>
        <v>516.51900000000001</v>
      </c>
      <c r="G1494" s="4">
        <v>37698</v>
      </c>
      <c r="H1494" s="3" t="s">
        <v>25</v>
      </c>
      <c r="I1494" s="3" t="str">
        <f t="shared" si="92"/>
        <v>Yes</v>
      </c>
      <c r="J1494" s="3" t="s">
        <v>691</v>
      </c>
      <c r="K1494" s="3">
        <v>2003</v>
      </c>
      <c r="L1494" s="3" t="str">
        <f t="shared" si="95"/>
        <v>Mar-2003</v>
      </c>
      <c r="M1494" s="3" t="s">
        <v>181</v>
      </c>
      <c r="N1494" s="3" t="s">
        <v>492</v>
      </c>
      <c r="O1494" s="3" t="s">
        <v>170</v>
      </c>
      <c r="P1494" s="3" t="s">
        <v>42</v>
      </c>
      <c r="Q1494" s="3" t="s">
        <v>36</v>
      </c>
    </row>
    <row r="1495" spans="1:17" x14ac:dyDescent="0.25">
      <c r="A1495" s="5">
        <v>10123</v>
      </c>
      <c r="B1495" s="5">
        <v>50</v>
      </c>
      <c r="C1495" s="5">
        <v>59.87</v>
      </c>
      <c r="D1495" s="5">
        <v>2993.5</v>
      </c>
      <c r="E1495" s="5" t="str">
        <f t="shared" si="93"/>
        <v>Medium</v>
      </c>
      <c r="F1495" s="5">
        <f t="shared" si="94"/>
        <v>898.05</v>
      </c>
      <c r="G1495" s="6">
        <v>37761</v>
      </c>
      <c r="H1495" s="5" t="s">
        <v>25</v>
      </c>
      <c r="I1495" s="5" t="str">
        <f t="shared" si="92"/>
        <v>Yes</v>
      </c>
      <c r="J1495" s="5" t="s">
        <v>682</v>
      </c>
      <c r="K1495" s="5">
        <v>2003</v>
      </c>
      <c r="L1495" s="5" t="str">
        <f t="shared" si="95"/>
        <v>May-2003</v>
      </c>
      <c r="M1495" s="5" t="s">
        <v>181</v>
      </c>
      <c r="N1495" s="5" t="s">
        <v>312</v>
      </c>
      <c r="O1495" s="5" t="s">
        <v>41</v>
      </c>
      <c r="P1495" s="5" t="s">
        <v>42</v>
      </c>
      <c r="Q1495" s="5" t="s">
        <v>36</v>
      </c>
    </row>
    <row r="1496" spans="1:17" x14ac:dyDescent="0.25">
      <c r="A1496" s="3">
        <v>10137</v>
      </c>
      <c r="B1496" s="3">
        <v>26</v>
      </c>
      <c r="C1496" s="3">
        <v>49.81</v>
      </c>
      <c r="D1496" s="3">
        <v>1295.06</v>
      </c>
      <c r="E1496" s="3" t="str">
        <f t="shared" si="93"/>
        <v>Low</v>
      </c>
      <c r="F1496" s="3">
        <f t="shared" si="94"/>
        <v>388.51799999999997</v>
      </c>
      <c r="G1496" s="4">
        <v>37812</v>
      </c>
      <c r="H1496" s="3" t="s">
        <v>25</v>
      </c>
      <c r="I1496" s="3" t="str">
        <f t="shared" si="92"/>
        <v>Yes</v>
      </c>
      <c r="J1496" s="3" t="s">
        <v>683</v>
      </c>
      <c r="K1496" s="3">
        <v>2003</v>
      </c>
      <c r="L1496" s="3" t="str">
        <f t="shared" si="95"/>
        <v>Jul-2003</v>
      </c>
      <c r="M1496" s="3" t="s">
        <v>181</v>
      </c>
      <c r="N1496" s="3" t="s">
        <v>37</v>
      </c>
      <c r="O1496" s="3" t="s">
        <v>41</v>
      </c>
      <c r="P1496" s="3" t="s">
        <v>42</v>
      </c>
      <c r="Q1496" s="3" t="s">
        <v>36</v>
      </c>
    </row>
    <row r="1497" spans="1:17" x14ac:dyDescent="0.25">
      <c r="A1497" s="5">
        <v>10148</v>
      </c>
      <c r="B1497" s="5">
        <v>47</v>
      </c>
      <c r="C1497" s="5">
        <v>56.85</v>
      </c>
      <c r="D1497" s="5">
        <v>2671.9500000000003</v>
      </c>
      <c r="E1497" s="5" t="str">
        <f t="shared" si="93"/>
        <v>Medium</v>
      </c>
      <c r="F1497" s="5">
        <f t="shared" si="94"/>
        <v>801.58500000000004</v>
      </c>
      <c r="G1497" s="6">
        <v>37875</v>
      </c>
      <c r="H1497" s="5" t="s">
        <v>25</v>
      </c>
      <c r="I1497" s="5" t="str">
        <f t="shared" si="92"/>
        <v>Yes</v>
      </c>
      <c r="J1497" s="5" t="s">
        <v>690</v>
      </c>
      <c r="K1497" s="5">
        <v>2003</v>
      </c>
      <c r="L1497" s="5" t="str">
        <f t="shared" si="95"/>
        <v>Sep-2003</v>
      </c>
      <c r="M1497" s="5" t="s">
        <v>181</v>
      </c>
      <c r="N1497" s="5" t="s">
        <v>285</v>
      </c>
      <c r="O1497" s="5" t="s">
        <v>95</v>
      </c>
      <c r="P1497" s="5" t="s">
        <v>96</v>
      </c>
      <c r="Q1497" s="5" t="s">
        <v>36</v>
      </c>
    </row>
    <row r="1498" spans="1:17" x14ac:dyDescent="0.25">
      <c r="A1498" s="3">
        <v>10161</v>
      </c>
      <c r="B1498" s="3">
        <v>23</v>
      </c>
      <c r="C1498" s="3">
        <v>53.33</v>
      </c>
      <c r="D1498" s="3">
        <v>1226.5899999999999</v>
      </c>
      <c r="E1498" s="3" t="str">
        <f t="shared" si="93"/>
        <v>Low</v>
      </c>
      <c r="F1498" s="3">
        <f t="shared" si="94"/>
        <v>367.97699999999998</v>
      </c>
      <c r="G1498" s="4">
        <v>37911</v>
      </c>
      <c r="H1498" s="3" t="s">
        <v>25</v>
      </c>
      <c r="I1498" s="3" t="str">
        <f t="shared" si="92"/>
        <v>Yes</v>
      </c>
      <c r="J1498" s="3" t="s">
        <v>685</v>
      </c>
      <c r="K1498" s="3">
        <v>2003</v>
      </c>
      <c r="L1498" s="3" t="str">
        <f t="shared" si="95"/>
        <v>Oct-2003</v>
      </c>
      <c r="M1498" s="3" t="s">
        <v>181</v>
      </c>
      <c r="N1498" s="3" t="s">
        <v>498</v>
      </c>
      <c r="O1498" s="3" t="s">
        <v>326</v>
      </c>
      <c r="P1498" s="3" t="s">
        <v>42</v>
      </c>
      <c r="Q1498" s="3" t="s">
        <v>36</v>
      </c>
    </row>
    <row r="1499" spans="1:17" x14ac:dyDescent="0.25">
      <c r="A1499" s="5">
        <v>10172</v>
      </c>
      <c r="B1499" s="5">
        <v>34</v>
      </c>
      <c r="C1499" s="5">
        <v>42.76</v>
      </c>
      <c r="D1499" s="5">
        <v>1453.84</v>
      </c>
      <c r="E1499" s="5" t="str">
        <f t="shared" si="93"/>
        <v>Low</v>
      </c>
      <c r="F1499" s="5">
        <f t="shared" si="94"/>
        <v>436.15199999999999</v>
      </c>
      <c r="G1499" s="6">
        <v>37930</v>
      </c>
      <c r="H1499" s="5" t="s">
        <v>25</v>
      </c>
      <c r="I1499" s="5" t="str">
        <f t="shared" si="92"/>
        <v>Yes</v>
      </c>
      <c r="J1499" s="5" t="s">
        <v>686</v>
      </c>
      <c r="K1499" s="5">
        <v>2003</v>
      </c>
      <c r="L1499" s="5" t="str">
        <f t="shared" si="95"/>
        <v>Nov-2003</v>
      </c>
      <c r="M1499" s="5" t="s">
        <v>181</v>
      </c>
      <c r="N1499" s="5" t="s">
        <v>109</v>
      </c>
      <c r="O1499" s="5" t="s">
        <v>32</v>
      </c>
      <c r="P1499" s="5" t="s">
        <v>33</v>
      </c>
      <c r="Q1499" s="5" t="s">
        <v>36</v>
      </c>
    </row>
    <row r="1500" spans="1:17" x14ac:dyDescent="0.25">
      <c r="A1500" s="3">
        <v>10181</v>
      </c>
      <c r="B1500" s="3">
        <v>34</v>
      </c>
      <c r="C1500" s="3">
        <v>53.83</v>
      </c>
      <c r="D1500" s="3">
        <v>1830.22</v>
      </c>
      <c r="E1500" s="3" t="str">
        <f t="shared" si="93"/>
        <v>Low</v>
      </c>
      <c r="F1500" s="3">
        <f t="shared" si="94"/>
        <v>549.06600000000003</v>
      </c>
      <c r="G1500" s="4">
        <v>37937</v>
      </c>
      <c r="H1500" s="3" t="s">
        <v>25</v>
      </c>
      <c r="I1500" s="3" t="str">
        <f t="shared" si="92"/>
        <v>Yes</v>
      </c>
      <c r="J1500" s="3" t="s">
        <v>686</v>
      </c>
      <c r="K1500" s="3">
        <v>2003</v>
      </c>
      <c r="L1500" s="3" t="str">
        <f t="shared" si="95"/>
        <v>Nov-2003</v>
      </c>
      <c r="M1500" s="3" t="s">
        <v>181</v>
      </c>
      <c r="N1500" s="3" t="s">
        <v>73</v>
      </c>
      <c r="O1500" s="3" t="s">
        <v>78</v>
      </c>
      <c r="P1500" s="3" t="s">
        <v>42</v>
      </c>
      <c r="Q1500" s="3" t="s">
        <v>36</v>
      </c>
    </row>
    <row r="1501" spans="1:17" x14ac:dyDescent="0.25">
      <c r="A1501" s="5">
        <v>10192</v>
      </c>
      <c r="B1501" s="5">
        <v>47</v>
      </c>
      <c r="C1501" s="5">
        <v>53.83</v>
      </c>
      <c r="D1501" s="5">
        <v>2530.0099999999998</v>
      </c>
      <c r="E1501" s="5" t="str">
        <f t="shared" si="93"/>
        <v>Medium</v>
      </c>
      <c r="F1501" s="5">
        <f t="shared" si="94"/>
        <v>759.00299999999993</v>
      </c>
      <c r="G1501" s="6">
        <v>37945</v>
      </c>
      <c r="H1501" s="5" t="s">
        <v>25</v>
      </c>
      <c r="I1501" s="5" t="str">
        <f t="shared" si="92"/>
        <v>Yes</v>
      </c>
      <c r="J1501" s="5" t="s">
        <v>686</v>
      </c>
      <c r="K1501" s="5">
        <v>2003</v>
      </c>
      <c r="L1501" s="5" t="str">
        <f t="shared" si="95"/>
        <v>Nov-2003</v>
      </c>
      <c r="M1501" s="5" t="s">
        <v>181</v>
      </c>
      <c r="N1501" s="5" t="s">
        <v>277</v>
      </c>
      <c r="O1501" s="5" t="s">
        <v>32</v>
      </c>
      <c r="P1501" s="5" t="s">
        <v>33</v>
      </c>
      <c r="Q1501" s="5" t="s">
        <v>36</v>
      </c>
    </row>
    <row r="1502" spans="1:17" x14ac:dyDescent="0.25">
      <c r="A1502" s="3">
        <v>10204</v>
      </c>
      <c r="B1502" s="3">
        <v>45</v>
      </c>
      <c r="C1502" s="3">
        <v>49.81</v>
      </c>
      <c r="D1502" s="3">
        <v>2241.4500000000003</v>
      </c>
      <c r="E1502" s="3" t="str">
        <f t="shared" si="93"/>
        <v>Medium</v>
      </c>
      <c r="F1502" s="3">
        <f t="shared" si="94"/>
        <v>672.43500000000006</v>
      </c>
      <c r="G1502" s="4">
        <v>37957</v>
      </c>
      <c r="H1502" s="3" t="s">
        <v>25</v>
      </c>
      <c r="I1502" s="3" t="str">
        <f t="shared" si="92"/>
        <v>Yes</v>
      </c>
      <c r="J1502" s="3" t="s">
        <v>687</v>
      </c>
      <c r="K1502" s="3">
        <v>2003</v>
      </c>
      <c r="L1502" s="3" t="str">
        <f t="shared" si="95"/>
        <v>Dec-2003</v>
      </c>
      <c r="M1502" s="3" t="s">
        <v>181</v>
      </c>
      <c r="N1502" s="3" t="s">
        <v>475</v>
      </c>
      <c r="O1502" s="3" t="s">
        <v>32</v>
      </c>
      <c r="P1502" s="3" t="s">
        <v>33</v>
      </c>
      <c r="Q1502" s="3" t="s">
        <v>36</v>
      </c>
    </row>
    <row r="1503" spans="1:17" x14ac:dyDescent="0.25">
      <c r="A1503" s="5">
        <v>10212</v>
      </c>
      <c r="B1503" s="5">
        <v>45</v>
      </c>
      <c r="C1503" s="5">
        <v>53.33</v>
      </c>
      <c r="D1503" s="5">
        <v>2399.85</v>
      </c>
      <c r="E1503" s="5" t="str">
        <f t="shared" si="93"/>
        <v>Medium</v>
      </c>
      <c r="F1503" s="5">
        <f t="shared" si="94"/>
        <v>719.95499999999993</v>
      </c>
      <c r="G1503" s="6">
        <v>38002</v>
      </c>
      <c r="H1503" s="5" t="s">
        <v>25</v>
      </c>
      <c r="I1503" s="5" t="str">
        <f t="shared" si="92"/>
        <v>Yes</v>
      </c>
      <c r="J1503" s="5" t="s">
        <v>549</v>
      </c>
      <c r="K1503" s="5">
        <v>2004</v>
      </c>
      <c r="L1503" s="5" t="str">
        <f t="shared" si="95"/>
        <v>Jan-2004</v>
      </c>
      <c r="M1503" s="5" t="s">
        <v>181</v>
      </c>
      <c r="N1503" s="5" t="s">
        <v>174</v>
      </c>
      <c r="O1503" s="5" t="s">
        <v>178</v>
      </c>
      <c r="P1503" s="5" t="s">
        <v>42</v>
      </c>
      <c r="Q1503" s="5" t="s">
        <v>36</v>
      </c>
    </row>
    <row r="1504" spans="1:17" x14ac:dyDescent="0.25">
      <c r="A1504" s="3">
        <v>10226</v>
      </c>
      <c r="B1504" s="3">
        <v>36</v>
      </c>
      <c r="C1504" s="3">
        <v>43.27</v>
      </c>
      <c r="D1504" s="3">
        <v>1557.72</v>
      </c>
      <c r="E1504" s="3" t="str">
        <f t="shared" si="93"/>
        <v>Low</v>
      </c>
      <c r="F1504" s="3">
        <f t="shared" si="94"/>
        <v>467.31599999999997</v>
      </c>
      <c r="G1504" s="4">
        <v>38043</v>
      </c>
      <c r="H1504" s="3" t="s">
        <v>25</v>
      </c>
      <c r="I1504" s="3" t="str">
        <f t="shared" si="92"/>
        <v>Yes</v>
      </c>
      <c r="J1504" s="3" t="s">
        <v>681</v>
      </c>
      <c r="K1504" s="3">
        <v>2004</v>
      </c>
      <c r="L1504" s="3" t="str">
        <f t="shared" si="95"/>
        <v>Feb-2004</v>
      </c>
      <c r="M1504" s="3" t="s">
        <v>181</v>
      </c>
      <c r="N1504" s="3" t="s">
        <v>362</v>
      </c>
      <c r="O1504" s="3" t="s">
        <v>32</v>
      </c>
      <c r="P1504" s="3" t="s">
        <v>33</v>
      </c>
      <c r="Q1504" s="3" t="s">
        <v>36</v>
      </c>
    </row>
    <row r="1505" spans="1:17" x14ac:dyDescent="0.25">
      <c r="A1505" s="5">
        <v>10241</v>
      </c>
      <c r="B1505" s="5">
        <v>21</v>
      </c>
      <c r="C1505" s="5">
        <v>40.25</v>
      </c>
      <c r="D1505" s="5">
        <v>845.25</v>
      </c>
      <c r="E1505" s="5" t="str">
        <f t="shared" si="93"/>
        <v>Low</v>
      </c>
      <c r="F1505" s="5">
        <f t="shared" si="94"/>
        <v>253.57499999999999</v>
      </c>
      <c r="G1505" s="6">
        <v>38090</v>
      </c>
      <c r="H1505" s="5" t="s">
        <v>25</v>
      </c>
      <c r="I1505" s="5" t="str">
        <f t="shared" si="92"/>
        <v>Yes</v>
      </c>
      <c r="J1505" s="5" t="s">
        <v>688</v>
      </c>
      <c r="K1505" s="5">
        <v>2004</v>
      </c>
      <c r="L1505" s="5" t="str">
        <f t="shared" si="95"/>
        <v>Apr-2004</v>
      </c>
      <c r="M1505" s="5" t="s">
        <v>181</v>
      </c>
      <c r="N1505" s="5" t="s">
        <v>531</v>
      </c>
      <c r="O1505" s="5" t="s">
        <v>41</v>
      </c>
      <c r="P1505" s="5" t="s">
        <v>42</v>
      </c>
      <c r="Q1505" s="5" t="s">
        <v>36</v>
      </c>
    </row>
    <row r="1506" spans="1:17" x14ac:dyDescent="0.25">
      <c r="A1506" s="3">
        <v>10266</v>
      </c>
      <c r="B1506" s="3">
        <v>28</v>
      </c>
      <c r="C1506" s="3">
        <v>48.3</v>
      </c>
      <c r="D1506" s="3">
        <v>1352.3999999999999</v>
      </c>
      <c r="E1506" s="3" t="str">
        <f t="shared" si="93"/>
        <v>Low</v>
      </c>
      <c r="F1506" s="3">
        <f t="shared" si="94"/>
        <v>405.71999999999997</v>
      </c>
      <c r="G1506" s="4">
        <v>38174</v>
      </c>
      <c r="H1506" s="3" t="s">
        <v>25</v>
      </c>
      <c r="I1506" s="3" t="str">
        <f t="shared" si="92"/>
        <v>Yes</v>
      </c>
      <c r="J1506" s="3" t="s">
        <v>683</v>
      </c>
      <c r="K1506" s="3">
        <v>2004</v>
      </c>
      <c r="L1506" s="3" t="str">
        <f t="shared" si="95"/>
        <v>Jul-2004</v>
      </c>
      <c r="M1506" s="3" t="s">
        <v>181</v>
      </c>
      <c r="N1506" s="3" t="s">
        <v>452</v>
      </c>
      <c r="O1506" s="3" t="s">
        <v>258</v>
      </c>
      <c r="P1506" s="3" t="s">
        <v>42</v>
      </c>
      <c r="Q1506" s="3" t="s">
        <v>36</v>
      </c>
    </row>
    <row r="1507" spans="1:17" x14ac:dyDescent="0.25">
      <c r="A1507" s="5">
        <v>10278</v>
      </c>
      <c r="B1507" s="5">
        <v>35</v>
      </c>
      <c r="C1507" s="5">
        <v>45.28</v>
      </c>
      <c r="D1507" s="5">
        <v>1584.8</v>
      </c>
      <c r="E1507" s="5" t="str">
        <f t="shared" si="93"/>
        <v>Low</v>
      </c>
      <c r="F1507" s="5">
        <f t="shared" si="94"/>
        <v>475.43999999999994</v>
      </c>
      <c r="G1507" s="6">
        <v>38205</v>
      </c>
      <c r="H1507" s="5" t="s">
        <v>25</v>
      </c>
      <c r="I1507" s="5" t="str">
        <f t="shared" si="92"/>
        <v>Yes</v>
      </c>
      <c r="J1507" s="5" t="s">
        <v>684</v>
      </c>
      <c r="K1507" s="5">
        <v>2004</v>
      </c>
      <c r="L1507" s="5" t="str">
        <f t="shared" si="95"/>
        <v>Aug-2004</v>
      </c>
      <c r="M1507" s="5" t="s">
        <v>181</v>
      </c>
      <c r="N1507" s="5" t="s">
        <v>539</v>
      </c>
      <c r="O1507" s="5" t="s">
        <v>32</v>
      </c>
      <c r="P1507" s="5" t="s">
        <v>33</v>
      </c>
      <c r="Q1507" s="5" t="s">
        <v>36</v>
      </c>
    </row>
    <row r="1508" spans="1:17" x14ac:dyDescent="0.25">
      <c r="A1508" s="3">
        <v>10288</v>
      </c>
      <c r="B1508" s="3">
        <v>50</v>
      </c>
      <c r="C1508" s="3">
        <v>52.32</v>
      </c>
      <c r="D1508" s="3">
        <v>2616</v>
      </c>
      <c r="E1508" s="3" t="str">
        <f t="shared" si="93"/>
        <v>Medium</v>
      </c>
      <c r="F1508" s="3">
        <f t="shared" si="94"/>
        <v>784.8</v>
      </c>
      <c r="G1508" s="4">
        <v>38231</v>
      </c>
      <c r="H1508" s="3" t="s">
        <v>25</v>
      </c>
      <c r="I1508" s="3" t="str">
        <f t="shared" si="92"/>
        <v>Yes</v>
      </c>
      <c r="J1508" s="3" t="s">
        <v>690</v>
      </c>
      <c r="K1508" s="3">
        <v>2004</v>
      </c>
      <c r="L1508" s="3" t="str">
        <f t="shared" si="95"/>
        <v>Sep-2004</v>
      </c>
      <c r="M1508" s="3" t="s">
        <v>181</v>
      </c>
      <c r="N1508" s="3" t="s">
        <v>418</v>
      </c>
      <c r="O1508" s="3" t="s">
        <v>199</v>
      </c>
      <c r="P1508" s="3" t="s">
        <v>96</v>
      </c>
      <c r="Q1508" s="3" t="s">
        <v>36</v>
      </c>
    </row>
    <row r="1509" spans="1:17" x14ac:dyDescent="0.25">
      <c r="A1509" s="5">
        <v>10301</v>
      </c>
      <c r="B1509" s="5">
        <v>22</v>
      </c>
      <c r="C1509" s="5">
        <v>51.32</v>
      </c>
      <c r="D1509" s="5">
        <v>1129.04</v>
      </c>
      <c r="E1509" s="5" t="str">
        <f t="shared" si="93"/>
        <v>Low</v>
      </c>
      <c r="F1509" s="5">
        <f t="shared" si="94"/>
        <v>338.71199999999999</v>
      </c>
      <c r="G1509" s="6">
        <v>37899</v>
      </c>
      <c r="H1509" s="5" t="s">
        <v>25</v>
      </c>
      <c r="I1509" s="5" t="str">
        <f t="shared" si="92"/>
        <v>Yes</v>
      </c>
      <c r="J1509" s="5" t="s">
        <v>685</v>
      </c>
      <c r="K1509" s="5">
        <v>2003</v>
      </c>
      <c r="L1509" s="5" t="str">
        <f t="shared" si="95"/>
        <v>Oct-2003</v>
      </c>
      <c r="M1509" s="5" t="s">
        <v>181</v>
      </c>
      <c r="N1509" s="5" t="s">
        <v>543</v>
      </c>
      <c r="O1509" s="5" t="s">
        <v>78</v>
      </c>
      <c r="P1509" s="5" t="s">
        <v>42</v>
      </c>
      <c r="Q1509" s="5" t="s">
        <v>36</v>
      </c>
    </row>
    <row r="1510" spans="1:17" x14ac:dyDescent="0.25">
      <c r="A1510" s="3">
        <v>10311</v>
      </c>
      <c r="B1510" s="3">
        <v>45</v>
      </c>
      <c r="C1510" s="3">
        <v>49.3</v>
      </c>
      <c r="D1510" s="3">
        <v>2218.5</v>
      </c>
      <c r="E1510" s="3" t="str">
        <f t="shared" si="93"/>
        <v>Medium</v>
      </c>
      <c r="F1510" s="3">
        <f t="shared" si="94"/>
        <v>665.55</v>
      </c>
      <c r="G1510" s="4">
        <v>38276</v>
      </c>
      <c r="H1510" s="3" t="s">
        <v>25</v>
      </c>
      <c r="I1510" s="3" t="str">
        <f t="shared" si="92"/>
        <v>Yes</v>
      </c>
      <c r="J1510" s="3" t="s">
        <v>685</v>
      </c>
      <c r="K1510" s="3">
        <v>2004</v>
      </c>
      <c r="L1510" s="3" t="str">
        <f t="shared" si="95"/>
        <v>Oct-2004</v>
      </c>
      <c r="M1510" s="3" t="s">
        <v>181</v>
      </c>
      <c r="N1510" s="3" t="s">
        <v>174</v>
      </c>
      <c r="O1510" s="3" t="s">
        <v>178</v>
      </c>
      <c r="P1510" s="3" t="s">
        <v>42</v>
      </c>
      <c r="Q1510" s="3" t="s">
        <v>36</v>
      </c>
    </row>
    <row r="1511" spans="1:17" x14ac:dyDescent="0.25">
      <c r="A1511" s="5">
        <v>10321</v>
      </c>
      <c r="B1511" s="5">
        <v>48</v>
      </c>
      <c r="C1511" s="5">
        <v>42.26</v>
      </c>
      <c r="D1511" s="5">
        <v>2028.48</v>
      </c>
      <c r="E1511" s="5" t="str">
        <f t="shared" si="93"/>
        <v>Medium</v>
      </c>
      <c r="F1511" s="5">
        <f t="shared" si="94"/>
        <v>608.54399999999998</v>
      </c>
      <c r="G1511" s="6">
        <v>38295</v>
      </c>
      <c r="H1511" s="5" t="s">
        <v>25</v>
      </c>
      <c r="I1511" s="5" t="str">
        <f t="shared" si="92"/>
        <v>Yes</v>
      </c>
      <c r="J1511" s="5" t="s">
        <v>686</v>
      </c>
      <c r="K1511" s="5">
        <v>2004</v>
      </c>
      <c r="L1511" s="5" t="str">
        <f t="shared" si="95"/>
        <v>Nov-2004</v>
      </c>
      <c r="M1511" s="5" t="s">
        <v>181</v>
      </c>
      <c r="N1511" s="5" t="s">
        <v>160</v>
      </c>
      <c r="O1511" s="5" t="s">
        <v>32</v>
      </c>
      <c r="P1511" s="5" t="s">
        <v>33</v>
      </c>
      <c r="Q1511" s="5" t="s">
        <v>36</v>
      </c>
    </row>
    <row r="1512" spans="1:17" x14ac:dyDescent="0.25">
      <c r="A1512" s="3">
        <v>10332</v>
      </c>
      <c r="B1512" s="3">
        <v>20</v>
      </c>
      <c r="C1512" s="3">
        <v>87.96</v>
      </c>
      <c r="D1512" s="3">
        <v>1759.1999999999998</v>
      </c>
      <c r="E1512" s="3" t="str">
        <f t="shared" si="93"/>
        <v>Low</v>
      </c>
      <c r="F1512" s="3">
        <f t="shared" si="94"/>
        <v>527.75999999999988</v>
      </c>
      <c r="G1512" s="4">
        <v>38308</v>
      </c>
      <c r="H1512" s="3" t="s">
        <v>25</v>
      </c>
      <c r="I1512" s="3" t="str">
        <f t="shared" si="92"/>
        <v>Yes</v>
      </c>
      <c r="J1512" s="3" t="s">
        <v>686</v>
      </c>
      <c r="K1512" s="3">
        <v>2004</v>
      </c>
      <c r="L1512" s="3" t="str">
        <f t="shared" si="95"/>
        <v>Nov-2004</v>
      </c>
      <c r="M1512" s="3" t="s">
        <v>181</v>
      </c>
      <c r="N1512" s="3" t="s">
        <v>492</v>
      </c>
      <c r="O1512" s="3" t="s">
        <v>170</v>
      </c>
      <c r="P1512" s="3" t="s">
        <v>42</v>
      </c>
      <c r="Q1512" s="3" t="s">
        <v>36</v>
      </c>
    </row>
    <row r="1513" spans="1:17" x14ac:dyDescent="0.25">
      <c r="A1513" s="5">
        <v>10343</v>
      </c>
      <c r="B1513" s="5">
        <v>27</v>
      </c>
      <c r="C1513" s="5">
        <v>36.21</v>
      </c>
      <c r="D1513" s="5">
        <v>977.67000000000007</v>
      </c>
      <c r="E1513" s="5" t="str">
        <f t="shared" si="93"/>
        <v>Low</v>
      </c>
      <c r="F1513" s="5">
        <f t="shared" si="94"/>
        <v>293.30099999999999</v>
      </c>
      <c r="G1513" s="6">
        <v>38315</v>
      </c>
      <c r="H1513" s="5" t="s">
        <v>25</v>
      </c>
      <c r="I1513" s="5" t="str">
        <f t="shared" si="92"/>
        <v>Yes</v>
      </c>
      <c r="J1513" s="5" t="s">
        <v>686</v>
      </c>
      <c r="K1513" s="5">
        <v>2004</v>
      </c>
      <c r="L1513" s="5" t="str">
        <f t="shared" si="95"/>
        <v>Nov-2004</v>
      </c>
      <c r="M1513" s="5" t="s">
        <v>181</v>
      </c>
      <c r="N1513" s="5" t="s">
        <v>37</v>
      </c>
      <c r="O1513" s="5" t="s">
        <v>41</v>
      </c>
      <c r="P1513" s="5" t="s">
        <v>42</v>
      </c>
      <c r="Q1513" s="5" t="s">
        <v>36</v>
      </c>
    </row>
    <row r="1514" spans="1:17" x14ac:dyDescent="0.25">
      <c r="A1514" s="3">
        <v>10367</v>
      </c>
      <c r="B1514" s="3">
        <v>38</v>
      </c>
      <c r="C1514" s="3">
        <v>38.5</v>
      </c>
      <c r="D1514" s="3">
        <v>1463</v>
      </c>
      <c r="E1514" s="3" t="str">
        <f t="shared" si="93"/>
        <v>Low</v>
      </c>
      <c r="F1514" s="3">
        <f t="shared" si="94"/>
        <v>438.9</v>
      </c>
      <c r="G1514" s="4">
        <v>38364</v>
      </c>
      <c r="H1514" s="3" t="s">
        <v>408</v>
      </c>
      <c r="I1514" s="3" t="str">
        <f t="shared" si="92"/>
        <v>No</v>
      </c>
      <c r="J1514" s="3" t="s">
        <v>549</v>
      </c>
      <c r="K1514" s="3">
        <v>2005</v>
      </c>
      <c r="L1514" s="3" t="str">
        <f t="shared" si="95"/>
        <v>Jan-2005</v>
      </c>
      <c r="M1514" s="3" t="s">
        <v>181</v>
      </c>
      <c r="N1514" s="3" t="s">
        <v>52</v>
      </c>
      <c r="O1514" s="3" t="s">
        <v>32</v>
      </c>
      <c r="P1514" s="3" t="s">
        <v>33</v>
      </c>
      <c r="Q1514" s="3" t="s">
        <v>36</v>
      </c>
    </row>
    <row r="1515" spans="1:17" x14ac:dyDescent="0.25">
      <c r="A1515" s="5">
        <v>10379</v>
      </c>
      <c r="B1515" s="5">
        <v>32</v>
      </c>
      <c r="C1515" s="5">
        <v>100</v>
      </c>
      <c r="D1515" s="5">
        <v>3200</v>
      </c>
      <c r="E1515" s="5" t="str">
        <f t="shared" si="93"/>
        <v>Medium</v>
      </c>
      <c r="F1515" s="5">
        <f t="shared" si="94"/>
        <v>960</v>
      </c>
      <c r="G1515" s="6">
        <v>38393</v>
      </c>
      <c r="H1515" s="5" t="s">
        <v>25</v>
      </c>
      <c r="I1515" s="5" t="str">
        <f t="shared" si="92"/>
        <v>Yes</v>
      </c>
      <c r="J1515" s="5" t="s">
        <v>681</v>
      </c>
      <c r="K1515" s="5">
        <v>2005</v>
      </c>
      <c r="L1515" s="5" t="str">
        <f t="shared" si="95"/>
        <v>Feb-2005</v>
      </c>
      <c r="M1515" s="5" t="s">
        <v>181</v>
      </c>
      <c r="N1515" s="5" t="s">
        <v>174</v>
      </c>
      <c r="O1515" s="5" t="s">
        <v>178</v>
      </c>
      <c r="P1515" s="5" t="s">
        <v>42</v>
      </c>
      <c r="Q1515" s="5" t="s">
        <v>51</v>
      </c>
    </row>
    <row r="1516" spans="1:17" x14ac:dyDescent="0.25">
      <c r="A1516" s="3">
        <v>10407</v>
      </c>
      <c r="B1516" s="3">
        <v>64</v>
      </c>
      <c r="C1516" s="3">
        <v>40.25</v>
      </c>
      <c r="D1516" s="3">
        <v>2576</v>
      </c>
      <c r="E1516" s="3" t="str">
        <f t="shared" si="93"/>
        <v>Medium</v>
      </c>
      <c r="F1516" s="3">
        <f t="shared" si="94"/>
        <v>772.8</v>
      </c>
      <c r="G1516" s="4">
        <v>38464</v>
      </c>
      <c r="H1516" s="3" t="s">
        <v>401</v>
      </c>
      <c r="I1516" s="3" t="str">
        <f t="shared" si="92"/>
        <v>No</v>
      </c>
      <c r="J1516" s="3" t="s">
        <v>688</v>
      </c>
      <c r="K1516" s="3">
        <v>2005</v>
      </c>
      <c r="L1516" s="3" t="str">
        <f t="shared" si="95"/>
        <v>Apr-2005</v>
      </c>
      <c r="M1516" s="3" t="s">
        <v>181</v>
      </c>
      <c r="N1516" s="3" t="s">
        <v>397</v>
      </c>
      <c r="O1516" s="3" t="s">
        <v>32</v>
      </c>
      <c r="P1516" s="3" t="s">
        <v>33</v>
      </c>
      <c r="Q1516" s="3" t="s">
        <v>36</v>
      </c>
    </row>
    <row r="1517" spans="1:17" x14ac:dyDescent="0.25">
      <c r="A1517" s="5">
        <v>10420</v>
      </c>
      <c r="B1517" s="5">
        <v>37</v>
      </c>
      <c r="C1517" s="5">
        <v>60.37</v>
      </c>
      <c r="D1517" s="5">
        <v>2233.69</v>
      </c>
      <c r="E1517" s="5" t="str">
        <f t="shared" si="93"/>
        <v>Medium</v>
      </c>
      <c r="F1517" s="5">
        <f t="shared" si="94"/>
        <v>670.10699999999997</v>
      </c>
      <c r="G1517" s="6">
        <v>38501</v>
      </c>
      <c r="H1517" s="5" t="s">
        <v>300</v>
      </c>
      <c r="I1517" s="5" t="str">
        <f t="shared" si="92"/>
        <v>No</v>
      </c>
      <c r="J1517" s="5" t="s">
        <v>682</v>
      </c>
      <c r="K1517" s="5">
        <v>2005</v>
      </c>
      <c r="L1517" s="5" t="str">
        <f t="shared" si="95"/>
        <v>May-2005</v>
      </c>
      <c r="M1517" s="5" t="s">
        <v>181</v>
      </c>
      <c r="N1517" s="5" t="s">
        <v>152</v>
      </c>
      <c r="O1517" s="5" t="s">
        <v>95</v>
      </c>
      <c r="P1517" s="5" t="s">
        <v>96</v>
      </c>
      <c r="Q1517" s="5" t="s">
        <v>36</v>
      </c>
    </row>
    <row r="1518" spans="1:17" x14ac:dyDescent="0.25">
      <c r="A1518" s="3">
        <v>10106</v>
      </c>
      <c r="B1518" s="3">
        <v>28</v>
      </c>
      <c r="C1518" s="3">
        <v>88.63</v>
      </c>
      <c r="D1518" s="3">
        <v>2481.64</v>
      </c>
      <c r="E1518" s="3" t="str">
        <f t="shared" si="93"/>
        <v>Medium</v>
      </c>
      <c r="F1518" s="3">
        <f t="shared" si="94"/>
        <v>744.49199999999996</v>
      </c>
      <c r="G1518" s="4">
        <v>37669</v>
      </c>
      <c r="H1518" s="3" t="s">
        <v>25</v>
      </c>
      <c r="I1518" s="3" t="str">
        <f t="shared" si="92"/>
        <v>Yes</v>
      </c>
      <c r="J1518" s="3" t="s">
        <v>681</v>
      </c>
      <c r="K1518" s="3">
        <v>2003</v>
      </c>
      <c r="L1518" s="3" t="str">
        <f t="shared" si="95"/>
        <v>Feb-2003</v>
      </c>
      <c r="M1518" s="3" t="s">
        <v>566</v>
      </c>
      <c r="N1518" s="3" t="s">
        <v>552</v>
      </c>
      <c r="O1518" s="3" t="s">
        <v>258</v>
      </c>
      <c r="P1518" s="3" t="s">
        <v>42</v>
      </c>
      <c r="Q1518" s="3" t="s">
        <v>36</v>
      </c>
    </row>
    <row r="1519" spans="1:17" x14ac:dyDescent="0.25">
      <c r="A1519" s="5">
        <v>10120</v>
      </c>
      <c r="B1519" s="5">
        <v>39</v>
      </c>
      <c r="C1519" s="5">
        <v>100</v>
      </c>
      <c r="D1519" s="5">
        <v>3900</v>
      </c>
      <c r="E1519" s="5" t="str">
        <f t="shared" si="93"/>
        <v>Medium</v>
      </c>
      <c r="F1519" s="5">
        <f t="shared" si="94"/>
        <v>1170</v>
      </c>
      <c r="G1519" s="6">
        <v>37740</v>
      </c>
      <c r="H1519" s="5" t="s">
        <v>25</v>
      </c>
      <c r="I1519" s="5" t="str">
        <f t="shared" si="92"/>
        <v>Yes</v>
      </c>
      <c r="J1519" s="5" t="s">
        <v>688</v>
      </c>
      <c r="K1519" s="5">
        <v>2003</v>
      </c>
      <c r="L1519" s="5" t="str">
        <f t="shared" si="95"/>
        <v>Apr-2003</v>
      </c>
      <c r="M1519" s="5" t="s">
        <v>566</v>
      </c>
      <c r="N1519" s="5" t="s">
        <v>89</v>
      </c>
      <c r="O1519" s="5" t="s">
        <v>95</v>
      </c>
      <c r="P1519" s="5" t="s">
        <v>96</v>
      </c>
      <c r="Q1519" s="5" t="s">
        <v>51</v>
      </c>
    </row>
    <row r="1520" spans="1:17" x14ac:dyDescent="0.25">
      <c r="A1520" s="3">
        <v>10133</v>
      </c>
      <c r="B1520" s="3">
        <v>41</v>
      </c>
      <c r="C1520" s="3">
        <v>94.1</v>
      </c>
      <c r="D1520" s="3">
        <v>3858.1</v>
      </c>
      <c r="E1520" s="3" t="str">
        <f t="shared" si="93"/>
        <v>Medium</v>
      </c>
      <c r="F1520" s="3">
        <f t="shared" si="94"/>
        <v>1157.4299999999998</v>
      </c>
      <c r="G1520" s="4">
        <v>37799</v>
      </c>
      <c r="H1520" s="3" t="s">
        <v>25</v>
      </c>
      <c r="I1520" s="3" t="str">
        <f t="shared" si="92"/>
        <v>Yes</v>
      </c>
      <c r="J1520" s="3" t="s">
        <v>689</v>
      </c>
      <c r="K1520" s="3">
        <v>2003</v>
      </c>
      <c r="L1520" s="3" t="str">
        <f t="shared" si="95"/>
        <v>Jun-2003</v>
      </c>
      <c r="M1520" s="3" t="s">
        <v>566</v>
      </c>
      <c r="N1520" s="3" t="s">
        <v>174</v>
      </c>
      <c r="O1520" s="3" t="s">
        <v>178</v>
      </c>
      <c r="P1520" s="3" t="s">
        <v>42</v>
      </c>
      <c r="Q1520" s="3" t="s">
        <v>51</v>
      </c>
    </row>
    <row r="1521" spans="1:17" x14ac:dyDescent="0.25">
      <c r="A1521" s="5">
        <v>10145</v>
      </c>
      <c r="B1521" s="5">
        <v>40</v>
      </c>
      <c r="C1521" s="5">
        <v>87.54</v>
      </c>
      <c r="D1521" s="5">
        <v>3501.6000000000004</v>
      </c>
      <c r="E1521" s="5" t="str">
        <f t="shared" si="93"/>
        <v>Medium</v>
      </c>
      <c r="F1521" s="5">
        <f t="shared" si="94"/>
        <v>1050.48</v>
      </c>
      <c r="G1521" s="6">
        <v>37858</v>
      </c>
      <c r="H1521" s="5" t="s">
        <v>25</v>
      </c>
      <c r="I1521" s="5" t="str">
        <f t="shared" si="92"/>
        <v>Yes</v>
      </c>
      <c r="J1521" s="5" t="s">
        <v>684</v>
      </c>
      <c r="K1521" s="5">
        <v>2003</v>
      </c>
      <c r="L1521" s="5" t="str">
        <f t="shared" si="95"/>
        <v>Aug-2003</v>
      </c>
      <c r="M1521" s="5" t="s">
        <v>566</v>
      </c>
      <c r="N1521" s="5" t="s">
        <v>52</v>
      </c>
      <c r="O1521" s="5" t="s">
        <v>32</v>
      </c>
      <c r="P1521" s="5" t="s">
        <v>33</v>
      </c>
      <c r="Q1521" s="5" t="s">
        <v>51</v>
      </c>
    </row>
    <row r="1522" spans="1:17" x14ac:dyDescent="0.25">
      <c r="A1522" s="3">
        <v>10168</v>
      </c>
      <c r="B1522" s="3">
        <v>49</v>
      </c>
      <c r="C1522" s="3">
        <v>100</v>
      </c>
      <c r="D1522" s="3">
        <v>4900</v>
      </c>
      <c r="E1522" s="3" t="str">
        <f t="shared" si="93"/>
        <v>Medium</v>
      </c>
      <c r="F1522" s="3">
        <f t="shared" si="94"/>
        <v>1470</v>
      </c>
      <c r="G1522" s="4">
        <v>37922</v>
      </c>
      <c r="H1522" s="3" t="s">
        <v>25</v>
      </c>
      <c r="I1522" s="3" t="str">
        <f t="shared" si="92"/>
        <v>Yes</v>
      </c>
      <c r="J1522" s="3" t="s">
        <v>685</v>
      </c>
      <c r="K1522" s="3">
        <v>2003</v>
      </c>
      <c r="L1522" s="3" t="str">
        <f t="shared" si="95"/>
        <v>Oct-2003</v>
      </c>
      <c r="M1522" s="3" t="s">
        <v>566</v>
      </c>
      <c r="N1522" s="3" t="s">
        <v>62</v>
      </c>
      <c r="O1522" s="3" t="s">
        <v>32</v>
      </c>
      <c r="P1522" s="3" t="s">
        <v>33</v>
      </c>
      <c r="Q1522" s="3" t="s">
        <v>51</v>
      </c>
    </row>
    <row r="1523" spans="1:17" x14ac:dyDescent="0.25">
      <c r="A1523" s="5">
        <v>10210</v>
      </c>
      <c r="B1523" s="5">
        <v>27</v>
      </c>
      <c r="C1523" s="5">
        <v>98.48</v>
      </c>
      <c r="D1523" s="5">
        <v>2658.96</v>
      </c>
      <c r="E1523" s="5" t="str">
        <f t="shared" si="93"/>
        <v>Medium</v>
      </c>
      <c r="F1523" s="5">
        <f t="shared" si="94"/>
        <v>797.68799999999999</v>
      </c>
      <c r="G1523" s="6">
        <v>37998</v>
      </c>
      <c r="H1523" s="5" t="s">
        <v>25</v>
      </c>
      <c r="I1523" s="5" t="str">
        <f t="shared" si="92"/>
        <v>Yes</v>
      </c>
      <c r="J1523" s="5" t="s">
        <v>549</v>
      </c>
      <c r="K1523" s="5">
        <v>2004</v>
      </c>
      <c r="L1523" s="5" t="str">
        <f t="shared" si="95"/>
        <v>Jan-2004</v>
      </c>
      <c r="M1523" s="5" t="s">
        <v>566</v>
      </c>
      <c r="N1523" s="5" t="s">
        <v>302</v>
      </c>
      <c r="O1523" s="5" t="s">
        <v>200</v>
      </c>
      <c r="P1523" s="5" t="s">
        <v>675</v>
      </c>
      <c r="Q1523" s="5" t="s">
        <v>36</v>
      </c>
    </row>
    <row r="1524" spans="1:17" x14ac:dyDescent="0.25">
      <c r="A1524" s="3">
        <v>10223</v>
      </c>
      <c r="B1524" s="3">
        <v>34</v>
      </c>
      <c r="C1524" s="3">
        <v>100</v>
      </c>
      <c r="D1524" s="3">
        <v>3400</v>
      </c>
      <c r="E1524" s="3" t="str">
        <f t="shared" si="93"/>
        <v>Medium</v>
      </c>
      <c r="F1524" s="3">
        <f t="shared" si="94"/>
        <v>1020</v>
      </c>
      <c r="G1524" s="4">
        <v>38037</v>
      </c>
      <c r="H1524" s="3" t="s">
        <v>25</v>
      </c>
      <c r="I1524" s="3" t="str">
        <f t="shared" si="92"/>
        <v>Yes</v>
      </c>
      <c r="J1524" s="3" t="s">
        <v>681</v>
      </c>
      <c r="K1524" s="3">
        <v>2004</v>
      </c>
      <c r="L1524" s="3" t="str">
        <f t="shared" si="95"/>
        <v>Feb-2004</v>
      </c>
      <c r="M1524" s="3" t="s">
        <v>566</v>
      </c>
      <c r="N1524" s="3" t="s">
        <v>89</v>
      </c>
      <c r="O1524" s="3" t="s">
        <v>95</v>
      </c>
      <c r="P1524" s="3" t="s">
        <v>96</v>
      </c>
      <c r="Q1524" s="3" t="s">
        <v>51</v>
      </c>
    </row>
    <row r="1525" spans="1:17" x14ac:dyDescent="0.25">
      <c r="A1525" s="5">
        <v>10235</v>
      </c>
      <c r="B1525" s="5">
        <v>23</v>
      </c>
      <c r="C1525" s="5">
        <v>96.29</v>
      </c>
      <c r="D1525" s="5">
        <v>2214.67</v>
      </c>
      <c r="E1525" s="5" t="str">
        <f t="shared" si="93"/>
        <v>Medium</v>
      </c>
      <c r="F1525" s="5">
        <f t="shared" si="94"/>
        <v>664.40099999999995</v>
      </c>
      <c r="G1525" s="6">
        <v>38079</v>
      </c>
      <c r="H1525" s="5" t="s">
        <v>25</v>
      </c>
      <c r="I1525" s="5" t="str">
        <f t="shared" si="92"/>
        <v>Yes</v>
      </c>
      <c r="J1525" s="5" t="s">
        <v>688</v>
      </c>
      <c r="K1525" s="5">
        <v>2004</v>
      </c>
      <c r="L1525" s="5" t="str">
        <f t="shared" si="95"/>
        <v>Apr-2004</v>
      </c>
      <c r="M1525" s="5" t="s">
        <v>566</v>
      </c>
      <c r="N1525" s="5" t="s">
        <v>373</v>
      </c>
      <c r="O1525" s="5" t="s">
        <v>231</v>
      </c>
      <c r="P1525" s="5" t="s">
        <v>33</v>
      </c>
      <c r="Q1525" s="5" t="s">
        <v>36</v>
      </c>
    </row>
    <row r="1526" spans="1:17" x14ac:dyDescent="0.25">
      <c r="A1526" s="3">
        <v>10250</v>
      </c>
      <c r="B1526" s="3">
        <v>31</v>
      </c>
      <c r="C1526" s="3">
        <v>88.63</v>
      </c>
      <c r="D1526" s="3">
        <v>2747.5299999999997</v>
      </c>
      <c r="E1526" s="3" t="str">
        <f t="shared" si="93"/>
        <v>Medium</v>
      </c>
      <c r="F1526" s="3">
        <f t="shared" si="94"/>
        <v>824.2589999999999</v>
      </c>
      <c r="G1526" s="4">
        <v>38118</v>
      </c>
      <c r="H1526" s="3" t="s">
        <v>25</v>
      </c>
      <c r="I1526" s="3" t="str">
        <f t="shared" si="92"/>
        <v>Yes</v>
      </c>
      <c r="J1526" s="3" t="s">
        <v>682</v>
      </c>
      <c r="K1526" s="3">
        <v>2004</v>
      </c>
      <c r="L1526" s="3" t="str">
        <f t="shared" si="95"/>
        <v>May-2004</v>
      </c>
      <c r="M1526" s="3" t="s">
        <v>566</v>
      </c>
      <c r="N1526" s="3" t="s">
        <v>397</v>
      </c>
      <c r="O1526" s="3" t="s">
        <v>32</v>
      </c>
      <c r="P1526" s="3" t="s">
        <v>33</v>
      </c>
      <c r="Q1526" s="3" t="s">
        <v>36</v>
      </c>
    </row>
    <row r="1527" spans="1:17" x14ac:dyDescent="0.25">
      <c r="A1527" s="5">
        <v>10262</v>
      </c>
      <c r="B1527" s="5">
        <v>34</v>
      </c>
      <c r="C1527" s="5">
        <v>97.38</v>
      </c>
      <c r="D1527" s="5">
        <v>3310.92</v>
      </c>
      <c r="E1527" s="5" t="str">
        <f t="shared" si="93"/>
        <v>Medium</v>
      </c>
      <c r="F1527" s="5">
        <f t="shared" si="94"/>
        <v>993.27599999999995</v>
      </c>
      <c r="G1527" s="6">
        <v>38162</v>
      </c>
      <c r="H1527" s="5" t="s">
        <v>339</v>
      </c>
      <c r="I1527" s="5" t="str">
        <f t="shared" si="92"/>
        <v>No</v>
      </c>
      <c r="J1527" s="5" t="s">
        <v>689</v>
      </c>
      <c r="K1527" s="5">
        <v>2004</v>
      </c>
      <c r="L1527" s="5" t="str">
        <f t="shared" si="95"/>
        <v>Jun-2004</v>
      </c>
      <c r="M1527" s="5" t="s">
        <v>566</v>
      </c>
      <c r="N1527" s="5" t="s">
        <v>174</v>
      </c>
      <c r="O1527" s="5" t="s">
        <v>178</v>
      </c>
      <c r="P1527" s="5" t="s">
        <v>42</v>
      </c>
      <c r="Q1527" s="5" t="s">
        <v>51</v>
      </c>
    </row>
    <row r="1528" spans="1:17" x14ac:dyDescent="0.25">
      <c r="A1528" s="3">
        <v>10275</v>
      </c>
      <c r="B1528" s="3">
        <v>25</v>
      </c>
      <c r="C1528" s="3">
        <v>95.2</v>
      </c>
      <c r="D1528" s="3">
        <v>2380</v>
      </c>
      <c r="E1528" s="3" t="str">
        <f t="shared" si="93"/>
        <v>Medium</v>
      </c>
      <c r="F1528" s="3">
        <f t="shared" si="94"/>
        <v>714</v>
      </c>
      <c r="G1528" s="4">
        <v>38191</v>
      </c>
      <c r="H1528" s="3" t="s">
        <v>25</v>
      </c>
      <c r="I1528" s="3" t="str">
        <f t="shared" si="92"/>
        <v>Yes</v>
      </c>
      <c r="J1528" s="3" t="s">
        <v>683</v>
      </c>
      <c r="K1528" s="3">
        <v>2004</v>
      </c>
      <c r="L1528" s="3" t="str">
        <f t="shared" si="95"/>
        <v>Jul-2004</v>
      </c>
      <c r="M1528" s="3" t="s">
        <v>566</v>
      </c>
      <c r="N1528" s="3" t="s">
        <v>114</v>
      </c>
      <c r="O1528" s="3" t="s">
        <v>41</v>
      </c>
      <c r="P1528" s="3" t="s">
        <v>42</v>
      </c>
      <c r="Q1528" s="3" t="s">
        <v>36</v>
      </c>
    </row>
    <row r="1529" spans="1:17" x14ac:dyDescent="0.25">
      <c r="A1529" s="5">
        <v>10284</v>
      </c>
      <c r="B1529" s="5">
        <v>22</v>
      </c>
      <c r="C1529" s="5">
        <v>100</v>
      </c>
      <c r="D1529" s="5">
        <v>2200</v>
      </c>
      <c r="E1529" s="5" t="str">
        <f t="shared" si="93"/>
        <v>Medium</v>
      </c>
      <c r="F1529" s="5">
        <f t="shared" si="94"/>
        <v>660</v>
      </c>
      <c r="G1529" s="6">
        <v>38220</v>
      </c>
      <c r="H1529" s="5" t="s">
        <v>25</v>
      </c>
      <c r="I1529" s="5" t="str">
        <f t="shared" si="92"/>
        <v>Yes</v>
      </c>
      <c r="J1529" s="5" t="s">
        <v>684</v>
      </c>
      <c r="K1529" s="5">
        <v>2004</v>
      </c>
      <c r="L1529" s="5" t="str">
        <f t="shared" si="95"/>
        <v>Aug-2004</v>
      </c>
      <c r="M1529" s="5" t="s">
        <v>566</v>
      </c>
      <c r="N1529" s="5" t="s">
        <v>543</v>
      </c>
      <c r="O1529" s="5" t="s">
        <v>78</v>
      </c>
      <c r="P1529" s="5" t="s">
        <v>42</v>
      </c>
      <c r="Q1529" s="5" t="s">
        <v>36</v>
      </c>
    </row>
    <row r="1530" spans="1:17" x14ac:dyDescent="0.25">
      <c r="A1530" s="3">
        <v>10297</v>
      </c>
      <c r="B1530" s="3">
        <v>32</v>
      </c>
      <c r="C1530" s="3">
        <v>100</v>
      </c>
      <c r="D1530" s="3">
        <v>3200</v>
      </c>
      <c r="E1530" s="3" t="str">
        <f t="shared" si="93"/>
        <v>Medium</v>
      </c>
      <c r="F1530" s="3">
        <f t="shared" si="94"/>
        <v>960</v>
      </c>
      <c r="G1530" s="4">
        <v>38246</v>
      </c>
      <c r="H1530" s="3" t="s">
        <v>25</v>
      </c>
      <c r="I1530" s="3" t="str">
        <f t="shared" si="92"/>
        <v>Yes</v>
      </c>
      <c r="J1530" s="3" t="s">
        <v>690</v>
      </c>
      <c r="K1530" s="3">
        <v>2004</v>
      </c>
      <c r="L1530" s="3" t="str">
        <f t="shared" si="95"/>
        <v>Sep-2004</v>
      </c>
      <c r="M1530" s="3" t="s">
        <v>566</v>
      </c>
      <c r="N1530" s="3" t="s">
        <v>479</v>
      </c>
      <c r="O1530" s="3" t="s">
        <v>484</v>
      </c>
      <c r="P1530" s="3" t="s">
        <v>42</v>
      </c>
      <c r="Q1530" s="3" t="s">
        <v>51</v>
      </c>
    </row>
    <row r="1531" spans="1:17" x14ac:dyDescent="0.25">
      <c r="A1531" s="5">
        <v>10308</v>
      </c>
      <c r="B1531" s="5">
        <v>31</v>
      </c>
      <c r="C1531" s="5">
        <v>100</v>
      </c>
      <c r="D1531" s="5">
        <v>3100</v>
      </c>
      <c r="E1531" s="5" t="str">
        <f t="shared" si="93"/>
        <v>Medium</v>
      </c>
      <c r="F1531" s="5">
        <f t="shared" si="94"/>
        <v>930</v>
      </c>
      <c r="G1531" s="6">
        <v>38275</v>
      </c>
      <c r="H1531" s="5" t="s">
        <v>25</v>
      </c>
      <c r="I1531" s="5" t="str">
        <f t="shared" si="92"/>
        <v>Yes</v>
      </c>
      <c r="J1531" s="5" t="s">
        <v>685</v>
      </c>
      <c r="K1531" s="5">
        <v>2004</v>
      </c>
      <c r="L1531" s="5" t="str">
        <f t="shared" si="95"/>
        <v>Oct-2004</v>
      </c>
      <c r="M1531" s="5" t="s">
        <v>566</v>
      </c>
      <c r="N1531" s="5" t="s">
        <v>317</v>
      </c>
      <c r="O1531" s="5" t="s">
        <v>32</v>
      </c>
      <c r="P1531" s="5" t="s">
        <v>33</v>
      </c>
      <c r="Q1531" s="5" t="s">
        <v>51</v>
      </c>
    </row>
    <row r="1532" spans="1:17" x14ac:dyDescent="0.25">
      <c r="A1532" s="3">
        <v>10316</v>
      </c>
      <c r="B1532" s="3">
        <v>25</v>
      </c>
      <c r="C1532" s="3">
        <v>100</v>
      </c>
      <c r="D1532" s="3">
        <v>2500</v>
      </c>
      <c r="E1532" s="3" t="str">
        <f t="shared" si="93"/>
        <v>Medium</v>
      </c>
      <c r="F1532" s="3">
        <f t="shared" si="94"/>
        <v>750</v>
      </c>
      <c r="G1532" s="4">
        <v>38292</v>
      </c>
      <c r="H1532" s="3" t="s">
        <v>25</v>
      </c>
      <c r="I1532" s="3" t="str">
        <f t="shared" si="92"/>
        <v>Yes</v>
      </c>
      <c r="J1532" s="3" t="s">
        <v>686</v>
      </c>
      <c r="K1532" s="3">
        <v>2004</v>
      </c>
      <c r="L1532" s="3" t="str">
        <f t="shared" si="95"/>
        <v>Nov-2004</v>
      </c>
      <c r="M1532" s="3" t="s">
        <v>566</v>
      </c>
      <c r="N1532" s="3" t="s">
        <v>383</v>
      </c>
      <c r="O1532" s="3" t="s">
        <v>170</v>
      </c>
      <c r="P1532" s="3" t="s">
        <v>42</v>
      </c>
      <c r="Q1532" s="3" t="s">
        <v>36</v>
      </c>
    </row>
    <row r="1533" spans="1:17" x14ac:dyDescent="0.25">
      <c r="A1533" s="5">
        <v>10328</v>
      </c>
      <c r="B1533" s="5">
        <v>47</v>
      </c>
      <c r="C1533" s="5">
        <v>87.54</v>
      </c>
      <c r="D1533" s="5">
        <v>4114.38</v>
      </c>
      <c r="E1533" s="5" t="str">
        <f t="shared" si="93"/>
        <v>Medium</v>
      </c>
      <c r="F1533" s="5">
        <f t="shared" si="94"/>
        <v>1234.3140000000001</v>
      </c>
      <c r="G1533" s="6">
        <v>38303</v>
      </c>
      <c r="H1533" s="5" t="s">
        <v>25</v>
      </c>
      <c r="I1533" s="5" t="str">
        <f t="shared" si="92"/>
        <v>Yes</v>
      </c>
      <c r="J1533" s="5" t="s">
        <v>686</v>
      </c>
      <c r="K1533" s="5">
        <v>2004</v>
      </c>
      <c r="L1533" s="5" t="str">
        <f t="shared" si="95"/>
        <v>Nov-2004</v>
      </c>
      <c r="M1533" s="5" t="s">
        <v>566</v>
      </c>
      <c r="N1533" s="5" t="s">
        <v>552</v>
      </c>
      <c r="O1533" s="5" t="s">
        <v>258</v>
      </c>
      <c r="P1533" s="5" t="s">
        <v>42</v>
      </c>
      <c r="Q1533" s="5" t="s">
        <v>51</v>
      </c>
    </row>
    <row r="1534" spans="1:17" x14ac:dyDescent="0.25">
      <c r="A1534" s="3">
        <v>10339</v>
      </c>
      <c r="B1534" s="3">
        <v>21</v>
      </c>
      <c r="C1534" s="3">
        <v>50.65</v>
      </c>
      <c r="D1534" s="3">
        <v>1063.6499999999999</v>
      </c>
      <c r="E1534" s="3" t="str">
        <f t="shared" si="93"/>
        <v>Low</v>
      </c>
      <c r="F1534" s="3">
        <f t="shared" si="94"/>
        <v>319.09499999999997</v>
      </c>
      <c r="G1534" s="4">
        <v>38314</v>
      </c>
      <c r="H1534" s="3" t="s">
        <v>25</v>
      </c>
      <c r="I1534" s="3" t="str">
        <f t="shared" si="92"/>
        <v>Yes</v>
      </c>
      <c r="J1534" s="3" t="s">
        <v>686</v>
      </c>
      <c r="K1534" s="3">
        <v>2004</v>
      </c>
      <c r="L1534" s="3" t="str">
        <f t="shared" si="95"/>
        <v>Nov-2004</v>
      </c>
      <c r="M1534" s="3" t="s">
        <v>566</v>
      </c>
      <c r="N1534" s="3" t="s">
        <v>246</v>
      </c>
      <c r="O1534" s="3" t="s">
        <v>200</v>
      </c>
      <c r="P1534" s="3" t="s">
        <v>675</v>
      </c>
      <c r="Q1534" s="3" t="s">
        <v>36</v>
      </c>
    </row>
    <row r="1535" spans="1:17" x14ac:dyDescent="0.25">
      <c r="A1535" s="5">
        <v>10353</v>
      </c>
      <c r="B1535" s="5">
        <v>28</v>
      </c>
      <c r="C1535" s="5">
        <v>71.73</v>
      </c>
      <c r="D1535" s="5">
        <v>2008.44</v>
      </c>
      <c r="E1535" s="5" t="str">
        <f t="shared" si="93"/>
        <v>Medium</v>
      </c>
      <c r="F1535" s="5">
        <f t="shared" si="94"/>
        <v>602.53200000000004</v>
      </c>
      <c r="G1535" s="6">
        <v>38325</v>
      </c>
      <c r="H1535" s="5" t="s">
        <v>25</v>
      </c>
      <c r="I1535" s="5" t="str">
        <f t="shared" si="92"/>
        <v>Yes</v>
      </c>
      <c r="J1535" s="5" t="s">
        <v>687</v>
      </c>
      <c r="K1535" s="5">
        <v>2004</v>
      </c>
      <c r="L1535" s="5" t="str">
        <f t="shared" si="95"/>
        <v>Dec-2004</v>
      </c>
      <c r="M1535" s="5" t="s">
        <v>566</v>
      </c>
      <c r="N1535" s="5" t="s">
        <v>568</v>
      </c>
      <c r="O1535" s="5" t="s">
        <v>32</v>
      </c>
      <c r="P1535" s="5" t="s">
        <v>33</v>
      </c>
      <c r="Q1535" s="5" t="s">
        <v>36</v>
      </c>
    </row>
    <row r="1536" spans="1:17" x14ac:dyDescent="0.25">
      <c r="A1536" s="3">
        <v>10374</v>
      </c>
      <c r="B1536" s="3">
        <v>46</v>
      </c>
      <c r="C1536" s="3">
        <v>94.1</v>
      </c>
      <c r="D1536" s="3">
        <v>4328.5999999999995</v>
      </c>
      <c r="E1536" s="3" t="str">
        <f t="shared" si="93"/>
        <v>Medium</v>
      </c>
      <c r="F1536" s="3">
        <f t="shared" si="94"/>
        <v>1298.5799999999997</v>
      </c>
      <c r="G1536" s="4">
        <v>38385</v>
      </c>
      <c r="H1536" s="3" t="s">
        <v>25</v>
      </c>
      <c r="I1536" s="3" t="str">
        <f t="shared" si="92"/>
        <v>Yes</v>
      </c>
      <c r="J1536" s="3" t="s">
        <v>681</v>
      </c>
      <c r="K1536" s="3">
        <v>2005</v>
      </c>
      <c r="L1536" s="3" t="str">
        <f t="shared" si="95"/>
        <v>Feb-2005</v>
      </c>
      <c r="M1536" s="3" t="s">
        <v>566</v>
      </c>
      <c r="N1536" s="3" t="s">
        <v>207</v>
      </c>
      <c r="O1536" s="3" t="s">
        <v>95</v>
      </c>
      <c r="P1536" s="3" t="s">
        <v>96</v>
      </c>
      <c r="Q1536" s="3" t="s">
        <v>51</v>
      </c>
    </row>
    <row r="1537" spans="1:17" x14ac:dyDescent="0.25">
      <c r="A1537" s="5">
        <v>10386</v>
      </c>
      <c r="B1537" s="5">
        <v>33</v>
      </c>
      <c r="C1537" s="5">
        <v>41.71</v>
      </c>
      <c r="D1537" s="5">
        <v>1376.43</v>
      </c>
      <c r="E1537" s="5" t="str">
        <f t="shared" si="93"/>
        <v>Low</v>
      </c>
      <c r="F1537" s="5">
        <f t="shared" si="94"/>
        <v>412.92900000000003</v>
      </c>
      <c r="G1537" s="6">
        <v>38412</v>
      </c>
      <c r="H1537" s="5" t="s">
        <v>408</v>
      </c>
      <c r="I1537" s="5" t="str">
        <f t="shared" si="92"/>
        <v>No</v>
      </c>
      <c r="J1537" s="5" t="s">
        <v>691</v>
      </c>
      <c r="K1537" s="5">
        <v>2005</v>
      </c>
      <c r="L1537" s="5" t="str">
        <f t="shared" si="95"/>
        <v>Mar-2005</v>
      </c>
      <c r="M1537" s="5" t="s">
        <v>566</v>
      </c>
      <c r="N1537" s="5" t="s">
        <v>174</v>
      </c>
      <c r="O1537" s="5" t="s">
        <v>178</v>
      </c>
      <c r="P1537" s="5" t="s">
        <v>42</v>
      </c>
      <c r="Q1537" s="5" t="s">
        <v>36</v>
      </c>
    </row>
    <row r="1538" spans="1:17" x14ac:dyDescent="0.25">
      <c r="A1538" s="3">
        <v>10398</v>
      </c>
      <c r="B1538" s="3">
        <v>43</v>
      </c>
      <c r="C1538" s="3">
        <v>100</v>
      </c>
      <c r="D1538" s="3">
        <v>4300</v>
      </c>
      <c r="E1538" s="3" t="str">
        <f t="shared" si="93"/>
        <v>Medium</v>
      </c>
      <c r="F1538" s="3">
        <f t="shared" si="94"/>
        <v>1290</v>
      </c>
      <c r="G1538" s="4">
        <v>38441</v>
      </c>
      <c r="H1538" s="3" t="s">
        <v>25</v>
      </c>
      <c r="I1538" s="3" t="str">
        <f t="shared" ref="I1538:I1601" si="96">IF(H1538="Shipped","Yes","No")</f>
        <v>Yes</v>
      </c>
      <c r="J1538" s="3" t="s">
        <v>691</v>
      </c>
      <c r="K1538" s="3">
        <v>2005</v>
      </c>
      <c r="L1538" s="3" t="str">
        <f t="shared" si="95"/>
        <v>Mar-2005</v>
      </c>
      <c r="M1538" s="3" t="s">
        <v>566</v>
      </c>
      <c r="N1538" s="3" t="s">
        <v>37</v>
      </c>
      <c r="O1538" s="3" t="s">
        <v>41</v>
      </c>
      <c r="P1538" s="3" t="s">
        <v>42</v>
      </c>
      <c r="Q1538" s="3" t="s">
        <v>51</v>
      </c>
    </row>
    <row r="1539" spans="1:17" x14ac:dyDescent="0.25">
      <c r="A1539" s="5">
        <v>10401</v>
      </c>
      <c r="B1539" s="5">
        <v>38</v>
      </c>
      <c r="C1539" s="5">
        <v>96.29</v>
      </c>
      <c r="D1539" s="5">
        <v>3659.0200000000004</v>
      </c>
      <c r="E1539" s="5" t="str">
        <f t="shared" ref="E1539:E1602" si="97">IF(D1539&gt;=5000,"High",IF(D1539&gt;=2000,"Medium","Low"))</f>
        <v>Medium</v>
      </c>
      <c r="F1539" s="5">
        <f t="shared" ref="F1539:F1602" si="98">(D1539*0.3)</f>
        <v>1097.7060000000001</v>
      </c>
      <c r="G1539" s="6">
        <v>38445</v>
      </c>
      <c r="H1539" s="5" t="s">
        <v>401</v>
      </c>
      <c r="I1539" s="5" t="str">
        <f t="shared" si="96"/>
        <v>No</v>
      </c>
      <c r="J1539" s="5" t="s">
        <v>688</v>
      </c>
      <c r="K1539" s="5">
        <v>2005</v>
      </c>
      <c r="L1539" s="5" t="str">
        <f t="shared" ref="L1539:L1602" si="99">TEXT(G:G,"MMM-YYYY")</f>
        <v>Apr-2005</v>
      </c>
      <c r="M1539" s="5" t="s">
        <v>566</v>
      </c>
      <c r="N1539" s="5" t="s">
        <v>104</v>
      </c>
      <c r="O1539" s="5" t="s">
        <v>32</v>
      </c>
      <c r="P1539" s="5" t="s">
        <v>33</v>
      </c>
      <c r="Q1539" s="5" t="s">
        <v>51</v>
      </c>
    </row>
    <row r="1540" spans="1:17" x14ac:dyDescent="0.25">
      <c r="A1540" s="3">
        <v>10416</v>
      </c>
      <c r="B1540" s="3">
        <v>47</v>
      </c>
      <c r="C1540" s="3">
        <v>88.63</v>
      </c>
      <c r="D1540" s="3">
        <v>4165.6099999999997</v>
      </c>
      <c r="E1540" s="3" t="str">
        <f t="shared" si="97"/>
        <v>Medium</v>
      </c>
      <c r="F1540" s="3">
        <f t="shared" si="98"/>
        <v>1249.6829999999998</v>
      </c>
      <c r="G1540" s="4">
        <v>38482</v>
      </c>
      <c r="H1540" s="3" t="s">
        <v>25</v>
      </c>
      <c r="I1540" s="3" t="str">
        <f t="shared" si="96"/>
        <v>Yes</v>
      </c>
      <c r="J1540" s="3" t="s">
        <v>682</v>
      </c>
      <c r="K1540" s="3">
        <v>2005</v>
      </c>
      <c r="L1540" s="3" t="str">
        <f t="shared" si="99"/>
        <v>May-2005</v>
      </c>
      <c r="M1540" s="3" t="s">
        <v>566</v>
      </c>
      <c r="N1540" s="3" t="s">
        <v>452</v>
      </c>
      <c r="O1540" s="3" t="s">
        <v>258</v>
      </c>
      <c r="P1540" s="3" t="s">
        <v>42</v>
      </c>
      <c r="Q1540" s="3" t="s">
        <v>51</v>
      </c>
    </row>
    <row r="1541" spans="1:17" x14ac:dyDescent="0.25">
      <c r="A1541" s="5">
        <v>10101</v>
      </c>
      <c r="B1541" s="5">
        <v>45</v>
      </c>
      <c r="C1541" s="5">
        <v>31.2</v>
      </c>
      <c r="D1541" s="5">
        <v>1404</v>
      </c>
      <c r="E1541" s="5" t="str">
        <f t="shared" si="97"/>
        <v>Low</v>
      </c>
      <c r="F1541" s="5">
        <f t="shared" si="98"/>
        <v>421.2</v>
      </c>
      <c r="G1541" s="6">
        <v>37630</v>
      </c>
      <c r="H1541" s="5" t="s">
        <v>25</v>
      </c>
      <c r="I1541" s="5" t="str">
        <f t="shared" si="96"/>
        <v>Yes</v>
      </c>
      <c r="J1541" s="5" t="s">
        <v>549</v>
      </c>
      <c r="K1541" s="5">
        <v>2003</v>
      </c>
      <c r="L1541" s="5" t="str">
        <f t="shared" si="99"/>
        <v>Jan-2003</v>
      </c>
      <c r="M1541" s="5" t="s">
        <v>550</v>
      </c>
      <c r="N1541" s="5" t="s">
        <v>462</v>
      </c>
      <c r="O1541" s="5" t="s">
        <v>443</v>
      </c>
      <c r="P1541" s="5" t="s">
        <v>42</v>
      </c>
      <c r="Q1541" s="5" t="s">
        <v>36</v>
      </c>
    </row>
    <row r="1542" spans="1:17" x14ac:dyDescent="0.25">
      <c r="A1542" s="3">
        <v>10110</v>
      </c>
      <c r="B1542" s="3">
        <v>20</v>
      </c>
      <c r="C1542" s="3">
        <v>35.51</v>
      </c>
      <c r="D1542" s="3">
        <v>710.19999999999993</v>
      </c>
      <c r="E1542" s="3" t="str">
        <f t="shared" si="97"/>
        <v>Low</v>
      </c>
      <c r="F1542" s="3">
        <f t="shared" si="98"/>
        <v>213.05999999999997</v>
      </c>
      <c r="G1542" s="4">
        <v>37698</v>
      </c>
      <c r="H1542" s="3" t="s">
        <v>25</v>
      </c>
      <c r="I1542" s="3" t="str">
        <f t="shared" si="96"/>
        <v>Yes</v>
      </c>
      <c r="J1542" s="3" t="s">
        <v>691</v>
      </c>
      <c r="K1542" s="3">
        <v>2003</v>
      </c>
      <c r="L1542" s="3" t="str">
        <f t="shared" si="99"/>
        <v>Mar-2003</v>
      </c>
      <c r="M1542" s="3" t="s">
        <v>550</v>
      </c>
      <c r="N1542" s="3" t="s">
        <v>492</v>
      </c>
      <c r="O1542" s="3" t="s">
        <v>170</v>
      </c>
      <c r="P1542" s="3" t="s">
        <v>42</v>
      </c>
      <c r="Q1542" s="3" t="s">
        <v>36</v>
      </c>
    </row>
    <row r="1543" spans="1:17" x14ac:dyDescent="0.25">
      <c r="A1543" s="5">
        <v>10124</v>
      </c>
      <c r="B1543" s="5">
        <v>45</v>
      </c>
      <c r="C1543" s="5">
        <v>37.840000000000003</v>
      </c>
      <c r="D1543" s="5">
        <v>1702.8000000000002</v>
      </c>
      <c r="E1543" s="5" t="str">
        <f t="shared" si="97"/>
        <v>Low</v>
      </c>
      <c r="F1543" s="5">
        <f t="shared" si="98"/>
        <v>510.84000000000003</v>
      </c>
      <c r="G1543" s="6">
        <v>37762</v>
      </c>
      <c r="H1543" s="5" t="s">
        <v>25</v>
      </c>
      <c r="I1543" s="5" t="str">
        <f t="shared" si="96"/>
        <v>Yes</v>
      </c>
      <c r="J1543" s="5" t="s">
        <v>682</v>
      </c>
      <c r="K1543" s="5">
        <v>2003</v>
      </c>
      <c r="L1543" s="5" t="str">
        <f t="shared" si="99"/>
        <v>May-2003</v>
      </c>
      <c r="M1543" s="5" t="s">
        <v>550</v>
      </c>
      <c r="N1543" s="5" t="s">
        <v>539</v>
      </c>
      <c r="O1543" s="5" t="s">
        <v>32</v>
      </c>
      <c r="P1543" s="5" t="s">
        <v>33</v>
      </c>
      <c r="Q1543" s="5" t="s">
        <v>36</v>
      </c>
    </row>
    <row r="1544" spans="1:17" x14ac:dyDescent="0.25">
      <c r="A1544" s="3">
        <v>10149</v>
      </c>
      <c r="B1544" s="3">
        <v>36</v>
      </c>
      <c r="C1544" s="3">
        <v>33.19</v>
      </c>
      <c r="D1544" s="3">
        <v>1194.8399999999999</v>
      </c>
      <c r="E1544" s="3" t="str">
        <f t="shared" si="97"/>
        <v>Low</v>
      </c>
      <c r="F1544" s="3">
        <f t="shared" si="98"/>
        <v>358.45199999999994</v>
      </c>
      <c r="G1544" s="4">
        <v>37876</v>
      </c>
      <c r="H1544" s="3" t="s">
        <v>25</v>
      </c>
      <c r="I1544" s="3" t="str">
        <f t="shared" si="96"/>
        <v>Yes</v>
      </c>
      <c r="J1544" s="3" t="s">
        <v>690</v>
      </c>
      <c r="K1544" s="3">
        <v>2003</v>
      </c>
      <c r="L1544" s="3" t="str">
        <f t="shared" si="99"/>
        <v>Sep-2003</v>
      </c>
      <c r="M1544" s="3" t="s">
        <v>550</v>
      </c>
      <c r="N1544" s="3" t="s">
        <v>526</v>
      </c>
      <c r="O1544" s="3" t="s">
        <v>32</v>
      </c>
      <c r="P1544" s="3" t="s">
        <v>33</v>
      </c>
      <c r="Q1544" s="3" t="s">
        <v>36</v>
      </c>
    </row>
    <row r="1545" spans="1:17" x14ac:dyDescent="0.25">
      <c r="A1545" s="5">
        <v>10162</v>
      </c>
      <c r="B1545" s="5">
        <v>37</v>
      </c>
      <c r="C1545" s="5">
        <v>27.22</v>
      </c>
      <c r="D1545" s="5">
        <v>1007.14</v>
      </c>
      <c r="E1545" s="5" t="str">
        <f t="shared" si="97"/>
        <v>Low</v>
      </c>
      <c r="F1545" s="5">
        <f t="shared" si="98"/>
        <v>302.142</v>
      </c>
      <c r="G1545" s="6">
        <v>37912</v>
      </c>
      <c r="H1545" s="5" t="s">
        <v>25</v>
      </c>
      <c r="I1545" s="5" t="str">
        <f t="shared" si="96"/>
        <v>Yes</v>
      </c>
      <c r="J1545" s="5" t="s">
        <v>685</v>
      </c>
      <c r="K1545" s="5">
        <v>2003</v>
      </c>
      <c r="L1545" s="5" t="str">
        <f t="shared" si="99"/>
        <v>Oct-2003</v>
      </c>
      <c r="M1545" s="5" t="s">
        <v>550</v>
      </c>
      <c r="N1545" s="5" t="s">
        <v>58</v>
      </c>
      <c r="O1545" s="5" t="s">
        <v>32</v>
      </c>
      <c r="P1545" s="5" t="s">
        <v>33</v>
      </c>
      <c r="Q1545" s="5" t="s">
        <v>36</v>
      </c>
    </row>
    <row r="1546" spans="1:17" x14ac:dyDescent="0.25">
      <c r="A1546" s="3">
        <v>10173</v>
      </c>
      <c r="B1546" s="3">
        <v>31</v>
      </c>
      <c r="C1546" s="3">
        <v>31.53</v>
      </c>
      <c r="D1546" s="3">
        <v>977.43000000000006</v>
      </c>
      <c r="E1546" s="3" t="str">
        <f t="shared" si="97"/>
        <v>Low</v>
      </c>
      <c r="F1546" s="3">
        <f t="shared" si="98"/>
        <v>293.22899999999998</v>
      </c>
      <c r="G1546" s="4">
        <v>37930</v>
      </c>
      <c r="H1546" s="3" t="s">
        <v>25</v>
      </c>
      <c r="I1546" s="3" t="str">
        <f t="shared" si="96"/>
        <v>Yes</v>
      </c>
      <c r="J1546" s="3" t="s">
        <v>686</v>
      </c>
      <c r="K1546" s="3">
        <v>2003</v>
      </c>
      <c r="L1546" s="3" t="str">
        <f t="shared" si="99"/>
        <v>Nov-2003</v>
      </c>
      <c r="M1546" s="3" t="s">
        <v>550</v>
      </c>
      <c r="N1546" s="3" t="s">
        <v>552</v>
      </c>
      <c r="O1546" s="3" t="s">
        <v>258</v>
      </c>
      <c r="P1546" s="3" t="s">
        <v>42</v>
      </c>
      <c r="Q1546" s="3" t="s">
        <v>36</v>
      </c>
    </row>
    <row r="1547" spans="1:17" x14ac:dyDescent="0.25">
      <c r="A1547" s="5">
        <v>10182</v>
      </c>
      <c r="B1547" s="5">
        <v>39</v>
      </c>
      <c r="C1547" s="5">
        <v>36.840000000000003</v>
      </c>
      <c r="D1547" s="5">
        <v>1436.7600000000002</v>
      </c>
      <c r="E1547" s="5" t="str">
        <f t="shared" si="97"/>
        <v>Low</v>
      </c>
      <c r="F1547" s="5">
        <f t="shared" si="98"/>
        <v>431.02800000000008</v>
      </c>
      <c r="G1547" s="6">
        <v>37937</v>
      </c>
      <c r="H1547" s="5" t="s">
        <v>25</v>
      </c>
      <c r="I1547" s="5" t="str">
        <f t="shared" si="96"/>
        <v>Yes</v>
      </c>
      <c r="J1547" s="5" t="s">
        <v>686</v>
      </c>
      <c r="K1547" s="5">
        <v>2003</v>
      </c>
      <c r="L1547" s="5" t="str">
        <f t="shared" si="99"/>
        <v>Nov-2003</v>
      </c>
      <c r="M1547" s="5" t="s">
        <v>550</v>
      </c>
      <c r="N1547" s="5" t="s">
        <v>272</v>
      </c>
      <c r="O1547" s="5" t="s">
        <v>32</v>
      </c>
      <c r="P1547" s="5" t="s">
        <v>33</v>
      </c>
      <c r="Q1547" s="5" t="s">
        <v>36</v>
      </c>
    </row>
    <row r="1548" spans="1:17" x14ac:dyDescent="0.25">
      <c r="A1548" s="3">
        <v>10193</v>
      </c>
      <c r="B1548" s="3">
        <v>26</v>
      </c>
      <c r="C1548" s="3">
        <v>29.21</v>
      </c>
      <c r="D1548" s="3">
        <v>759.46</v>
      </c>
      <c r="E1548" s="3" t="str">
        <f t="shared" si="97"/>
        <v>Low</v>
      </c>
      <c r="F1548" s="3">
        <f t="shared" si="98"/>
        <v>227.83799999999999</v>
      </c>
      <c r="G1548" s="4">
        <v>37946</v>
      </c>
      <c r="H1548" s="3" t="s">
        <v>25</v>
      </c>
      <c r="I1548" s="3" t="str">
        <f t="shared" si="96"/>
        <v>Yes</v>
      </c>
      <c r="J1548" s="3" t="s">
        <v>686</v>
      </c>
      <c r="K1548" s="3">
        <v>2003</v>
      </c>
      <c r="L1548" s="3" t="str">
        <f t="shared" si="99"/>
        <v>Nov-2003</v>
      </c>
      <c r="M1548" s="3" t="s">
        <v>550</v>
      </c>
      <c r="N1548" s="3" t="s">
        <v>558</v>
      </c>
      <c r="O1548" s="3" t="s">
        <v>95</v>
      </c>
      <c r="P1548" s="3" t="s">
        <v>96</v>
      </c>
      <c r="Q1548" s="3" t="s">
        <v>36</v>
      </c>
    </row>
    <row r="1549" spans="1:17" x14ac:dyDescent="0.25">
      <c r="A1549" s="5">
        <v>10205</v>
      </c>
      <c r="B1549" s="5">
        <v>32</v>
      </c>
      <c r="C1549" s="5">
        <v>37.17</v>
      </c>
      <c r="D1549" s="5">
        <v>1189.44</v>
      </c>
      <c r="E1549" s="5" t="str">
        <f t="shared" si="97"/>
        <v>Low</v>
      </c>
      <c r="F1549" s="5">
        <f t="shared" si="98"/>
        <v>356.83199999999999</v>
      </c>
      <c r="G1549" s="6">
        <v>37958</v>
      </c>
      <c r="H1549" s="5" t="s">
        <v>25</v>
      </c>
      <c r="I1549" s="5" t="str">
        <f t="shared" si="96"/>
        <v>Yes</v>
      </c>
      <c r="J1549" s="5" t="s">
        <v>687</v>
      </c>
      <c r="K1549" s="5">
        <v>2003</v>
      </c>
      <c r="L1549" s="5" t="str">
        <f t="shared" si="99"/>
        <v>Dec-2003</v>
      </c>
      <c r="M1549" s="5" t="s">
        <v>550</v>
      </c>
      <c r="N1549" s="5" t="s">
        <v>174</v>
      </c>
      <c r="O1549" s="5" t="s">
        <v>178</v>
      </c>
      <c r="P1549" s="5" t="s">
        <v>42</v>
      </c>
      <c r="Q1549" s="5" t="s">
        <v>36</v>
      </c>
    </row>
    <row r="1550" spans="1:17" x14ac:dyDescent="0.25">
      <c r="A1550" s="3">
        <v>10214</v>
      </c>
      <c r="B1550" s="3">
        <v>20</v>
      </c>
      <c r="C1550" s="3">
        <v>34.19</v>
      </c>
      <c r="D1550" s="3">
        <v>683.8</v>
      </c>
      <c r="E1550" s="3" t="str">
        <f t="shared" si="97"/>
        <v>Low</v>
      </c>
      <c r="F1550" s="3">
        <f t="shared" si="98"/>
        <v>205.14</v>
      </c>
      <c r="G1550" s="4">
        <v>38012</v>
      </c>
      <c r="H1550" s="3" t="s">
        <v>25</v>
      </c>
      <c r="I1550" s="3" t="str">
        <f t="shared" si="96"/>
        <v>Yes</v>
      </c>
      <c r="J1550" s="3" t="s">
        <v>549</v>
      </c>
      <c r="K1550" s="3">
        <v>2004</v>
      </c>
      <c r="L1550" s="3" t="str">
        <f t="shared" si="99"/>
        <v>Jan-2004</v>
      </c>
      <c r="M1550" s="3" t="s">
        <v>550</v>
      </c>
      <c r="N1550" s="3" t="s">
        <v>191</v>
      </c>
      <c r="O1550" s="3" t="s">
        <v>178</v>
      </c>
      <c r="P1550" s="3" t="s">
        <v>42</v>
      </c>
      <c r="Q1550" s="3" t="s">
        <v>36</v>
      </c>
    </row>
    <row r="1551" spans="1:17" x14ac:dyDescent="0.25">
      <c r="A1551" s="5">
        <v>10227</v>
      </c>
      <c r="B1551" s="5">
        <v>42</v>
      </c>
      <c r="C1551" s="5">
        <v>29.21</v>
      </c>
      <c r="D1551" s="5">
        <v>1226.82</v>
      </c>
      <c r="E1551" s="5" t="str">
        <f t="shared" si="97"/>
        <v>Low</v>
      </c>
      <c r="F1551" s="5">
        <f t="shared" si="98"/>
        <v>368.04599999999999</v>
      </c>
      <c r="G1551" s="6">
        <v>38048</v>
      </c>
      <c r="H1551" s="5" t="s">
        <v>25</v>
      </c>
      <c r="I1551" s="5" t="str">
        <f t="shared" si="96"/>
        <v>Yes</v>
      </c>
      <c r="J1551" s="5" t="s">
        <v>691</v>
      </c>
      <c r="K1551" s="5">
        <v>2004</v>
      </c>
      <c r="L1551" s="5" t="str">
        <f t="shared" si="99"/>
        <v>Mar-2004</v>
      </c>
      <c r="M1551" s="5" t="s">
        <v>550</v>
      </c>
      <c r="N1551" s="5" t="s">
        <v>219</v>
      </c>
      <c r="O1551" s="5" t="s">
        <v>41</v>
      </c>
      <c r="P1551" s="5" t="s">
        <v>42</v>
      </c>
      <c r="Q1551" s="5" t="s">
        <v>36</v>
      </c>
    </row>
    <row r="1552" spans="1:17" x14ac:dyDescent="0.25">
      <c r="A1552" s="3">
        <v>10243</v>
      </c>
      <c r="B1552" s="3">
        <v>33</v>
      </c>
      <c r="C1552" s="3">
        <v>29.54</v>
      </c>
      <c r="D1552" s="3">
        <v>974.81999999999994</v>
      </c>
      <c r="E1552" s="3" t="str">
        <f t="shared" si="97"/>
        <v>Low</v>
      </c>
      <c r="F1552" s="3">
        <f t="shared" si="98"/>
        <v>292.44599999999997</v>
      </c>
      <c r="G1552" s="4">
        <v>38103</v>
      </c>
      <c r="H1552" s="3" t="s">
        <v>25</v>
      </c>
      <c r="I1552" s="3" t="str">
        <f t="shared" si="96"/>
        <v>Yes</v>
      </c>
      <c r="J1552" s="3" t="s">
        <v>688</v>
      </c>
      <c r="K1552" s="3">
        <v>2004</v>
      </c>
      <c r="L1552" s="3" t="str">
        <f t="shared" si="99"/>
        <v>Apr-2004</v>
      </c>
      <c r="M1552" s="3" t="s">
        <v>550</v>
      </c>
      <c r="N1552" s="3" t="s">
        <v>415</v>
      </c>
      <c r="O1552" s="3" t="s">
        <v>32</v>
      </c>
      <c r="P1552" s="3" t="s">
        <v>33</v>
      </c>
      <c r="Q1552" s="3" t="s">
        <v>36</v>
      </c>
    </row>
    <row r="1553" spans="1:17" x14ac:dyDescent="0.25">
      <c r="A1553" s="5">
        <v>10280</v>
      </c>
      <c r="B1553" s="5">
        <v>20</v>
      </c>
      <c r="C1553" s="5">
        <v>28.88</v>
      </c>
      <c r="D1553" s="5">
        <v>577.6</v>
      </c>
      <c r="E1553" s="5" t="str">
        <f t="shared" si="97"/>
        <v>Low</v>
      </c>
      <c r="F1553" s="5">
        <f t="shared" si="98"/>
        <v>173.28</v>
      </c>
      <c r="G1553" s="6">
        <v>38216</v>
      </c>
      <c r="H1553" s="5" t="s">
        <v>25</v>
      </c>
      <c r="I1553" s="5" t="str">
        <f t="shared" si="96"/>
        <v>Yes</v>
      </c>
      <c r="J1553" s="5" t="s">
        <v>684</v>
      </c>
      <c r="K1553" s="5">
        <v>2004</v>
      </c>
      <c r="L1553" s="5" t="str">
        <f t="shared" si="99"/>
        <v>Aug-2004</v>
      </c>
      <c r="M1553" s="5" t="s">
        <v>550</v>
      </c>
      <c r="N1553" s="5" t="s">
        <v>254</v>
      </c>
      <c r="O1553" s="5" t="s">
        <v>258</v>
      </c>
      <c r="P1553" s="5" t="s">
        <v>42</v>
      </c>
      <c r="Q1553" s="5" t="s">
        <v>36</v>
      </c>
    </row>
    <row r="1554" spans="1:17" x14ac:dyDescent="0.25">
      <c r="A1554" s="3">
        <v>10288</v>
      </c>
      <c r="B1554" s="3">
        <v>29</v>
      </c>
      <c r="C1554" s="3">
        <v>38.17</v>
      </c>
      <c r="D1554" s="3">
        <v>1106.93</v>
      </c>
      <c r="E1554" s="3" t="str">
        <f t="shared" si="97"/>
        <v>Low</v>
      </c>
      <c r="F1554" s="3">
        <f t="shared" si="98"/>
        <v>332.07900000000001</v>
      </c>
      <c r="G1554" s="4">
        <v>38231</v>
      </c>
      <c r="H1554" s="3" t="s">
        <v>25</v>
      </c>
      <c r="I1554" s="3" t="str">
        <f t="shared" si="96"/>
        <v>Yes</v>
      </c>
      <c r="J1554" s="3" t="s">
        <v>690</v>
      </c>
      <c r="K1554" s="3">
        <v>2004</v>
      </c>
      <c r="L1554" s="3" t="str">
        <f t="shared" si="99"/>
        <v>Sep-2004</v>
      </c>
      <c r="M1554" s="3" t="s">
        <v>550</v>
      </c>
      <c r="N1554" s="3" t="s">
        <v>418</v>
      </c>
      <c r="O1554" s="3" t="s">
        <v>199</v>
      </c>
      <c r="P1554" s="3" t="s">
        <v>96</v>
      </c>
      <c r="Q1554" s="3" t="s">
        <v>36</v>
      </c>
    </row>
    <row r="1555" spans="1:17" x14ac:dyDescent="0.25">
      <c r="A1555" s="5">
        <v>10304</v>
      </c>
      <c r="B1555" s="5">
        <v>23</v>
      </c>
      <c r="C1555" s="5">
        <v>30.2</v>
      </c>
      <c r="D1555" s="5">
        <v>694.6</v>
      </c>
      <c r="E1555" s="5" t="str">
        <f t="shared" si="97"/>
        <v>Low</v>
      </c>
      <c r="F1555" s="5">
        <f t="shared" si="98"/>
        <v>208.38</v>
      </c>
      <c r="G1555" s="6">
        <v>38271</v>
      </c>
      <c r="H1555" s="5" t="s">
        <v>25</v>
      </c>
      <c r="I1555" s="5" t="str">
        <f t="shared" si="96"/>
        <v>Yes</v>
      </c>
      <c r="J1555" s="5" t="s">
        <v>685</v>
      </c>
      <c r="K1555" s="5">
        <v>2004</v>
      </c>
      <c r="L1555" s="5" t="str">
        <f t="shared" si="99"/>
        <v>Oct-2004</v>
      </c>
      <c r="M1555" s="5" t="s">
        <v>550</v>
      </c>
      <c r="N1555" s="5" t="s">
        <v>267</v>
      </c>
      <c r="O1555" s="5" t="s">
        <v>41</v>
      </c>
      <c r="P1555" s="5" t="s">
        <v>42</v>
      </c>
      <c r="Q1555" s="5" t="s">
        <v>36</v>
      </c>
    </row>
    <row r="1556" spans="1:17" x14ac:dyDescent="0.25">
      <c r="A1556" s="3">
        <v>10312</v>
      </c>
      <c r="B1556" s="3">
        <v>39</v>
      </c>
      <c r="C1556" s="3">
        <v>29.54</v>
      </c>
      <c r="D1556" s="3">
        <v>1152.06</v>
      </c>
      <c r="E1556" s="3" t="str">
        <f t="shared" si="97"/>
        <v>Low</v>
      </c>
      <c r="F1556" s="3">
        <f t="shared" si="98"/>
        <v>345.61799999999999</v>
      </c>
      <c r="G1556" s="4">
        <v>38281</v>
      </c>
      <c r="H1556" s="3" t="s">
        <v>25</v>
      </c>
      <c r="I1556" s="3" t="str">
        <f t="shared" si="96"/>
        <v>Yes</v>
      </c>
      <c r="J1556" s="3" t="s">
        <v>685</v>
      </c>
      <c r="K1556" s="3">
        <v>2004</v>
      </c>
      <c r="L1556" s="3" t="str">
        <f t="shared" si="99"/>
        <v>Oct-2004</v>
      </c>
      <c r="M1556" s="3" t="s">
        <v>550</v>
      </c>
      <c r="N1556" s="3" t="s">
        <v>272</v>
      </c>
      <c r="O1556" s="3" t="s">
        <v>32</v>
      </c>
      <c r="P1556" s="3" t="s">
        <v>33</v>
      </c>
      <c r="Q1556" s="3" t="s">
        <v>36</v>
      </c>
    </row>
    <row r="1557" spans="1:17" x14ac:dyDescent="0.25">
      <c r="A1557" s="5">
        <v>10322</v>
      </c>
      <c r="B1557" s="5">
        <v>20</v>
      </c>
      <c r="C1557" s="5">
        <v>100</v>
      </c>
      <c r="D1557" s="5">
        <v>2000</v>
      </c>
      <c r="E1557" s="5" t="str">
        <f t="shared" si="97"/>
        <v>Medium</v>
      </c>
      <c r="F1557" s="5">
        <f t="shared" si="98"/>
        <v>600</v>
      </c>
      <c r="G1557" s="6">
        <v>38295</v>
      </c>
      <c r="H1557" s="5" t="s">
        <v>25</v>
      </c>
      <c r="I1557" s="5" t="str">
        <f t="shared" si="96"/>
        <v>Yes</v>
      </c>
      <c r="J1557" s="5" t="s">
        <v>686</v>
      </c>
      <c r="K1557" s="5">
        <v>2004</v>
      </c>
      <c r="L1557" s="5" t="str">
        <f t="shared" si="99"/>
        <v>Nov-2004</v>
      </c>
      <c r="M1557" s="5" t="s">
        <v>550</v>
      </c>
      <c r="N1557" s="5" t="s">
        <v>277</v>
      </c>
      <c r="O1557" s="5" t="s">
        <v>32</v>
      </c>
      <c r="P1557" s="5" t="s">
        <v>33</v>
      </c>
      <c r="Q1557" s="5" t="s">
        <v>36</v>
      </c>
    </row>
    <row r="1558" spans="1:17" x14ac:dyDescent="0.25">
      <c r="A1558" s="3">
        <v>10332</v>
      </c>
      <c r="B1558" s="3">
        <v>45</v>
      </c>
      <c r="C1558" s="3">
        <v>81.91</v>
      </c>
      <c r="D1558" s="3">
        <v>3685.95</v>
      </c>
      <c r="E1558" s="3" t="str">
        <f t="shared" si="97"/>
        <v>Medium</v>
      </c>
      <c r="F1558" s="3">
        <f t="shared" si="98"/>
        <v>1105.7849999999999</v>
      </c>
      <c r="G1558" s="4">
        <v>38308</v>
      </c>
      <c r="H1558" s="3" t="s">
        <v>25</v>
      </c>
      <c r="I1558" s="3" t="str">
        <f t="shared" si="96"/>
        <v>Yes</v>
      </c>
      <c r="J1558" s="3" t="s">
        <v>686</v>
      </c>
      <c r="K1558" s="3">
        <v>2004</v>
      </c>
      <c r="L1558" s="3" t="str">
        <f t="shared" si="99"/>
        <v>Nov-2004</v>
      </c>
      <c r="M1558" s="3" t="s">
        <v>550</v>
      </c>
      <c r="N1558" s="3" t="s">
        <v>492</v>
      </c>
      <c r="O1558" s="3" t="s">
        <v>170</v>
      </c>
      <c r="P1558" s="3" t="s">
        <v>42</v>
      </c>
      <c r="Q1558" s="3" t="s">
        <v>51</v>
      </c>
    </row>
    <row r="1559" spans="1:17" x14ac:dyDescent="0.25">
      <c r="A1559" s="5">
        <v>10344</v>
      </c>
      <c r="B1559" s="5">
        <v>20</v>
      </c>
      <c r="C1559" s="5">
        <v>35.18</v>
      </c>
      <c r="D1559" s="5">
        <v>703.6</v>
      </c>
      <c r="E1559" s="5" t="str">
        <f t="shared" si="97"/>
        <v>Low</v>
      </c>
      <c r="F1559" s="5">
        <f t="shared" si="98"/>
        <v>211.08</v>
      </c>
      <c r="G1559" s="6">
        <v>38316</v>
      </c>
      <c r="H1559" s="5" t="s">
        <v>25</v>
      </c>
      <c r="I1559" s="5" t="str">
        <f t="shared" si="96"/>
        <v>Yes</v>
      </c>
      <c r="J1559" s="5" t="s">
        <v>686</v>
      </c>
      <c r="K1559" s="5">
        <v>2004</v>
      </c>
      <c r="L1559" s="5" t="str">
        <f t="shared" si="99"/>
        <v>Nov-2004</v>
      </c>
      <c r="M1559" s="5" t="s">
        <v>550</v>
      </c>
      <c r="N1559" s="5" t="s">
        <v>433</v>
      </c>
      <c r="O1559" s="5" t="s">
        <v>41</v>
      </c>
      <c r="P1559" s="5" t="s">
        <v>42</v>
      </c>
      <c r="Q1559" s="5" t="s">
        <v>36</v>
      </c>
    </row>
    <row r="1560" spans="1:17" x14ac:dyDescent="0.25">
      <c r="A1560" s="3">
        <v>10356</v>
      </c>
      <c r="B1560" s="3">
        <v>48</v>
      </c>
      <c r="C1560" s="3">
        <v>100</v>
      </c>
      <c r="D1560" s="3">
        <v>4800</v>
      </c>
      <c r="E1560" s="3" t="str">
        <f t="shared" si="97"/>
        <v>Medium</v>
      </c>
      <c r="F1560" s="3">
        <f t="shared" si="98"/>
        <v>1440</v>
      </c>
      <c r="G1560" s="4">
        <v>38330</v>
      </c>
      <c r="H1560" s="3" t="s">
        <v>25</v>
      </c>
      <c r="I1560" s="3" t="str">
        <f t="shared" si="96"/>
        <v>Yes</v>
      </c>
      <c r="J1560" s="3" t="s">
        <v>687</v>
      </c>
      <c r="K1560" s="3">
        <v>2004</v>
      </c>
      <c r="L1560" s="3" t="str">
        <f t="shared" si="99"/>
        <v>Dec-2004</v>
      </c>
      <c r="M1560" s="3" t="s">
        <v>550</v>
      </c>
      <c r="N1560" s="3" t="s">
        <v>45</v>
      </c>
      <c r="O1560" s="3" t="s">
        <v>41</v>
      </c>
      <c r="P1560" s="3" t="s">
        <v>42</v>
      </c>
      <c r="Q1560" s="3" t="s">
        <v>151</v>
      </c>
    </row>
    <row r="1561" spans="1:17" x14ac:dyDescent="0.25">
      <c r="A1561" s="5">
        <v>10367</v>
      </c>
      <c r="B1561" s="5">
        <v>23</v>
      </c>
      <c r="C1561" s="5">
        <v>36.29</v>
      </c>
      <c r="D1561" s="5">
        <v>834.67</v>
      </c>
      <c r="E1561" s="5" t="str">
        <f t="shared" si="97"/>
        <v>Low</v>
      </c>
      <c r="F1561" s="5">
        <f t="shared" si="98"/>
        <v>250.40099999999998</v>
      </c>
      <c r="G1561" s="6">
        <v>38364</v>
      </c>
      <c r="H1561" s="5" t="s">
        <v>408</v>
      </c>
      <c r="I1561" s="5" t="str">
        <f t="shared" si="96"/>
        <v>No</v>
      </c>
      <c r="J1561" s="5" t="s">
        <v>549</v>
      </c>
      <c r="K1561" s="5">
        <v>2005</v>
      </c>
      <c r="L1561" s="5" t="str">
        <f t="shared" si="99"/>
        <v>Jan-2005</v>
      </c>
      <c r="M1561" s="5" t="s">
        <v>550</v>
      </c>
      <c r="N1561" s="5" t="s">
        <v>52</v>
      </c>
      <c r="O1561" s="5" t="s">
        <v>32</v>
      </c>
      <c r="P1561" s="5" t="s">
        <v>33</v>
      </c>
      <c r="Q1561" s="5" t="s">
        <v>36</v>
      </c>
    </row>
    <row r="1562" spans="1:17" x14ac:dyDescent="0.25">
      <c r="A1562" s="3">
        <v>10380</v>
      </c>
      <c r="B1562" s="3">
        <v>32</v>
      </c>
      <c r="C1562" s="3">
        <v>70.56</v>
      </c>
      <c r="D1562" s="3">
        <v>2257.92</v>
      </c>
      <c r="E1562" s="3" t="str">
        <f t="shared" si="97"/>
        <v>Medium</v>
      </c>
      <c r="F1562" s="3">
        <f t="shared" si="98"/>
        <v>677.37599999999998</v>
      </c>
      <c r="G1562" s="4">
        <v>38399</v>
      </c>
      <c r="H1562" s="3" t="s">
        <v>25</v>
      </c>
      <c r="I1562" s="3" t="str">
        <f t="shared" si="96"/>
        <v>Yes</v>
      </c>
      <c r="J1562" s="3" t="s">
        <v>681</v>
      </c>
      <c r="K1562" s="3">
        <v>2005</v>
      </c>
      <c r="L1562" s="3" t="str">
        <f t="shared" si="99"/>
        <v>Feb-2005</v>
      </c>
      <c r="M1562" s="3" t="s">
        <v>550</v>
      </c>
      <c r="N1562" s="3" t="s">
        <v>174</v>
      </c>
      <c r="O1562" s="3" t="s">
        <v>178</v>
      </c>
      <c r="P1562" s="3" t="s">
        <v>42</v>
      </c>
      <c r="Q1562" s="3" t="s">
        <v>36</v>
      </c>
    </row>
    <row r="1563" spans="1:17" x14ac:dyDescent="0.25">
      <c r="A1563" s="5">
        <v>10391</v>
      </c>
      <c r="B1563" s="5">
        <v>33</v>
      </c>
      <c r="C1563" s="5">
        <v>100</v>
      </c>
      <c r="D1563" s="5">
        <v>3300</v>
      </c>
      <c r="E1563" s="5" t="str">
        <f t="shared" si="97"/>
        <v>Medium</v>
      </c>
      <c r="F1563" s="5">
        <f t="shared" si="98"/>
        <v>990</v>
      </c>
      <c r="G1563" s="6">
        <v>38420</v>
      </c>
      <c r="H1563" s="5" t="s">
        <v>25</v>
      </c>
      <c r="I1563" s="5" t="str">
        <f t="shared" si="96"/>
        <v>Yes</v>
      </c>
      <c r="J1563" s="5" t="s">
        <v>691</v>
      </c>
      <c r="K1563" s="5">
        <v>2005</v>
      </c>
      <c r="L1563" s="5" t="str">
        <f t="shared" si="99"/>
        <v>Mar-2005</v>
      </c>
      <c r="M1563" s="5" t="s">
        <v>550</v>
      </c>
      <c r="N1563" s="5" t="s">
        <v>285</v>
      </c>
      <c r="O1563" s="5" t="s">
        <v>95</v>
      </c>
      <c r="P1563" s="5" t="s">
        <v>96</v>
      </c>
      <c r="Q1563" s="5" t="s">
        <v>151</v>
      </c>
    </row>
    <row r="1564" spans="1:17" x14ac:dyDescent="0.25">
      <c r="A1564" s="3">
        <v>10409</v>
      </c>
      <c r="B1564" s="3">
        <v>61</v>
      </c>
      <c r="C1564" s="3">
        <v>29.54</v>
      </c>
      <c r="D1564" s="3">
        <v>1801.94</v>
      </c>
      <c r="E1564" s="3" t="str">
        <f t="shared" si="97"/>
        <v>Low</v>
      </c>
      <c r="F1564" s="3">
        <f t="shared" si="98"/>
        <v>540.58199999999999</v>
      </c>
      <c r="G1564" s="4">
        <v>38465</v>
      </c>
      <c r="H1564" s="3" t="s">
        <v>25</v>
      </c>
      <c r="I1564" s="3" t="str">
        <f t="shared" si="96"/>
        <v>Yes</v>
      </c>
      <c r="J1564" s="3" t="s">
        <v>688</v>
      </c>
      <c r="K1564" s="3">
        <v>2005</v>
      </c>
      <c r="L1564" s="3" t="str">
        <f t="shared" si="99"/>
        <v>Apr-2005</v>
      </c>
      <c r="M1564" s="3" t="s">
        <v>550</v>
      </c>
      <c r="N1564" s="3" t="s">
        <v>418</v>
      </c>
      <c r="O1564" s="3" t="s">
        <v>199</v>
      </c>
      <c r="P1564" s="3" t="s">
        <v>96</v>
      </c>
      <c r="Q1564" s="3" t="s">
        <v>36</v>
      </c>
    </row>
    <row r="1565" spans="1:17" x14ac:dyDescent="0.25">
      <c r="A1565" s="5">
        <v>10420</v>
      </c>
      <c r="B1565" s="5">
        <v>45</v>
      </c>
      <c r="C1565" s="5">
        <v>26.88</v>
      </c>
      <c r="D1565" s="5">
        <v>1209.5999999999999</v>
      </c>
      <c r="E1565" s="5" t="str">
        <f t="shared" si="97"/>
        <v>Low</v>
      </c>
      <c r="F1565" s="5">
        <f t="shared" si="98"/>
        <v>362.87999999999994</v>
      </c>
      <c r="G1565" s="6">
        <v>38501</v>
      </c>
      <c r="H1565" s="5" t="s">
        <v>300</v>
      </c>
      <c r="I1565" s="5" t="str">
        <f t="shared" si="96"/>
        <v>No</v>
      </c>
      <c r="J1565" s="5" t="s">
        <v>682</v>
      </c>
      <c r="K1565" s="5">
        <v>2005</v>
      </c>
      <c r="L1565" s="5" t="str">
        <f t="shared" si="99"/>
        <v>May-2005</v>
      </c>
      <c r="M1565" s="5" t="s">
        <v>550</v>
      </c>
      <c r="N1565" s="5" t="s">
        <v>152</v>
      </c>
      <c r="O1565" s="5" t="s">
        <v>95</v>
      </c>
      <c r="P1565" s="5" t="s">
        <v>96</v>
      </c>
      <c r="Q1565" s="5" t="s">
        <v>36</v>
      </c>
    </row>
    <row r="1566" spans="1:17" x14ac:dyDescent="0.25">
      <c r="A1566" s="3">
        <v>10107</v>
      </c>
      <c r="B1566" s="3">
        <v>38</v>
      </c>
      <c r="C1566" s="3">
        <v>83.03</v>
      </c>
      <c r="D1566" s="3">
        <v>3155.14</v>
      </c>
      <c r="E1566" s="3" t="str">
        <f t="shared" si="97"/>
        <v>Medium</v>
      </c>
      <c r="F1566" s="3">
        <f t="shared" si="98"/>
        <v>946.54199999999992</v>
      </c>
      <c r="G1566" s="4">
        <v>37676</v>
      </c>
      <c r="H1566" s="3" t="s">
        <v>25</v>
      </c>
      <c r="I1566" s="3" t="str">
        <f t="shared" si="96"/>
        <v>Yes</v>
      </c>
      <c r="J1566" s="3" t="s">
        <v>681</v>
      </c>
      <c r="K1566" s="3">
        <v>2003</v>
      </c>
      <c r="L1566" s="3" t="str">
        <f t="shared" si="99"/>
        <v>Feb-2003</v>
      </c>
      <c r="M1566" s="3" t="s">
        <v>26</v>
      </c>
      <c r="N1566" s="3" t="s">
        <v>28</v>
      </c>
      <c r="O1566" s="3" t="s">
        <v>32</v>
      </c>
      <c r="P1566" s="3" t="s">
        <v>33</v>
      </c>
      <c r="Q1566" s="3" t="s">
        <v>51</v>
      </c>
    </row>
    <row r="1567" spans="1:17" x14ac:dyDescent="0.25">
      <c r="A1567" s="5">
        <v>10120</v>
      </c>
      <c r="B1567" s="5">
        <v>34</v>
      </c>
      <c r="C1567" s="5">
        <v>83.79</v>
      </c>
      <c r="D1567" s="5">
        <v>2848.86</v>
      </c>
      <c r="E1567" s="5" t="str">
        <f t="shared" si="97"/>
        <v>Medium</v>
      </c>
      <c r="F1567" s="5">
        <f t="shared" si="98"/>
        <v>854.65800000000002</v>
      </c>
      <c r="G1567" s="6">
        <v>37740</v>
      </c>
      <c r="H1567" s="5" t="s">
        <v>25</v>
      </c>
      <c r="I1567" s="5" t="str">
        <f t="shared" si="96"/>
        <v>Yes</v>
      </c>
      <c r="J1567" s="5" t="s">
        <v>688</v>
      </c>
      <c r="K1567" s="5">
        <v>2003</v>
      </c>
      <c r="L1567" s="5" t="str">
        <f t="shared" si="99"/>
        <v>Apr-2003</v>
      </c>
      <c r="M1567" s="5" t="s">
        <v>26</v>
      </c>
      <c r="N1567" s="5" t="s">
        <v>89</v>
      </c>
      <c r="O1567" s="5" t="s">
        <v>95</v>
      </c>
      <c r="P1567" s="5" t="s">
        <v>96</v>
      </c>
      <c r="Q1567" s="5" t="s">
        <v>36</v>
      </c>
    </row>
    <row r="1568" spans="1:17" x14ac:dyDescent="0.25">
      <c r="A1568" s="3">
        <v>10134</v>
      </c>
      <c r="B1568" s="3">
        <v>43</v>
      </c>
      <c r="C1568" s="3">
        <v>83.03</v>
      </c>
      <c r="D1568" s="3">
        <v>3570.29</v>
      </c>
      <c r="E1568" s="3" t="str">
        <f t="shared" si="97"/>
        <v>Medium</v>
      </c>
      <c r="F1568" s="3">
        <f t="shared" si="98"/>
        <v>1071.087</v>
      </c>
      <c r="G1568" s="4">
        <v>37803</v>
      </c>
      <c r="H1568" s="3" t="s">
        <v>25</v>
      </c>
      <c r="I1568" s="3" t="str">
        <f t="shared" si="96"/>
        <v>Yes</v>
      </c>
      <c r="J1568" s="3" t="s">
        <v>683</v>
      </c>
      <c r="K1568" s="3">
        <v>2003</v>
      </c>
      <c r="L1568" s="3" t="str">
        <f t="shared" si="99"/>
        <v>Jul-2003</v>
      </c>
      <c r="M1568" s="3" t="s">
        <v>26</v>
      </c>
      <c r="N1568" s="3" t="s">
        <v>45</v>
      </c>
      <c r="O1568" s="3" t="s">
        <v>41</v>
      </c>
      <c r="P1568" s="3" t="s">
        <v>42</v>
      </c>
      <c r="Q1568" s="3" t="s">
        <v>51</v>
      </c>
    </row>
    <row r="1569" spans="1:17" x14ac:dyDescent="0.25">
      <c r="A1569" s="5">
        <v>10145</v>
      </c>
      <c r="B1569" s="5">
        <v>47</v>
      </c>
      <c r="C1569" s="5">
        <v>83.03</v>
      </c>
      <c r="D1569" s="5">
        <v>3902.41</v>
      </c>
      <c r="E1569" s="5" t="str">
        <f t="shared" si="97"/>
        <v>Medium</v>
      </c>
      <c r="F1569" s="5">
        <f t="shared" si="98"/>
        <v>1170.723</v>
      </c>
      <c r="G1569" s="6">
        <v>37858</v>
      </c>
      <c r="H1569" s="5" t="s">
        <v>25</v>
      </c>
      <c r="I1569" s="5" t="str">
        <f t="shared" si="96"/>
        <v>Yes</v>
      </c>
      <c r="J1569" s="5" t="s">
        <v>684</v>
      </c>
      <c r="K1569" s="5">
        <v>2003</v>
      </c>
      <c r="L1569" s="5" t="str">
        <f t="shared" si="99"/>
        <v>Aug-2003</v>
      </c>
      <c r="M1569" s="5" t="s">
        <v>26</v>
      </c>
      <c r="N1569" s="5" t="s">
        <v>52</v>
      </c>
      <c r="O1569" s="5" t="s">
        <v>32</v>
      </c>
      <c r="P1569" s="5" t="s">
        <v>33</v>
      </c>
      <c r="Q1569" s="5" t="s">
        <v>51</v>
      </c>
    </row>
    <row r="1570" spans="1:17" x14ac:dyDescent="0.25">
      <c r="A1570" s="3">
        <v>10158</v>
      </c>
      <c r="B1570" s="3">
        <v>22</v>
      </c>
      <c r="C1570" s="3">
        <v>67.03</v>
      </c>
      <c r="D1570" s="3">
        <v>1474.66</v>
      </c>
      <c r="E1570" s="3" t="str">
        <f t="shared" si="97"/>
        <v>Low</v>
      </c>
      <c r="F1570" s="3">
        <f t="shared" si="98"/>
        <v>442.39800000000002</v>
      </c>
      <c r="G1570" s="4">
        <v>37904</v>
      </c>
      <c r="H1570" s="3" t="s">
        <v>25</v>
      </c>
      <c r="I1570" s="3" t="str">
        <f t="shared" si="96"/>
        <v>Yes</v>
      </c>
      <c r="J1570" s="3" t="s">
        <v>685</v>
      </c>
      <c r="K1570" s="3">
        <v>2003</v>
      </c>
      <c r="L1570" s="3" t="str">
        <f t="shared" si="99"/>
        <v>Oct-2003</v>
      </c>
      <c r="M1570" s="3" t="s">
        <v>26</v>
      </c>
      <c r="N1570" s="3" t="s">
        <v>133</v>
      </c>
      <c r="O1570" s="3" t="s">
        <v>78</v>
      </c>
      <c r="P1570" s="3" t="s">
        <v>42</v>
      </c>
      <c r="Q1570" s="3" t="s">
        <v>36</v>
      </c>
    </row>
    <row r="1571" spans="1:17" x14ac:dyDescent="0.25">
      <c r="A1571" s="5">
        <v>10168</v>
      </c>
      <c r="B1571" s="5">
        <v>29</v>
      </c>
      <c r="C1571" s="5">
        <v>75.41</v>
      </c>
      <c r="D1571" s="5">
        <v>2186.89</v>
      </c>
      <c r="E1571" s="5" t="str">
        <f t="shared" si="97"/>
        <v>Medium</v>
      </c>
      <c r="F1571" s="5">
        <f t="shared" si="98"/>
        <v>656.06699999999989</v>
      </c>
      <c r="G1571" s="6">
        <v>37922</v>
      </c>
      <c r="H1571" s="5" t="s">
        <v>25</v>
      </c>
      <c r="I1571" s="5" t="str">
        <f t="shared" si="96"/>
        <v>Yes</v>
      </c>
      <c r="J1571" s="5" t="s">
        <v>685</v>
      </c>
      <c r="K1571" s="5">
        <v>2003</v>
      </c>
      <c r="L1571" s="5" t="str">
        <f t="shared" si="99"/>
        <v>Oct-2003</v>
      </c>
      <c r="M1571" s="5" t="s">
        <v>26</v>
      </c>
      <c r="N1571" s="5" t="s">
        <v>62</v>
      </c>
      <c r="O1571" s="5" t="s">
        <v>32</v>
      </c>
      <c r="P1571" s="5" t="s">
        <v>33</v>
      </c>
      <c r="Q1571" s="5" t="s">
        <v>36</v>
      </c>
    </row>
    <row r="1572" spans="1:17" x14ac:dyDescent="0.25">
      <c r="A1572" s="3">
        <v>10180</v>
      </c>
      <c r="B1572" s="3">
        <v>28</v>
      </c>
      <c r="C1572" s="3">
        <v>68.55</v>
      </c>
      <c r="D1572" s="3">
        <v>1919.3999999999999</v>
      </c>
      <c r="E1572" s="3" t="str">
        <f t="shared" si="97"/>
        <v>Low</v>
      </c>
      <c r="F1572" s="3">
        <f t="shared" si="98"/>
        <v>575.81999999999994</v>
      </c>
      <c r="G1572" s="4">
        <v>37936</v>
      </c>
      <c r="H1572" s="3" t="s">
        <v>25</v>
      </c>
      <c r="I1572" s="3" t="str">
        <f t="shared" si="96"/>
        <v>Yes</v>
      </c>
      <c r="J1572" s="3" t="s">
        <v>686</v>
      </c>
      <c r="K1572" s="3">
        <v>2003</v>
      </c>
      <c r="L1572" s="3" t="str">
        <f t="shared" si="99"/>
        <v>Nov-2003</v>
      </c>
      <c r="M1572" s="3" t="s">
        <v>26</v>
      </c>
      <c r="N1572" s="3" t="s">
        <v>67</v>
      </c>
      <c r="O1572" s="3" t="s">
        <v>41</v>
      </c>
      <c r="P1572" s="3" t="s">
        <v>42</v>
      </c>
      <c r="Q1572" s="3" t="s">
        <v>36</v>
      </c>
    </row>
    <row r="1573" spans="1:17" x14ac:dyDescent="0.25">
      <c r="A1573" s="5">
        <v>10188</v>
      </c>
      <c r="B1573" s="5">
        <v>40</v>
      </c>
      <c r="C1573" s="5">
        <v>91.4</v>
      </c>
      <c r="D1573" s="5">
        <v>3656</v>
      </c>
      <c r="E1573" s="5" t="str">
        <f t="shared" si="97"/>
        <v>Medium</v>
      </c>
      <c r="F1573" s="5">
        <f t="shared" si="98"/>
        <v>1096.8</v>
      </c>
      <c r="G1573" s="6">
        <v>37943</v>
      </c>
      <c r="H1573" s="5" t="s">
        <v>25</v>
      </c>
      <c r="I1573" s="5" t="str">
        <f t="shared" si="96"/>
        <v>Yes</v>
      </c>
      <c r="J1573" s="5" t="s">
        <v>686</v>
      </c>
      <c r="K1573" s="5">
        <v>2003</v>
      </c>
      <c r="L1573" s="5" t="str">
        <f t="shared" si="99"/>
        <v>Nov-2003</v>
      </c>
      <c r="M1573" s="5" t="s">
        <v>26</v>
      </c>
      <c r="N1573" s="5" t="s">
        <v>73</v>
      </c>
      <c r="O1573" s="5" t="s">
        <v>78</v>
      </c>
      <c r="P1573" s="5" t="s">
        <v>42</v>
      </c>
      <c r="Q1573" s="5" t="s">
        <v>51</v>
      </c>
    </row>
    <row r="1574" spans="1:17" x14ac:dyDescent="0.25">
      <c r="A1574" s="3">
        <v>10201</v>
      </c>
      <c r="B1574" s="3">
        <v>25</v>
      </c>
      <c r="C1574" s="3">
        <v>73.88</v>
      </c>
      <c r="D1574" s="3">
        <v>1847</v>
      </c>
      <c r="E1574" s="3" t="str">
        <f t="shared" si="97"/>
        <v>Low</v>
      </c>
      <c r="F1574" s="3">
        <f t="shared" si="98"/>
        <v>554.1</v>
      </c>
      <c r="G1574" s="4">
        <v>37956</v>
      </c>
      <c r="H1574" s="3" t="s">
        <v>25</v>
      </c>
      <c r="I1574" s="3" t="str">
        <f t="shared" si="96"/>
        <v>Yes</v>
      </c>
      <c r="J1574" s="3" t="s">
        <v>687</v>
      </c>
      <c r="K1574" s="3">
        <v>2003</v>
      </c>
      <c r="L1574" s="3" t="str">
        <f t="shared" si="99"/>
        <v>Dec-2003</v>
      </c>
      <c r="M1574" s="3" t="s">
        <v>26</v>
      </c>
      <c r="N1574" s="3" t="s">
        <v>81</v>
      </c>
      <c r="O1574" s="3" t="s">
        <v>32</v>
      </c>
      <c r="P1574" s="3" t="s">
        <v>33</v>
      </c>
      <c r="Q1574" s="3" t="s">
        <v>36</v>
      </c>
    </row>
    <row r="1575" spans="1:17" x14ac:dyDescent="0.25">
      <c r="A1575" s="5">
        <v>10210</v>
      </c>
      <c r="B1575" s="5">
        <v>30</v>
      </c>
      <c r="C1575" s="5">
        <v>61.7</v>
      </c>
      <c r="D1575" s="5">
        <v>1851</v>
      </c>
      <c r="E1575" s="5" t="str">
        <f t="shared" si="97"/>
        <v>Low</v>
      </c>
      <c r="F1575" s="5">
        <f t="shared" si="98"/>
        <v>555.29999999999995</v>
      </c>
      <c r="G1575" s="6">
        <v>37998</v>
      </c>
      <c r="H1575" s="5" t="s">
        <v>25</v>
      </c>
      <c r="I1575" s="5" t="str">
        <f t="shared" si="96"/>
        <v>Yes</v>
      </c>
      <c r="J1575" s="5" t="s">
        <v>549</v>
      </c>
      <c r="K1575" s="5">
        <v>2004</v>
      </c>
      <c r="L1575" s="5" t="str">
        <f t="shared" si="99"/>
        <v>Jan-2004</v>
      </c>
      <c r="M1575" s="5" t="s">
        <v>26</v>
      </c>
      <c r="N1575" s="5" t="s">
        <v>302</v>
      </c>
      <c r="O1575" s="5" t="s">
        <v>200</v>
      </c>
      <c r="P1575" s="5" t="s">
        <v>675</v>
      </c>
      <c r="Q1575" s="5" t="s">
        <v>36</v>
      </c>
    </row>
    <row r="1576" spans="1:17" x14ac:dyDescent="0.25">
      <c r="A1576" s="3">
        <v>10223</v>
      </c>
      <c r="B1576" s="3">
        <v>38</v>
      </c>
      <c r="C1576" s="3">
        <v>69.31</v>
      </c>
      <c r="D1576" s="3">
        <v>2633.78</v>
      </c>
      <c r="E1576" s="3" t="str">
        <f t="shared" si="97"/>
        <v>Medium</v>
      </c>
      <c r="F1576" s="3">
        <f t="shared" si="98"/>
        <v>790.13400000000001</v>
      </c>
      <c r="G1576" s="4">
        <v>38037</v>
      </c>
      <c r="H1576" s="3" t="s">
        <v>25</v>
      </c>
      <c r="I1576" s="3" t="str">
        <f t="shared" si="96"/>
        <v>Yes</v>
      </c>
      <c r="J1576" s="3" t="s">
        <v>681</v>
      </c>
      <c r="K1576" s="3">
        <v>2004</v>
      </c>
      <c r="L1576" s="3" t="str">
        <f t="shared" si="99"/>
        <v>Feb-2004</v>
      </c>
      <c r="M1576" s="3" t="s">
        <v>26</v>
      </c>
      <c r="N1576" s="3" t="s">
        <v>89</v>
      </c>
      <c r="O1576" s="3" t="s">
        <v>95</v>
      </c>
      <c r="P1576" s="3" t="s">
        <v>96</v>
      </c>
      <c r="Q1576" s="3" t="s">
        <v>36</v>
      </c>
    </row>
    <row r="1577" spans="1:17" x14ac:dyDescent="0.25">
      <c r="A1577" s="5">
        <v>10236</v>
      </c>
      <c r="B1577" s="5">
        <v>36</v>
      </c>
      <c r="C1577" s="5">
        <v>87.6</v>
      </c>
      <c r="D1577" s="5">
        <v>3153.6</v>
      </c>
      <c r="E1577" s="5" t="str">
        <f t="shared" si="97"/>
        <v>Medium</v>
      </c>
      <c r="F1577" s="5">
        <f t="shared" si="98"/>
        <v>946.07999999999993</v>
      </c>
      <c r="G1577" s="6">
        <v>38080</v>
      </c>
      <c r="H1577" s="5" t="s">
        <v>25</v>
      </c>
      <c r="I1577" s="5" t="str">
        <f t="shared" si="96"/>
        <v>Yes</v>
      </c>
      <c r="J1577" s="5" t="s">
        <v>688</v>
      </c>
      <c r="K1577" s="5">
        <v>2004</v>
      </c>
      <c r="L1577" s="5" t="str">
        <f t="shared" si="99"/>
        <v>Apr-2004</v>
      </c>
      <c r="M1577" s="5" t="s">
        <v>26</v>
      </c>
      <c r="N1577" s="5" t="s">
        <v>309</v>
      </c>
      <c r="O1577" s="5" t="s">
        <v>32</v>
      </c>
      <c r="P1577" s="5" t="s">
        <v>33</v>
      </c>
      <c r="Q1577" s="5" t="s">
        <v>51</v>
      </c>
    </row>
    <row r="1578" spans="1:17" x14ac:dyDescent="0.25">
      <c r="A1578" s="3">
        <v>10250</v>
      </c>
      <c r="B1578" s="3">
        <v>32</v>
      </c>
      <c r="C1578" s="3">
        <v>87.6</v>
      </c>
      <c r="D1578" s="3">
        <v>2803.2</v>
      </c>
      <c r="E1578" s="3" t="str">
        <f t="shared" si="97"/>
        <v>Medium</v>
      </c>
      <c r="F1578" s="3">
        <f t="shared" si="98"/>
        <v>840.95999999999992</v>
      </c>
      <c r="G1578" s="4">
        <v>38118</v>
      </c>
      <c r="H1578" s="3" t="s">
        <v>25</v>
      </c>
      <c r="I1578" s="3" t="str">
        <f t="shared" si="96"/>
        <v>Yes</v>
      </c>
      <c r="J1578" s="3" t="s">
        <v>682</v>
      </c>
      <c r="K1578" s="3">
        <v>2004</v>
      </c>
      <c r="L1578" s="3" t="str">
        <f t="shared" si="99"/>
        <v>May-2004</v>
      </c>
      <c r="M1578" s="3" t="s">
        <v>26</v>
      </c>
      <c r="N1578" s="3" t="s">
        <v>397</v>
      </c>
      <c r="O1578" s="3" t="s">
        <v>32</v>
      </c>
      <c r="P1578" s="3" t="s">
        <v>33</v>
      </c>
      <c r="Q1578" s="3" t="s">
        <v>36</v>
      </c>
    </row>
    <row r="1579" spans="1:17" x14ac:dyDescent="0.25">
      <c r="A1579" s="5">
        <v>10263</v>
      </c>
      <c r="B1579" s="5">
        <v>37</v>
      </c>
      <c r="C1579" s="5">
        <v>62.46</v>
      </c>
      <c r="D1579" s="5">
        <v>2311.02</v>
      </c>
      <c r="E1579" s="5" t="str">
        <f t="shared" si="97"/>
        <v>Medium</v>
      </c>
      <c r="F1579" s="5">
        <f t="shared" si="98"/>
        <v>693.30599999999993</v>
      </c>
      <c r="G1579" s="6">
        <v>38166</v>
      </c>
      <c r="H1579" s="5" t="s">
        <v>25</v>
      </c>
      <c r="I1579" s="5" t="str">
        <f t="shared" si="96"/>
        <v>Yes</v>
      </c>
      <c r="J1579" s="5" t="s">
        <v>689</v>
      </c>
      <c r="K1579" s="5">
        <v>2004</v>
      </c>
      <c r="L1579" s="5" t="str">
        <f t="shared" si="99"/>
        <v>Jun-2004</v>
      </c>
      <c r="M1579" s="5" t="s">
        <v>26</v>
      </c>
      <c r="N1579" s="5" t="s">
        <v>109</v>
      </c>
      <c r="O1579" s="5" t="s">
        <v>32</v>
      </c>
      <c r="P1579" s="5" t="s">
        <v>33</v>
      </c>
      <c r="Q1579" s="5" t="s">
        <v>36</v>
      </c>
    </row>
    <row r="1580" spans="1:17" x14ac:dyDescent="0.25">
      <c r="A1580" s="3">
        <v>10275</v>
      </c>
      <c r="B1580" s="3">
        <v>30</v>
      </c>
      <c r="C1580" s="3">
        <v>79.98</v>
      </c>
      <c r="D1580" s="3">
        <v>2399.4</v>
      </c>
      <c r="E1580" s="3" t="str">
        <f t="shared" si="97"/>
        <v>Medium</v>
      </c>
      <c r="F1580" s="3">
        <f t="shared" si="98"/>
        <v>719.82</v>
      </c>
      <c r="G1580" s="4">
        <v>38191</v>
      </c>
      <c r="H1580" s="3" t="s">
        <v>25</v>
      </c>
      <c r="I1580" s="3" t="str">
        <f t="shared" si="96"/>
        <v>Yes</v>
      </c>
      <c r="J1580" s="3" t="s">
        <v>683</v>
      </c>
      <c r="K1580" s="3">
        <v>2004</v>
      </c>
      <c r="L1580" s="3" t="str">
        <f t="shared" si="99"/>
        <v>Jul-2004</v>
      </c>
      <c r="M1580" s="3" t="s">
        <v>26</v>
      </c>
      <c r="N1580" s="3" t="s">
        <v>114</v>
      </c>
      <c r="O1580" s="3" t="s">
        <v>41</v>
      </c>
      <c r="P1580" s="3" t="s">
        <v>42</v>
      </c>
      <c r="Q1580" s="3" t="s">
        <v>36</v>
      </c>
    </row>
    <row r="1581" spans="1:17" x14ac:dyDescent="0.25">
      <c r="A1581" s="5">
        <v>10285</v>
      </c>
      <c r="B1581" s="5">
        <v>39</v>
      </c>
      <c r="C1581" s="5">
        <v>70.08</v>
      </c>
      <c r="D1581" s="5">
        <v>2733.12</v>
      </c>
      <c r="E1581" s="5" t="str">
        <f t="shared" si="97"/>
        <v>Medium</v>
      </c>
      <c r="F1581" s="5">
        <f t="shared" si="98"/>
        <v>819.93599999999992</v>
      </c>
      <c r="G1581" s="6">
        <v>38226</v>
      </c>
      <c r="H1581" s="5" t="s">
        <v>25</v>
      </c>
      <c r="I1581" s="5" t="str">
        <f t="shared" si="96"/>
        <v>Yes</v>
      </c>
      <c r="J1581" s="5" t="s">
        <v>684</v>
      </c>
      <c r="K1581" s="5">
        <v>2004</v>
      </c>
      <c r="L1581" s="5" t="str">
        <f t="shared" si="99"/>
        <v>Aug-2004</v>
      </c>
      <c r="M1581" s="5" t="s">
        <v>26</v>
      </c>
      <c r="N1581" s="5" t="s">
        <v>120</v>
      </c>
      <c r="O1581" s="5" t="s">
        <v>32</v>
      </c>
      <c r="P1581" s="5" t="s">
        <v>33</v>
      </c>
      <c r="Q1581" s="5" t="s">
        <v>36</v>
      </c>
    </row>
    <row r="1582" spans="1:17" x14ac:dyDescent="0.25">
      <c r="A1582" s="3">
        <v>10297</v>
      </c>
      <c r="B1582" s="3">
        <v>32</v>
      </c>
      <c r="C1582" s="3">
        <v>65.510000000000005</v>
      </c>
      <c r="D1582" s="3">
        <v>2096.3200000000002</v>
      </c>
      <c r="E1582" s="3" t="str">
        <f t="shared" si="97"/>
        <v>Medium</v>
      </c>
      <c r="F1582" s="3">
        <f t="shared" si="98"/>
        <v>628.89600000000007</v>
      </c>
      <c r="G1582" s="4">
        <v>38246</v>
      </c>
      <c r="H1582" s="3" t="s">
        <v>25</v>
      </c>
      <c r="I1582" s="3" t="str">
        <f t="shared" si="96"/>
        <v>Yes</v>
      </c>
      <c r="J1582" s="3" t="s">
        <v>690</v>
      </c>
      <c r="K1582" s="3">
        <v>2004</v>
      </c>
      <c r="L1582" s="3" t="str">
        <f t="shared" si="99"/>
        <v>Sep-2004</v>
      </c>
      <c r="M1582" s="3" t="s">
        <v>26</v>
      </c>
      <c r="N1582" s="3" t="s">
        <v>479</v>
      </c>
      <c r="O1582" s="3" t="s">
        <v>484</v>
      </c>
      <c r="P1582" s="3" t="s">
        <v>42</v>
      </c>
      <c r="Q1582" s="3" t="s">
        <v>36</v>
      </c>
    </row>
    <row r="1583" spans="1:17" x14ac:dyDescent="0.25">
      <c r="A1583" s="5">
        <v>10308</v>
      </c>
      <c r="B1583" s="5">
        <v>47</v>
      </c>
      <c r="C1583" s="5">
        <v>63.22</v>
      </c>
      <c r="D1583" s="5">
        <v>2971.34</v>
      </c>
      <c r="E1583" s="5" t="str">
        <f t="shared" si="97"/>
        <v>Medium</v>
      </c>
      <c r="F1583" s="5">
        <f t="shared" si="98"/>
        <v>891.40200000000004</v>
      </c>
      <c r="G1583" s="6">
        <v>38275</v>
      </c>
      <c r="H1583" s="5" t="s">
        <v>25</v>
      </c>
      <c r="I1583" s="5" t="str">
        <f t="shared" si="96"/>
        <v>Yes</v>
      </c>
      <c r="J1583" s="5" t="s">
        <v>685</v>
      </c>
      <c r="K1583" s="5">
        <v>2004</v>
      </c>
      <c r="L1583" s="5" t="str">
        <f t="shared" si="99"/>
        <v>Oct-2004</v>
      </c>
      <c r="M1583" s="5" t="s">
        <v>26</v>
      </c>
      <c r="N1583" s="5" t="s">
        <v>317</v>
      </c>
      <c r="O1583" s="5" t="s">
        <v>32</v>
      </c>
      <c r="P1583" s="5" t="s">
        <v>33</v>
      </c>
      <c r="Q1583" s="5" t="s">
        <v>36</v>
      </c>
    </row>
    <row r="1584" spans="1:17" x14ac:dyDescent="0.25">
      <c r="A1584" s="3">
        <v>10318</v>
      </c>
      <c r="B1584" s="3">
        <v>26</v>
      </c>
      <c r="C1584" s="3">
        <v>86.83</v>
      </c>
      <c r="D1584" s="3">
        <v>2257.58</v>
      </c>
      <c r="E1584" s="3" t="str">
        <f t="shared" si="97"/>
        <v>Medium</v>
      </c>
      <c r="F1584" s="3">
        <f t="shared" si="98"/>
        <v>677.274</v>
      </c>
      <c r="G1584" s="4">
        <v>38293</v>
      </c>
      <c r="H1584" s="3" t="s">
        <v>25</v>
      </c>
      <c r="I1584" s="3" t="str">
        <f t="shared" si="96"/>
        <v>Yes</v>
      </c>
      <c r="J1584" s="3" t="s">
        <v>686</v>
      </c>
      <c r="K1584" s="3">
        <v>2004</v>
      </c>
      <c r="L1584" s="3" t="str">
        <f t="shared" si="99"/>
        <v>Nov-2004</v>
      </c>
      <c r="M1584" s="3" t="s">
        <v>26</v>
      </c>
      <c r="N1584" s="3" t="s">
        <v>139</v>
      </c>
      <c r="O1584" s="3" t="s">
        <v>32</v>
      </c>
      <c r="P1584" s="3" t="s">
        <v>33</v>
      </c>
      <c r="Q1584" s="3" t="s">
        <v>36</v>
      </c>
    </row>
    <row r="1585" spans="1:17" x14ac:dyDescent="0.25">
      <c r="A1585" s="5">
        <v>10329</v>
      </c>
      <c r="B1585" s="5">
        <v>37</v>
      </c>
      <c r="C1585" s="5">
        <v>94.43</v>
      </c>
      <c r="D1585" s="5">
        <v>3493.9100000000003</v>
      </c>
      <c r="E1585" s="5" t="str">
        <f t="shared" si="97"/>
        <v>Medium</v>
      </c>
      <c r="F1585" s="5">
        <f t="shared" si="98"/>
        <v>1048.173</v>
      </c>
      <c r="G1585" s="6">
        <v>38306</v>
      </c>
      <c r="H1585" s="5" t="s">
        <v>25</v>
      </c>
      <c r="I1585" s="5" t="str">
        <f t="shared" si="96"/>
        <v>Yes</v>
      </c>
      <c r="J1585" s="5" t="s">
        <v>686</v>
      </c>
      <c r="K1585" s="5">
        <v>2004</v>
      </c>
      <c r="L1585" s="5" t="str">
        <f t="shared" si="99"/>
        <v>Nov-2004</v>
      </c>
      <c r="M1585" s="5" t="s">
        <v>26</v>
      </c>
      <c r="N1585" s="5" t="s">
        <v>28</v>
      </c>
      <c r="O1585" s="5" t="s">
        <v>32</v>
      </c>
      <c r="P1585" s="5" t="s">
        <v>33</v>
      </c>
      <c r="Q1585" s="5" t="s">
        <v>51</v>
      </c>
    </row>
    <row r="1586" spans="1:17" x14ac:dyDescent="0.25">
      <c r="A1586" s="3">
        <v>10340</v>
      </c>
      <c r="B1586" s="3">
        <v>55</v>
      </c>
      <c r="C1586" s="3">
        <v>79.98</v>
      </c>
      <c r="D1586" s="3">
        <v>4398.9000000000005</v>
      </c>
      <c r="E1586" s="3" t="str">
        <f t="shared" si="97"/>
        <v>Medium</v>
      </c>
      <c r="F1586" s="3">
        <f t="shared" si="98"/>
        <v>1319.67</v>
      </c>
      <c r="G1586" s="4">
        <v>38315</v>
      </c>
      <c r="H1586" s="3" t="s">
        <v>25</v>
      </c>
      <c r="I1586" s="3" t="str">
        <f t="shared" si="96"/>
        <v>Yes</v>
      </c>
      <c r="J1586" s="3" t="s">
        <v>686</v>
      </c>
      <c r="K1586" s="3">
        <v>2004</v>
      </c>
      <c r="L1586" s="3" t="str">
        <f t="shared" si="99"/>
        <v>Nov-2004</v>
      </c>
      <c r="M1586" s="3" t="s">
        <v>26</v>
      </c>
      <c r="N1586" s="3" t="s">
        <v>352</v>
      </c>
      <c r="O1586" s="3" t="s">
        <v>178</v>
      </c>
      <c r="P1586" s="3" t="s">
        <v>42</v>
      </c>
      <c r="Q1586" s="3" t="s">
        <v>51</v>
      </c>
    </row>
    <row r="1587" spans="1:17" x14ac:dyDescent="0.25">
      <c r="A1587" s="5">
        <v>10363</v>
      </c>
      <c r="B1587" s="5">
        <v>21</v>
      </c>
      <c r="C1587" s="5">
        <v>100</v>
      </c>
      <c r="D1587" s="5">
        <v>2100</v>
      </c>
      <c r="E1587" s="5" t="str">
        <f t="shared" si="97"/>
        <v>Medium</v>
      </c>
      <c r="F1587" s="5">
        <f t="shared" si="98"/>
        <v>630</v>
      </c>
      <c r="G1587" s="6">
        <v>38358</v>
      </c>
      <c r="H1587" s="5" t="s">
        <v>25</v>
      </c>
      <c r="I1587" s="5" t="str">
        <f t="shared" si="96"/>
        <v>Yes</v>
      </c>
      <c r="J1587" s="5" t="s">
        <v>549</v>
      </c>
      <c r="K1587" s="5">
        <v>2005</v>
      </c>
      <c r="L1587" s="5" t="str">
        <f t="shared" si="99"/>
        <v>Jan-2005</v>
      </c>
      <c r="M1587" s="5" t="s">
        <v>26</v>
      </c>
      <c r="N1587" s="5" t="s">
        <v>467</v>
      </c>
      <c r="O1587" s="5" t="s">
        <v>130</v>
      </c>
      <c r="P1587" s="5" t="s">
        <v>42</v>
      </c>
      <c r="Q1587" s="5" t="s">
        <v>51</v>
      </c>
    </row>
    <row r="1588" spans="1:17" x14ac:dyDescent="0.25">
      <c r="A1588" s="3">
        <v>10375</v>
      </c>
      <c r="B1588" s="3">
        <v>23</v>
      </c>
      <c r="C1588" s="3">
        <v>100</v>
      </c>
      <c r="D1588" s="3">
        <v>2300</v>
      </c>
      <c r="E1588" s="3" t="str">
        <f t="shared" si="97"/>
        <v>Medium</v>
      </c>
      <c r="F1588" s="3">
        <f t="shared" si="98"/>
        <v>690</v>
      </c>
      <c r="G1588" s="4">
        <v>38386</v>
      </c>
      <c r="H1588" s="3" t="s">
        <v>25</v>
      </c>
      <c r="I1588" s="3" t="str">
        <f t="shared" si="96"/>
        <v>Yes</v>
      </c>
      <c r="J1588" s="3" t="s">
        <v>681</v>
      </c>
      <c r="K1588" s="3">
        <v>2005</v>
      </c>
      <c r="L1588" s="3" t="str">
        <f t="shared" si="99"/>
        <v>Feb-2005</v>
      </c>
      <c r="M1588" s="3" t="s">
        <v>26</v>
      </c>
      <c r="N1588" s="3" t="s">
        <v>114</v>
      </c>
      <c r="O1588" s="3" t="s">
        <v>41</v>
      </c>
      <c r="P1588" s="3" t="s">
        <v>42</v>
      </c>
      <c r="Q1588" s="3" t="s">
        <v>36</v>
      </c>
    </row>
    <row r="1589" spans="1:17" x14ac:dyDescent="0.25">
      <c r="A1589" s="5">
        <v>10389</v>
      </c>
      <c r="B1589" s="5">
        <v>49</v>
      </c>
      <c r="C1589" s="5">
        <v>81.400000000000006</v>
      </c>
      <c r="D1589" s="5">
        <v>3988.6000000000004</v>
      </c>
      <c r="E1589" s="5" t="str">
        <f t="shared" si="97"/>
        <v>Medium</v>
      </c>
      <c r="F1589" s="5">
        <f t="shared" si="98"/>
        <v>1196.5800000000002</v>
      </c>
      <c r="G1589" s="6">
        <v>38414</v>
      </c>
      <c r="H1589" s="5" t="s">
        <v>25</v>
      </c>
      <c r="I1589" s="5" t="str">
        <f t="shared" si="96"/>
        <v>Yes</v>
      </c>
      <c r="J1589" s="5" t="s">
        <v>691</v>
      </c>
      <c r="K1589" s="5">
        <v>2005</v>
      </c>
      <c r="L1589" s="5" t="str">
        <f t="shared" si="99"/>
        <v>Mar-2005</v>
      </c>
      <c r="M1589" s="5" t="s">
        <v>26</v>
      </c>
      <c r="N1589" s="5" t="s">
        <v>261</v>
      </c>
      <c r="O1589" s="5" t="s">
        <v>188</v>
      </c>
      <c r="P1589" s="5" t="s">
        <v>42</v>
      </c>
      <c r="Q1589" s="5" t="s">
        <v>51</v>
      </c>
    </row>
    <row r="1590" spans="1:17" x14ac:dyDescent="0.25">
      <c r="A1590" s="3">
        <v>10402</v>
      </c>
      <c r="B1590" s="3">
        <v>59</v>
      </c>
      <c r="C1590" s="3">
        <v>87.6</v>
      </c>
      <c r="D1590" s="3">
        <v>5168.3999999999996</v>
      </c>
      <c r="E1590" s="3" t="str">
        <f t="shared" si="97"/>
        <v>High</v>
      </c>
      <c r="F1590" s="3">
        <f t="shared" si="98"/>
        <v>1550.5199999999998</v>
      </c>
      <c r="G1590" s="4">
        <v>38449</v>
      </c>
      <c r="H1590" s="3" t="s">
        <v>25</v>
      </c>
      <c r="I1590" s="3" t="str">
        <f t="shared" si="96"/>
        <v>Yes</v>
      </c>
      <c r="J1590" s="3" t="s">
        <v>688</v>
      </c>
      <c r="K1590" s="3">
        <v>2005</v>
      </c>
      <c r="L1590" s="3" t="str">
        <f t="shared" si="99"/>
        <v>Apr-2005</v>
      </c>
      <c r="M1590" s="3" t="s">
        <v>26</v>
      </c>
      <c r="N1590" s="3" t="s">
        <v>84</v>
      </c>
      <c r="O1590" s="3" t="s">
        <v>41</v>
      </c>
      <c r="P1590" s="3" t="s">
        <v>42</v>
      </c>
      <c r="Q1590" s="3" t="s">
        <v>51</v>
      </c>
    </row>
    <row r="1591" spans="1:17" x14ac:dyDescent="0.25">
      <c r="A1591" s="5">
        <v>10416</v>
      </c>
      <c r="B1591" s="5">
        <v>32</v>
      </c>
      <c r="C1591" s="5">
        <v>87.6</v>
      </c>
      <c r="D1591" s="5">
        <v>2803.2</v>
      </c>
      <c r="E1591" s="5" t="str">
        <f t="shared" si="97"/>
        <v>Medium</v>
      </c>
      <c r="F1591" s="5">
        <f t="shared" si="98"/>
        <v>840.95999999999992</v>
      </c>
      <c r="G1591" s="6">
        <v>38482</v>
      </c>
      <c r="H1591" s="5" t="s">
        <v>25</v>
      </c>
      <c r="I1591" s="5" t="str">
        <f t="shared" si="96"/>
        <v>Yes</v>
      </c>
      <c r="J1591" s="5" t="s">
        <v>682</v>
      </c>
      <c r="K1591" s="5">
        <v>2005</v>
      </c>
      <c r="L1591" s="5" t="str">
        <f t="shared" si="99"/>
        <v>May-2005</v>
      </c>
      <c r="M1591" s="5" t="s">
        <v>26</v>
      </c>
      <c r="N1591" s="5" t="s">
        <v>452</v>
      </c>
      <c r="O1591" s="5" t="s">
        <v>258</v>
      </c>
      <c r="P1591" s="5" t="s">
        <v>42</v>
      </c>
      <c r="Q1591" s="5" t="s">
        <v>36</v>
      </c>
    </row>
    <row r="1592" spans="1:17" x14ac:dyDescent="0.25">
      <c r="A1592" s="3">
        <v>10105</v>
      </c>
      <c r="B1592" s="3">
        <v>43</v>
      </c>
      <c r="C1592" s="3">
        <v>100</v>
      </c>
      <c r="D1592" s="3">
        <v>4300</v>
      </c>
      <c r="E1592" s="3" t="str">
        <f t="shared" si="97"/>
        <v>Medium</v>
      </c>
      <c r="F1592" s="3">
        <f t="shared" si="98"/>
        <v>1290</v>
      </c>
      <c r="G1592" s="4">
        <v>37663</v>
      </c>
      <c r="H1592" s="3" t="s">
        <v>25</v>
      </c>
      <c r="I1592" s="3" t="str">
        <f t="shared" si="96"/>
        <v>Yes</v>
      </c>
      <c r="J1592" s="3" t="s">
        <v>681</v>
      </c>
      <c r="K1592" s="3">
        <v>2003</v>
      </c>
      <c r="L1592" s="3" t="str">
        <f t="shared" si="99"/>
        <v>Feb-2003</v>
      </c>
      <c r="M1592" s="3" t="s">
        <v>598</v>
      </c>
      <c r="N1592" s="3" t="s">
        <v>322</v>
      </c>
      <c r="O1592" s="3" t="s">
        <v>326</v>
      </c>
      <c r="P1592" s="3" t="s">
        <v>42</v>
      </c>
      <c r="Q1592" s="3" t="s">
        <v>51</v>
      </c>
    </row>
    <row r="1593" spans="1:17" x14ac:dyDescent="0.25">
      <c r="A1593" s="5">
        <v>10117</v>
      </c>
      <c r="B1593" s="5">
        <v>41</v>
      </c>
      <c r="C1593" s="5">
        <v>100</v>
      </c>
      <c r="D1593" s="5">
        <v>4100</v>
      </c>
      <c r="E1593" s="5" t="str">
        <f t="shared" si="97"/>
        <v>Medium</v>
      </c>
      <c r="F1593" s="5">
        <f t="shared" si="98"/>
        <v>1230</v>
      </c>
      <c r="G1593" s="6">
        <v>37727</v>
      </c>
      <c r="H1593" s="5" t="s">
        <v>25</v>
      </c>
      <c r="I1593" s="5" t="str">
        <f t="shared" si="96"/>
        <v>Yes</v>
      </c>
      <c r="J1593" s="5" t="s">
        <v>688</v>
      </c>
      <c r="K1593" s="5">
        <v>2003</v>
      </c>
      <c r="L1593" s="5" t="str">
        <f t="shared" si="99"/>
        <v>Apr-2003</v>
      </c>
      <c r="M1593" s="5" t="s">
        <v>598</v>
      </c>
      <c r="N1593" s="5" t="s">
        <v>196</v>
      </c>
      <c r="O1593" s="5" t="s">
        <v>199</v>
      </c>
      <c r="P1593" s="5" t="s">
        <v>675</v>
      </c>
      <c r="Q1593" s="5" t="s">
        <v>51</v>
      </c>
    </row>
    <row r="1594" spans="1:17" x14ac:dyDescent="0.25">
      <c r="A1594" s="3">
        <v>10129</v>
      </c>
      <c r="B1594" s="3">
        <v>45</v>
      </c>
      <c r="C1594" s="3">
        <v>100</v>
      </c>
      <c r="D1594" s="3">
        <v>4500</v>
      </c>
      <c r="E1594" s="3" t="str">
        <f t="shared" si="97"/>
        <v>Medium</v>
      </c>
      <c r="F1594" s="3">
        <f t="shared" si="98"/>
        <v>1350</v>
      </c>
      <c r="G1594" s="4">
        <v>37784</v>
      </c>
      <c r="H1594" s="3" t="s">
        <v>25</v>
      </c>
      <c r="I1594" s="3" t="str">
        <f t="shared" si="96"/>
        <v>Yes</v>
      </c>
      <c r="J1594" s="3" t="s">
        <v>689</v>
      </c>
      <c r="K1594" s="3">
        <v>2003</v>
      </c>
      <c r="L1594" s="3" t="str">
        <f t="shared" si="99"/>
        <v>Jun-2003</v>
      </c>
      <c r="M1594" s="3" t="s">
        <v>598</v>
      </c>
      <c r="N1594" s="3" t="s">
        <v>329</v>
      </c>
      <c r="O1594" s="3" t="s">
        <v>170</v>
      </c>
      <c r="P1594" s="3" t="s">
        <v>42</v>
      </c>
      <c r="Q1594" s="3" t="s">
        <v>51</v>
      </c>
    </row>
    <row r="1595" spans="1:17" x14ac:dyDescent="0.25">
      <c r="A1595" s="5">
        <v>10142</v>
      </c>
      <c r="B1595" s="5">
        <v>33</v>
      </c>
      <c r="C1595" s="5">
        <v>100</v>
      </c>
      <c r="D1595" s="5">
        <v>3300</v>
      </c>
      <c r="E1595" s="5" t="str">
        <f t="shared" si="97"/>
        <v>Medium</v>
      </c>
      <c r="F1595" s="5">
        <f t="shared" si="98"/>
        <v>990</v>
      </c>
      <c r="G1595" s="6">
        <v>37841</v>
      </c>
      <c r="H1595" s="5" t="s">
        <v>25</v>
      </c>
      <c r="I1595" s="5" t="str">
        <f t="shared" si="96"/>
        <v>Yes</v>
      </c>
      <c r="J1595" s="5" t="s">
        <v>684</v>
      </c>
      <c r="K1595" s="5">
        <v>2003</v>
      </c>
      <c r="L1595" s="5" t="str">
        <f t="shared" si="99"/>
        <v>Aug-2003</v>
      </c>
      <c r="M1595" s="5" t="s">
        <v>598</v>
      </c>
      <c r="N1595" s="5" t="s">
        <v>272</v>
      </c>
      <c r="O1595" s="5" t="s">
        <v>32</v>
      </c>
      <c r="P1595" s="5" t="s">
        <v>33</v>
      </c>
      <c r="Q1595" s="5" t="s">
        <v>51</v>
      </c>
    </row>
    <row r="1596" spans="1:17" x14ac:dyDescent="0.25">
      <c r="A1596" s="3">
        <v>10153</v>
      </c>
      <c r="B1596" s="3">
        <v>40</v>
      </c>
      <c r="C1596" s="3">
        <v>100</v>
      </c>
      <c r="D1596" s="3">
        <v>4000</v>
      </c>
      <c r="E1596" s="3" t="str">
        <f t="shared" si="97"/>
        <v>Medium</v>
      </c>
      <c r="F1596" s="3">
        <f t="shared" si="98"/>
        <v>1200</v>
      </c>
      <c r="G1596" s="4">
        <v>37892</v>
      </c>
      <c r="H1596" s="3" t="s">
        <v>25</v>
      </c>
      <c r="I1596" s="3" t="str">
        <f t="shared" si="96"/>
        <v>Yes</v>
      </c>
      <c r="J1596" s="3" t="s">
        <v>690</v>
      </c>
      <c r="K1596" s="3">
        <v>2003</v>
      </c>
      <c r="L1596" s="3" t="str">
        <f t="shared" si="99"/>
        <v>Sep-2003</v>
      </c>
      <c r="M1596" s="3" t="s">
        <v>598</v>
      </c>
      <c r="N1596" s="3" t="s">
        <v>174</v>
      </c>
      <c r="O1596" s="3" t="s">
        <v>178</v>
      </c>
      <c r="P1596" s="3" t="s">
        <v>42</v>
      </c>
      <c r="Q1596" s="3" t="s">
        <v>51</v>
      </c>
    </row>
    <row r="1597" spans="1:17" x14ac:dyDescent="0.25">
      <c r="A1597" s="5">
        <v>10167</v>
      </c>
      <c r="B1597" s="5">
        <v>33</v>
      </c>
      <c r="C1597" s="5">
        <v>100</v>
      </c>
      <c r="D1597" s="5">
        <v>3300</v>
      </c>
      <c r="E1597" s="5" t="str">
        <f t="shared" si="97"/>
        <v>Medium</v>
      </c>
      <c r="F1597" s="5">
        <f t="shared" si="98"/>
        <v>990</v>
      </c>
      <c r="G1597" s="6">
        <v>37917</v>
      </c>
      <c r="H1597" s="5" t="s">
        <v>339</v>
      </c>
      <c r="I1597" s="5" t="str">
        <f t="shared" si="96"/>
        <v>No</v>
      </c>
      <c r="J1597" s="5" t="s">
        <v>685</v>
      </c>
      <c r="K1597" s="5">
        <v>2003</v>
      </c>
      <c r="L1597" s="5" t="str">
        <f t="shared" si="99"/>
        <v>Oct-2003</v>
      </c>
      <c r="M1597" s="5" t="s">
        <v>598</v>
      </c>
      <c r="N1597" s="5" t="s">
        <v>261</v>
      </c>
      <c r="O1597" s="5" t="s">
        <v>188</v>
      </c>
      <c r="P1597" s="5" t="s">
        <v>42</v>
      </c>
      <c r="Q1597" s="5" t="s">
        <v>51</v>
      </c>
    </row>
    <row r="1598" spans="1:17" x14ac:dyDescent="0.25">
      <c r="A1598" s="3">
        <v>10177</v>
      </c>
      <c r="B1598" s="3">
        <v>50</v>
      </c>
      <c r="C1598" s="3">
        <v>100</v>
      </c>
      <c r="D1598" s="3">
        <v>5000</v>
      </c>
      <c r="E1598" s="3" t="str">
        <f t="shared" si="97"/>
        <v>High</v>
      </c>
      <c r="F1598" s="3">
        <f t="shared" si="98"/>
        <v>1500</v>
      </c>
      <c r="G1598" s="4">
        <v>37932</v>
      </c>
      <c r="H1598" s="3" t="s">
        <v>25</v>
      </c>
      <c r="I1598" s="3" t="str">
        <f t="shared" si="96"/>
        <v>Yes</v>
      </c>
      <c r="J1598" s="3" t="s">
        <v>686</v>
      </c>
      <c r="K1598" s="3">
        <v>2003</v>
      </c>
      <c r="L1598" s="3" t="str">
        <f t="shared" si="99"/>
        <v>Nov-2003</v>
      </c>
      <c r="M1598" s="3" t="s">
        <v>598</v>
      </c>
      <c r="N1598" s="3" t="s">
        <v>487</v>
      </c>
      <c r="O1598" s="3" t="s">
        <v>178</v>
      </c>
      <c r="P1598" s="3" t="s">
        <v>42</v>
      </c>
      <c r="Q1598" s="3" t="s">
        <v>51</v>
      </c>
    </row>
    <row r="1599" spans="1:17" x14ac:dyDescent="0.25">
      <c r="A1599" s="5">
        <v>10185</v>
      </c>
      <c r="B1599" s="5">
        <v>30</v>
      </c>
      <c r="C1599" s="5">
        <v>100</v>
      </c>
      <c r="D1599" s="5">
        <v>3000</v>
      </c>
      <c r="E1599" s="5" t="str">
        <f t="shared" si="97"/>
        <v>Medium</v>
      </c>
      <c r="F1599" s="5">
        <f t="shared" si="98"/>
        <v>900</v>
      </c>
      <c r="G1599" s="6">
        <v>37939</v>
      </c>
      <c r="H1599" s="5" t="s">
        <v>25</v>
      </c>
      <c r="I1599" s="5" t="str">
        <f t="shared" si="96"/>
        <v>Yes</v>
      </c>
      <c r="J1599" s="5" t="s">
        <v>686</v>
      </c>
      <c r="K1599" s="5">
        <v>2003</v>
      </c>
      <c r="L1599" s="5" t="str">
        <f t="shared" si="99"/>
        <v>Nov-2003</v>
      </c>
      <c r="M1599" s="5" t="s">
        <v>598</v>
      </c>
      <c r="N1599" s="5" t="s">
        <v>335</v>
      </c>
      <c r="O1599" s="5" t="s">
        <v>32</v>
      </c>
      <c r="P1599" s="5" t="s">
        <v>33</v>
      </c>
      <c r="Q1599" s="5" t="s">
        <v>51</v>
      </c>
    </row>
    <row r="1600" spans="1:17" x14ac:dyDescent="0.25">
      <c r="A1600" s="3">
        <v>10197</v>
      </c>
      <c r="B1600" s="3">
        <v>41</v>
      </c>
      <c r="C1600" s="3">
        <v>100</v>
      </c>
      <c r="D1600" s="3">
        <v>4100</v>
      </c>
      <c r="E1600" s="3" t="str">
        <f t="shared" si="97"/>
        <v>Medium</v>
      </c>
      <c r="F1600" s="3">
        <f t="shared" si="98"/>
        <v>1230</v>
      </c>
      <c r="G1600" s="4">
        <v>37951</v>
      </c>
      <c r="H1600" s="3" t="s">
        <v>25</v>
      </c>
      <c r="I1600" s="3" t="str">
        <f t="shared" si="96"/>
        <v>Yes</v>
      </c>
      <c r="J1600" s="3" t="s">
        <v>686</v>
      </c>
      <c r="K1600" s="3">
        <v>2003</v>
      </c>
      <c r="L1600" s="3" t="str">
        <f t="shared" si="99"/>
        <v>Nov-2003</v>
      </c>
      <c r="M1600" s="3" t="s">
        <v>598</v>
      </c>
      <c r="N1600" s="3" t="s">
        <v>352</v>
      </c>
      <c r="O1600" s="3" t="s">
        <v>178</v>
      </c>
      <c r="P1600" s="3" t="s">
        <v>42</v>
      </c>
      <c r="Q1600" s="3" t="s">
        <v>51</v>
      </c>
    </row>
    <row r="1601" spans="1:17" x14ac:dyDescent="0.25">
      <c r="A1601" s="5">
        <v>10208</v>
      </c>
      <c r="B1601" s="5">
        <v>35</v>
      </c>
      <c r="C1601" s="5">
        <v>100</v>
      </c>
      <c r="D1601" s="5">
        <v>3500</v>
      </c>
      <c r="E1601" s="5" t="str">
        <f t="shared" si="97"/>
        <v>Medium</v>
      </c>
      <c r="F1601" s="5">
        <f t="shared" si="98"/>
        <v>1050</v>
      </c>
      <c r="G1601" s="6">
        <v>37988</v>
      </c>
      <c r="H1601" s="5" t="s">
        <v>25</v>
      </c>
      <c r="I1601" s="5" t="str">
        <f t="shared" si="96"/>
        <v>Yes</v>
      </c>
      <c r="J1601" s="5" t="s">
        <v>549</v>
      </c>
      <c r="K1601" s="5">
        <v>2004</v>
      </c>
      <c r="L1601" s="5" t="str">
        <f t="shared" si="99"/>
        <v>Jan-2004</v>
      </c>
      <c r="M1601" s="5" t="s">
        <v>598</v>
      </c>
      <c r="N1601" s="5" t="s">
        <v>219</v>
      </c>
      <c r="O1601" s="5" t="s">
        <v>41</v>
      </c>
      <c r="P1601" s="5" t="s">
        <v>42</v>
      </c>
      <c r="Q1601" s="5" t="s">
        <v>51</v>
      </c>
    </row>
    <row r="1602" spans="1:17" x14ac:dyDescent="0.25">
      <c r="A1602" s="3">
        <v>10221</v>
      </c>
      <c r="B1602" s="3">
        <v>49</v>
      </c>
      <c r="C1602" s="3">
        <v>100</v>
      </c>
      <c r="D1602" s="3">
        <v>4900</v>
      </c>
      <c r="E1602" s="3" t="str">
        <f t="shared" si="97"/>
        <v>Medium</v>
      </c>
      <c r="F1602" s="3">
        <f t="shared" si="98"/>
        <v>1470</v>
      </c>
      <c r="G1602" s="4">
        <v>38035</v>
      </c>
      <c r="H1602" s="3" t="s">
        <v>25</v>
      </c>
      <c r="I1602" s="3" t="str">
        <f t="shared" ref="I1602:I1665" si="100">IF(H1602="Shipped","Yes","No")</f>
        <v>Yes</v>
      </c>
      <c r="J1602" s="3" t="s">
        <v>681</v>
      </c>
      <c r="K1602" s="3">
        <v>2004</v>
      </c>
      <c r="L1602" s="3" t="str">
        <f t="shared" si="99"/>
        <v>Feb-2004</v>
      </c>
      <c r="M1602" s="3" t="s">
        <v>598</v>
      </c>
      <c r="N1602" s="3" t="s">
        <v>365</v>
      </c>
      <c r="O1602" s="3" t="s">
        <v>370</v>
      </c>
      <c r="P1602" s="3" t="s">
        <v>42</v>
      </c>
      <c r="Q1602" s="3" t="s">
        <v>51</v>
      </c>
    </row>
    <row r="1603" spans="1:17" x14ac:dyDescent="0.25">
      <c r="A1603" s="5">
        <v>10232</v>
      </c>
      <c r="B1603" s="5">
        <v>46</v>
      </c>
      <c r="C1603" s="5">
        <v>100</v>
      </c>
      <c r="D1603" s="5">
        <v>4600</v>
      </c>
      <c r="E1603" s="5" t="str">
        <f t="shared" ref="E1603:E1666" si="101">IF(D1603&gt;=5000,"High",IF(D1603&gt;=2000,"Medium","Low"))</f>
        <v>Medium</v>
      </c>
      <c r="F1603" s="5">
        <f t="shared" ref="F1603:F1666" si="102">(D1603*0.3)</f>
        <v>1380</v>
      </c>
      <c r="G1603" s="6">
        <v>38066</v>
      </c>
      <c r="H1603" s="5" t="s">
        <v>25</v>
      </c>
      <c r="I1603" s="5" t="str">
        <f t="shared" si="100"/>
        <v>Yes</v>
      </c>
      <c r="J1603" s="5" t="s">
        <v>691</v>
      </c>
      <c r="K1603" s="5">
        <v>2004</v>
      </c>
      <c r="L1603" s="5" t="str">
        <f t="shared" ref="L1603:L1666" si="103">TEXT(G:G,"MMM-YYYY")</f>
        <v>Mar-2004</v>
      </c>
      <c r="M1603" s="5" t="s">
        <v>598</v>
      </c>
      <c r="N1603" s="5" t="s">
        <v>383</v>
      </c>
      <c r="O1603" s="5" t="s">
        <v>170</v>
      </c>
      <c r="P1603" s="5" t="s">
        <v>42</v>
      </c>
      <c r="Q1603" s="5" t="s">
        <v>51</v>
      </c>
    </row>
    <row r="1604" spans="1:17" x14ac:dyDescent="0.25">
      <c r="A1604" s="3">
        <v>10248</v>
      </c>
      <c r="B1604" s="3">
        <v>48</v>
      </c>
      <c r="C1604" s="3">
        <v>100</v>
      </c>
      <c r="D1604" s="3">
        <v>4800</v>
      </c>
      <c r="E1604" s="3" t="str">
        <f t="shared" si="101"/>
        <v>Medium</v>
      </c>
      <c r="F1604" s="3">
        <f t="shared" si="102"/>
        <v>1440</v>
      </c>
      <c r="G1604" s="4">
        <v>38114</v>
      </c>
      <c r="H1604" s="3" t="s">
        <v>339</v>
      </c>
      <c r="I1604" s="3" t="str">
        <f t="shared" si="100"/>
        <v>No</v>
      </c>
      <c r="J1604" s="3" t="s">
        <v>682</v>
      </c>
      <c r="K1604" s="3">
        <v>2004</v>
      </c>
      <c r="L1604" s="3" t="str">
        <f t="shared" si="103"/>
        <v>May-2004</v>
      </c>
      <c r="M1604" s="3" t="s">
        <v>598</v>
      </c>
      <c r="N1604" s="3" t="s">
        <v>28</v>
      </c>
      <c r="O1604" s="3" t="s">
        <v>32</v>
      </c>
      <c r="P1604" s="3" t="s">
        <v>33</v>
      </c>
      <c r="Q1604" s="3" t="s">
        <v>51</v>
      </c>
    </row>
    <row r="1605" spans="1:17" x14ac:dyDescent="0.25">
      <c r="A1605" s="5">
        <v>10261</v>
      </c>
      <c r="B1605" s="5">
        <v>36</v>
      </c>
      <c r="C1605" s="5">
        <v>100</v>
      </c>
      <c r="D1605" s="5">
        <v>3600</v>
      </c>
      <c r="E1605" s="5" t="str">
        <f t="shared" si="101"/>
        <v>Medium</v>
      </c>
      <c r="F1605" s="5">
        <f t="shared" si="102"/>
        <v>1080</v>
      </c>
      <c r="G1605" s="6">
        <v>38155</v>
      </c>
      <c r="H1605" s="5" t="s">
        <v>25</v>
      </c>
      <c r="I1605" s="5" t="str">
        <f t="shared" si="100"/>
        <v>Yes</v>
      </c>
      <c r="J1605" s="5" t="s">
        <v>689</v>
      </c>
      <c r="K1605" s="5">
        <v>2004</v>
      </c>
      <c r="L1605" s="5" t="str">
        <f t="shared" si="103"/>
        <v>Jun-2004</v>
      </c>
      <c r="M1605" s="5" t="s">
        <v>598</v>
      </c>
      <c r="N1605" s="5" t="s">
        <v>292</v>
      </c>
      <c r="O1605" s="5" t="s">
        <v>231</v>
      </c>
      <c r="P1605" s="5" t="s">
        <v>33</v>
      </c>
      <c r="Q1605" s="5" t="s">
        <v>51</v>
      </c>
    </row>
    <row r="1606" spans="1:17" x14ac:dyDescent="0.25">
      <c r="A1606" s="3">
        <v>10273</v>
      </c>
      <c r="B1606" s="3">
        <v>22</v>
      </c>
      <c r="C1606" s="3">
        <v>100</v>
      </c>
      <c r="D1606" s="3">
        <v>2200</v>
      </c>
      <c r="E1606" s="3" t="str">
        <f t="shared" si="101"/>
        <v>Medium</v>
      </c>
      <c r="F1606" s="3">
        <f t="shared" si="102"/>
        <v>660</v>
      </c>
      <c r="G1606" s="4">
        <v>38189</v>
      </c>
      <c r="H1606" s="3" t="s">
        <v>25</v>
      </c>
      <c r="I1606" s="3" t="str">
        <f t="shared" si="100"/>
        <v>Yes</v>
      </c>
      <c r="J1606" s="3" t="s">
        <v>683</v>
      </c>
      <c r="K1606" s="3">
        <v>2004</v>
      </c>
      <c r="L1606" s="3" t="str">
        <f t="shared" si="103"/>
        <v>Jul-2004</v>
      </c>
      <c r="M1606" s="3" t="s">
        <v>598</v>
      </c>
      <c r="N1606" s="3" t="s">
        <v>365</v>
      </c>
      <c r="O1606" s="3" t="s">
        <v>370</v>
      </c>
      <c r="P1606" s="3" t="s">
        <v>42</v>
      </c>
      <c r="Q1606" s="3" t="s">
        <v>36</v>
      </c>
    </row>
    <row r="1607" spans="1:17" x14ac:dyDescent="0.25">
      <c r="A1607" s="5">
        <v>10283</v>
      </c>
      <c r="B1607" s="5">
        <v>42</v>
      </c>
      <c r="C1607" s="5">
        <v>100</v>
      </c>
      <c r="D1607" s="5">
        <v>4200</v>
      </c>
      <c r="E1607" s="5" t="str">
        <f t="shared" si="101"/>
        <v>Medium</v>
      </c>
      <c r="F1607" s="5">
        <f t="shared" si="102"/>
        <v>1260</v>
      </c>
      <c r="G1607" s="6">
        <v>38219</v>
      </c>
      <c r="H1607" s="5" t="s">
        <v>25</v>
      </c>
      <c r="I1607" s="5" t="str">
        <f t="shared" si="100"/>
        <v>Yes</v>
      </c>
      <c r="J1607" s="5" t="s">
        <v>684</v>
      </c>
      <c r="K1607" s="5">
        <v>2004</v>
      </c>
      <c r="L1607" s="5" t="str">
        <f t="shared" si="103"/>
        <v>Aug-2004</v>
      </c>
      <c r="M1607" s="5" t="s">
        <v>598</v>
      </c>
      <c r="N1607" s="5" t="s">
        <v>373</v>
      </c>
      <c r="O1607" s="5" t="s">
        <v>231</v>
      </c>
      <c r="P1607" s="5" t="s">
        <v>33</v>
      </c>
      <c r="Q1607" s="5" t="s">
        <v>51</v>
      </c>
    </row>
    <row r="1608" spans="1:17" x14ac:dyDescent="0.25">
      <c r="A1608" s="3">
        <v>10293</v>
      </c>
      <c r="B1608" s="3">
        <v>21</v>
      </c>
      <c r="C1608" s="3">
        <v>100</v>
      </c>
      <c r="D1608" s="3">
        <v>2100</v>
      </c>
      <c r="E1608" s="3" t="str">
        <f t="shared" si="101"/>
        <v>Medium</v>
      </c>
      <c r="F1608" s="3">
        <f t="shared" si="102"/>
        <v>630</v>
      </c>
      <c r="G1608" s="4">
        <v>38239</v>
      </c>
      <c r="H1608" s="3" t="s">
        <v>25</v>
      </c>
      <c r="I1608" s="3" t="str">
        <f t="shared" si="100"/>
        <v>Yes</v>
      </c>
      <c r="J1608" s="3" t="s">
        <v>690</v>
      </c>
      <c r="K1608" s="3">
        <v>2004</v>
      </c>
      <c r="L1608" s="3" t="str">
        <f t="shared" si="103"/>
        <v>Sep-2004</v>
      </c>
      <c r="M1608" s="3" t="s">
        <v>598</v>
      </c>
      <c r="N1608" s="3" t="s">
        <v>254</v>
      </c>
      <c r="O1608" s="3" t="s">
        <v>258</v>
      </c>
      <c r="P1608" s="3" t="s">
        <v>42</v>
      </c>
      <c r="Q1608" s="3" t="s">
        <v>36</v>
      </c>
    </row>
    <row r="1609" spans="1:17" x14ac:dyDescent="0.25">
      <c r="A1609" s="5">
        <v>10306</v>
      </c>
      <c r="B1609" s="5">
        <v>29</v>
      </c>
      <c r="C1609" s="5">
        <v>100</v>
      </c>
      <c r="D1609" s="5">
        <v>2900</v>
      </c>
      <c r="E1609" s="5" t="str">
        <f t="shared" si="101"/>
        <v>Medium</v>
      </c>
      <c r="F1609" s="5">
        <f t="shared" si="102"/>
        <v>870</v>
      </c>
      <c r="G1609" s="6">
        <v>38274</v>
      </c>
      <c r="H1609" s="5" t="s">
        <v>25</v>
      </c>
      <c r="I1609" s="5" t="str">
        <f t="shared" si="100"/>
        <v>Yes</v>
      </c>
      <c r="J1609" s="5" t="s">
        <v>685</v>
      </c>
      <c r="K1609" s="5">
        <v>2004</v>
      </c>
      <c r="L1609" s="5" t="str">
        <f t="shared" si="103"/>
        <v>Oct-2004</v>
      </c>
      <c r="M1609" s="5" t="s">
        <v>598</v>
      </c>
      <c r="N1609" s="5" t="s">
        <v>492</v>
      </c>
      <c r="O1609" s="5" t="s">
        <v>170</v>
      </c>
      <c r="P1609" s="5" t="s">
        <v>42</v>
      </c>
      <c r="Q1609" s="5" t="s">
        <v>51</v>
      </c>
    </row>
    <row r="1610" spans="1:17" x14ac:dyDescent="0.25">
      <c r="A1610" s="3">
        <v>10315</v>
      </c>
      <c r="B1610" s="3">
        <v>35</v>
      </c>
      <c r="C1610" s="3">
        <v>100</v>
      </c>
      <c r="D1610" s="3">
        <v>3500</v>
      </c>
      <c r="E1610" s="3" t="str">
        <f t="shared" si="101"/>
        <v>Medium</v>
      </c>
      <c r="F1610" s="3">
        <f t="shared" si="102"/>
        <v>1050</v>
      </c>
      <c r="G1610" s="4">
        <v>38289</v>
      </c>
      <c r="H1610" s="3" t="s">
        <v>25</v>
      </c>
      <c r="I1610" s="3" t="str">
        <f t="shared" si="100"/>
        <v>Yes</v>
      </c>
      <c r="J1610" s="3" t="s">
        <v>685</v>
      </c>
      <c r="K1610" s="3">
        <v>2004</v>
      </c>
      <c r="L1610" s="3" t="str">
        <f t="shared" si="103"/>
        <v>Oct-2004</v>
      </c>
      <c r="M1610" s="3" t="s">
        <v>598</v>
      </c>
      <c r="N1610" s="3" t="s">
        <v>114</v>
      </c>
      <c r="O1610" s="3" t="s">
        <v>41</v>
      </c>
      <c r="P1610" s="3" t="s">
        <v>42</v>
      </c>
      <c r="Q1610" s="3" t="s">
        <v>51</v>
      </c>
    </row>
    <row r="1611" spans="1:17" x14ac:dyDescent="0.25">
      <c r="A1611" s="5">
        <v>10326</v>
      </c>
      <c r="B1611" s="5">
        <v>41</v>
      </c>
      <c r="C1611" s="5">
        <v>100</v>
      </c>
      <c r="D1611" s="5">
        <v>4100</v>
      </c>
      <c r="E1611" s="5" t="str">
        <f t="shared" si="101"/>
        <v>Medium</v>
      </c>
      <c r="F1611" s="5">
        <f t="shared" si="102"/>
        <v>1230</v>
      </c>
      <c r="G1611" s="6">
        <v>38300</v>
      </c>
      <c r="H1611" s="5" t="s">
        <v>25</v>
      </c>
      <c r="I1611" s="5" t="str">
        <f t="shared" si="100"/>
        <v>Yes</v>
      </c>
      <c r="J1611" s="5" t="s">
        <v>686</v>
      </c>
      <c r="K1611" s="5">
        <v>2004</v>
      </c>
      <c r="L1611" s="5" t="str">
        <f t="shared" si="103"/>
        <v>Nov-2004</v>
      </c>
      <c r="M1611" s="5" t="s">
        <v>598</v>
      </c>
      <c r="N1611" s="5" t="s">
        <v>183</v>
      </c>
      <c r="O1611" s="5" t="s">
        <v>188</v>
      </c>
      <c r="P1611" s="5" t="s">
        <v>42</v>
      </c>
      <c r="Q1611" s="5" t="s">
        <v>51</v>
      </c>
    </row>
    <row r="1612" spans="1:17" x14ac:dyDescent="0.25">
      <c r="A1612" s="3">
        <v>10337</v>
      </c>
      <c r="B1612" s="3">
        <v>29</v>
      </c>
      <c r="C1612" s="3">
        <v>71.97</v>
      </c>
      <c r="D1612" s="3">
        <v>2087.13</v>
      </c>
      <c r="E1612" s="3" t="str">
        <f t="shared" si="101"/>
        <v>Medium</v>
      </c>
      <c r="F1612" s="3">
        <f t="shared" si="102"/>
        <v>626.13900000000001</v>
      </c>
      <c r="G1612" s="4">
        <v>38312</v>
      </c>
      <c r="H1612" s="3" t="s">
        <v>25</v>
      </c>
      <c r="I1612" s="3" t="str">
        <f t="shared" si="100"/>
        <v>Yes</v>
      </c>
      <c r="J1612" s="3" t="s">
        <v>686</v>
      </c>
      <c r="K1612" s="3">
        <v>2004</v>
      </c>
      <c r="L1612" s="3" t="str">
        <f t="shared" si="103"/>
        <v>Nov-2004</v>
      </c>
      <c r="M1612" s="3" t="s">
        <v>598</v>
      </c>
      <c r="N1612" s="3" t="s">
        <v>203</v>
      </c>
      <c r="O1612" s="3" t="s">
        <v>32</v>
      </c>
      <c r="P1612" s="3" t="s">
        <v>33</v>
      </c>
      <c r="Q1612" s="3" t="s">
        <v>36</v>
      </c>
    </row>
    <row r="1613" spans="1:17" x14ac:dyDescent="0.25">
      <c r="A1613" s="5">
        <v>10350</v>
      </c>
      <c r="B1613" s="5">
        <v>34</v>
      </c>
      <c r="C1613" s="5">
        <v>50.33</v>
      </c>
      <c r="D1613" s="5">
        <v>1711.22</v>
      </c>
      <c r="E1613" s="5" t="str">
        <f t="shared" si="101"/>
        <v>Low</v>
      </c>
      <c r="F1613" s="5">
        <f t="shared" si="102"/>
        <v>513.36599999999999</v>
      </c>
      <c r="G1613" s="6">
        <v>38323</v>
      </c>
      <c r="H1613" s="5" t="s">
        <v>25</v>
      </c>
      <c r="I1613" s="5" t="str">
        <f t="shared" si="100"/>
        <v>Yes</v>
      </c>
      <c r="J1613" s="5" t="s">
        <v>687</v>
      </c>
      <c r="K1613" s="5">
        <v>2004</v>
      </c>
      <c r="L1613" s="5" t="str">
        <f t="shared" si="103"/>
        <v>Dec-2004</v>
      </c>
      <c r="M1613" s="5" t="s">
        <v>598</v>
      </c>
      <c r="N1613" s="5" t="s">
        <v>174</v>
      </c>
      <c r="O1613" s="5" t="s">
        <v>178</v>
      </c>
      <c r="P1613" s="5" t="s">
        <v>42</v>
      </c>
      <c r="Q1613" s="5" t="s">
        <v>36</v>
      </c>
    </row>
    <row r="1614" spans="1:17" x14ac:dyDescent="0.25">
      <c r="A1614" s="3">
        <v>10372</v>
      </c>
      <c r="B1614" s="3">
        <v>37</v>
      </c>
      <c r="C1614" s="3">
        <v>100</v>
      </c>
      <c r="D1614" s="3">
        <v>3700</v>
      </c>
      <c r="E1614" s="3" t="str">
        <f t="shared" si="101"/>
        <v>Medium</v>
      </c>
      <c r="F1614" s="3">
        <f t="shared" si="102"/>
        <v>1110</v>
      </c>
      <c r="G1614" s="4">
        <v>38378</v>
      </c>
      <c r="H1614" s="3" t="s">
        <v>25</v>
      </c>
      <c r="I1614" s="3" t="str">
        <f t="shared" si="100"/>
        <v>Yes</v>
      </c>
      <c r="J1614" s="3" t="s">
        <v>549</v>
      </c>
      <c r="K1614" s="3">
        <v>2005</v>
      </c>
      <c r="L1614" s="3" t="str">
        <f t="shared" si="103"/>
        <v>Jan-2005</v>
      </c>
      <c r="M1614" s="3" t="s">
        <v>598</v>
      </c>
      <c r="N1614" s="3" t="s">
        <v>246</v>
      </c>
      <c r="O1614" s="3" t="s">
        <v>200</v>
      </c>
      <c r="P1614" s="3" t="s">
        <v>675</v>
      </c>
      <c r="Q1614" s="3" t="s">
        <v>51</v>
      </c>
    </row>
    <row r="1615" spans="1:17" x14ac:dyDescent="0.25">
      <c r="A1615" s="5">
        <v>10384</v>
      </c>
      <c r="B1615" s="5">
        <v>28</v>
      </c>
      <c r="C1615" s="5">
        <v>80.540000000000006</v>
      </c>
      <c r="D1615" s="5">
        <v>2255.1200000000003</v>
      </c>
      <c r="E1615" s="5" t="str">
        <f t="shared" si="101"/>
        <v>Medium</v>
      </c>
      <c r="F1615" s="5">
        <f t="shared" si="102"/>
        <v>676.53600000000006</v>
      </c>
      <c r="G1615" s="6">
        <v>38406</v>
      </c>
      <c r="H1615" s="5" t="s">
        <v>25</v>
      </c>
      <c r="I1615" s="5" t="str">
        <f t="shared" si="100"/>
        <v>Yes</v>
      </c>
      <c r="J1615" s="5" t="s">
        <v>681</v>
      </c>
      <c r="K1615" s="5">
        <v>2005</v>
      </c>
      <c r="L1615" s="5" t="str">
        <f t="shared" si="103"/>
        <v>Feb-2005</v>
      </c>
      <c r="M1615" s="5" t="s">
        <v>598</v>
      </c>
      <c r="N1615" s="5" t="s">
        <v>58</v>
      </c>
      <c r="O1615" s="5" t="s">
        <v>32</v>
      </c>
      <c r="P1615" s="5" t="s">
        <v>33</v>
      </c>
      <c r="Q1615" s="5" t="s">
        <v>36</v>
      </c>
    </row>
    <row r="1616" spans="1:17" x14ac:dyDescent="0.25">
      <c r="A1616" s="3">
        <v>10396</v>
      </c>
      <c r="B1616" s="3">
        <v>49</v>
      </c>
      <c r="C1616" s="3">
        <v>100</v>
      </c>
      <c r="D1616" s="3">
        <v>4900</v>
      </c>
      <c r="E1616" s="3" t="str">
        <f t="shared" si="101"/>
        <v>Medium</v>
      </c>
      <c r="F1616" s="3">
        <f t="shared" si="102"/>
        <v>1470</v>
      </c>
      <c r="G1616" s="4">
        <v>38434</v>
      </c>
      <c r="H1616" s="3" t="s">
        <v>25</v>
      </c>
      <c r="I1616" s="3" t="str">
        <f t="shared" si="100"/>
        <v>Yes</v>
      </c>
      <c r="J1616" s="3" t="s">
        <v>691</v>
      </c>
      <c r="K1616" s="3">
        <v>2005</v>
      </c>
      <c r="L1616" s="3" t="str">
        <f t="shared" si="103"/>
        <v>Mar-2005</v>
      </c>
      <c r="M1616" s="3" t="s">
        <v>598</v>
      </c>
      <c r="N1616" s="3" t="s">
        <v>272</v>
      </c>
      <c r="O1616" s="3" t="s">
        <v>32</v>
      </c>
      <c r="P1616" s="3" t="s">
        <v>33</v>
      </c>
      <c r="Q1616" s="3" t="s">
        <v>51</v>
      </c>
    </row>
    <row r="1617" spans="1:17" x14ac:dyDescent="0.25">
      <c r="A1617" s="5">
        <v>10414</v>
      </c>
      <c r="B1617" s="5">
        <v>23</v>
      </c>
      <c r="C1617" s="5">
        <v>100</v>
      </c>
      <c r="D1617" s="5">
        <v>2300</v>
      </c>
      <c r="E1617" s="5" t="str">
        <f t="shared" si="101"/>
        <v>Medium</v>
      </c>
      <c r="F1617" s="5">
        <f t="shared" si="102"/>
        <v>690</v>
      </c>
      <c r="G1617" s="6">
        <v>38478</v>
      </c>
      <c r="H1617" s="5" t="s">
        <v>401</v>
      </c>
      <c r="I1617" s="5" t="str">
        <f t="shared" si="100"/>
        <v>No</v>
      </c>
      <c r="J1617" s="5" t="s">
        <v>682</v>
      </c>
      <c r="K1617" s="5">
        <v>2005</v>
      </c>
      <c r="L1617" s="5" t="str">
        <f t="shared" si="103"/>
        <v>May-2005</v>
      </c>
      <c r="M1617" s="5" t="s">
        <v>598</v>
      </c>
      <c r="N1617" s="5" t="s">
        <v>379</v>
      </c>
      <c r="O1617" s="5" t="s">
        <v>32</v>
      </c>
      <c r="P1617" s="5" t="s">
        <v>33</v>
      </c>
      <c r="Q1617" s="5" t="s">
        <v>51</v>
      </c>
    </row>
    <row r="1618" spans="1:17" x14ac:dyDescent="0.25">
      <c r="A1618" s="3">
        <v>10101</v>
      </c>
      <c r="B1618" s="3">
        <v>46</v>
      </c>
      <c r="C1618" s="3">
        <v>53.76</v>
      </c>
      <c r="D1618" s="3">
        <v>2472.96</v>
      </c>
      <c r="E1618" s="3" t="str">
        <f t="shared" si="101"/>
        <v>Medium</v>
      </c>
      <c r="F1618" s="3">
        <f t="shared" si="102"/>
        <v>741.88800000000003</v>
      </c>
      <c r="G1618" s="4">
        <v>37630</v>
      </c>
      <c r="H1618" s="3" t="s">
        <v>25</v>
      </c>
      <c r="I1618" s="3" t="str">
        <f t="shared" si="100"/>
        <v>Yes</v>
      </c>
      <c r="J1618" s="3" t="s">
        <v>549</v>
      </c>
      <c r="K1618" s="3">
        <v>2003</v>
      </c>
      <c r="L1618" s="3" t="str">
        <f t="shared" si="103"/>
        <v>Jan-2003</v>
      </c>
      <c r="M1618" s="3" t="s">
        <v>550</v>
      </c>
      <c r="N1618" s="3" t="s">
        <v>462</v>
      </c>
      <c r="O1618" s="3" t="s">
        <v>443</v>
      </c>
      <c r="P1618" s="3" t="s">
        <v>42</v>
      </c>
      <c r="Q1618" s="3" t="s">
        <v>36</v>
      </c>
    </row>
    <row r="1619" spans="1:17" x14ac:dyDescent="0.25">
      <c r="A1619" s="5">
        <v>10110</v>
      </c>
      <c r="B1619" s="5">
        <v>39</v>
      </c>
      <c r="C1619" s="5">
        <v>44.35</v>
      </c>
      <c r="D1619" s="5">
        <v>1729.65</v>
      </c>
      <c r="E1619" s="5" t="str">
        <f t="shared" si="101"/>
        <v>Low</v>
      </c>
      <c r="F1619" s="5">
        <f t="shared" si="102"/>
        <v>518.89499999999998</v>
      </c>
      <c r="G1619" s="6">
        <v>37698</v>
      </c>
      <c r="H1619" s="5" t="s">
        <v>25</v>
      </c>
      <c r="I1619" s="5" t="str">
        <f t="shared" si="100"/>
        <v>Yes</v>
      </c>
      <c r="J1619" s="5" t="s">
        <v>691</v>
      </c>
      <c r="K1619" s="5">
        <v>2003</v>
      </c>
      <c r="L1619" s="5" t="str">
        <f t="shared" si="103"/>
        <v>Mar-2003</v>
      </c>
      <c r="M1619" s="5" t="s">
        <v>550</v>
      </c>
      <c r="N1619" s="5" t="s">
        <v>492</v>
      </c>
      <c r="O1619" s="5" t="s">
        <v>170</v>
      </c>
      <c r="P1619" s="5" t="s">
        <v>42</v>
      </c>
      <c r="Q1619" s="5" t="s">
        <v>36</v>
      </c>
    </row>
    <row r="1620" spans="1:17" x14ac:dyDescent="0.25">
      <c r="A1620" s="3">
        <v>10124</v>
      </c>
      <c r="B1620" s="3">
        <v>22</v>
      </c>
      <c r="C1620" s="3">
        <v>45.25</v>
      </c>
      <c r="D1620" s="3">
        <v>995.5</v>
      </c>
      <c r="E1620" s="3" t="str">
        <f t="shared" si="101"/>
        <v>Low</v>
      </c>
      <c r="F1620" s="3">
        <f t="shared" si="102"/>
        <v>298.64999999999998</v>
      </c>
      <c r="G1620" s="4">
        <v>37762</v>
      </c>
      <c r="H1620" s="3" t="s">
        <v>25</v>
      </c>
      <c r="I1620" s="3" t="str">
        <f t="shared" si="100"/>
        <v>Yes</v>
      </c>
      <c r="J1620" s="3" t="s">
        <v>682</v>
      </c>
      <c r="K1620" s="3">
        <v>2003</v>
      </c>
      <c r="L1620" s="3" t="str">
        <f t="shared" si="103"/>
        <v>May-2003</v>
      </c>
      <c r="M1620" s="3" t="s">
        <v>550</v>
      </c>
      <c r="N1620" s="3" t="s">
        <v>539</v>
      </c>
      <c r="O1620" s="3" t="s">
        <v>32</v>
      </c>
      <c r="P1620" s="3" t="s">
        <v>33</v>
      </c>
      <c r="Q1620" s="3" t="s">
        <v>36</v>
      </c>
    </row>
    <row r="1621" spans="1:17" x14ac:dyDescent="0.25">
      <c r="A1621" s="5">
        <v>10149</v>
      </c>
      <c r="B1621" s="5">
        <v>49</v>
      </c>
      <c r="C1621" s="5">
        <v>49.28</v>
      </c>
      <c r="D1621" s="5">
        <v>2414.7200000000003</v>
      </c>
      <c r="E1621" s="5" t="str">
        <f t="shared" si="101"/>
        <v>Medium</v>
      </c>
      <c r="F1621" s="5">
        <f t="shared" si="102"/>
        <v>724.41600000000005</v>
      </c>
      <c r="G1621" s="6">
        <v>37876</v>
      </c>
      <c r="H1621" s="5" t="s">
        <v>25</v>
      </c>
      <c r="I1621" s="5" t="str">
        <f t="shared" si="100"/>
        <v>Yes</v>
      </c>
      <c r="J1621" s="5" t="s">
        <v>690</v>
      </c>
      <c r="K1621" s="5">
        <v>2003</v>
      </c>
      <c r="L1621" s="5" t="str">
        <f t="shared" si="103"/>
        <v>Sep-2003</v>
      </c>
      <c r="M1621" s="5" t="s">
        <v>550</v>
      </c>
      <c r="N1621" s="5" t="s">
        <v>526</v>
      </c>
      <c r="O1621" s="5" t="s">
        <v>32</v>
      </c>
      <c r="P1621" s="5" t="s">
        <v>33</v>
      </c>
      <c r="Q1621" s="5" t="s">
        <v>36</v>
      </c>
    </row>
    <row r="1622" spans="1:17" x14ac:dyDescent="0.25">
      <c r="A1622" s="3">
        <v>10162</v>
      </c>
      <c r="B1622" s="3">
        <v>43</v>
      </c>
      <c r="C1622" s="3">
        <v>36.29</v>
      </c>
      <c r="D1622" s="3">
        <v>1560.47</v>
      </c>
      <c r="E1622" s="3" t="str">
        <f t="shared" si="101"/>
        <v>Low</v>
      </c>
      <c r="F1622" s="3">
        <f t="shared" si="102"/>
        <v>468.14099999999996</v>
      </c>
      <c r="G1622" s="4">
        <v>37912</v>
      </c>
      <c r="H1622" s="3" t="s">
        <v>25</v>
      </c>
      <c r="I1622" s="3" t="str">
        <f t="shared" si="100"/>
        <v>Yes</v>
      </c>
      <c r="J1622" s="3" t="s">
        <v>685</v>
      </c>
      <c r="K1622" s="3">
        <v>2003</v>
      </c>
      <c r="L1622" s="3" t="str">
        <f t="shared" si="103"/>
        <v>Oct-2003</v>
      </c>
      <c r="M1622" s="3" t="s">
        <v>550</v>
      </c>
      <c r="N1622" s="3" t="s">
        <v>58</v>
      </c>
      <c r="O1622" s="3" t="s">
        <v>32</v>
      </c>
      <c r="P1622" s="3" t="s">
        <v>33</v>
      </c>
      <c r="Q1622" s="3" t="s">
        <v>36</v>
      </c>
    </row>
    <row r="1623" spans="1:17" x14ac:dyDescent="0.25">
      <c r="A1623" s="5">
        <v>10173</v>
      </c>
      <c r="B1623" s="5">
        <v>27</v>
      </c>
      <c r="C1623" s="5">
        <v>41.22</v>
      </c>
      <c r="D1623" s="5">
        <v>1112.94</v>
      </c>
      <c r="E1623" s="5" t="str">
        <f t="shared" si="101"/>
        <v>Low</v>
      </c>
      <c r="F1623" s="5">
        <f t="shared" si="102"/>
        <v>333.88200000000001</v>
      </c>
      <c r="G1623" s="6">
        <v>37930</v>
      </c>
      <c r="H1623" s="5" t="s">
        <v>25</v>
      </c>
      <c r="I1623" s="5" t="str">
        <f t="shared" si="100"/>
        <v>Yes</v>
      </c>
      <c r="J1623" s="5" t="s">
        <v>686</v>
      </c>
      <c r="K1623" s="5">
        <v>2003</v>
      </c>
      <c r="L1623" s="5" t="str">
        <f t="shared" si="103"/>
        <v>Nov-2003</v>
      </c>
      <c r="M1623" s="5" t="s">
        <v>550</v>
      </c>
      <c r="N1623" s="5" t="s">
        <v>552</v>
      </c>
      <c r="O1623" s="5" t="s">
        <v>258</v>
      </c>
      <c r="P1623" s="5" t="s">
        <v>42</v>
      </c>
      <c r="Q1623" s="5" t="s">
        <v>36</v>
      </c>
    </row>
    <row r="1624" spans="1:17" x14ac:dyDescent="0.25">
      <c r="A1624" s="3">
        <v>10182</v>
      </c>
      <c r="B1624" s="3">
        <v>31</v>
      </c>
      <c r="C1624" s="3">
        <v>36.74</v>
      </c>
      <c r="D1624" s="3">
        <v>1138.94</v>
      </c>
      <c r="E1624" s="3" t="str">
        <f t="shared" si="101"/>
        <v>Low</v>
      </c>
      <c r="F1624" s="3">
        <f t="shared" si="102"/>
        <v>341.68200000000002</v>
      </c>
      <c r="G1624" s="4">
        <v>37937</v>
      </c>
      <c r="H1624" s="3" t="s">
        <v>25</v>
      </c>
      <c r="I1624" s="3" t="str">
        <f t="shared" si="100"/>
        <v>Yes</v>
      </c>
      <c r="J1624" s="3" t="s">
        <v>686</v>
      </c>
      <c r="K1624" s="3">
        <v>2003</v>
      </c>
      <c r="L1624" s="3" t="str">
        <f t="shared" si="103"/>
        <v>Nov-2003</v>
      </c>
      <c r="M1624" s="3" t="s">
        <v>550</v>
      </c>
      <c r="N1624" s="3" t="s">
        <v>272</v>
      </c>
      <c r="O1624" s="3" t="s">
        <v>32</v>
      </c>
      <c r="P1624" s="3" t="s">
        <v>33</v>
      </c>
      <c r="Q1624" s="3" t="s">
        <v>36</v>
      </c>
    </row>
    <row r="1625" spans="1:17" x14ac:dyDescent="0.25">
      <c r="A1625" s="5">
        <v>10193</v>
      </c>
      <c r="B1625" s="5">
        <v>20</v>
      </c>
      <c r="C1625" s="5">
        <v>50.62</v>
      </c>
      <c r="D1625" s="5">
        <v>1012.4</v>
      </c>
      <c r="E1625" s="5" t="str">
        <f t="shared" si="101"/>
        <v>Low</v>
      </c>
      <c r="F1625" s="5">
        <f t="shared" si="102"/>
        <v>303.71999999999997</v>
      </c>
      <c r="G1625" s="6">
        <v>37946</v>
      </c>
      <c r="H1625" s="5" t="s">
        <v>25</v>
      </c>
      <c r="I1625" s="5" t="str">
        <f t="shared" si="100"/>
        <v>Yes</v>
      </c>
      <c r="J1625" s="5" t="s">
        <v>686</v>
      </c>
      <c r="K1625" s="5">
        <v>2003</v>
      </c>
      <c r="L1625" s="5" t="str">
        <f t="shared" si="103"/>
        <v>Nov-2003</v>
      </c>
      <c r="M1625" s="5" t="s">
        <v>550</v>
      </c>
      <c r="N1625" s="5" t="s">
        <v>558</v>
      </c>
      <c r="O1625" s="5" t="s">
        <v>95</v>
      </c>
      <c r="P1625" s="5" t="s">
        <v>96</v>
      </c>
      <c r="Q1625" s="5" t="s">
        <v>36</v>
      </c>
    </row>
    <row r="1626" spans="1:17" x14ac:dyDescent="0.25">
      <c r="A1626" s="3">
        <v>10205</v>
      </c>
      <c r="B1626" s="3">
        <v>24</v>
      </c>
      <c r="C1626" s="3">
        <v>38.08</v>
      </c>
      <c r="D1626" s="3">
        <v>913.92</v>
      </c>
      <c r="E1626" s="3" t="str">
        <f t="shared" si="101"/>
        <v>Low</v>
      </c>
      <c r="F1626" s="3">
        <f t="shared" si="102"/>
        <v>274.17599999999999</v>
      </c>
      <c r="G1626" s="4">
        <v>37958</v>
      </c>
      <c r="H1626" s="3" t="s">
        <v>25</v>
      </c>
      <c r="I1626" s="3" t="str">
        <f t="shared" si="100"/>
        <v>Yes</v>
      </c>
      <c r="J1626" s="3" t="s">
        <v>687</v>
      </c>
      <c r="K1626" s="3">
        <v>2003</v>
      </c>
      <c r="L1626" s="3" t="str">
        <f t="shared" si="103"/>
        <v>Dec-2003</v>
      </c>
      <c r="M1626" s="3" t="s">
        <v>550</v>
      </c>
      <c r="N1626" s="3" t="s">
        <v>174</v>
      </c>
      <c r="O1626" s="3" t="s">
        <v>178</v>
      </c>
      <c r="P1626" s="3" t="s">
        <v>42</v>
      </c>
      <c r="Q1626" s="3" t="s">
        <v>36</v>
      </c>
    </row>
    <row r="1627" spans="1:17" x14ac:dyDescent="0.25">
      <c r="A1627" s="5">
        <v>10214</v>
      </c>
      <c r="B1627" s="5">
        <v>49</v>
      </c>
      <c r="C1627" s="5">
        <v>47.94</v>
      </c>
      <c r="D1627" s="5">
        <v>2349.06</v>
      </c>
      <c r="E1627" s="5" t="str">
        <f t="shared" si="101"/>
        <v>Medium</v>
      </c>
      <c r="F1627" s="5">
        <f t="shared" si="102"/>
        <v>704.71799999999996</v>
      </c>
      <c r="G1627" s="6">
        <v>38012</v>
      </c>
      <c r="H1627" s="5" t="s">
        <v>25</v>
      </c>
      <c r="I1627" s="5" t="str">
        <f t="shared" si="100"/>
        <v>Yes</v>
      </c>
      <c r="J1627" s="5" t="s">
        <v>549</v>
      </c>
      <c r="K1627" s="5">
        <v>2004</v>
      </c>
      <c r="L1627" s="5" t="str">
        <f t="shared" si="103"/>
        <v>Jan-2004</v>
      </c>
      <c r="M1627" s="5" t="s">
        <v>550</v>
      </c>
      <c r="N1627" s="5" t="s">
        <v>191</v>
      </c>
      <c r="O1627" s="5" t="s">
        <v>178</v>
      </c>
      <c r="P1627" s="5" t="s">
        <v>42</v>
      </c>
      <c r="Q1627" s="5" t="s">
        <v>36</v>
      </c>
    </row>
    <row r="1628" spans="1:17" x14ac:dyDescent="0.25">
      <c r="A1628" s="3">
        <v>10227</v>
      </c>
      <c r="B1628" s="3">
        <v>24</v>
      </c>
      <c r="C1628" s="3">
        <v>48.38</v>
      </c>
      <c r="D1628" s="3">
        <v>1161.1200000000001</v>
      </c>
      <c r="E1628" s="3" t="str">
        <f t="shared" si="101"/>
        <v>Low</v>
      </c>
      <c r="F1628" s="3">
        <f t="shared" si="102"/>
        <v>348.33600000000001</v>
      </c>
      <c r="G1628" s="4">
        <v>38048</v>
      </c>
      <c r="H1628" s="3" t="s">
        <v>25</v>
      </c>
      <c r="I1628" s="3" t="str">
        <f t="shared" si="100"/>
        <v>Yes</v>
      </c>
      <c r="J1628" s="3" t="s">
        <v>691</v>
      </c>
      <c r="K1628" s="3">
        <v>2004</v>
      </c>
      <c r="L1628" s="3" t="str">
        <f t="shared" si="103"/>
        <v>Mar-2004</v>
      </c>
      <c r="M1628" s="3" t="s">
        <v>550</v>
      </c>
      <c r="N1628" s="3" t="s">
        <v>219</v>
      </c>
      <c r="O1628" s="3" t="s">
        <v>41</v>
      </c>
      <c r="P1628" s="3" t="s">
        <v>42</v>
      </c>
      <c r="Q1628" s="3" t="s">
        <v>36</v>
      </c>
    </row>
    <row r="1629" spans="1:17" x14ac:dyDescent="0.25">
      <c r="A1629" s="5">
        <v>10244</v>
      </c>
      <c r="B1629" s="5">
        <v>39</v>
      </c>
      <c r="C1629" s="5">
        <v>45.25</v>
      </c>
      <c r="D1629" s="5">
        <v>1764.75</v>
      </c>
      <c r="E1629" s="5" t="str">
        <f t="shared" si="101"/>
        <v>Low</v>
      </c>
      <c r="F1629" s="5">
        <f t="shared" si="102"/>
        <v>529.42499999999995</v>
      </c>
      <c r="G1629" s="6">
        <v>38106</v>
      </c>
      <c r="H1629" s="5" t="s">
        <v>25</v>
      </c>
      <c r="I1629" s="5" t="str">
        <f t="shared" si="100"/>
        <v>Yes</v>
      </c>
      <c r="J1629" s="5" t="s">
        <v>688</v>
      </c>
      <c r="K1629" s="5">
        <v>2004</v>
      </c>
      <c r="L1629" s="5" t="str">
        <f t="shared" si="103"/>
        <v>Apr-2004</v>
      </c>
      <c r="M1629" s="5" t="s">
        <v>550</v>
      </c>
      <c r="N1629" s="5" t="s">
        <v>174</v>
      </c>
      <c r="O1629" s="5" t="s">
        <v>178</v>
      </c>
      <c r="P1629" s="5" t="s">
        <v>42</v>
      </c>
      <c r="Q1629" s="5" t="s">
        <v>36</v>
      </c>
    </row>
    <row r="1630" spans="1:17" x14ac:dyDescent="0.25">
      <c r="A1630" s="3">
        <v>10255</v>
      </c>
      <c r="B1630" s="3">
        <v>37</v>
      </c>
      <c r="C1630" s="3">
        <v>45.7</v>
      </c>
      <c r="D1630" s="3">
        <v>1690.9</v>
      </c>
      <c r="E1630" s="3" t="str">
        <f t="shared" si="101"/>
        <v>Low</v>
      </c>
      <c r="F1630" s="3">
        <f t="shared" si="102"/>
        <v>507.27</v>
      </c>
      <c r="G1630" s="4">
        <v>38142</v>
      </c>
      <c r="H1630" s="3" t="s">
        <v>25</v>
      </c>
      <c r="I1630" s="3" t="str">
        <f t="shared" si="100"/>
        <v>Yes</v>
      </c>
      <c r="J1630" s="3" t="s">
        <v>689</v>
      </c>
      <c r="K1630" s="3">
        <v>2004</v>
      </c>
      <c r="L1630" s="3" t="str">
        <f t="shared" si="103"/>
        <v>Jun-2004</v>
      </c>
      <c r="M1630" s="3" t="s">
        <v>550</v>
      </c>
      <c r="N1630" s="3" t="s">
        <v>531</v>
      </c>
      <c r="O1630" s="3" t="s">
        <v>41</v>
      </c>
      <c r="P1630" s="3" t="s">
        <v>42</v>
      </c>
      <c r="Q1630" s="3" t="s">
        <v>36</v>
      </c>
    </row>
    <row r="1631" spans="1:17" x14ac:dyDescent="0.25">
      <c r="A1631" s="5">
        <v>10280</v>
      </c>
      <c r="B1631" s="5">
        <v>45</v>
      </c>
      <c r="C1631" s="5">
        <v>47.49</v>
      </c>
      <c r="D1631" s="5">
        <v>2137.0500000000002</v>
      </c>
      <c r="E1631" s="5" t="str">
        <f t="shared" si="101"/>
        <v>Medium</v>
      </c>
      <c r="F1631" s="5">
        <f t="shared" si="102"/>
        <v>641.11500000000001</v>
      </c>
      <c r="G1631" s="6">
        <v>38216</v>
      </c>
      <c r="H1631" s="5" t="s">
        <v>25</v>
      </c>
      <c r="I1631" s="5" t="str">
        <f t="shared" si="100"/>
        <v>Yes</v>
      </c>
      <c r="J1631" s="5" t="s">
        <v>684</v>
      </c>
      <c r="K1631" s="5">
        <v>2004</v>
      </c>
      <c r="L1631" s="5" t="str">
        <f t="shared" si="103"/>
        <v>Aug-2004</v>
      </c>
      <c r="M1631" s="5" t="s">
        <v>550</v>
      </c>
      <c r="N1631" s="5" t="s">
        <v>254</v>
      </c>
      <c r="O1631" s="5" t="s">
        <v>258</v>
      </c>
      <c r="P1631" s="5" t="s">
        <v>42</v>
      </c>
      <c r="Q1631" s="5" t="s">
        <v>36</v>
      </c>
    </row>
    <row r="1632" spans="1:17" x14ac:dyDescent="0.25">
      <c r="A1632" s="3">
        <v>10289</v>
      </c>
      <c r="B1632" s="3">
        <v>45</v>
      </c>
      <c r="C1632" s="3">
        <v>48.38</v>
      </c>
      <c r="D1632" s="3">
        <v>2177.1</v>
      </c>
      <c r="E1632" s="3" t="str">
        <f t="shared" si="101"/>
        <v>Medium</v>
      </c>
      <c r="F1632" s="3">
        <f t="shared" si="102"/>
        <v>653.13</v>
      </c>
      <c r="G1632" s="4">
        <v>38233</v>
      </c>
      <c r="H1632" s="3" t="s">
        <v>25</v>
      </c>
      <c r="I1632" s="3" t="str">
        <f t="shared" si="100"/>
        <v>Yes</v>
      </c>
      <c r="J1632" s="3" t="s">
        <v>690</v>
      </c>
      <c r="K1632" s="3">
        <v>2004</v>
      </c>
      <c r="L1632" s="3" t="str">
        <f t="shared" si="103"/>
        <v>Sep-2004</v>
      </c>
      <c r="M1632" s="3" t="s">
        <v>550</v>
      </c>
      <c r="N1632" s="3" t="s">
        <v>73</v>
      </c>
      <c r="O1632" s="3" t="s">
        <v>78</v>
      </c>
      <c r="P1632" s="3" t="s">
        <v>42</v>
      </c>
      <c r="Q1632" s="3" t="s">
        <v>36</v>
      </c>
    </row>
    <row r="1633" spans="1:17" x14ac:dyDescent="0.25">
      <c r="A1633" s="5">
        <v>10304</v>
      </c>
      <c r="B1633" s="5">
        <v>44</v>
      </c>
      <c r="C1633" s="5">
        <v>39.42</v>
      </c>
      <c r="D1633" s="5">
        <v>1734.48</v>
      </c>
      <c r="E1633" s="5" t="str">
        <f t="shared" si="101"/>
        <v>Low</v>
      </c>
      <c r="F1633" s="5">
        <f t="shared" si="102"/>
        <v>520.34399999999994</v>
      </c>
      <c r="G1633" s="6">
        <v>38271</v>
      </c>
      <c r="H1633" s="5" t="s">
        <v>25</v>
      </c>
      <c r="I1633" s="5" t="str">
        <f t="shared" si="100"/>
        <v>Yes</v>
      </c>
      <c r="J1633" s="5" t="s">
        <v>685</v>
      </c>
      <c r="K1633" s="5">
        <v>2004</v>
      </c>
      <c r="L1633" s="5" t="str">
        <f t="shared" si="103"/>
        <v>Oct-2004</v>
      </c>
      <c r="M1633" s="5" t="s">
        <v>550</v>
      </c>
      <c r="N1633" s="5" t="s">
        <v>267</v>
      </c>
      <c r="O1633" s="5" t="s">
        <v>41</v>
      </c>
      <c r="P1633" s="5" t="s">
        <v>42</v>
      </c>
      <c r="Q1633" s="5" t="s">
        <v>36</v>
      </c>
    </row>
    <row r="1634" spans="1:17" x14ac:dyDescent="0.25">
      <c r="A1634" s="3">
        <v>10312</v>
      </c>
      <c r="B1634" s="3">
        <v>23</v>
      </c>
      <c r="C1634" s="3">
        <v>37.630000000000003</v>
      </c>
      <c r="D1634" s="3">
        <v>865.49</v>
      </c>
      <c r="E1634" s="3" t="str">
        <f t="shared" si="101"/>
        <v>Low</v>
      </c>
      <c r="F1634" s="3">
        <f t="shared" si="102"/>
        <v>259.64699999999999</v>
      </c>
      <c r="G1634" s="4">
        <v>38281</v>
      </c>
      <c r="H1634" s="3" t="s">
        <v>25</v>
      </c>
      <c r="I1634" s="3" t="str">
        <f t="shared" si="100"/>
        <v>Yes</v>
      </c>
      <c r="J1634" s="3" t="s">
        <v>685</v>
      </c>
      <c r="K1634" s="3">
        <v>2004</v>
      </c>
      <c r="L1634" s="3" t="str">
        <f t="shared" si="103"/>
        <v>Oct-2004</v>
      </c>
      <c r="M1634" s="3" t="s">
        <v>550</v>
      </c>
      <c r="N1634" s="3" t="s">
        <v>272</v>
      </c>
      <c r="O1634" s="3" t="s">
        <v>32</v>
      </c>
      <c r="P1634" s="3" t="s">
        <v>33</v>
      </c>
      <c r="Q1634" s="3" t="s">
        <v>36</v>
      </c>
    </row>
    <row r="1635" spans="1:17" x14ac:dyDescent="0.25">
      <c r="A1635" s="5">
        <v>10322</v>
      </c>
      <c r="B1635" s="5">
        <v>30</v>
      </c>
      <c r="C1635" s="5">
        <v>100</v>
      </c>
      <c r="D1635" s="5">
        <v>3000</v>
      </c>
      <c r="E1635" s="5" t="str">
        <f t="shared" si="101"/>
        <v>Medium</v>
      </c>
      <c r="F1635" s="5">
        <f t="shared" si="102"/>
        <v>900</v>
      </c>
      <c r="G1635" s="6">
        <v>38295</v>
      </c>
      <c r="H1635" s="5" t="s">
        <v>25</v>
      </c>
      <c r="I1635" s="5" t="str">
        <f t="shared" si="100"/>
        <v>Yes</v>
      </c>
      <c r="J1635" s="5" t="s">
        <v>686</v>
      </c>
      <c r="K1635" s="5">
        <v>2004</v>
      </c>
      <c r="L1635" s="5" t="str">
        <f t="shared" si="103"/>
        <v>Nov-2004</v>
      </c>
      <c r="M1635" s="5" t="s">
        <v>550</v>
      </c>
      <c r="N1635" s="5" t="s">
        <v>277</v>
      </c>
      <c r="O1635" s="5" t="s">
        <v>32</v>
      </c>
      <c r="P1635" s="5" t="s">
        <v>33</v>
      </c>
      <c r="Q1635" s="5" t="s">
        <v>51</v>
      </c>
    </row>
    <row r="1636" spans="1:17" x14ac:dyDescent="0.25">
      <c r="A1636" s="3">
        <v>10332</v>
      </c>
      <c r="B1636" s="3">
        <v>26</v>
      </c>
      <c r="C1636" s="3">
        <v>85.52</v>
      </c>
      <c r="D1636" s="3">
        <v>2223.52</v>
      </c>
      <c r="E1636" s="3" t="str">
        <f t="shared" si="101"/>
        <v>Medium</v>
      </c>
      <c r="F1636" s="3">
        <f t="shared" si="102"/>
        <v>667.05599999999993</v>
      </c>
      <c r="G1636" s="4">
        <v>38308</v>
      </c>
      <c r="H1636" s="3" t="s">
        <v>25</v>
      </c>
      <c r="I1636" s="3" t="str">
        <f t="shared" si="100"/>
        <v>Yes</v>
      </c>
      <c r="J1636" s="3" t="s">
        <v>686</v>
      </c>
      <c r="K1636" s="3">
        <v>2004</v>
      </c>
      <c r="L1636" s="3" t="str">
        <f t="shared" si="103"/>
        <v>Nov-2004</v>
      </c>
      <c r="M1636" s="3" t="s">
        <v>550</v>
      </c>
      <c r="N1636" s="3" t="s">
        <v>492</v>
      </c>
      <c r="O1636" s="3" t="s">
        <v>170</v>
      </c>
      <c r="P1636" s="3" t="s">
        <v>42</v>
      </c>
      <c r="Q1636" s="3" t="s">
        <v>36</v>
      </c>
    </row>
    <row r="1637" spans="1:17" x14ac:dyDescent="0.25">
      <c r="A1637" s="5">
        <v>10345</v>
      </c>
      <c r="B1637" s="5">
        <v>43</v>
      </c>
      <c r="C1637" s="5">
        <v>53.76</v>
      </c>
      <c r="D1637" s="5">
        <v>2311.6799999999998</v>
      </c>
      <c r="E1637" s="5" t="str">
        <f t="shared" si="101"/>
        <v>Medium</v>
      </c>
      <c r="F1637" s="5">
        <f t="shared" si="102"/>
        <v>693.50399999999991</v>
      </c>
      <c r="G1637" s="6">
        <v>38316</v>
      </c>
      <c r="H1637" s="5" t="s">
        <v>25</v>
      </c>
      <c r="I1637" s="5" t="str">
        <f t="shared" si="100"/>
        <v>Yes</v>
      </c>
      <c r="J1637" s="5" t="s">
        <v>686</v>
      </c>
      <c r="K1637" s="5">
        <v>2004</v>
      </c>
      <c r="L1637" s="5" t="str">
        <f t="shared" si="103"/>
        <v>Nov-2004</v>
      </c>
      <c r="M1637" s="5" t="s">
        <v>550</v>
      </c>
      <c r="N1637" s="5" t="s">
        <v>312</v>
      </c>
      <c r="O1637" s="5" t="s">
        <v>41</v>
      </c>
      <c r="P1637" s="5" t="s">
        <v>42</v>
      </c>
      <c r="Q1637" s="5" t="s">
        <v>36</v>
      </c>
    </row>
    <row r="1638" spans="1:17" x14ac:dyDescent="0.25">
      <c r="A1638" s="3">
        <v>10356</v>
      </c>
      <c r="B1638" s="3">
        <v>26</v>
      </c>
      <c r="C1638" s="3">
        <v>31.86</v>
      </c>
      <c r="D1638" s="3">
        <v>828.36</v>
      </c>
      <c r="E1638" s="3" t="str">
        <f t="shared" si="101"/>
        <v>Low</v>
      </c>
      <c r="F1638" s="3">
        <f t="shared" si="102"/>
        <v>248.50799999999998</v>
      </c>
      <c r="G1638" s="4">
        <v>38330</v>
      </c>
      <c r="H1638" s="3" t="s">
        <v>25</v>
      </c>
      <c r="I1638" s="3" t="str">
        <f t="shared" si="100"/>
        <v>Yes</v>
      </c>
      <c r="J1638" s="3" t="s">
        <v>687</v>
      </c>
      <c r="K1638" s="3">
        <v>2004</v>
      </c>
      <c r="L1638" s="3" t="str">
        <f t="shared" si="103"/>
        <v>Dec-2004</v>
      </c>
      <c r="M1638" s="3" t="s">
        <v>550</v>
      </c>
      <c r="N1638" s="3" t="s">
        <v>45</v>
      </c>
      <c r="O1638" s="3" t="s">
        <v>41</v>
      </c>
      <c r="P1638" s="3" t="s">
        <v>42</v>
      </c>
      <c r="Q1638" s="3" t="s">
        <v>36</v>
      </c>
    </row>
    <row r="1639" spans="1:17" x14ac:dyDescent="0.25">
      <c r="A1639" s="5">
        <v>10367</v>
      </c>
      <c r="B1639" s="5">
        <v>28</v>
      </c>
      <c r="C1639" s="5">
        <v>30.59</v>
      </c>
      <c r="D1639" s="5">
        <v>856.52</v>
      </c>
      <c r="E1639" s="5" t="str">
        <f t="shared" si="101"/>
        <v>Low</v>
      </c>
      <c r="F1639" s="5">
        <f t="shared" si="102"/>
        <v>256.95599999999996</v>
      </c>
      <c r="G1639" s="6">
        <v>38364</v>
      </c>
      <c r="H1639" s="5" t="s">
        <v>408</v>
      </c>
      <c r="I1639" s="5" t="str">
        <f t="shared" si="100"/>
        <v>No</v>
      </c>
      <c r="J1639" s="5" t="s">
        <v>549</v>
      </c>
      <c r="K1639" s="5">
        <v>2005</v>
      </c>
      <c r="L1639" s="5" t="str">
        <f t="shared" si="103"/>
        <v>Jan-2005</v>
      </c>
      <c r="M1639" s="5" t="s">
        <v>550</v>
      </c>
      <c r="N1639" s="5" t="s">
        <v>52</v>
      </c>
      <c r="O1639" s="5" t="s">
        <v>32</v>
      </c>
      <c r="P1639" s="5" t="s">
        <v>33</v>
      </c>
      <c r="Q1639" s="5" t="s">
        <v>36</v>
      </c>
    </row>
    <row r="1640" spans="1:17" x14ac:dyDescent="0.25">
      <c r="A1640" s="3">
        <v>10380</v>
      </c>
      <c r="B1640" s="3">
        <v>27</v>
      </c>
      <c r="C1640" s="3">
        <v>68.349999999999994</v>
      </c>
      <c r="D1640" s="3">
        <v>1845.4499999999998</v>
      </c>
      <c r="E1640" s="3" t="str">
        <f t="shared" si="101"/>
        <v>Low</v>
      </c>
      <c r="F1640" s="3">
        <f t="shared" si="102"/>
        <v>553.63499999999988</v>
      </c>
      <c r="G1640" s="4">
        <v>38399</v>
      </c>
      <c r="H1640" s="3" t="s">
        <v>25</v>
      </c>
      <c r="I1640" s="3" t="str">
        <f t="shared" si="100"/>
        <v>Yes</v>
      </c>
      <c r="J1640" s="3" t="s">
        <v>681</v>
      </c>
      <c r="K1640" s="3">
        <v>2005</v>
      </c>
      <c r="L1640" s="3" t="str">
        <f t="shared" si="103"/>
        <v>Feb-2005</v>
      </c>
      <c r="M1640" s="3" t="s">
        <v>550</v>
      </c>
      <c r="N1640" s="3" t="s">
        <v>174</v>
      </c>
      <c r="O1640" s="3" t="s">
        <v>178</v>
      </c>
      <c r="P1640" s="3" t="s">
        <v>42</v>
      </c>
      <c r="Q1640" s="3" t="s">
        <v>36</v>
      </c>
    </row>
    <row r="1641" spans="1:17" x14ac:dyDescent="0.25">
      <c r="A1641" s="5">
        <v>10391</v>
      </c>
      <c r="B1641" s="5">
        <v>24</v>
      </c>
      <c r="C1641" s="5">
        <v>100</v>
      </c>
      <c r="D1641" s="5">
        <v>2400</v>
      </c>
      <c r="E1641" s="5" t="str">
        <f t="shared" si="101"/>
        <v>Medium</v>
      </c>
      <c r="F1641" s="5">
        <f t="shared" si="102"/>
        <v>720</v>
      </c>
      <c r="G1641" s="6">
        <v>38420</v>
      </c>
      <c r="H1641" s="5" t="s">
        <v>25</v>
      </c>
      <c r="I1641" s="5" t="str">
        <f t="shared" si="100"/>
        <v>Yes</v>
      </c>
      <c r="J1641" s="5" t="s">
        <v>691</v>
      </c>
      <c r="K1641" s="5">
        <v>2005</v>
      </c>
      <c r="L1641" s="5" t="str">
        <f t="shared" si="103"/>
        <v>Mar-2005</v>
      </c>
      <c r="M1641" s="5" t="s">
        <v>550</v>
      </c>
      <c r="N1641" s="5" t="s">
        <v>285</v>
      </c>
      <c r="O1641" s="5" t="s">
        <v>95</v>
      </c>
      <c r="P1641" s="5" t="s">
        <v>96</v>
      </c>
      <c r="Q1641" s="5" t="s">
        <v>51</v>
      </c>
    </row>
    <row r="1642" spans="1:17" x14ac:dyDescent="0.25">
      <c r="A1642" s="3">
        <v>10421</v>
      </c>
      <c r="B1642" s="3">
        <v>40</v>
      </c>
      <c r="C1642" s="3">
        <v>45.7</v>
      </c>
      <c r="D1642" s="3">
        <v>1828</v>
      </c>
      <c r="E1642" s="3" t="str">
        <f t="shared" si="101"/>
        <v>Low</v>
      </c>
      <c r="F1642" s="3">
        <f t="shared" si="102"/>
        <v>548.4</v>
      </c>
      <c r="G1642" s="4">
        <v>38501</v>
      </c>
      <c r="H1642" s="3" t="s">
        <v>300</v>
      </c>
      <c r="I1642" s="3" t="str">
        <f t="shared" si="100"/>
        <v>No</v>
      </c>
      <c r="J1642" s="3" t="s">
        <v>682</v>
      </c>
      <c r="K1642" s="3">
        <v>2005</v>
      </c>
      <c r="L1642" s="3" t="str">
        <f t="shared" si="103"/>
        <v>May-2005</v>
      </c>
      <c r="M1642" s="3" t="s">
        <v>550</v>
      </c>
      <c r="N1642" s="3" t="s">
        <v>272</v>
      </c>
      <c r="O1642" s="3" t="s">
        <v>32</v>
      </c>
      <c r="P1642" s="3" t="s">
        <v>33</v>
      </c>
      <c r="Q1642" s="3" t="s">
        <v>36</v>
      </c>
    </row>
    <row r="1643" spans="1:17" x14ac:dyDescent="0.25">
      <c r="A1643" s="5">
        <v>10103</v>
      </c>
      <c r="B1643" s="5">
        <v>36</v>
      </c>
      <c r="C1643" s="5">
        <v>100</v>
      </c>
      <c r="D1643" s="5">
        <v>3600</v>
      </c>
      <c r="E1643" s="5" t="str">
        <f t="shared" si="101"/>
        <v>Medium</v>
      </c>
      <c r="F1643" s="5">
        <f t="shared" si="102"/>
        <v>1080</v>
      </c>
      <c r="G1643" s="6">
        <v>37650</v>
      </c>
      <c r="H1643" s="5" t="s">
        <v>25</v>
      </c>
      <c r="I1643" s="5" t="str">
        <f t="shared" si="100"/>
        <v>Yes</v>
      </c>
      <c r="J1643" s="5" t="s">
        <v>549</v>
      </c>
      <c r="K1643" s="5">
        <v>2003</v>
      </c>
      <c r="L1643" s="5" t="str">
        <f t="shared" si="103"/>
        <v>Jan-2003</v>
      </c>
      <c r="M1643" s="5" t="s">
        <v>504</v>
      </c>
      <c r="N1643" s="5" t="s">
        <v>133</v>
      </c>
      <c r="O1643" s="5" t="s">
        <v>78</v>
      </c>
      <c r="P1643" s="5" t="s">
        <v>42</v>
      </c>
      <c r="Q1643" s="5" t="s">
        <v>51</v>
      </c>
    </row>
    <row r="1644" spans="1:17" x14ac:dyDescent="0.25">
      <c r="A1644" s="3">
        <v>10114</v>
      </c>
      <c r="B1644" s="3">
        <v>21</v>
      </c>
      <c r="C1644" s="3">
        <v>100</v>
      </c>
      <c r="D1644" s="3">
        <v>2100</v>
      </c>
      <c r="E1644" s="3" t="str">
        <f t="shared" si="101"/>
        <v>Medium</v>
      </c>
      <c r="F1644" s="3">
        <f t="shared" si="102"/>
        <v>630</v>
      </c>
      <c r="G1644" s="4">
        <v>37712</v>
      </c>
      <c r="H1644" s="3" t="s">
        <v>25</v>
      </c>
      <c r="I1644" s="3" t="str">
        <f t="shared" si="100"/>
        <v>Yes</v>
      </c>
      <c r="J1644" s="3" t="s">
        <v>688</v>
      </c>
      <c r="K1644" s="3">
        <v>2003</v>
      </c>
      <c r="L1644" s="3" t="str">
        <f t="shared" si="103"/>
        <v>Apr-2003</v>
      </c>
      <c r="M1644" s="3" t="s">
        <v>504</v>
      </c>
      <c r="N1644" s="3" t="s">
        <v>403</v>
      </c>
      <c r="O1644" s="3" t="s">
        <v>41</v>
      </c>
      <c r="P1644" s="3" t="s">
        <v>42</v>
      </c>
      <c r="Q1644" s="3" t="s">
        <v>36</v>
      </c>
    </row>
    <row r="1645" spans="1:17" x14ac:dyDescent="0.25">
      <c r="A1645" s="5">
        <v>10126</v>
      </c>
      <c r="B1645" s="5">
        <v>27</v>
      </c>
      <c r="C1645" s="5">
        <v>100</v>
      </c>
      <c r="D1645" s="5">
        <v>2700</v>
      </c>
      <c r="E1645" s="5" t="str">
        <f t="shared" si="101"/>
        <v>Medium</v>
      </c>
      <c r="F1645" s="5">
        <f t="shared" si="102"/>
        <v>810</v>
      </c>
      <c r="G1645" s="6">
        <v>37769</v>
      </c>
      <c r="H1645" s="5" t="s">
        <v>25</v>
      </c>
      <c r="I1645" s="5" t="str">
        <f t="shared" si="100"/>
        <v>Yes</v>
      </c>
      <c r="J1645" s="5" t="s">
        <v>682</v>
      </c>
      <c r="K1645" s="5">
        <v>2003</v>
      </c>
      <c r="L1645" s="5" t="str">
        <f t="shared" si="103"/>
        <v>May-2003</v>
      </c>
      <c r="M1645" s="5" t="s">
        <v>504</v>
      </c>
      <c r="N1645" s="5" t="s">
        <v>191</v>
      </c>
      <c r="O1645" s="5" t="s">
        <v>178</v>
      </c>
      <c r="P1645" s="5" t="s">
        <v>42</v>
      </c>
      <c r="Q1645" s="5" t="s">
        <v>51</v>
      </c>
    </row>
    <row r="1646" spans="1:17" x14ac:dyDescent="0.25">
      <c r="A1646" s="3">
        <v>10140</v>
      </c>
      <c r="B1646" s="3">
        <v>47</v>
      </c>
      <c r="C1646" s="3">
        <v>100</v>
      </c>
      <c r="D1646" s="3">
        <v>4700</v>
      </c>
      <c r="E1646" s="3" t="str">
        <f t="shared" si="101"/>
        <v>Medium</v>
      </c>
      <c r="F1646" s="3">
        <f t="shared" si="102"/>
        <v>1410</v>
      </c>
      <c r="G1646" s="4">
        <v>37826</v>
      </c>
      <c r="H1646" s="3" t="s">
        <v>25</v>
      </c>
      <c r="I1646" s="3" t="str">
        <f t="shared" si="100"/>
        <v>Yes</v>
      </c>
      <c r="J1646" s="3" t="s">
        <v>683</v>
      </c>
      <c r="K1646" s="3">
        <v>2003</v>
      </c>
      <c r="L1646" s="3" t="str">
        <f t="shared" si="103"/>
        <v>Jul-2003</v>
      </c>
      <c r="M1646" s="3" t="s">
        <v>504</v>
      </c>
      <c r="N1646" s="3" t="s">
        <v>62</v>
      </c>
      <c r="O1646" s="3" t="s">
        <v>32</v>
      </c>
      <c r="P1646" s="3" t="s">
        <v>33</v>
      </c>
      <c r="Q1646" s="3" t="s">
        <v>51</v>
      </c>
    </row>
    <row r="1647" spans="1:17" x14ac:dyDescent="0.25">
      <c r="A1647" s="5">
        <v>10151</v>
      </c>
      <c r="B1647" s="5">
        <v>42</v>
      </c>
      <c r="C1647" s="5">
        <v>100</v>
      </c>
      <c r="D1647" s="5">
        <v>4200</v>
      </c>
      <c r="E1647" s="5" t="str">
        <f t="shared" si="101"/>
        <v>Medium</v>
      </c>
      <c r="F1647" s="5">
        <f t="shared" si="102"/>
        <v>1260</v>
      </c>
      <c r="G1647" s="6">
        <v>37885</v>
      </c>
      <c r="H1647" s="5" t="s">
        <v>25</v>
      </c>
      <c r="I1647" s="5" t="str">
        <f t="shared" si="100"/>
        <v>Yes</v>
      </c>
      <c r="J1647" s="5" t="s">
        <v>690</v>
      </c>
      <c r="K1647" s="5">
        <v>2003</v>
      </c>
      <c r="L1647" s="5" t="str">
        <f t="shared" si="103"/>
        <v>Sep-2003</v>
      </c>
      <c r="M1647" s="5" t="s">
        <v>504</v>
      </c>
      <c r="N1647" s="5" t="s">
        <v>391</v>
      </c>
      <c r="O1647" s="5" t="s">
        <v>130</v>
      </c>
      <c r="P1647" s="5" t="s">
        <v>42</v>
      </c>
      <c r="Q1647" s="5" t="s">
        <v>51</v>
      </c>
    </row>
    <row r="1648" spans="1:17" x14ac:dyDescent="0.25">
      <c r="A1648" s="3">
        <v>10165</v>
      </c>
      <c r="B1648" s="3">
        <v>32</v>
      </c>
      <c r="C1648" s="3">
        <v>100</v>
      </c>
      <c r="D1648" s="3">
        <v>3200</v>
      </c>
      <c r="E1648" s="3" t="str">
        <f t="shared" si="101"/>
        <v>Medium</v>
      </c>
      <c r="F1648" s="3">
        <f t="shared" si="102"/>
        <v>960</v>
      </c>
      <c r="G1648" s="4">
        <v>37916</v>
      </c>
      <c r="H1648" s="3" t="s">
        <v>25</v>
      </c>
      <c r="I1648" s="3" t="str">
        <f t="shared" si="100"/>
        <v>Yes</v>
      </c>
      <c r="J1648" s="3" t="s">
        <v>685</v>
      </c>
      <c r="K1648" s="3">
        <v>2003</v>
      </c>
      <c r="L1648" s="3" t="str">
        <f t="shared" si="103"/>
        <v>Oct-2003</v>
      </c>
      <c r="M1648" s="3" t="s">
        <v>504</v>
      </c>
      <c r="N1648" s="3" t="s">
        <v>196</v>
      </c>
      <c r="O1648" s="3" t="s">
        <v>199</v>
      </c>
      <c r="P1648" s="3" t="s">
        <v>675</v>
      </c>
      <c r="Q1648" s="3" t="s">
        <v>51</v>
      </c>
    </row>
    <row r="1649" spans="1:17" x14ac:dyDescent="0.25">
      <c r="A1649" s="5">
        <v>10175</v>
      </c>
      <c r="B1649" s="5">
        <v>28</v>
      </c>
      <c r="C1649" s="5">
        <v>100</v>
      </c>
      <c r="D1649" s="5">
        <v>2800</v>
      </c>
      <c r="E1649" s="5" t="str">
        <f t="shared" si="101"/>
        <v>Medium</v>
      </c>
      <c r="F1649" s="5">
        <f t="shared" si="102"/>
        <v>840</v>
      </c>
      <c r="G1649" s="6">
        <v>37931</v>
      </c>
      <c r="H1649" s="5" t="s">
        <v>25</v>
      </c>
      <c r="I1649" s="5" t="str">
        <f t="shared" si="100"/>
        <v>Yes</v>
      </c>
      <c r="J1649" s="5" t="s">
        <v>686</v>
      </c>
      <c r="K1649" s="5">
        <v>2003</v>
      </c>
      <c r="L1649" s="5" t="str">
        <f t="shared" si="103"/>
        <v>Nov-2003</v>
      </c>
      <c r="M1649" s="5" t="s">
        <v>504</v>
      </c>
      <c r="N1649" s="5" t="s">
        <v>329</v>
      </c>
      <c r="O1649" s="5" t="s">
        <v>170</v>
      </c>
      <c r="P1649" s="5" t="s">
        <v>42</v>
      </c>
      <c r="Q1649" s="5" t="s">
        <v>36</v>
      </c>
    </row>
    <row r="1650" spans="1:17" x14ac:dyDescent="0.25">
      <c r="A1650" s="3">
        <v>10184</v>
      </c>
      <c r="B1650" s="3">
        <v>24</v>
      </c>
      <c r="C1650" s="3">
        <v>100</v>
      </c>
      <c r="D1650" s="3">
        <v>2400</v>
      </c>
      <c r="E1650" s="3" t="str">
        <f t="shared" si="101"/>
        <v>Medium</v>
      </c>
      <c r="F1650" s="3">
        <f t="shared" si="102"/>
        <v>720</v>
      </c>
      <c r="G1650" s="4">
        <v>37939</v>
      </c>
      <c r="H1650" s="3" t="s">
        <v>25</v>
      </c>
      <c r="I1650" s="3" t="str">
        <f t="shared" si="100"/>
        <v>Yes</v>
      </c>
      <c r="J1650" s="3" t="s">
        <v>686</v>
      </c>
      <c r="K1650" s="3">
        <v>2003</v>
      </c>
      <c r="L1650" s="3" t="str">
        <f t="shared" si="103"/>
        <v>Nov-2003</v>
      </c>
      <c r="M1650" s="3" t="s">
        <v>504</v>
      </c>
      <c r="N1650" s="3" t="s">
        <v>520</v>
      </c>
      <c r="O1650" s="3" t="s">
        <v>178</v>
      </c>
      <c r="P1650" s="3" t="s">
        <v>42</v>
      </c>
      <c r="Q1650" s="3" t="s">
        <v>51</v>
      </c>
    </row>
    <row r="1651" spans="1:17" x14ac:dyDescent="0.25">
      <c r="A1651" s="5">
        <v>10194</v>
      </c>
      <c r="B1651" s="5">
        <v>49</v>
      </c>
      <c r="C1651" s="5">
        <v>100</v>
      </c>
      <c r="D1651" s="5">
        <v>4900</v>
      </c>
      <c r="E1651" s="5" t="str">
        <f t="shared" si="101"/>
        <v>Medium</v>
      </c>
      <c r="F1651" s="5">
        <f t="shared" si="102"/>
        <v>1470</v>
      </c>
      <c r="G1651" s="6">
        <v>37950</v>
      </c>
      <c r="H1651" s="5" t="s">
        <v>25</v>
      </c>
      <c r="I1651" s="5" t="str">
        <f t="shared" si="100"/>
        <v>Yes</v>
      </c>
      <c r="J1651" s="5" t="s">
        <v>686</v>
      </c>
      <c r="K1651" s="5">
        <v>2003</v>
      </c>
      <c r="L1651" s="5" t="str">
        <f t="shared" si="103"/>
        <v>Nov-2003</v>
      </c>
      <c r="M1651" s="5" t="s">
        <v>504</v>
      </c>
      <c r="N1651" s="5" t="s">
        <v>219</v>
      </c>
      <c r="O1651" s="5" t="s">
        <v>41</v>
      </c>
      <c r="P1651" s="5" t="s">
        <v>42</v>
      </c>
      <c r="Q1651" s="5" t="s">
        <v>51</v>
      </c>
    </row>
    <row r="1652" spans="1:17" x14ac:dyDescent="0.25">
      <c r="A1652" s="3">
        <v>10207</v>
      </c>
      <c r="B1652" s="3">
        <v>46</v>
      </c>
      <c r="C1652" s="3">
        <v>100</v>
      </c>
      <c r="D1652" s="3">
        <v>4600</v>
      </c>
      <c r="E1652" s="3" t="str">
        <f t="shared" si="101"/>
        <v>Medium</v>
      </c>
      <c r="F1652" s="3">
        <f t="shared" si="102"/>
        <v>1380</v>
      </c>
      <c r="G1652" s="4">
        <v>37964</v>
      </c>
      <c r="H1652" s="3" t="s">
        <v>25</v>
      </c>
      <c r="I1652" s="3" t="str">
        <f t="shared" si="100"/>
        <v>Yes</v>
      </c>
      <c r="J1652" s="3" t="s">
        <v>687</v>
      </c>
      <c r="K1652" s="3">
        <v>2003</v>
      </c>
      <c r="L1652" s="3" t="str">
        <f t="shared" si="103"/>
        <v>Dec-2003</v>
      </c>
      <c r="M1652" s="3" t="s">
        <v>504</v>
      </c>
      <c r="N1652" s="3" t="s">
        <v>415</v>
      </c>
      <c r="O1652" s="3" t="s">
        <v>32</v>
      </c>
      <c r="P1652" s="3" t="s">
        <v>33</v>
      </c>
      <c r="Q1652" s="3" t="s">
        <v>51</v>
      </c>
    </row>
    <row r="1653" spans="1:17" x14ac:dyDescent="0.25">
      <c r="A1653" s="5">
        <v>10217</v>
      </c>
      <c r="B1653" s="5">
        <v>28</v>
      </c>
      <c r="C1653" s="5">
        <v>100</v>
      </c>
      <c r="D1653" s="5">
        <v>2800</v>
      </c>
      <c r="E1653" s="5" t="str">
        <f t="shared" si="101"/>
        <v>Medium</v>
      </c>
      <c r="F1653" s="5">
        <f t="shared" si="102"/>
        <v>840</v>
      </c>
      <c r="G1653" s="6">
        <v>38021</v>
      </c>
      <c r="H1653" s="5" t="s">
        <v>25</v>
      </c>
      <c r="I1653" s="5" t="str">
        <f t="shared" si="100"/>
        <v>Yes</v>
      </c>
      <c r="J1653" s="5" t="s">
        <v>681</v>
      </c>
      <c r="K1653" s="5">
        <v>2004</v>
      </c>
      <c r="L1653" s="5" t="str">
        <f t="shared" si="103"/>
        <v>Feb-2004</v>
      </c>
      <c r="M1653" s="5" t="s">
        <v>504</v>
      </c>
      <c r="N1653" s="5" t="s">
        <v>418</v>
      </c>
      <c r="O1653" s="5" t="s">
        <v>199</v>
      </c>
      <c r="P1653" s="5" t="s">
        <v>96</v>
      </c>
      <c r="Q1653" s="5" t="s">
        <v>51</v>
      </c>
    </row>
    <row r="1654" spans="1:17" x14ac:dyDescent="0.25">
      <c r="A1654" s="3">
        <v>10229</v>
      </c>
      <c r="B1654" s="3">
        <v>48</v>
      </c>
      <c r="C1654" s="3">
        <v>100</v>
      </c>
      <c r="D1654" s="3">
        <v>4800</v>
      </c>
      <c r="E1654" s="3" t="str">
        <f t="shared" si="101"/>
        <v>Medium</v>
      </c>
      <c r="F1654" s="3">
        <f t="shared" si="102"/>
        <v>1440</v>
      </c>
      <c r="G1654" s="4">
        <v>38057</v>
      </c>
      <c r="H1654" s="3" t="s">
        <v>25</v>
      </c>
      <c r="I1654" s="3" t="str">
        <f t="shared" si="100"/>
        <v>Yes</v>
      </c>
      <c r="J1654" s="3" t="s">
        <v>691</v>
      </c>
      <c r="K1654" s="3">
        <v>2004</v>
      </c>
      <c r="L1654" s="3" t="str">
        <f t="shared" si="103"/>
        <v>Mar-2004</v>
      </c>
      <c r="M1654" s="3" t="s">
        <v>504</v>
      </c>
      <c r="N1654" s="3" t="s">
        <v>272</v>
      </c>
      <c r="O1654" s="3" t="s">
        <v>32</v>
      </c>
      <c r="P1654" s="3" t="s">
        <v>33</v>
      </c>
      <c r="Q1654" s="3" t="s">
        <v>51</v>
      </c>
    </row>
    <row r="1655" spans="1:17" x14ac:dyDescent="0.25">
      <c r="A1655" s="5">
        <v>10246</v>
      </c>
      <c r="B1655" s="5">
        <v>29</v>
      </c>
      <c r="C1655" s="5">
        <v>100</v>
      </c>
      <c r="D1655" s="5">
        <v>2900</v>
      </c>
      <c r="E1655" s="5" t="str">
        <f t="shared" si="101"/>
        <v>Medium</v>
      </c>
      <c r="F1655" s="5">
        <f t="shared" si="102"/>
        <v>870</v>
      </c>
      <c r="G1655" s="6">
        <v>38112</v>
      </c>
      <c r="H1655" s="5" t="s">
        <v>25</v>
      </c>
      <c r="I1655" s="5" t="str">
        <f t="shared" si="100"/>
        <v>Yes</v>
      </c>
      <c r="J1655" s="5" t="s">
        <v>682</v>
      </c>
      <c r="K1655" s="5">
        <v>2004</v>
      </c>
      <c r="L1655" s="5" t="str">
        <f t="shared" si="103"/>
        <v>May-2004</v>
      </c>
      <c r="M1655" s="5" t="s">
        <v>504</v>
      </c>
      <c r="N1655" s="5" t="s">
        <v>174</v>
      </c>
      <c r="O1655" s="5" t="s">
        <v>178</v>
      </c>
      <c r="P1655" s="5" t="s">
        <v>42</v>
      </c>
      <c r="Q1655" s="5" t="s">
        <v>51</v>
      </c>
    </row>
    <row r="1656" spans="1:17" x14ac:dyDescent="0.25">
      <c r="A1656" s="3">
        <v>10259</v>
      </c>
      <c r="B1656" s="3">
        <v>47</v>
      </c>
      <c r="C1656" s="3">
        <v>100</v>
      </c>
      <c r="D1656" s="3">
        <v>4700</v>
      </c>
      <c r="E1656" s="3" t="str">
        <f t="shared" si="101"/>
        <v>Medium</v>
      </c>
      <c r="F1656" s="3">
        <f t="shared" si="102"/>
        <v>1410</v>
      </c>
      <c r="G1656" s="4">
        <v>38153</v>
      </c>
      <c r="H1656" s="3" t="s">
        <v>25</v>
      </c>
      <c r="I1656" s="3" t="str">
        <f t="shared" si="100"/>
        <v>Yes</v>
      </c>
      <c r="J1656" s="3" t="s">
        <v>689</v>
      </c>
      <c r="K1656" s="3">
        <v>2004</v>
      </c>
      <c r="L1656" s="3" t="str">
        <f t="shared" si="103"/>
        <v>Jun-2004</v>
      </c>
      <c r="M1656" s="3" t="s">
        <v>504</v>
      </c>
      <c r="N1656" s="3" t="s">
        <v>418</v>
      </c>
      <c r="O1656" s="3" t="s">
        <v>199</v>
      </c>
      <c r="P1656" s="3" t="s">
        <v>96</v>
      </c>
      <c r="Q1656" s="3" t="s">
        <v>51</v>
      </c>
    </row>
    <row r="1657" spans="1:17" x14ac:dyDescent="0.25">
      <c r="A1657" s="5">
        <v>10271</v>
      </c>
      <c r="B1657" s="5">
        <v>43</v>
      </c>
      <c r="C1657" s="5">
        <v>100</v>
      </c>
      <c r="D1657" s="5">
        <v>4300</v>
      </c>
      <c r="E1657" s="5" t="str">
        <f t="shared" si="101"/>
        <v>Medium</v>
      </c>
      <c r="F1657" s="5">
        <f t="shared" si="102"/>
        <v>1290</v>
      </c>
      <c r="G1657" s="6">
        <v>38188</v>
      </c>
      <c r="H1657" s="5" t="s">
        <v>25</v>
      </c>
      <c r="I1657" s="5" t="str">
        <f t="shared" si="100"/>
        <v>Yes</v>
      </c>
      <c r="J1657" s="5" t="s">
        <v>683</v>
      </c>
      <c r="K1657" s="5">
        <v>2004</v>
      </c>
      <c r="L1657" s="5" t="str">
        <f t="shared" si="103"/>
        <v>Jul-2004</v>
      </c>
      <c r="M1657" s="5" t="s">
        <v>504</v>
      </c>
      <c r="N1657" s="5" t="s">
        <v>272</v>
      </c>
      <c r="O1657" s="5" t="s">
        <v>32</v>
      </c>
      <c r="P1657" s="5" t="s">
        <v>33</v>
      </c>
      <c r="Q1657" s="5" t="s">
        <v>51</v>
      </c>
    </row>
    <row r="1658" spans="1:17" x14ac:dyDescent="0.25">
      <c r="A1658" s="3">
        <v>10281</v>
      </c>
      <c r="B1658" s="3">
        <v>25</v>
      </c>
      <c r="C1658" s="3">
        <v>100</v>
      </c>
      <c r="D1658" s="3">
        <v>2500</v>
      </c>
      <c r="E1658" s="3" t="str">
        <f t="shared" si="101"/>
        <v>Medium</v>
      </c>
      <c r="F1658" s="3">
        <f t="shared" si="102"/>
        <v>750</v>
      </c>
      <c r="G1658" s="4">
        <v>38218</v>
      </c>
      <c r="H1658" s="3" t="s">
        <v>25</v>
      </c>
      <c r="I1658" s="3" t="str">
        <f t="shared" si="100"/>
        <v>Yes</v>
      </c>
      <c r="J1658" s="3" t="s">
        <v>684</v>
      </c>
      <c r="K1658" s="3">
        <v>2004</v>
      </c>
      <c r="L1658" s="3" t="str">
        <f t="shared" si="103"/>
        <v>Aug-2004</v>
      </c>
      <c r="M1658" s="3" t="s">
        <v>504</v>
      </c>
      <c r="N1658" s="3" t="s">
        <v>139</v>
      </c>
      <c r="O1658" s="3" t="s">
        <v>32</v>
      </c>
      <c r="P1658" s="3" t="s">
        <v>33</v>
      </c>
      <c r="Q1658" s="3" t="s">
        <v>36</v>
      </c>
    </row>
    <row r="1659" spans="1:17" x14ac:dyDescent="0.25">
      <c r="A1659" s="5">
        <v>10291</v>
      </c>
      <c r="B1659" s="5">
        <v>48</v>
      </c>
      <c r="C1659" s="5">
        <v>100</v>
      </c>
      <c r="D1659" s="5">
        <v>4800</v>
      </c>
      <c r="E1659" s="5" t="str">
        <f t="shared" si="101"/>
        <v>Medium</v>
      </c>
      <c r="F1659" s="5">
        <f t="shared" si="102"/>
        <v>1440</v>
      </c>
      <c r="G1659" s="6">
        <v>38238</v>
      </c>
      <c r="H1659" s="5" t="s">
        <v>25</v>
      </c>
      <c r="I1659" s="5" t="str">
        <f t="shared" si="100"/>
        <v>Yes</v>
      </c>
      <c r="J1659" s="5" t="s">
        <v>690</v>
      </c>
      <c r="K1659" s="5">
        <v>2004</v>
      </c>
      <c r="L1659" s="5" t="str">
        <f t="shared" si="103"/>
        <v>Sep-2004</v>
      </c>
      <c r="M1659" s="5" t="s">
        <v>504</v>
      </c>
      <c r="N1659" s="5" t="s">
        <v>261</v>
      </c>
      <c r="O1659" s="5" t="s">
        <v>188</v>
      </c>
      <c r="P1659" s="5" t="s">
        <v>42</v>
      </c>
      <c r="Q1659" s="5" t="s">
        <v>51</v>
      </c>
    </row>
    <row r="1660" spans="1:17" x14ac:dyDescent="0.25">
      <c r="A1660" s="3">
        <v>10305</v>
      </c>
      <c r="B1660" s="3">
        <v>24</v>
      </c>
      <c r="C1660" s="3">
        <v>100</v>
      </c>
      <c r="D1660" s="3">
        <v>2400</v>
      </c>
      <c r="E1660" s="3" t="str">
        <f t="shared" si="101"/>
        <v>Medium</v>
      </c>
      <c r="F1660" s="3">
        <f t="shared" si="102"/>
        <v>720</v>
      </c>
      <c r="G1660" s="4">
        <v>38273</v>
      </c>
      <c r="H1660" s="3" t="s">
        <v>25</v>
      </c>
      <c r="I1660" s="3" t="str">
        <f t="shared" si="100"/>
        <v>Yes</v>
      </c>
      <c r="J1660" s="3" t="s">
        <v>685</v>
      </c>
      <c r="K1660" s="3">
        <v>2004</v>
      </c>
      <c r="L1660" s="3" t="str">
        <f t="shared" si="103"/>
        <v>Oct-2004</v>
      </c>
      <c r="M1660" s="3" t="s">
        <v>504</v>
      </c>
      <c r="N1660" s="3" t="s">
        <v>120</v>
      </c>
      <c r="O1660" s="3" t="s">
        <v>32</v>
      </c>
      <c r="P1660" s="3" t="s">
        <v>33</v>
      </c>
      <c r="Q1660" s="3" t="s">
        <v>51</v>
      </c>
    </row>
    <row r="1661" spans="1:17" x14ac:dyDescent="0.25">
      <c r="A1661" s="5">
        <v>10313</v>
      </c>
      <c r="B1661" s="5">
        <v>42</v>
      </c>
      <c r="C1661" s="5">
        <v>100</v>
      </c>
      <c r="D1661" s="5">
        <v>4200</v>
      </c>
      <c r="E1661" s="5" t="str">
        <f t="shared" si="101"/>
        <v>Medium</v>
      </c>
      <c r="F1661" s="5">
        <f t="shared" si="102"/>
        <v>1260</v>
      </c>
      <c r="G1661" s="6">
        <v>38282</v>
      </c>
      <c r="H1661" s="5" t="s">
        <v>25</v>
      </c>
      <c r="I1661" s="5" t="str">
        <f t="shared" si="100"/>
        <v>Yes</v>
      </c>
      <c r="J1661" s="5" t="s">
        <v>685</v>
      </c>
      <c r="K1661" s="5">
        <v>2004</v>
      </c>
      <c r="L1661" s="5" t="str">
        <f t="shared" si="103"/>
        <v>Oct-2004</v>
      </c>
      <c r="M1661" s="5" t="s">
        <v>504</v>
      </c>
      <c r="N1661" s="5" t="s">
        <v>225</v>
      </c>
      <c r="O1661" s="5" t="s">
        <v>231</v>
      </c>
      <c r="P1661" s="5" t="s">
        <v>33</v>
      </c>
      <c r="Q1661" s="5" t="s">
        <v>51</v>
      </c>
    </row>
    <row r="1662" spans="1:17" x14ac:dyDescent="0.25">
      <c r="A1662" s="3">
        <v>10324</v>
      </c>
      <c r="B1662" s="3">
        <v>31</v>
      </c>
      <c r="C1662" s="3">
        <v>100</v>
      </c>
      <c r="D1662" s="3">
        <v>3100</v>
      </c>
      <c r="E1662" s="3" t="str">
        <f t="shared" si="101"/>
        <v>Medium</v>
      </c>
      <c r="F1662" s="3">
        <f t="shared" si="102"/>
        <v>930</v>
      </c>
      <c r="G1662" s="4">
        <v>38296</v>
      </c>
      <c r="H1662" s="3" t="s">
        <v>25</v>
      </c>
      <c r="I1662" s="3" t="str">
        <f t="shared" si="100"/>
        <v>Yes</v>
      </c>
      <c r="J1662" s="3" t="s">
        <v>686</v>
      </c>
      <c r="K1662" s="3">
        <v>2004</v>
      </c>
      <c r="L1662" s="3" t="str">
        <f t="shared" si="103"/>
        <v>Nov-2004</v>
      </c>
      <c r="M1662" s="3" t="s">
        <v>504</v>
      </c>
      <c r="N1662" s="3" t="s">
        <v>99</v>
      </c>
      <c r="O1662" s="3" t="s">
        <v>32</v>
      </c>
      <c r="P1662" s="3" t="s">
        <v>33</v>
      </c>
      <c r="Q1662" s="3" t="s">
        <v>51</v>
      </c>
    </row>
    <row r="1663" spans="1:17" x14ac:dyDescent="0.25">
      <c r="A1663" s="5">
        <v>10334</v>
      </c>
      <c r="B1663" s="5">
        <v>42</v>
      </c>
      <c r="C1663" s="5">
        <v>100</v>
      </c>
      <c r="D1663" s="5">
        <v>4200</v>
      </c>
      <c r="E1663" s="5" t="str">
        <f t="shared" si="101"/>
        <v>Medium</v>
      </c>
      <c r="F1663" s="5">
        <f t="shared" si="102"/>
        <v>1260</v>
      </c>
      <c r="G1663" s="6">
        <v>38310</v>
      </c>
      <c r="H1663" s="5" t="s">
        <v>401</v>
      </c>
      <c r="I1663" s="5" t="str">
        <f t="shared" si="100"/>
        <v>No</v>
      </c>
      <c r="J1663" s="5" t="s">
        <v>686</v>
      </c>
      <c r="K1663" s="5">
        <v>2004</v>
      </c>
      <c r="L1663" s="5" t="str">
        <f t="shared" si="103"/>
        <v>Nov-2004</v>
      </c>
      <c r="M1663" s="5" t="s">
        <v>504</v>
      </c>
      <c r="N1663" s="5" t="s">
        <v>183</v>
      </c>
      <c r="O1663" s="5" t="s">
        <v>188</v>
      </c>
      <c r="P1663" s="5" t="s">
        <v>42</v>
      </c>
      <c r="Q1663" s="5" t="s">
        <v>51</v>
      </c>
    </row>
    <row r="1664" spans="1:17" x14ac:dyDescent="0.25">
      <c r="A1664" s="3">
        <v>10348</v>
      </c>
      <c r="B1664" s="3">
        <v>37</v>
      </c>
      <c r="C1664" s="3">
        <v>100</v>
      </c>
      <c r="D1664" s="3">
        <v>3700</v>
      </c>
      <c r="E1664" s="3" t="str">
        <f t="shared" si="101"/>
        <v>Medium</v>
      </c>
      <c r="F1664" s="3">
        <f t="shared" si="102"/>
        <v>1110</v>
      </c>
      <c r="G1664" s="4">
        <v>38292</v>
      </c>
      <c r="H1664" s="3" t="s">
        <v>25</v>
      </c>
      <c r="I1664" s="3" t="str">
        <f t="shared" si="100"/>
        <v>Yes</v>
      </c>
      <c r="J1664" s="3" t="s">
        <v>686</v>
      </c>
      <c r="K1664" s="3">
        <v>2004</v>
      </c>
      <c r="L1664" s="3" t="str">
        <f t="shared" si="103"/>
        <v>Nov-2004</v>
      </c>
      <c r="M1664" s="3" t="s">
        <v>504</v>
      </c>
      <c r="N1664" s="3" t="s">
        <v>191</v>
      </c>
      <c r="O1664" s="3" t="s">
        <v>178</v>
      </c>
      <c r="P1664" s="3" t="s">
        <v>42</v>
      </c>
      <c r="Q1664" s="3" t="s">
        <v>51</v>
      </c>
    </row>
    <row r="1665" spans="1:17" x14ac:dyDescent="0.25">
      <c r="A1665" s="5">
        <v>10358</v>
      </c>
      <c r="B1665" s="5">
        <v>41</v>
      </c>
      <c r="C1665" s="5">
        <v>100</v>
      </c>
      <c r="D1665" s="5">
        <v>4100</v>
      </c>
      <c r="E1665" s="5" t="str">
        <f t="shared" si="101"/>
        <v>Medium</v>
      </c>
      <c r="F1665" s="5">
        <f t="shared" si="102"/>
        <v>1230</v>
      </c>
      <c r="G1665" s="6">
        <v>38331</v>
      </c>
      <c r="H1665" s="5" t="s">
        <v>25</v>
      </c>
      <c r="I1665" s="5" t="str">
        <f t="shared" si="100"/>
        <v>Yes</v>
      </c>
      <c r="J1665" s="5" t="s">
        <v>687</v>
      </c>
      <c r="K1665" s="5">
        <v>2004</v>
      </c>
      <c r="L1665" s="5" t="str">
        <f t="shared" si="103"/>
        <v>Dec-2004</v>
      </c>
      <c r="M1665" s="5" t="s">
        <v>504</v>
      </c>
      <c r="N1665" s="5" t="s">
        <v>174</v>
      </c>
      <c r="O1665" s="5" t="s">
        <v>178</v>
      </c>
      <c r="P1665" s="5" t="s">
        <v>42</v>
      </c>
      <c r="Q1665" s="5" t="s">
        <v>51</v>
      </c>
    </row>
    <row r="1666" spans="1:17" x14ac:dyDescent="0.25">
      <c r="A1666" s="3">
        <v>10371</v>
      </c>
      <c r="B1666" s="3">
        <v>20</v>
      </c>
      <c r="C1666" s="3">
        <v>100</v>
      </c>
      <c r="D1666" s="3">
        <v>2000</v>
      </c>
      <c r="E1666" s="3" t="str">
        <f t="shared" si="101"/>
        <v>Medium</v>
      </c>
      <c r="F1666" s="3">
        <f t="shared" si="102"/>
        <v>600</v>
      </c>
      <c r="G1666" s="4">
        <v>38375</v>
      </c>
      <c r="H1666" s="3" t="s">
        <v>25</v>
      </c>
      <c r="I1666" s="3" t="str">
        <f t="shared" ref="I1666:I1729" si="104">IF(H1666="Shipped","Yes","No")</f>
        <v>Yes</v>
      </c>
      <c r="J1666" s="3" t="s">
        <v>549</v>
      </c>
      <c r="K1666" s="3">
        <v>2005</v>
      </c>
      <c r="L1666" s="3" t="str">
        <f t="shared" si="103"/>
        <v>Jan-2005</v>
      </c>
      <c r="M1666" s="3" t="s">
        <v>504</v>
      </c>
      <c r="N1666" s="3" t="s">
        <v>272</v>
      </c>
      <c r="O1666" s="3" t="s">
        <v>32</v>
      </c>
      <c r="P1666" s="3" t="s">
        <v>33</v>
      </c>
      <c r="Q1666" s="3" t="s">
        <v>51</v>
      </c>
    </row>
    <row r="1667" spans="1:17" x14ac:dyDescent="0.25">
      <c r="A1667" s="5">
        <v>10382</v>
      </c>
      <c r="B1667" s="5">
        <v>20</v>
      </c>
      <c r="C1667" s="5">
        <v>100</v>
      </c>
      <c r="D1667" s="5">
        <v>2000</v>
      </c>
      <c r="E1667" s="5" t="str">
        <f t="shared" ref="E1667:E1730" si="105">IF(D1667&gt;=5000,"High",IF(D1667&gt;=2000,"Medium","Low"))</f>
        <v>Medium</v>
      </c>
      <c r="F1667" s="5">
        <f t="shared" ref="F1667:F1730" si="106">(D1667*0.3)</f>
        <v>600</v>
      </c>
      <c r="G1667" s="6">
        <v>38400</v>
      </c>
      <c r="H1667" s="5" t="s">
        <v>25</v>
      </c>
      <c r="I1667" s="5" t="str">
        <f t="shared" si="104"/>
        <v>Yes</v>
      </c>
      <c r="J1667" s="5" t="s">
        <v>681</v>
      </c>
      <c r="K1667" s="5">
        <v>2005</v>
      </c>
      <c r="L1667" s="5" t="str">
        <f t="shared" ref="L1667:L1730" si="107">TEXT(G:G,"MMM-YYYY")</f>
        <v>Feb-2005</v>
      </c>
      <c r="M1667" s="5" t="s">
        <v>504</v>
      </c>
      <c r="N1667" s="5" t="s">
        <v>272</v>
      </c>
      <c r="O1667" s="5" t="s">
        <v>32</v>
      </c>
      <c r="P1667" s="5" t="s">
        <v>33</v>
      </c>
      <c r="Q1667" s="5" t="s">
        <v>36</v>
      </c>
    </row>
    <row r="1668" spans="1:17" x14ac:dyDescent="0.25">
      <c r="A1668" s="3">
        <v>10412</v>
      </c>
      <c r="B1668" s="3">
        <v>70</v>
      </c>
      <c r="C1668" s="3">
        <v>100</v>
      </c>
      <c r="D1668" s="3">
        <v>7000</v>
      </c>
      <c r="E1668" s="3" t="str">
        <f t="shared" si="105"/>
        <v>High</v>
      </c>
      <c r="F1668" s="3">
        <f t="shared" si="106"/>
        <v>2100</v>
      </c>
      <c r="G1668" s="4">
        <v>38475</v>
      </c>
      <c r="H1668" s="3" t="s">
        <v>25</v>
      </c>
      <c r="I1668" s="3" t="str">
        <f t="shared" si="104"/>
        <v>Yes</v>
      </c>
      <c r="J1668" s="3" t="s">
        <v>682</v>
      </c>
      <c r="K1668" s="3">
        <v>2005</v>
      </c>
      <c r="L1668" s="3" t="str">
        <f t="shared" si="107"/>
        <v>May-2005</v>
      </c>
      <c r="M1668" s="3" t="s">
        <v>504</v>
      </c>
      <c r="N1668" s="3" t="s">
        <v>174</v>
      </c>
      <c r="O1668" s="3" t="s">
        <v>178</v>
      </c>
      <c r="P1668" s="3" t="s">
        <v>42</v>
      </c>
      <c r="Q1668" s="3" t="s">
        <v>151</v>
      </c>
    </row>
    <row r="1669" spans="1:17" x14ac:dyDescent="0.25">
      <c r="A1669" s="5">
        <v>10425</v>
      </c>
      <c r="B1669" s="5">
        <v>49</v>
      </c>
      <c r="C1669" s="5">
        <v>100</v>
      </c>
      <c r="D1669" s="5">
        <v>4900</v>
      </c>
      <c r="E1669" s="5" t="str">
        <f t="shared" si="105"/>
        <v>Medium</v>
      </c>
      <c r="F1669" s="5">
        <f t="shared" si="106"/>
        <v>1470</v>
      </c>
      <c r="G1669" s="6">
        <v>38503</v>
      </c>
      <c r="H1669" s="5" t="s">
        <v>300</v>
      </c>
      <c r="I1669" s="5" t="str">
        <f t="shared" si="104"/>
        <v>No</v>
      </c>
      <c r="J1669" s="5" t="s">
        <v>682</v>
      </c>
      <c r="K1669" s="5">
        <v>2005</v>
      </c>
      <c r="L1669" s="5" t="str">
        <f t="shared" si="107"/>
        <v>May-2005</v>
      </c>
      <c r="M1669" s="5" t="s">
        <v>504</v>
      </c>
      <c r="N1669" s="5" t="s">
        <v>114</v>
      </c>
      <c r="O1669" s="5" t="s">
        <v>41</v>
      </c>
      <c r="P1669" s="5" t="s">
        <v>42</v>
      </c>
      <c r="Q1669" s="5" t="s">
        <v>51</v>
      </c>
    </row>
    <row r="1670" spans="1:17" x14ac:dyDescent="0.25">
      <c r="A1670" s="3">
        <v>10108</v>
      </c>
      <c r="B1670" s="3">
        <v>35</v>
      </c>
      <c r="C1670" s="3">
        <v>58.87</v>
      </c>
      <c r="D1670" s="3">
        <v>2060.4499999999998</v>
      </c>
      <c r="E1670" s="3" t="str">
        <f t="shared" si="105"/>
        <v>Medium</v>
      </c>
      <c r="F1670" s="3">
        <f t="shared" si="106"/>
        <v>618.13499999999988</v>
      </c>
      <c r="G1670" s="4">
        <v>37683</v>
      </c>
      <c r="H1670" s="3" t="s">
        <v>25</v>
      </c>
      <c r="I1670" s="3" t="str">
        <f t="shared" si="104"/>
        <v>Yes</v>
      </c>
      <c r="J1670" s="3" t="s">
        <v>691</v>
      </c>
      <c r="K1670" s="3">
        <v>2003</v>
      </c>
      <c r="L1670" s="3" t="str">
        <f t="shared" si="107"/>
        <v>Mar-2003</v>
      </c>
      <c r="M1670" s="3" t="s">
        <v>26</v>
      </c>
      <c r="N1670" s="3" t="s">
        <v>425</v>
      </c>
      <c r="O1670" s="3" t="s">
        <v>430</v>
      </c>
      <c r="P1670" s="3" t="s">
        <v>675</v>
      </c>
      <c r="Q1670" s="3" t="s">
        <v>36</v>
      </c>
    </row>
    <row r="1671" spans="1:17" x14ac:dyDescent="0.25">
      <c r="A1671" s="5">
        <v>10121</v>
      </c>
      <c r="B1671" s="5">
        <v>32</v>
      </c>
      <c r="C1671" s="5">
        <v>76.88</v>
      </c>
      <c r="D1671" s="5">
        <v>2460.16</v>
      </c>
      <c r="E1671" s="5" t="str">
        <f t="shared" si="105"/>
        <v>Medium</v>
      </c>
      <c r="F1671" s="5">
        <f t="shared" si="106"/>
        <v>738.04799999999989</v>
      </c>
      <c r="G1671" s="6">
        <v>37748</v>
      </c>
      <c r="H1671" s="5" t="s">
        <v>25</v>
      </c>
      <c r="I1671" s="5" t="str">
        <f t="shared" si="104"/>
        <v>Yes</v>
      </c>
      <c r="J1671" s="5" t="s">
        <v>682</v>
      </c>
      <c r="K1671" s="5">
        <v>2003</v>
      </c>
      <c r="L1671" s="5" t="str">
        <f t="shared" si="107"/>
        <v>May-2003</v>
      </c>
      <c r="M1671" s="5" t="s">
        <v>26</v>
      </c>
      <c r="N1671" s="5" t="s">
        <v>37</v>
      </c>
      <c r="O1671" s="5" t="s">
        <v>41</v>
      </c>
      <c r="P1671" s="5" t="s">
        <v>42</v>
      </c>
      <c r="Q1671" s="5" t="s">
        <v>36</v>
      </c>
    </row>
    <row r="1672" spans="1:17" x14ac:dyDescent="0.25">
      <c r="A1672" s="3">
        <v>10135</v>
      </c>
      <c r="B1672" s="3">
        <v>29</v>
      </c>
      <c r="C1672" s="3">
        <v>61.64</v>
      </c>
      <c r="D1672" s="3">
        <v>1787.56</v>
      </c>
      <c r="E1672" s="3" t="str">
        <f t="shared" si="105"/>
        <v>Low</v>
      </c>
      <c r="F1672" s="3">
        <f t="shared" si="106"/>
        <v>536.26799999999992</v>
      </c>
      <c r="G1672" s="4">
        <v>37804</v>
      </c>
      <c r="H1672" s="3" t="s">
        <v>25</v>
      </c>
      <c r="I1672" s="3" t="str">
        <f t="shared" si="104"/>
        <v>Yes</v>
      </c>
      <c r="J1672" s="3" t="s">
        <v>683</v>
      </c>
      <c r="K1672" s="3">
        <v>2003</v>
      </c>
      <c r="L1672" s="3" t="str">
        <f t="shared" si="107"/>
        <v>Jul-2003</v>
      </c>
      <c r="M1672" s="3" t="s">
        <v>26</v>
      </c>
      <c r="N1672" s="3" t="s">
        <v>272</v>
      </c>
      <c r="O1672" s="3" t="s">
        <v>32</v>
      </c>
      <c r="P1672" s="3" t="s">
        <v>33</v>
      </c>
      <c r="Q1672" s="3" t="s">
        <v>36</v>
      </c>
    </row>
    <row r="1673" spans="1:17" x14ac:dyDescent="0.25">
      <c r="A1673" s="5">
        <v>10145</v>
      </c>
      <c r="B1673" s="5">
        <v>27</v>
      </c>
      <c r="C1673" s="5">
        <v>60.95</v>
      </c>
      <c r="D1673" s="5">
        <v>1645.65</v>
      </c>
      <c r="E1673" s="5" t="str">
        <f t="shared" si="105"/>
        <v>Low</v>
      </c>
      <c r="F1673" s="5">
        <f t="shared" si="106"/>
        <v>493.69499999999999</v>
      </c>
      <c r="G1673" s="6">
        <v>37858</v>
      </c>
      <c r="H1673" s="5" t="s">
        <v>25</v>
      </c>
      <c r="I1673" s="5" t="str">
        <f t="shared" si="104"/>
        <v>Yes</v>
      </c>
      <c r="J1673" s="5" t="s">
        <v>684</v>
      </c>
      <c r="K1673" s="5">
        <v>2003</v>
      </c>
      <c r="L1673" s="5" t="str">
        <f t="shared" si="107"/>
        <v>Aug-2003</v>
      </c>
      <c r="M1673" s="5" t="s">
        <v>26</v>
      </c>
      <c r="N1673" s="5" t="s">
        <v>52</v>
      </c>
      <c r="O1673" s="5" t="s">
        <v>32</v>
      </c>
      <c r="P1673" s="5" t="s">
        <v>33</v>
      </c>
      <c r="Q1673" s="5" t="s">
        <v>36</v>
      </c>
    </row>
    <row r="1674" spans="1:17" x14ac:dyDescent="0.25">
      <c r="A1674" s="3">
        <v>10159</v>
      </c>
      <c r="B1674" s="3">
        <v>27</v>
      </c>
      <c r="C1674" s="3">
        <v>80.34</v>
      </c>
      <c r="D1674" s="3">
        <v>2169.1800000000003</v>
      </c>
      <c r="E1674" s="3" t="str">
        <f t="shared" si="105"/>
        <v>Medium</v>
      </c>
      <c r="F1674" s="3">
        <f t="shared" si="106"/>
        <v>650.75400000000002</v>
      </c>
      <c r="G1674" s="4">
        <v>37904</v>
      </c>
      <c r="H1674" s="3" t="s">
        <v>25</v>
      </c>
      <c r="I1674" s="3" t="str">
        <f t="shared" si="104"/>
        <v>Yes</v>
      </c>
      <c r="J1674" s="3" t="s">
        <v>685</v>
      </c>
      <c r="K1674" s="3">
        <v>2003</v>
      </c>
      <c r="L1674" s="3" t="str">
        <f t="shared" si="107"/>
        <v>Oct-2003</v>
      </c>
      <c r="M1674" s="3" t="s">
        <v>26</v>
      </c>
      <c r="N1674" s="3" t="s">
        <v>58</v>
      </c>
      <c r="O1674" s="3" t="s">
        <v>32</v>
      </c>
      <c r="P1674" s="3" t="s">
        <v>33</v>
      </c>
      <c r="Q1674" s="3" t="s">
        <v>36</v>
      </c>
    </row>
    <row r="1675" spans="1:17" x14ac:dyDescent="0.25">
      <c r="A1675" s="5">
        <v>10169</v>
      </c>
      <c r="B1675" s="5">
        <v>38</v>
      </c>
      <c r="C1675" s="5">
        <v>74.11</v>
      </c>
      <c r="D1675" s="5">
        <v>2816.18</v>
      </c>
      <c r="E1675" s="5" t="str">
        <f t="shared" si="105"/>
        <v>Medium</v>
      </c>
      <c r="F1675" s="5">
        <f t="shared" si="106"/>
        <v>844.85399999999993</v>
      </c>
      <c r="G1675" s="6">
        <v>37929</v>
      </c>
      <c r="H1675" s="5" t="s">
        <v>25</v>
      </c>
      <c r="I1675" s="5" t="str">
        <f t="shared" si="104"/>
        <v>Yes</v>
      </c>
      <c r="J1675" s="5" t="s">
        <v>686</v>
      </c>
      <c r="K1675" s="5">
        <v>2003</v>
      </c>
      <c r="L1675" s="5" t="str">
        <f t="shared" si="107"/>
        <v>Nov-2003</v>
      </c>
      <c r="M1675" s="5" t="s">
        <v>26</v>
      </c>
      <c r="N1675" s="5" t="s">
        <v>285</v>
      </c>
      <c r="O1675" s="5" t="s">
        <v>95</v>
      </c>
      <c r="P1675" s="5" t="s">
        <v>96</v>
      </c>
      <c r="Q1675" s="5" t="s">
        <v>36</v>
      </c>
    </row>
    <row r="1676" spans="1:17" x14ac:dyDescent="0.25">
      <c r="A1676" s="3">
        <v>10180</v>
      </c>
      <c r="B1676" s="3">
        <v>35</v>
      </c>
      <c r="C1676" s="3">
        <v>72.03</v>
      </c>
      <c r="D1676" s="3">
        <v>2521.0500000000002</v>
      </c>
      <c r="E1676" s="3" t="str">
        <f t="shared" si="105"/>
        <v>Medium</v>
      </c>
      <c r="F1676" s="3">
        <f t="shared" si="106"/>
        <v>756.31500000000005</v>
      </c>
      <c r="G1676" s="4">
        <v>37936</v>
      </c>
      <c r="H1676" s="3" t="s">
        <v>25</v>
      </c>
      <c r="I1676" s="3" t="str">
        <f t="shared" si="104"/>
        <v>Yes</v>
      </c>
      <c r="J1676" s="3" t="s">
        <v>686</v>
      </c>
      <c r="K1676" s="3">
        <v>2003</v>
      </c>
      <c r="L1676" s="3" t="str">
        <f t="shared" si="107"/>
        <v>Nov-2003</v>
      </c>
      <c r="M1676" s="3" t="s">
        <v>26</v>
      </c>
      <c r="N1676" s="3" t="s">
        <v>67</v>
      </c>
      <c r="O1676" s="3" t="s">
        <v>41</v>
      </c>
      <c r="P1676" s="3" t="s">
        <v>42</v>
      </c>
      <c r="Q1676" s="3" t="s">
        <v>36</v>
      </c>
    </row>
    <row r="1677" spans="1:17" x14ac:dyDescent="0.25">
      <c r="A1677" s="5">
        <v>10190</v>
      </c>
      <c r="B1677" s="5">
        <v>42</v>
      </c>
      <c r="C1677" s="5">
        <v>76.19</v>
      </c>
      <c r="D1677" s="5">
        <v>3199.98</v>
      </c>
      <c r="E1677" s="5" t="str">
        <f t="shared" si="105"/>
        <v>Medium</v>
      </c>
      <c r="F1677" s="5">
        <f t="shared" si="106"/>
        <v>959.99399999999991</v>
      </c>
      <c r="G1677" s="6">
        <v>37944</v>
      </c>
      <c r="H1677" s="5" t="s">
        <v>25</v>
      </c>
      <c r="I1677" s="5" t="str">
        <f t="shared" si="104"/>
        <v>Yes</v>
      </c>
      <c r="J1677" s="5" t="s">
        <v>686</v>
      </c>
      <c r="K1677" s="5">
        <v>2003</v>
      </c>
      <c r="L1677" s="5" t="str">
        <f t="shared" si="107"/>
        <v>Nov-2003</v>
      </c>
      <c r="M1677" s="5" t="s">
        <v>26</v>
      </c>
      <c r="N1677" s="5" t="s">
        <v>174</v>
      </c>
      <c r="O1677" s="5" t="s">
        <v>178</v>
      </c>
      <c r="P1677" s="5" t="s">
        <v>42</v>
      </c>
      <c r="Q1677" s="5" t="s">
        <v>51</v>
      </c>
    </row>
    <row r="1678" spans="1:17" x14ac:dyDescent="0.25">
      <c r="A1678" s="3">
        <v>10211</v>
      </c>
      <c r="B1678" s="3">
        <v>21</v>
      </c>
      <c r="C1678" s="3">
        <v>63.72</v>
      </c>
      <c r="D1678" s="3">
        <v>1338.12</v>
      </c>
      <c r="E1678" s="3" t="str">
        <f t="shared" si="105"/>
        <v>Low</v>
      </c>
      <c r="F1678" s="3">
        <f t="shared" si="106"/>
        <v>401.43599999999998</v>
      </c>
      <c r="G1678" s="4">
        <v>38001</v>
      </c>
      <c r="H1678" s="3" t="s">
        <v>25</v>
      </c>
      <c r="I1678" s="3" t="str">
        <f t="shared" si="104"/>
        <v>Yes</v>
      </c>
      <c r="J1678" s="3" t="s">
        <v>549</v>
      </c>
      <c r="K1678" s="3">
        <v>2004</v>
      </c>
      <c r="L1678" s="3" t="str">
        <f t="shared" si="107"/>
        <v>Jan-2004</v>
      </c>
      <c r="M1678" s="3" t="s">
        <v>26</v>
      </c>
      <c r="N1678" s="3" t="s">
        <v>84</v>
      </c>
      <c r="O1678" s="3" t="s">
        <v>41</v>
      </c>
      <c r="P1678" s="3" t="s">
        <v>42</v>
      </c>
      <c r="Q1678" s="3" t="s">
        <v>36</v>
      </c>
    </row>
    <row r="1679" spans="1:17" x14ac:dyDescent="0.25">
      <c r="A1679" s="5">
        <v>10224</v>
      </c>
      <c r="B1679" s="5">
        <v>37</v>
      </c>
      <c r="C1679" s="5">
        <v>80.34</v>
      </c>
      <c r="D1679" s="5">
        <v>2972.58</v>
      </c>
      <c r="E1679" s="5" t="str">
        <f t="shared" si="105"/>
        <v>Medium</v>
      </c>
      <c r="F1679" s="5">
        <f t="shared" si="106"/>
        <v>891.774</v>
      </c>
      <c r="G1679" s="6">
        <v>38038</v>
      </c>
      <c r="H1679" s="5" t="s">
        <v>25</v>
      </c>
      <c r="I1679" s="5" t="str">
        <f t="shared" si="104"/>
        <v>Yes</v>
      </c>
      <c r="J1679" s="5" t="s">
        <v>681</v>
      </c>
      <c r="K1679" s="5">
        <v>2004</v>
      </c>
      <c r="L1679" s="5" t="str">
        <f t="shared" si="107"/>
        <v>Feb-2004</v>
      </c>
      <c r="M1679" s="5" t="s">
        <v>26</v>
      </c>
      <c r="N1679" s="5" t="s">
        <v>67</v>
      </c>
      <c r="O1679" s="5" t="s">
        <v>41</v>
      </c>
      <c r="P1679" s="5" t="s">
        <v>42</v>
      </c>
      <c r="Q1679" s="5" t="s">
        <v>36</v>
      </c>
    </row>
    <row r="1680" spans="1:17" x14ac:dyDescent="0.25">
      <c r="A1680" s="3">
        <v>10237</v>
      </c>
      <c r="B1680" s="3">
        <v>26</v>
      </c>
      <c r="C1680" s="3">
        <v>79.650000000000006</v>
      </c>
      <c r="D1680" s="3">
        <v>2070.9</v>
      </c>
      <c r="E1680" s="3" t="str">
        <f t="shared" si="105"/>
        <v>Medium</v>
      </c>
      <c r="F1680" s="3">
        <f t="shared" si="106"/>
        <v>621.27</v>
      </c>
      <c r="G1680" s="4">
        <v>38082</v>
      </c>
      <c r="H1680" s="3" t="s">
        <v>25</v>
      </c>
      <c r="I1680" s="3" t="str">
        <f t="shared" si="104"/>
        <v>Yes</v>
      </c>
      <c r="J1680" s="3" t="s">
        <v>688</v>
      </c>
      <c r="K1680" s="3">
        <v>2004</v>
      </c>
      <c r="L1680" s="3" t="str">
        <f t="shared" si="107"/>
        <v>Apr-2004</v>
      </c>
      <c r="M1680" s="3" t="s">
        <v>26</v>
      </c>
      <c r="N1680" s="3" t="s">
        <v>99</v>
      </c>
      <c r="O1680" s="3" t="s">
        <v>32</v>
      </c>
      <c r="P1680" s="3" t="s">
        <v>33</v>
      </c>
      <c r="Q1680" s="3" t="s">
        <v>36</v>
      </c>
    </row>
    <row r="1681" spans="1:17" x14ac:dyDescent="0.25">
      <c r="A1681" s="5">
        <v>10252</v>
      </c>
      <c r="B1681" s="5">
        <v>47</v>
      </c>
      <c r="C1681" s="5">
        <v>65.8</v>
      </c>
      <c r="D1681" s="5">
        <v>3092.6</v>
      </c>
      <c r="E1681" s="5" t="str">
        <f t="shared" si="105"/>
        <v>Medium</v>
      </c>
      <c r="F1681" s="5">
        <f t="shared" si="106"/>
        <v>927.78</v>
      </c>
      <c r="G1681" s="6">
        <v>38133</v>
      </c>
      <c r="H1681" s="5" t="s">
        <v>25</v>
      </c>
      <c r="I1681" s="5" t="str">
        <f t="shared" si="104"/>
        <v>Yes</v>
      </c>
      <c r="J1681" s="5" t="s">
        <v>682</v>
      </c>
      <c r="K1681" s="5">
        <v>2004</v>
      </c>
      <c r="L1681" s="5" t="str">
        <f t="shared" si="107"/>
        <v>May-2004</v>
      </c>
      <c r="M1681" s="5" t="s">
        <v>26</v>
      </c>
      <c r="N1681" s="5" t="s">
        <v>84</v>
      </c>
      <c r="O1681" s="5" t="s">
        <v>41</v>
      </c>
      <c r="P1681" s="5" t="s">
        <v>42</v>
      </c>
      <c r="Q1681" s="5" t="s">
        <v>51</v>
      </c>
    </row>
    <row r="1682" spans="1:17" x14ac:dyDescent="0.25">
      <c r="A1682" s="3">
        <v>10264</v>
      </c>
      <c r="B1682" s="3">
        <v>37</v>
      </c>
      <c r="C1682" s="3">
        <v>65.099999999999994</v>
      </c>
      <c r="D1682" s="3">
        <v>2408.6999999999998</v>
      </c>
      <c r="E1682" s="3" t="str">
        <f t="shared" si="105"/>
        <v>Medium</v>
      </c>
      <c r="F1682" s="3">
        <f t="shared" si="106"/>
        <v>722.6099999999999</v>
      </c>
      <c r="G1682" s="4">
        <v>38168</v>
      </c>
      <c r="H1682" s="3" t="s">
        <v>25</v>
      </c>
      <c r="I1682" s="3" t="str">
        <f t="shared" si="104"/>
        <v>Yes</v>
      </c>
      <c r="J1682" s="3" t="s">
        <v>689</v>
      </c>
      <c r="K1682" s="3">
        <v>2004</v>
      </c>
      <c r="L1682" s="3" t="str">
        <f t="shared" si="107"/>
        <v>Jun-2004</v>
      </c>
      <c r="M1682" s="3" t="s">
        <v>26</v>
      </c>
      <c r="N1682" s="3" t="s">
        <v>379</v>
      </c>
      <c r="O1682" s="3" t="s">
        <v>32</v>
      </c>
      <c r="P1682" s="3" t="s">
        <v>33</v>
      </c>
      <c r="Q1682" s="3" t="s">
        <v>36</v>
      </c>
    </row>
    <row r="1683" spans="1:17" x14ac:dyDescent="0.25">
      <c r="A1683" s="5">
        <v>10276</v>
      </c>
      <c r="B1683" s="5">
        <v>46</v>
      </c>
      <c r="C1683" s="5">
        <v>75.489999999999995</v>
      </c>
      <c r="D1683" s="5">
        <v>3472.54</v>
      </c>
      <c r="E1683" s="5" t="str">
        <f t="shared" si="105"/>
        <v>Medium</v>
      </c>
      <c r="F1683" s="5">
        <f t="shared" si="106"/>
        <v>1041.7619999999999</v>
      </c>
      <c r="G1683" s="6">
        <v>38201</v>
      </c>
      <c r="H1683" s="5" t="s">
        <v>25</v>
      </c>
      <c r="I1683" s="5" t="str">
        <f t="shared" si="104"/>
        <v>Yes</v>
      </c>
      <c r="J1683" s="5" t="s">
        <v>684</v>
      </c>
      <c r="K1683" s="5">
        <v>2004</v>
      </c>
      <c r="L1683" s="5" t="str">
        <f t="shared" si="107"/>
        <v>Aug-2004</v>
      </c>
      <c r="M1683" s="5" t="s">
        <v>26</v>
      </c>
      <c r="N1683" s="5" t="s">
        <v>458</v>
      </c>
      <c r="O1683" s="5" t="s">
        <v>32</v>
      </c>
      <c r="P1683" s="5" t="s">
        <v>33</v>
      </c>
      <c r="Q1683" s="5" t="s">
        <v>51</v>
      </c>
    </row>
    <row r="1684" spans="1:17" x14ac:dyDescent="0.25">
      <c r="A1684" s="3">
        <v>10285</v>
      </c>
      <c r="B1684" s="3">
        <v>38</v>
      </c>
      <c r="C1684" s="3">
        <v>59.56</v>
      </c>
      <c r="D1684" s="3">
        <v>2263.2800000000002</v>
      </c>
      <c r="E1684" s="3" t="str">
        <f t="shared" si="105"/>
        <v>Medium</v>
      </c>
      <c r="F1684" s="3">
        <f t="shared" si="106"/>
        <v>678.98400000000004</v>
      </c>
      <c r="G1684" s="4">
        <v>38226</v>
      </c>
      <c r="H1684" s="3" t="s">
        <v>25</v>
      </c>
      <c r="I1684" s="3" t="str">
        <f t="shared" si="104"/>
        <v>Yes</v>
      </c>
      <c r="J1684" s="3" t="s">
        <v>684</v>
      </c>
      <c r="K1684" s="3">
        <v>2004</v>
      </c>
      <c r="L1684" s="3" t="str">
        <f t="shared" si="107"/>
        <v>Aug-2004</v>
      </c>
      <c r="M1684" s="3" t="s">
        <v>26</v>
      </c>
      <c r="N1684" s="3" t="s">
        <v>120</v>
      </c>
      <c r="O1684" s="3" t="s">
        <v>32</v>
      </c>
      <c r="P1684" s="3" t="s">
        <v>33</v>
      </c>
      <c r="Q1684" s="3" t="s">
        <v>36</v>
      </c>
    </row>
    <row r="1685" spans="1:17" x14ac:dyDescent="0.25">
      <c r="A1685" s="5">
        <v>10299</v>
      </c>
      <c r="B1685" s="5">
        <v>33</v>
      </c>
      <c r="C1685" s="5">
        <v>66.489999999999995</v>
      </c>
      <c r="D1685" s="5">
        <v>2194.1699999999996</v>
      </c>
      <c r="E1685" s="5" t="str">
        <f t="shared" si="105"/>
        <v>Medium</v>
      </c>
      <c r="F1685" s="5">
        <f t="shared" si="106"/>
        <v>658.25099999999986</v>
      </c>
      <c r="G1685" s="6">
        <v>38260</v>
      </c>
      <c r="H1685" s="5" t="s">
        <v>25</v>
      </c>
      <c r="I1685" s="5" t="str">
        <f t="shared" si="104"/>
        <v>Yes</v>
      </c>
      <c r="J1685" s="5" t="s">
        <v>690</v>
      </c>
      <c r="K1685" s="5">
        <v>2004</v>
      </c>
      <c r="L1685" s="5" t="str">
        <f t="shared" si="107"/>
        <v>Sep-2004</v>
      </c>
      <c r="M1685" s="5" t="s">
        <v>26</v>
      </c>
      <c r="N1685" s="5" t="s">
        <v>126</v>
      </c>
      <c r="O1685" s="5" t="s">
        <v>130</v>
      </c>
      <c r="P1685" s="5" t="s">
        <v>42</v>
      </c>
      <c r="Q1685" s="5" t="s">
        <v>36</v>
      </c>
    </row>
    <row r="1686" spans="1:17" x14ac:dyDescent="0.25">
      <c r="A1686" s="3">
        <v>10309</v>
      </c>
      <c r="B1686" s="3">
        <v>24</v>
      </c>
      <c r="C1686" s="3">
        <v>56.1</v>
      </c>
      <c r="D1686" s="3">
        <v>1346.4</v>
      </c>
      <c r="E1686" s="3" t="str">
        <f t="shared" si="105"/>
        <v>Low</v>
      </c>
      <c r="F1686" s="3">
        <f t="shared" si="106"/>
        <v>403.92</v>
      </c>
      <c r="G1686" s="4">
        <v>38275</v>
      </c>
      <c r="H1686" s="3" t="s">
        <v>25</v>
      </c>
      <c r="I1686" s="3" t="str">
        <f t="shared" si="104"/>
        <v>Yes</v>
      </c>
      <c r="J1686" s="3" t="s">
        <v>685</v>
      </c>
      <c r="K1686" s="3">
        <v>2004</v>
      </c>
      <c r="L1686" s="3" t="str">
        <f t="shared" si="107"/>
        <v>Oct-2004</v>
      </c>
      <c r="M1686" s="3" t="s">
        <v>26</v>
      </c>
      <c r="N1686" s="3" t="s">
        <v>133</v>
      </c>
      <c r="O1686" s="3" t="s">
        <v>78</v>
      </c>
      <c r="P1686" s="3" t="s">
        <v>42</v>
      </c>
      <c r="Q1686" s="3" t="s">
        <v>36</v>
      </c>
    </row>
    <row r="1687" spans="1:17" x14ac:dyDescent="0.25">
      <c r="A1687" s="5">
        <v>10319</v>
      </c>
      <c r="B1687" s="5">
        <v>31</v>
      </c>
      <c r="C1687" s="5">
        <v>81.73</v>
      </c>
      <c r="D1687" s="5">
        <v>2533.63</v>
      </c>
      <c r="E1687" s="5" t="str">
        <f t="shared" si="105"/>
        <v>Medium</v>
      </c>
      <c r="F1687" s="5">
        <f t="shared" si="106"/>
        <v>760.08900000000006</v>
      </c>
      <c r="G1687" s="6">
        <v>38294</v>
      </c>
      <c r="H1687" s="5" t="s">
        <v>25</v>
      </c>
      <c r="I1687" s="5" t="str">
        <f t="shared" si="104"/>
        <v>Yes</v>
      </c>
      <c r="J1687" s="5" t="s">
        <v>686</v>
      </c>
      <c r="K1687" s="5">
        <v>2004</v>
      </c>
      <c r="L1687" s="5" t="str">
        <f t="shared" si="107"/>
        <v>Nov-2004</v>
      </c>
      <c r="M1687" s="5" t="s">
        <v>26</v>
      </c>
      <c r="N1687" s="5" t="s">
        <v>507</v>
      </c>
      <c r="O1687" s="5" t="s">
        <v>32</v>
      </c>
      <c r="P1687" s="5" t="s">
        <v>33</v>
      </c>
      <c r="Q1687" s="5" t="s">
        <v>36</v>
      </c>
    </row>
    <row r="1688" spans="1:17" x14ac:dyDescent="0.25">
      <c r="A1688" s="3">
        <v>10330</v>
      </c>
      <c r="B1688" s="3">
        <v>42</v>
      </c>
      <c r="C1688" s="3">
        <v>81.03</v>
      </c>
      <c r="D1688" s="3">
        <v>3403.26</v>
      </c>
      <c r="E1688" s="3" t="str">
        <f t="shared" si="105"/>
        <v>Medium</v>
      </c>
      <c r="F1688" s="3">
        <f t="shared" si="106"/>
        <v>1020.9780000000001</v>
      </c>
      <c r="G1688" s="4">
        <v>38307</v>
      </c>
      <c r="H1688" s="3" t="s">
        <v>25</v>
      </c>
      <c r="I1688" s="3" t="str">
        <f t="shared" si="104"/>
        <v>Yes</v>
      </c>
      <c r="J1688" s="3" t="s">
        <v>686</v>
      </c>
      <c r="K1688" s="3">
        <v>2004</v>
      </c>
      <c r="L1688" s="3" t="str">
        <f t="shared" si="107"/>
        <v>Nov-2004</v>
      </c>
      <c r="M1688" s="3" t="s">
        <v>26</v>
      </c>
      <c r="N1688" s="3" t="s">
        <v>425</v>
      </c>
      <c r="O1688" s="3" t="s">
        <v>430</v>
      </c>
      <c r="P1688" s="3" t="s">
        <v>675</v>
      </c>
      <c r="Q1688" s="3" t="s">
        <v>51</v>
      </c>
    </row>
    <row r="1689" spans="1:17" x14ac:dyDescent="0.25">
      <c r="A1689" s="5">
        <v>10341</v>
      </c>
      <c r="B1689" s="5">
        <v>32</v>
      </c>
      <c r="C1689" s="5">
        <v>100</v>
      </c>
      <c r="D1689" s="5">
        <v>3200</v>
      </c>
      <c r="E1689" s="5" t="str">
        <f t="shared" si="105"/>
        <v>Medium</v>
      </c>
      <c r="F1689" s="5">
        <f t="shared" si="106"/>
        <v>960</v>
      </c>
      <c r="G1689" s="6">
        <v>38315</v>
      </c>
      <c r="H1689" s="5" t="s">
        <v>25</v>
      </c>
      <c r="I1689" s="5" t="str">
        <f t="shared" si="104"/>
        <v>Yes</v>
      </c>
      <c r="J1689" s="5" t="s">
        <v>686</v>
      </c>
      <c r="K1689" s="5">
        <v>2004</v>
      </c>
      <c r="L1689" s="5" t="str">
        <f t="shared" si="107"/>
        <v>Nov-2004</v>
      </c>
      <c r="M1689" s="5" t="s">
        <v>26</v>
      </c>
      <c r="N1689" s="5" t="s">
        <v>144</v>
      </c>
      <c r="O1689" s="5" t="s">
        <v>148</v>
      </c>
      <c r="P1689" s="5" t="s">
        <v>42</v>
      </c>
      <c r="Q1689" s="5" t="s">
        <v>51</v>
      </c>
    </row>
    <row r="1690" spans="1:17" x14ac:dyDescent="0.25">
      <c r="A1690" s="3">
        <v>10355</v>
      </c>
      <c r="B1690" s="3">
        <v>41</v>
      </c>
      <c r="C1690" s="3">
        <v>70.650000000000006</v>
      </c>
      <c r="D1690" s="3">
        <v>2896.65</v>
      </c>
      <c r="E1690" s="3" t="str">
        <f t="shared" si="105"/>
        <v>Medium</v>
      </c>
      <c r="F1690" s="3">
        <f t="shared" si="106"/>
        <v>868.995</v>
      </c>
      <c r="G1690" s="4">
        <v>38328</v>
      </c>
      <c r="H1690" s="3" t="s">
        <v>25</v>
      </c>
      <c r="I1690" s="3" t="str">
        <f t="shared" si="104"/>
        <v>Yes</v>
      </c>
      <c r="J1690" s="3" t="s">
        <v>687</v>
      </c>
      <c r="K1690" s="3">
        <v>2004</v>
      </c>
      <c r="L1690" s="3" t="str">
        <f t="shared" si="107"/>
        <v>Dec-2004</v>
      </c>
      <c r="M1690" s="3" t="s">
        <v>26</v>
      </c>
      <c r="N1690" s="3" t="s">
        <v>174</v>
      </c>
      <c r="O1690" s="3" t="s">
        <v>178</v>
      </c>
      <c r="P1690" s="3" t="s">
        <v>42</v>
      </c>
      <c r="Q1690" s="3" t="s">
        <v>36</v>
      </c>
    </row>
    <row r="1691" spans="1:17" x14ac:dyDescent="0.25">
      <c r="A1691" s="5">
        <v>10363</v>
      </c>
      <c r="B1691" s="5">
        <v>43</v>
      </c>
      <c r="C1691" s="5">
        <v>61.23</v>
      </c>
      <c r="D1691" s="5">
        <v>2632.89</v>
      </c>
      <c r="E1691" s="5" t="str">
        <f t="shared" si="105"/>
        <v>Medium</v>
      </c>
      <c r="F1691" s="5">
        <f t="shared" si="106"/>
        <v>789.86699999999996</v>
      </c>
      <c r="G1691" s="6">
        <v>38358</v>
      </c>
      <c r="H1691" s="5" t="s">
        <v>25</v>
      </c>
      <c r="I1691" s="5" t="str">
        <f t="shared" si="104"/>
        <v>Yes</v>
      </c>
      <c r="J1691" s="5" t="s">
        <v>549</v>
      </c>
      <c r="K1691" s="5">
        <v>2005</v>
      </c>
      <c r="L1691" s="5" t="str">
        <f t="shared" si="107"/>
        <v>Jan-2005</v>
      </c>
      <c r="M1691" s="5" t="s">
        <v>26</v>
      </c>
      <c r="N1691" s="5" t="s">
        <v>467</v>
      </c>
      <c r="O1691" s="5" t="s">
        <v>130</v>
      </c>
      <c r="P1691" s="5" t="s">
        <v>42</v>
      </c>
      <c r="Q1691" s="5" t="s">
        <v>36</v>
      </c>
    </row>
    <row r="1692" spans="1:17" x14ac:dyDescent="0.25">
      <c r="A1692" s="3">
        <v>10375</v>
      </c>
      <c r="B1692" s="3">
        <v>20</v>
      </c>
      <c r="C1692" s="3">
        <v>100</v>
      </c>
      <c r="D1692" s="3">
        <v>2000</v>
      </c>
      <c r="E1692" s="3" t="str">
        <f t="shared" si="105"/>
        <v>Medium</v>
      </c>
      <c r="F1692" s="3">
        <f t="shared" si="106"/>
        <v>600</v>
      </c>
      <c r="G1692" s="4">
        <v>38386</v>
      </c>
      <c r="H1692" s="3" t="s">
        <v>25</v>
      </c>
      <c r="I1692" s="3" t="str">
        <f t="shared" si="104"/>
        <v>Yes</v>
      </c>
      <c r="J1692" s="3" t="s">
        <v>681</v>
      </c>
      <c r="K1692" s="3">
        <v>2005</v>
      </c>
      <c r="L1692" s="3" t="str">
        <f t="shared" si="107"/>
        <v>Feb-2005</v>
      </c>
      <c r="M1692" s="3" t="s">
        <v>26</v>
      </c>
      <c r="N1692" s="3" t="s">
        <v>114</v>
      </c>
      <c r="O1692" s="3" t="s">
        <v>41</v>
      </c>
      <c r="P1692" s="3" t="s">
        <v>42</v>
      </c>
      <c r="Q1692" s="3" t="s">
        <v>36</v>
      </c>
    </row>
    <row r="1693" spans="1:17" x14ac:dyDescent="0.25">
      <c r="A1693" s="5">
        <v>10390</v>
      </c>
      <c r="B1693" s="5">
        <v>35</v>
      </c>
      <c r="C1693" s="5">
        <v>65.13</v>
      </c>
      <c r="D1693" s="5">
        <v>2279.5499999999997</v>
      </c>
      <c r="E1693" s="5" t="str">
        <f t="shared" si="105"/>
        <v>Medium</v>
      </c>
      <c r="F1693" s="5">
        <f t="shared" si="106"/>
        <v>683.8649999999999</v>
      </c>
      <c r="G1693" s="6">
        <v>38415</v>
      </c>
      <c r="H1693" s="5" t="s">
        <v>25</v>
      </c>
      <c r="I1693" s="5" t="str">
        <f t="shared" si="104"/>
        <v>Yes</v>
      </c>
      <c r="J1693" s="5" t="s">
        <v>691</v>
      </c>
      <c r="K1693" s="5">
        <v>2005</v>
      </c>
      <c r="L1693" s="5" t="str">
        <f t="shared" si="107"/>
        <v>Mar-2005</v>
      </c>
      <c r="M1693" s="5" t="s">
        <v>26</v>
      </c>
      <c r="N1693" s="5" t="s">
        <v>272</v>
      </c>
      <c r="O1693" s="5" t="s">
        <v>32</v>
      </c>
      <c r="P1693" s="5" t="s">
        <v>33</v>
      </c>
      <c r="Q1693" s="5" t="s">
        <v>36</v>
      </c>
    </row>
    <row r="1694" spans="1:17" x14ac:dyDescent="0.25">
      <c r="A1694" s="3">
        <v>10403</v>
      </c>
      <c r="B1694" s="3">
        <v>27</v>
      </c>
      <c r="C1694" s="3">
        <v>79.650000000000006</v>
      </c>
      <c r="D1694" s="3">
        <v>2150.5500000000002</v>
      </c>
      <c r="E1694" s="3" t="str">
        <f t="shared" si="105"/>
        <v>Medium</v>
      </c>
      <c r="F1694" s="3">
        <f t="shared" si="106"/>
        <v>645.16500000000008</v>
      </c>
      <c r="G1694" s="4">
        <v>38450</v>
      </c>
      <c r="H1694" s="3" t="s">
        <v>25</v>
      </c>
      <c r="I1694" s="3" t="str">
        <f t="shared" si="104"/>
        <v>Yes</v>
      </c>
      <c r="J1694" s="3" t="s">
        <v>688</v>
      </c>
      <c r="K1694" s="3">
        <v>2005</v>
      </c>
      <c r="L1694" s="3" t="str">
        <f t="shared" si="107"/>
        <v>Apr-2005</v>
      </c>
      <c r="M1694" s="3" t="s">
        <v>26</v>
      </c>
      <c r="N1694" s="3" t="s">
        <v>165</v>
      </c>
      <c r="O1694" s="3" t="s">
        <v>170</v>
      </c>
      <c r="P1694" s="3" t="s">
        <v>42</v>
      </c>
      <c r="Q1694" s="3" t="s">
        <v>36</v>
      </c>
    </row>
    <row r="1695" spans="1:17" x14ac:dyDescent="0.25">
      <c r="A1695" s="5">
        <v>10110</v>
      </c>
      <c r="B1695" s="5">
        <v>43</v>
      </c>
      <c r="C1695" s="5">
        <v>78.150000000000006</v>
      </c>
      <c r="D1695" s="5">
        <v>3360.4500000000003</v>
      </c>
      <c r="E1695" s="5" t="str">
        <f t="shared" si="105"/>
        <v>Medium</v>
      </c>
      <c r="F1695" s="5">
        <f t="shared" si="106"/>
        <v>1008.135</v>
      </c>
      <c r="G1695" s="6">
        <v>37698</v>
      </c>
      <c r="H1695" s="5" t="s">
        <v>25</v>
      </c>
      <c r="I1695" s="5" t="str">
        <f t="shared" si="104"/>
        <v>Yes</v>
      </c>
      <c r="J1695" s="5" t="s">
        <v>691</v>
      </c>
      <c r="K1695" s="5">
        <v>2003</v>
      </c>
      <c r="L1695" s="5" t="str">
        <f t="shared" si="107"/>
        <v>Mar-2003</v>
      </c>
      <c r="M1695" s="5" t="s">
        <v>181</v>
      </c>
      <c r="N1695" s="5" t="s">
        <v>492</v>
      </c>
      <c r="O1695" s="5" t="s">
        <v>170</v>
      </c>
      <c r="P1695" s="5" t="s">
        <v>42</v>
      </c>
      <c r="Q1695" s="5" t="s">
        <v>51</v>
      </c>
    </row>
    <row r="1696" spans="1:17" x14ac:dyDescent="0.25">
      <c r="A1696" s="3">
        <v>10124</v>
      </c>
      <c r="B1696" s="3">
        <v>32</v>
      </c>
      <c r="C1696" s="3">
        <v>72.7</v>
      </c>
      <c r="D1696" s="3">
        <v>2326.4</v>
      </c>
      <c r="E1696" s="3" t="str">
        <f t="shared" si="105"/>
        <v>Medium</v>
      </c>
      <c r="F1696" s="3">
        <f t="shared" si="106"/>
        <v>697.92</v>
      </c>
      <c r="G1696" s="4">
        <v>37762</v>
      </c>
      <c r="H1696" s="3" t="s">
        <v>25</v>
      </c>
      <c r="I1696" s="3" t="str">
        <f t="shared" si="104"/>
        <v>Yes</v>
      </c>
      <c r="J1696" s="3" t="s">
        <v>682</v>
      </c>
      <c r="K1696" s="3">
        <v>2003</v>
      </c>
      <c r="L1696" s="3" t="str">
        <f t="shared" si="107"/>
        <v>May-2003</v>
      </c>
      <c r="M1696" s="3" t="s">
        <v>181</v>
      </c>
      <c r="N1696" s="3" t="s">
        <v>539</v>
      </c>
      <c r="O1696" s="3" t="s">
        <v>32</v>
      </c>
      <c r="P1696" s="3" t="s">
        <v>33</v>
      </c>
      <c r="Q1696" s="3" t="s">
        <v>36</v>
      </c>
    </row>
    <row r="1697" spans="1:17" x14ac:dyDescent="0.25">
      <c r="A1697" s="5">
        <v>10148</v>
      </c>
      <c r="B1697" s="5">
        <v>21</v>
      </c>
      <c r="C1697" s="5">
        <v>73.599999999999994</v>
      </c>
      <c r="D1697" s="5">
        <v>1545.6</v>
      </c>
      <c r="E1697" s="5" t="str">
        <f t="shared" si="105"/>
        <v>Low</v>
      </c>
      <c r="F1697" s="5">
        <f t="shared" si="106"/>
        <v>463.67999999999995</v>
      </c>
      <c r="G1697" s="6">
        <v>37875</v>
      </c>
      <c r="H1697" s="5" t="s">
        <v>25</v>
      </c>
      <c r="I1697" s="5" t="str">
        <f t="shared" si="104"/>
        <v>Yes</v>
      </c>
      <c r="J1697" s="5" t="s">
        <v>690</v>
      </c>
      <c r="K1697" s="5">
        <v>2003</v>
      </c>
      <c r="L1697" s="5" t="str">
        <f t="shared" si="107"/>
        <v>Sep-2003</v>
      </c>
      <c r="M1697" s="5" t="s">
        <v>181</v>
      </c>
      <c r="N1697" s="5" t="s">
        <v>285</v>
      </c>
      <c r="O1697" s="5" t="s">
        <v>95</v>
      </c>
      <c r="P1697" s="5" t="s">
        <v>96</v>
      </c>
      <c r="Q1697" s="5" t="s">
        <v>36</v>
      </c>
    </row>
    <row r="1698" spans="1:17" x14ac:dyDescent="0.25">
      <c r="A1698" s="3">
        <v>10161</v>
      </c>
      <c r="B1698" s="3">
        <v>20</v>
      </c>
      <c r="C1698" s="3">
        <v>100</v>
      </c>
      <c r="D1698" s="3">
        <v>2000</v>
      </c>
      <c r="E1698" s="3" t="str">
        <f t="shared" si="105"/>
        <v>Medium</v>
      </c>
      <c r="F1698" s="3">
        <f t="shared" si="106"/>
        <v>600</v>
      </c>
      <c r="G1698" s="4">
        <v>37911</v>
      </c>
      <c r="H1698" s="3" t="s">
        <v>25</v>
      </c>
      <c r="I1698" s="3" t="str">
        <f t="shared" si="104"/>
        <v>Yes</v>
      </c>
      <c r="J1698" s="3" t="s">
        <v>685</v>
      </c>
      <c r="K1698" s="3">
        <v>2003</v>
      </c>
      <c r="L1698" s="3" t="str">
        <f t="shared" si="107"/>
        <v>Oct-2003</v>
      </c>
      <c r="M1698" s="3" t="s">
        <v>181</v>
      </c>
      <c r="N1698" s="3" t="s">
        <v>498</v>
      </c>
      <c r="O1698" s="3" t="s">
        <v>326</v>
      </c>
      <c r="P1698" s="3" t="s">
        <v>42</v>
      </c>
      <c r="Q1698" s="3" t="s">
        <v>36</v>
      </c>
    </row>
    <row r="1699" spans="1:17" x14ac:dyDescent="0.25">
      <c r="A1699" s="5">
        <v>10172</v>
      </c>
      <c r="B1699" s="5">
        <v>22</v>
      </c>
      <c r="C1699" s="5">
        <v>74.510000000000005</v>
      </c>
      <c r="D1699" s="5">
        <v>1639.22</v>
      </c>
      <c r="E1699" s="5" t="str">
        <f t="shared" si="105"/>
        <v>Low</v>
      </c>
      <c r="F1699" s="5">
        <f t="shared" si="106"/>
        <v>491.76599999999996</v>
      </c>
      <c r="G1699" s="6">
        <v>37930</v>
      </c>
      <c r="H1699" s="5" t="s">
        <v>25</v>
      </c>
      <c r="I1699" s="5" t="str">
        <f t="shared" si="104"/>
        <v>Yes</v>
      </c>
      <c r="J1699" s="5" t="s">
        <v>686</v>
      </c>
      <c r="K1699" s="5">
        <v>2003</v>
      </c>
      <c r="L1699" s="5" t="str">
        <f t="shared" si="107"/>
        <v>Nov-2003</v>
      </c>
      <c r="M1699" s="5" t="s">
        <v>181</v>
      </c>
      <c r="N1699" s="5" t="s">
        <v>109</v>
      </c>
      <c r="O1699" s="5" t="s">
        <v>32</v>
      </c>
      <c r="P1699" s="5" t="s">
        <v>33</v>
      </c>
      <c r="Q1699" s="5" t="s">
        <v>36</v>
      </c>
    </row>
    <row r="1700" spans="1:17" x14ac:dyDescent="0.25">
      <c r="A1700" s="3">
        <v>10182</v>
      </c>
      <c r="B1700" s="3">
        <v>36</v>
      </c>
      <c r="C1700" s="3">
        <v>73.599999999999994</v>
      </c>
      <c r="D1700" s="3">
        <v>2649.6</v>
      </c>
      <c r="E1700" s="3" t="str">
        <f t="shared" si="105"/>
        <v>Medium</v>
      </c>
      <c r="F1700" s="3">
        <f t="shared" si="106"/>
        <v>794.88</v>
      </c>
      <c r="G1700" s="4">
        <v>37937</v>
      </c>
      <c r="H1700" s="3" t="s">
        <v>25</v>
      </c>
      <c r="I1700" s="3" t="str">
        <f t="shared" si="104"/>
        <v>Yes</v>
      </c>
      <c r="J1700" s="3" t="s">
        <v>686</v>
      </c>
      <c r="K1700" s="3">
        <v>2003</v>
      </c>
      <c r="L1700" s="3" t="str">
        <f t="shared" si="107"/>
        <v>Nov-2003</v>
      </c>
      <c r="M1700" s="3" t="s">
        <v>181</v>
      </c>
      <c r="N1700" s="3" t="s">
        <v>272</v>
      </c>
      <c r="O1700" s="3" t="s">
        <v>32</v>
      </c>
      <c r="P1700" s="3" t="s">
        <v>33</v>
      </c>
      <c r="Q1700" s="3" t="s">
        <v>36</v>
      </c>
    </row>
    <row r="1701" spans="1:17" x14ac:dyDescent="0.25">
      <c r="A1701" s="5">
        <v>10192</v>
      </c>
      <c r="B1701" s="5">
        <v>46</v>
      </c>
      <c r="C1701" s="5">
        <v>83.6</v>
      </c>
      <c r="D1701" s="5">
        <v>3845.6</v>
      </c>
      <c r="E1701" s="5" t="str">
        <f t="shared" si="105"/>
        <v>Medium</v>
      </c>
      <c r="F1701" s="5">
        <f t="shared" si="106"/>
        <v>1153.6799999999998</v>
      </c>
      <c r="G1701" s="6">
        <v>37945</v>
      </c>
      <c r="H1701" s="5" t="s">
        <v>25</v>
      </c>
      <c r="I1701" s="5" t="str">
        <f t="shared" si="104"/>
        <v>Yes</v>
      </c>
      <c r="J1701" s="5" t="s">
        <v>686</v>
      </c>
      <c r="K1701" s="5">
        <v>2003</v>
      </c>
      <c r="L1701" s="5" t="str">
        <f t="shared" si="107"/>
        <v>Nov-2003</v>
      </c>
      <c r="M1701" s="5" t="s">
        <v>181</v>
      </c>
      <c r="N1701" s="5" t="s">
        <v>277</v>
      </c>
      <c r="O1701" s="5" t="s">
        <v>32</v>
      </c>
      <c r="P1701" s="5" t="s">
        <v>33</v>
      </c>
      <c r="Q1701" s="5" t="s">
        <v>51</v>
      </c>
    </row>
    <row r="1702" spans="1:17" x14ac:dyDescent="0.25">
      <c r="A1702" s="3">
        <v>10204</v>
      </c>
      <c r="B1702" s="3">
        <v>47</v>
      </c>
      <c r="C1702" s="3">
        <v>96.32</v>
      </c>
      <c r="D1702" s="3">
        <v>4527.04</v>
      </c>
      <c r="E1702" s="3" t="str">
        <f t="shared" si="105"/>
        <v>Medium</v>
      </c>
      <c r="F1702" s="3">
        <f t="shared" si="106"/>
        <v>1358.1119999999999</v>
      </c>
      <c r="G1702" s="4">
        <v>37957</v>
      </c>
      <c r="H1702" s="3" t="s">
        <v>25</v>
      </c>
      <c r="I1702" s="3" t="str">
        <f t="shared" si="104"/>
        <v>Yes</v>
      </c>
      <c r="J1702" s="3" t="s">
        <v>687</v>
      </c>
      <c r="K1702" s="3">
        <v>2003</v>
      </c>
      <c r="L1702" s="3" t="str">
        <f t="shared" si="107"/>
        <v>Dec-2003</v>
      </c>
      <c r="M1702" s="3" t="s">
        <v>181</v>
      </c>
      <c r="N1702" s="3" t="s">
        <v>475</v>
      </c>
      <c r="O1702" s="3" t="s">
        <v>32</v>
      </c>
      <c r="P1702" s="3" t="s">
        <v>33</v>
      </c>
      <c r="Q1702" s="3" t="s">
        <v>51</v>
      </c>
    </row>
    <row r="1703" spans="1:17" x14ac:dyDescent="0.25">
      <c r="A1703" s="5">
        <v>10212</v>
      </c>
      <c r="B1703" s="5">
        <v>45</v>
      </c>
      <c r="C1703" s="5">
        <v>88.14</v>
      </c>
      <c r="D1703" s="5">
        <v>3966.3</v>
      </c>
      <c r="E1703" s="5" t="str">
        <f t="shared" si="105"/>
        <v>Medium</v>
      </c>
      <c r="F1703" s="5">
        <f t="shared" si="106"/>
        <v>1189.8900000000001</v>
      </c>
      <c r="G1703" s="6">
        <v>38002</v>
      </c>
      <c r="H1703" s="5" t="s">
        <v>25</v>
      </c>
      <c r="I1703" s="5" t="str">
        <f t="shared" si="104"/>
        <v>Yes</v>
      </c>
      <c r="J1703" s="5" t="s">
        <v>549</v>
      </c>
      <c r="K1703" s="5">
        <v>2004</v>
      </c>
      <c r="L1703" s="5" t="str">
        <f t="shared" si="107"/>
        <v>Jan-2004</v>
      </c>
      <c r="M1703" s="5" t="s">
        <v>181</v>
      </c>
      <c r="N1703" s="5" t="s">
        <v>174</v>
      </c>
      <c r="O1703" s="5" t="s">
        <v>178</v>
      </c>
      <c r="P1703" s="5" t="s">
        <v>42</v>
      </c>
      <c r="Q1703" s="5" t="s">
        <v>51</v>
      </c>
    </row>
    <row r="1704" spans="1:17" x14ac:dyDescent="0.25">
      <c r="A1704" s="3">
        <v>10227</v>
      </c>
      <c r="B1704" s="3">
        <v>47</v>
      </c>
      <c r="C1704" s="3">
        <v>88.14</v>
      </c>
      <c r="D1704" s="3">
        <v>4142.58</v>
      </c>
      <c r="E1704" s="3" t="str">
        <f t="shared" si="105"/>
        <v>Medium</v>
      </c>
      <c r="F1704" s="3">
        <f t="shared" si="106"/>
        <v>1242.7739999999999</v>
      </c>
      <c r="G1704" s="4">
        <v>38048</v>
      </c>
      <c r="H1704" s="3" t="s">
        <v>25</v>
      </c>
      <c r="I1704" s="3" t="str">
        <f t="shared" si="104"/>
        <v>Yes</v>
      </c>
      <c r="J1704" s="3" t="s">
        <v>691</v>
      </c>
      <c r="K1704" s="3">
        <v>2004</v>
      </c>
      <c r="L1704" s="3" t="str">
        <f t="shared" si="107"/>
        <v>Mar-2004</v>
      </c>
      <c r="M1704" s="3" t="s">
        <v>181</v>
      </c>
      <c r="N1704" s="3" t="s">
        <v>219</v>
      </c>
      <c r="O1704" s="3" t="s">
        <v>41</v>
      </c>
      <c r="P1704" s="3" t="s">
        <v>42</v>
      </c>
      <c r="Q1704" s="3" t="s">
        <v>51</v>
      </c>
    </row>
    <row r="1705" spans="1:17" x14ac:dyDescent="0.25">
      <c r="A1705" s="5">
        <v>10241</v>
      </c>
      <c r="B1705" s="5">
        <v>47</v>
      </c>
      <c r="C1705" s="5">
        <v>94.5</v>
      </c>
      <c r="D1705" s="5">
        <v>4441.5</v>
      </c>
      <c r="E1705" s="5" t="str">
        <f t="shared" si="105"/>
        <v>Medium</v>
      </c>
      <c r="F1705" s="5">
        <f t="shared" si="106"/>
        <v>1332.45</v>
      </c>
      <c r="G1705" s="6">
        <v>38090</v>
      </c>
      <c r="H1705" s="5" t="s">
        <v>25</v>
      </c>
      <c r="I1705" s="5" t="str">
        <f t="shared" si="104"/>
        <v>Yes</v>
      </c>
      <c r="J1705" s="5" t="s">
        <v>688</v>
      </c>
      <c r="K1705" s="5">
        <v>2004</v>
      </c>
      <c r="L1705" s="5" t="str">
        <f t="shared" si="107"/>
        <v>Apr-2004</v>
      </c>
      <c r="M1705" s="5" t="s">
        <v>181</v>
      </c>
      <c r="N1705" s="5" t="s">
        <v>531</v>
      </c>
      <c r="O1705" s="5" t="s">
        <v>41</v>
      </c>
      <c r="P1705" s="5" t="s">
        <v>42</v>
      </c>
      <c r="Q1705" s="5" t="s">
        <v>51</v>
      </c>
    </row>
    <row r="1706" spans="1:17" x14ac:dyDescent="0.25">
      <c r="A1706" s="3">
        <v>10267</v>
      </c>
      <c r="B1706" s="3">
        <v>38</v>
      </c>
      <c r="C1706" s="3">
        <v>87.24</v>
      </c>
      <c r="D1706" s="3">
        <v>3315.12</v>
      </c>
      <c r="E1706" s="3" t="str">
        <f t="shared" si="105"/>
        <v>Medium</v>
      </c>
      <c r="F1706" s="3">
        <f t="shared" si="106"/>
        <v>994.53599999999994</v>
      </c>
      <c r="G1706" s="4">
        <v>38175</v>
      </c>
      <c r="H1706" s="3" t="s">
        <v>25</v>
      </c>
      <c r="I1706" s="3" t="str">
        <f t="shared" si="104"/>
        <v>Yes</v>
      </c>
      <c r="J1706" s="3" t="s">
        <v>683</v>
      </c>
      <c r="K1706" s="3">
        <v>2004</v>
      </c>
      <c r="L1706" s="3" t="str">
        <f t="shared" si="107"/>
        <v>Jul-2004</v>
      </c>
      <c r="M1706" s="3" t="s">
        <v>181</v>
      </c>
      <c r="N1706" s="3" t="s">
        <v>475</v>
      </c>
      <c r="O1706" s="3" t="s">
        <v>32</v>
      </c>
      <c r="P1706" s="3" t="s">
        <v>33</v>
      </c>
      <c r="Q1706" s="3" t="s">
        <v>51</v>
      </c>
    </row>
    <row r="1707" spans="1:17" x14ac:dyDescent="0.25">
      <c r="A1707" s="5">
        <v>10279</v>
      </c>
      <c r="B1707" s="5">
        <v>49</v>
      </c>
      <c r="C1707" s="5">
        <v>79.97</v>
      </c>
      <c r="D1707" s="5">
        <v>3918.5299999999997</v>
      </c>
      <c r="E1707" s="5" t="str">
        <f t="shared" si="105"/>
        <v>Medium</v>
      </c>
      <c r="F1707" s="5">
        <f t="shared" si="106"/>
        <v>1175.559</v>
      </c>
      <c r="G1707" s="6">
        <v>38208</v>
      </c>
      <c r="H1707" s="5" t="s">
        <v>25</v>
      </c>
      <c r="I1707" s="5" t="str">
        <f t="shared" si="104"/>
        <v>Yes</v>
      </c>
      <c r="J1707" s="5" t="s">
        <v>684</v>
      </c>
      <c r="K1707" s="5">
        <v>2004</v>
      </c>
      <c r="L1707" s="5" t="str">
        <f t="shared" si="107"/>
        <v>Aug-2004</v>
      </c>
      <c r="M1707" s="5" t="s">
        <v>181</v>
      </c>
      <c r="N1707" s="5" t="s">
        <v>174</v>
      </c>
      <c r="O1707" s="5" t="s">
        <v>178</v>
      </c>
      <c r="P1707" s="5" t="s">
        <v>42</v>
      </c>
      <c r="Q1707" s="5" t="s">
        <v>51</v>
      </c>
    </row>
    <row r="1708" spans="1:17" x14ac:dyDescent="0.25">
      <c r="A1708" s="3">
        <v>10288</v>
      </c>
      <c r="B1708" s="3">
        <v>35</v>
      </c>
      <c r="C1708" s="3">
        <v>80.87</v>
      </c>
      <c r="D1708" s="3">
        <v>2830.4500000000003</v>
      </c>
      <c r="E1708" s="3" t="str">
        <f t="shared" si="105"/>
        <v>Medium</v>
      </c>
      <c r="F1708" s="3">
        <f t="shared" si="106"/>
        <v>849.1350000000001</v>
      </c>
      <c r="G1708" s="4">
        <v>38231</v>
      </c>
      <c r="H1708" s="3" t="s">
        <v>25</v>
      </c>
      <c r="I1708" s="3" t="str">
        <f t="shared" si="104"/>
        <v>Yes</v>
      </c>
      <c r="J1708" s="3" t="s">
        <v>690</v>
      </c>
      <c r="K1708" s="3">
        <v>2004</v>
      </c>
      <c r="L1708" s="3" t="str">
        <f t="shared" si="107"/>
        <v>Sep-2004</v>
      </c>
      <c r="M1708" s="3" t="s">
        <v>181</v>
      </c>
      <c r="N1708" s="3" t="s">
        <v>418</v>
      </c>
      <c r="O1708" s="3" t="s">
        <v>199</v>
      </c>
      <c r="P1708" s="3" t="s">
        <v>96</v>
      </c>
      <c r="Q1708" s="3" t="s">
        <v>36</v>
      </c>
    </row>
    <row r="1709" spans="1:17" x14ac:dyDescent="0.25">
      <c r="A1709" s="5">
        <v>10302</v>
      </c>
      <c r="B1709" s="5">
        <v>49</v>
      </c>
      <c r="C1709" s="5">
        <v>100</v>
      </c>
      <c r="D1709" s="5">
        <v>4900</v>
      </c>
      <c r="E1709" s="5" t="str">
        <f t="shared" si="105"/>
        <v>Medium</v>
      </c>
      <c r="F1709" s="5">
        <f t="shared" si="106"/>
        <v>1470</v>
      </c>
      <c r="G1709" s="6">
        <v>37900</v>
      </c>
      <c r="H1709" s="5" t="s">
        <v>25</v>
      </c>
      <c r="I1709" s="5" t="str">
        <f t="shared" si="104"/>
        <v>Yes</v>
      </c>
      <c r="J1709" s="5" t="s">
        <v>685</v>
      </c>
      <c r="K1709" s="5">
        <v>2003</v>
      </c>
      <c r="L1709" s="5" t="str">
        <f t="shared" si="107"/>
        <v>Oct-2003</v>
      </c>
      <c r="M1709" s="5" t="s">
        <v>181</v>
      </c>
      <c r="N1709" s="5" t="s">
        <v>165</v>
      </c>
      <c r="O1709" s="5" t="s">
        <v>170</v>
      </c>
      <c r="P1709" s="5" t="s">
        <v>42</v>
      </c>
      <c r="Q1709" s="5" t="s">
        <v>51</v>
      </c>
    </row>
    <row r="1710" spans="1:17" x14ac:dyDescent="0.25">
      <c r="A1710" s="3">
        <v>10311</v>
      </c>
      <c r="B1710" s="3">
        <v>28</v>
      </c>
      <c r="C1710" s="3">
        <v>93.6</v>
      </c>
      <c r="D1710" s="3">
        <v>2620.7999999999997</v>
      </c>
      <c r="E1710" s="3" t="str">
        <f t="shared" si="105"/>
        <v>Medium</v>
      </c>
      <c r="F1710" s="3">
        <f t="shared" si="106"/>
        <v>786.2399999999999</v>
      </c>
      <c r="G1710" s="4">
        <v>38276</v>
      </c>
      <c r="H1710" s="3" t="s">
        <v>25</v>
      </c>
      <c r="I1710" s="3" t="str">
        <f t="shared" si="104"/>
        <v>Yes</v>
      </c>
      <c r="J1710" s="3" t="s">
        <v>685</v>
      </c>
      <c r="K1710" s="3">
        <v>2004</v>
      </c>
      <c r="L1710" s="3" t="str">
        <f t="shared" si="107"/>
        <v>Oct-2004</v>
      </c>
      <c r="M1710" s="3" t="s">
        <v>181</v>
      </c>
      <c r="N1710" s="3" t="s">
        <v>174</v>
      </c>
      <c r="O1710" s="3" t="s">
        <v>178</v>
      </c>
      <c r="P1710" s="3" t="s">
        <v>42</v>
      </c>
      <c r="Q1710" s="3" t="s">
        <v>36</v>
      </c>
    </row>
    <row r="1711" spans="1:17" x14ac:dyDescent="0.25">
      <c r="A1711" s="5">
        <v>10321</v>
      </c>
      <c r="B1711" s="5">
        <v>30</v>
      </c>
      <c r="C1711" s="5">
        <v>72.7</v>
      </c>
      <c r="D1711" s="5">
        <v>2181</v>
      </c>
      <c r="E1711" s="5" t="str">
        <f t="shared" si="105"/>
        <v>Medium</v>
      </c>
      <c r="F1711" s="5">
        <f t="shared" si="106"/>
        <v>654.29999999999995</v>
      </c>
      <c r="G1711" s="6">
        <v>38295</v>
      </c>
      <c r="H1711" s="5" t="s">
        <v>25</v>
      </c>
      <c r="I1711" s="5" t="str">
        <f t="shared" si="104"/>
        <v>Yes</v>
      </c>
      <c r="J1711" s="5" t="s">
        <v>686</v>
      </c>
      <c r="K1711" s="5">
        <v>2004</v>
      </c>
      <c r="L1711" s="5" t="str">
        <f t="shared" si="107"/>
        <v>Nov-2004</v>
      </c>
      <c r="M1711" s="5" t="s">
        <v>181</v>
      </c>
      <c r="N1711" s="5" t="s">
        <v>160</v>
      </c>
      <c r="O1711" s="5" t="s">
        <v>32</v>
      </c>
      <c r="P1711" s="5" t="s">
        <v>33</v>
      </c>
      <c r="Q1711" s="5" t="s">
        <v>36</v>
      </c>
    </row>
    <row r="1712" spans="1:17" x14ac:dyDescent="0.25">
      <c r="A1712" s="3">
        <v>10332</v>
      </c>
      <c r="B1712" s="3">
        <v>39</v>
      </c>
      <c r="C1712" s="3">
        <v>86.72</v>
      </c>
      <c r="D1712" s="3">
        <v>3382.08</v>
      </c>
      <c r="E1712" s="3" t="str">
        <f t="shared" si="105"/>
        <v>Medium</v>
      </c>
      <c r="F1712" s="3">
        <f t="shared" si="106"/>
        <v>1014.6239999999999</v>
      </c>
      <c r="G1712" s="4">
        <v>38308</v>
      </c>
      <c r="H1712" s="3" t="s">
        <v>25</v>
      </c>
      <c r="I1712" s="3" t="str">
        <f t="shared" si="104"/>
        <v>Yes</v>
      </c>
      <c r="J1712" s="3" t="s">
        <v>686</v>
      </c>
      <c r="K1712" s="3">
        <v>2004</v>
      </c>
      <c r="L1712" s="3" t="str">
        <f t="shared" si="107"/>
        <v>Nov-2004</v>
      </c>
      <c r="M1712" s="3" t="s">
        <v>181</v>
      </c>
      <c r="N1712" s="3" t="s">
        <v>492</v>
      </c>
      <c r="O1712" s="3" t="s">
        <v>170</v>
      </c>
      <c r="P1712" s="3" t="s">
        <v>42</v>
      </c>
      <c r="Q1712" s="3" t="s">
        <v>51</v>
      </c>
    </row>
    <row r="1713" spans="1:17" x14ac:dyDescent="0.25">
      <c r="A1713" s="5">
        <v>10346</v>
      </c>
      <c r="B1713" s="5">
        <v>25</v>
      </c>
      <c r="C1713" s="5">
        <v>100</v>
      </c>
      <c r="D1713" s="5">
        <v>2500</v>
      </c>
      <c r="E1713" s="5" t="str">
        <f t="shared" si="105"/>
        <v>Medium</v>
      </c>
      <c r="F1713" s="5">
        <f t="shared" si="106"/>
        <v>750</v>
      </c>
      <c r="G1713" s="6">
        <v>38320</v>
      </c>
      <c r="H1713" s="5" t="s">
        <v>25</v>
      </c>
      <c r="I1713" s="5" t="str">
        <f t="shared" si="104"/>
        <v>Yes</v>
      </c>
      <c r="J1713" s="5" t="s">
        <v>686</v>
      </c>
      <c r="K1713" s="5">
        <v>2004</v>
      </c>
      <c r="L1713" s="5" t="str">
        <f t="shared" si="107"/>
        <v>Nov-2004</v>
      </c>
      <c r="M1713" s="5" t="s">
        <v>181</v>
      </c>
      <c r="N1713" s="5" t="s">
        <v>539</v>
      </c>
      <c r="O1713" s="5" t="s">
        <v>32</v>
      </c>
      <c r="P1713" s="5" t="s">
        <v>33</v>
      </c>
      <c r="Q1713" s="5" t="s">
        <v>36</v>
      </c>
    </row>
    <row r="1714" spans="1:17" x14ac:dyDescent="0.25">
      <c r="A1714" s="3">
        <v>10368</v>
      </c>
      <c r="B1714" s="3">
        <v>40</v>
      </c>
      <c r="C1714" s="3">
        <v>100</v>
      </c>
      <c r="D1714" s="3">
        <v>4000</v>
      </c>
      <c r="E1714" s="3" t="str">
        <f t="shared" si="105"/>
        <v>Medium</v>
      </c>
      <c r="F1714" s="3">
        <f t="shared" si="106"/>
        <v>1200</v>
      </c>
      <c r="G1714" s="4">
        <v>38371</v>
      </c>
      <c r="H1714" s="3" t="s">
        <v>25</v>
      </c>
      <c r="I1714" s="3" t="str">
        <f t="shared" si="104"/>
        <v>Yes</v>
      </c>
      <c r="J1714" s="3" t="s">
        <v>549</v>
      </c>
      <c r="K1714" s="3">
        <v>2005</v>
      </c>
      <c r="L1714" s="3" t="str">
        <f t="shared" si="107"/>
        <v>Jan-2005</v>
      </c>
      <c r="M1714" s="3" t="s">
        <v>181</v>
      </c>
      <c r="N1714" s="3" t="s">
        <v>272</v>
      </c>
      <c r="O1714" s="3" t="s">
        <v>32</v>
      </c>
      <c r="P1714" s="3" t="s">
        <v>33</v>
      </c>
      <c r="Q1714" s="3" t="s">
        <v>51</v>
      </c>
    </row>
    <row r="1715" spans="1:17" x14ac:dyDescent="0.25">
      <c r="A1715" s="5">
        <v>10380</v>
      </c>
      <c r="B1715" s="5">
        <v>36</v>
      </c>
      <c r="C1715" s="5">
        <v>37.5</v>
      </c>
      <c r="D1715" s="5">
        <v>1350</v>
      </c>
      <c r="E1715" s="5" t="str">
        <f t="shared" si="105"/>
        <v>Low</v>
      </c>
      <c r="F1715" s="5">
        <f t="shared" si="106"/>
        <v>405</v>
      </c>
      <c r="G1715" s="6">
        <v>38399</v>
      </c>
      <c r="H1715" s="5" t="s">
        <v>25</v>
      </c>
      <c r="I1715" s="5" t="str">
        <f t="shared" si="104"/>
        <v>Yes</v>
      </c>
      <c r="J1715" s="5" t="s">
        <v>681</v>
      </c>
      <c r="K1715" s="5">
        <v>2005</v>
      </c>
      <c r="L1715" s="5" t="str">
        <f t="shared" si="107"/>
        <v>Feb-2005</v>
      </c>
      <c r="M1715" s="5" t="s">
        <v>181</v>
      </c>
      <c r="N1715" s="5" t="s">
        <v>174</v>
      </c>
      <c r="O1715" s="5" t="s">
        <v>178</v>
      </c>
      <c r="P1715" s="5" t="s">
        <v>42</v>
      </c>
      <c r="Q1715" s="5" t="s">
        <v>36</v>
      </c>
    </row>
    <row r="1716" spans="1:17" x14ac:dyDescent="0.25">
      <c r="A1716" s="3">
        <v>10407</v>
      </c>
      <c r="B1716" s="3">
        <v>76</v>
      </c>
      <c r="C1716" s="3">
        <v>94.5</v>
      </c>
      <c r="D1716" s="3">
        <v>7182</v>
      </c>
      <c r="E1716" s="3" t="str">
        <f t="shared" si="105"/>
        <v>High</v>
      </c>
      <c r="F1716" s="3">
        <f t="shared" si="106"/>
        <v>2154.6</v>
      </c>
      <c r="G1716" s="4">
        <v>38464</v>
      </c>
      <c r="H1716" s="3" t="s">
        <v>401</v>
      </c>
      <c r="I1716" s="3" t="str">
        <f t="shared" si="104"/>
        <v>No</v>
      </c>
      <c r="J1716" s="3" t="s">
        <v>688</v>
      </c>
      <c r="K1716" s="3">
        <v>2005</v>
      </c>
      <c r="L1716" s="3" t="str">
        <f t="shared" si="107"/>
        <v>Apr-2005</v>
      </c>
      <c r="M1716" s="3" t="s">
        <v>181</v>
      </c>
      <c r="N1716" s="3" t="s">
        <v>397</v>
      </c>
      <c r="O1716" s="3" t="s">
        <v>32</v>
      </c>
      <c r="P1716" s="3" t="s">
        <v>33</v>
      </c>
      <c r="Q1716" s="3" t="s">
        <v>151</v>
      </c>
    </row>
    <row r="1717" spans="1:17" x14ac:dyDescent="0.25">
      <c r="A1717" s="5">
        <v>10420</v>
      </c>
      <c r="B1717" s="5">
        <v>39</v>
      </c>
      <c r="C1717" s="5">
        <v>100</v>
      </c>
      <c r="D1717" s="5">
        <v>3900</v>
      </c>
      <c r="E1717" s="5" t="str">
        <f t="shared" si="105"/>
        <v>Medium</v>
      </c>
      <c r="F1717" s="5">
        <f t="shared" si="106"/>
        <v>1170</v>
      </c>
      <c r="G1717" s="6">
        <v>38501</v>
      </c>
      <c r="H1717" s="5" t="s">
        <v>300</v>
      </c>
      <c r="I1717" s="5" t="str">
        <f t="shared" si="104"/>
        <v>No</v>
      </c>
      <c r="J1717" s="5" t="s">
        <v>682</v>
      </c>
      <c r="K1717" s="5">
        <v>2005</v>
      </c>
      <c r="L1717" s="5" t="str">
        <f t="shared" si="107"/>
        <v>May-2005</v>
      </c>
      <c r="M1717" s="5" t="s">
        <v>181</v>
      </c>
      <c r="N1717" s="5" t="s">
        <v>152</v>
      </c>
      <c r="O1717" s="5" t="s">
        <v>95</v>
      </c>
      <c r="P1717" s="5" t="s">
        <v>96</v>
      </c>
      <c r="Q1717" s="5" t="s">
        <v>51</v>
      </c>
    </row>
    <row r="1718" spans="1:17" x14ac:dyDescent="0.25">
      <c r="A1718" s="3">
        <v>10104</v>
      </c>
      <c r="B1718" s="3">
        <v>44</v>
      </c>
      <c r="C1718" s="3">
        <v>39.6</v>
      </c>
      <c r="D1718" s="3">
        <v>1742.4</v>
      </c>
      <c r="E1718" s="3" t="str">
        <f t="shared" si="105"/>
        <v>Low</v>
      </c>
      <c r="F1718" s="3">
        <f t="shared" si="106"/>
        <v>522.72</v>
      </c>
      <c r="G1718" s="4">
        <v>37652</v>
      </c>
      <c r="H1718" s="3" t="s">
        <v>25</v>
      </c>
      <c r="I1718" s="3" t="str">
        <f t="shared" si="104"/>
        <v>Yes</v>
      </c>
      <c r="J1718" s="3" t="s">
        <v>549</v>
      </c>
      <c r="K1718" s="3">
        <v>2003</v>
      </c>
      <c r="L1718" s="3" t="str">
        <f t="shared" si="107"/>
        <v>Jan-2003</v>
      </c>
      <c r="M1718" s="3" t="s">
        <v>181</v>
      </c>
      <c r="N1718" s="3" t="s">
        <v>174</v>
      </c>
      <c r="O1718" s="3" t="s">
        <v>178</v>
      </c>
      <c r="P1718" s="3" t="s">
        <v>42</v>
      </c>
      <c r="Q1718" s="3" t="s">
        <v>36</v>
      </c>
    </row>
    <row r="1719" spans="1:17" x14ac:dyDescent="0.25">
      <c r="A1719" s="5">
        <v>10114</v>
      </c>
      <c r="B1719" s="5">
        <v>24</v>
      </c>
      <c r="C1719" s="5">
        <v>30.06</v>
      </c>
      <c r="D1719" s="5">
        <v>721.43999999999994</v>
      </c>
      <c r="E1719" s="5" t="str">
        <f t="shared" si="105"/>
        <v>Low</v>
      </c>
      <c r="F1719" s="5">
        <f t="shared" si="106"/>
        <v>216.43199999999999</v>
      </c>
      <c r="G1719" s="6">
        <v>37712</v>
      </c>
      <c r="H1719" s="5" t="s">
        <v>25</v>
      </c>
      <c r="I1719" s="5" t="str">
        <f t="shared" si="104"/>
        <v>Yes</v>
      </c>
      <c r="J1719" s="5" t="s">
        <v>688</v>
      </c>
      <c r="K1719" s="5">
        <v>2003</v>
      </c>
      <c r="L1719" s="5" t="str">
        <f t="shared" si="107"/>
        <v>Apr-2003</v>
      </c>
      <c r="M1719" s="5" t="s">
        <v>181</v>
      </c>
      <c r="N1719" s="5" t="s">
        <v>403</v>
      </c>
      <c r="O1719" s="5" t="s">
        <v>41</v>
      </c>
      <c r="P1719" s="5" t="s">
        <v>42</v>
      </c>
      <c r="Q1719" s="5" t="s">
        <v>36</v>
      </c>
    </row>
    <row r="1720" spans="1:17" x14ac:dyDescent="0.25">
      <c r="A1720" s="3">
        <v>10127</v>
      </c>
      <c r="B1720" s="3">
        <v>39</v>
      </c>
      <c r="C1720" s="3">
        <v>38.19</v>
      </c>
      <c r="D1720" s="3">
        <v>1489.4099999999999</v>
      </c>
      <c r="E1720" s="3" t="str">
        <f t="shared" si="105"/>
        <v>Low</v>
      </c>
      <c r="F1720" s="3">
        <f t="shared" si="106"/>
        <v>446.82299999999992</v>
      </c>
      <c r="G1720" s="4">
        <v>37775</v>
      </c>
      <c r="H1720" s="3" t="s">
        <v>25</v>
      </c>
      <c r="I1720" s="3" t="str">
        <f t="shared" si="104"/>
        <v>Yes</v>
      </c>
      <c r="J1720" s="3" t="s">
        <v>689</v>
      </c>
      <c r="K1720" s="3">
        <v>2003</v>
      </c>
      <c r="L1720" s="3" t="str">
        <f t="shared" si="107"/>
        <v>Jun-2003</v>
      </c>
      <c r="M1720" s="3" t="s">
        <v>181</v>
      </c>
      <c r="N1720" s="3" t="s">
        <v>475</v>
      </c>
      <c r="O1720" s="3" t="s">
        <v>32</v>
      </c>
      <c r="P1720" s="3" t="s">
        <v>33</v>
      </c>
      <c r="Q1720" s="3" t="s">
        <v>36</v>
      </c>
    </row>
    <row r="1721" spans="1:17" x14ac:dyDescent="0.25">
      <c r="A1721" s="5">
        <v>10141</v>
      </c>
      <c r="B1721" s="5">
        <v>21</v>
      </c>
      <c r="C1721" s="5">
        <v>42.43</v>
      </c>
      <c r="D1721" s="5">
        <v>891.03</v>
      </c>
      <c r="E1721" s="5" t="str">
        <f t="shared" si="105"/>
        <v>Low</v>
      </c>
      <c r="F1721" s="5">
        <f t="shared" si="106"/>
        <v>267.30899999999997</v>
      </c>
      <c r="G1721" s="6">
        <v>37834</v>
      </c>
      <c r="H1721" s="5" t="s">
        <v>25</v>
      </c>
      <c r="I1721" s="5" t="str">
        <f t="shared" si="104"/>
        <v>Yes</v>
      </c>
      <c r="J1721" s="5" t="s">
        <v>684</v>
      </c>
      <c r="K1721" s="5">
        <v>2003</v>
      </c>
      <c r="L1721" s="5" t="str">
        <f t="shared" si="107"/>
        <v>Aug-2003</v>
      </c>
      <c r="M1721" s="5" t="s">
        <v>181</v>
      </c>
      <c r="N1721" s="5" t="s">
        <v>467</v>
      </c>
      <c r="O1721" s="5" t="s">
        <v>130</v>
      </c>
      <c r="P1721" s="5" t="s">
        <v>42</v>
      </c>
      <c r="Q1721" s="5" t="s">
        <v>36</v>
      </c>
    </row>
    <row r="1722" spans="1:17" x14ac:dyDescent="0.25">
      <c r="A1722" s="3">
        <v>10151</v>
      </c>
      <c r="B1722" s="3">
        <v>30</v>
      </c>
      <c r="C1722" s="3">
        <v>40.31</v>
      </c>
      <c r="D1722" s="3">
        <v>1209.3000000000002</v>
      </c>
      <c r="E1722" s="3" t="str">
        <f t="shared" si="105"/>
        <v>Low</v>
      </c>
      <c r="F1722" s="3">
        <f t="shared" si="106"/>
        <v>362.79</v>
      </c>
      <c r="G1722" s="4">
        <v>37885</v>
      </c>
      <c r="H1722" s="3" t="s">
        <v>25</v>
      </c>
      <c r="I1722" s="3" t="str">
        <f t="shared" si="104"/>
        <v>Yes</v>
      </c>
      <c r="J1722" s="3" t="s">
        <v>690</v>
      </c>
      <c r="K1722" s="3">
        <v>2003</v>
      </c>
      <c r="L1722" s="3" t="str">
        <f t="shared" si="107"/>
        <v>Sep-2003</v>
      </c>
      <c r="M1722" s="3" t="s">
        <v>181</v>
      </c>
      <c r="N1722" s="3" t="s">
        <v>391</v>
      </c>
      <c r="O1722" s="3" t="s">
        <v>130</v>
      </c>
      <c r="P1722" s="3" t="s">
        <v>42</v>
      </c>
      <c r="Q1722" s="3" t="s">
        <v>36</v>
      </c>
    </row>
    <row r="1723" spans="1:17" x14ac:dyDescent="0.25">
      <c r="A1723" s="5">
        <v>10165</v>
      </c>
      <c r="B1723" s="5">
        <v>27</v>
      </c>
      <c r="C1723" s="5">
        <v>31.82</v>
      </c>
      <c r="D1723" s="5">
        <v>859.14</v>
      </c>
      <c r="E1723" s="5" t="str">
        <f t="shared" si="105"/>
        <v>Low</v>
      </c>
      <c r="F1723" s="5">
        <f t="shared" si="106"/>
        <v>257.74199999999996</v>
      </c>
      <c r="G1723" s="6">
        <v>37916</v>
      </c>
      <c r="H1723" s="5" t="s">
        <v>25</v>
      </c>
      <c r="I1723" s="5" t="str">
        <f t="shared" si="104"/>
        <v>Yes</v>
      </c>
      <c r="J1723" s="5" t="s">
        <v>685</v>
      </c>
      <c r="K1723" s="5">
        <v>2003</v>
      </c>
      <c r="L1723" s="5" t="str">
        <f t="shared" si="107"/>
        <v>Oct-2003</v>
      </c>
      <c r="M1723" s="5" t="s">
        <v>181</v>
      </c>
      <c r="N1723" s="5" t="s">
        <v>196</v>
      </c>
      <c r="O1723" s="5" t="s">
        <v>199</v>
      </c>
      <c r="P1723" s="5" t="s">
        <v>675</v>
      </c>
      <c r="Q1723" s="5" t="s">
        <v>36</v>
      </c>
    </row>
    <row r="1724" spans="1:17" x14ac:dyDescent="0.25">
      <c r="A1724" s="3">
        <v>10175</v>
      </c>
      <c r="B1724" s="3">
        <v>37</v>
      </c>
      <c r="C1724" s="3">
        <v>31.12</v>
      </c>
      <c r="D1724" s="3">
        <v>1151.44</v>
      </c>
      <c r="E1724" s="3" t="str">
        <f t="shared" si="105"/>
        <v>Low</v>
      </c>
      <c r="F1724" s="3">
        <f t="shared" si="106"/>
        <v>345.43200000000002</v>
      </c>
      <c r="G1724" s="4">
        <v>37931</v>
      </c>
      <c r="H1724" s="3" t="s">
        <v>25</v>
      </c>
      <c r="I1724" s="3" t="str">
        <f t="shared" si="104"/>
        <v>Yes</v>
      </c>
      <c r="J1724" s="3" t="s">
        <v>686</v>
      </c>
      <c r="K1724" s="3">
        <v>2003</v>
      </c>
      <c r="L1724" s="3" t="str">
        <f t="shared" si="107"/>
        <v>Nov-2003</v>
      </c>
      <c r="M1724" s="3" t="s">
        <v>181</v>
      </c>
      <c r="N1724" s="3" t="s">
        <v>329</v>
      </c>
      <c r="O1724" s="3" t="s">
        <v>170</v>
      </c>
      <c r="P1724" s="3" t="s">
        <v>42</v>
      </c>
      <c r="Q1724" s="3" t="s">
        <v>36</v>
      </c>
    </row>
    <row r="1725" spans="1:17" x14ac:dyDescent="0.25">
      <c r="A1725" s="5">
        <v>10184</v>
      </c>
      <c r="B1725" s="5">
        <v>42</v>
      </c>
      <c r="C1725" s="5">
        <v>31.82</v>
      </c>
      <c r="D1725" s="5">
        <v>1336.44</v>
      </c>
      <c r="E1725" s="5" t="str">
        <f t="shared" si="105"/>
        <v>Low</v>
      </c>
      <c r="F1725" s="5">
        <f t="shared" si="106"/>
        <v>400.93200000000002</v>
      </c>
      <c r="G1725" s="6">
        <v>37939</v>
      </c>
      <c r="H1725" s="5" t="s">
        <v>25</v>
      </c>
      <c r="I1725" s="5" t="str">
        <f t="shared" si="104"/>
        <v>Yes</v>
      </c>
      <c r="J1725" s="5" t="s">
        <v>686</v>
      </c>
      <c r="K1725" s="5">
        <v>2003</v>
      </c>
      <c r="L1725" s="5" t="str">
        <f t="shared" si="107"/>
        <v>Nov-2003</v>
      </c>
      <c r="M1725" s="5" t="s">
        <v>181</v>
      </c>
      <c r="N1725" s="5" t="s">
        <v>520</v>
      </c>
      <c r="O1725" s="5" t="s">
        <v>178</v>
      </c>
      <c r="P1725" s="5" t="s">
        <v>42</v>
      </c>
      <c r="Q1725" s="5" t="s">
        <v>36</v>
      </c>
    </row>
    <row r="1726" spans="1:17" x14ac:dyDescent="0.25">
      <c r="A1726" s="3">
        <v>10195</v>
      </c>
      <c r="B1726" s="3">
        <v>32</v>
      </c>
      <c r="C1726" s="3">
        <v>28.29</v>
      </c>
      <c r="D1726" s="3">
        <v>905.28</v>
      </c>
      <c r="E1726" s="3" t="str">
        <f t="shared" si="105"/>
        <v>Low</v>
      </c>
      <c r="F1726" s="3">
        <f t="shared" si="106"/>
        <v>271.584</v>
      </c>
      <c r="G1726" s="4">
        <v>37950</v>
      </c>
      <c r="H1726" s="3" t="s">
        <v>25</v>
      </c>
      <c r="I1726" s="3" t="str">
        <f t="shared" si="104"/>
        <v>Yes</v>
      </c>
      <c r="J1726" s="3" t="s">
        <v>686</v>
      </c>
      <c r="K1726" s="3">
        <v>2003</v>
      </c>
      <c r="L1726" s="3" t="str">
        <f t="shared" si="107"/>
        <v>Nov-2003</v>
      </c>
      <c r="M1726" s="3" t="s">
        <v>181</v>
      </c>
      <c r="N1726" s="3" t="s">
        <v>317</v>
      </c>
      <c r="O1726" s="3" t="s">
        <v>32</v>
      </c>
      <c r="P1726" s="3" t="s">
        <v>33</v>
      </c>
      <c r="Q1726" s="3" t="s">
        <v>36</v>
      </c>
    </row>
    <row r="1727" spans="1:17" x14ac:dyDescent="0.25">
      <c r="A1727" s="5">
        <v>10207</v>
      </c>
      <c r="B1727" s="5">
        <v>42</v>
      </c>
      <c r="C1727" s="5">
        <v>29.7</v>
      </c>
      <c r="D1727" s="5">
        <v>1247.3999999999999</v>
      </c>
      <c r="E1727" s="5" t="str">
        <f t="shared" si="105"/>
        <v>Low</v>
      </c>
      <c r="F1727" s="5">
        <f t="shared" si="106"/>
        <v>374.21999999999997</v>
      </c>
      <c r="G1727" s="6">
        <v>37964</v>
      </c>
      <c r="H1727" s="5" t="s">
        <v>25</v>
      </c>
      <c r="I1727" s="5" t="str">
        <f t="shared" si="104"/>
        <v>Yes</v>
      </c>
      <c r="J1727" s="5" t="s">
        <v>687</v>
      </c>
      <c r="K1727" s="5">
        <v>2003</v>
      </c>
      <c r="L1727" s="5" t="str">
        <f t="shared" si="107"/>
        <v>Dec-2003</v>
      </c>
      <c r="M1727" s="5" t="s">
        <v>181</v>
      </c>
      <c r="N1727" s="5" t="s">
        <v>415</v>
      </c>
      <c r="O1727" s="5" t="s">
        <v>32</v>
      </c>
      <c r="P1727" s="5" t="s">
        <v>33</v>
      </c>
      <c r="Q1727" s="5" t="s">
        <v>36</v>
      </c>
    </row>
    <row r="1728" spans="1:17" x14ac:dyDescent="0.25">
      <c r="A1728" s="3">
        <v>10219</v>
      </c>
      <c r="B1728" s="3">
        <v>21</v>
      </c>
      <c r="C1728" s="3">
        <v>40.31</v>
      </c>
      <c r="D1728" s="3">
        <v>846.51</v>
      </c>
      <c r="E1728" s="3" t="str">
        <f t="shared" si="105"/>
        <v>Low</v>
      </c>
      <c r="F1728" s="3">
        <f t="shared" si="106"/>
        <v>253.95299999999997</v>
      </c>
      <c r="G1728" s="4">
        <v>38027</v>
      </c>
      <c r="H1728" s="3" t="s">
        <v>25</v>
      </c>
      <c r="I1728" s="3" t="str">
        <f t="shared" si="104"/>
        <v>Yes</v>
      </c>
      <c r="J1728" s="3" t="s">
        <v>681</v>
      </c>
      <c r="K1728" s="3">
        <v>2004</v>
      </c>
      <c r="L1728" s="3" t="str">
        <f t="shared" si="107"/>
        <v>Feb-2004</v>
      </c>
      <c r="M1728" s="3" t="s">
        <v>181</v>
      </c>
      <c r="N1728" s="3" t="s">
        <v>526</v>
      </c>
      <c r="O1728" s="3" t="s">
        <v>32</v>
      </c>
      <c r="P1728" s="3" t="s">
        <v>33</v>
      </c>
      <c r="Q1728" s="3" t="s">
        <v>36</v>
      </c>
    </row>
    <row r="1729" spans="1:17" x14ac:dyDescent="0.25">
      <c r="A1729" s="5">
        <v>10229</v>
      </c>
      <c r="B1729" s="5">
        <v>33</v>
      </c>
      <c r="C1729" s="5">
        <v>32.880000000000003</v>
      </c>
      <c r="D1729" s="5">
        <v>1085.0400000000002</v>
      </c>
      <c r="E1729" s="5" t="str">
        <f t="shared" si="105"/>
        <v>Low</v>
      </c>
      <c r="F1729" s="5">
        <f t="shared" si="106"/>
        <v>325.51200000000006</v>
      </c>
      <c r="G1729" s="6">
        <v>38057</v>
      </c>
      <c r="H1729" s="5" t="s">
        <v>25</v>
      </c>
      <c r="I1729" s="5" t="str">
        <f t="shared" si="104"/>
        <v>Yes</v>
      </c>
      <c r="J1729" s="5" t="s">
        <v>691</v>
      </c>
      <c r="K1729" s="5">
        <v>2004</v>
      </c>
      <c r="L1729" s="5" t="str">
        <f t="shared" si="107"/>
        <v>Mar-2004</v>
      </c>
      <c r="M1729" s="5" t="s">
        <v>181</v>
      </c>
      <c r="N1729" s="5" t="s">
        <v>272</v>
      </c>
      <c r="O1729" s="5" t="s">
        <v>32</v>
      </c>
      <c r="P1729" s="5" t="s">
        <v>33</v>
      </c>
      <c r="Q1729" s="5" t="s">
        <v>36</v>
      </c>
    </row>
    <row r="1730" spans="1:17" x14ac:dyDescent="0.25">
      <c r="A1730" s="3">
        <v>10246</v>
      </c>
      <c r="B1730" s="3">
        <v>49</v>
      </c>
      <c r="C1730" s="3">
        <v>36.07</v>
      </c>
      <c r="D1730" s="3">
        <v>1767.43</v>
      </c>
      <c r="E1730" s="3" t="str">
        <f t="shared" si="105"/>
        <v>Low</v>
      </c>
      <c r="F1730" s="3">
        <f t="shared" si="106"/>
        <v>530.22900000000004</v>
      </c>
      <c r="G1730" s="4">
        <v>38112</v>
      </c>
      <c r="H1730" s="3" t="s">
        <v>25</v>
      </c>
      <c r="I1730" s="3" t="str">
        <f t="shared" ref="I1730:I1793" si="108">IF(H1730="Shipped","Yes","No")</f>
        <v>Yes</v>
      </c>
      <c r="J1730" s="3" t="s">
        <v>682</v>
      </c>
      <c r="K1730" s="3">
        <v>2004</v>
      </c>
      <c r="L1730" s="3" t="str">
        <f t="shared" si="107"/>
        <v>May-2004</v>
      </c>
      <c r="M1730" s="3" t="s">
        <v>181</v>
      </c>
      <c r="N1730" s="3" t="s">
        <v>174</v>
      </c>
      <c r="O1730" s="3" t="s">
        <v>178</v>
      </c>
      <c r="P1730" s="3" t="s">
        <v>42</v>
      </c>
      <c r="Q1730" s="3" t="s">
        <v>36</v>
      </c>
    </row>
    <row r="1731" spans="1:17" x14ac:dyDescent="0.25">
      <c r="A1731" s="5">
        <v>10259</v>
      </c>
      <c r="B1731" s="5">
        <v>31</v>
      </c>
      <c r="C1731" s="5">
        <v>33.24</v>
      </c>
      <c r="D1731" s="5">
        <v>1030.44</v>
      </c>
      <c r="E1731" s="5" t="str">
        <f t="shared" ref="E1731:E1794" si="109">IF(D1731&gt;=5000,"High",IF(D1731&gt;=2000,"Medium","Low"))</f>
        <v>Low</v>
      </c>
      <c r="F1731" s="5">
        <f t="shared" ref="F1731:F1794" si="110">(D1731*0.3)</f>
        <v>309.13200000000001</v>
      </c>
      <c r="G1731" s="6">
        <v>38153</v>
      </c>
      <c r="H1731" s="5" t="s">
        <v>25</v>
      </c>
      <c r="I1731" s="5" t="str">
        <f t="shared" si="108"/>
        <v>Yes</v>
      </c>
      <c r="J1731" s="5" t="s">
        <v>689</v>
      </c>
      <c r="K1731" s="5">
        <v>2004</v>
      </c>
      <c r="L1731" s="5" t="str">
        <f t="shared" ref="L1731:L1794" si="111">TEXT(G:G,"MMM-YYYY")</f>
        <v>Jun-2004</v>
      </c>
      <c r="M1731" s="5" t="s">
        <v>181</v>
      </c>
      <c r="N1731" s="5" t="s">
        <v>418</v>
      </c>
      <c r="O1731" s="5" t="s">
        <v>199</v>
      </c>
      <c r="P1731" s="5" t="s">
        <v>96</v>
      </c>
      <c r="Q1731" s="5" t="s">
        <v>36</v>
      </c>
    </row>
    <row r="1732" spans="1:17" x14ac:dyDescent="0.25">
      <c r="A1732" s="3">
        <v>10271</v>
      </c>
      <c r="B1732" s="3">
        <v>38</v>
      </c>
      <c r="C1732" s="3">
        <v>41.72</v>
      </c>
      <c r="D1732" s="3">
        <v>1585.36</v>
      </c>
      <c r="E1732" s="3" t="str">
        <f t="shared" si="109"/>
        <v>Low</v>
      </c>
      <c r="F1732" s="3">
        <f t="shared" si="110"/>
        <v>475.60799999999995</v>
      </c>
      <c r="G1732" s="4">
        <v>38188</v>
      </c>
      <c r="H1732" s="3" t="s">
        <v>25</v>
      </c>
      <c r="I1732" s="3" t="str">
        <f t="shared" si="108"/>
        <v>Yes</v>
      </c>
      <c r="J1732" s="3" t="s">
        <v>683</v>
      </c>
      <c r="K1732" s="3">
        <v>2004</v>
      </c>
      <c r="L1732" s="3" t="str">
        <f t="shared" si="111"/>
        <v>Jul-2004</v>
      </c>
      <c r="M1732" s="3" t="s">
        <v>181</v>
      </c>
      <c r="N1732" s="3" t="s">
        <v>272</v>
      </c>
      <c r="O1732" s="3" t="s">
        <v>32</v>
      </c>
      <c r="P1732" s="3" t="s">
        <v>33</v>
      </c>
      <c r="Q1732" s="3" t="s">
        <v>36</v>
      </c>
    </row>
    <row r="1733" spans="1:17" x14ac:dyDescent="0.25">
      <c r="A1733" s="5">
        <v>10281</v>
      </c>
      <c r="B1733" s="5">
        <v>20</v>
      </c>
      <c r="C1733" s="5">
        <v>40.659999999999997</v>
      </c>
      <c r="D1733" s="5">
        <v>813.19999999999993</v>
      </c>
      <c r="E1733" s="5" t="str">
        <f t="shared" si="109"/>
        <v>Low</v>
      </c>
      <c r="F1733" s="5">
        <f t="shared" si="110"/>
        <v>243.95999999999998</v>
      </c>
      <c r="G1733" s="6">
        <v>38218</v>
      </c>
      <c r="H1733" s="5" t="s">
        <v>25</v>
      </c>
      <c r="I1733" s="5" t="str">
        <f t="shared" si="108"/>
        <v>Yes</v>
      </c>
      <c r="J1733" s="5" t="s">
        <v>684</v>
      </c>
      <c r="K1733" s="5">
        <v>2004</v>
      </c>
      <c r="L1733" s="5" t="str">
        <f t="shared" si="111"/>
        <v>Aug-2004</v>
      </c>
      <c r="M1733" s="5" t="s">
        <v>181</v>
      </c>
      <c r="N1733" s="5" t="s">
        <v>139</v>
      </c>
      <c r="O1733" s="5" t="s">
        <v>32</v>
      </c>
      <c r="P1733" s="5" t="s">
        <v>33</v>
      </c>
      <c r="Q1733" s="5" t="s">
        <v>36</v>
      </c>
    </row>
    <row r="1734" spans="1:17" x14ac:dyDescent="0.25">
      <c r="A1734" s="3">
        <v>10292</v>
      </c>
      <c r="B1734" s="3">
        <v>39</v>
      </c>
      <c r="C1734" s="3">
        <v>30.06</v>
      </c>
      <c r="D1734" s="3">
        <v>1172.3399999999999</v>
      </c>
      <c r="E1734" s="3" t="str">
        <f t="shared" si="109"/>
        <v>Low</v>
      </c>
      <c r="F1734" s="3">
        <f t="shared" si="110"/>
        <v>351.70199999999994</v>
      </c>
      <c r="G1734" s="4">
        <v>38238</v>
      </c>
      <c r="H1734" s="3" t="s">
        <v>25</v>
      </c>
      <c r="I1734" s="3" t="str">
        <f t="shared" si="108"/>
        <v>Yes</v>
      </c>
      <c r="J1734" s="3" t="s">
        <v>690</v>
      </c>
      <c r="K1734" s="3">
        <v>2004</v>
      </c>
      <c r="L1734" s="3" t="str">
        <f t="shared" si="111"/>
        <v>Sep-2004</v>
      </c>
      <c r="M1734" s="3" t="s">
        <v>181</v>
      </c>
      <c r="N1734" s="3" t="s">
        <v>28</v>
      </c>
      <c r="O1734" s="3" t="s">
        <v>32</v>
      </c>
      <c r="P1734" s="3" t="s">
        <v>33</v>
      </c>
      <c r="Q1734" s="3" t="s">
        <v>36</v>
      </c>
    </row>
    <row r="1735" spans="1:17" x14ac:dyDescent="0.25">
      <c r="A1735" s="5">
        <v>10305</v>
      </c>
      <c r="B1735" s="5">
        <v>48</v>
      </c>
      <c r="C1735" s="5">
        <v>31.47</v>
      </c>
      <c r="D1735" s="5">
        <v>1510.56</v>
      </c>
      <c r="E1735" s="5" t="str">
        <f t="shared" si="109"/>
        <v>Low</v>
      </c>
      <c r="F1735" s="5">
        <f t="shared" si="110"/>
        <v>453.16799999999995</v>
      </c>
      <c r="G1735" s="6">
        <v>38273</v>
      </c>
      <c r="H1735" s="5" t="s">
        <v>25</v>
      </c>
      <c r="I1735" s="5" t="str">
        <f t="shared" si="108"/>
        <v>Yes</v>
      </c>
      <c r="J1735" s="5" t="s">
        <v>685</v>
      </c>
      <c r="K1735" s="5">
        <v>2004</v>
      </c>
      <c r="L1735" s="5" t="str">
        <f t="shared" si="111"/>
        <v>Oct-2004</v>
      </c>
      <c r="M1735" s="5" t="s">
        <v>181</v>
      </c>
      <c r="N1735" s="5" t="s">
        <v>120</v>
      </c>
      <c r="O1735" s="5" t="s">
        <v>32</v>
      </c>
      <c r="P1735" s="5" t="s">
        <v>33</v>
      </c>
      <c r="Q1735" s="5" t="s">
        <v>36</v>
      </c>
    </row>
    <row r="1736" spans="1:17" x14ac:dyDescent="0.25">
      <c r="A1736" s="3">
        <v>10314</v>
      </c>
      <c r="B1736" s="3">
        <v>39</v>
      </c>
      <c r="C1736" s="3">
        <v>37.130000000000003</v>
      </c>
      <c r="D1736" s="3">
        <v>1448.0700000000002</v>
      </c>
      <c r="E1736" s="3" t="str">
        <f t="shared" si="109"/>
        <v>Low</v>
      </c>
      <c r="F1736" s="3">
        <f t="shared" si="110"/>
        <v>434.42100000000005</v>
      </c>
      <c r="G1736" s="4">
        <v>38282</v>
      </c>
      <c r="H1736" s="3" t="s">
        <v>25</v>
      </c>
      <c r="I1736" s="3" t="str">
        <f t="shared" si="108"/>
        <v>Yes</v>
      </c>
      <c r="J1736" s="3" t="s">
        <v>685</v>
      </c>
      <c r="K1736" s="3">
        <v>2004</v>
      </c>
      <c r="L1736" s="3" t="str">
        <f t="shared" si="111"/>
        <v>Oct-2004</v>
      </c>
      <c r="M1736" s="3" t="s">
        <v>181</v>
      </c>
      <c r="N1736" s="3" t="s">
        <v>498</v>
      </c>
      <c r="O1736" s="3" t="s">
        <v>326</v>
      </c>
      <c r="P1736" s="3" t="s">
        <v>42</v>
      </c>
      <c r="Q1736" s="3" t="s">
        <v>36</v>
      </c>
    </row>
    <row r="1737" spans="1:17" x14ac:dyDescent="0.25">
      <c r="A1737" s="5">
        <v>10324</v>
      </c>
      <c r="B1737" s="5">
        <v>30</v>
      </c>
      <c r="C1737" s="5">
        <v>100</v>
      </c>
      <c r="D1737" s="5">
        <v>3000</v>
      </c>
      <c r="E1737" s="5" t="str">
        <f t="shared" si="109"/>
        <v>Medium</v>
      </c>
      <c r="F1737" s="5">
        <f t="shared" si="110"/>
        <v>900</v>
      </c>
      <c r="G1737" s="6">
        <v>38296</v>
      </c>
      <c r="H1737" s="5" t="s">
        <v>25</v>
      </c>
      <c r="I1737" s="5" t="str">
        <f t="shared" si="108"/>
        <v>Yes</v>
      </c>
      <c r="J1737" s="5" t="s">
        <v>686</v>
      </c>
      <c r="K1737" s="5">
        <v>2004</v>
      </c>
      <c r="L1737" s="5" t="str">
        <f t="shared" si="111"/>
        <v>Nov-2004</v>
      </c>
      <c r="M1737" s="5" t="s">
        <v>181</v>
      </c>
      <c r="N1737" s="5" t="s">
        <v>99</v>
      </c>
      <c r="O1737" s="5" t="s">
        <v>32</v>
      </c>
      <c r="P1737" s="5" t="s">
        <v>33</v>
      </c>
      <c r="Q1737" s="5" t="s">
        <v>51</v>
      </c>
    </row>
    <row r="1738" spans="1:17" x14ac:dyDescent="0.25">
      <c r="A1738" s="3">
        <v>10335</v>
      </c>
      <c r="B1738" s="3">
        <v>33</v>
      </c>
      <c r="C1738" s="3">
        <v>37.130000000000003</v>
      </c>
      <c r="D1738" s="3">
        <v>1225.2900000000002</v>
      </c>
      <c r="E1738" s="3" t="str">
        <f t="shared" si="109"/>
        <v>Low</v>
      </c>
      <c r="F1738" s="3">
        <f t="shared" si="110"/>
        <v>367.58700000000005</v>
      </c>
      <c r="G1738" s="4">
        <v>38310</v>
      </c>
      <c r="H1738" s="3" t="s">
        <v>25</v>
      </c>
      <c r="I1738" s="3" t="str">
        <f t="shared" si="108"/>
        <v>Yes</v>
      </c>
      <c r="J1738" s="3" t="s">
        <v>686</v>
      </c>
      <c r="K1738" s="3">
        <v>2004</v>
      </c>
      <c r="L1738" s="3" t="str">
        <f t="shared" si="111"/>
        <v>Nov-2004</v>
      </c>
      <c r="M1738" s="3" t="s">
        <v>181</v>
      </c>
      <c r="N1738" s="3" t="s">
        <v>272</v>
      </c>
      <c r="O1738" s="3" t="s">
        <v>32</v>
      </c>
      <c r="P1738" s="3" t="s">
        <v>33</v>
      </c>
      <c r="Q1738" s="3" t="s">
        <v>36</v>
      </c>
    </row>
    <row r="1739" spans="1:17" x14ac:dyDescent="0.25">
      <c r="A1739" s="5">
        <v>10349</v>
      </c>
      <c r="B1739" s="5">
        <v>36</v>
      </c>
      <c r="C1739" s="5">
        <v>37.130000000000003</v>
      </c>
      <c r="D1739" s="5">
        <v>1336.68</v>
      </c>
      <c r="E1739" s="5" t="str">
        <f t="shared" si="109"/>
        <v>Low</v>
      </c>
      <c r="F1739" s="5">
        <f t="shared" si="110"/>
        <v>401.00400000000002</v>
      </c>
      <c r="G1739" s="6">
        <v>38322</v>
      </c>
      <c r="H1739" s="5" t="s">
        <v>25</v>
      </c>
      <c r="I1739" s="5" t="str">
        <f t="shared" si="108"/>
        <v>Yes</v>
      </c>
      <c r="J1739" s="5" t="s">
        <v>687</v>
      </c>
      <c r="K1739" s="5">
        <v>2004</v>
      </c>
      <c r="L1739" s="5" t="str">
        <f t="shared" si="111"/>
        <v>Dec-2004</v>
      </c>
      <c r="M1739" s="5" t="s">
        <v>181</v>
      </c>
      <c r="N1739" s="5" t="s">
        <v>475</v>
      </c>
      <c r="O1739" s="5" t="s">
        <v>32</v>
      </c>
      <c r="P1739" s="5" t="s">
        <v>33</v>
      </c>
      <c r="Q1739" s="5" t="s">
        <v>36</v>
      </c>
    </row>
    <row r="1740" spans="1:17" x14ac:dyDescent="0.25">
      <c r="A1740" s="3">
        <v>10358</v>
      </c>
      <c r="B1740" s="3">
        <v>36</v>
      </c>
      <c r="C1740" s="3">
        <v>82.94</v>
      </c>
      <c r="D1740" s="3">
        <v>2985.84</v>
      </c>
      <c r="E1740" s="3" t="str">
        <f t="shared" si="109"/>
        <v>Medium</v>
      </c>
      <c r="F1740" s="3">
        <f t="shared" si="110"/>
        <v>895.75200000000007</v>
      </c>
      <c r="G1740" s="4">
        <v>38331</v>
      </c>
      <c r="H1740" s="3" t="s">
        <v>25</v>
      </c>
      <c r="I1740" s="3" t="str">
        <f t="shared" si="108"/>
        <v>Yes</v>
      </c>
      <c r="J1740" s="3" t="s">
        <v>687</v>
      </c>
      <c r="K1740" s="3">
        <v>2004</v>
      </c>
      <c r="L1740" s="3" t="str">
        <f t="shared" si="111"/>
        <v>Dec-2004</v>
      </c>
      <c r="M1740" s="3" t="s">
        <v>181</v>
      </c>
      <c r="N1740" s="3" t="s">
        <v>174</v>
      </c>
      <c r="O1740" s="3" t="s">
        <v>178</v>
      </c>
      <c r="P1740" s="3" t="s">
        <v>42</v>
      </c>
      <c r="Q1740" s="3" t="s">
        <v>36</v>
      </c>
    </row>
    <row r="1741" spans="1:17" x14ac:dyDescent="0.25">
      <c r="A1741" s="5">
        <v>10371</v>
      </c>
      <c r="B1741" s="5">
        <v>45</v>
      </c>
      <c r="C1741" s="5">
        <v>100</v>
      </c>
      <c r="D1741" s="5">
        <v>4500</v>
      </c>
      <c r="E1741" s="5" t="str">
        <f t="shared" si="109"/>
        <v>Medium</v>
      </c>
      <c r="F1741" s="5">
        <f t="shared" si="110"/>
        <v>1350</v>
      </c>
      <c r="G1741" s="6">
        <v>38375</v>
      </c>
      <c r="H1741" s="5" t="s">
        <v>25</v>
      </c>
      <c r="I1741" s="5" t="str">
        <f t="shared" si="108"/>
        <v>Yes</v>
      </c>
      <c r="J1741" s="5" t="s">
        <v>549</v>
      </c>
      <c r="K1741" s="5">
        <v>2005</v>
      </c>
      <c r="L1741" s="5" t="str">
        <f t="shared" si="111"/>
        <v>Jan-2005</v>
      </c>
      <c r="M1741" s="5" t="s">
        <v>181</v>
      </c>
      <c r="N1741" s="5" t="s">
        <v>272</v>
      </c>
      <c r="O1741" s="5" t="s">
        <v>32</v>
      </c>
      <c r="P1741" s="5" t="s">
        <v>33</v>
      </c>
      <c r="Q1741" s="5" t="s">
        <v>51</v>
      </c>
    </row>
    <row r="1742" spans="1:17" x14ac:dyDescent="0.25">
      <c r="A1742" s="3">
        <v>10383</v>
      </c>
      <c r="B1742" s="3">
        <v>40</v>
      </c>
      <c r="C1742" s="3">
        <v>100</v>
      </c>
      <c r="D1742" s="3">
        <v>4000</v>
      </c>
      <c r="E1742" s="3" t="str">
        <f t="shared" si="109"/>
        <v>Medium</v>
      </c>
      <c r="F1742" s="3">
        <f t="shared" si="110"/>
        <v>1200</v>
      </c>
      <c r="G1742" s="4">
        <v>38405</v>
      </c>
      <c r="H1742" s="3" t="s">
        <v>25</v>
      </c>
      <c r="I1742" s="3" t="str">
        <f t="shared" si="108"/>
        <v>Yes</v>
      </c>
      <c r="J1742" s="3" t="s">
        <v>681</v>
      </c>
      <c r="K1742" s="3">
        <v>2005</v>
      </c>
      <c r="L1742" s="3" t="str">
        <f t="shared" si="111"/>
        <v>Feb-2005</v>
      </c>
      <c r="M1742" s="3" t="s">
        <v>181</v>
      </c>
      <c r="N1742" s="3" t="s">
        <v>174</v>
      </c>
      <c r="O1742" s="3" t="s">
        <v>178</v>
      </c>
      <c r="P1742" s="3" t="s">
        <v>42</v>
      </c>
      <c r="Q1742" s="3" t="s">
        <v>51</v>
      </c>
    </row>
    <row r="1743" spans="1:17" x14ac:dyDescent="0.25">
      <c r="A1743" s="5">
        <v>10394</v>
      </c>
      <c r="B1743" s="5">
        <v>46</v>
      </c>
      <c r="C1743" s="5">
        <v>38.9</v>
      </c>
      <c r="D1743" s="5">
        <v>1789.3999999999999</v>
      </c>
      <c r="E1743" s="5" t="str">
        <f t="shared" si="109"/>
        <v>Low</v>
      </c>
      <c r="F1743" s="5">
        <f t="shared" si="110"/>
        <v>536.81999999999994</v>
      </c>
      <c r="G1743" s="6">
        <v>38426</v>
      </c>
      <c r="H1743" s="5" t="s">
        <v>25</v>
      </c>
      <c r="I1743" s="5" t="str">
        <f t="shared" si="108"/>
        <v>Yes</v>
      </c>
      <c r="J1743" s="5" t="s">
        <v>691</v>
      </c>
      <c r="K1743" s="5">
        <v>2005</v>
      </c>
      <c r="L1743" s="5" t="str">
        <f t="shared" si="111"/>
        <v>Mar-2005</v>
      </c>
      <c r="M1743" s="5" t="s">
        <v>181</v>
      </c>
      <c r="N1743" s="5" t="s">
        <v>174</v>
      </c>
      <c r="O1743" s="5" t="s">
        <v>178</v>
      </c>
      <c r="P1743" s="5" t="s">
        <v>42</v>
      </c>
      <c r="Q1743" s="5" t="s">
        <v>36</v>
      </c>
    </row>
    <row r="1744" spans="1:17" x14ac:dyDescent="0.25">
      <c r="A1744" s="3">
        <v>10412</v>
      </c>
      <c r="B1744" s="3">
        <v>30</v>
      </c>
      <c r="C1744" s="3">
        <v>36.07</v>
      </c>
      <c r="D1744" s="3">
        <v>1082.0999999999999</v>
      </c>
      <c r="E1744" s="3" t="str">
        <f t="shared" si="109"/>
        <v>Low</v>
      </c>
      <c r="F1744" s="3">
        <f t="shared" si="110"/>
        <v>324.62999999999994</v>
      </c>
      <c r="G1744" s="4">
        <v>38475</v>
      </c>
      <c r="H1744" s="3" t="s">
        <v>25</v>
      </c>
      <c r="I1744" s="3" t="str">
        <f t="shared" si="108"/>
        <v>Yes</v>
      </c>
      <c r="J1744" s="3" t="s">
        <v>682</v>
      </c>
      <c r="K1744" s="3">
        <v>2005</v>
      </c>
      <c r="L1744" s="3" t="str">
        <f t="shared" si="111"/>
        <v>May-2005</v>
      </c>
      <c r="M1744" s="3" t="s">
        <v>181</v>
      </c>
      <c r="N1744" s="3" t="s">
        <v>174</v>
      </c>
      <c r="O1744" s="3" t="s">
        <v>178</v>
      </c>
      <c r="P1744" s="3" t="s">
        <v>42</v>
      </c>
      <c r="Q1744" s="3" t="s">
        <v>36</v>
      </c>
    </row>
    <row r="1745" spans="1:17" x14ac:dyDescent="0.25">
      <c r="A1745" s="5">
        <v>10425</v>
      </c>
      <c r="B1745" s="5">
        <v>31</v>
      </c>
      <c r="C1745" s="5">
        <v>33.24</v>
      </c>
      <c r="D1745" s="5">
        <v>1030.44</v>
      </c>
      <c r="E1745" s="5" t="str">
        <f t="shared" si="109"/>
        <v>Low</v>
      </c>
      <c r="F1745" s="5">
        <f t="shared" si="110"/>
        <v>309.13200000000001</v>
      </c>
      <c r="G1745" s="6">
        <v>38503</v>
      </c>
      <c r="H1745" s="5" t="s">
        <v>300</v>
      </c>
      <c r="I1745" s="5" t="str">
        <f t="shared" si="108"/>
        <v>No</v>
      </c>
      <c r="J1745" s="5" t="s">
        <v>682</v>
      </c>
      <c r="K1745" s="5">
        <v>2005</v>
      </c>
      <c r="L1745" s="5" t="str">
        <f t="shared" si="111"/>
        <v>May-2005</v>
      </c>
      <c r="M1745" s="5" t="s">
        <v>181</v>
      </c>
      <c r="N1745" s="5" t="s">
        <v>114</v>
      </c>
      <c r="O1745" s="5" t="s">
        <v>41</v>
      </c>
      <c r="P1745" s="5" t="s">
        <v>42</v>
      </c>
      <c r="Q1745" s="5" t="s">
        <v>36</v>
      </c>
    </row>
    <row r="1746" spans="1:17" x14ac:dyDescent="0.25">
      <c r="A1746" s="3">
        <v>10106</v>
      </c>
      <c r="B1746" s="3">
        <v>49</v>
      </c>
      <c r="C1746" s="3">
        <v>74.680000000000007</v>
      </c>
      <c r="D1746" s="3">
        <v>3659.32</v>
      </c>
      <c r="E1746" s="3" t="str">
        <f t="shared" si="109"/>
        <v>Medium</v>
      </c>
      <c r="F1746" s="3">
        <f t="shared" si="110"/>
        <v>1097.796</v>
      </c>
      <c r="G1746" s="4">
        <v>37669</v>
      </c>
      <c r="H1746" s="3" t="s">
        <v>25</v>
      </c>
      <c r="I1746" s="3" t="str">
        <f t="shared" si="108"/>
        <v>Yes</v>
      </c>
      <c r="J1746" s="3" t="s">
        <v>681</v>
      </c>
      <c r="K1746" s="3">
        <v>2003</v>
      </c>
      <c r="L1746" s="3" t="str">
        <f t="shared" si="111"/>
        <v>Feb-2003</v>
      </c>
      <c r="M1746" s="3" t="s">
        <v>566</v>
      </c>
      <c r="N1746" s="3" t="s">
        <v>552</v>
      </c>
      <c r="O1746" s="3" t="s">
        <v>258</v>
      </c>
      <c r="P1746" s="3" t="s">
        <v>42</v>
      </c>
      <c r="Q1746" s="3" t="s">
        <v>51</v>
      </c>
    </row>
    <row r="1747" spans="1:17" x14ac:dyDescent="0.25">
      <c r="A1747" s="5">
        <v>10119</v>
      </c>
      <c r="B1747" s="5">
        <v>41</v>
      </c>
      <c r="C1747" s="5">
        <v>59.6</v>
      </c>
      <c r="D1747" s="5">
        <v>2443.6</v>
      </c>
      <c r="E1747" s="5" t="str">
        <f t="shared" si="109"/>
        <v>Medium</v>
      </c>
      <c r="F1747" s="5">
        <f t="shared" si="110"/>
        <v>733.07999999999993</v>
      </c>
      <c r="G1747" s="6">
        <v>37739</v>
      </c>
      <c r="H1747" s="5" t="s">
        <v>25</v>
      </c>
      <c r="I1747" s="5" t="str">
        <f t="shared" si="108"/>
        <v>Yes</v>
      </c>
      <c r="J1747" s="5" t="s">
        <v>688</v>
      </c>
      <c r="K1747" s="5">
        <v>2003</v>
      </c>
      <c r="L1747" s="5" t="str">
        <f t="shared" si="111"/>
        <v>Apr-2003</v>
      </c>
      <c r="M1747" s="5" t="s">
        <v>566</v>
      </c>
      <c r="N1747" s="5" t="s">
        <v>144</v>
      </c>
      <c r="O1747" s="5" t="s">
        <v>148</v>
      </c>
      <c r="P1747" s="5" t="s">
        <v>42</v>
      </c>
      <c r="Q1747" s="5" t="s">
        <v>36</v>
      </c>
    </row>
    <row r="1748" spans="1:17" x14ac:dyDescent="0.25">
      <c r="A1748" s="3">
        <v>10131</v>
      </c>
      <c r="B1748" s="3">
        <v>35</v>
      </c>
      <c r="C1748" s="3">
        <v>67.14</v>
      </c>
      <c r="D1748" s="3">
        <v>2349.9</v>
      </c>
      <c r="E1748" s="3" t="str">
        <f t="shared" si="109"/>
        <v>Medium</v>
      </c>
      <c r="F1748" s="3">
        <f t="shared" si="110"/>
        <v>704.97</v>
      </c>
      <c r="G1748" s="4">
        <v>37788</v>
      </c>
      <c r="H1748" s="3" t="s">
        <v>25</v>
      </c>
      <c r="I1748" s="3" t="str">
        <f t="shared" si="108"/>
        <v>Yes</v>
      </c>
      <c r="J1748" s="3" t="s">
        <v>689</v>
      </c>
      <c r="K1748" s="3">
        <v>2003</v>
      </c>
      <c r="L1748" s="3" t="str">
        <f t="shared" si="111"/>
        <v>Jun-2003</v>
      </c>
      <c r="M1748" s="3" t="s">
        <v>566</v>
      </c>
      <c r="N1748" s="3" t="s">
        <v>568</v>
      </c>
      <c r="O1748" s="3" t="s">
        <v>32</v>
      </c>
      <c r="P1748" s="3" t="s">
        <v>33</v>
      </c>
      <c r="Q1748" s="3" t="s">
        <v>36</v>
      </c>
    </row>
    <row r="1749" spans="1:17" x14ac:dyDescent="0.25">
      <c r="A1749" s="5">
        <v>10143</v>
      </c>
      <c r="B1749" s="5">
        <v>27</v>
      </c>
      <c r="C1749" s="5">
        <v>60.97</v>
      </c>
      <c r="D1749" s="5">
        <v>1646.19</v>
      </c>
      <c r="E1749" s="5" t="str">
        <f t="shared" si="109"/>
        <v>Low</v>
      </c>
      <c r="F1749" s="5">
        <f t="shared" si="110"/>
        <v>493.85699999999997</v>
      </c>
      <c r="G1749" s="6">
        <v>37843</v>
      </c>
      <c r="H1749" s="5" t="s">
        <v>25</v>
      </c>
      <c r="I1749" s="5" t="str">
        <f t="shared" si="108"/>
        <v>Yes</v>
      </c>
      <c r="J1749" s="5" t="s">
        <v>684</v>
      </c>
      <c r="K1749" s="5">
        <v>2003</v>
      </c>
      <c r="L1749" s="5" t="str">
        <f t="shared" si="111"/>
        <v>Aug-2003</v>
      </c>
      <c r="M1749" s="5" t="s">
        <v>566</v>
      </c>
      <c r="N1749" s="5" t="s">
        <v>335</v>
      </c>
      <c r="O1749" s="5" t="s">
        <v>32</v>
      </c>
      <c r="P1749" s="5" t="s">
        <v>33</v>
      </c>
      <c r="Q1749" s="5" t="s">
        <v>36</v>
      </c>
    </row>
    <row r="1750" spans="1:17" x14ac:dyDescent="0.25">
      <c r="A1750" s="3">
        <v>10155</v>
      </c>
      <c r="B1750" s="3">
        <v>23</v>
      </c>
      <c r="C1750" s="3">
        <v>72.62</v>
      </c>
      <c r="D1750" s="3">
        <v>1670.2600000000002</v>
      </c>
      <c r="E1750" s="3" t="str">
        <f t="shared" si="109"/>
        <v>Low</v>
      </c>
      <c r="F1750" s="3">
        <f t="shared" si="110"/>
        <v>501.07800000000003</v>
      </c>
      <c r="G1750" s="4">
        <v>37900</v>
      </c>
      <c r="H1750" s="3" t="s">
        <v>25</v>
      </c>
      <c r="I1750" s="3" t="str">
        <f t="shared" si="108"/>
        <v>Yes</v>
      </c>
      <c r="J1750" s="3" t="s">
        <v>685</v>
      </c>
      <c r="K1750" s="3">
        <v>2003</v>
      </c>
      <c r="L1750" s="3" t="str">
        <f t="shared" si="111"/>
        <v>Oct-2003</v>
      </c>
      <c r="M1750" s="3" t="s">
        <v>566</v>
      </c>
      <c r="N1750" s="3" t="s">
        <v>126</v>
      </c>
      <c r="O1750" s="3" t="s">
        <v>130</v>
      </c>
      <c r="P1750" s="3" t="s">
        <v>42</v>
      </c>
      <c r="Q1750" s="3" t="s">
        <v>36</v>
      </c>
    </row>
    <row r="1751" spans="1:17" x14ac:dyDescent="0.25">
      <c r="A1751" s="5">
        <v>10167</v>
      </c>
      <c r="B1751" s="5">
        <v>21</v>
      </c>
      <c r="C1751" s="5">
        <v>69.88</v>
      </c>
      <c r="D1751" s="5">
        <v>1467.48</v>
      </c>
      <c r="E1751" s="5" t="str">
        <f t="shared" si="109"/>
        <v>Low</v>
      </c>
      <c r="F1751" s="5">
        <f t="shared" si="110"/>
        <v>440.24399999999997</v>
      </c>
      <c r="G1751" s="6">
        <v>37917</v>
      </c>
      <c r="H1751" s="5" t="s">
        <v>339</v>
      </c>
      <c r="I1751" s="5" t="str">
        <f t="shared" si="108"/>
        <v>No</v>
      </c>
      <c r="J1751" s="5" t="s">
        <v>685</v>
      </c>
      <c r="K1751" s="5">
        <v>2003</v>
      </c>
      <c r="L1751" s="5" t="str">
        <f t="shared" si="111"/>
        <v>Oct-2003</v>
      </c>
      <c r="M1751" s="5" t="s">
        <v>566</v>
      </c>
      <c r="N1751" s="5" t="s">
        <v>261</v>
      </c>
      <c r="O1751" s="5" t="s">
        <v>188</v>
      </c>
      <c r="P1751" s="5" t="s">
        <v>42</v>
      </c>
      <c r="Q1751" s="5" t="s">
        <v>36</v>
      </c>
    </row>
    <row r="1752" spans="1:17" x14ac:dyDescent="0.25">
      <c r="A1752" s="3">
        <v>10178</v>
      </c>
      <c r="B1752" s="3">
        <v>34</v>
      </c>
      <c r="C1752" s="3">
        <v>80.84</v>
      </c>
      <c r="D1752" s="3">
        <v>2748.56</v>
      </c>
      <c r="E1752" s="3" t="str">
        <f t="shared" si="109"/>
        <v>Medium</v>
      </c>
      <c r="F1752" s="3">
        <f t="shared" si="110"/>
        <v>824.56799999999998</v>
      </c>
      <c r="G1752" s="4">
        <v>37933</v>
      </c>
      <c r="H1752" s="3" t="s">
        <v>25</v>
      </c>
      <c r="I1752" s="3" t="str">
        <f t="shared" si="108"/>
        <v>Yes</v>
      </c>
      <c r="J1752" s="3" t="s">
        <v>686</v>
      </c>
      <c r="K1752" s="3">
        <v>2003</v>
      </c>
      <c r="L1752" s="3" t="str">
        <f t="shared" si="111"/>
        <v>Nov-2003</v>
      </c>
      <c r="M1752" s="3" t="s">
        <v>566</v>
      </c>
      <c r="N1752" s="3" t="s">
        <v>340</v>
      </c>
      <c r="O1752" s="3" t="s">
        <v>41</v>
      </c>
      <c r="P1752" s="3" t="s">
        <v>42</v>
      </c>
      <c r="Q1752" s="3" t="s">
        <v>36</v>
      </c>
    </row>
    <row r="1753" spans="1:17" x14ac:dyDescent="0.25">
      <c r="A1753" s="5">
        <v>10186</v>
      </c>
      <c r="B1753" s="5">
        <v>22</v>
      </c>
      <c r="C1753" s="5">
        <v>69.2</v>
      </c>
      <c r="D1753" s="5">
        <v>1522.4</v>
      </c>
      <c r="E1753" s="5" t="str">
        <f t="shared" si="109"/>
        <v>Low</v>
      </c>
      <c r="F1753" s="5">
        <f t="shared" si="110"/>
        <v>456.72</v>
      </c>
      <c r="G1753" s="6">
        <v>37939</v>
      </c>
      <c r="H1753" s="5" t="s">
        <v>25</v>
      </c>
      <c r="I1753" s="5" t="str">
        <f t="shared" si="108"/>
        <v>Yes</v>
      </c>
      <c r="J1753" s="5" t="s">
        <v>686</v>
      </c>
      <c r="K1753" s="5">
        <v>2003</v>
      </c>
      <c r="L1753" s="5" t="str">
        <f t="shared" si="111"/>
        <v>Nov-2003</v>
      </c>
      <c r="M1753" s="5" t="s">
        <v>566</v>
      </c>
      <c r="N1753" s="5" t="s">
        <v>346</v>
      </c>
      <c r="O1753" s="5" t="s">
        <v>170</v>
      </c>
      <c r="P1753" s="5" t="s">
        <v>42</v>
      </c>
      <c r="Q1753" s="5" t="s">
        <v>36</v>
      </c>
    </row>
    <row r="1754" spans="1:17" x14ac:dyDescent="0.25">
      <c r="A1754" s="3">
        <v>10198</v>
      </c>
      <c r="B1754" s="3">
        <v>48</v>
      </c>
      <c r="C1754" s="3">
        <v>67.819999999999993</v>
      </c>
      <c r="D1754" s="3">
        <v>3255.3599999999997</v>
      </c>
      <c r="E1754" s="3" t="str">
        <f t="shared" si="109"/>
        <v>Medium</v>
      </c>
      <c r="F1754" s="3">
        <f t="shared" si="110"/>
        <v>976.60799999999983</v>
      </c>
      <c r="G1754" s="4">
        <v>37952</v>
      </c>
      <c r="H1754" s="3" t="s">
        <v>25</v>
      </c>
      <c r="I1754" s="3" t="str">
        <f t="shared" si="108"/>
        <v>Yes</v>
      </c>
      <c r="J1754" s="3" t="s">
        <v>686</v>
      </c>
      <c r="K1754" s="3">
        <v>2003</v>
      </c>
      <c r="L1754" s="3" t="str">
        <f t="shared" si="111"/>
        <v>Nov-2003</v>
      </c>
      <c r="M1754" s="3" t="s">
        <v>566</v>
      </c>
      <c r="N1754" s="3" t="s">
        <v>425</v>
      </c>
      <c r="O1754" s="3" t="s">
        <v>430</v>
      </c>
      <c r="P1754" s="3" t="s">
        <v>675</v>
      </c>
      <c r="Q1754" s="3" t="s">
        <v>51</v>
      </c>
    </row>
    <row r="1755" spans="1:17" x14ac:dyDescent="0.25">
      <c r="A1755" s="5">
        <v>10209</v>
      </c>
      <c r="B1755" s="5">
        <v>43</v>
      </c>
      <c r="C1755" s="5">
        <v>82.21</v>
      </c>
      <c r="D1755" s="5">
        <v>3535.0299999999997</v>
      </c>
      <c r="E1755" s="5" t="str">
        <f t="shared" si="109"/>
        <v>Medium</v>
      </c>
      <c r="F1755" s="5">
        <f t="shared" si="110"/>
        <v>1060.5089999999998</v>
      </c>
      <c r="G1755" s="6">
        <v>37995</v>
      </c>
      <c r="H1755" s="5" t="s">
        <v>25</v>
      </c>
      <c r="I1755" s="5" t="str">
        <f t="shared" si="108"/>
        <v>Yes</v>
      </c>
      <c r="J1755" s="5" t="s">
        <v>549</v>
      </c>
      <c r="K1755" s="5">
        <v>2004</v>
      </c>
      <c r="L1755" s="5" t="str">
        <f t="shared" si="111"/>
        <v>Jan-2004</v>
      </c>
      <c r="M1755" s="5" t="s">
        <v>566</v>
      </c>
      <c r="N1755" s="5" t="s">
        <v>358</v>
      </c>
      <c r="O1755" s="5" t="s">
        <v>32</v>
      </c>
      <c r="P1755" s="5" t="s">
        <v>33</v>
      </c>
      <c r="Q1755" s="5" t="s">
        <v>51</v>
      </c>
    </row>
    <row r="1756" spans="1:17" x14ac:dyDescent="0.25">
      <c r="A1756" s="3">
        <v>10222</v>
      </c>
      <c r="B1756" s="3">
        <v>32</v>
      </c>
      <c r="C1756" s="3">
        <v>81.53</v>
      </c>
      <c r="D1756" s="3">
        <v>2608.96</v>
      </c>
      <c r="E1756" s="3" t="str">
        <f t="shared" si="109"/>
        <v>Medium</v>
      </c>
      <c r="F1756" s="3">
        <f t="shared" si="110"/>
        <v>782.68799999999999</v>
      </c>
      <c r="G1756" s="4">
        <v>38036</v>
      </c>
      <c r="H1756" s="3" t="s">
        <v>25</v>
      </c>
      <c r="I1756" s="3" t="str">
        <f t="shared" si="108"/>
        <v>Yes</v>
      </c>
      <c r="J1756" s="3" t="s">
        <v>681</v>
      </c>
      <c r="K1756" s="3">
        <v>2004</v>
      </c>
      <c r="L1756" s="3" t="str">
        <f t="shared" si="111"/>
        <v>Feb-2004</v>
      </c>
      <c r="M1756" s="3" t="s">
        <v>566</v>
      </c>
      <c r="N1756" s="3" t="s">
        <v>362</v>
      </c>
      <c r="O1756" s="3" t="s">
        <v>32</v>
      </c>
      <c r="P1756" s="3" t="s">
        <v>33</v>
      </c>
      <c r="Q1756" s="3" t="s">
        <v>36</v>
      </c>
    </row>
    <row r="1757" spans="1:17" x14ac:dyDescent="0.25">
      <c r="A1757" s="5">
        <v>10249</v>
      </c>
      <c r="B1757" s="5">
        <v>20</v>
      </c>
      <c r="C1757" s="5">
        <v>67.819999999999993</v>
      </c>
      <c r="D1757" s="5">
        <v>1356.3999999999999</v>
      </c>
      <c r="E1757" s="5" t="str">
        <f t="shared" si="109"/>
        <v>Low</v>
      </c>
      <c r="F1757" s="5">
        <f t="shared" si="110"/>
        <v>406.91999999999996</v>
      </c>
      <c r="G1757" s="6">
        <v>38115</v>
      </c>
      <c r="H1757" s="5" t="s">
        <v>25</v>
      </c>
      <c r="I1757" s="5" t="str">
        <f t="shared" si="108"/>
        <v>Yes</v>
      </c>
      <c r="J1757" s="5" t="s">
        <v>682</v>
      </c>
      <c r="K1757" s="5">
        <v>2004</v>
      </c>
      <c r="L1757" s="5" t="str">
        <f t="shared" si="111"/>
        <v>May-2004</v>
      </c>
      <c r="M1757" s="5" t="s">
        <v>566</v>
      </c>
      <c r="N1757" s="5" t="s">
        <v>239</v>
      </c>
      <c r="O1757" s="5" t="s">
        <v>32</v>
      </c>
      <c r="P1757" s="5" t="s">
        <v>33</v>
      </c>
      <c r="Q1757" s="5" t="s">
        <v>36</v>
      </c>
    </row>
    <row r="1758" spans="1:17" x14ac:dyDescent="0.25">
      <c r="A1758" s="3">
        <v>10262</v>
      </c>
      <c r="B1758" s="3">
        <v>24</v>
      </c>
      <c r="C1758" s="3">
        <v>67.14</v>
      </c>
      <c r="D1758" s="3">
        <v>1611.3600000000001</v>
      </c>
      <c r="E1758" s="3" t="str">
        <f t="shared" si="109"/>
        <v>Low</v>
      </c>
      <c r="F1758" s="3">
        <f t="shared" si="110"/>
        <v>483.40800000000002</v>
      </c>
      <c r="G1758" s="4">
        <v>38162</v>
      </c>
      <c r="H1758" s="3" t="s">
        <v>339</v>
      </c>
      <c r="I1758" s="3" t="str">
        <f t="shared" si="108"/>
        <v>No</v>
      </c>
      <c r="J1758" s="3" t="s">
        <v>689</v>
      </c>
      <c r="K1758" s="3">
        <v>2004</v>
      </c>
      <c r="L1758" s="3" t="str">
        <f t="shared" si="111"/>
        <v>Jun-2004</v>
      </c>
      <c r="M1758" s="3" t="s">
        <v>566</v>
      </c>
      <c r="N1758" s="3" t="s">
        <v>174</v>
      </c>
      <c r="O1758" s="3" t="s">
        <v>178</v>
      </c>
      <c r="P1758" s="3" t="s">
        <v>42</v>
      </c>
      <c r="Q1758" s="3" t="s">
        <v>36</v>
      </c>
    </row>
    <row r="1759" spans="1:17" x14ac:dyDescent="0.25">
      <c r="A1759" s="5">
        <v>10274</v>
      </c>
      <c r="B1759" s="5">
        <v>40</v>
      </c>
      <c r="C1759" s="5">
        <v>65.08</v>
      </c>
      <c r="D1759" s="5">
        <v>2603.1999999999998</v>
      </c>
      <c r="E1759" s="5" t="str">
        <f t="shared" si="109"/>
        <v>Medium</v>
      </c>
      <c r="F1759" s="5">
        <f t="shared" si="110"/>
        <v>780.95999999999992</v>
      </c>
      <c r="G1759" s="6">
        <v>38189</v>
      </c>
      <c r="H1759" s="5" t="s">
        <v>25</v>
      </c>
      <c r="I1759" s="5" t="str">
        <f t="shared" si="108"/>
        <v>Yes</v>
      </c>
      <c r="J1759" s="5" t="s">
        <v>683</v>
      </c>
      <c r="K1759" s="5">
        <v>2004</v>
      </c>
      <c r="L1759" s="5" t="str">
        <f t="shared" si="111"/>
        <v>Jul-2004</v>
      </c>
      <c r="M1759" s="5" t="s">
        <v>566</v>
      </c>
      <c r="N1759" s="5" t="s">
        <v>281</v>
      </c>
      <c r="O1759" s="5" t="s">
        <v>32</v>
      </c>
      <c r="P1759" s="5" t="s">
        <v>33</v>
      </c>
      <c r="Q1759" s="5" t="s">
        <v>36</v>
      </c>
    </row>
    <row r="1760" spans="1:17" x14ac:dyDescent="0.25">
      <c r="A1760" s="3">
        <v>10284</v>
      </c>
      <c r="B1760" s="3">
        <v>30</v>
      </c>
      <c r="C1760" s="3">
        <v>73.989999999999995</v>
      </c>
      <c r="D1760" s="3">
        <v>2219.6999999999998</v>
      </c>
      <c r="E1760" s="3" t="str">
        <f t="shared" si="109"/>
        <v>Medium</v>
      </c>
      <c r="F1760" s="3">
        <f t="shared" si="110"/>
        <v>665.91</v>
      </c>
      <c r="G1760" s="4">
        <v>38220</v>
      </c>
      <c r="H1760" s="3" t="s">
        <v>25</v>
      </c>
      <c r="I1760" s="3" t="str">
        <f t="shared" si="108"/>
        <v>Yes</v>
      </c>
      <c r="J1760" s="3" t="s">
        <v>684</v>
      </c>
      <c r="K1760" s="3">
        <v>2004</v>
      </c>
      <c r="L1760" s="3" t="str">
        <f t="shared" si="111"/>
        <v>Aug-2004</v>
      </c>
      <c r="M1760" s="3" t="s">
        <v>566</v>
      </c>
      <c r="N1760" s="3" t="s">
        <v>543</v>
      </c>
      <c r="O1760" s="3" t="s">
        <v>78</v>
      </c>
      <c r="P1760" s="3" t="s">
        <v>42</v>
      </c>
      <c r="Q1760" s="3" t="s">
        <v>36</v>
      </c>
    </row>
    <row r="1761" spans="1:17" x14ac:dyDescent="0.25">
      <c r="A1761" s="5">
        <v>10296</v>
      </c>
      <c r="B1761" s="5">
        <v>21</v>
      </c>
      <c r="C1761" s="5">
        <v>71.25</v>
      </c>
      <c r="D1761" s="5">
        <v>1496.25</v>
      </c>
      <c r="E1761" s="5" t="str">
        <f t="shared" si="109"/>
        <v>Low</v>
      </c>
      <c r="F1761" s="5">
        <f t="shared" si="110"/>
        <v>448.875</v>
      </c>
      <c r="G1761" s="6">
        <v>38245</v>
      </c>
      <c r="H1761" s="5" t="s">
        <v>25</v>
      </c>
      <c r="I1761" s="5" t="str">
        <f t="shared" si="108"/>
        <v>Yes</v>
      </c>
      <c r="J1761" s="5" t="s">
        <v>690</v>
      </c>
      <c r="K1761" s="5">
        <v>2004</v>
      </c>
      <c r="L1761" s="5" t="str">
        <f t="shared" si="111"/>
        <v>Sep-2004</v>
      </c>
      <c r="M1761" s="5" t="s">
        <v>566</v>
      </c>
      <c r="N1761" s="5" t="s">
        <v>572</v>
      </c>
      <c r="O1761" s="5" t="s">
        <v>443</v>
      </c>
      <c r="P1761" s="5" t="s">
        <v>42</v>
      </c>
      <c r="Q1761" s="5" t="s">
        <v>36</v>
      </c>
    </row>
    <row r="1762" spans="1:17" x14ac:dyDescent="0.25">
      <c r="A1762" s="3">
        <v>10307</v>
      </c>
      <c r="B1762" s="3">
        <v>25</v>
      </c>
      <c r="C1762" s="3">
        <v>75.36</v>
      </c>
      <c r="D1762" s="3">
        <v>1884</v>
      </c>
      <c r="E1762" s="3" t="str">
        <f t="shared" si="109"/>
        <v>Low</v>
      </c>
      <c r="F1762" s="3">
        <f t="shared" si="110"/>
        <v>565.19999999999993</v>
      </c>
      <c r="G1762" s="4">
        <v>38274</v>
      </c>
      <c r="H1762" s="3" t="s">
        <v>25</v>
      </c>
      <c r="I1762" s="3" t="str">
        <f t="shared" si="108"/>
        <v>Yes</v>
      </c>
      <c r="J1762" s="3" t="s">
        <v>685</v>
      </c>
      <c r="K1762" s="3">
        <v>2004</v>
      </c>
      <c r="L1762" s="3" t="str">
        <f t="shared" si="111"/>
        <v>Oct-2004</v>
      </c>
      <c r="M1762" s="3" t="s">
        <v>566</v>
      </c>
      <c r="N1762" s="3" t="s">
        <v>214</v>
      </c>
      <c r="O1762" s="3" t="s">
        <v>32</v>
      </c>
      <c r="P1762" s="3" t="s">
        <v>33</v>
      </c>
      <c r="Q1762" s="3" t="s">
        <v>36</v>
      </c>
    </row>
    <row r="1763" spans="1:17" x14ac:dyDescent="0.25">
      <c r="A1763" s="5">
        <v>10316</v>
      </c>
      <c r="B1763" s="5">
        <v>34</v>
      </c>
      <c r="C1763" s="5">
        <v>63.71</v>
      </c>
      <c r="D1763" s="5">
        <v>2166.14</v>
      </c>
      <c r="E1763" s="5" t="str">
        <f t="shared" si="109"/>
        <v>Medium</v>
      </c>
      <c r="F1763" s="5">
        <f t="shared" si="110"/>
        <v>649.84199999999998</v>
      </c>
      <c r="G1763" s="6">
        <v>38292</v>
      </c>
      <c r="H1763" s="5" t="s">
        <v>25</v>
      </c>
      <c r="I1763" s="5" t="str">
        <f t="shared" si="108"/>
        <v>Yes</v>
      </c>
      <c r="J1763" s="5" t="s">
        <v>686</v>
      </c>
      <c r="K1763" s="5">
        <v>2004</v>
      </c>
      <c r="L1763" s="5" t="str">
        <f t="shared" si="111"/>
        <v>Nov-2004</v>
      </c>
      <c r="M1763" s="5" t="s">
        <v>566</v>
      </c>
      <c r="N1763" s="5" t="s">
        <v>383</v>
      </c>
      <c r="O1763" s="5" t="s">
        <v>170</v>
      </c>
      <c r="P1763" s="5" t="s">
        <v>42</v>
      </c>
      <c r="Q1763" s="5" t="s">
        <v>36</v>
      </c>
    </row>
    <row r="1764" spans="1:17" x14ac:dyDescent="0.25">
      <c r="A1764" s="3">
        <v>10328</v>
      </c>
      <c r="B1764" s="3">
        <v>48</v>
      </c>
      <c r="C1764" s="3">
        <v>58.92</v>
      </c>
      <c r="D1764" s="3">
        <v>2828.16</v>
      </c>
      <c r="E1764" s="3" t="str">
        <f t="shared" si="109"/>
        <v>Medium</v>
      </c>
      <c r="F1764" s="3">
        <f t="shared" si="110"/>
        <v>848.44799999999998</v>
      </c>
      <c r="G1764" s="4">
        <v>38303</v>
      </c>
      <c r="H1764" s="3" t="s">
        <v>25</v>
      </c>
      <c r="I1764" s="3" t="str">
        <f t="shared" si="108"/>
        <v>Yes</v>
      </c>
      <c r="J1764" s="3" t="s">
        <v>686</v>
      </c>
      <c r="K1764" s="3">
        <v>2004</v>
      </c>
      <c r="L1764" s="3" t="str">
        <f t="shared" si="111"/>
        <v>Nov-2004</v>
      </c>
      <c r="M1764" s="3" t="s">
        <v>566</v>
      </c>
      <c r="N1764" s="3" t="s">
        <v>552</v>
      </c>
      <c r="O1764" s="3" t="s">
        <v>258</v>
      </c>
      <c r="P1764" s="3" t="s">
        <v>42</v>
      </c>
      <c r="Q1764" s="3" t="s">
        <v>36</v>
      </c>
    </row>
    <row r="1765" spans="1:17" x14ac:dyDescent="0.25">
      <c r="A1765" s="5">
        <v>10339</v>
      </c>
      <c r="B1765" s="5">
        <v>55</v>
      </c>
      <c r="C1765" s="5">
        <v>100</v>
      </c>
      <c r="D1765" s="5">
        <v>5500</v>
      </c>
      <c r="E1765" s="5" t="str">
        <f t="shared" si="109"/>
        <v>High</v>
      </c>
      <c r="F1765" s="5">
        <f t="shared" si="110"/>
        <v>1650</v>
      </c>
      <c r="G1765" s="6">
        <v>38314</v>
      </c>
      <c r="H1765" s="5" t="s">
        <v>25</v>
      </c>
      <c r="I1765" s="5" t="str">
        <f t="shared" si="108"/>
        <v>Yes</v>
      </c>
      <c r="J1765" s="5" t="s">
        <v>686</v>
      </c>
      <c r="K1765" s="5">
        <v>2004</v>
      </c>
      <c r="L1765" s="5" t="str">
        <f t="shared" si="111"/>
        <v>Nov-2004</v>
      </c>
      <c r="M1765" s="5" t="s">
        <v>566</v>
      </c>
      <c r="N1765" s="5" t="s">
        <v>246</v>
      </c>
      <c r="O1765" s="5" t="s">
        <v>200</v>
      </c>
      <c r="P1765" s="5" t="s">
        <v>675</v>
      </c>
      <c r="Q1765" s="5" t="s">
        <v>51</v>
      </c>
    </row>
    <row r="1766" spans="1:17" x14ac:dyDescent="0.25">
      <c r="A1766" s="3">
        <v>10351</v>
      </c>
      <c r="B1766" s="3">
        <v>25</v>
      </c>
      <c r="C1766" s="3">
        <v>74.680000000000007</v>
      </c>
      <c r="D1766" s="3">
        <v>1867.0000000000002</v>
      </c>
      <c r="E1766" s="3" t="str">
        <f t="shared" si="109"/>
        <v>Low</v>
      </c>
      <c r="F1766" s="3">
        <f t="shared" si="110"/>
        <v>560.1</v>
      </c>
      <c r="G1766" s="4">
        <v>38324</v>
      </c>
      <c r="H1766" s="3" t="s">
        <v>25</v>
      </c>
      <c r="I1766" s="3" t="str">
        <f t="shared" si="108"/>
        <v>Yes</v>
      </c>
      <c r="J1766" s="3" t="s">
        <v>687</v>
      </c>
      <c r="K1766" s="3">
        <v>2004</v>
      </c>
      <c r="L1766" s="3" t="str">
        <f t="shared" si="111"/>
        <v>Dec-2004</v>
      </c>
      <c r="M1766" s="3" t="s">
        <v>566</v>
      </c>
      <c r="N1766" s="3" t="s">
        <v>329</v>
      </c>
      <c r="O1766" s="3" t="s">
        <v>170</v>
      </c>
      <c r="P1766" s="3" t="s">
        <v>42</v>
      </c>
      <c r="Q1766" s="3" t="s">
        <v>36</v>
      </c>
    </row>
    <row r="1767" spans="1:17" x14ac:dyDescent="0.25">
      <c r="A1767" s="5">
        <v>10373</v>
      </c>
      <c r="B1767" s="5">
        <v>38</v>
      </c>
      <c r="C1767" s="5">
        <v>70.44</v>
      </c>
      <c r="D1767" s="5">
        <v>2676.72</v>
      </c>
      <c r="E1767" s="5" t="str">
        <f t="shared" si="109"/>
        <v>Medium</v>
      </c>
      <c r="F1767" s="5">
        <f t="shared" si="110"/>
        <v>803.01599999999996</v>
      </c>
      <c r="G1767" s="6">
        <v>38383</v>
      </c>
      <c r="H1767" s="5" t="s">
        <v>25</v>
      </c>
      <c r="I1767" s="5" t="str">
        <f t="shared" si="108"/>
        <v>Yes</v>
      </c>
      <c r="J1767" s="5" t="s">
        <v>549</v>
      </c>
      <c r="K1767" s="5">
        <v>2005</v>
      </c>
      <c r="L1767" s="5" t="str">
        <f t="shared" si="111"/>
        <v>Jan-2005</v>
      </c>
      <c r="M1767" s="5" t="s">
        <v>566</v>
      </c>
      <c r="N1767" s="5" t="s">
        <v>391</v>
      </c>
      <c r="O1767" s="5" t="s">
        <v>130</v>
      </c>
      <c r="P1767" s="5" t="s">
        <v>42</v>
      </c>
      <c r="Q1767" s="5" t="s">
        <v>36</v>
      </c>
    </row>
    <row r="1768" spans="1:17" x14ac:dyDescent="0.25">
      <c r="A1768" s="3">
        <v>10386</v>
      </c>
      <c r="B1768" s="3">
        <v>39</v>
      </c>
      <c r="C1768" s="3">
        <v>55.96</v>
      </c>
      <c r="D1768" s="3">
        <v>2182.44</v>
      </c>
      <c r="E1768" s="3" t="str">
        <f t="shared" si="109"/>
        <v>Medium</v>
      </c>
      <c r="F1768" s="3">
        <f t="shared" si="110"/>
        <v>654.73199999999997</v>
      </c>
      <c r="G1768" s="4">
        <v>38412</v>
      </c>
      <c r="H1768" s="3" t="s">
        <v>408</v>
      </c>
      <c r="I1768" s="3" t="str">
        <f t="shared" si="108"/>
        <v>No</v>
      </c>
      <c r="J1768" s="3" t="s">
        <v>691</v>
      </c>
      <c r="K1768" s="3">
        <v>2005</v>
      </c>
      <c r="L1768" s="3" t="str">
        <f t="shared" si="111"/>
        <v>Mar-2005</v>
      </c>
      <c r="M1768" s="3" t="s">
        <v>566</v>
      </c>
      <c r="N1768" s="3" t="s">
        <v>174</v>
      </c>
      <c r="O1768" s="3" t="s">
        <v>178</v>
      </c>
      <c r="P1768" s="3" t="s">
        <v>42</v>
      </c>
      <c r="Q1768" s="3" t="s">
        <v>36</v>
      </c>
    </row>
    <row r="1769" spans="1:17" x14ac:dyDescent="0.25">
      <c r="A1769" s="5">
        <v>10398</v>
      </c>
      <c r="B1769" s="5">
        <v>28</v>
      </c>
      <c r="C1769" s="5">
        <v>57.55</v>
      </c>
      <c r="D1769" s="5">
        <v>1611.3999999999999</v>
      </c>
      <c r="E1769" s="5" t="str">
        <f t="shared" si="109"/>
        <v>Low</v>
      </c>
      <c r="F1769" s="5">
        <f t="shared" si="110"/>
        <v>483.41999999999996</v>
      </c>
      <c r="G1769" s="6">
        <v>38441</v>
      </c>
      <c r="H1769" s="5" t="s">
        <v>25</v>
      </c>
      <c r="I1769" s="5" t="str">
        <f t="shared" si="108"/>
        <v>Yes</v>
      </c>
      <c r="J1769" s="5" t="s">
        <v>691</v>
      </c>
      <c r="K1769" s="5">
        <v>2005</v>
      </c>
      <c r="L1769" s="5" t="str">
        <f t="shared" si="111"/>
        <v>Mar-2005</v>
      </c>
      <c r="M1769" s="5" t="s">
        <v>566</v>
      </c>
      <c r="N1769" s="5" t="s">
        <v>37</v>
      </c>
      <c r="O1769" s="5" t="s">
        <v>41</v>
      </c>
      <c r="P1769" s="5" t="s">
        <v>42</v>
      </c>
      <c r="Q1769" s="5" t="s">
        <v>36</v>
      </c>
    </row>
    <row r="1770" spans="1:17" x14ac:dyDescent="0.25">
      <c r="A1770" s="3">
        <v>10400</v>
      </c>
      <c r="B1770" s="3">
        <v>24</v>
      </c>
      <c r="C1770" s="3">
        <v>61.66</v>
      </c>
      <c r="D1770" s="3">
        <v>1479.84</v>
      </c>
      <c r="E1770" s="3" t="str">
        <f t="shared" si="109"/>
        <v>Low</v>
      </c>
      <c r="F1770" s="3">
        <f t="shared" si="110"/>
        <v>443.95199999999994</v>
      </c>
      <c r="G1770" s="4">
        <v>38443</v>
      </c>
      <c r="H1770" s="3" t="s">
        <v>25</v>
      </c>
      <c r="I1770" s="3" t="str">
        <f t="shared" si="108"/>
        <v>Yes</v>
      </c>
      <c r="J1770" s="3" t="s">
        <v>688</v>
      </c>
      <c r="K1770" s="3">
        <v>2005</v>
      </c>
      <c r="L1770" s="3" t="str">
        <f t="shared" si="111"/>
        <v>Apr-2005</v>
      </c>
      <c r="M1770" s="3" t="s">
        <v>566</v>
      </c>
      <c r="N1770" s="3" t="s">
        <v>397</v>
      </c>
      <c r="O1770" s="3" t="s">
        <v>32</v>
      </c>
      <c r="P1770" s="3" t="s">
        <v>33</v>
      </c>
      <c r="Q1770" s="3" t="s">
        <v>36</v>
      </c>
    </row>
    <row r="1771" spans="1:17" x14ac:dyDescent="0.25">
      <c r="A1771" s="5">
        <v>10415</v>
      </c>
      <c r="B1771" s="5">
        <v>21</v>
      </c>
      <c r="C1771" s="5">
        <v>67.819999999999993</v>
      </c>
      <c r="D1771" s="5">
        <v>1424.2199999999998</v>
      </c>
      <c r="E1771" s="5" t="str">
        <f t="shared" si="109"/>
        <v>Low</v>
      </c>
      <c r="F1771" s="5">
        <f t="shared" si="110"/>
        <v>427.26599999999991</v>
      </c>
      <c r="G1771" s="6">
        <v>38481</v>
      </c>
      <c r="H1771" s="5" t="s">
        <v>173</v>
      </c>
      <c r="I1771" s="5" t="str">
        <f t="shared" si="108"/>
        <v>No</v>
      </c>
      <c r="J1771" s="5" t="s">
        <v>682</v>
      </c>
      <c r="K1771" s="5">
        <v>2005</v>
      </c>
      <c r="L1771" s="5" t="str">
        <f t="shared" si="111"/>
        <v>May-2005</v>
      </c>
      <c r="M1771" s="5" t="s">
        <v>566</v>
      </c>
      <c r="N1771" s="5" t="s">
        <v>558</v>
      </c>
      <c r="O1771" s="5" t="s">
        <v>95</v>
      </c>
      <c r="P1771" s="5" t="s">
        <v>96</v>
      </c>
      <c r="Q1771" s="5" t="s">
        <v>36</v>
      </c>
    </row>
    <row r="1772" spans="1:17" x14ac:dyDescent="0.25">
      <c r="A1772" s="3">
        <v>10110</v>
      </c>
      <c r="B1772" s="3">
        <v>46</v>
      </c>
      <c r="C1772" s="3">
        <v>100</v>
      </c>
      <c r="D1772" s="3">
        <v>4600</v>
      </c>
      <c r="E1772" s="3" t="str">
        <f t="shared" si="109"/>
        <v>Medium</v>
      </c>
      <c r="F1772" s="3">
        <f t="shared" si="110"/>
        <v>1380</v>
      </c>
      <c r="G1772" s="4">
        <v>37698</v>
      </c>
      <c r="H1772" s="3" t="s">
        <v>25</v>
      </c>
      <c r="I1772" s="3" t="str">
        <f t="shared" si="108"/>
        <v>Yes</v>
      </c>
      <c r="J1772" s="3" t="s">
        <v>691</v>
      </c>
      <c r="K1772" s="3">
        <v>2003</v>
      </c>
      <c r="L1772" s="3" t="str">
        <f t="shared" si="111"/>
        <v>Mar-2003</v>
      </c>
      <c r="M1772" s="3" t="s">
        <v>181</v>
      </c>
      <c r="N1772" s="3" t="s">
        <v>492</v>
      </c>
      <c r="O1772" s="3" t="s">
        <v>170</v>
      </c>
      <c r="P1772" s="3" t="s">
        <v>42</v>
      </c>
      <c r="Q1772" s="3" t="s">
        <v>51</v>
      </c>
    </row>
    <row r="1773" spans="1:17" x14ac:dyDescent="0.25">
      <c r="A1773" s="5">
        <v>10124</v>
      </c>
      <c r="B1773" s="5">
        <v>25</v>
      </c>
      <c r="C1773" s="5">
        <v>93.95</v>
      </c>
      <c r="D1773" s="5">
        <v>2348.75</v>
      </c>
      <c r="E1773" s="5" t="str">
        <f t="shared" si="109"/>
        <v>Medium</v>
      </c>
      <c r="F1773" s="5">
        <f t="shared" si="110"/>
        <v>704.625</v>
      </c>
      <c r="G1773" s="6">
        <v>37762</v>
      </c>
      <c r="H1773" s="5" t="s">
        <v>25</v>
      </c>
      <c r="I1773" s="5" t="str">
        <f t="shared" si="108"/>
        <v>Yes</v>
      </c>
      <c r="J1773" s="5" t="s">
        <v>682</v>
      </c>
      <c r="K1773" s="5">
        <v>2003</v>
      </c>
      <c r="L1773" s="5" t="str">
        <f t="shared" si="111"/>
        <v>May-2003</v>
      </c>
      <c r="M1773" s="5" t="s">
        <v>181</v>
      </c>
      <c r="N1773" s="5" t="s">
        <v>539</v>
      </c>
      <c r="O1773" s="5" t="s">
        <v>32</v>
      </c>
      <c r="P1773" s="5" t="s">
        <v>33</v>
      </c>
      <c r="Q1773" s="5" t="s">
        <v>36</v>
      </c>
    </row>
    <row r="1774" spans="1:17" x14ac:dyDescent="0.25">
      <c r="A1774" s="3">
        <v>10148</v>
      </c>
      <c r="B1774" s="3">
        <v>34</v>
      </c>
      <c r="C1774" s="3">
        <v>100</v>
      </c>
      <c r="D1774" s="3">
        <v>3400</v>
      </c>
      <c r="E1774" s="3" t="str">
        <f t="shared" si="109"/>
        <v>Medium</v>
      </c>
      <c r="F1774" s="3">
        <f t="shared" si="110"/>
        <v>1020</v>
      </c>
      <c r="G1774" s="4">
        <v>37875</v>
      </c>
      <c r="H1774" s="3" t="s">
        <v>25</v>
      </c>
      <c r="I1774" s="3" t="str">
        <f t="shared" si="108"/>
        <v>Yes</v>
      </c>
      <c r="J1774" s="3" t="s">
        <v>690</v>
      </c>
      <c r="K1774" s="3">
        <v>2003</v>
      </c>
      <c r="L1774" s="3" t="str">
        <f t="shared" si="111"/>
        <v>Sep-2003</v>
      </c>
      <c r="M1774" s="3" t="s">
        <v>181</v>
      </c>
      <c r="N1774" s="3" t="s">
        <v>285</v>
      </c>
      <c r="O1774" s="3" t="s">
        <v>95</v>
      </c>
      <c r="P1774" s="3" t="s">
        <v>96</v>
      </c>
      <c r="Q1774" s="3" t="s">
        <v>51</v>
      </c>
    </row>
    <row r="1775" spans="1:17" x14ac:dyDescent="0.25">
      <c r="A1775" s="5">
        <v>10161</v>
      </c>
      <c r="B1775" s="5">
        <v>25</v>
      </c>
      <c r="C1775" s="5">
        <v>100</v>
      </c>
      <c r="D1775" s="5">
        <v>2500</v>
      </c>
      <c r="E1775" s="5" t="str">
        <f t="shared" si="109"/>
        <v>Medium</v>
      </c>
      <c r="F1775" s="5">
        <f t="shared" si="110"/>
        <v>750</v>
      </c>
      <c r="G1775" s="6">
        <v>37911</v>
      </c>
      <c r="H1775" s="5" t="s">
        <v>25</v>
      </c>
      <c r="I1775" s="5" t="str">
        <f t="shared" si="108"/>
        <v>Yes</v>
      </c>
      <c r="J1775" s="5" t="s">
        <v>685</v>
      </c>
      <c r="K1775" s="5">
        <v>2003</v>
      </c>
      <c r="L1775" s="5" t="str">
        <f t="shared" si="111"/>
        <v>Oct-2003</v>
      </c>
      <c r="M1775" s="5" t="s">
        <v>181</v>
      </c>
      <c r="N1775" s="5" t="s">
        <v>498</v>
      </c>
      <c r="O1775" s="5" t="s">
        <v>326</v>
      </c>
      <c r="P1775" s="5" t="s">
        <v>42</v>
      </c>
      <c r="Q1775" s="5" t="s">
        <v>36</v>
      </c>
    </row>
    <row r="1776" spans="1:17" x14ac:dyDescent="0.25">
      <c r="A1776" s="3">
        <v>10173</v>
      </c>
      <c r="B1776" s="3">
        <v>23</v>
      </c>
      <c r="C1776" s="3">
        <v>100</v>
      </c>
      <c r="D1776" s="3">
        <v>2300</v>
      </c>
      <c r="E1776" s="3" t="str">
        <f t="shared" si="109"/>
        <v>Medium</v>
      </c>
      <c r="F1776" s="3">
        <f t="shared" si="110"/>
        <v>690</v>
      </c>
      <c r="G1776" s="4">
        <v>37930</v>
      </c>
      <c r="H1776" s="3" t="s">
        <v>25</v>
      </c>
      <c r="I1776" s="3" t="str">
        <f t="shared" si="108"/>
        <v>Yes</v>
      </c>
      <c r="J1776" s="3" t="s">
        <v>686</v>
      </c>
      <c r="K1776" s="3">
        <v>2003</v>
      </c>
      <c r="L1776" s="3" t="str">
        <f t="shared" si="111"/>
        <v>Nov-2003</v>
      </c>
      <c r="M1776" s="3" t="s">
        <v>181</v>
      </c>
      <c r="N1776" s="3" t="s">
        <v>552</v>
      </c>
      <c r="O1776" s="3" t="s">
        <v>258</v>
      </c>
      <c r="P1776" s="3" t="s">
        <v>42</v>
      </c>
      <c r="Q1776" s="3" t="s">
        <v>36</v>
      </c>
    </row>
    <row r="1777" spans="1:17" x14ac:dyDescent="0.25">
      <c r="A1777" s="5">
        <v>10182</v>
      </c>
      <c r="B1777" s="5">
        <v>20</v>
      </c>
      <c r="C1777" s="5">
        <v>100</v>
      </c>
      <c r="D1777" s="5">
        <v>2000</v>
      </c>
      <c r="E1777" s="5" t="str">
        <f t="shared" si="109"/>
        <v>Medium</v>
      </c>
      <c r="F1777" s="5">
        <f t="shared" si="110"/>
        <v>600</v>
      </c>
      <c r="G1777" s="6">
        <v>37937</v>
      </c>
      <c r="H1777" s="5" t="s">
        <v>25</v>
      </c>
      <c r="I1777" s="5" t="str">
        <f t="shared" si="108"/>
        <v>Yes</v>
      </c>
      <c r="J1777" s="5" t="s">
        <v>686</v>
      </c>
      <c r="K1777" s="5">
        <v>2003</v>
      </c>
      <c r="L1777" s="5" t="str">
        <f t="shared" si="111"/>
        <v>Nov-2003</v>
      </c>
      <c r="M1777" s="5" t="s">
        <v>181</v>
      </c>
      <c r="N1777" s="5" t="s">
        <v>272</v>
      </c>
      <c r="O1777" s="5" t="s">
        <v>32</v>
      </c>
      <c r="P1777" s="5" t="s">
        <v>33</v>
      </c>
      <c r="Q1777" s="5" t="s">
        <v>36</v>
      </c>
    </row>
    <row r="1778" spans="1:17" x14ac:dyDescent="0.25">
      <c r="A1778" s="3">
        <v>10192</v>
      </c>
      <c r="B1778" s="3">
        <v>23</v>
      </c>
      <c r="C1778" s="3">
        <v>100</v>
      </c>
      <c r="D1778" s="3">
        <v>2300</v>
      </c>
      <c r="E1778" s="3" t="str">
        <f t="shared" si="109"/>
        <v>Medium</v>
      </c>
      <c r="F1778" s="3">
        <f t="shared" si="110"/>
        <v>690</v>
      </c>
      <c r="G1778" s="4">
        <v>37945</v>
      </c>
      <c r="H1778" s="3" t="s">
        <v>25</v>
      </c>
      <c r="I1778" s="3" t="str">
        <f t="shared" si="108"/>
        <v>Yes</v>
      </c>
      <c r="J1778" s="3" t="s">
        <v>686</v>
      </c>
      <c r="K1778" s="3">
        <v>2003</v>
      </c>
      <c r="L1778" s="3" t="str">
        <f t="shared" si="111"/>
        <v>Nov-2003</v>
      </c>
      <c r="M1778" s="3" t="s">
        <v>181</v>
      </c>
      <c r="N1778" s="3" t="s">
        <v>277</v>
      </c>
      <c r="O1778" s="3" t="s">
        <v>32</v>
      </c>
      <c r="P1778" s="3" t="s">
        <v>33</v>
      </c>
      <c r="Q1778" s="3" t="s">
        <v>51</v>
      </c>
    </row>
    <row r="1779" spans="1:17" x14ac:dyDescent="0.25">
      <c r="A1779" s="5">
        <v>10204</v>
      </c>
      <c r="B1779" s="5">
        <v>42</v>
      </c>
      <c r="C1779" s="5">
        <v>100</v>
      </c>
      <c r="D1779" s="5">
        <v>4200</v>
      </c>
      <c r="E1779" s="5" t="str">
        <f t="shared" si="109"/>
        <v>Medium</v>
      </c>
      <c r="F1779" s="5">
        <f t="shared" si="110"/>
        <v>1260</v>
      </c>
      <c r="G1779" s="6">
        <v>37957</v>
      </c>
      <c r="H1779" s="5" t="s">
        <v>25</v>
      </c>
      <c r="I1779" s="5" t="str">
        <f t="shared" si="108"/>
        <v>Yes</v>
      </c>
      <c r="J1779" s="5" t="s">
        <v>687</v>
      </c>
      <c r="K1779" s="5">
        <v>2003</v>
      </c>
      <c r="L1779" s="5" t="str">
        <f t="shared" si="111"/>
        <v>Dec-2003</v>
      </c>
      <c r="M1779" s="5" t="s">
        <v>181</v>
      </c>
      <c r="N1779" s="5" t="s">
        <v>475</v>
      </c>
      <c r="O1779" s="5" t="s">
        <v>32</v>
      </c>
      <c r="P1779" s="5" t="s">
        <v>33</v>
      </c>
      <c r="Q1779" s="5" t="s">
        <v>51</v>
      </c>
    </row>
    <row r="1780" spans="1:17" x14ac:dyDescent="0.25">
      <c r="A1780" s="3">
        <v>10213</v>
      </c>
      <c r="B1780" s="3">
        <v>27</v>
      </c>
      <c r="C1780" s="3">
        <v>100</v>
      </c>
      <c r="D1780" s="3">
        <v>2700</v>
      </c>
      <c r="E1780" s="3" t="str">
        <f t="shared" si="109"/>
        <v>Medium</v>
      </c>
      <c r="F1780" s="3">
        <f t="shared" si="110"/>
        <v>810</v>
      </c>
      <c r="G1780" s="4">
        <v>38008</v>
      </c>
      <c r="H1780" s="3" t="s">
        <v>25</v>
      </c>
      <c r="I1780" s="3" t="str">
        <f t="shared" si="108"/>
        <v>Yes</v>
      </c>
      <c r="J1780" s="3" t="s">
        <v>549</v>
      </c>
      <c r="K1780" s="3">
        <v>2004</v>
      </c>
      <c r="L1780" s="3" t="str">
        <f t="shared" si="111"/>
        <v>Jan-2004</v>
      </c>
      <c r="M1780" s="3" t="s">
        <v>181</v>
      </c>
      <c r="N1780" s="3" t="s">
        <v>346</v>
      </c>
      <c r="O1780" s="3" t="s">
        <v>170</v>
      </c>
      <c r="P1780" s="3" t="s">
        <v>42</v>
      </c>
      <c r="Q1780" s="3" t="s">
        <v>36</v>
      </c>
    </row>
    <row r="1781" spans="1:17" x14ac:dyDescent="0.25">
      <c r="A1781" s="5">
        <v>10227</v>
      </c>
      <c r="B1781" s="5">
        <v>33</v>
      </c>
      <c r="C1781" s="5">
        <v>100</v>
      </c>
      <c r="D1781" s="5">
        <v>3300</v>
      </c>
      <c r="E1781" s="5" t="str">
        <f t="shared" si="109"/>
        <v>Medium</v>
      </c>
      <c r="F1781" s="5">
        <f t="shared" si="110"/>
        <v>990</v>
      </c>
      <c r="G1781" s="6">
        <v>38048</v>
      </c>
      <c r="H1781" s="5" t="s">
        <v>25</v>
      </c>
      <c r="I1781" s="5" t="str">
        <f t="shared" si="108"/>
        <v>Yes</v>
      </c>
      <c r="J1781" s="5" t="s">
        <v>691</v>
      </c>
      <c r="K1781" s="5">
        <v>2004</v>
      </c>
      <c r="L1781" s="5" t="str">
        <f t="shared" si="111"/>
        <v>Mar-2004</v>
      </c>
      <c r="M1781" s="5" t="s">
        <v>181</v>
      </c>
      <c r="N1781" s="5" t="s">
        <v>219</v>
      </c>
      <c r="O1781" s="5" t="s">
        <v>41</v>
      </c>
      <c r="P1781" s="5" t="s">
        <v>42</v>
      </c>
      <c r="Q1781" s="5" t="s">
        <v>51</v>
      </c>
    </row>
    <row r="1782" spans="1:17" x14ac:dyDescent="0.25">
      <c r="A1782" s="3">
        <v>10241</v>
      </c>
      <c r="B1782" s="3">
        <v>28</v>
      </c>
      <c r="C1782" s="3">
        <v>98.65</v>
      </c>
      <c r="D1782" s="3">
        <v>2762.2000000000003</v>
      </c>
      <c r="E1782" s="3" t="str">
        <f t="shared" si="109"/>
        <v>Medium</v>
      </c>
      <c r="F1782" s="3">
        <f t="shared" si="110"/>
        <v>828.66000000000008</v>
      </c>
      <c r="G1782" s="4">
        <v>38090</v>
      </c>
      <c r="H1782" s="3" t="s">
        <v>25</v>
      </c>
      <c r="I1782" s="3" t="str">
        <f t="shared" si="108"/>
        <v>Yes</v>
      </c>
      <c r="J1782" s="3" t="s">
        <v>688</v>
      </c>
      <c r="K1782" s="3">
        <v>2004</v>
      </c>
      <c r="L1782" s="3" t="str">
        <f t="shared" si="111"/>
        <v>Apr-2004</v>
      </c>
      <c r="M1782" s="3" t="s">
        <v>181</v>
      </c>
      <c r="N1782" s="3" t="s">
        <v>531</v>
      </c>
      <c r="O1782" s="3" t="s">
        <v>41</v>
      </c>
      <c r="P1782" s="3" t="s">
        <v>42</v>
      </c>
      <c r="Q1782" s="3" t="s">
        <v>36</v>
      </c>
    </row>
    <row r="1783" spans="1:17" x14ac:dyDescent="0.25">
      <c r="A1783" s="5">
        <v>10267</v>
      </c>
      <c r="B1783" s="5">
        <v>43</v>
      </c>
      <c r="C1783" s="5">
        <v>100</v>
      </c>
      <c r="D1783" s="5">
        <v>4300</v>
      </c>
      <c r="E1783" s="5" t="str">
        <f t="shared" si="109"/>
        <v>Medium</v>
      </c>
      <c r="F1783" s="5">
        <f t="shared" si="110"/>
        <v>1290</v>
      </c>
      <c r="G1783" s="6">
        <v>38175</v>
      </c>
      <c r="H1783" s="5" t="s">
        <v>25</v>
      </c>
      <c r="I1783" s="5" t="str">
        <f t="shared" si="108"/>
        <v>Yes</v>
      </c>
      <c r="J1783" s="5" t="s">
        <v>683</v>
      </c>
      <c r="K1783" s="5">
        <v>2004</v>
      </c>
      <c r="L1783" s="5" t="str">
        <f t="shared" si="111"/>
        <v>Jul-2004</v>
      </c>
      <c r="M1783" s="5" t="s">
        <v>181</v>
      </c>
      <c r="N1783" s="5" t="s">
        <v>475</v>
      </c>
      <c r="O1783" s="5" t="s">
        <v>32</v>
      </c>
      <c r="P1783" s="5" t="s">
        <v>33</v>
      </c>
      <c r="Q1783" s="5" t="s">
        <v>51</v>
      </c>
    </row>
    <row r="1784" spans="1:17" x14ac:dyDescent="0.25">
      <c r="A1784" s="3">
        <v>10279</v>
      </c>
      <c r="B1784" s="3">
        <v>48</v>
      </c>
      <c r="C1784" s="3">
        <v>100</v>
      </c>
      <c r="D1784" s="3">
        <v>4800</v>
      </c>
      <c r="E1784" s="3" t="str">
        <f t="shared" si="109"/>
        <v>Medium</v>
      </c>
      <c r="F1784" s="3">
        <f t="shared" si="110"/>
        <v>1440</v>
      </c>
      <c r="G1784" s="4">
        <v>38208</v>
      </c>
      <c r="H1784" s="3" t="s">
        <v>25</v>
      </c>
      <c r="I1784" s="3" t="str">
        <f t="shared" si="108"/>
        <v>Yes</v>
      </c>
      <c r="J1784" s="3" t="s">
        <v>684</v>
      </c>
      <c r="K1784" s="3">
        <v>2004</v>
      </c>
      <c r="L1784" s="3" t="str">
        <f t="shared" si="111"/>
        <v>Aug-2004</v>
      </c>
      <c r="M1784" s="3" t="s">
        <v>181</v>
      </c>
      <c r="N1784" s="3" t="s">
        <v>174</v>
      </c>
      <c r="O1784" s="3" t="s">
        <v>178</v>
      </c>
      <c r="P1784" s="3" t="s">
        <v>42</v>
      </c>
      <c r="Q1784" s="3" t="s">
        <v>51</v>
      </c>
    </row>
    <row r="1785" spans="1:17" x14ac:dyDescent="0.25">
      <c r="A1785" s="5">
        <v>10288</v>
      </c>
      <c r="B1785" s="5">
        <v>48</v>
      </c>
      <c r="C1785" s="5">
        <v>100</v>
      </c>
      <c r="D1785" s="5">
        <v>4800</v>
      </c>
      <c r="E1785" s="5" t="str">
        <f t="shared" si="109"/>
        <v>Medium</v>
      </c>
      <c r="F1785" s="5">
        <f t="shared" si="110"/>
        <v>1440</v>
      </c>
      <c r="G1785" s="6">
        <v>38231</v>
      </c>
      <c r="H1785" s="5" t="s">
        <v>25</v>
      </c>
      <c r="I1785" s="5" t="str">
        <f t="shared" si="108"/>
        <v>Yes</v>
      </c>
      <c r="J1785" s="5" t="s">
        <v>690</v>
      </c>
      <c r="K1785" s="5">
        <v>2004</v>
      </c>
      <c r="L1785" s="5" t="str">
        <f t="shared" si="111"/>
        <v>Sep-2004</v>
      </c>
      <c r="M1785" s="5" t="s">
        <v>181</v>
      </c>
      <c r="N1785" s="5" t="s">
        <v>418</v>
      </c>
      <c r="O1785" s="5" t="s">
        <v>199</v>
      </c>
      <c r="P1785" s="5" t="s">
        <v>96</v>
      </c>
      <c r="Q1785" s="5" t="s">
        <v>51</v>
      </c>
    </row>
    <row r="1786" spans="1:17" x14ac:dyDescent="0.25">
      <c r="A1786" s="3">
        <v>10302</v>
      </c>
      <c r="B1786" s="3">
        <v>45</v>
      </c>
      <c r="C1786" s="3">
        <v>100</v>
      </c>
      <c r="D1786" s="3">
        <v>4500</v>
      </c>
      <c r="E1786" s="3" t="str">
        <f t="shared" si="109"/>
        <v>Medium</v>
      </c>
      <c r="F1786" s="3">
        <f t="shared" si="110"/>
        <v>1350</v>
      </c>
      <c r="G1786" s="4">
        <v>37900</v>
      </c>
      <c r="H1786" s="3" t="s">
        <v>25</v>
      </c>
      <c r="I1786" s="3" t="str">
        <f t="shared" si="108"/>
        <v>Yes</v>
      </c>
      <c r="J1786" s="3" t="s">
        <v>685</v>
      </c>
      <c r="K1786" s="3">
        <v>2003</v>
      </c>
      <c r="L1786" s="3" t="str">
        <f t="shared" si="111"/>
        <v>Oct-2003</v>
      </c>
      <c r="M1786" s="3" t="s">
        <v>181</v>
      </c>
      <c r="N1786" s="3" t="s">
        <v>165</v>
      </c>
      <c r="O1786" s="3" t="s">
        <v>170</v>
      </c>
      <c r="P1786" s="3" t="s">
        <v>42</v>
      </c>
      <c r="Q1786" s="3" t="s">
        <v>51</v>
      </c>
    </row>
    <row r="1787" spans="1:17" x14ac:dyDescent="0.25">
      <c r="A1787" s="5">
        <v>10311</v>
      </c>
      <c r="B1787" s="5">
        <v>43</v>
      </c>
      <c r="C1787" s="5">
        <v>100</v>
      </c>
      <c r="D1787" s="5">
        <v>4300</v>
      </c>
      <c r="E1787" s="5" t="str">
        <f t="shared" si="109"/>
        <v>Medium</v>
      </c>
      <c r="F1787" s="5">
        <f t="shared" si="110"/>
        <v>1290</v>
      </c>
      <c r="G1787" s="6">
        <v>38276</v>
      </c>
      <c r="H1787" s="5" t="s">
        <v>25</v>
      </c>
      <c r="I1787" s="5" t="str">
        <f t="shared" si="108"/>
        <v>Yes</v>
      </c>
      <c r="J1787" s="5" t="s">
        <v>685</v>
      </c>
      <c r="K1787" s="5">
        <v>2004</v>
      </c>
      <c r="L1787" s="5" t="str">
        <f t="shared" si="111"/>
        <v>Oct-2004</v>
      </c>
      <c r="M1787" s="5" t="s">
        <v>181</v>
      </c>
      <c r="N1787" s="5" t="s">
        <v>174</v>
      </c>
      <c r="O1787" s="5" t="s">
        <v>178</v>
      </c>
      <c r="P1787" s="5" t="s">
        <v>42</v>
      </c>
      <c r="Q1787" s="5" t="s">
        <v>51</v>
      </c>
    </row>
    <row r="1788" spans="1:17" x14ac:dyDescent="0.25">
      <c r="A1788" s="3">
        <v>10332</v>
      </c>
      <c r="B1788" s="3">
        <v>44</v>
      </c>
      <c r="C1788" s="3">
        <v>42.26</v>
      </c>
      <c r="D1788" s="3">
        <v>1859.4399999999998</v>
      </c>
      <c r="E1788" s="3" t="str">
        <f t="shared" si="109"/>
        <v>Low</v>
      </c>
      <c r="F1788" s="3">
        <f t="shared" si="110"/>
        <v>557.83199999999988</v>
      </c>
      <c r="G1788" s="4">
        <v>38308</v>
      </c>
      <c r="H1788" s="3" t="s">
        <v>25</v>
      </c>
      <c r="I1788" s="3" t="str">
        <f t="shared" si="108"/>
        <v>Yes</v>
      </c>
      <c r="J1788" s="3" t="s">
        <v>686</v>
      </c>
      <c r="K1788" s="3">
        <v>2004</v>
      </c>
      <c r="L1788" s="3" t="str">
        <f t="shared" si="111"/>
        <v>Nov-2004</v>
      </c>
      <c r="M1788" s="3" t="s">
        <v>181</v>
      </c>
      <c r="N1788" s="3" t="s">
        <v>492</v>
      </c>
      <c r="O1788" s="3" t="s">
        <v>170</v>
      </c>
      <c r="P1788" s="3" t="s">
        <v>42</v>
      </c>
      <c r="Q1788" s="3" t="s">
        <v>36</v>
      </c>
    </row>
    <row r="1789" spans="1:17" x14ac:dyDescent="0.25">
      <c r="A1789" s="5">
        <v>10346</v>
      </c>
      <c r="B1789" s="5">
        <v>24</v>
      </c>
      <c r="C1789" s="5">
        <v>87.24</v>
      </c>
      <c r="D1789" s="5">
        <v>2093.7599999999998</v>
      </c>
      <c r="E1789" s="5" t="str">
        <f t="shared" si="109"/>
        <v>Medium</v>
      </c>
      <c r="F1789" s="5">
        <f t="shared" si="110"/>
        <v>628.12799999999993</v>
      </c>
      <c r="G1789" s="6">
        <v>38320</v>
      </c>
      <c r="H1789" s="5" t="s">
        <v>25</v>
      </c>
      <c r="I1789" s="5" t="str">
        <f t="shared" si="108"/>
        <v>Yes</v>
      </c>
      <c r="J1789" s="5" t="s">
        <v>686</v>
      </c>
      <c r="K1789" s="5">
        <v>2004</v>
      </c>
      <c r="L1789" s="5" t="str">
        <f t="shared" si="111"/>
        <v>Nov-2004</v>
      </c>
      <c r="M1789" s="5" t="s">
        <v>181</v>
      </c>
      <c r="N1789" s="5" t="s">
        <v>539</v>
      </c>
      <c r="O1789" s="5" t="s">
        <v>32</v>
      </c>
      <c r="P1789" s="5" t="s">
        <v>33</v>
      </c>
      <c r="Q1789" s="5" t="s">
        <v>36</v>
      </c>
    </row>
    <row r="1790" spans="1:17" x14ac:dyDescent="0.25">
      <c r="A1790" s="3">
        <v>10368</v>
      </c>
      <c r="B1790" s="3">
        <v>31</v>
      </c>
      <c r="C1790" s="3">
        <v>100</v>
      </c>
      <c r="D1790" s="3">
        <v>3100</v>
      </c>
      <c r="E1790" s="3" t="str">
        <f t="shared" si="109"/>
        <v>Medium</v>
      </c>
      <c r="F1790" s="3">
        <f t="shared" si="110"/>
        <v>930</v>
      </c>
      <c r="G1790" s="4">
        <v>38371</v>
      </c>
      <c r="H1790" s="3" t="s">
        <v>25</v>
      </c>
      <c r="I1790" s="3" t="str">
        <f t="shared" si="108"/>
        <v>Yes</v>
      </c>
      <c r="J1790" s="3" t="s">
        <v>549</v>
      </c>
      <c r="K1790" s="3">
        <v>2005</v>
      </c>
      <c r="L1790" s="3" t="str">
        <f t="shared" si="111"/>
        <v>Jan-2005</v>
      </c>
      <c r="M1790" s="3" t="s">
        <v>181</v>
      </c>
      <c r="N1790" s="3" t="s">
        <v>272</v>
      </c>
      <c r="O1790" s="3" t="s">
        <v>32</v>
      </c>
      <c r="P1790" s="3" t="s">
        <v>33</v>
      </c>
      <c r="Q1790" s="3" t="s">
        <v>51</v>
      </c>
    </row>
    <row r="1791" spans="1:17" x14ac:dyDescent="0.25">
      <c r="A1791" s="5">
        <v>10380</v>
      </c>
      <c r="B1791" s="5">
        <v>44</v>
      </c>
      <c r="C1791" s="5">
        <v>36.29</v>
      </c>
      <c r="D1791" s="5">
        <v>1596.76</v>
      </c>
      <c r="E1791" s="5" t="str">
        <f t="shared" si="109"/>
        <v>Low</v>
      </c>
      <c r="F1791" s="5">
        <f t="shared" si="110"/>
        <v>479.02799999999996</v>
      </c>
      <c r="G1791" s="6">
        <v>38399</v>
      </c>
      <c r="H1791" s="5" t="s">
        <v>25</v>
      </c>
      <c r="I1791" s="5" t="str">
        <f t="shared" si="108"/>
        <v>Yes</v>
      </c>
      <c r="J1791" s="5" t="s">
        <v>681</v>
      </c>
      <c r="K1791" s="5">
        <v>2005</v>
      </c>
      <c r="L1791" s="5" t="str">
        <f t="shared" si="111"/>
        <v>Feb-2005</v>
      </c>
      <c r="M1791" s="5" t="s">
        <v>181</v>
      </c>
      <c r="N1791" s="5" t="s">
        <v>174</v>
      </c>
      <c r="O1791" s="5" t="s">
        <v>178</v>
      </c>
      <c r="P1791" s="5" t="s">
        <v>42</v>
      </c>
      <c r="Q1791" s="5" t="s">
        <v>36</v>
      </c>
    </row>
    <row r="1792" spans="1:17" x14ac:dyDescent="0.25">
      <c r="A1792" s="3">
        <v>10407</v>
      </c>
      <c r="B1792" s="3">
        <v>59</v>
      </c>
      <c r="C1792" s="3">
        <v>98.65</v>
      </c>
      <c r="D1792" s="3">
        <v>5820.35</v>
      </c>
      <c r="E1792" s="3" t="str">
        <f t="shared" si="109"/>
        <v>High</v>
      </c>
      <c r="F1792" s="3">
        <f t="shared" si="110"/>
        <v>1746.105</v>
      </c>
      <c r="G1792" s="4">
        <v>38464</v>
      </c>
      <c r="H1792" s="3" t="s">
        <v>401</v>
      </c>
      <c r="I1792" s="3" t="str">
        <f t="shared" si="108"/>
        <v>No</v>
      </c>
      <c r="J1792" s="3" t="s">
        <v>688</v>
      </c>
      <c r="K1792" s="3">
        <v>2005</v>
      </c>
      <c r="L1792" s="3" t="str">
        <f t="shared" si="111"/>
        <v>Apr-2005</v>
      </c>
      <c r="M1792" s="3" t="s">
        <v>181</v>
      </c>
      <c r="N1792" s="3" t="s">
        <v>397</v>
      </c>
      <c r="O1792" s="3" t="s">
        <v>32</v>
      </c>
      <c r="P1792" s="3" t="s">
        <v>33</v>
      </c>
      <c r="Q1792" s="3" t="s">
        <v>51</v>
      </c>
    </row>
    <row r="1793" spans="1:17" x14ac:dyDescent="0.25">
      <c r="A1793" s="5">
        <v>10420</v>
      </c>
      <c r="B1793" s="5">
        <v>55</v>
      </c>
      <c r="C1793" s="5">
        <v>96.3</v>
      </c>
      <c r="D1793" s="5">
        <v>5296.5</v>
      </c>
      <c r="E1793" s="5" t="str">
        <f t="shared" si="109"/>
        <v>High</v>
      </c>
      <c r="F1793" s="5">
        <f t="shared" si="110"/>
        <v>1588.95</v>
      </c>
      <c r="G1793" s="6">
        <v>38501</v>
      </c>
      <c r="H1793" s="5" t="s">
        <v>300</v>
      </c>
      <c r="I1793" s="5" t="str">
        <f t="shared" si="108"/>
        <v>No</v>
      </c>
      <c r="J1793" s="5" t="s">
        <v>682</v>
      </c>
      <c r="K1793" s="5">
        <v>2005</v>
      </c>
      <c r="L1793" s="5" t="str">
        <f t="shared" si="111"/>
        <v>May-2005</v>
      </c>
      <c r="M1793" s="5" t="s">
        <v>181</v>
      </c>
      <c r="N1793" s="5" t="s">
        <v>152</v>
      </c>
      <c r="O1793" s="5" t="s">
        <v>95</v>
      </c>
      <c r="P1793" s="5" t="s">
        <v>96</v>
      </c>
      <c r="Q1793" s="5" t="s">
        <v>51</v>
      </c>
    </row>
    <row r="1794" spans="1:17" x14ac:dyDescent="0.25">
      <c r="A1794" s="3">
        <v>10109</v>
      </c>
      <c r="B1794" s="3">
        <v>29</v>
      </c>
      <c r="C1794" s="3">
        <v>32.1</v>
      </c>
      <c r="D1794" s="3">
        <v>930.90000000000009</v>
      </c>
      <c r="E1794" s="3" t="str">
        <f t="shared" si="109"/>
        <v>Low</v>
      </c>
      <c r="F1794" s="3">
        <f t="shared" si="110"/>
        <v>279.27000000000004</v>
      </c>
      <c r="G1794" s="4">
        <v>37690</v>
      </c>
      <c r="H1794" s="3" t="s">
        <v>25</v>
      </c>
      <c r="I1794" s="3" t="str">
        <f t="shared" ref="I1794:I1857" si="112">IF(H1794="Shipped","Yes","No")</f>
        <v>Yes</v>
      </c>
      <c r="J1794" s="3" t="s">
        <v>691</v>
      </c>
      <c r="K1794" s="3">
        <v>2003</v>
      </c>
      <c r="L1794" s="3" t="str">
        <f t="shared" si="111"/>
        <v>Mar-2003</v>
      </c>
      <c r="M1794" s="3" t="s">
        <v>181</v>
      </c>
      <c r="N1794" s="3" t="s">
        <v>309</v>
      </c>
      <c r="O1794" s="3" t="s">
        <v>32</v>
      </c>
      <c r="P1794" s="3" t="s">
        <v>33</v>
      </c>
      <c r="Q1794" s="3" t="s">
        <v>36</v>
      </c>
    </row>
    <row r="1795" spans="1:17" x14ac:dyDescent="0.25">
      <c r="A1795" s="5">
        <v>10122</v>
      </c>
      <c r="B1795" s="5">
        <v>39</v>
      </c>
      <c r="C1795" s="5">
        <v>30.96</v>
      </c>
      <c r="D1795" s="5">
        <v>1207.44</v>
      </c>
      <c r="E1795" s="5" t="str">
        <f t="shared" ref="E1795:E1858" si="113">IF(D1795&gt;=5000,"High",IF(D1795&gt;=2000,"Medium","Low"))</f>
        <v>Low</v>
      </c>
      <c r="F1795" s="5">
        <f t="shared" ref="F1795:F1858" si="114">(D1795*0.3)</f>
        <v>362.23200000000003</v>
      </c>
      <c r="G1795" s="6">
        <v>37749</v>
      </c>
      <c r="H1795" s="5" t="s">
        <v>25</v>
      </c>
      <c r="I1795" s="5" t="str">
        <f t="shared" si="112"/>
        <v>Yes</v>
      </c>
      <c r="J1795" s="5" t="s">
        <v>682</v>
      </c>
      <c r="K1795" s="5">
        <v>2003</v>
      </c>
      <c r="L1795" s="5" t="str">
        <f t="shared" ref="L1795:L1858" si="115">TEXT(G:G,"MMM-YYYY")</f>
        <v>May-2003</v>
      </c>
      <c r="M1795" s="5" t="s">
        <v>181</v>
      </c>
      <c r="N1795" s="5" t="s">
        <v>433</v>
      </c>
      <c r="O1795" s="5" t="s">
        <v>41</v>
      </c>
      <c r="P1795" s="5" t="s">
        <v>42</v>
      </c>
      <c r="Q1795" s="5" t="s">
        <v>36</v>
      </c>
    </row>
    <row r="1796" spans="1:17" x14ac:dyDescent="0.25">
      <c r="A1796" s="3">
        <v>10135</v>
      </c>
      <c r="B1796" s="3">
        <v>20</v>
      </c>
      <c r="C1796" s="3">
        <v>35.869999999999997</v>
      </c>
      <c r="D1796" s="3">
        <v>717.4</v>
      </c>
      <c r="E1796" s="3" t="str">
        <f t="shared" si="113"/>
        <v>Low</v>
      </c>
      <c r="F1796" s="3">
        <f t="shared" si="114"/>
        <v>215.22</v>
      </c>
      <c r="G1796" s="4">
        <v>37804</v>
      </c>
      <c r="H1796" s="3" t="s">
        <v>25</v>
      </c>
      <c r="I1796" s="3" t="str">
        <f t="shared" si="112"/>
        <v>Yes</v>
      </c>
      <c r="J1796" s="3" t="s">
        <v>683</v>
      </c>
      <c r="K1796" s="3">
        <v>2003</v>
      </c>
      <c r="L1796" s="3" t="str">
        <f t="shared" si="115"/>
        <v>Jul-2003</v>
      </c>
      <c r="M1796" s="3" t="s">
        <v>181</v>
      </c>
      <c r="N1796" s="3" t="s">
        <v>272</v>
      </c>
      <c r="O1796" s="3" t="s">
        <v>32</v>
      </c>
      <c r="P1796" s="3" t="s">
        <v>33</v>
      </c>
      <c r="Q1796" s="3" t="s">
        <v>36</v>
      </c>
    </row>
    <row r="1797" spans="1:17" x14ac:dyDescent="0.25">
      <c r="A1797" s="5">
        <v>10147</v>
      </c>
      <c r="B1797" s="5">
        <v>25</v>
      </c>
      <c r="C1797" s="5">
        <v>42.67</v>
      </c>
      <c r="D1797" s="5">
        <v>1066.75</v>
      </c>
      <c r="E1797" s="5" t="str">
        <f t="shared" si="113"/>
        <v>Low</v>
      </c>
      <c r="F1797" s="5">
        <f t="shared" si="114"/>
        <v>320.02499999999998</v>
      </c>
      <c r="G1797" s="6">
        <v>37869</v>
      </c>
      <c r="H1797" s="5" t="s">
        <v>25</v>
      </c>
      <c r="I1797" s="5" t="str">
        <f t="shared" si="112"/>
        <v>Yes</v>
      </c>
      <c r="J1797" s="5" t="s">
        <v>690</v>
      </c>
      <c r="K1797" s="5">
        <v>2003</v>
      </c>
      <c r="L1797" s="5" t="str">
        <f t="shared" si="115"/>
        <v>Sep-2003</v>
      </c>
      <c r="M1797" s="5" t="s">
        <v>181</v>
      </c>
      <c r="N1797" s="5" t="s">
        <v>281</v>
      </c>
      <c r="O1797" s="5" t="s">
        <v>32</v>
      </c>
      <c r="P1797" s="5" t="s">
        <v>33</v>
      </c>
      <c r="Q1797" s="5" t="s">
        <v>36</v>
      </c>
    </row>
    <row r="1798" spans="1:17" x14ac:dyDescent="0.25">
      <c r="A1798" s="3">
        <v>10160</v>
      </c>
      <c r="B1798" s="3">
        <v>42</v>
      </c>
      <c r="C1798" s="3">
        <v>37</v>
      </c>
      <c r="D1798" s="3">
        <v>1554</v>
      </c>
      <c r="E1798" s="3" t="str">
        <f t="shared" si="113"/>
        <v>Low</v>
      </c>
      <c r="F1798" s="3">
        <f t="shared" si="114"/>
        <v>466.2</v>
      </c>
      <c r="G1798" s="4">
        <v>37905</v>
      </c>
      <c r="H1798" s="3" t="s">
        <v>25</v>
      </c>
      <c r="I1798" s="3" t="str">
        <f t="shared" si="112"/>
        <v>Yes</v>
      </c>
      <c r="J1798" s="3" t="s">
        <v>685</v>
      </c>
      <c r="K1798" s="3">
        <v>2003</v>
      </c>
      <c r="L1798" s="3" t="str">
        <f t="shared" si="115"/>
        <v>Oct-2003</v>
      </c>
      <c r="M1798" s="3" t="s">
        <v>181</v>
      </c>
      <c r="N1798" s="3" t="s">
        <v>358</v>
      </c>
      <c r="O1798" s="3" t="s">
        <v>32</v>
      </c>
      <c r="P1798" s="3" t="s">
        <v>33</v>
      </c>
      <c r="Q1798" s="3" t="s">
        <v>36</v>
      </c>
    </row>
    <row r="1799" spans="1:17" x14ac:dyDescent="0.25">
      <c r="A1799" s="5">
        <v>10171</v>
      </c>
      <c r="B1799" s="5">
        <v>36</v>
      </c>
      <c r="C1799" s="5">
        <v>35.49</v>
      </c>
      <c r="D1799" s="5">
        <v>1277.6400000000001</v>
      </c>
      <c r="E1799" s="5" t="str">
        <f t="shared" si="113"/>
        <v>Low</v>
      </c>
      <c r="F1799" s="5">
        <f t="shared" si="114"/>
        <v>383.29200000000003</v>
      </c>
      <c r="G1799" s="6">
        <v>37930</v>
      </c>
      <c r="H1799" s="5" t="s">
        <v>25</v>
      </c>
      <c r="I1799" s="5" t="str">
        <f t="shared" si="112"/>
        <v>Yes</v>
      </c>
      <c r="J1799" s="5" t="s">
        <v>686</v>
      </c>
      <c r="K1799" s="5">
        <v>2003</v>
      </c>
      <c r="L1799" s="5" t="str">
        <f t="shared" si="115"/>
        <v>Nov-2003</v>
      </c>
      <c r="M1799" s="5" t="s">
        <v>181</v>
      </c>
      <c r="N1799" s="5" t="s">
        <v>292</v>
      </c>
      <c r="O1799" s="5" t="s">
        <v>231</v>
      </c>
      <c r="P1799" s="5" t="s">
        <v>33</v>
      </c>
      <c r="Q1799" s="5" t="s">
        <v>36</v>
      </c>
    </row>
    <row r="1800" spans="1:17" x14ac:dyDescent="0.25">
      <c r="A1800" s="3">
        <v>10181</v>
      </c>
      <c r="B1800" s="3">
        <v>37</v>
      </c>
      <c r="C1800" s="3">
        <v>42.67</v>
      </c>
      <c r="D1800" s="3">
        <v>1578.79</v>
      </c>
      <c r="E1800" s="3" t="str">
        <f t="shared" si="113"/>
        <v>Low</v>
      </c>
      <c r="F1800" s="3">
        <f t="shared" si="114"/>
        <v>473.63699999999994</v>
      </c>
      <c r="G1800" s="4">
        <v>37937</v>
      </c>
      <c r="H1800" s="3" t="s">
        <v>25</v>
      </c>
      <c r="I1800" s="3" t="str">
        <f t="shared" si="112"/>
        <v>Yes</v>
      </c>
      <c r="J1800" s="3" t="s">
        <v>686</v>
      </c>
      <c r="K1800" s="3">
        <v>2003</v>
      </c>
      <c r="L1800" s="3" t="str">
        <f t="shared" si="115"/>
        <v>Nov-2003</v>
      </c>
      <c r="M1800" s="3" t="s">
        <v>181</v>
      </c>
      <c r="N1800" s="3" t="s">
        <v>73</v>
      </c>
      <c r="O1800" s="3" t="s">
        <v>78</v>
      </c>
      <c r="P1800" s="3" t="s">
        <v>42</v>
      </c>
      <c r="Q1800" s="3" t="s">
        <v>36</v>
      </c>
    </row>
    <row r="1801" spans="1:17" x14ac:dyDescent="0.25">
      <c r="A1801" s="5">
        <v>10192</v>
      </c>
      <c r="B1801" s="5">
        <v>30</v>
      </c>
      <c r="C1801" s="5">
        <v>30.59</v>
      </c>
      <c r="D1801" s="5">
        <v>917.7</v>
      </c>
      <c r="E1801" s="5" t="str">
        <f t="shared" si="113"/>
        <v>Low</v>
      </c>
      <c r="F1801" s="5">
        <f t="shared" si="114"/>
        <v>275.31</v>
      </c>
      <c r="G1801" s="6">
        <v>37945</v>
      </c>
      <c r="H1801" s="5" t="s">
        <v>25</v>
      </c>
      <c r="I1801" s="5" t="str">
        <f t="shared" si="112"/>
        <v>Yes</v>
      </c>
      <c r="J1801" s="5" t="s">
        <v>686</v>
      </c>
      <c r="K1801" s="5">
        <v>2003</v>
      </c>
      <c r="L1801" s="5" t="str">
        <f t="shared" si="115"/>
        <v>Nov-2003</v>
      </c>
      <c r="M1801" s="5" t="s">
        <v>181</v>
      </c>
      <c r="N1801" s="5" t="s">
        <v>277</v>
      </c>
      <c r="O1801" s="5" t="s">
        <v>32</v>
      </c>
      <c r="P1801" s="5" t="s">
        <v>33</v>
      </c>
      <c r="Q1801" s="5" t="s">
        <v>36</v>
      </c>
    </row>
    <row r="1802" spans="1:17" x14ac:dyDescent="0.25">
      <c r="A1802" s="3">
        <v>10203</v>
      </c>
      <c r="B1802" s="3">
        <v>21</v>
      </c>
      <c r="C1802" s="3">
        <v>37</v>
      </c>
      <c r="D1802" s="3">
        <v>777</v>
      </c>
      <c r="E1802" s="3" t="str">
        <f t="shared" si="113"/>
        <v>Low</v>
      </c>
      <c r="F1802" s="3">
        <f t="shared" si="114"/>
        <v>233.1</v>
      </c>
      <c r="G1802" s="4">
        <v>37957</v>
      </c>
      <c r="H1802" s="3" t="s">
        <v>25</v>
      </c>
      <c r="I1802" s="3" t="str">
        <f t="shared" si="112"/>
        <v>Yes</v>
      </c>
      <c r="J1802" s="3" t="s">
        <v>687</v>
      </c>
      <c r="K1802" s="3">
        <v>2003</v>
      </c>
      <c r="L1802" s="3" t="str">
        <f t="shared" si="115"/>
        <v>Dec-2003</v>
      </c>
      <c r="M1802" s="3" t="s">
        <v>181</v>
      </c>
      <c r="N1802" s="3" t="s">
        <v>174</v>
      </c>
      <c r="O1802" s="3" t="s">
        <v>178</v>
      </c>
      <c r="P1802" s="3" t="s">
        <v>42</v>
      </c>
      <c r="Q1802" s="3" t="s">
        <v>36</v>
      </c>
    </row>
    <row r="1803" spans="1:17" x14ac:dyDescent="0.25">
      <c r="A1803" s="5">
        <v>10212</v>
      </c>
      <c r="B1803" s="5">
        <v>34</v>
      </c>
      <c r="C1803" s="5">
        <v>43.42</v>
      </c>
      <c r="D1803" s="5">
        <v>1476.28</v>
      </c>
      <c r="E1803" s="5" t="str">
        <f t="shared" si="113"/>
        <v>Low</v>
      </c>
      <c r="F1803" s="5">
        <f t="shared" si="114"/>
        <v>442.88399999999996</v>
      </c>
      <c r="G1803" s="6">
        <v>38002</v>
      </c>
      <c r="H1803" s="5" t="s">
        <v>25</v>
      </c>
      <c r="I1803" s="5" t="str">
        <f t="shared" si="112"/>
        <v>Yes</v>
      </c>
      <c r="J1803" s="5" t="s">
        <v>549</v>
      </c>
      <c r="K1803" s="5">
        <v>2004</v>
      </c>
      <c r="L1803" s="5" t="str">
        <f t="shared" si="115"/>
        <v>Jan-2004</v>
      </c>
      <c r="M1803" s="5" t="s">
        <v>181</v>
      </c>
      <c r="N1803" s="5" t="s">
        <v>174</v>
      </c>
      <c r="O1803" s="5" t="s">
        <v>178</v>
      </c>
      <c r="P1803" s="5" t="s">
        <v>42</v>
      </c>
      <c r="Q1803" s="5" t="s">
        <v>36</v>
      </c>
    </row>
    <row r="1804" spans="1:17" x14ac:dyDescent="0.25">
      <c r="A1804" s="3">
        <v>10225</v>
      </c>
      <c r="B1804" s="3">
        <v>42</v>
      </c>
      <c r="C1804" s="3">
        <v>36.630000000000003</v>
      </c>
      <c r="D1804" s="3">
        <v>1538.46</v>
      </c>
      <c r="E1804" s="3" t="str">
        <f t="shared" si="113"/>
        <v>Low</v>
      </c>
      <c r="F1804" s="3">
        <f t="shared" si="114"/>
        <v>461.53800000000001</v>
      </c>
      <c r="G1804" s="4">
        <v>38039</v>
      </c>
      <c r="H1804" s="3" t="s">
        <v>25</v>
      </c>
      <c r="I1804" s="3" t="str">
        <f t="shared" si="112"/>
        <v>Yes</v>
      </c>
      <c r="J1804" s="3" t="s">
        <v>681</v>
      </c>
      <c r="K1804" s="3">
        <v>2004</v>
      </c>
      <c r="L1804" s="3" t="str">
        <f t="shared" si="115"/>
        <v>Feb-2004</v>
      </c>
      <c r="M1804" s="3" t="s">
        <v>181</v>
      </c>
      <c r="N1804" s="3" t="s">
        <v>446</v>
      </c>
      <c r="O1804" s="3" t="s">
        <v>450</v>
      </c>
      <c r="P1804" s="3" t="s">
        <v>42</v>
      </c>
      <c r="Q1804" s="3" t="s">
        <v>36</v>
      </c>
    </row>
    <row r="1805" spans="1:17" x14ac:dyDescent="0.25">
      <c r="A1805" s="5">
        <v>10239</v>
      </c>
      <c r="B1805" s="5">
        <v>20</v>
      </c>
      <c r="C1805" s="5">
        <v>44.56</v>
      </c>
      <c r="D1805" s="5">
        <v>891.2</v>
      </c>
      <c r="E1805" s="5" t="str">
        <f t="shared" si="113"/>
        <v>Low</v>
      </c>
      <c r="F1805" s="5">
        <f t="shared" si="114"/>
        <v>267.36</v>
      </c>
      <c r="G1805" s="6">
        <v>38089</v>
      </c>
      <c r="H1805" s="5" t="s">
        <v>25</v>
      </c>
      <c r="I1805" s="5" t="str">
        <f t="shared" si="112"/>
        <v>Yes</v>
      </c>
      <c r="J1805" s="5" t="s">
        <v>688</v>
      </c>
      <c r="K1805" s="5">
        <v>2004</v>
      </c>
      <c r="L1805" s="5" t="str">
        <f t="shared" si="115"/>
        <v>Apr-2004</v>
      </c>
      <c r="M1805" s="5" t="s">
        <v>181</v>
      </c>
      <c r="N1805" s="5" t="s">
        <v>391</v>
      </c>
      <c r="O1805" s="5" t="s">
        <v>130</v>
      </c>
      <c r="P1805" s="5" t="s">
        <v>42</v>
      </c>
      <c r="Q1805" s="5" t="s">
        <v>36</v>
      </c>
    </row>
    <row r="1806" spans="1:17" x14ac:dyDescent="0.25">
      <c r="A1806" s="3">
        <v>10253</v>
      </c>
      <c r="B1806" s="3">
        <v>40</v>
      </c>
      <c r="C1806" s="3">
        <v>42.67</v>
      </c>
      <c r="D1806" s="3">
        <v>1706.8000000000002</v>
      </c>
      <c r="E1806" s="3" t="str">
        <f t="shared" si="113"/>
        <v>Low</v>
      </c>
      <c r="F1806" s="3">
        <f t="shared" si="114"/>
        <v>512.04000000000008</v>
      </c>
      <c r="G1806" s="4">
        <v>38139</v>
      </c>
      <c r="H1806" s="3" t="s">
        <v>339</v>
      </c>
      <c r="I1806" s="3" t="str">
        <f t="shared" si="112"/>
        <v>No</v>
      </c>
      <c r="J1806" s="3" t="s">
        <v>689</v>
      </c>
      <c r="K1806" s="3">
        <v>2004</v>
      </c>
      <c r="L1806" s="3" t="str">
        <f t="shared" si="115"/>
        <v>Jun-2004</v>
      </c>
      <c r="M1806" s="3" t="s">
        <v>181</v>
      </c>
      <c r="N1806" s="3" t="s">
        <v>165</v>
      </c>
      <c r="O1806" s="3" t="s">
        <v>170</v>
      </c>
      <c r="P1806" s="3" t="s">
        <v>42</v>
      </c>
      <c r="Q1806" s="3" t="s">
        <v>36</v>
      </c>
    </row>
    <row r="1807" spans="1:17" x14ac:dyDescent="0.25">
      <c r="A1807" s="5">
        <v>10266</v>
      </c>
      <c r="B1807" s="5">
        <v>34</v>
      </c>
      <c r="C1807" s="5">
        <v>40.4</v>
      </c>
      <c r="D1807" s="5">
        <v>1373.6</v>
      </c>
      <c r="E1807" s="5" t="str">
        <f t="shared" si="113"/>
        <v>Low</v>
      </c>
      <c r="F1807" s="5">
        <f t="shared" si="114"/>
        <v>412.08</v>
      </c>
      <c r="G1807" s="6">
        <v>38174</v>
      </c>
      <c r="H1807" s="5" t="s">
        <v>25</v>
      </c>
      <c r="I1807" s="5" t="str">
        <f t="shared" si="112"/>
        <v>Yes</v>
      </c>
      <c r="J1807" s="5" t="s">
        <v>683</v>
      </c>
      <c r="K1807" s="5">
        <v>2004</v>
      </c>
      <c r="L1807" s="5" t="str">
        <f t="shared" si="115"/>
        <v>Jul-2004</v>
      </c>
      <c r="M1807" s="5" t="s">
        <v>181</v>
      </c>
      <c r="N1807" s="5" t="s">
        <v>452</v>
      </c>
      <c r="O1807" s="5" t="s">
        <v>258</v>
      </c>
      <c r="P1807" s="5" t="s">
        <v>42</v>
      </c>
      <c r="Q1807" s="5" t="s">
        <v>36</v>
      </c>
    </row>
    <row r="1808" spans="1:17" x14ac:dyDescent="0.25">
      <c r="A1808" s="3">
        <v>10278</v>
      </c>
      <c r="B1808" s="3">
        <v>31</v>
      </c>
      <c r="C1808" s="3">
        <v>38.89</v>
      </c>
      <c r="D1808" s="3">
        <v>1205.5899999999999</v>
      </c>
      <c r="E1808" s="3" t="str">
        <f t="shared" si="113"/>
        <v>Low</v>
      </c>
      <c r="F1808" s="3">
        <f t="shared" si="114"/>
        <v>361.67699999999996</v>
      </c>
      <c r="G1808" s="4">
        <v>38205</v>
      </c>
      <c r="H1808" s="3" t="s">
        <v>25</v>
      </c>
      <c r="I1808" s="3" t="str">
        <f t="shared" si="112"/>
        <v>Yes</v>
      </c>
      <c r="J1808" s="3" t="s">
        <v>684</v>
      </c>
      <c r="K1808" s="3">
        <v>2004</v>
      </c>
      <c r="L1808" s="3" t="str">
        <f t="shared" si="115"/>
        <v>Aug-2004</v>
      </c>
      <c r="M1808" s="3" t="s">
        <v>181</v>
      </c>
      <c r="N1808" s="3" t="s">
        <v>539</v>
      </c>
      <c r="O1808" s="3" t="s">
        <v>32</v>
      </c>
      <c r="P1808" s="3" t="s">
        <v>33</v>
      </c>
      <c r="Q1808" s="3" t="s">
        <v>36</v>
      </c>
    </row>
    <row r="1809" spans="1:17" x14ac:dyDescent="0.25">
      <c r="A1809" s="5">
        <v>10287</v>
      </c>
      <c r="B1809" s="5">
        <v>36</v>
      </c>
      <c r="C1809" s="5">
        <v>39.65</v>
      </c>
      <c r="D1809" s="5">
        <v>1427.3999999999999</v>
      </c>
      <c r="E1809" s="5" t="str">
        <f t="shared" si="113"/>
        <v>Low</v>
      </c>
      <c r="F1809" s="5">
        <f t="shared" si="114"/>
        <v>428.21999999999997</v>
      </c>
      <c r="G1809" s="6">
        <v>38229</v>
      </c>
      <c r="H1809" s="5" t="s">
        <v>25</v>
      </c>
      <c r="I1809" s="5" t="str">
        <f t="shared" si="112"/>
        <v>Yes</v>
      </c>
      <c r="J1809" s="5" t="s">
        <v>684</v>
      </c>
      <c r="K1809" s="5">
        <v>2004</v>
      </c>
      <c r="L1809" s="5" t="str">
        <f t="shared" si="115"/>
        <v>Aug-2004</v>
      </c>
      <c r="M1809" s="5" t="s">
        <v>181</v>
      </c>
      <c r="N1809" s="5" t="s">
        <v>446</v>
      </c>
      <c r="O1809" s="5" t="s">
        <v>450</v>
      </c>
      <c r="P1809" s="5" t="s">
        <v>42</v>
      </c>
      <c r="Q1809" s="5" t="s">
        <v>36</v>
      </c>
    </row>
    <row r="1810" spans="1:17" x14ac:dyDescent="0.25">
      <c r="A1810" s="3">
        <v>10301</v>
      </c>
      <c r="B1810" s="3">
        <v>48</v>
      </c>
      <c r="C1810" s="3">
        <v>34.36</v>
      </c>
      <c r="D1810" s="3">
        <v>1649.28</v>
      </c>
      <c r="E1810" s="3" t="str">
        <f t="shared" si="113"/>
        <v>Low</v>
      </c>
      <c r="F1810" s="3">
        <f t="shared" si="114"/>
        <v>494.78399999999999</v>
      </c>
      <c r="G1810" s="4">
        <v>37899</v>
      </c>
      <c r="H1810" s="3" t="s">
        <v>25</v>
      </c>
      <c r="I1810" s="3" t="str">
        <f t="shared" si="112"/>
        <v>Yes</v>
      </c>
      <c r="J1810" s="3" t="s">
        <v>685</v>
      </c>
      <c r="K1810" s="3">
        <v>2003</v>
      </c>
      <c r="L1810" s="3" t="str">
        <f t="shared" si="115"/>
        <v>Oct-2003</v>
      </c>
      <c r="M1810" s="3" t="s">
        <v>181</v>
      </c>
      <c r="N1810" s="3" t="s">
        <v>543</v>
      </c>
      <c r="O1810" s="3" t="s">
        <v>78</v>
      </c>
      <c r="P1810" s="3" t="s">
        <v>42</v>
      </c>
      <c r="Q1810" s="3" t="s">
        <v>36</v>
      </c>
    </row>
    <row r="1811" spans="1:17" x14ac:dyDescent="0.25">
      <c r="A1811" s="5">
        <v>10310</v>
      </c>
      <c r="B1811" s="5">
        <v>33</v>
      </c>
      <c r="C1811" s="5">
        <v>41.91</v>
      </c>
      <c r="D1811" s="5">
        <v>1383.03</v>
      </c>
      <c r="E1811" s="5" t="str">
        <f t="shared" si="113"/>
        <v>Low</v>
      </c>
      <c r="F1811" s="5">
        <f t="shared" si="114"/>
        <v>414.90899999999999</v>
      </c>
      <c r="G1811" s="6">
        <v>38276</v>
      </c>
      <c r="H1811" s="5" t="s">
        <v>25</v>
      </c>
      <c r="I1811" s="5" t="str">
        <f t="shared" si="112"/>
        <v>Yes</v>
      </c>
      <c r="J1811" s="5" t="s">
        <v>685</v>
      </c>
      <c r="K1811" s="5">
        <v>2004</v>
      </c>
      <c r="L1811" s="5" t="str">
        <f t="shared" si="115"/>
        <v>Oct-2004</v>
      </c>
      <c r="M1811" s="5" t="s">
        <v>181</v>
      </c>
      <c r="N1811" s="5" t="s">
        <v>439</v>
      </c>
      <c r="O1811" s="5" t="s">
        <v>443</v>
      </c>
      <c r="P1811" s="5" t="s">
        <v>42</v>
      </c>
      <c r="Q1811" s="5" t="s">
        <v>36</v>
      </c>
    </row>
    <row r="1812" spans="1:17" x14ac:dyDescent="0.25">
      <c r="A1812" s="3">
        <v>10321</v>
      </c>
      <c r="B1812" s="3">
        <v>37</v>
      </c>
      <c r="C1812" s="3">
        <v>33.229999999999997</v>
      </c>
      <c r="D1812" s="3">
        <v>1229.51</v>
      </c>
      <c r="E1812" s="3" t="str">
        <f t="shared" si="113"/>
        <v>Low</v>
      </c>
      <c r="F1812" s="3">
        <f t="shared" si="114"/>
        <v>368.85300000000001</v>
      </c>
      <c r="G1812" s="4">
        <v>38295</v>
      </c>
      <c r="H1812" s="3" t="s">
        <v>25</v>
      </c>
      <c r="I1812" s="3" t="str">
        <f t="shared" si="112"/>
        <v>Yes</v>
      </c>
      <c r="J1812" s="3" t="s">
        <v>686</v>
      </c>
      <c r="K1812" s="3">
        <v>2004</v>
      </c>
      <c r="L1812" s="3" t="str">
        <f t="shared" si="115"/>
        <v>Nov-2004</v>
      </c>
      <c r="M1812" s="3" t="s">
        <v>181</v>
      </c>
      <c r="N1812" s="3" t="s">
        <v>160</v>
      </c>
      <c r="O1812" s="3" t="s">
        <v>32</v>
      </c>
      <c r="P1812" s="3" t="s">
        <v>33</v>
      </c>
      <c r="Q1812" s="3" t="s">
        <v>36</v>
      </c>
    </row>
    <row r="1813" spans="1:17" x14ac:dyDescent="0.25">
      <c r="A1813" s="5">
        <v>10331</v>
      </c>
      <c r="B1813" s="5">
        <v>27</v>
      </c>
      <c r="C1813" s="5">
        <v>42.24</v>
      </c>
      <c r="D1813" s="5">
        <v>1140.48</v>
      </c>
      <c r="E1813" s="5" t="str">
        <f t="shared" si="113"/>
        <v>Low</v>
      </c>
      <c r="F1813" s="5">
        <f t="shared" si="114"/>
        <v>342.14400000000001</v>
      </c>
      <c r="G1813" s="6">
        <v>38308</v>
      </c>
      <c r="H1813" s="5" t="s">
        <v>25</v>
      </c>
      <c r="I1813" s="5" t="str">
        <f t="shared" si="112"/>
        <v>Yes</v>
      </c>
      <c r="J1813" s="5" t="s">
        <v>686</v>
      </c>
      <c r="K1813" s="5">
        <v>2004</v>
      </c>
      <c r="L1813" s="5" t="str">
        <f t="shared" si="115"/>
        <v>Nov-2004</v>
      </c>
      <c r="M1813" s="5" t="s">
        <v>181</v>
      </c>
      <c r="N1813" s="5" t="s">
        <v>309</v>
      </c>
      <c r="O1813" s="5" t="s">
        <v>32</v>
      </c>
      <c r="P1813" s="5" t="s">
        <v>33</v>
      </c>
      <c r="Q1813" s="5" t="s">
        <v>36</v>
      </c>
    </row>
    <row r="1814" spans="1:17" x14ac:dyDescent="0.25">
      <c r="A1814" s="3">
        <v>10342</v>
      </c>
      <c r="B1814" s="3">
        <v>39</v>
      </c>
      <c r="C1814" s="3">
        <v>40.4</v>
      </c>
      <c r="D1814" s="3">
        <v>1575.6</v>
      </c>
      <c r="E1814" s="3" t="str">
        <f t="shared" si="113"/>
        <v>Low</v>
      </c>
      <c r="F1814" s="3">
        <f t="shared" si="114"/>
        <v>472.67999999999995</v>
      </c>
      <c r="G1814" s="4">
        <v>38315</v>
      </c>
      <c r="H1814" s="3" t="s">
        <v>25</v>
      </c>
      <c r="I1814" s="3" t="str">
        <f t="shared" si="112"/>
        <v>Yes</v>
      </c>
      <c r="J1814" s="3" t="s">
        <v>686</v>
      </c>
      <c r="K1814" s="3">
        <v>2004</v>
      </c>
      <c r="L1814" s="3" t="str">
        <f t="shared" si="115"/>
        <v>Nov-2004</v>
      </c>
      <c r="M1814" s="3" t="s">
        <v>181</v>
      </c>
      <c r="N1814" s="3" t="s">
        <v>89</v>
      </c>
      <c r="O1814" s="3" t="s">
        <v>95</v>
      </c>
      <c r="P1814" s="3" t="s">
        <v>96</v>
      </c>
      <c r="Q1814" s="3" t="s">
        <v>36</v>
      </c>
    </row>
    <row r="1815" spans="1:17" x14ac:dyDescent="0.25">
      <c r="A1815" s="5">
        <v>10355</v>
      </c>
      <c r="B1815" s="5">
        <v>36</v>
      </c>
      <c r="C1815" s="5">
        <v>38.520000000000003</v>
      </c>
      <c r="D1815" s="5">
        <v>1386.72</v>
      </c>
      <c r="E1815" s="5" t="str">
        <f t="shared" si="113"/>
        <v>Low</v>
      </c>
      <c r="F1815" s="5">
        <f t="shared" si="114"/>
        <v>416.01600000000002</v>
      </c>
      <c r="G1815" s="6">
        <v>38328</v>
      </c>
      <c r="H1815" s="5" t="s">
        <v>25</v>
      </c>
      <c r="I1815" s="5" t="str">
        <f t="shared" si="112"/>
        <v>Yes</v>
      </c>
      <c r="J1815" s="5" t="s">
        <v>687</v>
      </c>
      <c r="K1815" s="5">
        <v>2004</v>
      </c>
      <c r="L1815" s="5" t="str">
        <f t="shared" si="115"/>
        <v>Dec-2004</v>
      </c>
      <c r="M1815" s="5" t="s">
        <v>181</v>
      </c>
      <c r="N1815" s="5" t="s">
        <v>174</v>
      </c>
      <c r="O1815" s="5" t="s">
        <v>178</v>
      </c>
      <c r="P1815" s="5" t="s">
        <v>42</v>
      </c>
      <c r="Q1815" s="5" t="s">
        <v>36</v>
      </c>
    </row>
    <row r="1816" spans="1:17" x14ac:dyDescent="0.25">
      <c r="A1816" s="3">
        <v>10367</v>
      </c>
      <c r="B1816" s="3">
        <v>36</v>
      </c>
      <c r="C1816" s="3">
        <v>100</v>
      </c>
      <c r="D1816" s="3">
        <v>3600</v>
      </c>
      <c r="E1816" s="3" t="str">
        <f t="shared" si="113"/>
        <v>Medium</v>
      </c>
      <c r="F1816" s="3">
        <f t="shared" si="114"/>
        <v>1080</v>
      </c>
      <c r="G1816" s="4">
        <v>38364</v>
      </c>
      <c r="H1816" s="3" t="s">
        <v>408</v>
      </c>
      <c r="I1816" s="3" t="str">
        <f t="shared" si="112"/>
        <v>No</v>
      </c>
      <c r="J1816" s="3" t="s">
        <v>549</v>
      </c>
      <c r="K1816" s="3">
        <v>2005</v>
      </c>
      <c r="L1816" s="3" t="str">
        <f t="shared" si="115"/>
        <v>Jan-2005</v>
      </c>
      <c r="M1816" s="3" t="s">
        <v>181</v>
      </c>
      <c r="N1816" s="3" t="s">
        <v>52</v>
      </c>
      <c r="O1816" s="3" t="s">
        <v>32</v>
      </c>
      <c r="P1816" s="3" t="s">
        <v>33</v>
      </c>
      <c r="Q1816" s="3" t="s">
        <v>51</v>
      </c>
    </row>
    <row r="1817" spans="1:17" x14ac:dyDescent="0.25">
      <c r="A1817" s="5">
        <v>10378</v>
      </c>
      <c r="B1817" s="5">
        <v>41</v>
      </c>
      <c r="C1817" s="5">
        <v>100</v>
      </c>
      <c r="D1817" s="5">
        <v>4100</v>
      </c>
      <c r="E1817" s="5" t="str">
        <f t="shared" si="113"/>
        <v>Medium</v>
      </c>
      <c r="F1817" s="5">
        <f t="shared" si="114"/>
        <v>1230</v>
      </c>
      <c r="G1817" s="6">
        <v>38393</v>
      </c>
      <c r="H1817" s="5" t="s">
        <v>25</v>
      </c>
      <c r="I1817" s="5" t="str">
        <f t="shared" si="112"/>
        <v>Yes</v>
      </c>
      <c r="J1817" s="5" t="s">
        <v>681</v>
      </c>
      <c r="K1817" s="5">
        <v>2005</v>
      </c>
      <c r="L1817" s="5" t="str">
        <f t="shared" si="115"/>
        <v>Feb-2005</v>
      </c>
      <c r="M1817" s="5" t="s">
        <v>181</v>
      </c>
      <c r="N1817" s="5" t="s">
        <v>174</v>
      </c>
      <c r="O1817" s="5" t="s">
        <v>178</v>
      </c>
      <c r="P1817" s="5" t="s">
        <v>42</v>
      </c>
      <c r="Q1817" s="5" t="s">
        <v>51</v>
      </c>
    </row>
    <row r="1818" spans="1:17" x14ac:dyDescent="0.25">
      <c r="A1818" s="3">
        <v>10390</v>
      </c>
      <c r="B1818" s="3">
        <v>37</v>
      </c>
      <c r="C1818" s="3">
        <v>100</v>
      </c>
      <c r="D1818" s="3">
        <v>3700</v>
      </c>
      <c r="E1818" s="3" t="str">
        <f t="shared" si="113"/>
        <v>Medium</v>
      </c>
      <c r="F1818" s="3">
        <f t="shared" si="114"/>
        <v>1110</v>
      </c>
      <c r="G1818" s="4">
        <v>38415</v>
      </c>
      <c r="H1818" s="3" t="s">
        <v>25</v>
      </c>
      <c r="I1818" s="3" t="str">
        <f t="shared" si="112"/>
        <v>Yes</v>
      </c>
      <c r="J1818" s="3" t="s">
        <v>691</v>
      </c>
      <c r="K1818" s="3">
        <v>2005</v>
      </c>
      <c r="L1818" s="3" t="str">
        <f t="shared" si="115"/>
        <v>Mar-2005</v>
      </c>
      <c r="M1818" s="3" t="s">
        <v>181</v>
      </c>
      <c r="N1818" s="3" t="s">
        <v>272</v>
      </c>
      <c r="O1818" s="3" t="s">
        <v>32</v>
      </c>
      <c r="P1818" s="3" t="s">
        <v>33</v>
      </c>
      <c r="Q1818" s="3" t="s">
        <v>51</v>
      </c>
    </row>
    <row r="1819" spans="1:17" x14ac:dyDescent="0.25">
      <c r="A1819" s="5">
        <v>10405</v>
      </c>
      <c r="B1819" s="5">
        <v>47</v>
      </c>
      <c r="C1819" s="5">
        <v>44.56</v>
      </c>
      <c r="D1819" s="5">
        <v>2094.3200000000002</v>
      </c>
      <c r="E1819" s="5" t="str">
        <f t="shared" si="113"/>
        <v>Medium</v>
      </c>
      <c r="F1819" s="5">
        <f t="shared" si="114"/>
        <v>628.29600000000005</v>
      </c>
      <c r="G1819" s="6">
        <v>38456</v>
      </c>
      <c r="H1819" s="5" t="s">
        <v>25</v>
      </c>
      <c r="I1819" s="5" t="str">
        <f t="shared" si="112"/>
        <v>Yes</v>
      </c>
      <c r="J1819" s="5" t="s">
        <v>688</v>
      </c>
      <c r="K1819" s="5">
        <v>2005</v>
      </c>
      <c r="L1819" s="5" t="str">
        <f t="shared" si="115"/>
        <v>Apr-2005</v>
      </c>
      <c r="M1819" s="5" t="s">
        <v>181</v>
      </c>
      <c r="N1819" s="5" t="s">
        <v>531</v>
      </c>
      <c r="O1819" s="5" t="s">
        <v>41</v>
      </c>
      <c r="P1819" s="5" t="s">
        <v>42</v>
      </c>
      <c r="Q1819" s="5" t="s">
        <v>36</v>
      </c>
    </row>
    <row r="1820" spans="1:17" x14ac:dyDescent="0.25">
      <c r="A1820" s="3">
        <v>10419</v>
      </c>
      <c r="B1820" s="3">
        <v>15</v>
      </c>
      <c r="C1820" s="3">
        <v>42.67</v>
      </c>
      <c r="D1820" s="3">
        <v>640.05000000000007</v>
      </c>
      <c r="E1820" s="3" t="str">
        <f t="shared" si="113"/>
        <v>Low</v>
      </c>
      <c r="F1820" s="3">
        <f t="shared" si="114"/>
        <v>192.01500000000001</v>
      </c>
      <c r="G1820" s="4">
        <v>38489</v>
      </c>
      <c r="H1820" s="3" t="s">
        <v>25</v>
      </c>
      <c r="I1820" s="3" t="str">
        <f t="shared" si="112"/>
        <v>Yes</v>
      </c>
      <c r="J1820" s="3" t="s">
        <v>682</v>
      </c>
      <c r="K1820" s="3">
        <v>2005</v>
      </c>
      <c r="L1820" s="3" t="str">
        <f t="shared" si="115"/>
        <v>May-2005</v>
      </c>
      <c r="M1820" s="3" t="s">
        <v>181</v>
      </c>
      <c r="N1820" s="3" t="s">
        <v>144</v>
      </c>
      <c r="O1820" s="3" t="s">
        <v>148</v>
      </c>
      <c r="P1820" s="3" t="s">
        <v>42</v>
      </c>
      <c r="Q1820" s="3" t="s">
        <v>36</v>
      </c>
    </row>
    <row r="1821" spans="1:17" x14ac:dyDescent="0.25">
      <c r="A1821" s="5">
        <v>10105</v>
      </c>
      <c r="B1821" s="5">
        <v>44</v>
      </c>
      <c r="C1821" s="5">
        <v>72.58</v>
      </c>
      <c r="D1821" s="5">
        <v>3193.52</v>
      </c>
      <c r="E1821" s="5" t="str">
        <f t="shared" si="113"/>
        <v>Medium</v>
      </c>
      <c r="F1821" s="5">
        <f t="shared" si="114"/>
        <v>958.05599999999993</v>
      </c>
      <c r="G1821" s="6">
        <v>37663</v>
      </c>
      <c r="H1821" s="5" t="s">
        <v>25</v>
      </c>
      <c r="I1821" s="5" t="str">
        <f t="shared" si="112"/>
        <v>Yes</v>
      </c>
      <c r="J1821" s="5" t="s">
        <v>681</v>
      </c>
      <c r="K1821" s="5">
        <v>2003</v>
      </c>
      <c r="L1821" s="5" t="str">
        <f t="shared" si="115"/>
        <v>Feb-2003</v>
      </c>
      <c r="M1821" s="5" t="s">
        <v>550</v>
      </c>
      <c r="N1821" s="5" t="s">
        <v>322</v>
      </c>
      <c r="O1821" s="5" t="s">
        <v>326</v>
      </c>
      <c r="P1821" s="5" t="s">
        <v>42</v>
      </c>
      <c r="Q1821" s="5" t="s">
        <v>51</v>
      </c>
    </row>
    <row r="1822" spans="1:17" x14ac:dyDescent="0.25">
      <c r="A1822" s="3">
        <v>10119</v>
      </c>
      <c r="B1822" s="3">
        <v>35</v>
      </c>
      <c r="C1822" s="3">
        <v>87.62</v>
      </c>
      <c r="D1822" s="3">
        <v>3066.7000000000003</v>
      </c>
      <c r="E1822" s="3" t="str">
        <f t="shared" si="113"/>
        <v>Medium</v>
      </c>
      <c r="F1822" s="3">
        <f t="shared" si="114"/>
        <v>920.0100000000001</v>
      </c>
      <c r="G1822" s="4">
        <v>37739</v>
      </c>
      <c r="H1822" s="3" t="s">
        <v>25</v>
      </c>
      <c r="I1822" s="3" t="str">
        <f t="shared" si="112"/>
        <v>Yes</v>
      </c>
      <c r="J1822" s="3" t="s">
        <v>688</v>
      </c>
      <c r="K1822" s="3">
        <v>2003</v>
      </c>
      <c r="L1822" s="3" t="str">
        <f t="shared" si="115"/>
        <v>Apr-2003</v>
      </c>
      <c r="M1822" s="3" t="s">
        <v>550</v>
      </c>
      <c r="N1822" s="3" t="s">
        <v>144</v>
      </c>
      <c r="O1822" s="3" t="s">
        <v>148</v>
      </c>
      <c r="P1822" s="3" t="s">
        <v>42</v>
      </c>
      <c r="Q1822" s="3" t="s">
        <v>51</v>
      </c>
    </row>
    <row r="1823" spans="1:17" x14ac:dyDescent="0.25">
      <c r="A1823" s="5">
        <v>10129</v>
      </c>
      <c r="B1823" s="5">
        <v>41</v>
      </c>
      <c r="C1823" s="5">
        <v>94.71</v>
      </c>
      <c r="D1823" s="5">
        <v>3883.1099999999997</v>
      </c>
      <c r="E1823" s="5" t="str">
        <f t="shared" si="113"/>
        <v>Medium</v>
      </c>
      <c r="F1823" s="5">
        <f t="shared" si="114"/>
        <v>1164.9329999999998</v>
      </c>
      <c r="G1823" s="6">
        <v>37784</v>
      </c>
      <c r="H1823" s="5" t="s">
        <v>25</v>
      </c>
      <c r="I1823" s="5" t="str">
        <f t="shared" si="112"/>
        <v>Yes</v>
      </c>
      <c r="J1823" s="5" t="s">
        <v>689</v>
      </c>
      <c r="K1823" s="5">
        <v>2003</v>
      </c>
      <c r="L1823" s="5" t="str">
        <f t="shared" si="115"/>
        <v>Jun-2003</v>
      </c>
      <c r="M1823" s="5" t="s">
        <v>550</v>
      </c>
      <c r="N1823" s="5" t="s">
        <v>329</v>
      </c>
      <c r="O1823" s="5" t="s">
        <v>170</v>
      </c>
      <c r="P1823" s="5" t="s">
        <v>42</v>
      </c>
      <c r="Q1823" s="5" t="s">
        <v>51</v>
      </c>
    </row>
    <row r="1824" spans="1:17" x14ac:dyDescent="0.25">
      <c r="A1824" s="3">
        <v>10142</v>
      </c>
      <c r="B1824" s="3">
        <v>49</v>
      </c>
      <c r="C1824" s="3">
        <v>98.25</v>
      </c>
      <c r="D1824" s="3">
        <v>4814.25</v>
      </c>
      <c r="E1824" s="3" t="str">
        <f t="shared" si="113"/>
        <v>Medium</v>
      </c>
      <c r="F1824" s="3">
        <f t="shared" si="114"/>
        <v>1444.2749999999999</v>
      </c>
      <c r="G1824" s="4">
        <v>37841</v>
      </c>
      <c r="H1824" s="3" t="s">
        <v>25</v>
      </c>
      <c r="I1824" s="3" t="str">
        <f t="shared" si="112"/>
        <v>Yes</v>
      </c>
      <c r="J1824" s="3" t="s">
        <v>684</v>
      </c>
      <c r="K1824" s="3">
        <v>2003</v>
      </c>
      <c r="L1824" s="3" t="str">
        <f t="shared" si="115"/>
        <v>Aug-2003</v>
      </c>
      <c r="M1824" s="3" t="s">
        <v>550</v>
      </c>
      <c r="N1824" s="3" t="s">
        <v>272</v>
      </c>
      <c r="O1824" s="3" t="s">
        <v>32</v>
      </c>
      <c r="P1824" s="3" t="s">
        <v>33</v>
      </c>
      <c r="Q1824" s="3" t="s">
        <v>51</v>
      </c>
    </row>
    <row r="1825" spans="1:17" x14ac:dyDescent="0.25">
      <c r="A1825" s="5">
        <v>10154</v>
      </c>
      <c r="B1825" s="5">
        <v>31</v>
      </c>
      <c r="C1825" s="5">
        <v>91.17</v>
      </c>
      <c r="D1825" s="5">
        <v>2826.27</v>
      </c>
      <c r="E1825" s="5" t="str">
        <f t="shared" si="113"/>
        <v>Medium</v>
      </c>
      <c r="F1825" s="5">
        <f t="shared" si="114"/>
        <v>847.88099999999997</v>
      </c>
      <c r="G1825" s="6">
        <v>37896</v>
      </c>
      <c r="H1825" s="5" t="s">
        <v>25</v>
      </c>
      <c r="I1825" s="5" t="str">
        <f t="shared" si="112"/>
        <v>Yes</v>
      </c>
      <c r="J1825" s="5" t="s">
        <v>685</v>
      </c>
      <c r="K1825" s="5">
        <v>2003</v>
      </c>
      <c r="L1825" s="5" t="str">
        <f t="shared" si="115"/>
        <v>Oct-2003</v>
      </c>
      <c r="M1825" s="5" t="s">
        <v>550</v>
      </c>
      <c r="N1825" s="5" t="s">
        <v>514</v>
      </c>
      <c r="O1825" s="5" t="s">
        <v>32</v>
      </c>
      <c r="P1825" s="5" t="s">
        <v>33</v>
      </c>
      <c r="Q1825" s="5" t="s">
        <v>36</v>
      </c>
    </row>
    <row r="1826" spans="1:17" x14ac:dyDescent="0.25">
      <c r="A1826" s="3">
        <v>10167</v>
      </c>
      <c r="B1826" s="3">
        <v>20</v>
      </c>
      <c r="C1826" s="3">
        <v>79.66</v>
      </c>
      <c r="D1826" s="3">
        <v>1593.1999999999998</v>
      </c>
      <c r="E1826" s="3" t="str">
        <f t="shared" si="113"/>
        <v>Low</v>
      </c>
      <c r="F1826" s="3">
        <f t="shared" si="114"/>
        <v>477.95999999999992</v>
      </c>
      <c r="G1826" s="4">
        <v>37917</v>
      </c>
      <c r="H1826" s="3" t="s">
        <v>339</v>
      </c>
      <c r="I1826" s="3" t="str">
        <f t="shared" si="112"/>
        <v>No</v>
      </c>
      <c r="J1826" s="3" t="s">
        <v>685</v>
      </c>
      <c r="K1826" s="3">
        <v>2003</v>
      </c>
      <c r="L1826" s="3" t="str">
        <f t="shared" si="115"/>
        <v>Oct-2003</v>
      </c>
      <c r="M1826" s="3" t="s">
        <v>550</v>
      </c>
      <c r="N1826" s="3" t="s">
        <v>261</v>
      </c>
      <c r="O1826" s="3" t="s">
        <v>188</v>
      </c>
      <c r="P1826" s="3" t="s">
        <v>42</v>
      </c>
      <c r="Q1826" s="3" t="s">
        <v>36</v>
      </c>
    </row>
    <row r="1827" spans="1:17" x14ac:dyDescent="0.25">
      <c r="A1827" s="5">
        <v>10177</v>
      </c>
      <c r="B1827" s="5">
        <v>45</v>
      </c>
      <c r="C1827" s="5">
        <v>72.58</v>
      </c>
      <c r="D1827" s="5">
        <v>3266.1</v>
      </c>
      <c r="E1827" s="5" t="str">
        <f t="shared" si="113"/>
        <v>Medium</v>
      </c>
      <c r="F1827" s="5">
        <f t="shared" si="114"/>
        <v>979.82999999999993</v>
      </c>
      <c r="G1827" s="6">
        <v>37932</v>
      </c>
      <c r="H1827" s="5" t="s">
        <v>25</v>
      </c>
      <c r="I1827" s="5" t="str">
        <f t="shared" si="112"/>
        <v>Yes</v>
      </c>
      <c r="J1827" s="5" t="s">
        <v>686</v>
      </c>
      <c r="K1827" s="5">
        <v>2003</v>
      </c>
      <c r="L1827" s="5" t="str">
        <f t="shared" si="115"/>
        <v>Nov-2003</v>
      </c>
      <c r="M1827" s="5" t="s">
        <v>550</v>
      </c>
      <c r="N1827" s="5" t="s">
        <v>487</v>
      </c>
      <c r="O1827" s="5" t="s">
        <v>178</v>
      </c>
      <c r="P1827" s="5" t="s">
        <v>42</v>
      </c>
      <c r="Q1827" s="5" t="s">
        <v>51</v>
      </c>
    </row>
    <row r="1828" spans="1:17" x14ac:dyDescent="0.25">
      <c r="A1828" s="3">
        <v>10185</v>
      </c>
      <c r="B1828" s="3">
        <v>33</v>
      </c>
      <c r="C1828" s="3">
        <v>74.349999999999994</v>
      </c>
      <c r="D1828" s="3">
        <v>2453.5499999999997</v>
      </c>
      <c r="E1828" s="3" t="str">
        <f t="shared" si="113"/>
        <v>Medium</v>
      </c>
      <c r="F1828" s="3">
        <f t="shared" si="114"/>
        <v>736.06499999999994</v>
      </c>
      <c r="G1828" s="4">
        <v>37939</v>
      </c>
      <c r="H1828" s="3" t="s">
        <v>25</v>
      </c>
      <c r="I1828" s="3" t="str">
        <f t="shared" si="112"/>
        <v>Yes</v>
      </c>
      <c r="J1828" s="3" t="s">
        <v>686</v>
      </c>
      <c r="K1828" s="3">
        <v>2003</v>
      </c>
      <c r="L1828" s="3" t="str">
        <f t="shared" si="115"/>
        <v>Nov-2003</v>
      </c>
      <c r="M1828" s="3" t="s">
        <v>550</v>
      </c>
      <c r="N1828" s="3" t="s">
        <v>335</v>
      </c>
      <c r="O1828" s="3" t="s">
        <v>32</v>
      </c>
      <c r="P1828" s="3" t="s">
        <v>33</v>
      </c>
      <c r="Q1828" s="3" t="s">
        <v>36</v>
      </c>
    </row>
    <row r="1829" spans="1:17" x14ac:dyDescent="0.25">
      <c r="A1829" s="5">
        <v>10197</v>
      </c>
      <c r="B1829" s="5">
        <v>47</v>
      </c>
      <c r="C1829" s="5">
        <v>83.2</v>
      </c>
      <c r="D1829" s="5">
        <v>3910.4</v>
      </c>
      <c r="E1829" s="5" t="str">
        <f t="shared" si="113"/>
        <v>Medium</v>
      </c>
      <c r="F1829" s="5">
        <f t="shared" si="114"/>
        <v>1173.1199999999999</v>
      </c>
      <c r="G1829" s="6">
        <v>37951</v>
      </c>
      <c r="H1829" s="5" t="s">
        <v>25</v>
      </c>
      <c r="I1829" s="5" t="str">
        <f t="shared" si="112"/>
        <v>Yes</v>
      </c>
      <c r="J1829" s="5" t="s">
        <v>686</v>
      </c>
      <c r="K1829" s="5">
        <v>2003</v>
      </c>
      <c r="L1829" s="5" t="str">
        <f t="shared" si="115"/>
        <v>Nov-2003</v>
      </c>
      <c r="M1829" s="5" t="s">
        <v>550</v>
      </c>
      <c r="N1829" s="5" t="s">
        <v>352</v>
      </c>
      <c r="O1829" s="5" t="s">
        <v>178</v>
      </c>
      <c r="P1829" s="5" t="s">
        <v>42</v>
      </c>
      <c r="Q1829" s="5" t="s">
        <v>51</v>
      </c>
    </row>
    <row r="1830" spans="1:17" x14ac:dyDescent="0.25">
      <c r="A1830" s="3">
        <v>10208</v>
      </c>
      <c r="B1830" s="3">
        <v>20</v>
      </c>
      <c r="C1830" s="3">
        <v>89.4</v>
      </c>
      <c r="D1830" s="3">
        <v>1788</v>
      </c>
      <c r="E1830" s="3" t="str">
        <f t="shared" si="113"/>
        <v>Low</v>
      </c>
      <c r="F1830" s="3">
        <f t="shared" si="114"/>
        <v>536.4</v>
      </c>
      <c r="G1830" s="4">
        <v>37988</v>
      </c>
      <c r="H1830" s="3" t="s">
        <v>25</v>
      </c>
      <c r="I1830" s="3" t="str">
        <f t="shared" si="112"/>
        <v>Yes</v>
      </c>
      <c r="J1830" s="3" t="s">
        <v>549</v>
      </c>
      <c r="K1830" s="3">
        <v>2004</v>
      </c>
      <c r="L1830" s="3" t="str">
        <f t="shared" si="115"/>
        <v>Jan-2004</v>
      </c>
      <c r="M1830" s="3" t="s">
        <v>550</v>
      </c>
      <c r="N1830" s="3" t="s">
        <v>219</v>
      </c>
      <c r="O1830" s="3" t="s">
        <v>41</v>
      </c>
      <c r="P1830" s="3" t="s">
        <v>42</v>
      </c>
      <c r="Q1830" s="3" t="s">
        <v>36</v>
      </c>
    </row>
    <row r="1831" spans="1:17" x14ac:dyDescent="0.25">
      <c r="A1831" s="5">
        <v>10222</v>
      </c>
      <c r="B1831" s="5">
        <v>47</v>
      </c>
      <c r="C1831" s="5">
        <v>70.81</v>
      </c>
      <c r="D1831" s="5">
        <v>3328.07</v>
      </c>
      <c r="E1831" s="5" t="str">
        <f t="shared" si="113"/>
        <v>Medium</v>
      </c>
      <c r="F1831" s="5">
        <f t="shared" si="114"/>
        <v>998.42100000000005</v>
      </c>
      <c r="G1831" s="6">
        <v>38036</v>
      </c>
      <c r="H1831" s="5" t="s">
        <v>25</v>
      </c>
      <c r="I1831" s="5" t="str">
        <f t="shared" si="112"/>
        <v>Yes</v>
      </c>
      <c r="J1831" s="5" t="s">
        <v>681</v>
      </c>
      <c r="K1831" s="5">
        <v>2004</v>
      </c>
      <c r="L1831" s="5" t="str">
        <f t="shared" si="115"/>
        <v>Feb-2004</v>
      </c>
      <c r="M1831" s="5" t="s">
        <v>550</v>
      </c>
      <c r="N1831" s="5" t="s">
        <v>362</v>
      </c>
      <c r="O1831" s="5" t="s">
        <v>32</v>
      </c>
      <c r="P1831" s="5" t="s">
        <v>33</v>
      </c>
      <c r="Q1831" s="5" t="s">
        <v>51</v>
      </c>
    </row>
    <row r="1832" spans="1:17" x14ac:dyDescent="0.25">
      <c r="A1832" s="3">
        <v>10233</v>
      </c>
      <c r="B1832" s="3">
        <v>40</v>
      </c>
      <c r="C1832" s="3">
        <v>94.71</v>
      </c>
      <c r="D1832" s="3">
        <v>3788.3999999999996</v>
      </c>
      <c r="E1832" s="3" t="str">
        <f t="shared" si="113"/>
        <v>Medium</v>
      </c>
      <c r="F1832" s="3">
        <f t="shared" si="114"/>
        <v>1136.5199999999998</v>
      </c>
      <c r="G1832" s="4">
        <v>38075</v>
      </c>
      <c r="H1832" s="3" t="s">
        <v>25</v>
      </c>
      <c r="I1832" s="3" t="str">
        <f t="shared" si="112"/>
        <v>Yes</v>
      </c>
      <c r="J1832" s="3" t="s">
        <v>691</v>
      </c>
      <c r="K1832" s="3">
        <v>2004</v>
      </c>
      <c r="L1832" s="3" t="str">
        <f t="shared" si="115"/>
        <v>Mar-2004</v>
      </c>
      <c r="M1832" s="3" t="s">
        <v>550</v>
      </c>
      <c r="N1832" s="3" t="s">
        <v>104</v>
      </c>
      <c r="O1832" s="3" t="s">
        <v>32</v>
      </c>
      <c r="P1832" s="3" t="s">
        <v>33</v>
      </c>
      <c r="Q1832" s="3" t="s">
        <v>51</v>
      </c>
    </row>
    <row r="1833" spans="1:17" x14ac:dyDescent="0.25">
      <c r="A1833" s="5">
        <v>10248</v>
      </c>
      <c r="B1833" s="5">
        <v>30</v>
      </c>
      <c r="C1833" s="5">
        <v>100</v>
      </c>
      <c r="D1833" s="5">
        <v>3000</v>
      </c>
      <c r="E1833" s="5" t="str">
        <f t="shared" si="113"/>
        <v>Medium</v>
      </c>
      <c r="F1833" s="5">
        <f t="shared" si="114"/>
        <v>900</v>
      </c>
      <c r="G1833" s="6">
        <v>38114</v>
      </c>
      <c r="H1833" s="5" t="s">
        <v>339</v>
      </c>
      <c r="I1833" s="5" t="str">
        <f t="shared" si="112"/>
        <v>No</v>
      </c>
      <c r="J1833" s="5" t="s">
        <v>682</v>
      </c>
      <c r="K1833" s="5">
        <v>2004</v>
      </c>
      <c r="L1833" s="5" t="str">
        <f t="shared" si="115"/>
        <v>May-2004</v>
      </c>
      <c r="M1833" s="5" t="s">
        <v>550</v>
      </c>
      <c r="N1833" s="5" t="s">
        <v>28</v>
      </c>
      <c r="O1833" s="5" t="s">
        <v>32</v>
      </c>
      <c r="P1833" s="5" t="s">
        <v>33</v>
      </c>
      <c r="Q1833" s="5" t="s">
        <v>51</v>
      </c>
    </row>
    <row r="1834" spans="1:17" x14ac:dyDescent="0.25">
      <c r="A1834" s="3">
        <v>10261</v>
      </c>
      <c r="B1834" s="3">
        <v>22</v>
      </c>
      <c r="C1834" s="3">
        <v>91.17</v>
      </c>
      <c r="D1834" s="3">
        <v>2005.74</v>
      </c>
      <c r="E1834" s="3" t="str">
        <f t="shared" si="113"/>
        <v>Medium</v>
      </c>
      <c r="F1834" s="3">
        <f t="shared" si="114"/>
        <v>601.72199999999998</v>
      </c>
      <c r="G1834" s="4">
        <v>38155</v>
      </c>
      <c r="H1834" s="3" t="s">
        <v>25</v>
      </c>
      <c r="I1834" s="3" t="str">
        <f t="shared" si="112"/>
        <v>Yes</v>
      </c>
      <c r="J1834" s="3" t="s">
        <v>689</v>
      </c>
      <c r="K1834" s="3">
        <v>2004</v>
      </c>
      <c r="L1834" s="3" t="str">
        <f t="shared" si="115"/>
        <v>Jun-2004</v>
      </c>
      <c r="M1834" s="3" t="s">
        <v>550</v>
      </c>
      <c r="N1834" s="3" t="s">
        <v>292</v>
      </c>
      <c r="O1834" s="3" t="s">
        <v>231</v>
      </c>
      <c r="P1834" s="3" t="s">
        <v>33</v>
      </c>
      <c r="Q1834" s="3" t="s">
        <v>36</v>
      </c>
    </row>
    <row r="1835" spans="1:17" x14ac:dyDescent="0.25">
      <c r="A1835" s="5">
        <v>10273</v>
      </c>
      <c r="B1835" s="5">
        <v>27</v>
      </c>
      <c r="C1835" s="5">
        <v>100</v>
      </c>
      <c r="D1835" s="5">
        <v>2700</v>
      </c>
      <c r="E1835" s="5" t="str">
        <f t="shared" si="113"/>
        <v>Medium</v>
      </c>
      <c r="F1835" s="5">
        <f t="shared" si="114"/>
        <v>810</v>
      </c>
      <c r="G1835" s="6">
        <v>38189</v>
      </c>
      <c r="H1835" s="5" t="s">
        <v>25</v>
      </c>
      <c r="I1835" s="5" t="str">
        <f t="shared" si="112"/>
        <v>Yes</v>
      </c>
      <c r="J1835" s="5" t="s">
        <v>683</v>
      </c>
      <c r="K1835" s="5">
        <v>2004</v>
      </c>
      <c r="L1835" s="5" t="str">
        <f t="shared" si="115"/>
        <v>Jul-2004</v>
      </c>
      <c r="M1835" s="5" t="s">
        <v>550</v>
      </c>
      <c r="N1835" s="5" t="s">
        <v>365</v>
      </c>
      <c r="O1835" s="5" t="s">
        <v>370</v>
      </c>
      <c r="P1835" s="5" t="s">
        <v>42</v>
      </c>
      <c r="Q1835" s="5" t="s">
        <v>36</v>
      </c>
    </row>
    <row r="1836" spans="1:17" x14ac:dyDescent="0.25">
      <c r="A1836" s="3">
        <v>10283</v>
      </c>
      <c r="B1836" s="3">
        <v>34</v>
      </c>
      <c r="C1836" s="3">
        <v>92.94</v>
      </c>
      <c r="D1836" s="3">
        <v>3159.96</v>
      </c>
      <c r="E1836" s="3" t="str">
        <f t="shared" si="113"/>
        <v>Medium</v>
      </c>
      <c r="F1836" s="3">
        <f t="shared" si="114"/>
        <v>947.98799999999994</v>
      </c>
      <c r="G1836" s="4">
        <v>38219</v>
      </c>
      <c r="H1836" s="3" t="s">
        <v>25</v>
      </c>
      <c r="I1836" s="3" t="str">
        <f t="shared" si="112"/>
        <v>Yes</v>
      </c>
      <c r="J1836" s="3" t="s">
        <v>684</v>
      </c>
      <c r="K1836" s="3">
        <v>2004</v>
      </c>
      <c r="L1836" s="3" t="str">
        <f t="shared" si="115"/>
        <v>Aug-2004</v>
      </c>
      <c r="M1836" s="3" t="s">
        <v>550</v>
      </c>
      <c r="N1836" s="3" t="s">
        <v>373</v>
      </c>
      <c r="O1836" s="3" t="s">
        <v>231</v>
      </c>
      <c r="P1836" s="3" t="s">
        <v>33</v>
      </c>
      <c r="Q1836" s="3" t="s">
        <v>51</v>
      </c>
    </row>
    <row r="1837" spans="1:17" x14ac:dyDescent="0.25">
      <c r="A1837" s="5">
        <v>10295</v>
      </c>
      <c r="B1837" s="5">
        <v>46</v>
      </c>
      <c r="C1837" s="5">
        <v>84.97</v>
      </c>
      <c r="D1837" s="5">
        <v>3908.62</v>
      </c>
      <c r="E1837" s="5" t="str">
        <f t="shared" si="113"/>
        <v>Medium</v>
      </c>
      <c r="F1837" s="5">
        <f t="shared" si="114"/>
        <v>1172.586</v>
      </c>
      <c r="G1837" s="6">
        <v>38240</v>
      </c>
      <c r="H1837" s="5" t="s">
        <v>25</v>
      </c>
      <c r="I1837" s="5" t="str">
        <f t="shared" si="112"/>
        <v>Yes</v>
      </c>
      <c r="J1837" s="5" t="s">
        <v>690</v>
      </c>
      <c r="K1837" s="5">
        <v>2004</v>
      </c>
      <c r="L1837" s="5" t="str">
        <f t="shared" si="115"/>
        <v>Sep-2004</v>
      </c>
      <c r="M1837" s="5" t="s">
        <v>550</v>
      </c>
      <c r="N1837" s="5" t="s">
        <v>379</v>
      </c>
      <c r="O1837" s="5" t="s">
        <v>32</v>
      </c>
      <c r="P1837" s="5" t="s">
        <v>33</v>
      </c>
      <c r="Q1837" s="5" t="s">
        <v>51</v>
      </c>
    </row>
    <row r="1838" spans="1:17" x14ac:dyDescent="0.25">
      <c r="A1838" s="3">
        <v>10306</v>
      </c>
      <c r="B1838" s="3">
        <v>31</v>
      </c>
      <c r="C1838" s="3">
        <v>84.08</v>
      </c>
      <c r="D1838" s="3">
        <v>2606.48</v>
      </c>
      <c r="E1838" s="3" t="str">
        <f t="shared" si="113"/>
        <v>Medium</v>
      </c>
      <c r="F1838" s="3">
        <f t="shared" si="114"/>
        <v>781.94399999999996</v>
      </c>
      <c r="G1838" s="4">
        <v>38274</v>
      </c>
      <c r="H1838" s="3" t="s">
        <v>25</v>
      </c>
      <c r="I1838" s="3" t="str">
        <f t="shared" si="112"/>
        <v>Yes</v>
      </c>
      <c r="J1838" s="3" t="s">
        <v>685</v>
      </c>
      <c r="K1838" s="3">
        <v>2004</v>
      </c>
      <c r="L1838" s="3" t="str">
        <f t="shared" si="115"/>
        <v>Oct-2004</v>
      </c>
      <c r="M1838" s="3" t="s">
        <v>550</v>
      </c>
      <c r="N1838" s="3" t="s">
        <v>492</v>
      </c>
      <c r="O1838" s="3" t="s">
        <v>170</v>
      </c>
      <c r="P1838" s="3" t="s">
        <v>42</v>
      </c>
      <c r="Q1838" s="3" t="s">
        <v>36</v>
      </c>
    </row>
    <row r="1839" spans="1:17" x14ac:dyDescent="0.25">
      <c r="A1839" s="5">
        <v>10315</v>
      </c>
      <c r="B1839" s="5">
        <v>24</v>
      </c>
      <c r="C1839" s="5">
        <v>86.74</v>
      </c>
      <c r="D1839" s="5">
        <v>2081.7599999999998</v>
      </c>
      <c r="E1839" s="5" t="str">
        <f t="shared" si="113"/>
        <v>Medium</v>
      </c>
      <c r="F1839" s="5">
        <f t="shared" si="114"/>
        <v>624.52799999999991</v>
      </c>
      <c r="G1839" s="6">
        <v>38289</v>
      </c>
      <c r="H1839" s="5" t="s">
        <v>25</v>
      </c>
      <c r="I1839" s="5" t="str">
        <f t="shared" si="112"/>
        <v>Yes</v>
      </c>
      <c r="J1839" s="5" t="s">
        <v>685</v>
      </c>
      <c r="K1839" s="5">
        <v>2004</v>
      </c>
      <c r="L1839" s="5" t="str">
        <f t="shared" si="115"/>
        <v>Oct-2004</v>
      </c>
      <c r="M1839" s="5" t="s">
        <v>550</v>
      </c>
      <c r="N1839" s="5" t="s">
        <v>114</v>
      </c>
      <c r="O1839" s="5" t="s">
        <v>41</v>
      </c>
      <c r="P1839" s="5" t="s">
        <v>42</v>
      </c>
      <c r="Q1839" s="5" t="s">
        <v>36</v>
      </c>
    </row>
    <row r="1840" spans="1:17" x14ac:dyDescent="0.25">
      <c r="A1840" s="3">
        <v>10326</v>
      </c>
      <c r="B1840" s="3">
        <v>41</v>
      </c>
      <c r="C1840" s="3">
        <v>85.85</v>
      </c>
      <c r="D1840" s="3">
        <v>3519.85</v>
      </c>
      <c r="E1840" s="3" t="str">
        <f t="shared" si="113"/>
        <v>Medium</v>
      </c>
      <c r="F1840" s="3">
        <f t="shared" si="114"/>
        <v>1055.9549999999999</v>
      </c>
      <c r="G1840" s="4">
        <v>38300</v>
      </c>
      <c r="H1840" s="3" t="s">
        <v>25</v>
      </c>
      <c r="I1840" s="3" t="str">
        <f t="shared" si="112"/>
        <v>Yes</v>
      </c>
      <c r="J1840" s="3" t="s">
        <v>686</v>
      </c>
      <c r="K1840" s="3">
        <v>2004</v>
      </c>
      <c r="L1840" s="3" t="str">
        <f t="shared" si="115"/>
        <v>Nov-2004</v>
      </c>
      <c r="M1840" s="3" t="s">
        <v>550</v>
      </c>
      <c r="N1840" s="3" t="s">
        <v>183</v>
      </c>
      <c r="O1840" s="3" t="s">
        <v>188</v>
      </c>
      <c r="P1840" s="3" t="s">
        <v>42</v>
      </c>
      <c r="Q1840" s="3" t="s">
        <v>51</v>
      </c>
    </row>
    <row r="1841" spans="1:17" x14ac:dyDescent="0.25">
      <c r="A1841" s="5">
        <v>10339</v>
      </c>
      <c r="B1841" s="5">
        <v>55</v>
      </c>
      <c r="C1841" s="5">
        <v>100</v>
      </c>
      <c r="D1841" s="5">
        <v>5500</v>
      </c>
      <c r="E1841" s="5" t="str">
        <f t="shared" si="113"/>
        <v>High</v>
      </c>
      <c r="F1841" s="5">
        <f t="shared" si="114"/>
        <v>1650</v>
      </c>
      <c r="G1841" s="6">
        <v>38314</v>
      </c>
      <c r="H1841" s="5" t="s">
        <v>25</v>
      </c>
      <c r="I1841" s="5" t="str">
        <f t="shared" si="112"/>
        <v>Yes</v>
      </c>
      <c r="J1841" s="5" t="s">
        <v>686</v>
      </c>
      <c r="K1841" s="5">
        <v>2004</v>
      </c>
      <c r="L1841" s="5" t="str">
        <f t="shared" si="115"/>
        <v>Nov-2004</v>
      </c>
      <c r="M1841" s="5" t="s">
        <v>550</v>
      </c>
      <c r="N1841" s="5" t="s">
        <v>246</v>
      </c>
      <c r="O1841" s="5" t="s">
        <v>200</v>
      </c>
      <c r="P1841" s="5" t="s">
        <v>675</v>
      </c>
      <c r="Q1841" s="5" t="s">
        <v>151</v>
      </c>
    </row>
    <row r="1842" spans="1:17" x14ac:dyDescent="0.25">
      <c r="A1842" s="3">
        <v>10350</v>
      </c>
      <c r="B1842" s="3">
        <v>30</v>
      </c>
      <c r="C1842" s="3">
        <v>100</v>
      </c>
      <c r="D1842" s="3">
        <v>3000</v>
      </c>
      <c r="E1842" s="3" t="str">
        <f t="shared" si="113"/>
        <v>Medium</v>
      </c>
      <c r="F1842" s="3">
        <f t="shared" si="114"/>
        <v>900</v>
      </c>
      <c r="G1842" s="4">
        <v>38323</v>
      </c>
      <c r="H1842" s="3" t="s">
        <v>25</v>
      </c>
      <c r="I1842" s="3" t="str">
        <f t="shared" si="112"/>
        <v>Yes</v>
      </c>
      <c r="J1842" s="3" t="s">
        <v>687</v>
      </c>
      <c r="K1842" s="3">
        <v>2004</v>
      </c>
      <c r="L1842" s="3" t="str">
        <f t="shared" si="115"/>
        <v>Dec-2004</v>
      </c>
      <c r="M1842" s="3" t="s">
        <v>550</v>
      </c>
      <c r="N1842" s="3" t="s">
        <v>174</v>
      </c>
      <c r="O1842" s="3" t="s">
        <v>178</v>
      </c>
      <c r="P1842" s="3" t="s">
        <v>42</v>
      </c>
      <c r="Q1842" s="3" t="s">
        <v>51</v>
      </c>
    </row>
    <row r="1843" spans="1:17" x14ac:dyDescent="0.25">
      <c r="A1843" s="5">
        <v>10373</v>
      </c>
      <c r="B1843" s="5">
        <v>33</v>
      </c>
      <c r="C1843" s="5">
        <v>57.32</v>
      </c>
      <c r="D1843" s="5">
        <v>1891.56</v>
      </c>
      <c r="E1843" s="5" t="str">
        <f t="shared" si="113"/>
        <v>Low</v>
      </c>
      <c r="F1843" s="5">
        <f t="shared" si="114"/>
        <v>567.46799999999996</v>
      </c>
      <c r="G1843" s="6">
        <v>38383</v>
      </c>
      <c r="H1843" s="5" t="s">
        <v>25</v>
      </c>
      <c r="I1843" s="5" t="str">
        <f t="shared" si="112"/>
        <v>Yes</v>
      </c>
      <c r="J1843" s="5" t="s">
        <v>549</v>
      </c>
      <c r="K1843" s="5">
        <v>2005</v>
      </c>
      <c r="L1843" s="5" t="str">
        <f t="shared" si="115"/>
        <v>Jan-2005</v>
      </c>
      <c r="M1843" s="5" t="s">
        <v>550</v>
      </c>
      <c r="N1843" s="5" t="s">
        <v>391</v>
      </c>
      <c r="O1843" s="5" t="s">
        <v>130</v>
      </c>
      <c r="P1843" s="5" t="s">
        <v>42</v>
      </c>
      <c r="Q1843" s="5" t="s">
        <v>36</v>
      </c>
    </row>
    <row r="1844" spans="1:17" x14ac:dyDescent="0.25">
      <c r="A1844" s="3">
        <v>10384</v>
      </c>
      <c r="B1844" s="3">
        <v>43</v>
      </c>
      <c r="C1844" s="3">
        <v>97.87</v>
      </c>
      <c r="D1844" s="3">
        <v>4208.41</v>
      </c>
      <c r="E1844" s="3" t="str">
        <f t="shared" si="113"/>
        <v>Medium</v>
      </c>
      <c r="F1844" s="3">
        <f t="shared" si="114"/>
        <v>1262.5229999999999</v>
      </c>
      <c r="G1844" s="4">
        <v>38406</v>
      </c>
      <c r="H1844" s="3" t="s">
        <v>25</v>
      </c>
      <c r="I1844" s="3" t="str">
        <f t="shared" si="112"/>
        <v>Yes</v>
      </c>
      <c r="J1844" s="3" t="s">
        <v>681</v>
      </c>
      <c r="K1844" s="3">
        <v>2005</v>
      </c>
      <c r="L1844" s="3" t="str">
        <f t="shared" si="115"/>
        <v>Feb-2005</v>
      </c>
      <c r="M1844" s="3" t="s">
        <v>550</v>
      </c>
      <c r="N1844" s="3" t="s">
        <v>58</v>
      </c>
      <c r="O1844" s="3" t="s">
        <v>32</v>
      </c>
      <c r="P1844" s="3" t="s">
        <v>33</v>
      </c>
      <c r="Q1844" s="3" t="s">
        <v>51</v>
      </c>
    </row>
    <row r="1845" spans="1:17" x14ac:dyDescent="0.25">
      <c r="A1845" s="5">
        <v>10396</v>
      </c>
      <c r="B1845" s="5">
        <v>27</v>
      </c>
      <c r="C1845" s="5">
        <v>83.2</v>
      </c>
      <c r="D1845" s="5">
        <v>2246.4</v>
      </c>
      <c r="E1845" s="5" t="str">
        <f t="shared" si="113"/>
        <v>Medium</v>
      </c>
      <c r="F1845" s="5">
        <f t="shared" si="114"/>
        <v>673.92</v>
      </c>
      <c r="G1845" s="6">
        <v>38434</v>
      </c>
      <c r="H1845" s="5" t="s">
        <v>25</v>
      </c>
      <c r="I1845" s="5" t="str">
        <f t="shared" si="112"/>
        <v>Yes</v>
      </c>
      <c r="J1845" s="5" t="s">
        <v>691</v>
      </c>
      <c r="K1845" s="5">
        <v>2005</v>
      </c>
      <c r="L1845" s="5" t="str">
        <f t="shared" si="115"/>
        <v>Mar-2005</v>
      </c>
      <c r="M1845" s="5" t="s">
        <v>550</v>
      </c>
      <c r="N1845" s="5" t="s">
        <v>272</v>
      </c>
      <c r="O1845" s="5" t="s">
        <v>32</v>
      </c>
      <c r="P1845" s="5" t="s">
        <v>33</v>
      </c>
      <c r="Q1845" s="5" t="s">
        <v>36</v>
      </c>
    </row>
    <row r="1846" spans="1:17" x14ac:dyDescent="0.25">
      <c r="A1846" s="3">
        <v>10414</v>
      </c>
      <c r="B1846" s="3">
        <v>60</v>
      </c>
      <c r="C1846" s="3">
        <v>100</v>
      </c>
      <c r="D1846" s="3">
        <v>6000</v>
      </c>
      <c r="E1846" s="3" t="str">
        <f t="shared" si="113"/>
        <v>High</v>
      </c>
      <c r="F1846" s="3">
        <f t="shared" si="114"/>
        <v>1800</v>
      </c>
      <c r="G1846" s="4">
        <v>38478</v>
      </c>
      <c r="H1846" s="3" t="s">
        <v>401</v>
      </c>
      <c r="I1846" s="3" t="str">
        <f t="shared" si="112"/>
        <v>No</v>
      </c>
      <c r="J1846" s="3" t="s">
        <v>682</v>
      </c>
      <c r="K1846" s="3">
        <v>2005</v>
      </c>
      <c r="L1846" s="3" t="str">
        <f t="shared" si="115"/>
        <v>May-2005</v>
      </c>
      <c r="M1846" s="3" t="s">
        <v>550</v>
      </c>
      <c r="N1846" s="3" t="s">
        <v>379</v>
      </c>
      <c r="O1846" s="3" t="s">
        <v>32</v>
      </c>
      <c r="P1846" s="3" t="s">
        <v>33</v>
      </c>
      <c r="Q1846" s="3" t="s">
        <v>51</v>
      </c>
    </row>
    <row r="1847" spans="1:17" x14ac:dyDescent="0.25">
      <c r="A1847" s="5">
        <v>10110</v>
      </c>
      <c r="B1847" s="5">
        <v>27</v>
      </c>
      <c r="C1847" s="5">
        <v>73.62</v>
      </c>
      <c r="D1847" s="5">
        <v>1987.7400000000002</v>
      </c>
      <c r="E1847" s="5" t="str">
        <f t="shared" si="113"/>
        <v>Low</v>
      </c>
      <c r="F1847" s="5">
        <f t="shared" si="114"/>
        <v>596.322</v>
      </c>
      <c r="G1847" s="6">
        <v>37698</v>
      </c>
      <c r="H1847" s="5" t="s">
        <v>25</v>
      </c>
      <c r="I1847" s="5" t="str">
        <f t="shared" si="112"/>
        <v>Yes</v>
      </c>
      <c r="J1847" s="5" t="s">
        <v>691</v>
      </c>
      <c r="K1847" s="5">
        <v>2003</v>
      </c>
      <c r="L1847" s="5" t="str">
        <f t="shared" si="115"/>
        <v>Mar-2003</v>
      </c>
      <c r="M1847" s="5" t="s">
        <v>181</v>
      </c>
      <c r="N1847" s="5" t="s">
        <v>492</v>
      </c>
      <c r="O1847" s="5" t="s">
        <v>170</v>
      </c>
      <c r="P1847" s="5" t="s">
        <v>42</v>
      </c>
      <c r="Q1847" s="5" t="s">
        <v>36</v>
      </c>
    </row>
    <row r="1848" spans="1:17" x14ac:dyDescent="0.25">
      <c r="A1848" s="3">
        <v>10124</v>
      </c>
      <c r="B1848" s="3">
        <v>49</v>
      </c>
      <c r="C1848" s="3">
        <v>83.04</v>
      </c>
      <c r="D1848" s="3">
        <v>4068.9600000000005</v>
      </c>
      <c r="E1848" s="3" t="str">
        <f t="shared" si="113"/>
        <v>Medium</v>
      </c>
      <c r="F1848" s="3">
        <f t="shared" si="114"/>
        <v>1220.6880000000001</v>
      </c>
      <c r="G1848" s="4">
        <v>37762</v>
      </c>
      <c r="H1848" s="3" t="s">
        <v>25</v>
      </c>
      <c r="I1848" s="3" t="str">
        <f t="shared" si="112"/>
        <v>Yes</v>
      </c>
      <c r="J1848" s="3" t="s">
        <v>682</v>
      </c>
      <c r="K1848" s="3">
        <v>2003</v>
      </c>
      <c r="L1848" s="3" t="str">
        <f t="shared" si="115"/>
        <v>May-2003</v>
      </c>
      <c r="M1848" s="3" t="s">
        <v>181</v>
      </c>
      <c r="N1848" s="3" t="s">
        <v>539</v>
      </c>
      <c r="O1848" s="3" t="s">
        <v>32</v>
      </c>
      <c r="P1848" s="3" t="s">
        <v>33</v>
      </c>
      <c r="Q1848" s="3" t="s">
        <v>51</v>
      </c>
    </row>
    <row r="1849" spans="1:17" x14ac:dyDescent="0.25">
      <c r="A1849" s="5">
        <v>10148</v>
      </c>
      <c r="B1849" s="5">
        <v>31</v>
      </c>
      <c r="C1849" s="5">
        <v>73.62</v>
      </c>
      <c r="D1849" s="5">
        <v>2282.2200000000003</v>
      </c>
      <c r="E1849" s="5" t="str">
        <f t="shared" si="113"/>
        <v>Medium</v>
      </c>
      <c r="F1849" s="5">
        <f t="shared" si="114"/>
        <v>684.66600000000005</v>
      </c>
      <c r="G1849" s="6">
        <v>37875</v>
      </c>
      <c r="H1849" s="5" t="s">
        <v>25</v>
      </c>
      <c r="I1849" s="5" t="str">
        <f t="shared" si="112"/>
        <v>Yes</v>
      </c>
      <c r="J1849" s="5" t="s">
        <v>690</v>
      </c>
      <c r="K1849" s="5">
        <v>2003</v>
      </c>
      <c r="L1849" s="5" t="str">
        <f t="shared" si="115"/>
        <v>Sep-2003</v>
      </c>
      <c r="M1849" s="5" t="s">
        <v>181</v>
      </c>
      <c r="N1849" s="5" t="s">
        <v>285</v>
      </c>
      <c r="O1849" s="5" t="s">
        <v>95</v>
      </c>
      <c r="P1849" s="5" t="s">
        <v>96</v>
      </c>
      <c r="Q1849" s="5" t="s">
        <v>36</v>
      </c>
    </row>
    <row r="1850" spans="1:17" x14ac:dyDescent="0.25">
      <c r="A1850" s="3">
        <v>10161</v>
      </c>
      <c r="B1850" s="3">
        <v>20</v>
      </c>
      <c r="C1850" s="3">
        <v>77.05</v>
      </c>
      <c r="D1850" s="3">
        <v>1541</v>
      </c>
      <c r="E1850" s="3" t="str">
        <f t="shared" si="113"/>
        <v>Low</v>
      </c>
      <c r="F1850" s="3">
        <f t="shared" si="114"/>
        <v>462.29999999999995</v>
      </c>
      <c r="G1850" s="4">
        <v>37911</v>
      </c>
      <c r="H1850" s="3" t="s">
        <v>25</v>
      </c>
      <c r="I1850" s="3" t="str">
        <f t="shared" si="112"/>
        <v>Yes</v>
      </c>
      <c r="J1850" s="3" t="s">
        <v>685</v>
      </c>
      <c r="K1850" s="3">
        <v>2003</v>
      </c>
      <c r="L1850" s="3" t="str">
        <f t="shared" si="115"/>
        <v>Oct-2003</v>
      </c>
      <c r="M1850" s="3" t="s">
        <v>181</v>
      </c>
      <c r="N1850" s="3" t="s">
        <v>498</v>
      </c>
      <c r="O1850" s="3" t="s">
        <v>326</v>
      </c>
      <c r="P1850" s="3" t="s">
        <v>42</v>
      </c>
      <c r="Q1850" s="3" t="s">
        <v>36</v>
      </c>
    </row>
    <row r="1851" spans="1:17" x14ac:dyDescent="0.25">
      <c r="A1851" s="5">
        <v>10172</v>
      </c>
      <c r="B1851" s="5">
        <v>24</v>
      </c>
      <c r="C1851" s="5">
        <v>81.33</v>
      </c>
      <c r="D1851" s="5">
        <v>1951.92</v>
      </c>
      <c r="E1851" s="5" t="str">
        <f t="shared" si="113"/>
        <v>Low</v>
      </c>
      <c r="F1851" s="5">
        <f t="shared" si="114"/>
        <v>585.57600000000002</v>
      </c>
      <c r="G1851" s="6">
        <v>37930</v>
      </c>
      <c r="H1851" s="5" t="s">
        <v>25</v>
      </c>
      <c r="I1851" s="5" t="str">
        <f t="shared" si="112"/>
        <v>Yes</v>
      </c>
      <c r="J1851" s="5" t="s">
        <v>686</v>
      </c>
      <c r="K1851" s="5">
        <v>2003</v>
      </c>
      <c r="L1851" s="5" t="str">
        <f t="shared" si="115"/>
        <v>Nov-2003</v>
      </c>
      <c r="M1851" s="5" t="s">
        <v>181</v>
      </c>
      <c r="N1851" s="5" t="s">
        <v>109</v>
      </c>
      <c r="O1851" s="5" t="s">
        <v>32</v>
      </c>
      <c r="P1851" s="5" t="s">
        <v>33</v>
      </c>
      <c r="Q1851" s="5" t="s">
        <v>36</v>
      </c>
    </row>
    <row r="1852" spans="1:17" x14ac:dyDescent="0.25">
      <c r="A1852" s="3">
        <v>10182</v>
      </c>
      <c r="B1852" s="3">
        <v>33</v>
      </c>
      <c r="C1852" s="3">
        <v>94.17</v>
      </c>
      <c r="D1852" s="3">
        <v>3107.61</v>
      </c>
      <c r="E1852" s="3" t="str">
        <f t="shared" si="113"/>
        <v>Medium</v>
      </c>
      <c r="F1852" s="3">
        <f t="shared" si="114"/>
        <v>932.28300000000002</v>
      </c>
      <c r="G1852" s="4">
        <v>37937</v>
      </c>
      <c r="H1852" s="3" t="s">
        <v>25</v>
      </c>
      <c r="I1852" s="3" t="str">
        <f t="shared" si="112"/>
        <v>Yes</v>
      </c>
      <c r="J1852" s="3" t="s">
        <v>686</v>
      </c>
      <c r="K1852" s="3">
        <v>2003</v>
      </c>
      <c r="L1852" s="3" t="str">
        <f t="shared" si="115"/>
        <v>Nov-2003</v>
      </c>
      <c r="M1852" s="3" t="s">
        <v>181</v>
      </c>
      <c r="N1852" s="3" t="s">
        <v>272</v>
      </c>
      <c r="O1852" s="3" t="s">
        <v>32</v>
      </c>
      <c r="P1852" s="3" t="s">
        <v>33</v>
      </c>
      <c r="Q1852" s="3" t="s">
        <v>51</v>
      </c>
    </row>
    <row r="1853" spans="1:17" x14ac:dyDescent="0.25">
      <c r="A1853" s="5">
        <v>10192</v>
      </c>
      <c r="B1853" s="5">
        <v>32</v>
      </c>
      <c r="C1853" s="5">
        <v>72.77</v>
      </c>
      <c r="D1853" s="5">
        <v>2328.64</v>
      </c>
      <c r="E1853" s="5" t="str">
        <f t="shared" si="113"/>
        <v>Medium</v>
      </c>
      <c r="F1853" s="5">
        <f t="shared" si="114"/>
        <v>698.59199999999998</v>
      </c>
      <c r="G1853" s="6">
        <v>37945</v>
      </c>
      <c r="H1853" s="5" t="s">
        <v>25</v>
      </c>
      <c r="I1853" s="5" t="str">
        <f t="shared" si="112"/>
        <v>Yes</v>
      </c>
      <c r="J1853" s="5" t="s">
        <v>686</v>
      </c>
      <c r="K1853" s="5">
        <v>2003</v>
      </c>
      <c r="L1853" s="5" t="str">
        <f t="shared" si="115"/>
        <v>Nov-2003</v>
      </c>
      <c r="M1853" s="5" t="s">
        <v>181</v>
      </c>
      <c r="N1853" s="5" t="s">
        <v>277</v>
      </c>
      <c r="O1853" s="5" t="s">
        <v>32</v>
      </c>
      <c r="P1853" s="5" t="s">
        <v>33</v>
      </c>
      <c r="Q1853" s="5" t="s">
        <v>36</v>
      </c>
    </row>
    <row r="1854" spans="1:17" x14ac:dyDescent="0.25">
      <c r="A1854" s="3">
        <v>10204</v>
      </c>
      <c r="B1854" s="3">
        <v>40</v>
      </c>
      <c r="C1854" s="3">
        <v>79.62</v>
      </c>
      <c r="D1854" s="3">
        <v>3184.8</v>
      </c>
      <c r="E1854" s="3" t="str">
        <f t="shared" si="113"/>
        <v>Medium</v>
      </c>
      <c r="F1854" s="3">
        <f t="shared" si="114"/>
        <v>955.44</v>
      </c>
      <c r="G1854" s="4">
        <v>37957</v>
      </c>
      <c r="H1854" s="3" t="s">
        <v>25</v>
      </c>
      <c r="I1854" s="3" t="str">
        <f t="shared" si="112"/>
        <v>Yes</v>
      </c>
      <c r="J1854" s="3" t="s">
        <v>687</v>
      </c>
      <c r="K1854" s="3">
        <v>2003</v>
      </c>
      <c r="L1854" s="3" t="str">
        <f t="shared" si="115"/>
        <v>Dec-2003</v>
      </c>
      <c r="M1854" s="3" t="s">
        <v>181</v>
      </c>
      <c r="N1854" s="3" t="s">
        <v>475</v>
      </c>
      <c r="O1854" s="3" t="s">
        <v>32</v>
      </c>
      <c r="P1854" s="3" t="s">
        <v>33</v>
      </c>
      <c r="Q1854" s="3" t="s">
        <v>51</v>
      </c>
    </row>
    <row r="1855" spans="1:17" x14ac:dyDescent="0.25">
      <c r="A1855" s="5">
        <v>10212</v>
      </c>
      <c r="B1855" s="5">
        <v>27</v>
      </c>
      <c r="C1855" s="5">
        <v>79.62</v>
      </c>
      <c r="D1855" s="5">
        <v>2149.7400000000002</v>
      </c>
      <c r="E1855" s="5" t="str">
        <f t="shared" si="113"/>
        <v>Medium</v>
      </c>
      <c r="F1855" s="5">
        <f t="shared" si="114"/>
        <v>644.92200000000003</v>
      </c>
      <c r="G1855" s="6">
        <v>38002</v>
      </c>
      <c r="H1855" s="5" t="s">
        <v>25</v>
      </c>
      <c r="I1855" s="5" t="str">
        <f t="shared" si="112"/>
        <v>Yes</v>
      </c>
      <c r="J1855" s="5" t="s">
        <v>549</v>
      </c>
      <c r="K1855" s="5">
        <v>2004</v>
      </c>
      <c r="L1855" s="5" t="str">
        <f t="shared" si="115"/>
        <v>Jan-2004</v>
      </c>
      <c r="M1855" s="5" t="s">
        <v>181</v>
      </c>
      <c r="N1855" s="5" t="s">
        <v>174</v>
      </c>
      <c r="O1855" s="5" t="s">
        <v>178</v>
      </c>
      <c r="P1855" s="5" t="s">
        <v>42</v>
      </c>
      <c r="Q1855" s="5" t="s">
        <v>36</v>
      </c>
    </row>
    <row r="1856" spans="1:17" x14ac:dyDescent="0.25">
      <c r="A1856" s="3">
        <v>10227</v>
      </c>
      <c r="B1856" s="3">
        <v>40</v>
      </c>
      <c r="C1856" s="3">
        <v>79.62</v>
      </c>
      <c r="D1856" s="3">
        <v>3184.8</v>
      </c>
      <c r="E1856" s="3" t="str">
        <f t="shared" si="113"/>
        <v>Medium</v>
      </c>
      <c r="F1856" s="3">
        <f t="shared" si="114"/>
        <v>955.44</v>
      </c>
      <c r="G1856" s="4">
        <v>38048</v>
      </c>
      <c r="H1856" s="3" t="s">
        <v>25</v>
      </c>
      <c r="I1856" s="3" t="str">
        <f t="shared" si="112"/>
        <v>Yes</v>
      </c>
      <c r="J1856" s="3" t="s">
        <v>691</v>
      </c>
      <c r="K1856" s="3">
        <v>2004</v>
      </c>
      <c r="L1856" s="3" t="str">
        <f t="shared" si="115"/>
        <v>Mar-2004</v>
      </c>
      <c r="M1856" s="3" t="s">
        <v>181</v>
      </c>
      <c r="N1856" s="3" t="s">
        <v>219</v>
      </c>
      <c r="O1856" s="3" t="s">
        <v>41</v>
      </c>
      <c r="P1856" s="3" t="s">
        <v>42</v>
      </c>
      <c r="Q1856" s="3" t="s">
        <v>51</v>
      </c>
    </row>
    <row r="1857" spans="1:17" x14ac:dyDescent="0.25">
      <c r="A1857" s="5">
        <v>10241</v>
      </c>
      <c r="B1857" s="5">
        <v>26</v>
      </c>
      <c r="C1857" s="5">
        <v>81.33</v>
      </c>
      <c r="D1857" s="5">
        <v>2114.58</v>
      </c>
      <c r="E1857" s="5" t="str">
        <f t="shared" si="113"/>
        <v>Medium</v>
      </c>
      <c r="F1857" s="5">
        <f t="shared" si="114"/>
        <v>634.37399999999991</v>
      </c>
      <c r="G1857" s="6">
        <v>38090</v>
      </c>
      <c r="H1857" s="5" t="s">
        <v>25</v>
      </c>
      <c r="I1857" s="5" t="str">
        <f t="shared" si="112"/>
        <v>Yes</v>
      </c>
      <c r="J1857" s="5" t="s">
        <v>688</v>
      </c>
      <c r="K1857" s="5">
        <v>2004</v>
      </c>
      <c r="L1857" s="5" t="str">
        <f t="shared" si="115"/>
        <v>Apr-2004</v>
      </c>
      <c r="M1857" s="5" t="s">
        <v>181</v>
      </c>
      <c r="N1857" s="5" t="s">
        <v>531</v>
      </c>
      <c r="O1857" s="5" t="s">
        <v>41</v>
      </c>
      <c r="P1857" s="5" t="s">
        <v>42</v>
      </c>
      <c r="Q1857" s="5" t="s">
        <v>36</v>
      </c>
    </row>
    <row r="1858" spans="1:17" x14ac:dyDescent="0.25">
      <c r="A1858" s="3">
        <v>10267</v>
      </c>
      <c r="B1858" s="3">
        <v>44</v>
      </c>
      <c r="C1858" s="3">
        <v>96.74</v>
      </c>
      <c r="D1858" s="3">
        <v>4256.5599999999995</v>
      </c>
      <c r="E1858" s="3" t="str">
        <f t="shared" si="113"/>
        <v>Medium</v>
      </c>
      <c r="F1858" s="3">
        <f t="shared" si="114"/>
        <v>1276.9679999999998</v>
      </c>
      <c r="G1858" s="4">
        <v>38175</v>
      </c>
      <c r="H1858" s="3" t="s">
        <v>25</v>
      </c>
      <c r="I1858" s="3" t="str">
        <f t="shared" ref="I1858:I1921" si="116">IF(H1858="Shipped","Yes","No")</f>
        <v>Yes</v>
      </c>
      <c r="J1858" s="3" t="s">
        <v>683</v>
      </c>
      <c r="K1858" s="3">
        <v>2004</v>
      </c>
      <c r="L1858" s="3" t="str">
        <f t="shared" si="115"/>
        <v>Jul-2004</v>
      </c>
      <c r="M1858" s="3" t="s">
        <v>181</v>
      </c>
      <c r="N1858" s="3" t="s">
        <v>475</v>
      </c>
      <c r="O1858" s="3" t="s">
        <v>32</v>
      </c>
      <c r="P1858" s="3" t="s">
        <v>33</v>
      </c>
      <c r="Q1858" s="3" t="s">
        <v>51</v>
      </c>
    </row>
    <row r="1859" spans="1:17" x14ac:dyDescent="0.25">
      <c r="A1859" s="5">
        <v>10279</v>
      </c>
      <c r="B1859" s="5">
        <v>33</v>
      </c>
      <c r="C1859" s="5">
        <v>71.06</v>
      </c>
      <c r="D1859" s="5">
        <v>2344.98</v>
      </c>
      <c r="E1859" s="5" t="str">
        <f t="shared" ref="E1859:E1922" si="117">IF(D1859&gt;=5000,"High",IF(D1859&gt;=2000,"Medium","Low"))</f>
        <v>Medium</v>
      </c>
      <c r="F1859" s="5">
        <f t="shared" ref="F1859:F1922" si="118">(D1859*0.3)</f>
        <v>703.49400000000003</v>
      </c>
      <c r="G1859" s="6">
        <v>38208</v>
      </c>
      <c r="H1859" s="5" t="s">
        <v>25</v>
      </c>
      <c r="I1859" s="5" t="str">
        <f t="shared" si="116"/>
        <v>Yes</v>
      </c>
      <c r="J1859" s="5" t="s">
        <v>684</v>
      </c>
      <c r="K1859" s="5">
        <v>2004</v>
      </c>
      <c r="L1859" s="5" t="str">
        <f t="shared" ref="L1859:L1922" si="119">TEXT(G:G,"MMM-YYYY")</f>
        <v>Aug-2004</v>
      </c>
      <c r="M1859" s="5" t="s">
        <v>181</v>
      </c>
      <c r="N1859" s="5" t="s">
        <v>174</v>
      </c>
      <c r="O1859" s="5" t="s">
        <v>178</v>
      </c>
      <c r="P1859" s="5" t="s">
        <v>42</v>
      </c>
      <c r="Q1859" s="5" t="s">
        <v>36</v>
      </c>
    </row>
    <row r="1860" spans="1:17" x14ac:dyDescent="0.25">
      <c r="A1860" s="3">
        <v>10288</v>
      </c>
      <c r="B1860" s="3">
        <v>34</v>
      </c>
      <c r="C1860" s="3">
        <v>68.489999999999995</v>
      </c>
      <c r="D1860" s="3">
        <v>2328.66</v>
      </c>
      <c r="E1860" s="3" t="str">
        <f t="shared" si="117"/>
        <v>Medium</v>
      </c>
      <c r="F1860" s="3">
        <f t="shared" si="118"/>
        <v>698.59799999999996</v>
      </c>
      <c r="G1860" s="4">
        <v>38231</v>
      </c>
      <c r="H1860" s="3" t="s">
        <v>25</v>
      </c>
      <c r="I1860" s="3" t="str">
        <f t="shared" si="116"/>
        <v>Yes</v>
      </c>
      <c r="J1860" s="3" t="s">
        <v>690</v>
      </c>
      <c r="K1860" s="3">
        <v>2004</v>
      </c>
      <c r="L1860" s="3" t="str">
        <f t="shared" si="119"/>
        <v>Sep-2004</v>
      </c>
      <c r="M1860" s="3" t="s">
        <v>181</v>
      </c>
      <c r="N1860" s="3" t="s">
        <v>418</v>
      </c>
      <c r="O1860" s="3" t="s">
        <v>199</v>
      </c>
      <c r="P1860" s="3" t="s">
        <v>96</v>
      </c>
      <c r="Q1860" s="3" t="s">
        <v>36</v>
      </c>
    </row>
    <row r="1861" spans="1:17" x14ac:dyDescent="0.25">
      <c r="A1861" s="5">
        <v>10302</v>
      </c>
      <c r="B1861" s="5">
        <v>48</v>
      </c>
      <c r="C1861" s="5">
        <v>74.48</v>
      </c>
      <c r="D1861" s="5">
        <v>3575.04</v>
      </c>
      <c r="E1861" s="5" t="str">
        <f t="shared" si="117"/>
        <v>Medium</v>
      </c>
      <c r="F1861" s="5">
        <f t="shared" si="118"/>
        <v>1072.5119999999999</v>
      </c>
      <c r="G1861" s="6">
        <v>37900</v>
      </c>
      <c r="H1861" s="5" t="s">
        <v>25</v>
      </c>
      <c r="I1861" s="5" t="str">
        <f t="shared" si="116"/>
        <v>Yes</v>
      </c>
      <c r="J1861" s="5" t="s">
        <v>685</v>
      </c>
      <c r="K1861" s="5">
        <v>2003</v>
      </c>
      <c r="L1861" s="5" t="str">
        <f t="shared" si="119"/>
        <v>Oct-2003</v>
      </c>
      <c r="M1861" s="5" t="s">
        <v>181</v>
      </c>
      <c r="N1861" s="5" t="s">
        <v>165</v>
      </c>
      <c r="O1861" s="5" t="s">
        <v>170</v>
      </c>
      <c r="P1861" s="5" t="s">
        <v>42</v>
      </c>
      <c r="Q1861" s="5" t="s">
        <v>51</v>
      </c>
    </row>
    <row r="1862" spans="1:17" x14ac:dyDescent="0.25">
      <c r="A1862" s="3">
        <v>10311</v>
      </c>
      <c r="B1862" s="3">
        <v>25</v>
      </c>
      <c r="C1862" s="3">
        <v>83.04</v>
      </c>
      <c r="D1862" s="3">
        <v>2076</v>
      </c>
      <c r="E1862" s="3" t="str">
        <f t="shared" si="117"/>
        <v>Medium</v>
      </c>
      <c r="F1862" s="3">
        <f t="shared" si="118"/>
        <v>622.79999999999995</v>
      </c>
      <c r="G1862" s="4">
        <v>38276</v>
      </c>
      <c r="H1862" s="3" t="s">
        <v>25</v>
      </c>
      <c r="I1862" s="3" t="str">
        <f t="shared" si="116"/>
        <v>Yes</v>
      </c>
      <c r="J1862" s="3" t="s">
        <v>685</v>
      </c>
      <c r="K1862" s="3">
        <v>2004</v>
      </c>
      <c r="L1862" s="3" t="str">
        <f t="shared" si="119"/>
        <v>Oct-2004</v>
      </c>
      <c r="M1862" s="3" t="s">
        <v>181</v>
      </c>
      <c r="N1862" s="3" t="s">
        <v>174</v>
      </c>
      <c r="O1862" s="3" t="s">
        <v>178</v>
      </c>
      <c r="P1862" s="3" t="s">
        <v>42</v>
      </c>
      <c r="Q1862" s="3" t="s">
        <v>36</v>
      </c>
    </row>
    <row r="1863" spans="1:17" x14ac:dyDescent="0.25">
      <c r="A1863" s="5">
        <v>10321</v>
      </c>
      <c r="B1863" s="5">
        <v>39</v>
      </c>
      <c r="C1863" s="5">
        <v>84.75</v>
      </c>
      <c r="D1863" s="5">
        <v>3305.25</v>
      </c>
      <c r="E1863" s="5" t="str">
        <f t="shared" si="117"/>
        <v>Medium</v>
      </c>
      <c r="F1863" s="5">
        <f t="shared" si="118"/>
        <v>991.57499999999993</v>
      </c>
      <c r="G1863" s="6">
        <v>38295</v>
      </c>
      <c r="H1863" s="5" t="s">
        <v>25</v>
      </c>
      <c r="I1863" s="5" t="str">
        <f t="shared" si="116"/>
        <v>Yes</v>
      </c>
      <c r="J1863" s="5" t="s">
        <v>686</v>
      </c>
      <c r="K1863" s="5">
        <v>2004</v>
      </c>
      <c r="L1863" s="5" t="str">
        <f t="shared" si="119"/>
        <v>Nov-2004</v>
      </c>
      <c r="M1863" s="5" t="s">
        <v>181</v>
      </c>
      <c r="N1863" s="5" t="s">
        <v>160</v>
      </c>
      <c r="O1863" s="5" t="s">
        <v>32</v>
      </c>
      <c r="P1863" s="5" t="s">
        <v>33</v>
      </c>
      <c r="Q1863" s="5" t="s">
        <v>51</v>
      </c>
    </row>
    <row r="1864" spans="1:17" x14ac:dyDescent="0.25">
      <c r="A1864" s="3">
        <v>10332</v>
      </c>
      <c r="B1864" s="3">
        <v>45</v>
      </c>
      <c r="C1864" s="3">
        <v>34.19</v>
      </c>
      <c r="D1864" s="3">
        <v>1538.55</v>
      </c>
      <c r="E1864" s="3" t="str">
        <f t="shared" si="117"/>
        <v>Low</v>
      </c>
      <c r="F1864" s="3">
        <f t="shared" si="118"/>
        <v>461.56499999999994</v>
      </c>
      <c r="G1864" s="4">
        <v>38308</v>
      </c>
      <c r="H1864" s="3" t="s">
        <v>25</v>
      </c>
      <c r="I1864" s="3" t="str">
        <f t="shared" si="116"/>
        <v>Yes</v>
      </c>
      <c r="J1864" s="3" t="s">
        <v>686</v>
      </c>
      <c r="K1864" s="3">
        <v>2004</v>
      </c>
      <c r="L1864" s="3" t="str">
        <f t="shared" si="119"/>
        <v>Nov-2004</v>
      </c>
      <c r="M1864" s="3" t="s">
        <v>181</v>
      </c>
      <c r="N1864" s="3" t="s">
        <v>492</v>
      </c>
      <c r="O1864" s="3" t="s">
        <v>170</v>
      </c>
      <c r="P1864" s="3" t="s">
        <v>42</v>
      </c>
      <c r="Q1864" s="3" t="s">
        <v>36</v>
      </c>
    </row>
    <row r="1865" spans="1:17" x14ac:dyDescent="0.25">
      <c r="A1865" s="5">
        <v>10346</v>
      </c>
      <c r="B1865" s="5">
        <v>24</v>
      </c>
      <c r="C1865" s="5">
        <v>100</v>
      </c>
      <c r="D1865" s="5">
        <v>2400</v>
      </c>
      <c r="E1865" s="5" t="str">
        <f t="shared" si="117"/>
        <v>Medium</v>
      </c>
      <c r="F1865" s="5">
        <f t="shared" si="118"/>
        <v>720</v>
      </c>
      <c r="G1865" s="6">
        <v>38320</v>
      </c>
      <c r="H1865" s="5" t="s">
        <v>25</v>
      </c>
      <c r="I1865" s="5" t="str">
        <f t="shared" si="116"/>
        <v>Yes</v>
      </c>
      <c r="J1865" s="5" t="s">
        <v>686</v>
      </c>
      <c r="K1865" s="5">
        <v>2004</v>
      </c>
      <c r="L1865" s="5" t="str">
        <f t="shared" si="119"/>
        <v>Nov-2004</v>
      </c>
      <c r="M1865" s="5" t="s">
        <v>181</v>
      </c>
      <c r="N1865" s="5" t="s">
        <v>539</v>
      </c>
      <c r="O1865" s="5" t="s">
        <v>32</v>
      </c>
      <c r="P1865" s="5" t="s">
        <v>33</v>
      </c>
      <c r="Q1865" s="5" t="s">
        <v>51</v>
      </c>
    </row>
    <row r="1866" spans="1:17" x14ac:dyDescent="0.25">
      <c r="A1866" s="3">
        <v>10368</v>
      </c>
      <c r="B1866" s="3">
        <v>46</v>
      </c>
      <c r="C1866" s="3">
        <v>79.62</v>
      </c>
      <c r="D1866" s="3">
        <v>3662.5200000000004</v>
      </c>
      <c r="E1866" s="3" t="str">
        <f t="shared" si="117"/>
        <v>Medium</v>
      </c>
      <c r="F1866" s="3">
        <f t="shared" si="118"/>
        <v>1098.7560000000001</v>
      </c>
      <c r="G1866" s="4">
        <v>38371</v>
      </c>
      <c r="H1866" s="3" t="s">
        <v>25</v>
      </c>
      <c r="I1866" s="3" t="str">
        <f t="shared" si="116"/>
        <v>Yes</v>
      </c>
      <c r="J1866" s="3" t="s">
        <v>549</v>
      </c>
      <c r="K1866" s="3">
        <v>2005</v>
      </c>
      <c r="L1866" s="3" t="str">
        <f t="shared" si="119"/>
        <v>Jan-2005</v>
      </c>
      <c r="M1866" s="3" t="s">
        <v>181</v>
      </c>
      <c r="N1866" s="3" t="s">
        <v>272</v>
      </c>
      <c r="O1866" s="3" t="s">
        <v>32</v>
      </c>
      <c r="P1866" s="3" t="s">
        <v>33</v>
      </c>
      <c r="Q1866" s="3" t="s">
        <v>51</v>
      </c>
    </row>
    <row r="1867" spans="1:17" x14ac:dyDescent="0.25">
      <c r="A1867" s="5">
        <v>10380</v>
      </c>
      <c r="B1867" s="5">
        <v>44</v>
      </c>
      <c r="C1867" s="5">
        <v>79.06</v>
      </c>
      <c r="D1867" s="5">
        <v>3478.6400000000003</v>
      </c>
      <c r="E1867" s="5" t="str">
        <f t="shared" si="117"/>
        <v>Medium</v>
      </c>
      <c r="F1867" s="5">
        <f t="shared" si="118"/>
        <v>1043.5920000000001</v>
      </c>
      <c r="G1867" s="6">
        <v>38399</v>
      </c>
      <c r="H1867" s="5" t="s">
        <v>25</v>
      </c>
      <c r="I1867" s="5" t="str">
        <f t="shared" si="116"/>
        <v>Yes</v>
      </c>
      <c r="J1867" s="5" t="s">
        <v>681</v>
      </c>
      <c r="K1867" s="5">
        <v>2005</v>
      </c>
      <c r="L1867" s="5" t="str">
        <f t="shared" si="119"/>
        <v>Feb-2005</v>
      </c>
      <c r="M1867" s="5" t="s">
        <v>181</v>
      </c>
      <c r="N1867" s="5" t="s">
        <v>174</v>
      </c>
      <c r="O1867" s="5" t="s">
        <v>178</v>
      </c>
      <c r="P1867" s="5" t="s">
        <v>42</v>
      </c>
      <c r="Q1867" s="5" t="s">
        <v>51</v>
      </c>
    </row>
    <row r="1868" spans="1:17" x14ac:dyDescent="0.25">
      <c r="A1868" s="3">
        <v>10407</v>
      </c>
      <c r="B1868" s="3">
        <v>13</v>
      </c>
      <c r="C1868" s="3">
        <v>81.33</v>
      </c>
      <c r="D1868" s="3">
        <v>1057.29</v>
      </c>
      <c r="E1868" s="3" t="str">
        <f t="shared" si="117"/>
        <v>Low</v>
      </c>
      <c r="F1868" s="3">
        <f t="shared" si="118"/>
        <v>317.18699999999995</v>
      </c>
      <c r="G1868" s="4">
        <v>38464</v>
      </c>
      <c r="H1868" s="3" t="s">
        <v>401</v>
      </c>
      <c r="I1868" s="3" t="str">
        <f t="shared" si="116"/>
        <v>No</v>
      </c>
      <c r="J1868" s="3" t="s">
        <v>688</v>
      </c>
      <c r="K1868" s="3">
        <v>2005</v>
      </c>
      <c r="L1868" s="3" t="str">
        <f t="shared" si="119"/>
        <v>Apr-2005</v>
      </c>
      <c r="M1868" s="3" t="s">
        <v>181</v>
      </c>
      <c r="N1868" s="3" t="s">
        <v>397</v>
      </c>
      <c r="O1868" s="3" t="s">
        <v>32</v>
      </c>
      <c r="P1868" s="3" t="s">
        <v>33</v>
      </c>
      <c r="Q1868" s="3" t="s">
        <v>36</v>
      </c>
    </row>
    <row r="1869" spans="1:17" x14ac:dyDescent="0.25">
      <c r="A1869" s="5">
        <v>10420</v>
      </c>
      <c r="B1869" s="5">
        <v>35</v>
      </c>
      <c r="C1869" s="5">
        <v>96.74</v>
      </c>
      <c r="D1869" s="5">
        <v>3385.8999999999996</v>
      </c>
      <c r="E1869" s="5" t="str">
        <f t="shared" si="117"/>
        <v>Medium</v>
      </c>
      <c r="F1869" s="5">
        <f t="shared" si="118"/>
        <v>1015.7699999999999</v>
      </c>
      <c r="G1869" s="6">
        <v>38501</v>
      </c>
      <c r="H1869" s="5" t="s">
        <v>300</v>
      </c>
      <c r="I1869" s="5" t="str">
        <f t="shared" si="116"/>
        <v>No</v>
      </c>
      <c r="J1869" s="5" t="s">
        <v>682</v>
      </c>
      <c r="K1869" s="5">
        <v>2005</v>
      </c>
      <c r="L1869" s="5" t="str">
        <f t="shared" si="119"/>
        <v>May-2005</v>
      </c>
      <c r="M1869" s="5" t="s">
        <v>181</v>
      </c>
      <c r="N1869" s="5" t="s">
        <v>152</v>
      </c>
      <c r="O1869" s="5" t="s">
        <v>95</v>
      </c>
      <c r="P1869" s="5" t="s">
        <v>96</v>
      </c>
      <c r="Q1869" s="5" t="s">
        <v>51</v>
      </c>
    </row>
    <row r="1870" spans="1:17" x14ac:dyDescent="0.25">
      <c r="A1870" s="3">
        <v>10108</v>
      </c>
      <c r="B1870" s="3">
        <v>30</v>
      </c>
      <c r="C1870" s="3">
        <v>63.07</v>
      </c>
      <c r="D1870" s="3">
        <v>1892.1</v>
      </c>
      <c r="E1870" s="3" t="str">
        <f t="shared" si="117"/>
        <v>Low</v>
      </c>
      <c r="F1870" s="3">
        <f t="shared" si="118"/>
        <v>567.63</v>
      </c>
      <c r="G1870" s="4">
        <v>37683</v>
      </c>
      <c r="H1870" s="3" t="s">
        <v>25</v>
      </c>
      <c r="I1870" s="3" t="str">
        <f t="shared" si="116"/>
        <v>Yes</v>
      </c>
      <c r="J1870" s="3" t="s">
        <v>691</v>
      </c>
      <c r="K1870" s="3">
        <v>2003</v>
      </c>
      <c r="L1870" s="3" t="str">
        <f t="shared" si="119"/>
        <v>Mar-2003</v>
      </c>
      <c r="M1870" s="3" t="s">
        <v>181</v>
      </c>
      <c r="N1870" s="3" t="s">
        <v>425</v>
      </c>
      <c r="O1870" s="3" t="s">
        <v>430</v>
      </c>
      <c r="P1870" s="3" t="s">
        <v>675</v>
      </c>
      <c r="Q1870" s="3" t="s">
        <v>36</v>
      </c>
    </row>
    <row r="1871" spans="1:17" x14ac:dyDescent="0.25">
      <c r="A1871" s="5">
        <v>10122</v>
      </c>
      <c r="B1871" s="5">
        <v>34</v>
      </c>
      <c r="C1871" s="5">
        <v>50.21</v>
      </c>
      <c r="D1871" s="5">
        <v>1707.14</v>
      </c>
      <c r="E1871" s="5" t="str">
        <f t="shared" si="117"/>
        <v>Low</v>
      </c>
      <c r="F1871" s="5">
        <f t="shared" si="118"/>
        <v>512.14200000000005</v>
      </c>
      <c r="G1871" s="6">
        <v>37749</v>
      </c>
      <c r="H1871" s="5" t="s">
        <v>25</v>
      </c>
      <c r="I1871" s="5" t="str">
        <f t="shared" si="116"/>
        <v>Yes</v>
      </c>
      <c r="J1871" s="5" t="s">
        <v>682</v>
      </c>
      <c r="K1871" s="5">
        <v>2003</v>
      </c>
      <c r="L1871" s="5" t="str">
        <f t="shared" si="119"/>
        <v>May-2003</v>
      </c>
      <c r="M1871" s="5" t="s">
        <v>181</v>
      </c>
      <c r="N1871" s="5" t="s">
        <v>433</v>
      </c>
      <c r="O1871" s="5" t="s">
        <v>41</v>
      </c>
      <c r="P1871" s="5" t="s">
        <v>42</v>
      </c>
      <c r="Q1871" s="5" t="s">
        <v>36</v>
      </c>
    </row>
    <row r="1872" spans="1:17" x14ac:dyDescent="0.25">
      <c r="A1872" s="3">
        <v>10135</v>
      </c>
      <c r="B1872" s="3">
        <v>27</v>
      </c>
      <c r="C1872" s="3">
        <v>66.13</v>
      </c>
      <c r="D1872" s="3">
        <v>1785.5099999999998</v>
      </c>
      <c r="E1872" s="3" t="str">
        <f t="shared" si="117"/>
        <v>Low</v>
      </c>
      <c r="F1872" s="3">
        <f t="shared" si="118"/>
        <v>535.65299999999991</v>
      </c>
      <c r="G1872" s="4">
        <v>37804</v>
      </c>
      <c r="H1872" s="3" t="s">
        <v>25</v>
      </c>
      <c r="I1872" s="3" t="str">
        <f t="shared" si="116"/>
        <v>Yes</v>
      </c>
      <c r="J1872" s="3" t="s">
        <v>683</v>
      </c>
      <c r="K1872" s="3">
        <v>2003</v>
      </c>
      <c r="L1872" s="3" t="str">
        <f t="shared" si="119"/>
        <v>Jul-2003</v>
      </c>
      <c r="M1872" s="3" t="s">
        <v>181</v>
      </c>
      <c r="N1872" s="3" t="s">
        <v>272</v>
      </c>
      <c r="O1872" s="3" t="s">
        <v>32</v>
      </c>
      <c r="P1872" s="3" t="s">
        <v>33</v>
      </c>
      <c r="Q1872" s="3" t="s">
        <v>36</v>
      </c>
    </row>
    <row r="1873" spans="1:17" x14ac:dyDescent="0.25">
      <c r="A1873" s="5">
        <v>10147</v>
      </c>
      <c r="B1873" s="5">
        <v>30</v>
      </c>
      <c r="C1873" s="5">
        <v>68.58</v>
      </c>
      <c r="D1873" s="5">
        <v>2057.4</v>
      </c>
      <c r="E1873" s="5" t="str">
        <f t="shared" si="117"/>
        <v>Medium</v>
      </c>
      <c r="F1873" s="5">
        <f t="shared" si="118"/>
        <v>617.22</v>
      </c>
      <c r="G1873" s="6">
        <v>37869</v>
      </c>
      <c r="H1873" s="5" t="s">
        <v>25</v>
      </c>
      <c r="I1873" s="5" t="str">
        <f t="shared" si="116"/>
        <v>Yes</v>
      </c>
      <c r="J1873" s="5" t="s">
        <v>690</v>
      </c>
      <c r="K1873" s="5">
        <v>2003</v>
      </c>
      <c r="L1873" s="5" t="str">
        <f t="shared" si="119"/>
        <v>Sep-2003</v>
      </c>
      <c r="M1873" s="5" t="s">
        <v>181</v>
      </c>
      <c r="N1873" s="5" t="s">
        <v>281</v>
      </c>
      <c r="O1873" s="5" t="s">
        <v>32</v>
      </c>
      <c r="P1873" s="5" t="s">
        <v>33</v>
      </c>
      <c r="Q1873" s="5" t="s">
        <v>36</v>
      </c>
    </row>
    <row r="1874" spans="1:17" x14ac:dyDescent="0.25">
      <c r="A1874" s="3">
        <v>10159</v>
      </c>
      <c r="B1874" s="3">
        <v>50</v>
      </c>
      <c r="C1874" s="3">
        <v>69.8</v>
      </c>
      <c r="D1874" s="3">
        <v>3490</v>
      </c>
      <c r="E1874" s="3" t="str">
        <f t="shared" si="117"/>
        <v>Medium</v>
      </c>
      <c r="F1874" s="3">
        <f t="shared" si="118"/>
        <v>1047</v>
      </c>
      <c r="G1874" s="4">
        <v>37904</v>
      </c>
      <c r="H1874" s="3" t="s">
        <v>25</v>
      </c>
      <c r="I1874" s="3" t="str">
        <f t="shared" si="116"/>
        <v>Yes</v>
      </c>
      <c r="J1874" s="3" t="s">
        <v>685</v>
      </c>
      <c r="K1874" s="3">
        <v>2003</v>
      </c>
      <c r="L1874" s="3" t="str">
        <f t="shared" si="119"/>
        <v>Oct-2003</v>
      </c>
      <c r="M1874" s="3" t="s">
        <v>181</v>
      </c>
      <c r="N1874" s="3" t="s">
        <v>58</v>
      </c>
      <c r="O1874" s="3" t="s">
        <v>32</v>
      </c>
      <c r="P1874" s="3" t="s">
        <v>33</v>
      </c>
      <c r="Q1874" s="3" t="s">
        <v>51</v>
      </c>
    </row>
    <row r="1875" spans="1:17" x14ac:dyDescent="0.25">
      <c r="A1875" s="5">
        <v>10169</v>
      </c>
      <c r="B1875" s="5">
        <v>34</v>
      </c>
      <c r="C1875" s="5">
        <v>50.21</v>
      </c>
      <c r="D1875" s="5">
        <v>1707.14</v>
      </c>
      <c r="E1875" s="5" t="str">
        <f t="shared" si="117"/>
        <v>Low</v>
      </c>
      <c r="F1875" s="5">
        <f t="shared" si="118"/>
        <v>512.14200000000005</v>
      </c>
      <c r="G1875" s="6">
        <v>37929</v>
      </c>
      <c r="H1875" s="5" t="s">
        <v>25</v>
      </c>
      <c r="I1875" s="5" t="str">
        <f t="shared" si="116"/>
        <v>Yes</v>
      </c>
      <c r="J1875" s="5" t="s">
        <v>686</v>
      </c>
      <c r="K1875" s="5">
        <v>2003</v>
      </c>
      <c r="L1875" s="5" t="str">
        <f t="shared" si="119"/>
        <v>Nov-2003</v>
      </c>
      <c r="M1875" s="5" t="s">
        <v>181</v>
      </c>
      <c r="N1875" s="5" t="s">
        <v>285</v>
      </c>
      <c r="O1875" s="5" t="s">
        <v>95</v>
      </c>
      <c r="P1875" s="5" t="s">
        <v>96</v>
      </c>
      <c r="Q1875" s="5" t="s">
        <v>36</v>
      </c>
    </row>
    <row r="1876" spans="1:17" x14ac:dyDescent="0.25">
      <c r="A1876" s="3">
        <v>10181</v>
      </c>
      <c r="B1876" s="3">
        <v>23</v>
      </c>
      <c r="C1876" s="3">
        <v>65.52</v>
      </c>
      <c r="D1876" s="3">
        <v>1506.9599999999998</v>
      </c>
      <c r="E1876" s="3" t="str">
        <f t="shared" si="117"/>
        <v>Low</v>
      </c>
      <c r="F1876" s="3">
        <f t="shared" si="118"/>
        <v>452.08799999999991</v>
      </c>
      <c r="G1876" s="4">
        <v>37937</v>
      </c>
      <c r="H1876" s="3" t="s">
        <v>25</v>
      </c>
      <c r="I1876" s="3" t="str">
        <f t="shared" si="116"/>
        <v>Yes</v>
      </c>
      <c r="J1876" s="3" t="s">
        <v>686</v>
      </c>
      <c r="K1876" s="3">
        <v>2003</v>
      </c>
      <c r="L1876" s="3" t="str">
        <f t="shared" si="119"/>
        <v>Nov-2003</v>
      </c>
      <c r="M1876" s="3" t="s">
        <v>181</v>
      </c>
      <c r="N1876" s="3" t="s">
        <v>73</v>
      </c>
      <c r="O1876" s="3" t="s">
        <v>78</v>
      </c>
      <c r="P1876" s="3" t="s">
        <v>42</v>
      </c>
      <c r="Q1876" s="3" t="s">
        <v>36</v>
      </c>
    </row>
    <row r="1877" spans="1:17" x14ac:dyDescent="0.25">
      <c r="A1877" s="5">
        <v>10191</v>
      </c>
      <c r="B1877" s="5">
        <v>48</v>
      </c>
      <c r="C1877" s="5">
        <v>60.01</v>
      </c>
      <c r="D1877" s="5">
        <v>2880.48</v>
      </c>
      <c r="E1877" s="5" t="str">
        <f t="shared" si="117"/>
        <v>Medium</v>
      </c>
      <c r="F1877" s="5">
        <f t="shared" si="118"/>
        <v>864.14400000000001</v>
      </c>
      <c r="G1877" s="6">
        <v>37945</v>
      </c>
      <c r="H1877" s="5" t="s">
        <v>25</v>
      </c>
      <c r="I1877" s="5" t="str">
        <f t="shared" si="116"/>
        <v>Yes</v>
      </c>
      <c r="J1877" s="5" t="s">
        <v>686</v>
      </c>
      <c r="K1877" s="5">
        <v>2003</v>
      </c>
      <c r="L1877" s="5" t="str">
        <f t="shared" si="119"/>
        <v>Nov-2003</v>
      </c>
      <c r="M1877" s="5" t="s">
        <v>181</v>
      </c>
      <c r="N1877" s="5" t="s">
        <v>439</v>
      </c>
      <c r="O1877" s="5" t="s">
        <v>443</v>
      </c>
      <c r="P1877" s="5" t="s">
        <v>42</v>
      </c>
      <c r="Q1877" s="5" t="s">
        <v>36</v>
      </c>
    </row>
    <row r="1878" spans="1:17" x14ac:dyDescent="0.25">
      <c r="A1878" s="3">
        <v>10203</v>
      </c>
      <c r="B1878" s="3">
        <v>34</v>
      </c>
      <c r="C1878" s="3">
        <v>64.900000000000006</v>
      </c>
      <c r="D1878" s="3">
        <v>2206.6000000000004</v>
      </c>
      <c r="E1878" s="3" t="str">
        <f t="shared" si="117"/>
        <v>Medium</v>
      </c>
      <c r="F1878" s="3">
        <f t="shared" si="118"/>
        <v>661.98000000000013</v>
      </c>
      <c r="G1878" s="4">
        <v>37957</v>
      </c>
      <c r="H1878" s="3" t="s">
        <v>25</v>
      </c>
      <c r="I1878" s="3" t="str">
        <f t="shared" si="116"/>
        <v>Yes</v>
      </c>
      <c r="J1878" s="3" t="s">
        <v>687</v>
      </c>
      <c r="K1878" s="3">
        <v>2003</v>
      </c>
      <c r="L1878" s="3" t="str">
        <f t="shared" si="119"/>
        <v>Dec-2003</v>
      </c>
      <c r="M1878" s="3" t="s">
        <v>181</v>
      </c>
      <c r="N1878" s="3" t="s">
        <v>174</v>
      </c>
      <c r="O1878" s="3" t="s">
        <v>178</v>
      </c>
      <c r="P1878" s="3" t="s">
        <v>42</v>
      </c>
      <c r="Q1878" s="3" t="s">
        <v>36</v>
      </c>
    </row>
    <row r="1879" spans="1:17" x14ac:dyDescent="0.25">
      <c r="A1879" s="5">
        <v>10211</v>
      </c>
      <c r="B1879" s="5">
        <v>48</v>
      </c>
      <c r="C1879" s="5">
        <v>48.98</v>
      </c>
      <c r="D1879" s="5">
        <v>2351.04</v>
      </c>
      <c r="E1879" s="5" t="str">
        <f t="shared" si="117"/>
        <v>Medium</v>
      </c>
      <c r="F1879" s="5">
        <f t="shared" si="118"/>
        <v>705.31200000000001</v>
      </c>
      <c r="G1879" s="6">
        <v>38001</v>
      </c>
      <c r="H1879" s="5" t="s">
        <v>25</v>
      </c>
      <c r="I1879" s="5" t="str">
        <f t="shared" si="116"/>
        <v>Yes</v>
      </c>
      <c r="J1879" s="5" t="s">
        <v>549</v>
      </c>
      <c r="K1879" s="5">
        <v>2004</v>
      </c>
      <c r="L1879" s="5" t="str">
        <f t="shared" si="119"/>
        <v>Jan-2004</v>
      </c>
      <c r="M1879" s="5" t="s">
        <v>181</v>
      </c>
      <c r="N1879" s="5" t="s">
        <v>84</v>
      </c>
      <c r="O1879" s="5" t="s">
        <v>41</v>
      </c>
      <c r="P1879" s="5" t="s">
        <v>42</v>
      </c>
      <c r="Q1879" s="5" t="s">
        <v>36</v>
      </c>
    </row>
    <row r="1880" spans="1:17" x14ac:dyDescent="0.25">
      <c r="A1880" s="3">
        <v>10225</v>
      </c>
      <c r="B1880" s="3">
        <v>24</v>
      </c>
      <c r="C1880" s="3">
        <v>50.21</v>
      </c>
      <c r="D1880" s="3">
        <v>1205.04</v>
      </c>
      <c r="E1880" s="3" t="str">
        <f t="shared" si="117"/>
        <v>Low</v>
      </c>
      <c r="F1880" s="3">
        <f t="shared" si="118"/>
        <v>361.512</v>
      </c>
      <c r="G1880" s="4">
        <v>38039</v>
      </c>
      <c r="H1880" s="3" t="s">
        <v>25</v>
      </c>
      <c r="I1880" s="3" t="str">
        <f t="shared" si="116"/>
        <v>Yes</v>
      </c>
      <c r="J1880" s="3" t="s">
        <v>681</v>
      </c>
      <c r="K1880" s="3">
        <v>2004</v>
      </c>
      <c r="L1880" s="3" t="str">
        <f t="shared" si="119"/>
        <v>Feb-2004</v>
      </c>
      <c r="M1880" s="3" t="s">
        <v>181</v>
      </c>
      <c r="N1880" s="3" t="s">
        <v>446</v>
      </c>
      <c r="O1880" s="3" t="s">
        <v>450</v>
      </c>
      <c r="P1880" s="3" t="s">
        <v>42</v>
      </c>
      <c r="Q1880" s="3" t="s">
        <v>36</v>
      </c>
    </row>
    <row r="1881" spans="1:17" x14ac:dyDescent="0.25">
      <c r="A1881" s="5">
        <v>10238</v>
      </c>
      <c r="B1881" s="5">
        <v>47</v>
      </c>
      <c r="C1881" s="5">
        <v>62.45</v>
      </c>
      <c r="D1881" s="5">
        <v>2935.15</v>
      </c>
      <c r="E1881" s="5" t="str">
        <f t="shared" si="117"/>
        <v>Medium</v>
      </c>
      <c r="F1881" s="5">
        <f t="shared" si="118"/>
        <v>880.54499999999996</v>
      </c>
      <c r="G1881" s="6">
        <v>38086</v>
      </c>
      <c r="H1881" s="5" t="s">
        <v>25</v>
      </c>
      <c r="I1881" s="5" t="str">
        <f t="shared" si="116"/>
        <v>Yes</v>
      </c>
      <c r="J1881" s="5" t="s">
        <v>688</v>
      </c>
      <c r="K1881" s="5">
        <v>2004</v>
      </c>
      <c r="L1881" s="5" t="str">
        <f t="shared" si="119"/>
        <v>Apr-2004</v>
      </c>
      <c r="M1881" s="5" t="s">
        <v>181</v>
      </c>
      <c r="N1881" s="5" t="s">
        <v>322</v>
      </c>
      <c r="O1881" s="5" t="s">
        <v>326</v>
      </c>
      <c r="P1881" s="5" t="s">
        <v>42</v>
      </c>
      <c r="Q1881" s="5" t="s">
        <v>36</v>
      </c>
    </row>
    <row r="1882" spans="1:17" x14ac:dyDescent="0.25">
      <c r="A1882" s="3">
        <v>10253</v>
      </c>
      <c r="B1882" s="3">
        <v>24</v>
      </c>
      <c r="C1882" s="3">
        <v>52.66</v>
      </c>
      <c r="D1882" s="3">
        <v>1263.8399999999999</v>
      </c>
      <c r="E1882" s="3" t="str">
        <f t="shared" si="117"/>
        <v>Low</v>
      </c>
      <c r="F1882" s="3">
        <f t="shared" si="118"/>
        <v>379.15199999999999</v>
      </c>
      <c r="G1882" s="4">
        <v>38139</v>
      </c>
      <c r="H1882" s="3" t="s">
        <v>339</v>
      </c>
      <c r="I1882" s="3" t="str">
        <f t="shared" si="116"/>
        <v>No</v>
      </c>
      <c r="J1882" s="3" t="s">
        <v>689</v>
      </c>
      <c r="K1882" s="3">
        <v>2004</v>
      </c>
      <c r="L1882" s="3" t="str">
        <f t="shared" si="119"/>
        <v>Jun-2004</v>
      </c>
      <c r="M1882" s="3" t="s">
        <v>181</v>
      </c>
      <c r="N1882" s="3" t="s">
        <v>165</v>
      </c>
      <c r="O1882" s="3" t="s">
        <v>170</v>
      </c>
      <c r="P1882" s="3" t="s">
        <v>42</v>
      </c>
      <c r="Q1882" s="3" t="s">
        <v>36</v>
      </c>
    </row>
    <row r="1883" spans="1:17" x14ac:dyDescent="0.25">
      <c r="A1883" s="5">
        <v>10266</v>
      </c>
      <c r="B1883" s="5">
        <v>47</v>
      </c>
      <c r="C1883" s="5">
        <v>62.45</v>
      </c>
      <c r="D1883" s="5">
        <v>2935.15</v>
      </c>
      <c r="E1883" s="5" t="str">
        <f t="shared" si="117"/>
        <v>Medium</v>
      </c>
      <c r="F1883" s="5">
        <f t="shared" si="118"/>
        <v>880.54499999999996</v>
      </c>
      <c r="G1883" s="6">
        <v>38174</v>
      </c>
      <c r="H1883" s="5" t="s">
        <v>25</v>
      </c>
      <c r="I1883" s="5" t="str">
        <f t="shared" si="116"/>
        <v>Yes</v>
      </c>
      <c r="J1883" s="5" t="s">
        <v>683</v>
      </c>
      <c r="K1883" s="5">
        <v>2004</v>
      </c>
      <c r="L1883" s="5" t="str">
        <f t="shared" si="119"/>
        <v>Jul-2004</v>
      </c>
      <c r="M1883" s="5" t="s">
        <v>181</v>
      </c>
      <c r="N1883" s="5" t="s">
        <v>452</v>
      </c>
      <c r="O1883" s="5" t="s">
        <v>258</v>
      </c>
      <c r="P1883" s="5" t="s">
        <v>42</v>
      </c>
      <c r="Q1883" s="5" t="s">
        <v>36</v>
      </c>
    </row>
    <row r="1884" spans="1:17" x14ac:dyDescent="0.25">
      <c r="A1884" s="3">
        <v>10276</v>
      </c>
      <c r="B1884" s="3">
        <v>20</v>
      </c>
      <c r="C1884" s="3">
        <v>61.23</v>
      </c>
      <c r="D1884" s="3">
        <v>1224.5999999999999</v>
      </c>
      <c r="E1884" s="3" t="str">
        <f t="shared" si="117"/>
        <v>Low</v>
      </c>
      <c r="F1884" s="3">
        <f t="shared" si="118"/>
        <v>367.37999999999994</v>
      </c>
      <c r="G1884" s="4">
        <v>38201</v>
      </c>
      <c r="H1884" s="3" t="s">
        <v>25</v>
      </c>
      <c r="I1884" s="3" t="str">
        <f t="shared" si="116"/>
        <v>Yes</v>
      </c>
      <c r="J1884" s="3" t="s">
        <v>684</v>
      </c>
      <c r="K1884" s="3">
        <v>2004</v>
      </c>
      <c r="L1884" s="3" t="str">
        <f t="shared" si="119"/>
        <v>Aug-2004</v>
      </c>
      <c r="M1884" s="3" t="s">
        <v>181</v>
      </c>
      <c r="N1884" s="3" t="s">
        <v>458</v>
      </c>
      <c r="O1884" s="3" t="s">
        <v>32</v>
      </c>
      <c r="P1884" s="3" t="s">
        <v>33</v>
      </c>
      <c r="Q1884" s="3" t="s">
        <v>36</v>
      </c>
    </row>
    <row r="1885" spans="1:17" x14ac:dyDescent="0.25">
      <c r="A1885" s="5">
        <v>10287</v>
      </c>
      <c r="B1885" s="5">
        <v>20</v>
      </c>
      <c r="C1885" s="5">
        <v>67.97</v>
      </c>
      <c r="D1885" s="5">
        <v>1359.4</v>
      </c>
      <c r="E1885" s="5" t="str">
        <f t="shared" si="117"/>
        <v>Low</v>
      </c>
      <c r="F1885" s="5">
        <f t="shared" si="118"/>
        <v>407.82</v>
      </c>
      <c r="G1885" s="6">
        <v>38229</v>
      </c>
      <c r="H1885" s="5" t="s">
        <v>25</v>
      </c>
      <c r="I1885" s="5" t="str">
        <f t="shared" si="116"/>
        <v>Yes</v>
      </c>
      <c r="J1885" s="5" t="s">
        <v>684</v>
      </c>
      <c r="K1885" s="5">
        <v>2004</v>
      </c>
      <c r="L1885" s="5" t="str">
        <f t="shared" si="119"/>
        <v>Aug-2004</v>
      </c>
      <c r="M1885" s="5" t="s">
        <v>181</v>
      </c>
      <c r="N1885" s="5" t="s">
        <v>446</v>
      </c>
      <c r="O1885" s="5" t="s">
        <v>450</v>
      </c>
      <c r="P1885" s="5" t="s">
        <v>42</v>
      </c>
      <c r="Q1885" s="5" t="s">
        <v>36</v>
      </c>
    </row>
    <row r="1886" spans="1:17" x14ac:dyDescent="0.25">
      <c r="A1886" s="3">
        <v>10300</v>
      </c>
      <c r="B1886" s="3">
        <v>31</v>
      </c>
      <c r="C1886" s="3">
        <v>58.78</v>
      </c>
      <c r="D1886" s="3">
        <v>1822.18</v>
      </c>
      <c r="E1886" s="3" t="str">
        <f t="shared" si="117"/>
        <v>Low</v>
      </c>
      <c r="F1886" s="3">
        <f t="shared" si="118"/>
        <v>546.654</v>
      </c>
      <c r="G1886" s="4">
        <v>37898</v>
      </c>
      <c r="H1886" s="3" t="s">
        <v>25</v>
      </c>
      <c r="I1886" s="3" t="str">
        <f t="shared" si="116"/>
        <v>Yes</v>
      </c>
      <c r="J1886" s="3" t="s">
        <v>685</v>
      </c>
      <c r="K1886" s="3">
        <v>2003</v>
      </c>
      <c r="L1886" s="3" t="str">
        <f t="shared" si="119"/>
        <v>Oct-2003</v>
      </c>
      <c r="M1886" s="3" t="s">
        <v>181</v>
      </c>
      <c r="N1886" s="3" t="s">
        <v>462</v>
      </c>
      <c r="O1886" s="3" t="s">
        <v>443</v>
      </c>
      <c r="P1886" s="3" t="s">
        <v>42</v>
      </c>
      <c r="Q1886" s="3" t="s">
        <v>36</v>
      </c>
    </row>
    <row r="1887" spans="1:17" x14ac:dyDescent="0.25">
      <c r="A1887" s="5">
        <v>10310</v>
      </c>
      <c r="B1887" s="5">
        <v>38</v>
      </c>
      <c r="C1887" s="5">
        <v>56.94</v>
      </c>
      <c r="D1887" s="5">
        <v>2163.7199999999998</v>
      </c>
      <c r="E1887" s="5" t="str">
        <f t="shared" si="117"/>
        <v>Medium</v>
      </c>
      <c r="F1887" s="5">
        <f t="shared" si="118"/>
        <v>649.11599999999987</v>
      </c>
      <c r="G1887" s="6">
        <v>38276</v>
      </c>
      <c r="H1887" s="5" t="s">
        <v>25</v>
      </c>
      <c r="I1887" s="5" t="str">
        <f t="shared" si="116"/>
        <v>Yes</v>
      </c>
      <c r="J1887" s="5" t="s">
        <v>685</v>
      </c>
      <c r="K1887" s="5">
        <v>2004</v>
      </c>
      <c r="L1887" s="5" t="str">
        <f t="shared" si="119"/>
        <v>Oct-2004</v>
      </c>
      <c r="M1887" s="5" t="s">
        <v>181</v>
      </c>
      <c r="N1887" s="5" t="s">
        <v>439</v>
      </c>
      <c r="O1887" s="5" t="s">
        <v>443</v>
      </c>
      <c r="P1887" s="5" t="s">
        <v>42</v>
      </c>
      <c r="Q1887" s="5" t="s">
        <v>36</v>
      </c>
    </row>
    <row r="1888" spans="1:17" x14ac:dyDescent="0.25">
      <c r="A1888" s="3">
        <v>10320</v>
      </c>
      <c r="B1888" s="3">
        <v>26</v>
      </c>
      <c r="C1888" s="3">
        <v>61.23</v>
      </c>
      <c r="D1888" s="3">
        <v>1591.98</v>
      </c>
      <c r="E1888" s="3" t="str">
        <f t="shared" si="117"/>
        <v>Low</v>
      </c>
      <c r="F1888" s="3">
        <f t="shared" si="118"/>
        <v>477.59399999999999</v>
      </c>
      <c r="G1888" s="4">
        <v>38294</v>
      </c>
      <c r="H1888" s="3" t="s">
        <v>25</v>
      </c>
      <c r="I1888" s="3" t="str">
        <f t="shared" si="116"/>
        <v>Yes</v>
      </c>
      <c r="J1888" s="3" t="s">
        <v>686</v>
      </c>
      <c r="K1888" s="3">
        <v>2004</v>
      </c>
      <c r="L1888" s="3" t="str">
        <f t="shared" si="119"/>
        <v>Nov-2004</v>
      </c>
      <c r="M1888" s="3" t="s">
        <v>181</v>
      </c>
      <c r="N1888" s="3" t="s">
        <v>183</v>
      </c>
      <c r="O1888" s="3" t="s">
        <v>188</v>
      </c>
      <c r="P1888" s="3" t="s">
        <v>42</v>
      </c>
      <c r="Q1888" s="3" t="s">
        <v>36</v>
      </c>
    </row>
    <row r="1889" spans="1:17" x14ac:dyDescent="0.25">
      <c r="A1889" s="5">
        <v>10331</v>
      </c>
      <c r="B1889" s="5">
        <v>25</v>
      </c>
      <c r="C1889" s="5">
        <v>100</v>
      </c>
      <c r="D1889" s="5">
        <v>2500</v>
      </c>
      <c r="E1889" s="5" t="str">
        <f t="shared" si="117"/>
        <v>Medium</v>
      </c>
      <c r="F1889" s="5">
        <f t="shared" si="118"/>
        <v>750</v>
      </c>
      <c r="G1889" s="6">
        <v>38308</v>
      </c>
      <c r="H1889" s="5" t="s">
        <v>25</v>
      </c>
      <c r="I1889" s="5" t="str">
        <f t="shared" si="116"/>
        <v>Yes</v>
      </c>
      <c r="J1889" s="5" t="s">
        <v>686</v>
      </c>
      <c r="K1889" s="5">
        <v>2004</v>
      </c>
      <c r="L1889" s="5" t="str">
        <f t="shared" si="119"/>
        <v>Nov-2004</v>
      </c>
      <c r="M1889" s="5" t="s">
        <v>181</v>
      </c>
      <c r="N1889" s="5" t="s">
        <v>309</v>
      </c>
      <c r="O1889" s="5" t="s">
        <v>32</v>
      </c>
      <c r="P1889" s="5" t="s">
        <v>33</v>
      </c>
      <c r="Q1889" s="5" t="s">
        <v>51</v>
      </c>
    </row>
    <row r="1890" spans="1:17" x14ac:dyDescent="0.25">
      <c r="A1890" s="3">
        <v>10342</v>
      </c>
      <c r="B1890" s="3">
        <v>48</v>
      </c>
      <c r="C1890" s="3">
        <v>62.45</v>
      </c>
      <c r="D1890" s="3">
        <v>2997.6000000000004</v>
      </c>
      <c r="E1890" s="3" t="str">
        <f t="shared" si="117"/>
        <v>Medium</v>
      </c>
      <c r="F1890" s="3">
        <f t="shared" si="118"/>
        <v>899.28000000000009</v>
      </c>
      <c r="G1890" s="4">
        <v>38315</v>
      </c>
      <c r="H1890" s="3" t="s">
        <v>25</v>
      </c>
      <c r="I1890" s="3" t="str">
        <f t="shared" si="116"/>
        <v>Yes</v>
      </c>
      <c r="J1890" s="3" t="s">
        <v>686</v>
      </c>
      <c r="K1890" s="3">
        <v>2004</v>
      </c>
      <c r="L1890" s="3" t="str">
        <f t="shared" si="119"/>
        <v>Nov-2004</v>
      </c>
      <c r="M1890" s="3" t="s">
        <v>181</v>
      </c>
      <c r="N1890" s="3" t="s">
        <v>89</v>
      </c>
      <c r="O1890" s="3" t="s">
        <v>95</v>
      </c>
      <c r="P1890" s="3" t="s">
        <v>96</v>
      </c>
      <c r="Q1890" s="3" t="s">
        <v>36</v>
      </c>
    </row>
    <row r="1891" spans="1:17" x14ac:dyDescent="0.25">
      <c r="A1891" s="5">
        <v>10355</v>
      </c>
      <c r="B1891" s="5">
        <v>44</v>
      </c>
      <c r="C1891" s="5">
        <v>62.45</v>
      </c>
      <c r="D1891" s="5">
        <v>2747.8</v>
      </c>
      <c r="E1891" s="5" t="str">
        <f t="shared" si="117"/>
        <v>Medium</v>
      </c>
      <c r="F1891" s="5">
        <f t="shared" si="118"/>
        <v>824.34</v>
      </c>
      <c r="G1891" s="6">
        <v>38328</v>
      </c>
      <c r="H1891" s="5" t="s">
        <v>25</v>
      </c>
      <c r="I1891" s="5" t="str">
        <f t="shared" si="116"/>
        <v>Yes</v>
      </c>
      <c r="J1891" s="5" t="s">
        <v>687</v>
      </c>
      <c r="K1891" s="5">
        <v>2004</v>
      </c>
      <c r="L1891" s="5" t="str">
        <f t="shared" si="119"/>
        <v>Dec-2004</v>
      </c>
      <c r="M1891" s="5" t="s">
        <v>181</v>
      </c>
      <c r="N1891" s="5" t="s">
        <v>174</v>
      </c>
      <c r="O1891" s="5" t="s">
        <v>178</v>
      </c>
      <c r="P1891" s="5" t="s">
        <v>42</v>
      </c>
      <c r="Q1891" s="5" t="s">
        <v>36</v>
      </c>
    </row>
    <row r="1892" spans="1:17" x14ac:dyDescent="0.25">
      <c r="A1892" s="3">
        <v>10363</v>
      </c>
      <c r="B1892" s="3">
        <v>21</v>
      </c>
      <c r="C1892" s="3">
        <v>100</v>
      </c>
      <c r="D1892" s="3">
        <v>2100</v>
      </c>
      <c r="E1892" s="3" t="str">
        <f t="shared" si="117"/>
        <v>Medium</v>
      </c>
      <c r="F1892" s="3">
        <f t="shared" si="118"/>
        <v>630</v>
      </c>
      <c r="G1892" s="4">
        <v>38358</v>
      </c>
      <c r="H1892" s="3" t="s">
        <v>25</v>
      </c>
      <c r="I1892" s="3" t="str">
        <f t="shared" si="116"/>
        <v>Yes</v>
      </c>
      <c r="J1892" s="3" t="s">
        <v>549</v>
      </c>
      <c r="K1892" s="3">
        <v>2005</v>
      </c>
      <c r="L1892" s="3" t="str">
        <f t="shared" si="119"/>
        <v>Jan-2005</v>
      </c>
      <c r="M1892" s="3" t="s">
        <v>181</v>
      </c>
      <c r="N1892" s="3" t="s">
        <v>467</v>
      </c>
      <c r="O1892" s="3" t="s">
        <v>130</v>
      </c>
      <c r="P1892" s="3" t="s">
        <v>42</v>
      </c>
      <c r="Q1892" s="3" t="s">
        <v>36</v>
      </c>
    </row>
    <row r="1893" spans="1:17" x14ac:dyDescent="0.25">
      <c r="A1893" s="5">
        <v>10378</v>
      </c>
      <c r="B1893" s="5">
        <v>46</v>
      </c>
      <c r="C1893" s="5">
        <v>41.54</v>
      </c>
      <c r="D1893" s="5">
        <v>1910.84</v>
      </c>
      <c r="E1893" s="5" t="str">
        <f t="shared" si="117"/>
        <v>Low</v>
      </c>
      <c r="F1893" s="5">
        <f t="shared" si="118"/>
        <v>573.25199999999995</v>
      </c>
      <c r="G1893" s="6">
        <v>38393</v>
      </c>
      <c r="H1893" s="5" t="s">
        <v>25</v>
      </c>
      <c r="I1893" s="5" t="str">
        <f t="shared" si="116"/>
        <v>Yes</v>
      </c>
      <c r="J1893" s="5" t="s">
        <v>681</v>
      </c>
      <c r="K1893" s="5">
        <v>2005</v>
      </c>
      <c r="L1893" s="5" t="str">
        <f t="shared" si="119"/>
        <v>Feb-2005</v>
      </c>
      <c r="M1893" s="5" t="s">
        <v>181</v>
      </c>
      <c r="N1893" s="5" t="s">
        <v>174</v>
      </c>
      <c r="O1893" s="5" t="s">
        <v>178</v>
      </c>
      <c r="P1893" s="5" t="s">
        <v>42</v>
      </c>
      <c r="Q1893" s="5" t="s">
        <v>36</v>
      </c>
    </row>
    <row r="1894" spans="1:17" x14ac:dyDescent="0.25">
      <c r="A1894" s="3">
        <v>10390</v>
      </c>
      <c r="B1894" s="3">
        <v>46</v>
      </c>
      <c r="C1894" s="3">
        <v>52.84</v>
      </c>
      <c r="D1894" s="3">
        <v>2430.6400000000003</v>
      </c>
      <c r="E1894" s="3" t="str">
        <f t="shared" si="117"/>
        <v>Medium</v>
      </c>
      <c r="F1894" s="3">
        <f t="shared" si="118"/>
        <v>729.19200000000012</v>
      </c>
      <c r="G1894" s="4">
        <v>38415</v>
      </c>
      <c r="H1894" s="3" t="s">
        <v>25</v>
      </c>
      <c r="I1894" s="3" t="str">
        <f t="shared" si="116"/>
        <v>Yes</v>
      </c>
      <c r="J1894" s="3" t="s">
        <v>691</v>
      </c>
      <c r="K1894" s="3">
        <v>2005</v>
      </c>
      <c r="L1894" s="3" t="str">
        <f t="shared" si="119"/>
        <v>Mar-2005</v>
      </c>
      <c r="M1894" s="3" t="s">
        <v>181</v>
      </c>
      <c r="N1894" s="3" t="s">
        <v>272</v>
      </c>
      <c r="O1894" s="3" t="s">
        <v>32</v>
      </c>
      <c r="P1894" s="3" t="s">
        <v>33</v>
      </c>
      <c r="Q1894" s="3" t="s">
        <v>36</v>
      </c>
    </row>
    <row r="1895" spans="1:17" x14ac:dyDescent="0.25">
      <c r="A1895" s="5">
        <v>10419</v>
      </c>
      <c r="B1895" s="5">
        <v>55</v>
      </c>
      <c r="C1895" s="5">
        <v>52.66</v>
      </c>
      <c r="D1895" s="5">
        <v>2896.2999999999997</v>
      </c>
      <c r="E1895" s="5" t="str">
        <f t="shared" si="117"/>
        <v>Medium</v>
      </c>
      <c r="F1895" s="5">
        <f t="shared" si="118"/>
        <v>868.88999999999987</v>
      </c>
      <c r="G1895" s="6">
        <v>38489</v>
      </c>
      <c r="H1895" s="5" t="s">
        <v>25</v>
      </c>
      <c r="I1895" s="5" t="str">
        <f t="shared" si="116"/>
        <v>Yes</v>
      </c>
      <c r="J1895" s="5" t="s">
        <v>682</v>
      </c>
      <c r="K1895" s="5">
        <v>2005</v>
      </c>
      <c r="L1895" s="5" t="str">
        <f t="shared" si="119"/>
        <v>May-2005</v>
      </c>
      <c r="M1895" s="5" t="s">
        <v>181</v>
      </c>
      <c r="N1895" s="5" t="s">
        <v>144</v>
      </c>
      <c r="O1895" s="5" t="s">
        <v>148</v>
      </c>
      <c r="P1895" s="5" t="s">
        <v>42</v>
      </c>
      <c r="Q1895" s="5" t="s">
        <v>36</v>
      </c>
    </row>
    <row r="1896" spans="1:17" x14ac:dyDescent="0.25">
      <c r="A1896" s="3">
        <v>10106</v>
      </c>
      <c r="B1896" s="3">
        <v>31</v>
      </c>
      <c r="C1896" s="3">
        <v>52.6</v>
      </c>
      <c r="D1896" s="3">
        <v>1630.6000000000001</v>
      </c>
      <c r="E1896" s="3" t="str">
        <f t="shared" si="117"/>
        <v>Low</v>
      </c>
      <c r="F1896" s="3">
        <f t="shared" si="118"/>
        <v>489.18</v>
      </c>
      <c r="G1896" s="4">
        <v>37669</v>
      </c>
      <c r="H1896" s="3" t="s">
        <v>25</v>
      </c>
      <c r="I1896" s="3" t="str">
        <f t="shared" si="116"/>
        <v>Yes</v>
      </c>
      <c r="J1896" s="3" t="s">
        <v>681</v>
      </c>
      <c r="K1896" s="3">
        <v>2003</v>
      </c>
      <c r="L1896" s="3" t="str">
        <f t="shared" si="119"/>
        <v>Feb-2003</v>
      </c>
      <c r="M1896" s="3" t="s">
        <v>550</v>
      </c>
      <c r="N1896" s="3" t="s">
        <v>552</v>
      </c>
      <c r="O1896" s="3" t="s">
        <v>258</v>
      </c>
      <c r="P1896" s="3" t="s">
        <v>42</v>
      </c>
      <c r="Q1896" s="3" t="s">
        <v>36</v>
      </c>
    </row>
    <row r="1897" spans="1:17" x14ac:dyDescent="0.25">
      <c r="A1897" s="5">
        <v>10119</v>
      </c>
      <c r="B1897" s="5">
        <v>20</v>
      </c>
      <c r="C1897" s="5">
        <v>72.98</v>
      </c>
      <c r="D1897" s="5">
        <v>1459.6000000000001</v>
      </c>
      <c r="E1897" s="5" t="str">
        <f t="shared" si="117"/>
        <v>Low</v>
      </c>
      <c r="F1897" s="5">
        <f t="shared" si="118"/>
        <v>437.88000000000005</v>
      </c>
      <c r="G1897" s="6">
        <v>37739</v>
      </c>
      <c r="H1897" s="5" t="s">
        <v>25</v>
      </c>
      <c r="I1897" s="5" t="str">
        <f t="shared" si="116"/>
        <v>Yes</v>
      </c>
      <c r="J1897" s="5" t="s">
        <v>688</v>
      </c>
      <c r="K1897" s="5">
        <v>2003</v>
      </c>
      <c r="L1897" s="5" t="str">
        <f t="shared" si="119"/>
        <v>Apr-2003</v>
      </c>
      <c r="M1897" s="5" t="s">
        <v>550</v>
      </c>
      <c r="N1897" s="5" t="s">
        <v>144</v>
      </c>
      <c r="O1897" s="5" t="s">
        <v>148</v>
      </c>
      <c r="P1897" s="5" t="s">
        <v>42</v>
      </c>
      <c r="Q1897" s="5" t="s">
        <v>36</v>
      </c>
    </row>
    <row r="1898" spans="1:17" x14ac:dyDescent="0.25">
      <c r="A1898" s="3">
        <v>10131</v>
      </c>
      <c r="B1898" s="3">
        <v>29</v>
      </c>
      <c r="C1898" s="3">
        <v>59.18</v>
      </c>
      <c r="D1898" s="3">
        <v>1716.22</v>
      </c>
      <c r="E1898" s="3" t="str">
        <f t="shared" si="117"/>
        <v>Low</v>
      </c>
      <c r="F1898" s="3">
        <f t="shared" si="118"/>
        <v>514.86599999999999</v>
      </c>
      <c r="G1898" s="4">
        <v>37788</v>
      </c>
      <c r="H1898" s="3" t="s">
        <v>25</v>
      </c>
      <c r="I1898" s="3" t="str">
        <f t="shared" si="116"/>
        <v>Yes</v>
      </c>
      <c r="J1898" s="3" t="s">
        <v>689</v>
      </c>
      <c r="K1898" s="3">
        <v>2003</v>
      </c>
      <c r="L1898" s="3" t="str">
        <f t="shared" si="119"/>
        <v>Jun-2003</v>
      </c>
      <c r="M1898" s="3" t="s">
        <v>550</v>
      </c>
      <c r="N1898" s="3" t="s">
        <v>568</v>
      </c>
      <c r="O1898" s="3" t="s">
        <v>32</v>
      </c>
      <c r="P1898" s="3" t="s">
        <v>33</v>
      </c>
      <c r="Q1898" s="3" t="s">
        <v>36</v>
      </c>
    </row>
    <row r="1899" spans="1:17" x14ac:dyDescent="0.25">
      <c r="A1899" s="5">
        <v>10143</v>
      </c>
      <c r="B1899" s="5">
        <v>33</v>
      </c>
      <c r="C1899" s="5">
        <v>77.59</v>
      </c>
      <c r="D1899" s="5">
        <v>2560.4700000000003</v>
      </c>
      <c r="E1899" s="5" t="str">
        <f t="shared" si="117"/>
        <v>Medium</v>
      </c>
      <c r="F1899" s="5">
        <f t="shared" si="118"/>
        <v>768.14100000000008</v>
      </c>
      <c r="G1899" s="6">
        <v>37843</v>
      </c>
      <c r="H1899" s="5" t="s">
        <v>25</v>
      </c>
      <c r="I1899" s="5" t="str">
        <f t="shared" si="116"/>
        <v>Yes</v>
      </c>
      <c r="J1899" s="5" t="s">
        <v>684</v>
      </c>
      <c r="K1899" s="5">
        <v>2003</v>
      </c>
      <c r="L1899" s="5" t="str">
        <f t="shared" si="119"/>
        <v>Aug-2003</v>
      </c>
      <c r="M1899" s="5" t="s">
        <v>550</v>
      </c>
      <c r="N1899" s="5" t="s">
        <v>335</v>
      </c>
      <c r="O1899" s="5" t="s">
        <v>32</v>
      </c>
      <c r="P1899" s="5" t="s">
        <v>33</v>
      </c>
      <c r="Q1899" s="5" t="s">
        <v>36</v>
      </c>
    </row>
    <row r="1900" spans="1:17" x14ac:dyDescent="0.25">
      <c r="A1900" s="3">
        <v>10155</v>
      </c>
      <c r="B1900" s="3">
        <v>34</v>
      </c>
      <c r="C1900" s="3">
        <v>55.89</v>
      </c>
      <c r="D1900" s="3">
        <v>1900.26</v>
      </c>
      <c r="E1900" s="3" t="str">
        <f t="shared" si="117"/>
        <v>Low</v>
      </c>
      <c r="F1900" s="3">
        <f t="shared" si="118"/>
        <v>570.07799999999997</v>
      </c>
      <c r="G1900" s="4">
        <v>37900</v>
      </c>
      <c r="H1900" s="3" t="s">
        <v>25</v>
      </c>
      <c r="I1900" s="3" t="str">
        <f t="shared" si="116"/>
        <v>Yes</v>
      </c>
      <c r="J1900" s="3" t="s">
        <v>685</v>
      </c>
      <c r="K1900" s="3">
        <v>2003</v>
      </c>
      <c r="L1900" s="3" t="str">
        <f t="shared" si="119"/>
        <v>Oct-2003</v>
      </c>
      <c r="M1900" s="3" t="s">
        <v>550</v>
      </c>
      <c r="N1900" s="3" t="s">
        <v>126</v>
      </c>
      <c r="O1900" s="3" t="s">
        <v>130</v>
      </c>
      <c r="P1900" s="3" t="s">
        <v>42</v>
      </c>
      <c r="Q1900" s="3" t="s">
        <v>36</v>
      </c>
    </row>
    <row r="1901" spans="1:17" x14ac:dyDescent="0.25">
      <c r="A1901" s="5">
        <v>10167</v>
      </c>
      <c r="B1901" s="5">
        <v>32</v>
      </c>
      <c r="C1901" s="5">
        <v>63.12</v>
      </c>
      <c r="D1901" s="5">
        <v>2019.84</v>
      </c>
      <c r="E1901" s="5" t="str">
        <f t="shared" si="117"/>
        <v>Medium</v>
      </c>
      <c r="F1901" s="5">
        <f t="shared" si="118"/>
        <v>605.952</v>
      </c>
      <c r="G1901" s="6">
        <v>37917</v>
      </c>
      <c r="H1901" s="5" t="s">
        <v>339</v>
      </c>
      <c r="I1901" s="5" t="str">
        <f t="shared" si="116"/>
        <v>No</v>
      </c>
      <c r="J1901" s="5" t="s">
        <v>685</v>
      </c>
      <c r="K1901" s="5">
        <v>2003</v>
      </c>
      <c r="L1901" s="5" t="str">
        <f t="shared" si="119"/>
        <v>Oct-2003</v>
      </c>
      <c r="M1901" s="5" t="s">
        <v>550</v>
      </c>
      <c r="N1901" s="5" t="s">
        <v>261</v>
      </c>
      <c r="O1901" s="5" t="s">
        <v>188</v>
      </c>
      <c r="P1901" s="5" t="s">
        <v>42</v>
      </c>
      <c r="Q1901" s="5" t="s">
        <v>36</v>
      </c>
    </row>
    <row r="1902" spans="1:17" x14ac:dyDescent="0.25">
      <c r="A1902" s="3">
        <v>10178</v>
      </c>
      <c r="B1902" s="3">
        <v>27</v>
      </c>
      <c r="C1902" s="3">
        <v>73.64</v>
      </c>
      <c r="D1902" s="3">
        <v>1988.28</v>
      </c>
      <c r="E1902" s="3" t="str">
        <f t="shared" si="117"/>
        <v>Low</v>
      </c>
      <c r="F1902" s="3">
        <f t="shared" si="118"/>
        <v>596.48399999999992</v>
      </c>
      <c r="G1902" s="4">
        <v>37933</v>
      </c>
      <c r="H1902" s="3" t="s">
        <v>25</v>
      </c>
      <c r="I1902" s="3" t="str">
        <f t="shared" si="116"/>
        <v>Yes</v>
      </c>
      <c r="J1902" s="3" t="s">
        <v>686</v>
      </c>
      <c r="K1902" s="3">
        <v>2003</v>
      </c>
      <c r="L1902" s="3" t="str">
        <f t="shared" si="119"/>
        <v>Nov-2003</v>
      </c>
      <c r="M1902" s="3" t="s">
        <v>550</v>
      </c>
      <c r="N1902" s="3" t="s">
        <v>340</v>
      </c>
      <c r="O1902" s="3" t="s">
        <v>41</v>
      </c>
      <c r="P1902" s="3" t="s">
        <v>42</v>
      </c>
      <c r="Q1902" s="3" t="s">
        <v>36</v>
      </c>
    </row>
    <row r="1903" spans="1:17" x14ac:dyDescent="0.25">
      <c r="A1903" s="5">
        <v>10186</v>
      </c>
      <c r="B1903" s="5">
        <v>21</v>
      </c>
      <c r="C1903" s="5">
        <v>69.040000000000006</v>
      </c>
      <c r="D1903" s="5">
        <v>1449.8400000000001</v>
      </c>
      <c r="E1903" s="5" t="str">
        <f t="shared" si="117"/>
        <v>Low</v>
      </c>
      <c r="F1903" s="5">
        <f t="shared" si="118"/>
        <v>434.95200000000006</v>
      </c>
      <c r="G1903" s="6">
        <v>37939</v>
      </c>
      <c r="H1903" s="5" t="s">
        <v>25</v>
      </c>
      <c r="I1903" s="5" t="str">
        <f t="shared" si="116"/>
        <v>Yes</v>
      </c>
      <c r="J1903" s="5" t="s">
        <v>686</v>
      </c>
      <c r="K1903" s="5">
        <v>2003</v>
      </c>
      <c r="L1903" s="5" t="str">
        <f t="shared" si="119"/>
        <v>Nov-2003</v>
      </c>
      <c r="M1903" s="5" t="s">
        <v>550</v>
      </c>
      <c r="N1903" s="5" t="s">
        <v>346</v>
      </c>
      <c r="O1903" s="5" t="s">
        <v>170</v>
      </c>
      <c r="P1903" s="5" t="s">
        <v>42</v>
      </c>
      <c r="Q1903" s="5" t="s">
        <v>36</v>
      </c>
    </row>
    <row r="1904" spans="1:17" x14ac:dyDescent="0.25">
      <c r="A1904" s="3">
        <v>10198</v>
      </c>
      <c r="B1904" s="3">
        <v>27</v>
      </c>
      <c r="C1904" s="3">
        <v>71.67</v>
      </c>
      <c r="D1904" s="3">
        <v>1935.0900000000001</v>
      </c>
      <c r="E1904" s="3" t="str">
        <f t="shared" si="117"/>
        <v>Low</v>
      </c>
      <c r="F1904" s="3">
        <f t="shared" si="118"/>
        <v>580.52700000000004</v>
      </c>
      <c r="G1904" s="4">
        <v>37952</v>
      </c>
      <c r="H1904" s="3" t="s">
        <v>25</v>
      </c>
      <c r="I1904" s="3" t="str">
        <f t="shared" si="116"/>
        <v>Yes</v>
      </c>
      <c r="J1904" s="3" t="s">
        <v>686</v>
      </c>
      <c r="K1904" s="3">
        <v>2003</v>
      </c>
      <c r="L1904" s="3" t="str">
        <f t="shared" si="119"/>
        <v>Nov-2003</v>
      </c>
      <c r="M1904" s="3" t="s">
        <v>550</v>
      </c>
      <c r="N1904" s="3" t="s">
        <v>425</v>
      </c>
      <c r="O1904" s="3" t="s">
        <v>430</v>
      </c>
      <c r="P1904" s="3" t="s">
        <v>675</v>
      </c>
      <c r="Q1904" s="3" t="s">
        <v>36</v>
      </c>
    </row>
    <row r="1905" spans="1:17" x14ac:dyDescent="0.25">
      <c r="A1905" s="5">
        <v>10209</v>
      </c>
      <c r="B1905" s="5">
        <v>36</v>
      </c>
      <c r="C1905" s="5">
        <v>77.59</v>
      </c>
      <c r="D1905" s="5">
        <v>2793.2400000000002</v>
      </c>
      <c r="E1905" s="5" t="str">
        <f t="shared" si="117"/>
        <v>Medium</v>
      </c>
      <c r="F1905" s="5">
        <f t="shared" si="118"/>
        <v>837.97200000000009</v>
      </c>
      <c r="G1905" s="6">
        <v>37995</v>
      </c>
      <c r="H1905" s="5" t="s">
        <v>25</v>
      </c>
      <c r="I1905" s="5" t="str">
        <f t="shared" si="116"/>
        <v>Yes</v>
      </c>
      <c r="J1905" s="5" t="s">
        <v>549</v>
      </c>
      <c r="K1905" s="5">
        <v>2004</v>
      </c>
      <c r="L1905" s="5" t="str">
        <f t="shared" si="119"/>
        <v>Jan-2004</v>
      </c>
      <c r="M1905" s="5" t="s">
        <v>550</v>
      </c>
      <c r="N1905" s="5" t="s">
        <v>358</v>
      </c>
      <c r="O1905" s="5" t="s">
        <v>32</v>
      </c>
      <c r="P1905" s="5" t="s">
        <v>33</v>
      </c>
      <c r="Q1905" s="5" t="s">
        <v>36</v>
      </c>
    </row>
    <row r="1906" spans="1:17" x14ac:dyDescent="0.25">
      <c r="A1906" s="3">
        <v>10222</v>
      </c>
      <c r="B1906" s="3">
        <v>43</v>
      </c>
      <c r="C1906" s="3">
        <v>70.349999999999994</v>
      </c>
      <c r="D1906" s="3">
        <v>3025.0499999999997</v>
      </c>
      <c r="E1906" s="3" t="str">
        <f t="shared" si="117"/>
        <v>Medium</v>
      </c>
      <c r="F1906" s="3">
        <f t="shared" si="118"/>
        <v>907.51499999999987</v>
      </c>
      <c r="G1906" s="4">
        <v>38036</v>
      </c>
      <c r="H1906" s="3" t="s">
        <v>25</v>
      </c>
      <c r="I1906" s="3" t="str">
        <f t="shared" si="116"/>
        <v>Yes</v>
      </c>
      <c r="J1906" s="3" t="s">
        <v>681</v>
      </c>
      <c r="K1906" s="3">
        <v>2004</v>
      </c>
      <c r="L1906" s="3" t="str">
        <f t="shared" si="119"/>
        <v>Feb-2004</v>
      </c>
      <c r="M1906" s="3" t="s">
        <v>550</v>
      </c>
      <c r="N1906" s="3" t="s">
        <v>362</v>
      </c>
      <c r="O1906" s="3" t="s">
        <v>32</v>
      </c>
      <c r="P1906" s="3" t="s">
        <v>33</v>
      </c>
      <c r="Q1906" s="3" t="s">
        <v>51</v>
      </c>
    </row>
    <row r="1907" spans="1:17" x14ac:dyDescent="0.25">
      <c r="A1907" s="5">
        <v>10249</v>
      </c>
      <c r="B1907" s="5">
        <v>25</v>
      </c>
      <c r="C1907" s="5">
        <v>69.7</v>
      </c>
      <c r="D1907" s="5">
        <v>1742.5</v>
      </c>
      <c r="E1907" s="5" t="str">
        <f t="shared" si="117"/>
        <v>Low</v>
      </c>
      <c r="F1907" s="5">
        <f t="shared" si="118"/>
        <v>522.75</v>
      </c>
      <c r="G1907" s="6">
        <v>38115</v>
      </c>
      <c r="H1907" s="5" t="s">
        <v>25</v>
      </c>
      <c r="I1907" s="5" t="str">
        <f t="shared" si="116"/>
        <v>Yes</v>
      </c>
      <c r="J1907" s="5" t="s">
        <v>682</v>
      </c>
      <c r="K1907" s="5">
        <v>2004</v>
      </c>
      <c r="L1907" s="5" t="str">
        <f t="shared" si="119"/>
        <v>May-2004</v>
      </c>
      <c r="M1907" s="5" t="s">
        <v>550</v>
      </c>
      <c r="N1907" s="5" t="s">
        <v>239</v>
      </c>
      <c r="O1907" s="5" t="s">
        <v>32</v>
      </c>
      <c r="P1907" s="5" t="s">
        <v>33</v>
      </c>
      <c r="Q1907" s="5" t="s">
        <v>36</v>
      </c>
    </row>
    <row r="1908" spans="1:17" x14ac:dyDescent="0.25">
      <c r="A1908" s="3">
        <v>10262</v>
      </c>
      <c r="B1908" s="3">
        <v>46</v>
      </c>
      <c r="C1908" s="3">
        <v>70.349999999999994</v>
      </c>
      <c r="D1908" s="3">
        <v>3236.1</v>
      </c>
      <c r="E1908" s="3" t="str">
        <f t="shared" si="117"/>
        <v>Medium</v>
      </c>
      <c r="F1908" s="3">
        <f t="shared" si="118"/>
        <v>970.82999999999993</v>
      </c>
      <c r="G1908" s="4">
        <v>38162</v>
      </c>
      <c r="H1908" s="3" t="s">
        <v>339</v>
      </c>
      <c r="I1908" s="3" t="str">
        <f t="shared" si="116"/>
        <v>No</v>
      </c>
      <c r="J1908" s="3" t="s">
        <v>689</v>
      </c>
      <c r="K1908" s="3">
        <v>2004</v>
      </c>
      <c r="L1908" s="3" t="str">
        <f t="shared" si="119"/>
        <v>Jun-2004</v>
      </c>
      <c r="M1908" s="3" t="s">
        <v>550</v>
      </c>
      <c r="N1908" s="3" t="s">
        <v>174</v>
      </c>
      <c r="O1908" s="3" t="s">
        <v>178</v>
      </c>
      <c r="P1908" s="3" t="s">
        <v>42</v>
      </c>
      <c r="Q1908" s="3" t="s">
        <v>51</v>
      </c>
    </row>
    <row r="1909" spans="1:17" x14ac:dyDescent="0.25">
      <c r="A1909" s="5">
        <v>10274</v>
      </c>
      <c r="B1909" s="5">
        <v>24</v>
      </c>
      <c r="C1909" s="5">
        <v>72.33</v>
      </c>
      <c r="D1909" s="5">
        <v>1735.92</v>
      </c>
      <c r="E1909" s="5" t="str">
        <f t="shared" si="117"/>
        <v>Low</v>
      </c>
      <c r="F1909" s="5">
        <f t="shared" si="118"/>
        <v>520.77599999999995</v>
      </c>
      <c r="G1909" s="6">
        <v>38189</v>
      </c>
      <c r="H1909" s="5" t="s">
        <v>25</v>
      </c>
      <c r="I1909" s="5" t="str">
        <f t="shared" si="116"/>
        <v>Yes</v>
      </c>
      <c r="J1909" s="5" t="s">
        <v>683</v>
      </c>
      <c r="K1909" s="5">
        <v>2004</v>
      </c>
      <c r="L1909" s="5" t="str">
        <f t="shared" si="119"/>
        <v>Jul-2004</v>
      </c>
      <c r="M1909" s="5" t="s">
        <v>550</v>
      </c>
      <c r="N1909" s="5" t="s">
        <v>281</v>
      </c>
      <c r="O1909" s="5" t="s">
        <v>32</v>
      </c>
      <c r="P1909" s="5" t="s">
        <v>33</v>
      </c>
      <c r="Q1909" s="5" t="s">
        <v>36</v>
      </c>
    </row>
    <row r="1910" spans="1:17" x14ac:dyDescent="0.25">
      <c r="A1910" s="3">
        <v>10284</v>
      </c>
      <c r="B1910" s="3">
        <v>39</v>
      </c>
      <c r="C1910" s="3">
        <v>71.67</v>
      </c>
      <c r="D1910" s="3">
        <v>2795.13</v>
      </c>
      <c r="E1910" s="3" t="str">
        <f t="shared" si="117"/>
        <v>Medium</v>
      </c>
      <c r="F1910" s="3">
        <f t="shared" si="118"/>
        <v>838.53899999999999</v>
      </c>
      <c r="G1910" s="4">
        <v>38220</v>
      </c>
      <c r="H1910" s="3" t="s">
        <v>25</v>
      </c>
      <c r="I1910" s="3" t="str">
        <f t="shared" si="116"/>
        <v>Yes</v>
      </c>
      <c r="J1910" s="3" t="s">
        <v>684</v>
      </c>
      <c r="K1910" s="3">
        <v>2004</v>
      </c>
      <c r="L1910" s="3" t="str">
        <f t="shared" si="119"/>
        <v>Aug-2004</v>
      </c>
      <c r="M1910" s="3" t="s">
        <v>550</v>
      </c>
      <c r="N1910" s="3" t="s">
        <v>543</v>
      </c>
      <c r="O1910" s="3" t="s">
        <v>78</v>
      </c>
      <c r="P1910" s="3" t="s">
        <v>42</v>
      </c>
      <c r="Q1910" s="3" t="s">
        <v>36</v>
      </c>
    </row>
    <row r="1911" spans="1:17" x14ac:dyDescent="0.25">
      <c r="A1911" s="5">
        <v>10296</v>
      </c>
      <c r="B1911" s="5">
        <v>31</v>
      </c>
      <c r="C1911" s="5">
        <v>53.92</v>
      </c>
      <c r="D1911" s="5">
        <v>1671.52</v>
      </c>
      <c r="E1911" s="5" t="str">
        <f t="shared" si="117"/>
        <v>Low</v>
      </c>
      <c r="F1911" s="5">
        <f t="shared" si="118"/>
        <v>501.45599999999996</v>
      </c>
      <c r="G1911" s="6">
        <v>38245</v>
      </c>
      <c r="H1911" s="5" t="s">
        <v>25</v>
      </c>
      <c r="I1911" s="5" t="str">
        <f t="shared" si="116"/>
        <v>Yes</v>
      </c>
      <c r="J1911" s="5" t="s">
        <v>690</v>
      </c>
      <c r="K1911" s="5">
        <v>2004</v>
      </c>
      <c r="L1911" s="5" t="str">
        <f t="shared" si="119"/>
        <v>Sep-2004</v>
      </c>
      <c r="M1911" s="5" t="s">
        <v>550</v>
      </c>
      <c r="N1911" s="5" t="s">
        <v>572</v>
      </c>
      <c r="O1911" s="5" t="s">
        <v>443</v>
      </c>
      <c r="P1911" s="5" t="s">
        <v>42</v>
      </c>
      <c r="Q1911" s="5" t="s">
        <v>36</v>
      </c>
    </row>
    <row r="1912" spans="1:17" x14ac:dyDescent="0.25">
      <c r="A1912" s="3">
        <v>10307</v>
      </c>
      <c r="B1912" s="3">
        <v>22</v>
      </c>
      <c r="C1912" s="3">
        <v>71.67</v>
      </c>
      <c r="D1912" s="3">
        <v>1576.74</v>
      </c>
      <c r="E1912" s="3" t="str">
        <f t="shared" si="117"/>
        <v>Low</v>
      </c>
      <c r="F1912" s="3">
        <f t="shared" si="118"/>
        <v>473.02199999999999</v>
      </c>
      <c r="G1912" s="4">
        <v>38274</v>
      </c>
      <c r="H1912" s="3" t="s">
        <v>25</v>
      </c>
      <c r="I1912" s="3" t="str">
        <f t="shared" si="116"/>
        <v>Yes</v>
      </c>
      <c r="J1912" s="3" t="s">
        <v>685</v>
      </c>
      <c r="K1912" s="3">
        <v>2004</v>
      </c>
      <c r="L1912" s="3" t="str">
        <f t="shared" si="119"/>
        <v>Oct-2004</v>
      </c>
      <c r="M1912" s="3" t="s">
        <v>550</v>
      </c>
      <c r="N1912" s="3" t="s">
        <v>214</v>
      </c>
      <c r="O1912" s="3" t="s">
        <v>32</v>
      </c>
      <c r="P1912" s="3" t="s">
        <v>33</v>
      </c>
      <c r="Q1912" s="3" t="s">
        <v>36</v>
      </c>
    </row>
    <row r="1913" spans="1:17" x14ac:dyDescent="0.25">
      <c r="A1913" s="5">
        <v>10316</v>
      </c>
      <c r="B1913" s="5">
        <v>47</v>
      </c>
      <c r="C1913" s="5">
        <v>76.930000000000007</v>
      </c>
      <c r="D1913" s="5">
        <v>3615.7100000000005</v>
      </c>
      <c r="E1913" s="5" t="str">
        <f t="shared" si="117"/>
        <v>Medium</v>
      </c>
      <c r="F1913" s="5">
        <f t="shared" si="118"/>
        <v>1084.7130000000002</v>
      </c>
      <c r="G1913" s="6">
        <v>38292</v>
      </c>
      <c r="H1913" s="5" t="s">
        <v>25</v>
      </c>
      <c r="I1913" s="5" t="str">
        <f t="shared" si="116"/>
        <v>Yes</v>
      </c>
      <c r="J1913" s="5" t="s">
        <v>686</v>
      </c>
      <c r="K1913" s="5">
        <v>2004</v>
      </c>
      <c r="L1913" s="5" t="str">
        <f t="shared" si="119"/>
        <v>Nov-2004</v>
      </c>
      <c r="M1913" s="5" t="s">
        <v>550</v>
      </c>
      <c r="N1913" s="5" t="s">
        <v>383</v>
      </c>
      <c r="O1913" s="5" t="s">
        <v>170</v>
      </c>
      <c r="P1913" s="5" t="s">
        <v>42</v>
      </c>
      <c r="Q1913" s="5" t="s">
        <v>51</v>
      </c>
    </row>
    <row r="1914" spans="1:17" x14ac:dyDescent="0.25">
      <c r="A1914" s="3">
        <v>10328</v>
      </c>
      <c r="B1914" s="3">
        <v>20</v>
      </c>
      <c r="C1914" s="3">
        <v>72.98</v>
      </c>
      <c r="D1914" s="3">
        <v>1459.6000000000001</v>
      </c>
      <c r="E1914" s="3" t="str">
        <f t="shared" si="117"/>
        <v>Low</v>
      </c>
      <c r="F1914" s="3">
        <f t="shared" si="118"/>
        <v>437.88000000000005</v>
      </c>
      <c r="G1914" s="4">
        <v>38303</v>
      </c>
      <c r="H1914" s="3" t="s">
        <v>25</v>
      </c>
      <c r="I1914" s="3" t="str">
        <f t="shared" si="116"/>
        <v>Yes</v>
      </c>
      <c r="J1914" s="3" t="s">
        <v>686</v>
      </c>
      <c r="K1914" s="3">
        <v>2004</v>
      </c>
      <c r="L1914" s="3" t="str">
        <f t="shared" si="119"/>
        <v>Nov-2004</v>
      </c>
      <c r="M1914" s="3" t="s">
        <v>550</v>
      </c>
      <c r="N1914" s="3" t="s">
        <v>552</v>
      </c>
      <c r="O1914" s="3" t="s">
        <v>258</v>
      </c>
      <c r="P1914" s="3" t="s">
        <v>42</v>
      </c>
      <c r="Q1914" s="3" t="s">
        <v>36</v>
      </c>
    </row>
    <row r="1915" spans="1:17" x14ac:dyDescent="0.25">
      <c r="A1915" s="5">
        <v>10339</v>
      </c>
      <c r="B1915" s="5">
        <v>29</v>
      </c>
      <c r="C1915" s="5">
        <v>99.69</v>
      </c>
      <c r="D1915" s="5">
        <v>2891.0099999999998</v>
      </c>
      <c r="E1915" s="5" t="str">
        <f t="shared" si="117"/>
        <v>Medium</v>
      </c>
      <c r="F1915" s="5">
        <f t="shared" si="118"/>
        <v>867.30299999999988</v>
      </c>
      <c r="G1915" s="6">
        <v>38314</v>
      </c>
      <c r="H1915" s="5" t="s">
        <v>25</v>
      </c>
      <c r="I1915" s="5" t="str">
        <f t="shared" si="116"/>
        <v>Yes</v>
      </c>
      <c r="J1915" s="5" t="s">
        <v>686</v>
      </c>
      <c r="K1915" s="5">
        <v>2004</v>
      </c>
      <c r="L1915" s="5" t="str">
        <f t="shared" si="119"/>
        <v>Nov-2004</v>
      </c>
      <c r="M1915" s="5" t="s">
        <v>550</v>
      </c>
      <c r="N1915" s="5" t="s">
        <v>246</v>
      </c>
      <c r="O1915" s="5" t="s">
        <v>200</v>
      </c>
      <c r="P1915" s="5" t="s">
        <v>675</v>
      </c>
      <c r="Q1915" s="5" t="s">
        <v>36</v>
      </c>
    </row>
    <row r="1916" spans="1:17" x14ac:dyDescent="0.25">
      <c r="A1916" s="3">
        <v>10351</v>
      </c>
      <c r="B1916" s="3">
        <v>38</v>
      </c>
      <c r="C1916" s="3">
        <v>68.38</v>
      </c>
      <c r="D1916" s="3">
        <v>2598.4399999999996</v>
      </c>
      <c r="E1916" s="3" t="str">
        <f t="shared" si="117"/>
        <v>Medium</v>
      </c>
      <c r="F1916" s="3">
        <f t="shared" si="118"/>
        <v>779.53199999999981</v>
      </c>
      <c r="G1916" s="4">
        <v>38324</v>
      </c>
      <c r="H1916" s="3" t="s">
        <v>25</v>
      </c>
      <c r="I1916" s="3" t="str">
        <f t="shared" si="116"/>
        <v>Yes</v>
      </c>
      <c r="J1916" s="3" t="s">
        <v>687</v>
      </c>
      <c r="K1916" s="3">
        <v>2004</v>
      </c>
      <c r="L1916" s="3" t="str">
        <f t="shared" si="119"/>
        <v>Dec-2004</v>
      </c>
      <c r="M1916" s="3" t="s">
        <v>550</v>
      </c>
      <c r="N1916" s="3" t="s">
        <v>329</v>
      </c>
      <c r="O1916" s="3" t="s">
        <v>170</v>
      </c>
      <c r="P1916" s="3" t="s">
        <v>42</v>
      </c>
      <c r="Q1916" s="3" t="s">
        <v>36</v>
      </c>
    </row>
    <row r="1917" spans="1:17" x14ac:dyDescent="0.25">
      <c r="A1917" s="5">
        <v>10361</v>
      </c>
      <c r="B1917" s="5">
        <v>34</v>
      </c>
      <c r="C1917" s="5">
        <v>100</v>
      </c>
      <c r="D1917" s="5">
        <v>3400</v>
      </c>
      <c r="E1917" s="5" t="str">
        <f t="shared" si="117"/>
        <v>Medium</v>
      </c>
      <c r="F1917" s="5">
        <f t="shared" si="118"/>
        <v>1020</v>
      </c>
      <c r="G1917" s="6">
        <v>38338</v>
      </c>
      <c r="H1917" s="5" t="s">
        <v>25</v>
      </c>
      <c r="I1917" s="5" t="str">
        <f t="shared" si="116"/>
        <v>Yes</v>
      </c>
      <c r="J1917" s="5" t="s">
        <v>687</v>
      </c>
      <c r="K1917" s="5">
        <v>2004</v>
      </c>
      <c r="L1917" s="5" t="str">
        <f t="shared" si="119"/>
        <v>Dec-2004</v>
      </c>
      <c r="M1917" s="5" t="s">
        <v>550</v>
      </c>
      <c r="N1917" s="5" t="s">
        <v>152</v>
      </c>
      <c r="O1917" s="5" t="s">
        <v>95</v>
      </c>
      <c r="P1917" s="5" t="s">
        <v>96</v>
      </c>
      <c r="Q1917" s="5" t="s">
        <v>51</v>
      </c>
    </row>
    <row r="1918" spans="1:17" x14ac:dyDescent="0.25">
      <c r="A1918" s="3">
        <v>10373</v>
      </c>
      <c r="B1918" s="3">
        <v>46</v>
      </c>
      <c r="C1918" s="3">
        <v>66</v>
      </c>
      <c r="D1918" s="3">
        <v>3036</v>
      </c>
      <c r="E1918" s="3" t="str">
        <f t="shared" si="117"/>
        <v>Medium</v>
      </c>
      <c r="F1918" s="3">
        <f t="shared" si="118"/>
        <v>910.8</v>
      </c>
      <c r="G1918" s="4">
        <v>38383</v>
      </c>
      <c r="H1918" s="3" t="s">
        <v>25</v>
      </c>
      <c r="I1918" s="3" t="str">
        <f t="shared" si="116"/>
        <v>Yes</v>
      </c>
      <c r="J1918" s="3" t="s">
        <v>549</v>
      </c>
      <c r="K1918" s="3">
        <v>2005</v>
      </c>
      <c r="L1918" s="3" t="str">
        <f t="shared" si="119"/>
        <v>Jan-2005</v>
      </c>
      <c r="M1918" s="3" t="s">
        <v>550</v>
      </c>
      <c r="N1918" s="3" t="s">
        <v>391</v>
      </c>
      <c r="O1918" s="3" t="s">
        <v>130</v>
      </c>
      <c r="P1918" s="3" t="s">
        <v>42</v>
      </c>
      <c r="Q1918" s="3" t="s">
        <v>51</v>
      </c>
    </row>
    <row r="1919" spans="1:17" x14ac:dyDescent="0.25">
      <c r="A1919" s="5">
        <v>10386</v>
      </c>
      <c r="B1919" s="5">
        <v>35</v>
      </c>
      <c r="C1919" s="5">
        <v>63.76</v>
      </c>
      <c r="D1919" s="5">
        <v>2231.6</v>
      </c>
      <c r="E1919" s="5" t="str">
        <f t="shared" si="117"/>
        <v>Medium</v>
      </c>
      <c r="F1919" s="5">
        <f t="shared" si="118"/>
        <v>669.4799999999999</v>
      </c>
      <c r="G1919" s="6">
        <v>38412</v>
      </c>
      <c r="H1919" s="5" t="s">
        <v>408</v>
      </c>
      <c r="I1919" s="5" t="str">
        <f t="shared" si="116"/>
        <v>No</v>
      </c>
      <c r="J1919" s="5" t="s">
        <v>691</v>
      </c>
      <c r="K1919" s="5">
        <v>2005</v>
      </c>
      <c r="L1919" s="5" t="str">
        <f t="shared" si="119"/>
        <v>Mar-2005</v>
      </c>
      <c r="M1919" s="5" t="s">
        <v>550</v>
      </c>
      <c r="N1919" s="5" t="s">
        <v>174</v>
      </c>
      <c r="O1919" s="5" t="s">
        <v>178</v>
      </c>
      <c r="P1919" s="5" t="s">
        <v>42</v>
      </c>
      <c r="Q1919" s="5" t="s">
        <v>36</v>
      </c>
    </row>
    <row r="1920" spans="1:17" x14ac:dyDescent="0.25">
      <c r="A1920" s="3">
        <v>10398</v>
      </c>
      <c r="B1920" s="3">
        <v>34</v>
      </c>
      <c r="C1920" s="3">
        <v>71.67</v>
      </c>
      <c r="D1920" s="3">
        <v>2436.7800000000002</v>
      </c>
      <c r="E1920" s="3" t="str">
        <f t="shared" si="117"/>
        <v>Medium</v>
      </c>
      <c r="F1920" s="3">
        <f t="shared" si="118"/>
        <v>731.03399999999999</v>
      </c>
      <c r="G1920" s="4">
        <v>38441</v>
      </c>
      <c r="H1920" s="3" t="s">
        <v>25</v>
      </c>
      <c r="I1920" s="3" t="str">
        <f t="shared" si="116"/>
        <v>Yes</v>
      </c>
      <c r="J1920" s="3" t="s">
        <v>691</v>
      </c>
      <c r="K1920" s="3">
        <v>2005</v>
      </c>
      <c r="L1920" s="3" t="str">
        <f t="shared" si="119"/>
        <v>Mar-2005</v>
      </c>
      <c r="M1920" s="3" t="s">
        <v>550</v>
      </c>
      <c r="N1920" s="3" t="s">
        <v>37</v>
      </c>
      <c r="O1920" s="3" t="s">
        <v>41</v>
      </c>
      <c r="P1920" s="3" t="s">
        <v>42</v>
      </c>
      <c r="Q1920" s="3" t="s">
        <v>36</v>
      </c>
    </row>
    <row r="1921" spans="1:17" x14ac:dyDescent="0.25">
      <c r="A1921" s="5">
        <v>10400</v>
      </c>
      <c r="B1921" s="5">
        <v>38</v>
      </c>
      <c r="C1921" s="5">
        <v>57.2</v>
      </c>
      <c r="D1921" s="5">
        <v>2173.6</v>
      </c>
      <c r="E1921" s="5" t="str">
        <f t="shared" si="117"/>
        <v>Medium</v>
      </c>
      <c r="F1921" s="5">
        <f t="shared" si="118"/>
        <v>652.07999999999993</v>
      </c>
      <c r="G1921" s="6">
        <v>38443</v>
      </c>
      <c r="H1921" s="5" t="s">
        <v>25</v>
      </c>
      <c r="I1921" s="5" t="str">
        <f t="shared" si="116"/>
        <v>Yes</v>
      </c>
      <c r="J1921" s="5" t="s">
        <v>688</v>
      </c>
      <c r="K1921" s="5">
        <v>2005</v>
      </c>
      <c r="L1921" s="5" t="str">
        <f t="shared" si="119"/>
        <v>Apr-2005</v>
      </c>
      <c r="M1921" s="5" t="s">
        <v>550</v>
      </c>
      <c r="N1921" s="5" t="s">
        <v>397</v>
      </c>
      <c r="O1921" s="5" t="s">
        <v>32</v>
      </c>
      <c r="P1921" s="5" t="s">
        <v>33</v>
      </c>
      <c r="Q1921" s="5" t="s">
        <v>36</v>
      </c>
    </row>
    <row r="1922" spans="1:17" x14ac:dyDescent="0.25">
      <c r="A1922" s="3">
        <v>10415</v>
      </c>
      <c r="B1922" s="3">
        <v>18</v>
      </c>
      <c r="C1922" s="3">
        <v>69.7</v>
      </c>
      <c r="D1922" s="3">
        <v>1254.6000000000001</v>
      </c>
      <c r="E1922" s="3" t="str">
        <f t="shared" si="117"/>
        <v>Low</v>
      </c>
      <c r="F1922" s="3">
        <f t="shared" si="118"/>
        <v>376.38000000000005</v>
      </c>
      <c r="G1922" s="4">
        <v>38481</v>
      </c>
      <c r="H1922" s="3" t="s">
        <v>173</v>
      </c>
      <c r="I1922" s="3" t="str">
        <f t="shared" ref="I1922:I1985" si="120">IF(H1922="Shipped","Yes","No")</f>
        <v>No</v>
      </c>
      <c r="J1922" s="3" t="s">
        <v>682</v>
      </c>
      <c r="K1922" s="3">
        <v>2005</v>
      </c>
      <c r="L1922" s="3" t="str">
        <f t="shared" si="119"/>
        <v>May-2005</v>
      </c>
      <c r="M1922" s="3" t="s">
        <v>550</v>
      </c>
      <c r="N1922" s="3" t="s">
        <v>558</v>
      </c>
      <c r="O1922" s="3" t="s">
        <v>95</v>
      </c>
      <c r="P1922" s="3" t="s">
        <v>96</v>
      </c>
      <c r="Q1922" s="3" t="s">
        <v>36</v>
      </c>
    </row>
    <row r="1923" spans="1:17" x14ac:dyDescent="0.25">
      <c r="A1923" s="5">
        <v>10110</v>
      </c>
      <c r="B1923" s="5">
        <v>37</v>
      </c>
      <c r="C1923" s="5">
        <v>100</v>
      </c>
      <c r="D1923" s="5">
        <v>3700</v>
      </c>
      <c r="E1923" s="5" t="str">
        <f t="shared" ref="E1923:E1986" si="121">IF(D1923&gt;=5000,"High",IF(D1923&gt;=2000,"Medium","Low"))</f>
        <v>Medium</v>
      </c>
      <c r="F1923" s="5">
        <f t="shared" ref="F1923:F1986" si="122">(D1923*0.3)</f>
        <v>1110</v>
      </c>
      <c r="G1923" s="6">
        <v>37698</v>
      </c>
      <c r="H1923" s="5" t="s">
        <v>25</v>
      </c>
      <c r="I1923" s="5" t="str">
        <f t="shared" si="120"/>
        <v>Yes</v>
      </c>
      <c r="J1923" s="5" t="s">
        <v>691</v>
      </c>
      <c r="K1923" s="5">
        <v>2003</v>
      </c>
      <c r="L1923" s="5" t="str">
        <f t="shared" ref="L1923:L1986" si="123">TEXT(G:G,"MMM-YYYY")</f>
        <v>Mar-2003</v>
      </c>
      <c r="M1923" s="5" t="s">
        <v>181</v>
      </c>
      <c r="N1923" s="5" t="s">
        <v>492</v>
      </c>
      <c r="O1923" s="5" t="s">
        <v>170</v>
      </c>
      <c r="P1923" s="5" t="s">
        <v>42</v>
      </c>
      <c r="Q1923" s="5" t="s">
        <v>51</v>
      </c>
    </row>
    <row r="1924" spans="1:17" x14ac:dyDescent="0.25">
      <c r="A1924" s="3">
        <v>10124</v>
      </c>
      <c r="B1924" s="3">
        <v>43</v>
      </c>
      <c r="C1924" s="3">
        <v>100</v>
      </c>
      <c r="D1924" s="3">
        <v>4300</v>
      </c>
      <c r="E1924" s="3" t="str">
        <f t="shared" si="121"/>
        <v>Medium</v>
      </c>
      <c r="F1924" s="3">
        <f t="shared" si="122"/>
        <v>1290</v>
      </c>
      <c r="G1924" s="4">
        <v>37762</v>
      </c>
      <c r="H1924" s="3" t="s">
        <v>25</v>
      </c>
      <c r="I1924" s="3" t="str">
        <f t="shared" si="120"/>
        <v>Yes</v>
      </c>
      <c r="J1924" s="3" t="s">
        <v>682</v>
      </c>
      <c r="K1924" s="3">
        <v>2003</v>
      </c>
      <c r="L1924" s="3" t="str">
        <f t="shared" si="123"/>
        <v>May-2003</v>
      </c>
      <c r="M1924" s="3" t="s">
        <v>181</v>
      </c>
      <c r="N1924" s="3" t="s">
        <v>539</v>
      </c>
      <c r="O1924" s="3" t="s">
        <v>32</v>
      </c>
      <c r="P1924" s="3" t="s">
        <v>33</v>
      </c>
      <c r="Q1924" s="3" t="s">
        <v>51</v>
      </c>
    </row>
    <row r="1925" spans="1:17" x14ac:dyDescent="0.25">
      <c r="A1925" s="5">
        <v>10148</v>
      </c>
      <c r="B1925" s="5">
        <v>27</v>
      </c>
      <c r="C1925" s="5">
        <v>100</v>
      </c>
      <c r="D1925" s="5">
        <v>2700</v>
      </c>
      <c r="E1925" s="5" t="str">
        <f t="shared" si="121"/>
        <v>Medium</v>
      </c>
      <c r="F1925" s="5">
        <f t="shared" si="122"/>
        <v>810</v>
      </c>
      <c r="G1925" s="6">
        <v>37875</v>
      </c>
      <c r="H1925" s="5" t="s">
        <v>25</v>
      </c>
      <c r="I1925" s="5" t="str">
        <f t="shared" si="120"/>
        <v>Yes</v>
      </c>
      <c r="J1925" s="5" t="s">
        <v>690</v>
      </c>
      <c r="K1925" s="5">
        <v>2003</v>
      </c>
      <c r="L1925" s="5" t="str">
        <f t="shared" si="123"/>
        <v>Sep-2003</v>
      </c>
      <c r="M1925" s="5" t="s">
        <v>181</v>
      </c>
      <c r="N1925" s="5" t="s">
        <v>285</v>
      </c>
      <c r="O1925" s="5" t="s">
        <v>95</v>
      </c>
      <c r="P1925" s="5" t="s">
        <v>96</v>
      </c>
      <c r="Q1925" s="5" t="s">
        <v>51</v>
      </c>
    </row>
    <row r="1926" spans="1:17" x14ac:dyDescent="0.25">
      <c r="A1926" s="3">
        <v>10161</v>
      </c>
      <c r="B1926" s="3">
        <v>30</v>
      </c>
      <c r="C1926" s="3">
        <v>100</v>
      </c>
      <c r="D1926" s="3">
        <v>3000</v>
      </c>
      <c r="E1926" s="3" t="str">
        <f t="shared" si="121"/>
        <v>Medium</v>
      </c>
      <c r="F1926" s="3">
        <f t="shared" si="122"/>
        <v>900</v>
      </c>
      <c r="G1926" s="4">
        <v>37911</v>
      </c>
      <c r="H1926" s="3" t="s">
        <v>25</v>
      </c>
      <c r="I1926" s="3" t="str">
        <f t="shared" si="120"/>
        <v>Yes</v>
      </c>
      <c r="J1926" s="3" t="s">
        <v>685</v>
      </c>
      <c r="K1926" s="3">
        <v>2003</v>
      </c>
      <c r="L1926" s="3" t="str">
        <f t="shared" si="123"/>
        <v>Oct-2003</v>
      </c>
      <c r="M1926" s="3" t="s">
        <v>181</v>
      </c>
      <c r="N1926" s="3" t="s">
        <v>498</v>
      </c>
      <c r="O1926" s="3" t="s">
        <v>326</v>
      </c>
      <c r="P1926" s="3" t="s">
        <v>42</v>
      </c>
      <c r="Q1926" s="3" t="s">
        <v>51</v>
      </c>
    </row>
    <row r="1927" spans="1:17" x14ac:dyDescent="0.25">
      <c r="A1927" s="5">
        <v>10172</v>
      </c>
      <c r="B1927" s="5">
        <v>22</v>
      </c>
      <c r="C1927" s="5">
        <v>98.51</v>
      </c>
      <c r="D1927" s="5">
        <v>2167.2200000000003</v>
      </c>
      <c r="E1927" s="5" t="str">
        <f t="shared" si="121"/>
        <v>Medium</v>
      </c>
      <c r="F1927" s="5">
        <f t="shared" si="122"/>
        <v>650.16600000000005</v>
      </c>
      <c r="G1927" s="6">
        <v>37930</v>
      </c>
      <c r="H1927" s="5" t="s">
        <v>25</v>
      </c>
      <c r="I1927" s="5" t="str">
        <f t="shared" si="120"/>
        <v>Yes</v>
      </c>
      <c r="J1927" s="5" t="s">
        <v>686</v>
      </c>
      <c r="K1927" s="5">
        <v>2003</v>
      </c>
      <c r="L1927" s="5" t="str">
        <f t="shared" si="123"/>
        <v>Nov-2003</v>
      </c>
      <c r="M1927" s="5" t="s">
        <v>181</v>
      </c>
      <c r="N1927" s="5" t="s">
        <v>109</v>
      </c>
      <c r="O1927" s="5" t="s">
        <v>32</v>
      </c>
      <c r="P1927" s="5" t="s">
        <v>33</v>
      </c>
      <c r="Q1927" s="5" t="s">
        <v>36</v>
      </c>
    </row>
    <row r="1928" spans="1:17" x14ac:dyDescent="0.25">
      <c r="A1928" s="3">
        <v>10182</v>
      </c>
      <c r="B1928" s="3">
        <v>49</v>
      </c>
      <c r="C1928" s="3">
        <v>100</v>
      </c>
      <c r="D1928" s="3">
        <v>4900</v>
      </c>
      <c r="E1928" s="3" t="str">
        <f t="shared" si="121"/>
        <v>Medium</v>
      </c>
      <c r="F1928" s="3">
        <f t="shared" si="122"/>
        <v>1470</v>
      </c>
      <c r="G1928" s="4">
        <v>37937</v>
      </c>
      <c r="H1928" s="3" t="s">
        <v>25</v>
      </c>
      <c r="I1928" s="3" t="str">
        <f t="shared" si="120"/>
        <v>Yes</v>
      </c>
      <c r="J1928" s="3" t="s">
        <v>686</v>
      </c>
      <c r="K1928" s="3">
        <v>2003</v>
      </c>
      <c r="L1928" s="3" t="str">
        <f t="shared" si="123"/>
        <v>Nov-2003</v>
      </c>
      <c r="M1928" s="3" t="s">
        <v>181</v>
      </c>
      <c r="N1928" s="3" t="s">
        <v>272</v>
      </c>
      <c r="O1928" s="3" t="s">
        <v>32</v>
      </c>
      <c r="P1928" s="3" t="s">
        <v>33</v>
      </c>
      <c r="Q1928" s="3" t="s">
        <v>51</v>
      </c>
    </row>
    <row r="1929" spans="1:17" x14ac:dyDescent="0.25">
      <c r="A1929" s="5">
        <v>10192</v>
      </c>
      <c r="B1929" s="5">
        <v>46</v>
      </c>
      <c r="C1929" s="5">
        <v>100</v>
      </c>
      <c r="D1929" s="5">
        <v>4600</v>
      </c>
      <c r="E1929" s="5" t="str">
        <f t="shared" si="121"/>
        <v>Medium</v>
      </c>
      <c r="F1929" s="5">
        <f t="shared" si="122"/>
        <v>1380</v>
      </c>
      <c r="G1929" s="6">
        <v>37945</v>
      </c>
      <c r="H1929" s="5" t="s">
        <v>25</v>
      </c>
      <c r="I1929" s="5" t="str">
        <f t="shared" si="120"/>
        <v>Yes</v>
      </c>
      <c r="J1929" s="5" t="s">
        <v>686</v>
      </c>
      <c r="K1929" s="5">
        <v>2003</v>
      </c>
      <c r="L1929" s="5" t="str">
        <f t="shared" si="123"/>
        <v>Nov-2003</v>
      </c>
      <c r="M1929" s="5" t="s">
        <v>181</v>
      </c>
      <c r="N1929" s="5" t="s">
        <v>277</v>
      </c>
      <c r="O1929" s="5" t="s">
        <v>32</v>
      </c>
      <c r="P1929" s="5" t="s">
        <v>33</v>
      </c>
      <c r="Q1929" s="5" t="s">
        <v>51</v>
      </c>
    </row>
    <row r="1930" spans="1:17" x14ac:dyDescent="0.25">
      <c r="A1930" s="3">
        <v>10204</v>
      </c>
      <c r="B1930" s="3">
        <v>48</v>
      </c>
      <c r="C1930" s="3">
        <v>91.02</v>
      </c>
      <c r="D1930" s="3">
        <v>4368.96</v>
      </c>
      <c r="E1930" s="3" t="str">
        <f t="shared" si="121"/>
        <v>Medium</v>
      </c>
      <c r="F1930" s="3">
        <f t="shared" si="122"/>
        <v>1310.6879999999999</v>
      </c>
      <c r="G1930" s="4">
        <v>37957</v>
      </c>
      <c r="H1930" s="3" t="s">
        <v>25</v>
      </c>
      <c r="I1930" s="3" t="str">
        <f t="shared" si="120"/>
        <v>Yes</v>
      </c>
      <c r="J1930" s="3" t="s">
        <v>687</v>
      </c>
      <c r="K1930" s="3">
        <v>2003</v>
      </c>
      <c r="L1930" s="3" t="str">
        <f t="shared" si="123"/>
        <v>Dec-2003</v>
      </c>
      <c r="M1930" s="3" t="s">
        <v>181</v>
      </c>
      <c r="N1930" s="3" t="s">
        <v>475</v>
      </c>
      <c r="O1930" s="3" t="s">
        <v>32</v>
      </c>
      <c r="P1930" s="3" t="s">
        <v>33</v>
      </c>
      <c r="Q1930" s="3" t="s">
        <v>51</v>
      </c>
    </row>
    <row r="1931" spans="1:17" x14ac:dyDescent="0.25">
      <c r="A1931" s="5">
        <v>10212</v>
      </c>
      <c r="B1931" s="5">
        <v>46</v>
      </c>
      <c r="C1931" s="5">
        <v>87.81</v>
      </c>
      <c r="D1931" s="5">
        <v>4039.26</v>
      </c>
      <c r="E1931" s="5" t="str">
        <f t="shared" si="121"/>
        <v>Medium</v>
      </c>
      <c r="F1931" s="5">
        <f t="shared" si="122"/>
        <v>1211.778</v>
      </c>
      <c r="G1931" s="6">
        <v>38002</v>
      </c>
      <c r="H1931" s="5" t="s">
        <v>25</v>
      </c>
      <c r="I1931" s="5" t="str">
        <f t="shared" si="120"/>
        <v>Yes</v>
      </c>
      <c r="J1931" s="5" t="s">
        <v>549</v>
      </c>
      <c r="K1931" s="5">
        <v>2004</v>
      </c>
      <c r="L1931" s="5" t="str">
        <f t="shared" si="123"/>
        <v>Jan-2004</v>
      </c>
      <c r="M1931" s="5" t="s">
        <v>181</v>
      </c>
      <c r="N1931" s="5" t="s">
        <v>174</v>
      </c>
      <c r="O1931" s="5" t="s">
        <v>178</v>
      </c>
      <c r="P1931" s="5" t="s">
        <v>42</v>
      </c>
      <c r="Q1931" s="5" t="s">
        <v>51</v>
      </c>
    </row>
    <row r="1932" spans="1:17" x14ac:dyDescent="0.25">
      <c r="A1932" s="3">
        <v>10226</v>
      </c>
      <c r="B1932" s="3">
        <v>48</v>
      </c>
      <c r="C1932" s="3">
        <v>92.09</v>
      </c>
      <c r="D1932" s="3">
        <v>4420.32</v>
      </c>
      <c r="E1932" s="3" t="str">
        <f t="shared" si="121"/>
        <v>Medium</v>
      </c>
      <c r="F1932" s="3">
        <f t="shared" si="122"/>
        <v>1326.0959999999998</v>
      </c>
      <c r="G1932" s="4">
        <v>38043</v>
      </c>
      <c r="H1932" s="3" t="s">
        <v>25</v>
      </c>
      <c r="I1932" s="3" t="str">
        <f t="shared" si="120"/>
        <v>Yes</v>
      </c>
      <c r="J1932" s="3" t="s">
        <v>681</v>
      </c>
      <c r="K1932" s="3">
        <v>2004</v>
      </c>
      <c r="L1932" s="3" t="str">
        <f t="shared" si="123"/>
        <v>Feb-2004</v>
      </c>
      <c r="M1932" s="3" t="s">
        <v>181</v>
      </c>
      <c r="N1932" s="3" t="s">
        <v>362</v>
      </c>
      <c r="O1932" s="3" t="s">
        <v>32</v>
      </c>
      <c r="P1932" s="3" t="s">
        <v>33</v>
      </c>
      <c r="Q1932" s="3" t="s">
        <v>51</v>
      </c>
    </row>
    <row r="1933" spans="1:17" x14ac:dyDescent="0.25">
      <c r="A1933" s="5">
        <v>10241</v>
      </c>
      <c r="B1933" s="5">
        <v>27</v>
      </c>
      <c r="C1933" s="5">
        <v>86.73</v>
      </c>
      <c r="D1933" s="5">
        <v>2341.71</v>
      </c>
      <c r="E1933" s="5" t="str">
        <f t="shared" si="121"/>
        <v>Medium</v>
      </c>
      <c r="F1933" s="5">
        <f t="shared" si="122"/>
        <v>702.51300000000003</v>
      </c>
      <c r="G1933" s="6">
        <v>38090</v>
      </c>
      <c r="H1933" s="5" t="s">
        <v>25</v>
      </c>
      <c r="I1933" s="5" t="str">
        <f t="shared" si="120"/>
        <v>Yes</v>
      </c>
      <c r="J1933" s="5" t="s">
        <v>688</v>
      </c>
      <c r="K1933" s="5">
        <v>2004</v>
      </c>
      <c r="L1933" s="5" t="str">
        <f t="shared" si="123"/>
        <v>Apr-2004</v>
      </c>
      <c r="M1933" s="5" t="s">
        <v>181</v>
      </c>
      <c r="N1933" s="5" t="s">
        <v>531</v>
      </c>
      <c r="O1933" s="5" t="s">
        <v>41</v>
      </c>
      <c r="P1933" s="5" t="s">
        <v>42</v>
      </c>
      <c r="Q1933" s="5" t="s">
        <v>36</v>
      </c>
    </row>
    <row r="1934" spans="1:17" x14ac:dyDescent="0.25">
      <c r="A1934" s="3">
        <v>10267</v>
      </c>
      <c r="B1934" s="3">
        <v>43</v>
      </c>
      <c r="C1934" s="3">
        <v>100</v>
      </c>
      <c r="D1934" s="3">
        <v>4300</v>
      </c>
      <c r="E1934" s="3" t="str">
        <f t="shared" si="121"/>
        <v>Medium</v>
      </c>
      <c r="F1934" s="3">
        <f t="shared" si="122"/>
        <v>1290</v>
      </c>
      <c r="G1934" s="4">
        <v>38175</v>
      </c>
      <c r="H1934" s="3" t="s">
        <v>25</v>
      </c>
      <c r="I1934" s="3" t="str">
        <f t="shared" si="120"/>
        <v>Yes</v>
      </c>
      <c r="J1934" s="3" t="s">
        <v>683</v>
      </c>
      <c r="K1934" s="3">
        <v>2004</v>
      </c>
      <c r="L1934" s="3" t="str">
        <f t="shared" si="123"/>
        <v>Jul-2004</v>
      </c>
      <c r="M1934" s="3" t="s">
        <v>181</v>
      </c>
      <c r="N1934" s="3" t="s">
        <v>475</v>
      </c>
      <c r="O1934" s="3" t="s">
        <v>32</v>
      </c>
      <c r="P1934" s="3" t="s">
        <v>33</v>
      </c>
      <c r="Q1934" s="3" t="s">
        <v>51</v>
      </c>
    </row>
    <row r="1935" spans="1:17" x14ac:dyDescent="0.25">
      <c r="A1935" s="5">
        <v>10279</v>
      </c>
      <c r="B1935" s="5">
        <v>48</v>
      </c>
      <c r="C1935" s="5">
        <v>100</v>
      </c>
      <c r="D1935" s="5">
        <v>4800</v>
      </c>
      <c r="E1935" s="5" t="str">
        <f t="shared" si="121"/>
        <v>Medium</v>
      </c>
      <c r="F1935" s="5">
        <f t="shared" si="122"/>
        <v>1440</v>
      </c>
      <c r="G1935" s="6">
        <v>38208</v>
      </c>
      <c r="H1935" s="5" t="s">
        <v>25</v>
      </c>
      <c r="I1935" s="5" t="str">
        <f t="shared" si="120"/>
        <v>Yes</v>
      </c>
      <c r="J1935" s="5" t="s">
        <v>684</v>
      </c>
      <c r="K1935" s="5">
        <v>2004</v>
      </c>
      <c r="L1935" s="5" t="str">
        <f t="shared" si="123"/>
        <v>Aug-2004</v>
      </c>
      <c r="M1935" s="5" t="s">
        <v>181</v>
      </c>
      <c r="N1935" s="5" t="s">
        <v>174</v>
      </c>
      <c r="O1935" s="5" t="s">
        <v>178</v>
      </c>
      <c r="P1935" s="5" t="s">
        <v>42</v>
      </c>
      <c r="Q1935" s="5" t="s">
        <v>51</v>
      </c>
    </row>
    <row r="1936" spans="1:17" x14ac:dyDescent="0.25">
      <c r="A1936" s="3">
        <v>10288</v>
      </c>
      <c r="B1936" s="3">
        <v>41</v>
      </c>
      <c r="C1936" s="3">
        <v>100</v>
      </c>
      <c r="D1936" s="3">
        <v>4100</v>
      </c>
      <c r="E1936" s="3" t="str">
        <f t="shared" si="121"/>
        <v>Medium</v>
      </c>
      <c r="F1936" s="3">
        <f t="shared" si="122"/>
        <v>1230</v>
      </c>
      <c r="G1936" s="4">
        <v>38231</v>
      </c>
      <c r="H1936" s="3" t="s">
        <v>25</v>
      </c>
      <c r="I1936" s="3" t="str">
        <f t="shared" si="120"/>
        <v>Yes</v>
      </c>
      <c r="J1936" s="3" t="s">
        <v>690</v>
      </c>
      <c r="K1936" s="3">
        <v>2004</v>
      </c>
      <c r="L1936" s="3" t="str">
        <f t="shared" si="123"/>
        <v>Sep-2004</v>
      </c>
      <c r="M1936" s="3" t="s">
        <v>181</v>
      </c>
      <c r="N1936" s="3" t="s">
        <v>418</v>
      </c>
      <c r="O1936" s="3" t="s">
        <v>199</v>
      </c>
      <c r="P1936" s="3" t="s">
        <v>96</v>
      </c>
      <c r="Q1936" s="3" t="s">
        <v>51</v>
      </c>
    </row>
    <row r="1937" spans="1:17" x14ac:dyDescent="0.25">
      <c r="A1937" s="5">
        <v>10301</v>
      </c>
      <c r="B1937" s="5">
        <v>22</v>
      </c>
      <c r="C1937" s="5">
        <v>96.37</v>
      </c>
      <c r="D1937" s="5">
        <v>2120.1400000000003</v>
      </c>
      <c r="E1937" s="5" t="str">
        <f t="shared" si="121"/>
        <v>Medium</v>
      </c>
      <c r="F1937" s="5">
        <f t="shared" si="122"/>
        <v>636.04200000000003</v>
      </c>
      <c r="G1937" s="6">
        <v>37899</v>
      </c>
      <c r="H1937" s="5" t="s">
        <v>25</v>
      </c>
      <c r="I1937" s="5" t="str">
        <f t="shared" si="120"/>
        <v>Yes</v>
      </c>
      <c r="J1937" s="5" t="s">
        <v>685</v>
      </c>
      <c r="K1937" s="5">
        <v>2003</v>
      </c>
      <c r="L1937" s="5" t="str">
        <f t="shared" si="123"/>
        <v>Oct-2003</v>
      </c>
      <c r="M1937" s="5" t="s">
        <v>181</v>
      </c>
      <c r="N1937" s="5" t="s">
        <v>543</v>
      </c>
      <c r="O1937" s="5" t="s">
        <v>78</v>
      </c>
      <c r="P1937" s="5" t="s">
        <v>42</v>
      </c>
      <c r="Q1937" s="5" t="s">
        <v>36</v>
      </c>
    </row>
    <row r="1938" spans="1:17" x14ac:dyDescent="0.25">
      <c r="A1938" s="3">
        <v>10311</v>
      </c>
      <c r="B1938" s="3">
        <v>46</v>
      </c>
      <c r="C1938" s="3">
        <v>92.09</v>
      </c>
      <c r="D1938" s="3">
        <v>4236.1400000000003</v>
      </c>
      <c r="E1938" s="3" t="str">
        <f t="shared" si="121"/>
        <v>Medium</v>
      </c>
      <c r="F1938" s="3">
        <f t="shared" si="122"/>
        <v>1270.8420000000001</v>
      </c>
      <c r="G1938" s="4">
        <v>38276</v>
      </c>
      <c r="H1938" s="3" t="s">
        <v>25</v>
      </c>
      <c r="I1938" s="3" t="str">
        <f t="shared" si="120"/>
        <v>Yes</v>
      </c>
      <c r="J1938" s="3" t="s">
        <v>685</v>
      </c>
      <c r="K1938" s="3">
        <v>2004</v>
      </c>
      <c r="L1938" s="3" t="str">
        <f t="shared" si="123"/>
        <v>Oct-2004</v>
      </c>
      <c r="M1938" s="3" t="s">
        <v>181</v>
      </c>
      <c r="N1938" s="3" t="s">
        <v>174</v>
      </c>
      <c r="O1938" s="3" t="s">
        <v>178</v>
      </c>
      <c r="P1938" s="3" t="s">
        <v>42</v>
      </c>
      <c r="Q1938" s="3" t="s">
        <v>51</v>
      </c>
    </row>
    <row r="1939" spans="1:17" x14ac:dyDescent="0.25">
      <c r="A1939" s="5">
        <v>10321</v>
      </c>
      <c r="B1939" s="5">
        <v>21</v>
      </c>
      <c r="C1939" s="5">
        <v>89.95</v>
      </c>
      <c r="D1939" s="5">
        <v>1888.95</v>
      </c>
      <c r="E1939" s="5" t="str">
        <f t="shared" si="121"/>
        <v>Low</v>
      </c>
      <c r="F1939" s="5">
        <f t="shared" si="122"/>
        <v>566.68499999999995</v>
      </c>
      <c r="G1939" s="6">
        <v>38295</v>
      </c>
      <c r="H1939" s="5" t="s">
        <v>25</v>
      </c>
      <c r="I1939" s="5" t="str">
        <f t="shared" si="120"/>
        <v>Yes</v>
      </c>
      <c r="J1939" s="5" t="s">
        <v>686</v>
      </c>
      <c r="K1939" s="5">
        <v>2004</v>
      </c>
      <c r="L1939" s="5" t="str">
        <f t="shared" si="123"/>
        <v>Nov-2004</v>
      </c>
      <c r="M1939" s="5" t="s">
        <v>181</v>
      </c>
      <c r="N1939" s="5" t="s">
        <v>160</v>
      </c>
      <c r="O1939" s="5" t="s">
        <v>32</v>
      </c>
      <c r="P1939" s="5" t="s">
        <v>33</v>
      </c>
      <c r="Q1939" s="5" t="s">
        <v>36</v>
      </c>
    </row>
    <row r="1940" spans="1:17" x14ac:dyDescent="0.25">
      <c r="A1940" s="3">
        <v>10332</v>
      </c>
      <c r="B1940" s="3">
        <v>31</v>
      </c>
      <c r="C1940" s="3">
        <v>37.18</v>
      </c>
      <c r="D1940" s="3">
        <v>1152.58</v>
      </c>
      <c r="E1940" s="3" t="str">
        <f t="shared" si="121"/>
        <v>Low</v>
      </c>
      <c r="F1940" s="3">
        <f t="shared" si="122"/>
        <v>345.77399999999994</v>
      </c>
      <c r="G1940" s="4">
        <v>38308</v>
      </c>
      <c r="H1940" s="3" t="s">
        <v>25</v>
      </c>
      <c r="I1940" s="3" t="str">
        <f t="shared" si="120"/>
        <v>Yes</v>
      </c>
      <c r="J1940" s="3" t="s">
        <v>686</v>
      </c>
      <c r="K1940" s="3">
        <v>2004</v>
      </c>
      <c r="L1940" s="3" t="str">
        <f t="shared" si="123"/>
        <v>Nov-2004</v>
      </c>
      <c r="M1940" s="3" t="s">
        <v>181</v>
      </c>
      <c r="N1940" s="3" t="s">
        <v>492</v>
      </c>
      <c r="O1940" s="3" t="s">
        <v>170</v>
      </c>
      <c r="P1940" s="3" t="s">
        <v>42</v>
      </c>
      <c r="Q1940" s="3" t="s">
        <v>36</v>
      </c>
    </row>
    <row r="1941" spans="1:17" x14ac:dyDescent="0.25">
      <c r="A1941" s="5">
        <v>10346</v>
      </c>
      <c r="B1941" s="5">
        <v>26</v>
      </c>
      <c r="C1941" s="5">
        <v>95.88</v>
      </c>
      <c r="D1941" s="5">
        <v>2492.88</v>
      </c>
      <c r="E1941" s="5" t="str">
        <f t="shared" si="121"/>
        <v>Medium</v>
      </c>
      <c r="F1941" s="5">
        <f t="shared" si="122"/>
        <v>747.86400000000003</v>
      </c>
      <c r="G1941" s="6">
        <v>38320</v>
      </c>
      <c r="H1941" s="5" t="s">
        <v>25</v>
      </c>
      <c r="I1941" s="5" t="str">
        <f t="shared" si="120"/>
        <v>Yes</v>
      </c>
      <c r="J1941" s="5" t="s">
        <v>686</v>
      </c>
      <c r="K1941" s="5">
        <v>2004</v>
      </c>
      <c r="L1941" s="5" t="str">
        <f t="shared" si="123"/>
        <v>Nov-2004</v>
      </c>
      <c r="M1941" s="5" t="s">
        <v>181</v>
      </c>
      <c r="N1941" s="5" t="s">
        <v>539</v>
      </c>
      <c r="O1941" s="5" t="s">
        <v>32</v>
      </c>
      <c r="P1941" s="5" t="s">
        <v>33</v>
      </c>
      <c r="Q1941" s="5" t="s">
        <v>36</v>
      </c>
    </row>
    <row r="1942" spans="1:17" x14ac:dyDescent="0.25">
      <c r="A1942" s="3">
        <v>10368</v>
      </c>
      <c r="B1942" s="3">
        <v>20</v>
      </c>
      <c r="C1942" s="3">
        <v>99.58</v>
      </c>
      <c r="D1942" s="3">
        <v>1991.6</v>
      </c>
      <c r="E1942" s="3" t="str">
        <f t="shared" si="121"/>
        <v>Low</v>
      </c>
      <c r="F1942" s="3">
        <f t="shared" si="122"/>
        <v>597.4799999999999</v>
      </c>
      <c r="G1942" s="4">
        <v>38371</v>
      </c>
      <c r="H1942" s="3" t="s">
        <v>25</v>
      </c>
      <c r="I1942" s="3" t="str">
        <f t="shared" si="120"/>
        <v>Yes</v>
      </c>
      <c r="J1942" s="3" t="s">
        <v>549</v>
      </c>
      <c r="K1942" s="3">
        <v>2005</v>
      </c>
      <c r="L1942" s="3" t="str">
        <f t="shared" si="123"/>
        <v>Jan-2005</v>
      </c>
      <c r="M1942" s="3" t="s">
        <v>181</v>
      </c>
      <c r="N1942" s="3" t="s">
        <v>272</v>
      </c>
      <c r="O1942" s="3" t="s">
        <v>32</v>
      </c>
      <c r="P1942" s="3" t="s">
        <v>33</v>
      </c>
      <c r="Q1942" s="3" t="s">
        <v>36</v>
      </c>
    </row>
    <row r="1943" spans="1:17" x14ac:dyDescent="0.25">
      <c r="A1943" s="5">
        <v>10380</v>
      </c>
      <c r="B1943" s="5">
        <v>34</v>
      </c>
      <c r="C1943" s="5">
        <v>100</v>
      </c>
      <c r="D1943" s="5">
        <v>3400</v>
      </c>
      <c r="E1943" s="5" t="str">
        <f t="shared" si="121"/>
        <v>Medium</v>
      </c>
      <c r="F1943" s="5">
        <f t="shared" si="122"/>
        <v>1020</v>
      </c>
      <c r="G1943" s="6">
        <v>38399</v>
      </c>
      <c r="H1943" s="5" t="s">
        <v>25</v>
      </c>
      <c r="I1943" s="5" t="str">
        <f t="shared" si="120"/>
        <v>Yes</v>
      </c>
      <c r="J1943" s="5" t="s">
        <v>681</v>
      </c>
      <c r="K1943" s="5">
        <v>2005</v>
      </c>
      <c r="L1943" s="5" t="str">
        <f t="shared" si="123"/>
        <v>Feb-2005</v>
      </c>
      <c r="M1943" s="5" t="s">
        <v>181</v>
      </c>
      <c r="N1943" s="5" t="s">
        <v>174</v>
      </c>
      <c r="O1943" s="5" t="s">
        <v>178</v>
      </c>
      <c r="P1943" s="5" t="s">
        <v>42</v>
      </c>
      <c r="Q1943" s="5" t="s">
        <v>51</v>
      </c>
    </row>
    <row r="1944" spans="1:17" x14ac:dyDescent="0.25">
      <c r="A1944" s="3">
        <v>10407</v>
      </c>
      <c r="B1944" s="3">
        <v>43</v>
      </c>
      <c r="C1944" s="3">
        <v>86.73</v>
      </c>
      <c r="D1944" s="3">
        <v>3729.3900000000003</v>
      </c>
      <c r="E1944" s="3" t="str">
        <f t="shared" si="121"/>
        <v>Medium</v>
      </c>
      <c r="F1944" s="3">
        <f t="shared" si="122"/>
        <v>1118.817</v>
      </c>
      <c r="G1944" s="4">
        <v>38464</v>
      </c>
      <c r="H1944" s="3" t="s">
        <v>401</v>
      </c>
      <c r="I1944" s="3" t="str">
        <f t="shared" si="120"/>
        <v>No</v>
      </c>
      <c r="J1944" s="3" t="s">
        <v>688</v>
      </c>
      <c r="K1944" s="3">
        <v>2005</v>
      </c>
      <c r="L1944" s="3" t="str">
        <f t="shared" si="123"/>
        <v>Apr-2005</v>
      </c>
      <c r="M1944" s="3" t="s">
        <v>181</v>
      </c>
      <c r="N1944" s="3" t="s">
        <v>397</v>
      </c>
      <c r="O1944" s="3" t="s">
        <v>32</v>
      </c>
      <c r="P1944" s="3" t="s">
        <v>33</v>
      </c>
      <c r="Q1944" s="3" t="s">
        <v>51</v>
      </c>
    </row>
    <row r="1945" spans="1:17" x14ac:dyDescent="0.25">
      <c r="A1945" s="5">
        <v>10420</v>
      </c>
      <c r="B1945" s="5">
        <v>26</v>
      </c>
      <c r="C1945" s="5">
        <v>100</v>
      </c>
      <c r="D1945" s="5">
        <v>2600</v>
      </c>
      <c r="E1945" s="5" t="str">
        <f t="shared" si="121"/>
        <v>Medium</v>
      </c>
      <c r="F1945" s="5">
        <f t="shared" si="122"/>
        <v>780</v>
      </c>
      <c r="G1945" s="6">
        <v>38501</v>
      </c>
      <c r="H1945" s="5" t="s">
        <v>300</v>
      </c>
      <c r="I1945" s="5" t="str">
        <f t="shared" si="120"/>
        <v>No</v>
      </c>
      <c r="J1945" s="5" t="s">
        <v>682</v>
      </c>
      <c r="K1945" s="5">
        <v>2005</v>
      </c>
      <c r="L1945" s="5" t="str">
        <f t="shared" si="123"/>
        <v>May-2005</v>
      </c>
      <c r="M1945" s="5" t="s">
        <v>181</v>
      </c>
      <c r="N1945" s="5" t="s">
        <v>152</v>
      </c>
      <c r="O1945" s="5" t="s">
        <v>95</v>
      </c>
      <c r="P1945" s="5" t="s">
        <v>96</v>
      </c>
      <c r="Q1945" s="5" t="s">
        <v>36</v>
      </c>
    </row>
    <row r="1946" spans="1:17" x14ac:dyDescent="0.25">
      <c r="A1946" s="3">
        <v>10105</v>
      </c>
      <c r="B1946" s="3">
        <v>50</v>
      </c>
      <c r="C1946" s="3">
        <v>79.67</v>
      </c>
      <c r="D1946" s="3">
        <v>3983.5</v>
      </c>
      <c r="E1946" s="3" t="str">
        <f t="shared" si="121"/>
        <v>Medium</v>
      </c>
      <c r="F1946" s="3">
        <f t="shared" si="122"/>
        <v>1195.05</v>
      </c>
      <c r="G1946" s="4">
        <v>37663</v>
      </c>
      <c r="H1946" s="3" t="s">
        <v>25</v>
      </c>
      <c r="I1946" s="3" t="str">
        <f t="shared" si="120"/>
        <v>Yes</v>
      </c>
      <c r="J1946" s="3" t="s">
        <v>681</v>
      </c>
      <c r="K1946" s="3">
        <v>2003</v>
      </c>
      <c r="L1946" s="3" t="str">
        <f t="shared" si="123"/>
        <v>Feb-2003</v>
      </c>
      <c r="M1946" s="3" t="s">
        <v>550</v>
      </c>
      <c r="N1946" s="3" t="s">
        <v>322</v>
      </c>
      <c r="O1946" s="3" t="s">
        <v>326</v>
      </c>
      <c r="P1946" s="3" t="s">
        <v>42</v>
      </c>
      <c r="Q1946" s="3" t="s">
        <v>51</v>
      </c>
    </row>
    <row r="1947" spans="1:17" x14ac:dyDescent="0.25">
      <c r="A1947" s="5">
        <v>10119</v>
      </c>
      <c r="B1947" s="5">
        <v>35</v>
      </c>
      <c r="C1947" s="5">
        <v>90.57</v>
      </c>
      <c r="D1947" s="5">
        <v>3169.95</v>
      </c>
      <c r="E1947" s="5" t="str">
        <f t="shared" si="121"/>
        <v>Medium</v>
      </c>
      <c r="F1947" s="5">
        <f t="shared" si="122"/>
        <v>950.9849999999999</v>
      </c>
      <c r="G1947" s="6">
        <v>37739</v>
      </c>
      <c r="H1947" s="5" t="s">
        <v>25</v>
      </c>
      <c r="I1947" s="5" t="str">
        <f t="shared" si="120"/>
        <v>Yes</v>
      </c>
      <c r="J1947" s="5" t="s">
        <v>688</v>
      </c>
      <c r="K1947" s="5">
        <v>2003</v>
      </c>
      <c r="L1947" s="5" t="str">
        <f t="shared" si="123"/>
        <v>Apr-2003</v>
      </c>
      <c r="M1947" s="5" t="s">
        <v>550</v>
      </c>
      <c r="N1947" s="5" t="s">
        <v>144</v>
      </c>
      <c r="O1947" s="5" t="s">
        <v>148</v>
      </c>
      <c r="P1947" s="5" t="s">
        <v>42</v>
      </c>
      <c r="Q1947" s="5" t="s">
        <v>51</v>
      </c>
    </row>
    <row r="1948" spans="1:17" x14ac:dyDescent="0.25">
      <c r="A1948" s="3">
        <v>10129</v>
      </c>
      <c r="B1948" s="3">
        <v>50</v>
      </c>
      <c r="C1948" s="3">
        <v>77.989999999999995</v>
      </c>
      <c r="D1948" s="3">
        <v>3899.4999999999995</v>
      </c>
      <c r="E1948" s="3" t="str">
        <f t="shared" si="121"/>
        <v>Medium</v>
      </c>
      <c r="F1948" s="3">
        <f t="shared" si="122"/>
        <v>1169.8499999999999</v>
      </c>
      <c r="G1948" s="4">
        <v>37784</v>
      </c>
      <c r="H1948" s="3" t="s">
        <v>25</v>
      </c>
      <c r="I1948" s="3" t="str">
        <f t="shared" si="120"/>
        <v>Yes</v>
      </c>
      <c r="J1948" s="3" t="s">
        <v>689</v>
      </c>
      <c r="K1948" s="3">
        <v>2003</v>
      </c>
      <c r="L1948" s="3" t="str">
        <f t="shared" si="123"/>
        <v>Jun-2003</v>
      </c>
      <c r="M1948" s="3" t="s">
        <v>550</v>
      </c>
      <c r="N1948" s="3" t="s">
        <v>329</v>
      </c>
      <c r="O1948" s="3" t="s">
        <v>170</v>
      </c>
      <c r="P1948" s="3" t="s">
        <v>42</v>
      </c>
      <c r="Q1948" s="3" t="s">
        <v>51</v>
      </c>
    </row>
    <row r="1949" spans="1:17" x14ac:dyDescent="0.25">
      <c r="A1949" s="5">
        <v>10143</v>
      </c>
      <c r="B1949" s="5">
        <v>23</v>
      </c>
      <c r="C1949" s="5">
        <v>80.510000000000005</v>
      </c>
      <c r="D1949" s="5">
        <v>1851.73</v>
      </c>
      <c r="E1949" s="5" t="str">
        <f t="shared" si="121"/>
        <v>Low</v>
      </c>
      <c r="F1949" s="5">
        <f t="shared" si="122"/>
        <v>555.51900000000001</v>
      </c>
      <c r="G1949" s="6">
        <v>37843</v>
      </c>
      <c r="H1949" s="5" t="s">
        <v>25</v>
      </c>
      <c r="I1949" s="5" t="str">
        <f t="shared" si="120"/>
        <v>Yes</v>
      </c>
      <c r="J1949" s="5" t="s">
        <v>684</v>
      </c>
      <c r="K1949" s="5">
        <v>2003</v>
      </c>
      <c r="L1949" s="5" t="str">
        <f t="shared" si="123"/>
        <v>Aug-2003</v>
      </c>
      <c r="M1949" s="5" t="s">
        <v>550</v>
      </c>
      <c r="N1949" s="5" t="s">
        <v>335</v>
      </c>
      <c r="O1949" s="5" t="s">
        <v>32</v>
      </c>
      <c r="P1949" s="5" t="s">
        <v>33</v>
      </c>
      <c r="Q1949" s="5" t="s">
        <v>36</v>
      </c>
    </row>
    <row r="1950" spans="1:17" x14ac:dyDescent="0.25">
      <c r="A1950" s="3">
        <v>10155</v>
      </c>
      <c r="B1950" s="3">
        <v>37</v>
      </c>
      <c r="C1950" s="3">
        <v>67.930000000000007</v>
      </c>
      <c r="D1950" s="3">
        <v>2513.4100000000003</v>
      </c>
      <c r="E1950" s="3" t="str">
        <f t="shared" si="121"/>
        <v>Medium</v>
      </c>
      <c r="F1950" s="3">
        <f t="shared" si="122"/>
        <v>754.02300000000002</v>
      </c>
      <c r="G1950" s="4">
        <v>37900</v>
      </c>
      <c r="H1950" s="3" t="s">
        <v>25</v>
      </c>
      <c r="I1950" s="3" t="str">
        <f t="shared" si="120"/>
        <v>Yes</v>
      </c>
      <c r="J1950" s="3" t="s">
        <v>685</v>
      </c>
      <c r="K1950" s="3">
        <v>2003</v>
      </c>
      <c r="L1950" s="3" t="str">
        <f t="shared" si="123"/>
        <v>Oct-2003</v>
      </c>
      <c r="M1950" s="3" t="s">
        <v>550</v>
      </c>
      <c r="N1950" s="3" t="s">
        <v>126</v>
      </c>
      <c r="O1950" s="3" t="s">
        <v>130</v>
      </c>
      <c r="P1950" s="3" t="s">
        <v>42</v>
      </c>
      <c r="Q1950" s="3" t="s">
        <v>36</v>
      </c>
    </row>
    <row r="1951" spans="1:17" x14ac:dyDescent="0.25">
      <c r="A1951" s="5">
        <v>10167</v>
      </c>
      <c r="B1951" s="5">
        <v>29</v>
      </c>
      <c r="C1951" s="5">
        <v>83.86</v>
      </c>
      <c r="D1951" s="5">
        <v>2431.94</v>
      </c>
      <c r="E1951" s="5" t="str">
        <f t="shared" si="121"/>
        <v>Medium</v>
      </c>
      <c r="F1951" s="5">
        <f t="shared" si="122"/>
        <v>729.58199999999999</v>
      </c>
      <c r="G1951" s="6">
        <v>37917</v>
      </c>
      <c r="H1951" s="5" t="s">
        <v>339</v>
      </c>
      <c r="I1951" s="5" t="str">
        <f t="shared" si="120"/>
        <v>No</v>
      </c>
      <c r="J1951" s="5" t="s">
        <v>685</v>
      </c>
      <c r="K1951" s="5">
        <v>2003</v>
      </c>
      <c r="L1951" s="5" t="str">
        <f t="shared" si="123"/>
        <v>Oct-2003</v>
      </c>
      <c r="M1951" s="5" t="s">
        <v>550</v>
      </c>
      <c r="N1951" s="5" t="s">
        <v>261</v>
      </c>
      <c r="O1951" s="5" t="s">
        <v>188</v>
      </c>
      <c r="P1951" s="5" t="s">
        <v>42</v>
      </c>
      <c r="Q1951" s="5" t="s">
        <v>36</v>
      </c>
    </row>
    <row r="1952" spans="1:17" x14ac:dyDescent="0.25">
      <c r="A1952" s="3">
        <v>10178</v>
      </c>
      <c r="B1952" s="3">
        <v>21</v>
      </c>
      <c r="C1952" s="3">
        <v>72.12</v>
      </c>
      <c r="D1952" s="3">
        <v>1514.52</v>
      </c>
      <c r="E1952" s="3" t="str">
        <f t="shared" si="121"/>
        <v>Low</v>
      </c>
      <c r="F1952" s="3">
        <f t="shared" si="122"/>
        <v>454.35599999999999</v>
      </c>
      <c r="G1952" s="4">
        <v>37933</v>
      </c>
      <c r="H1952" s="3" t="s">
        <v>25</v>
      </c>
      <c r="I1952" s="3" t="str">
        <f t="shared" si="120"/>
        <v>Yes</v>
      </c>
      <c r="J1952" s="3" t="s">
        <v>686</v>
      </c>
      <c r="K1952" s="3">
        <v>2003</v>
      </c>
      <c r="L1952" s="3" t="str">
        <f t="shared" si="123"/>
        <v>Nov-2003</v>
      </c>
      <c r="M1952" s="3" t="s">
        <v>550</v>
      </c>
      <c r="N1952" s="3" t="s">
        <v>340</v>
      </c>
      <c r="O1952" s="3" t="s">
        <v>41</v>
      </c>
      <c r="P1952" s="3" t="s">
        <v>42</v>
      </c>
      <c r="Q1952" s="3" t="s">
        <v>36</v>
      </c>
    </row>
    <row r="1953" spans="1:17" x14ac:dyDescent="0.25">
      <c r="A1953" s="5">
        <v>10186</v>
      </c>
      <c r="B1953" s="5">
        <v>36</v>
      </c>
      <c r="C1953" s="5">
        <v>85.54</v>
      </c>
      <c r="D1953" s="5">
        <v>3079.44</v>
      </c>
      <c r="E1953" s="5" t="str">
        <f t="shared" si="121"/>
        <v>Medium</v>
      </c>
      <c r="F1953" s="5">
        <f t="shared" si="122"/>
        <v>923.83199999999999</v>
      </c>
      <c r="G1953" s="6">
        <v>37939</v>
      </c>
      <c r="H1953" s="5" t="s">
        <v>25</v>
      </c>
      <c r="I1953" s="5" t="str">
        <f t="shared" si="120"/>
        <v>Yes</v>
      </c>
      <c r="J1953" s="5" t="s">
        <v>686</v>
      </c>
      <c r="K1953" s="5">
        <v>2003</v>
      </c>
      <c r="L1953" s="5" t="str">
        <f t="shared" si="123"/>
        <v>Nov-2003</v>
      </c>
      <c r="M1953" s="5" t="s">
        <v>550</v>
      </c>
      <c r="N1953" s="5" t="s">
        <v>346</v>
      </c>
      <c r="O1953" s="5" t="s">
        <v>170</v>
      </c>
      <c r="P1953" s="5" t="s">
        <v>42</v>
      </c>
      <c r="Q1953" s="5" t="s">
        <v>51</v>
      </c>
    </row>
    <row r="1954" spans="1:17" x14ac:dyDescent="0.25">
      <c r="A1954" s="3">
        <v>10197</v>
      </c>
      <c r="B1954" s="3">
        <v>22</v>
      </c>
      <c r="C1954" s="3">
        <v>86.38</v>
      </c>
      <c r="D1954" s="3">
        <v>1900.36</v>
      </c>
      <c r="E1954" s="3" t="str">
        <f t="shared" si="121"/>
        <v>Low</v>
      </c>
      <c r="F1954" s="3">
        <f t="shared" si="122"/>
        <v>570.10799999999995</v>
      </c>
      <c r="G1954" s="4">
        <v>37951</v>
      </c>
      <c r="H1954" s="3" t="s">
        <v>25</v>
      </c>
      <c r="I1954" s="3" t="str">
        <f t="shared" si="120"/>
        <v>Yes</v>
      </c>
      <c r="J1954" s="3" t="s">
        <v>686</v>
      </c>
      <c r="K1954" s="3">
        <v>2003</v>
      </c>
      <c r="L1954" s="3" t="str">
        <f t="shared" si="123"/>
        <v>Nov-2003</v>
      </c>
      <c r="M1954" s="3" t="s">
        <v>550</v>
      </c>
      <c r="N1954" s="3" t="s">
        <v>352</v>
      </c>
      <c r="O1954" s="3" t="s">
        <v>178</v>
      </c>
      <c r="P1954" s="3" t="s">
        <v>42</v>
      </c>
      <c r="Q1954" s="3" t="s">
        <v>36</v>
      </c>
    </row>
    <row r="1955" spans="1:17" x14ac:dyDescent="0.25">
      <c r="A1955" s="5">
        <v>10209</v>
      </c>
      <c r="B1955" s="5">
        <v>22</v>
      </c>
      <c r="C1955" s="5">
        <v>89.73</v>
      </c>
      <c r="D1955" s="5">
        <v>1974.0600000000002</v>
      </c>
      <c r="E1955" s="5" t="str">
        <f t="shared" si="121"/>
        <v>Low</v>
      </c>
      <c r="F1955" s="5">
        <f t="shared" si="122"/>
        <v>592.21800000000007</v>
      </c>
      <c r="G1955" s="6">
        <v>37995</v>
      </c>
      <c r="H1955" s="5" t="s">
        <v>25</v>
      </c>
      <c r="I1955" s="5" t="str">
        <f t="shared" si="120"/>
        <v>Yes</v>
      </c>
      <c r="J1955" s="5" t="s">
        <v>549</v>
      </c>
      <c r="K1955" s="5">
        <v>2004</v>
      </c>
      <c r="L1955" s="5" t="str">
        <f t="shared" si="123"/>
        <v>Jan-2004</v>
      </c>
      <c r="M1955" s="5" t="s">
        <v>550</v>
      </c>
      <c r="N1955" s="5" t="s">
        <v>358</v>
      </c>
      <c r="O1955" s="5" t="s">
        <v>32</v>
      </c>
      <c r="P1955" s="5" t="s">
        <v>33</v>
      </c>
      <c r="Q1955" s="5" t="s">
        <v>36</v>
      </c>
    </row>
    <row r="1956" spans="1:17" x14ac:dyDescent="0.25">
      <c r="A1956" s="3">
        <v>10222</v>
      </c>
      <c r="B1956" s="3">
        <v>46</v>
      </c>
      <c r="C1956" s="3">
        <v>80.510000000000005</v>
      </c>
      <c r="D1956" s="3">
        <v>3703.46</v>
      </c>
      <c r="E1956" s="3" t="str">
        <f t="shared" si="121"/>
        <v>Medium</v>
      </c>
      <c r="F1956" s="3">
        <f t="shared" si="122"/>
        <v>1111.038</v>
      </c>
      <c r="G1956" s="4">
        <v>38036</v>
      </c>
      <c r="H1956" s="3" t="s">
        <v>25</v>
      </c>
      <c r="I1956" s="3" t="str">
        <f t="shared" si="120"/>
        <v>Yes</v>
      </c>
      <c r="J1956" s="3" t="s">
        <v>681</v>
      </c>
      <c r="K1956" s="3">
        <v>2004</v>
      </c>
      <c r="L1956" s="3" t="str">
        <f t="shared" si="123"/>
        <v>Feb-2004</v>
      </c>
      <c r="M1956" s="3" t="s">
        <v>550</v>
      </c>
      <c r="N1956" s="3" t="s">
        <v>362</v>
      </c>
      <c r="O1956" s="3" t="s">
        <v>32</v>
      </c>
      <c r="P1956" s="3" t="s">
        <v>33</v>
      </c>
      <c r="Q1956" s="3" t="s">
        <v>51</v>
      </c>
    </row>
    <row r="1957" spans="1:17" x14ac:dyDescent="0.25">
      <c r="A1957" s="5">
        <v>10248</v>
      </c>
      <c r="B1957" s="5">
        <v>23</v>
      </c>
      <c r="C1957" s="5">
        <v>76.31</v>
      </c>
      <c r="D1957" s="5">
        <v>1755.13</v>
      </c>
      <c r="E1957" s="5" t="str">
        <f t="shared" si="121"/>
        <v>Low</v>
      </c>
      <c r="F1957" s="5">
        <f t="shared" si="122"/>
        <v>526.53899999999999</v>
      </c>
      <c r="G1957" s="6">
        <v>38114</v>
      </c>
      <c r="H1957" s="5" t="s">
        <v>339</v>
      </c>
      <c r="I1957" s="5" t="str">
        <f t="shared" si="120"/>
        <v>No</v>
      </c>
      <c r="J1957" s="5" t="s">
        <v>682</v>
      </c>
      <c r="K1957" s="5">
        <v>2004</v>
      </c>
      <c r="L1957" s="5" t="str">
        <f t="shared" si="123"/>
        <v>May-2004</v>
      </c>
      <c r="M1957" s="5" t="s">
        <v>550</v>
      </c>
      <c r="N1957" s="5" t="s">
        <v>28</v>
      </c>
      <c r="O1957" s="5" t="s">
        <v>32</v>
      </c>
      <c r="P1957" s="5" t="s">
        <v>33</v>
      </c>
      <c r="Q1957" s="5" t="s">
        <v>36</v>
      </c>
    </row>
    <row r="1958" spans="1:17" x14ac:dyDescent="0.25">
      <c r="A1958" s="3">
        <v>10262</v>
      </c>
      <c r="B1958" s="3">
        <v>49</v>
      </c>
      <c r="C1958" s="3">
        <v>87.21</v>
      </c>
      <c r="D1958" s="3">
        <v>4273.29</v>
      </c>
      <c r="E1958" s="3" t="str">
        <f t="shared" si="121"/>
        <v>Medium</v>
      </c>
      <c r="F1958" s="3">
        <f t="shared" si="122"/>
        <v>1281.9869999999999</v>
      </c>
      <c r="G1958" s="4">
        <v>38162</v>
      </c>
      <c r="H1958" s="3" t="s">
        <v>339</v>
      </c>
      <c r="I1958" s="3" t="str">
        <f t="shared" si="120"/>
        <v>No</v>
      </c>
      <c r="J1958" s="3" t="s">
        <v>689</v>
      </c>
      <c r="K1958" s="3">
        <v>2004</v>
      </c>
      <c r="L1958" s="3" t="str">
        <f t="shared" si="123"/>
        <v>Jun-2004</v>
      </c>
      <c r="M1958" s="3" t="s">
        <v>550</v>
      </c>
      <c r="N1958" s="3" t="s">
        <v>174</v>
      </c>
      <c r="O1958" s="3" t="s">
        <v>178</v>
      </c>
      <c r="P1958" s="3" t="s">
        <v>42</v>
      </c>
      <c r="Q1958" s="3" t="s">
        <v>51</v>
      </c>
    </row>
    <row r="1959" spans="1:17" x14ac:dyDescent="0.25">
      <c r="A1959" s="5">
        <v>10273</v>
      </c>
      <c r="B1959" s="5">
        <v>48</v>
      </c>
      <c r="C1959" s="5">
        <v>83.02</v>
      </c>
      <c r="D1959" s="5">
        <v>3984.96</v>
      </c>
      <c r="E1959" s="5" t="str">
        <f t="shared" si="121"/>
        <v>Medium</v>
      </c>
      <c r="F1959" s="5">
        <f t="shared" si="122"/>
        <v>1195.4880000000001</v>
      </c>
      <c r="G1959" s="6">
        <v>38189</v>
      </c>
      <c r="H1959" s="5" t="s">
        <v>25</v>
      </c>
      <c r="I1959" s="5" t="str">
        <f t="shared" si="120"/>
        <v>Yes</v>
      </c>
      <c r="J1959" s="5" t="s">
        <v>683</v>
      </c>
      <c r="K1959" s="5">
        <v>2004</v>
      </c>
      <c r="L1959" s="5" t="str">
        <f t="shared" si="123"/>
        <v>Jul-2004</v>
      </c>
      <c r="M1959" s="5" t="s">
        <v>550</v>
      </c>
      <c r="N1959" s="5" t="s">
        <v>365</v>
      </c>
      <c r="O1959" s="5" t="s">
        <v>370</v>
      </c>
      <c r="P1959" s="5" t="s">
        <v>42</v>
      </c>
      <c r="Q1959" s="5" t="s">
        <v>51</v>
      </c>
    </row>
    <row r="1960" spans="1:17" x14ac:dyDescent="0.25">
      <c r="A1960" s="3">
        <v>10283</v>
      </c>
      <c r="B1960" s="3">
        <v>33</v>
      </c>
      <c r="C1960" s="3">
        <v>72.959999999999994</v>
      </c>
      <c r="D1960" s="3">
        <v>2407.6799999999998</v>
      </c>
      <c r="E1960" s="3" t="str">
        <f t="shared" si="121"/>
        <v>Medium</v>
      </c>
      <c r="F1960" s="3">
        <f t="shared" si="122"/>
        <v>722.30399999999997</v>
      </c>
      <c r="G1960" s="4">
        <v>38219</v>
      </c>
      <c r="H1960" s="3" t="s">
        <v>25</v>
      </c>
      <c r="I1960" s="3" t="str">
        <f t="shared" si="120"/>
        <v>Yes</v>
      </c>
      <c r="J1960" s="3" t="s">
        <v>684</v>
      </c>
      <c r="K1960" s="3">
        <v>2004</v>
      </c>
      <c r="L1960" s="3" t="str">
        <f t="shared" si="123"/>
        <v>Aug-2004</v>
      </c>
      <c r="M1960" s="3" t="s">
        <v>550</v>
      </c>
      <c r="N1960" s="3" t="s">
        <v>373</v>
      </c>
      <c r="O1960" s="3" t="s">
        <v>231</v>
      </c>
      <c r="P1960" s="3" t="s">
        <v>33</v>
      </c>
      <c r="Q1960" s="3" t="s">
        <v>36</v>
      </c>
    </row>
    <row r="1961" spans="1:17" x14ac:dyDescent="0.25">
      <c r="A1961" s="5">
        <v>10296</v>
      </c>
      <c r="B1961" s="5">
        <v>22</v>
      </c>
      <c r="C1961" s="5">
        <v>77.150000000000006</v>
      </c>
      <c r="D1961" s="5">
        <v>1697.3000000000002</v>
      </c>
      <c r="E1961" s="5" t="str">
        <f t="shared" si="121"/>
        <v>Low</v>
      </c>
      <c r="F1961" s="5">
        <f t="shared" si="122"/>
        <v>509.19000000000005</v>
      </c>
      <c r="G1961" s="6">
        <v>38245</v>
      </c>
      <c r="H1961" s="5" t="s">
        <v>25</v>
      </c>
      <c r="I1961" s="5" t="str">
        <f t="shared" si="120"/>
        <v>Yes</v>
      </c>
      <c r="J1961" s="5" t="s">
        <v>690</v>
      </c>
      <c r="K1961" s="5">
        <v>2004</v>
      </c>
      <c r="L1961" s="5" t="str">
        <f t="shared" si="123"/>
        <v>Sep-2004</v>
      </c>
      <c r="M1961" s="5" t="s">
        <v>550</v>
      </c>
      <c r="N1961" s="5" t="s">
        <v>572</v>
      </c>
      <c r="O1961" s="5" t="s">
        <v>443</v>
      </c>
      <c r="P1961" s="5" t="s">
        <v>42</v>
      </c>
      <c r="Q1961" s="5" t="s">
        <v>36</v>
      </c>
    </row>
    <row r="1962" spans="1:17" x14ac:dyDescent="0.25">
      <c r="A1962" s="3">
        <v>10307</v>
      </c>
      <c r="B1962" s="3">
        <v>22</v>
      </c>
      <c r="C1962" s="3">
        <v>91.41</v>
      </c>
      <c r="D1962" s="3">
        <v>2011.02</v>
      </c>
      <c r="E1962" s="3" t="str">
        <f t="shared" si="121"/>
        <v>Medium</v>
      </c>
      <c r="F1962" s="3">
        <f t="shared" si="122"/>
        <v>603.30599999999993</v>
      </c>
      <c r="G1962" s="4">
        <v>38274</v>
      </c>
      <c r="H1962" s="3" t="s">
        <v>25</v>
      </c>
      <c r="I1962" s="3" t="str">
        <f t="shared" si="120"/>
        <v>Yes</v>
      </c>
      <c r="J1962" s="3" t="s">
        <v>685</v>
      </c>
      <c r="K1962" s="3">
        <v>2004</v>
      </c>
      <c r="L1962" s="3" t="str">
        <f t="shared" si="123"/>
        <v>Oct-2004</v>
      </c>
      <c r="M1962" s="3" t="s">
        <v>550</v>
      </c>
      <c r="N1962" s="3" t="s">
        <v>214</v>
      </c>
      <c r="O1962" s="3" t="s">
        <v>32</v>
      </c>
      <c r="P1962" s="3" t="s">
        <v>33</v>
      </c>
      <c r="Q1962" s="3" t="s">
        <v>36</v>
      </c>
    </row>
    <row r="1963" spans="1:17" x14ac:dyDescent="0.25">
      <c r="A1963" s="5">
        <v>10316</v>
      </c>
      <c r="B1963" s="5">
        <v>25</v>
      </c>
      <c r="C1963" s="5">
        <v>92.25</v>
      </c>
      <c r="D1963" s="5">
        <v>2306.25</v>
      </c>
      <c r="E1963" s="5" t="str">
        <f t="shared" si="121"/>
        <v>Medium</v>
      </c>
      <c r="F1963" s="5">
        <f t="shared" si="122"/>
        <v>691.875</v>
      </c>
      <c r="G1963" s="6">
        <v>38292</v>
      </c>
      <c r="H1963" s="5" t="s">
        <v>25</v>
      </c>
      <c r="I1963" s="5" t="str">
        <f t="shared" si="120"/>
        <v>Yes</v>
      </c>
      <c r="J1963" s="5" t="s">
        <v>686</v>
      </c>
      <c r="K1963" s="5">
        <v>2004</v>
      </c>
      <c r="L1963" s="5" t="str">
        <f t="shared" si="123"/>
        <v>Nov-2004</v>
      </c>
      <c r="M1963" s="5" t="s">
        <v>550</v>
      </c>
      <c r="N1963" s="5" t="s">
        <v>383</v>
      </c>
      <c r="O1963" s="5" t="s">
        <v>170</v>
      </c>
      <c r="P1963" s="5" t="s">
        <v>42</v>
      </c>
      <c r="Q1963" s="5" t="s">
        <v>36</v>
      </c>
    </row>
    <row r="1964" spans="1:17" x14ac:dyDescent="0.25">
      <c r="A1964" s="3">
        <v>10326</v>
      </c>
      <c r="B1964" s="3">
        <v>20</v>
      </c>
      <c r="C1964" s="3">
        <v>92.25</v>
      </c>
      <c r="D1964" s="3">
        <v>1845</v>
      </c>
      <c r="E1964" s="3" t="str">
        <f t="shared" si="121"/>
        <v>Low</v>
      </c>
      <c r="F1964" s="3">
        <f t="shared" si="122"/>
        <v>553.5</v>
      </c>
      <c r="G1964" s="4">
        <v>38300</v>
      </c>
      <c r="H1964" s="3" t="s">
        <v>25</v>
      </c>
      <c r="I1964" s="3" t="str">
        <f t="shared" si="120"/>
        <v>Yes</v>
      </c>
      <c r="J1964" s="3" t="s">
        <v>686</v>
      </c>
      <c r="K1964" s="3">
        <v>2004</v>
      </c>
      <c r="L1964" s="3" t="str">
        <f t="shared" si="123"/>
        <v>Nov-2004</v>
      </c>
      <c r="M1964" s="3" t="s">
        <v>550</v>
      </c>
      <c r="N1964" s="3" t="s">
        <v>183</v>
      </c>
      <c r="O1964" s="3" t="s">
        <v>188</v>
      </c>
      <c r="P1964" s="3" t="s">
        <v>42</v>
      </c>
      <c r="Q1964" s="3" t="s">
        <v>36</v>
      </c>
    </row>
    <row r="1965" spans="1:17" x14ac:dyDescent="0.25">
      <c r="A1965" s="5">
        <v>10339</v>
      </c>
      <c r="B1965" s="5">
        <v>42</v>
      </c>
      <c r="C1965" s="5">
        <v>59.36</v>
      </c>
      <c r="D1965" s="5">
        <v>2493.12</v>
      </c>
      <c r="E1965" s="5" t="str">
        <f t="shared" si="121"/>
        <v>Medium</v>
      </c>
      <c r="F1965" s="5">
        <f t="shared" si="122"/>
        <v>747.93599999999992</v>
      </c>
      <c r="G1965" s="6">
        <v>38314</v>
      </c>
      <c r="H1965" s="5" t="s">
        <v>25</v>
      </c>
      <c r="I1965" s="5" t="str">
        <f t="shared" si="120"/>
        <v>Yes</v>
      </c>
      <c r="J1965" s="5" t="s">
        <v>686</v>
      </c>
      <c r="K1965" s="5">
        <v>2004</v>
      </c>
      <c r="L1965" s="5" t="str">
        <f t="shared" si="123"/>
        <v>Nov-2004</v>
      </c>
      <c r="M1965" s="5" t="s">
        <v>550</v>
      </c>
      <c r="N1965" s="5" t="s">
        <v>246</v>
      </c>
      <c r="O1965" s="5" t="s">
        <v>200</v>
      </c>
      <c r="P1965" s="5" t="s">
        <v>675</v>
      </c>
      <c r="Q1965" s="5" t="s">
        <v>36</v>
      </c>
    </row>
    <row r="1966" spans="1:17" x14ac:dyDescent="0.25">
      <c r="A1966" s="3">
        <v>10350</v>
      </c>
      <c r="B1966" s="3">
        <v>25</v>
      </c>
      <c r="C1966" s="3">
        <v>60.34</v>
      </c>
      <c r="D1966" s="3">
        <v>1508.5</v>
      </c>
      <c r="E1966" s="3" t="str">
        <f t="shared" si="121"/>
        <v>Low</v>
      </c>
      <c r="F1966" s="3">
        <f t="shared" si="122"/>
        <v>452.55</v>
      </c>
      <c r="G1966" s="4">
        <v>38323</v>
      </c>
      <c r="H1966" s="3" t="s">
        <v>25</v>
      </c>
      <c r="I1966" s="3" t="str">
        <f t="shared" si="120"/>
        <v>Yes</v>
      </c>
      <c r="J1966" s="3" t="s">
        <v>687</v>
      </c>
      <c r="K1966" s="3">
        <v>2004</v>
      </c>
      <c r="L1966" s="3" t="str">
        <f t="shared" si="123"/>
        <v>Dec-2004</v>
      </c>
      <c r="M1966" s="3" t="s">
        <v>550</v>
      </c>
      <c r="N1966" s="3" t="s">
        <v>174</v>
      </c>
      <c r="O1966" s="3" t="s">
        <v>178</v>
      </c>
      <c r="P1966" s="3" t="s">
        <v>42</v>
      </c>
      <c r="Q1966" s="3" t="s">
        <v>36</v>
      </c>
    </row>
    <row r="1967" spans="1:17" x14ac:dyDescent="0.25">
      <c r="A1967" s="5">
        <v>10373</v>
      </c>
      <c r="B1967" s="5">
        <v>23</v>
      </c>
      <c r="C1967" s="5">
        <v>100</v>
      </c>
      <c r="D1967" s="5">
        <v>2300</v>
      </c>
      <c r="E1967" s="5" t="str">
        <f t="shared" si="121"/>
        <v>Medium</v>
      </c>
      <c r="F1967" s="5">
        <f t="shared" si="122"/>
        <v>690</v>
      </c>
      <c r="G1967" s="6">
        <v>38383</v>
      </c>
      <c r="H1967" s="5" t="s">
        <v>25</v>
      </c>
      <c r="I1967" s="5" t="str">
        <f t="shared" si="120"/>
        <v>Yes</v>
      </c>
      <c r="J1967" s="5" t="s">
        <v>549</v>
      </c>
      <c r="K1967" s="5">
        <v>2005</v>
      </c>
      <c r="L1967" s="5" t="str">
        <f t="shared" si="123"/>
        <v>Jan-2005</v>
      </c>
      <c r="M1967" s="5" t="s">
        <v>550</v>
      </c>
      <c r="N1967" s="5" t="s">
        <v>391</v>
      </c>
      <c r="O1967" s="5" t="s">
        <v>130</v>
      </c>
      <c r="P1967" s="5" t="s">
        <v>42</v>
      </c>
      <c r="Q1967" s="5" t="s">
        <v>36</v>
      </c>
    </row>
    <row r="1968" spans="1:17" x14ac:dyDescent="0.25">
      <c r="A1968" s="3">
        <v>10385</v>
      </c>
      <c r="B1968" s="3">
        <v>37</v>
      </c>
      <c r="C1968" s="3">
        <v>85.54</v>
      </c>
      <c r="D1968" s="3">
        <v>3164.98</v>
      </c>
      <c r="E1968" s="3" t="str">
        <f t="shared" si="121"/>
        <v>Medium</v>
      </c>
      <c r="F1968" s="3">
        <f t="shared" si="122"/>
        <v>949.49399999999991</v>
      </c>
      <c r="G1968" s="4">
        <v>38411</v>
      </c>
      <c r="H1968" s="3" t="s">
        <v>25</v>
      </c>
      <c r="I1968" s="3" t="str">
        <f t="shared" si="120"/>
        <v>Yes</v>
      </c>
      <c r="J1968" s="3" t="s">
        <v>681</v>
      </c>
      <c r="K1968" s="3">
        <v>2005</v>
      </c>
      <c r="L1968" s="3" t="str">
        <f t="shared" si="123"/>
        <v>Feb-2005</v>
      </c>
      <c r="M1968" s="3" t="s">
        <v>550</v>
      </c>
      <c r="N1968" s="3" t="s">
        <v>272</v>
      </c>
      <c r="O1968" s="3" t="s">
        <v>32</v>
      </c>
      <c r="P1968" s="3" t="s">
        <v>33</v>
      </c>
      <c r="Q1968" s="3" t="s">
        <v>51</v>
      </c>
    </row>
    <row r="1969" spans="1:17" x14ac:dyDescent="0.25">
      <c r="A1969" s="5">
        <v>10396</v>
      </c>
      <c r="B1969" s="5">
        <v>37</v>
      </c>
      <c r="C1969" s="5">
        <v>90.57</v>
      </c>
      <c r="D1969" s="5">
        <v>3351.0899999999997</v>
      </c>
      <c r="E1969" s="5" t="str">
        <f t="shared" si="121"/>
        <v>Medium</v>
      </c>
      <c r="F1969" s="5">
        <f t="shared" si="122"/>
        <v>1005.3269999999999</v>
      </c>
      <c r="G1969" s="6">
        <v>38434</v>
      </c>
      <c r="H1969" s="5" t="s">
        <v>25</v>
      </c>
      <c r="I1969" s="5" t="str">
        <f t="shared" si="120"/>
        <v>Yes</v>
      </c>
      <c r="J1969" s="5" t="s">
        <v>691</v>
      </c>
      <c r="K1969" s="5">
        <v>2005</v>
      </c>
      <c r="L1969" s="5" t="str">
        <f t="shared" si="123"/>
        <v>Mar-2005</v>
      </c>
      <c r="M1969" s="5" t="s">
        <v>550</v>
      </c>
      <c r="N1969" s="5" t="s">
        <v>272</v>
      </c>
      <c r="O1969" s="5" t="s">
        <v>32</v>
      </c>
      <c r="P1969" s="5" t="s">
        <v>33</v>
      </c>
      <c r="Q1969" s="5" t="s">
        <v>51</v>
      </c>
    </row>
    <row r="1970" spans="1:17" x14ac:dyDescent="0.25">
      <c r="A1970" s="3">
        <v>10400</v>
      </c>
      <c r="B1970" s="3">
        <v>42</v>
      </c>
      <c r="C1970" s="3">
        <v>72.959999999999994</v>
      </c>
      <c r="D1970" s="3">
        <v>3064.3199999999997</v>
      </c>
      <c r="E1970" s="3" t="str">
        <f t="shared" si="121"/>
        <v>Medium</v>
      </c>
      <c r="F1970" s="3">
        <f t="shared" si="122"/>
        <v>919.29599999999994</v>
      </c>
      <c r="G1970" s="4">
        <v>38443</v>
      </c>
      <c r="H1970" s="3" t="s">
        <v>25</v>
      </c>
      <c r="I1970" s="3" t="str">
        <f t="shared" si="120"/>
        <v>Yes</v>
      </c>
      <c r="J1970" s="3" t="s">
        <v>688</v>
      </c>
      <c r="K1970" s="3">
        <v>2005</v>
      </c>
      <c r="L1970" s="3" t="str">
        <f t="shared" si="123"/>
        <v>Apr-2005</v>
      </c>
      <c r="M1970" s="3" t="s">
        <v>550</v>
      </c>
      <c r="N1970" s="3" t="s">
        <v>397</v>
      </c>
      <c r="O1970" s="3" t="s">
        <v>32</v>
      </c>
      <c r="P1970" s="3" t="s">
        <v>33</v>
      </c>
      <c r="Q1970" s="3" t="s">
        <v>51</v>
      </c>
    </row>
    <row r="1971" spans="1:17" x14ac:dyDescent="0.25">
      <c r="A1971" s="5">
        <v>10414</v>
      </c>
      <c r="B1971" s="5">
        <v>51</v>
      </c>
      <c r="C1971" s="5">
        <v>76.31</v>
      </c>
      <c r="D1971" s="5">
        <v>3891.81</v>
      </c>
      <c r="E1971" s="5" t="str">
        <f t="shared" si="121"/>
        <v>Medium</v>
      </c>
      <c r="F1971" s="5">
        <f t="shared" si="122"/>
        <v>1167.5429999999999</v>
      </c>
      <c r="G1971" s="6">
        <v>38478</v>
      </c>
      <c r="H1971" s="5" t="s">
        <v>401</v>
      </c>
      <c r="I1971" s="5" t="str">
        <f t="shared" si="120"/>
        <v>No</v>
      </c>
      <c r="J1971" s="5" t="s">
        <v>682</v>
      </c>
      <c r="K1971" s="5">
        <v>2005</v>
      </c>
      <c r="L1971" s="5" t="str">
        <f t="shared" si="123"/>
        <v>May-2005</v>
      </c>
      <c r="M1971" s="5" t="s">
        <v>550</v>
      </c>
      <c r="N1971" s="5" t="s">
        <v>379</v>
      </c>
      <c r="O1971" s="5" t="s">
        <v>32</v>
      </c>
      <c r="P1971" s="5" t="s">
        <v>33</v>
      </c>
      <c r="Q1971" s="5" t="s">
        <v>51</v>
      </c>
    </row>
    <row r="1972" spans="1:17" x14ac:dyDescent="0.25">
      <c r="A1972" s="3">
        <v>10108</v>
      </c>
      <c r="B1972" s="3">
        <v>40</v>
      </c>
      <c r="C1972" s="3">
        <v>100</v>
      </c>
      <c r="D1972" s="3">
        <v>4000</v>
      </c>
      <c r="E1972" s="3" t="str">
        <f t="shared" si="121"/>
        <v>Medium</v>
      </c>
      <c r="F1972" s="3">
        <f t="shared" si="122"/>
        <v>1200</v>
      </c>
      <c r="G1972" s="4">
        <v>37683</v>
      </c>
      <c r="H1972" s="3" t="s">
        <v>25</v>
      </c>
      <c r="I1972" s="3" t="str">
        <f t="shared" si="120"/>
        <v>Yes</v>
      </c>
      <c r="J1972" s="3" t="s">
        <v>691</v>
      </c>
      <c r="K1972" s="3">
        <v>2003</v>
      </c>
      <c r="L1972" s="3" t="str">
        <f t="shared" si="123"/>
        <v>Mar-2003</v>
      </c>
      <c r="M1972" s="3" t="s">
        <v>181</v>
      </c>
      <c r="N1972" s="3" t="s">
        <v>425</v>
      </c>
      <c r="O1972" s="3" t="s">
        <v>430</v>
      </c>
      <c r="P1972" s="3" t="s">
        <v>675</v>
      </c>
      <c r="Q1972" s="3" t="s">
        <v>51</v>
      </c>
    </row>
    <row r="1973" spans="1:17" x14ac:dyDescent="0.25">
      <c r="A1973" s="5">
        <v>10122</v>
      </c>
      <c r="B1973" s="5">
        <v>43</v>
      </c>
      <c r="C1973" s="5">
        <v>100</v>
      </c>
      <c r="D1973" s="5">
        <v>4300</v>
      </c>
      <c r="E1973" s="5" t="str">
        <f t="shared" si="121"/>
        <v>Medium</v>
      </c>
      <c r="F1973" s="5">
        <f t="shared" si="122"/>
        <v>1290</v>
      </c>
      <c r="G1973" s="6">
        <v>37749</v>
      </c>
      <c r="H1973" s="5" t="s">
        <v>25</v>
      </c>
      <c r="I1973" s="5" t="str">
        <f t="shared" si="120"/>
        <v>Yes</v>
      </c>
      <c r="J1973" s="5" t="s">
        <v>682</v>
      </c>
      <c r="K1973" s="5">
        <v>2003</v>
      </c>
      <c r="L1973" s="5" t="str">
        <f t="shared" si="123"/>
        <v>May-2003</v>
      </c>
      <c r="M1973" s="5" t="s">
        <v>181</v>
      </c>
      <c r="N1973" s="5" t="s">
        <v>433</v>
      </c>
      <c r="O1973" s="5" t="s">
        <v>41</v>
      </c>
      <c r="P1973" s="5" t="s">
        <v>42</v>
      </c>
      <c r="Q1973" s="5" t="s">
        <v>51</v>
      </c>
    </row>
    <row r="1974" spans="1:17" x14ac:dyDescent="0.25">
      <c r="A1974" s="3">
        <v>10135</v>
      </c>
      <c r="B1974" s="3">
        <v>47</v>
      </c>
      <c r="C1974" s="3">
        <v>100</v>
      </c>
      <c r="D1974" s="3">
        <v>4700</v>
      </c>
      <c r="E1974" s="3" t="str">
        <f t="shared" si="121"/>
        <v>Medium</v>
      </c>
      <c r="F1974" s="3">
        <f t="shared" si="122"/>
        <v>1410</v>
      </c>
      <c r="G1974" s="4">
        <v>37804</v>
      </c>
      <c r="H1974" s="3" t="s">
        <v>25</v>
      </c>
      <c r="I1974" s="3" t="str">
        <f t="shared" si="120"/>
        <v>Yes</v>
      </c>
      <c r="J1974" s="3" t="s">
        <v>683</v>
      </c>
      <c r="K1974" s="3">
        <v>2003</v>
      </c>
      <c r="L1974" s="3" t="str">
        <f t="shared" si="123"/>
        <v>Jul-2003</v>
      </c>
      <c r="M1974" s="3" t="s">
        <v>181</v>
      </c>
      <c r="N1974" s="3" t="s">
        <v>272</v>
      </c>
      <c r="O1974" s="3" t="s">
        <v>32</v>
      </c>
      <c r="P1974" s="3" t="s">
        <v>33</v>
      </c>
      <c r="Q1974" s="3" t="s">
        <v>51</v>
      </c>
    </row>
    <row r="1975" spans="1:17" x14ac:dyDescent="0.25">
      <c r="A1975" s="5">
        <v>10147</v>
      </c>
      <c r="B1975" s="5">
        <v>23</v>
      </c>
      <c r="C1975" s="5">
        <v>100</v>
      </c>
      <c r="D1975" s="5">
        <v>2300</v>
      </c>
      <c r="E1975" s="5" t="str">
        <f t="shared" si="121"/>
        <v>Medium</v>
      </c>
      <c r="F1975" s="5">
        <f t="shared" si="122"/>
        <v>690</v>
      </c>
      <c r="G1975" s="6">
        <v>37869</v>
      </c>
      <c r="H1975" s="5" t="s">
        <v>25</v>
      </c>
      <c r="I1975" s="5" t="str">
        <f t="shared" si="120"/>
        <v>Yes</v>
      </c>
      <c r="J1975" s="5" t="s">
        <v>690</v>
      </c>
      <c r="K1975" s="5">
        <v>2003</v>
      </c>
      <c r="L1975" s="5" t="str">
        <f t="shared" si="123"/>
        <v>Sep-2003</v>
      </c>
      <c r="M1975" s="5" t="s">
        <v>181</v>
      </c>
      <c r="N1975" s="5" t="s">
        <v>281</v>
      </c>
      <c r="O1975" s="5" t="s">
        <v>32</v>
      </c>
      <c r="P1975" s="5" t="s">
        <v>33</v>
      </c>
      <c r="Q1975" s="5" t="s">
        <v>36</v>
      </c>
    </row>
    <row r="1976" spans="1:17" x14ac:dyDescent="0.25">
      <c r="A1976" s="3">
        <v>10160</v>
      </c>
      <c r="B1976" s="3">
        <v>35</v>
      </c>
      <c r="C1976" s="3">
        <v>100</v>
      </c>
      <c r="D1976" s="3">
        <v>3500</v>
      </c>
      <c r="E1976" s="3" t="str">
        <f t="shared" si="121"/>
        <v>Medium</v>
      </c>
      <c r="F1976" s="3">
        <f t="shared" si="122"/>
        <v>1050</v>
      </c>
      <c r="G1976" s="4">
        <v>37905</v>
      </c>
      <c r="H1976" s="3" t="s">
        <v>25</v>
      </c>
      <c r="I1976" s="3" t="str">
        <f t="shared" si="120"/>
        <v>Yes</v>
      </c>
      <c r="J1976" s="3" t="s">
        <v>685</v>
      </c>
      <c r="K1976" s="3">
        <v>2003</v>
      </c>
      <c r="L1976" s="3" t="str">
        <f t="shared" si="123"/>
        <v>Oct-2003</v>
      </c>
      <c r="M1976" s="3" t="s">
        <v>181</v>
      </c>
      <c r="N1976" s="3" t="s">
        <v>358</v>
      </c>
      <c r="O1976" s="3" t="s">
        <v>32</v>
      </c>
      <c r="P1976" s="3" t="s">
        <v>33</v>
      </c>
      <c r="Q1976" s="3" t="s">
        <v>51</v>
      </c>
    </row>
    <row r="1977" spans="1:17" x14ac:dyDescent="0.25">
      <c r="A1977" s="5">
        <v>10170</v>
      </c>
      <c r="B1977" s="5">
        <v>34</v>
      </c>
      <c r="C1977" s="5">
        <v>100</v>
      </c>
      <c r="D1977" s="5">
        <v>3400</v>
      </c>
      <c r="E1977" s="5" t="str">
        <f t="shared" si="121"/>
        <v>Medium</v>
      </c>
      <c r="F1977" s="5">
        <f t="shared" si="122"/>
        <v>1020</v>
      </c>
      <c r="G1977" s="6">
        <v>37929</v>
      </c>
      <c r="H1977" s="5" t="s">
        <v>25</v>
      </c>
      <c r="I1977" s="5" t="str">
        <f t="shared" si="120"/>
        <v>Yes</v>
      </c>
      <c r="J1977" s="5" t="s">
        <v>686</v>
      </c>
      <c r="K1977" s="5">
        <v>2003</v>
      </c>
      <c r="L1977" s="5" t="str">
        <f t="shared" si="123"/>
        <v>Nov-2003</v>
      </c>
      <c r="M1977" s="5" t="s">
        <v>181</v>
      </c>
      <c r="N1977" s="5" t="s">
        <v>409</v>
      </c>
      <c r="O1977" s="5" t="s">
        <v>148</v>
      </c>
      <c r="P1977" s="5" t="s">
        <v>42</v>
      </c>
      <c r="Q1977" s="5" t="s">
        <v>51</v>
      </c>
    </row>
    <row r="1978" spans="1:17" x14ac:dyDescent="0.25">
      <c r="A1978" s="3">
        <v>10181</v>
      </c>
      <c r="B1978" s="3">
        <v>25</v>
      </c>
      <c r="C1978" s="3">
        <v>100</v>
      </c>
      <c r="D1978" s="3">
        <v>2500</v>
      </c>
      <c r="E1978" s="3" t="str">
        <f t="shared" si="121"/>
        <v>Medium</v>
      </c>
      <c r="F1978" s="3">
        <f t="shared" si="122"/>
        <v>750</v>
      </c>
      <c r="G1978" s="4">
        <v>37937</v>
      </c>
      <c r="H1978" s="3" t="s">
        <v>25</v>
      </c>
      <c r="I1978" s="3" t="str">
        <f t="shared" si="120"/>
        <v>Yes</v>
      </c>
      <c r="J1978" s="3" t="s">
        <v>686</v>
      </c>
      <c r="K1978" s="3">
        <v>2003</v>
      </c>
      <c r="L1978" s="3" t="str">
        <f t="shared" si="123"/>
        <v>Nov-2003</v>
      </c>
      <c r="M1978" s="3" t="s">
        <v>181</v>
      </c>
      <c r="N1978" s="3" t="s">
        <v>73</v>
      </c>
      <c r="O1978" s="3" t="s">
        <v>78</v>
      </c>
      <c r="P1978" s="3" t="s">
        <v>42</v>
      </c>
      <c r="Q1978" s="3" t="s">
        <v>51</v>
      </c>
    </row>
    <row r="1979" spans="1:17" x14ac:dyDescent="0.25">
      <c r="A1979" s="5">
        <v>10192</v>
      </c>
      <c r="B1979" s="5">
        <v>45</v>
      </c>
      <c r="C1979" s="5">
        <v>100</v>
      </c>
      <c r="D1979" s="5">
        <v>4500</v>
      </c>
      <c r="E1979" s="5" t="str">
        <f t="shared" si="121"/>
        <v>Medium</v>
      </c>
      <c r="F1979" s="5">
        <f t="shared" si="122"/>
        <v>1350</v>
      </c>
      <c r="G1979" s="6">
        <v>37945</v>
      </c>
      <c r="H1979" s="5" t="s">
        <v>25</v>
      </c>
      <c r="I1979" s="5" t="str">
        <f t="shared" si="120"/>
        <v>Yes</v>
      </c>
      <c r="J1979" s="5" t="s">
        <v>686</v>
      </c>
      <c r="K1979" s="5">
        <v>2003</v>
      </c>
      <c r="L1979" s="5" t="str">
        <f t="shared" si="123"/>
        <v>Nov-2003</v>
      </c>
      <c r="M1979" s="5" t="s">
        <v>181</v>
      </c>
      <c r="N1979" s="5" t="s">
        <v>277</v>
      </c>
      <c r="O1979" s="5" t="s">
        <v>32</v>
      </c>
      <c r="P1979" s="5" t="s">
        <v>33</v>
      </c>
      <c r="Q1979" s="5" t="s">
        <v>51</v>
      </c>
    </row>
    <row r="1980" spans="1:17" x14ac:dyDescent="0.25">
      <c r="A1980" s="3">
        <v>10203</v>
      </c>
      <c r="B1980" s="3">
        <v>47</v>
      </c>
      <c r="C1980" s="3">
        <v>100</v>
      </c>
      <c r="D1980" s="3">
        <v>4700</v>
      </c>
      <c r="E1980" s="3" t="str">
        <f t="shared" si="121"/>
        <v>Medium</v>
      </c>
      <c r="F1980" s="3">
        <f t="shared" si="122"/>
        <v>1410</v>
      </c>
      <c r="G1980" s="4">
        <v>37957</v>
      </c>
      <c r="H1980" s="3" t="s">
        <v>25</v>
      </c>
      <c r="I1980" s="3" t="str">
        <f t="shared" si="120"/>
        <v>Yes</v>
      </c>
      <c r="J1980" s="3" t="s">
        <v>687</v>
      </c>
      <c r="K1980" s="3">
        <v>2003</v>
      </c>
      <c r="L1980" s="3" t="str">
        <f t="shared" si="123"/>
        <v>Dec-2003</v>
      </c>
      <c r="M1980" s="3" t="s">
        <v>181</v>
      </c>
      <c r="N1980" s="3" t="s">
        <v>174</v>
      </c>
      <c r="O1980" s="3" t="s">
        <v>178</v>
      </c>
      <c r="P1980" s="3" t="s">
        <v>42</v>
      </c>
      <c r="Q1980" s="3" t="s">
        <v>51</v>
      </c>
    </row>
    <row r="1981" spans="1:17" x14ac:dyDescent="0.25">
      <c r="A1981" s="5">
        <v>10212</v>
      </c>
      <c r="B1981" s="5">
        <v>49</v>
      </c>
      <c r="C1981" s="5">
        <v>100</v>
      </c>
      <c r="D1981" s="5">
        <v>4900</v>
      </c>
      <c r="E1981" s="5" t="str">
        <f t="shared" si="121"/>
        <v>Medium</v>
      </c>
      <c r="F1981" s="5">
        <f t="shared" si="122"/>
        <v>1470</v>
      </c>
      <c r="G1981" s="6">
        <v>38002</v>
      </c>
      <c r="H1981" s="5" t="s">
        <v>25</v>
      </c>
      <c r="I1981" s="5" t="str">
        <f t="shared" si="120"/>
        <v>Yes</v>
      </c>
      <c r="J1981" s="5" t="s">
        <v>549</v>
      </c>
      <c r="K1981" s="5">
        <v>2004</v>
      </c>
      <c r="L1981" s="5" t="str">
        <f t="shared" si="123"/>
        <v>Jan-2004</v>
      </c>
      <c r="M1981" s="5" t="s">
        <v>181</v>
      </c>
      <c r="N1981" s="5" t="s">
        <v>174</v>
      </c>
      <c r="O1981" s="5" t="s">
        <v>178</v>
      </c>
      <c r="P1981" s="5" t="s">
        <v>42</v>
      </c>
      <c r="Q1981" s="5" t="s">
        <v>51</v>
      </c>
    </row>
    <row r="1982" spans="1:17" x14ac:dyDescent="0.25">
      <c r="A1982" s="3">
        <v>10225</v>
      </c>
      <c r="B1982" s="3">
        <v>40</v>
      </c>
      <c r="C1982" s="3">
        <v>100</v>
      </c>
      <c r="D1982" s="3">
        <v>4000</v>
      </c>
      <c r="E1982" s="3" t="str">
        <f t="shared" si="121"/>
        <v>Medium</v>
      </c>
      <c r="F1982" s="3">
        <f t="shared" si="122"/>
        <v>1200</v>
      </c>
      <c r="G1982" s="4">
        <v>38039</v>
      </c>
      <c r="H1982" s="3" t="s">
        <v>25</v>
      </c>
      <c r="I1982" s="3" t="str">
        <f t="shared" si="120"/>
        <v>Yes</v>
      </c>
      <c r="J1982" s="3" t="s">
        <v>681</v>
      </c>
      <c r="K1982" s="3">
        <v>2004</v>
      </c>
      <c r="L1982" s="3" t="str">
        <f t="shared" si="123"/>
        <v>Feb-2004</v>
      </c>
      <c r="M1982" s="3" t="s">
        <v>181</v>
      </c>
      <c r="N1982" s="3" t="s">
        <v>446</v>
      </c>
      <c r="O1982" s="3" t="s">
        <v>450</v>
      </c>
      <c r="P1982" s="3" t="s">
        <v>42</v>
      </c>
      <c r="Q1982" s="3" t="s">
        <v>51</v>
      </c>
    </row>
    <row r="1983" spans="1:17" x14ac:dyDescent="0.25">
      <c r="A1983" s="5">
        <v>10239</v>
      </c>
      <c r="B1983" s="5">
        <v>29</v>
      </c>
      <c r="C1983" s="5">
        <v>100</v>
      </c>
      <c r="D1983" s="5">
        <v>2900</v>
      </c>
      <c r="E1983" s="5" t="str">
        <f t="shared" si="121"/>
        <v>Medium</v>
      </c>
      <c r="F1983" s="5">
        <f t="shared" si="122"/>
        <v>870</v>
      </c>
      <c r="G1983" s="6">
        <v>38089</v>
      </c>
      <c r="H1983" s="5" t="s">
        <v>25</v>
      </c>
      <c r="I1983" s="5" t="str">
        <f t="shared" si="120"/>
        <v>Yes</v>
      </c>
      <c r="J1983" s="5" t="s">
        <v>688</v>
      </c>
      <c r="K1983" s="5">
        <v>2004</v>
      </c>
      <c r="L1983" s="5" t="str">
        <f t="shared" si="123"/>
        <v>Apr-2004</v>
      </c>
      <c r="M1983" s="5" t="s">
        <v>181</v>
      </c>
      <c r="N1983" s="5" t="s">
        <v>391</v>
      </c>
      <c r="O1983" s="5" t="s">
        <v>130</v>
      </c>
      <c r="P1983" s="5" t="s">
        <v>42</v>
      </c>
      <c r="Q1983" s="5" t="s">
        <v>51</v>
      </c>
    </row>
    <row r="1984" spans="1:17" x14ac:dyDescent="0.25">
      <c r="A1984" s="3">
        <v>10253</v>
      </c>
      <c r="B1984" s="3">
        <v>39</v>
      </c>
      <c r="C1984" s="3">
        <v>100</v>
      </c>
      <c r="D1984" s="3">
        <v>3900</v>
      </c>
      <c r="E1984" s="3" t="str">
        <f t="shared" si="121"/>
        <v>Medium</v>
      </c>
      <c r="F1984" s="3">
        <f t="shared" si="122"/>
        <v>1170</v>
      </c>
      <c r="G1984" s="4">
        <v>38139</v>
      </c>
      <c r="H1984" s="3" t="s">
        <v>339</v>
      </c>
      <c r="I1984" s="3" t="str">
        <f t="shared" si="120"/>
        <v>No</v>
      </c>
      <c r="J1984" s="3" t="s">
        <v>689</v>
      </c>
      <c r="K1984" s="3">
        <v>2004</v>
      </c>
      <c r="L1984" s="3" t="str">
        <f t="shared" si="123"/>
        <v>Jun-2004</v>
      </c>
      <c r="M1984" s="3" t="s">
        <v>181</v>
      </c>
      <c r="N1984" s="3" t="s">
        <v>165</v>
      </c>
      <c r="O1984" s="3" t="s">
        <v>170</v>
      </c>
      <c r="P1984" s="3" t="s">
        <v>42</v>
      </c>
      <c r="Q1984" s="3" t="s">
        <v>51</v>
      </c>
    </row>
    <row r="1985" spans="1:17" x14ac:dyDescent="0.25">
      <c r="A1985" s="5">
        <v>10266</v>
      </c>
      <c r="B1985" s="5">
        <v>24</v>
      </c>
      <c r="C1985" s="5">
        <v>100</v>
      </c>
      <c r="D1985" s="5">
        <v>2400</v>
      </c>
      <c r="E1985" s="5" t="str">
        <f t="shared" si="121"/>
        <v>Medium</v>
      </c>
      <c r="F1985" s="5">
        <f t="shared" si="122"/>
        <v>720</v>
      </c>
      <c r="G1985" s="6">
        <v>38174</v>
      </c>
      <c r="H1985" s="5" t="s">
        <v>25</v>
      </c>
      <c r="I1985" s="5" t="str">
        <f t="shared" si="120"/>
        <v>Yes</v>
      </c>
      <c r="J1985" s="5" t="s">
        <v>683</v>
      </c>
      <c r="K1985" s="5">
        <v>2004</v>
      </c>
      <c r="L1985" s="5" t="str">
        <f t="shared" si="123"/>
        <v>Jul-2004</v>
      </c>
      <c r="M1985" s="5" t="s">
        <v>181</v>
      </c>
      <c r="N1985" s="5" t="s">
        <v>452</v>
      </c>
      <c r="O1985" s="5" t="s">
        <v>258</v>
      </c>
      <c r="P1985" s="5" t="s">
        <v>42</v>
      </c>
      <c r="Q1985" s="5" t="s">
        <v>36</v>
      </c>
    </row>
    <row r="1986" spans="1:17" x14ac:dyDescent="0.25">
      <c r="A1986" s="3">
        <v>10278</v>
      </c>
      <c r="B1986" s="3">
        <v>25</v>
      </c>
      <c r="C1986" s="3">
        <v>100</v>
      </c>
      <c r="D1986" s="3">
        <v>2500</v>
      </c>
      <c r="E1986" s="3" t="str">
        <f t="shared" si="121"/>
        <v>Medium</v>
      </c>
      <c r="F1986" s="3">
        <f t="shared" si="122"/>
        <v>750</v>
      </c>
      <c r="G1986" s="4">
        <v>38205</v>
      </c>
      <c r="H1986" s="3" t="s">
        <v>25</v>
      </c>
      <c r="I1986" s="3" t="str">
        <f t="shared" ref="I1986:I2049" si="124">IF(H1986="Shipped","Yes","No")</f>
        <v>Yes</v>
      </c>
      <c r="J1986" s="3" t="s">
        <v>684</v>
      </c>
      <c r="K1986" s="3">
        <v>2004</v>
      </c>
      <c r="L1986" s="3" t="str">
        <f t="shared" si="123"/>
        <v>Aug-2004</v>
      </c>
      <c r="M1986" s="3" t="s">
        <v>181</v>
      </c>
      <c r="N1986" s="3" t="s">
        <v>539</v>
      </c>
      <c r="O1986" s="3" t="s">
        <v>32</v>
      </c>
      <c r="P1986" s="3" t="s">
        <v>33</v>
      </c>
      <c r="Q1986" s="3" t="s">
        <v>51</v>
      </c>
    </row>
    <row r="1987" spans="1:17" x14ac:dyDescent="0.25">
      <c r="A1987" s="5">
        <v>10287</v>
      </c>
      <c r="B1987" s="5">
        <v>36</v>
      </c>
      <c r="C1987" s="5">
        <v>100</v>
      </c>
      <c r="D1987" s="5">
        <v>3600</v>
      </c>
      <c r="E1987" s="5" t="str">
        <f t="shared" ref="E1987:E2050" si="125">IF(D1987&gt;=5000,"High",IF(D1987&gt;=2000,"Medium","Low"))</f>
        <v>Medium</v>
      </c>
      <c r="F1987" s="5">
        <f t="shared" ref="F1987:F2050" si="126">(D1987*0.3)</f>
        <v>1080</v>
      </c>
      <c r="G1987" s="6">
        <v>38229</v>
      </c>
      <c r="H1987" s="5" t="s">
        <v>25</v>
      </c>
      <c r="I1987" s="5" t="str">
        <f t="shared" si="124"/>
        <v>Yes</v>
      </c>
      <c r="J1987" s="5" t="s">
        <v>684</v>
      </c>
      <c r="K1987" s="5">
        <v>2004</v>
      </c>
      <c r="L1987" s="5" t="str">
        <f t="shared" ref="L1987:L2050" si="127">TEXT(G:G,"MMM-YYYY")</f>
        <v>Aug-2004</v>
      </c>
      <c r="M1987" s="5" t="s">
        <v>181</v>
      </c>
      <c r="N1987" s="5" t="s">
        <v>446</v>
      </c>
      <c r="O1987" s="5" t="s">
        <v>450</v>
      </c>
      <c r="P1987" s="5" t="s">
        <v>42</v>
      </c>
      <c r="Q1987" s="5" t="s">
        <v>51</v>
      </c>
    </row>
    <row r="1988" spans="1:17" x14ac:dyDescent="0.25">
      <c r="A1988" s="3">
        <v>10301</v>
      </c>
      <c r="B1988" s="3">
        <v>50</v>
      </c>
      <c r="C1988" s="3">
        <v>100</v>
      </c>
      <c r="D1988" s="3">
        <v>5000</v>
      </c>
      <c r="E1988" s="3" t="str">
        <f t="shared" si="125"/>
        <v>High</v>
      </c>
      <c r="F1988" s="3">
        <f t="shared" si="126"/>
        <v>1500</v>
      </c>
      <c r="G1988" s="4">
        <v>37899</v>
      </c>
      <c r="H1988" s="3" t="s">
        <v>25</v>
      </c>
      <c r="I1988" s="3" t="str">
        <f t="shared" si="124"/>
        <v>Yes</v>
      </c>
      <c r="J1988" s="3" t="s">
        <v>685</v>
      </c>
      <c r="K1988" s="3">
        <v>2003</v>
      </c>
      <c r="L1988" s="3" t="str">
        <f t="shared" si="127"/>
        <v>Oct-2003</v>
      </c>
      <c r="M1988" s="3" t="s">
        <v>181</v>
      </c>
      <c r="N1988" s="3" t="s">
        <v>543</v>
      </c>
      <c r="O1988" s="3" t="s">
        <v>78</v>
      </c>
      <c r="P1988" s="3" t="s">
        <v>42</v>
      </c>
      <c r="Q1988" s="3" t="s">
        <v>151</v>
      </c>
    </row>
    <row r="1989" spans="1:17" x14ac:dyDescent="0.25">
      <c r="A1989" s="5">
        <v>10310</v>
      </c>
      <c r="B1989" s="5">
        <v>45</v>
      </c>
      <c r="C1989" s="5">
        <v>100</v>
      </c>
      <c r="D1989" s="5">
        <v>4500</v>
      </c>
      <c r="E1989" s="5" t="str">
        <f t="shared" si="125"/>
        <v>Medium</v>
      </c>
      <c r="F1989" s="5">
        <f t="shared" si="126"/>
        <v>1350</v>
      </c>
      <c r="G1989" s="6">
        <v>38276</v>
      </c>
      <c r="H1989" s="5" t="s">
        <v>25</v>
      </c>
      <c r="I1989" s="5" t="str">
        <f t="shared" si="124"/>
        <v>Yes</v>
      </c>
      <c r="J1989" s="5" t="s">
        <v>685</v>
      </c>
      <c r="K1989" s="5">
        <v>2004</v>
      </c>
      <c r="L1989" s="5" t="str">
        <f t="shared" si="127"/>
        <v>Oct-2004</v>
      </c>
      <c r="M1989" s="5" t="s">
        <v>181</v>
      </c>
      <c r="N1989" s="5" t="s">
        <v>439</v>
      </c>
      <c r="O1989" s="5" t="s">
        <v>443</v>
      </c>
      <c r="P1989" s="5" t="s">
        <v>42</v>
      </c>
      <c r="Q1989" s="5" t="s">
        <v>51</v>
      </c>
    </row>
    <row r="1990" spans="1:17" x14ac:dyDescent="0.25">
      <c r="A1990" s="3">
        <v>10321</v>
      </c>
      <c r="B1990" s="3">
        <v>26</v>
      </c>
      <c r="C1990" s="3">
        <v>100</v>
      </c>
      <c r="D1990" s="3">
        <v>2600</v>
      </c>
      <c r="E1990" s="3" t="str">
        <f t="shared" si="125"/>
        <v>Medium</v>
      </c>
      <c r="F1990" s="3">
        <f t="shared" si="126"/>
        <v>780</v>
      </c>
      <c r="G1990" s="4">
        <v>38295</v>
      </c>
      <c r="H1990" s="3" t="s">
        <v>25</v>
      </c>
      <c r="I1990" s="3" t="str">
        <f t="shared" si="124"/>
        <v>Yes</v>
      </c>
      <c r="J1990" s="3" t="s">
        <v>686</v>
      </c>
      <c r="K1990" s="3">
        <v>2004</v>
      </c>
      <c r="L1990" s="3" t="str">
        <f t="shared" si="127"/>
        <v>Nov-2004</v>
      </c>
      <c r="M1990" s="3" t="s">
        <v>181</v>
      </c>
      <c r="N1990" s="3" t="s">
        <v>160</v>
      </c>
      <c r="O1990" s="3" t="s">
        <v>32</v>
      </c>
      <c r="P1990" s="3" t="s">
        <v>33</v>
      </c>
      <c r="Q1990" s="3" t="s">
        <v>51</v>
      </c>
    </row>
    <row r="1991" spans="1:17" x14ac:dyDescent="0.25">
      <c r="A1991" s="5">
        <v>10331</v>
      </c>
      <c r="B1991" s="5">
        <v>21</v>
      </c>
      <c r="C1991" s="5">
        <v>100</v>
      </c>
      <c r="D1991" s="5">
        <v>2100</v>
      </c>
      <c r="E1991" s="5" t="str">
        <f t="shared" si="125"/>
        <v>Medium</v>
      </c>
      <c r="F1991" s="5">
        <f t="shared" si="126"/>
        <v>630</v>
      </c>
      <c r="G1991" s="6">
        <v>38308</v>
      </c>
      <c r="H1991" s="5" t="s">
        <v>25</v>
      </c>
      <c r="I1991" s="5" t="str">
        <f t="shared" si="124"/>
        <v>Yes</v>
      </c>
      <c r="J1991" s="5" t="s">
        <v>686</v>
      </c>
      <c r="K1991" s="5">
        <v>2004</v>
      </c>
      <c r="L1991" s="5" t="str">
        <f t="shared" si="127"/>
        <v>Nov-2004</v>
      </c>
      <c r="M1991" s="5" t="s">
        <v>181</v>
      </c>
      <c r="N1991" s="5" t="s">
        <v>309</v>
      </c>
      <c r="O1991" s="5" t="s">
        <v>32</v>
      </c>
      <c r="P1991" s="5" t="s">
        <v>33</v>
      </c>
      <c r="Q1991" s="5" t="s">
        <v>51</v>
      </c>
    </row>
    <row r="1992" spans="1:17" x14ac:dyDescent="0.25">
      <c r="A1992" s="3">
        <v>10342</v>
      </c>
      <c r="B1992" s="3">
        <v>42</v>
      </c>
      <c r="C1992" s="3">
        <v>100</v>
      </c>
      <c r="D1992" s="3">
        <v>4200</v>
      </c>
      <c r="E1992" s="3" t="str">
        <f t="shared" si="125"/>
        <v>Medium</v>
      </c>
      <c r="F1992" s="3">
        <f t="shared" si="126"/>
        <v>1260</v>
      </c>
      <c r="G1992" s="4">
        <v>38315</v>
      </c>
      <c r="H1992" s="3" t="s">
        <v>25</v>
      </c>
      <c r="I1992" s="3" t="str">
        <f t="shared" si="124"/>
        <v>Yes</v>
      </c>
      <c r="J1992" s="3" t="s">
        <v>686</v>
      </c>
      <c r="K1992" s="3">
        <v>2004</v>
      </c>
      <c r="L1992" s="3" t="str">
        <f t="shared" si="127"/>
        <v>Nov-2004</v>
      </c>
      <c r="M1992" s="3" t="s">
        <v>181</v>
      </c>
      <c r="N1992" s="3" t="s">
        <v>89</v>
      </c>
      <c r="O1992" s="3" t="s">
        <v>95</v>
      </c>
      <c r="P1992" s="3" t="s">
        <v>96</v>
      </c>
      <c r="Q1992" s="3" t="s">
        <v>51</v>
      </c>
    </row>
    <row r="1993" spans="1:17" x14ac:dyDescent="0.25">
      <c r="A1993" s="5">
        <v>10355</v>
      </c>
      <c r="B1993" s="5">
        <v>32</v>
      </c>
      <c r="C1993" s="5">
        <v>100</v>
      </c>
      <c r="D1993" s="5">
        <v>3200</v>
      </c>
      <c r="E1993" s="5" t="str">
        <f t="shared" si="125"/>
        <v>Medium</v>
      </c>
      <c r="F1993" s="5">
        <f t="shared" si="126"/>
        <v>960</v>
      </c>
      <c r="G1993" s="6">
        <v>38328</v>
      </c>
      <c r="H1993" s="5" t="s">
        <v>25</v>
      </c>
      <c r="I1993" s="5" t="str">
        <f t="shared" si="124"/>
        <v>Yes</v>
      </c>
      <c r="J1993" s="5" t="s">
        <v>687</v>
      </c>
      <c r="K1993" s="5">
        <v>2004</v>
      </c>
      <c r="L1993" s="5" t="str">
        <f t="shared" si="127"/>
        <v>Dec-2004</v>
      </c>
      <c r="M1993" s="5" t="s">
        <v>181</v>
      </c>
      <c r="N1993" s="5" t="s">
        <v>174</v>
      </c>
      <c r="O1993" s="5" t="s">
        <v>178</v>
      </c>
      <c r="P1993" s="5" t="s">
        <v>42</v>
      </c>
      <c r="Q1993" s="5" t="s">
        <v>51</v>
      </c>
    </row>
    <row r="1994" spans="1:17" x14ac:dyDescent="0.25">
      <c r="A1994" s="3">
        <v>10363</v>
      </c>
      <c r="B1994" s="3">
        <v>31</v>
      </c>
      <c r="C1994" s="3">
        <v>94.58</v>
      </c>
      <c r="D1994" s="3">
        <v>2931.98</v>
      </c>
      <c r="E1994" s="3" t="str">
        <f t="shared" si="125"/>
        <v>Medium</v>
      </c>
      <c r="F1994" s="3">
        <f t="shared" si="126"/>
        <v>879.59399999999994</v>
      </c>
      <c r="G1994" s="4">
        <v>38358</v>
      </c>
      <c r="H1994" s="3" t="s">
        <v>25</v>
      </c>
      <c r="I1994" s="3" t="str">
        <f t="shared" si="124"/>
        <v>Yes</v>
      </c>
      <c r="J1994" s="3" t="s">
        <v>549</v>
      </c>
      <c r="K1994" s="3">
        <v>2005</v>
      </c>
      <c r="L1994" s="3" t="str">
        <f t="shared" si="127"/>
        <v>Jan-2005</v>
      </c>
      <c r="M1994" s="3" t="s">
        <v>181</v>
      </c>
      <c r="N1994" s="3" t="s">
        <v>467</v>
      </c>
      <c r="O1994" s="3" t="s">
        <v>130</v>
      </c>
      <c r="P1994" s="3" t="s">
        <v>42</v>
      </c>
      <c r="Q1994" s="3" t="s">
        <v>36</v>
      </c>
    </row>
    <row r="1995" spans="1:17" x14ac:dyDescent="0.25">
      <c r="A1995" s="5">
        <v>10378</v>
      </c>
      <c r="B1995" s="5">
        <v>33</v>
      </c>
      <c r="C1995" s="5">
        <v>53.27</v>
      </c>
      <c r="D1995" s="5">
        <v>1757.91</v>
      </c>
      <c r="E1995" s="5" t="str">
        <f t="shared" si="125"/>
        <v>Low</v>
      </c>
      <c r="F1995" s="5">
        <f t="shared" si="126"/>
        <v>527.37300000000005</v>
      </c>
      <c r="G1995" s="6">
        <v>38393</v>
      </c>
      <c r="H1995" s="5" t="s">
        <v>25</v>
      </c>
      <c r="I1995" s="5" t="str">
        <f t="shared" si="124"/>
        <v>Yes</v>
      </c>
      <c r="J1995" s="5" t="s">
        <v>681</v>
      </c>
      <c r="K1995" s="5">
        <v>2005</v>
      </c>
      <c r="L1995" s="5" t="str">
        <f t="shared" si="127"/>
        <v>Feb-2005</v>
      </c>
      <c r="M1995" s="5" t="s">
        <v>181</v>
      </c>
      <c r="N1995" s="5" t="s">
        <v>174</v>
      </c>
      <c r="O1995" s="5" t="s">
        <v>178</v>
      </c>
      <c r="P1995" s="5" t="s">
        <v>42</v>
      </c>
      <c r="Q1995" s="5" t="s">
        <v>36</v>
      </c>
    </row>
    <row r="1996" spans="1:17" x14ac:dyDescent="0.25">
      <c r="A1996" s="3">
        <v>10390</v>
      </c>
      <c r="B1996" s="3">
        <v>45</v>
      </c>
      <c r="C1996" s="3">
        <v>100</v>
      </c>
      <c r="D1996" s="3">
        <v>4500</v>
      </c>
      <c r="E1996" s="3" t="str">
        <f t="shared" si="125"/>
        <v>Medium</v>
      </c>
      <c r="F1996" s="3">
        <f t="shared" si="126"/>
        <v>1350</v>
      </c>
      <c r="G1996" s="4">
        <v>38415</v>
      </c>
      <c r="H1996" s="3" t="s">
        <v>25</v>
      </c>
      <c r="I1996" s="3" t="str">
        <f t="shared" si="124"/>
        <v>Yes</v>
      </c>
      <c r="J1996" s="3" t="s">
        <v>691</v>
      </c>
      <c r="K1996" s="3">
        <v>2005</v>
      </c>
      <c r="L1996" s="3" t="str">
        <f t="shared" si="127"/>
        <v>Mar-2005</v>
      </c>
      <c r="M1996" s="3" t="s">
        <v>181</v>
      </c>
      <c r="N1996" s="3" t="s">
        <v>272</v>
      </c>
      <c r="O1996" s="3" t="s">
        <v>32</v>
      </c>
      <c r="P1996" s="3" t="s">
        <v>33</v>
      </c>
      <c r="Q1996" s="3" t="s">
        <v>51</v>
      </c>
    </row>
    <row r="1997" spans="1:17" x14ac:dyDescent="0.25">
      <c r="A1997" s="5">
        <v>10405</v>
      </c>
      <c r="B1997" s="5">
        <v>76</v>
      </c>
      <c r="C1997" s="5">
        <v>100</v>
      </c>
      <c r="D1997" s="5">
        <v>7600</v>
      </c>
      <c r="E1997" s="5" t="str">
        <f t="shared" si="125"/>
        <v>High</v>
      </c>
      <c r="F1997" s="5">
        <f t="shared" si="126"/>
        <v>2280</v>
      </c>
      <c r="G1997" s="6">
        <v>38456</v>
      </c>
      <c r="H1997" s="5" t="s">
        <v>25</v>
      </c>
      <c r="I1997" s="5" t="str">
        <f t="shared" si="124"/>
        <v>Yes</v>
      </c>
      <c r="J1997" s="5" t="s">
        <v>688</v>
      </c>
      <c r="K1997" s="5">
        <v>2005</v>
      </c>
      <c r="L1997" s="5" t="str">
        <f t="shared" si="127"/>
        <v>Apr-2005</v>
      </c>
      <c r="M1997" s="5" t="s">
        <v>181</v>
      </c>
      <c r="N1997" s="5" t="s">
        <v>531</v>
      </c>
      <c r="O1997" s="5" t="s">
        <v>41</v>
      </c>
      <c r="P1997" s="5" t="s">
        <v>42</v>
      </c>
      <c r="Q1997" s="5" t="s">
        <v>151</v>
      </c>
    </row>
    <row r="1998" spans="1:17" x14ac:dyDescent="0.25">
      <c r="A1998" s="3">
        <v>10419</v>
      </c>
      <c r="B1998" s="3">
        <v>70</v>
      </c>
      <c r="C1998" s="3">
        <v>100</v>
      </c>
      <c r="D1998" s="3">
        <v>7000</v>
      </c>
      <c r="E1998" s="3" t="str">
        <f t="shared" si="125"/>
        <v>High</v>
      </c>
      <c r="F1998" s="3">
        <f t="shared" si="126"/>
        <v>2100</v>
      </c>
      <c r="G1998" s="4">
        <v>38489</v>
      </c>
      <c r="H1998" s="3" t="s">
        <v>25</v>
      </c>
      <c r="I1998" s="3" t="str">
        <f t="shared" si="124"/>
        <v>Yes</v>
      </c>
      <c r="J1998" s="3" t="s">
        <v>682</v>
      </c>
      <c r="K1998" s="3">
        <v>2005</v>
      </c>
      <c r="L1998" s="3" t="str">
        <f t="shared" si="127"/>
        <v>May-2005</v>
      </c>
      <c r="M1998" s="3" t="s">
        <v>181</v>
      </c>
      <c r="N1998" s="3" t="s">
        <v>144</v>
      </c>
      <c r="O1998" s="3" t="s">
        <v>148</v>
      </c>
      <c r="P1998" s="3" t="s">
        <v>42</v>
      </c>
      <c r="Q1998" s="3" t="s">
        <v>151</v>
      </c>
    </row>
    <row r="1999" spans="1:17" x14ac:dyDescent="0.25">
      <c r="A1999" s="5">
        <v>10106</v>
      </c>
      <c r="B1999" s="5">
        <v>50</v>
      </c>
      <c r="C1999" s="5">
        <v>64.83</v>
      </c>
      <c r="D1999" s="5">
        <v>3241.5</v>
      </c>
      <c r="E1999" s="5" t="str">
        <f t="shared" si="125"/>
        <v>Medium</v>
      </c>
      <c r="F1999" s="5">
        <f t="shared" si="126"/>
        <v>972.44999999999993</v>
      </c>
      <c r="G1999" s="6">
        <v>37669</v>
      </c>
      <c r="H1999" s="5" t="s">
        <v>25</v>
      </c>
      <c r="I1999" s="5" t="str">
        <f t="shared" si="124"/>
        <v>Yes</v>
      </c>
      <c r="J1999" s="5" t="s">
        <v>681</v>
      </c>
      <c r="K1999" s="5">
        <v>2003</v>
      </c>
      <c r="L1999" s="5" t="str">
        <f t="shared" si="127"/>
        <v>Feb-2003</v>
      </c>
      <c r="M1999" s="5" t="s">
        <v>566</v>
      </c>
      <c r="N1999" s="5" t="s">
        <v>552</v>
      </c>
      <c r="O1999" s="5" t="s">
        <v>258</v>
      </c>
      <c r="P1999" s="5" t="s">
        <v>42</v>
      </c>
      <c r="Q1999" s="5" t="s">
        <v>51</v>
      </c>
    </row>
    <row r="2000" spans="1:17" x14ac:dyDescent="0.25">
      <c r="A2000" s="3">
        <v>10119</v>
      </c>
      <c r="B2000" s="3">
        <v>28</v>
      </c>
      <c r="C2000" s="3">
        <v>70.290000000000006</v>
      </c>
      <c r="D2000" s="3">
        <v>1968.1200000000001</v>
      </c>
      <c r="E2000" s="3" t="str">
        <f t="shared" si="125"/>
        <v>Low</v>
      </c>
      <c r="F2000" s="3">
        <f t="shared" si="126"/>
        <v>590.43600000000004</v>
      </c>
      <c r="G2000" s="4">
        <v>37739</v>
      </c>
      <c r="H2000" s="3" t="s">
        <v>25</v>
      </c>
      <c r="I2000" s="3" t="str">
        <f t="shared" si="124"/>
        <v>Yes</v>
      </c>
      <c r="J2000" s="3" t="s">
        <v>688</v>
      </c>
      <c r="K2000" s="3">
        <v>2003</v>
      </c>
      <c r="L2000" s="3" t="str">
        <f t="shared" si="127"/>
        <v>Apr-2003</v>
      </c>
      <c r="M2000" s="3" t="s">
        <v>566</v>
      </c>
      <c r="N2000" s="3" t="s">
        <v>144</v>
      </c>
      <c r="O2000" s="3" t="s">
        <v>148</v>
      </c>
      <c r="P2000" s="3" t="s">
        <v>42</v>
      </c>
      <c r="Q2000" s="3" t="s">
        <v>36</v>
      </c>
    </row>
    <row r="2001" spans="1:17" x14ac:dyDescent="0.25">
      <c r="A2001" s="5">
        <v>10131</v>
      </c>
      <c r="B2001" s="5">
        <v>50</v>
      </c>
      <c r="C2001" s="5">
        <v>81.89</v>
      </c>
      <c r="D2001" s="5">
        <v>4094.5</v>
      </c>
      <c r="E2001" s="5" t="str">
        <f t="shared" si="125"/>
        <v>Medium</v>
      </c>
      <c r="F2001" s="5">
        <f t="shared" si="126"/>
        <v>1228.3499999999999</v>
      </c>
      <c r="G2001" s="6">
        <v>37788</v>
      </c>
      <c r="H2001" s="5" t="s">
        <v>25</v>
      </c>
      <c r="I2001" s="5" t="str">
        <f t="shared" si="124"/>
        <v>Yes</v>
      </c>
      <c r="J2001" s="5" t="s">
        <v>689</v>
      </c>
      <c r="K2001" s="5">
        <v>2003</v>
      </c>
      <c r="L2001" s="5" t="str">
        <f t="shared" si="127"/>
        <v>Jun-2003</v>
      </c>
      <c r="M2001" s="5" t="s">
        <v>566</v>
      </c>
      <c r="N2001" s="5" t="s">
        <v>568</v>
      </c>
      <c r="O2001" s="5" t="s">
        <v>32</v>
      </c>
      <c r="P2001" s="5" t="s">
        <v>33</v>
      </c>
      <c r="Q2001" s="5" t="s">
        <v>51</v>
      </c>
    </row>
    <row r="2002" spans="1:17" x14ac:dyDescent="0.25">
      <c r="A2002" s="3">
        <v>10143</v>
      </c>
      <c r="B2002" s="3">
        <v>28</v>
      </c>
      <c r="C2002" s="3">
        <v>66.19</v>
      </c>
      <c r="D2002" s="3">
        <v>1853.32</v>
      </c>
      <c r="E2002" s="3" t="str">
        <f t="shared" si="125"/>
        <v>Low</v>
      </c>
      <c r="F2002" s="3">
        <f t="shared" si="126"/>
        <v>555.99599999999998</v>
      </c>
      <c r="G2002" s="4">
        <v>37843</v>
      </c>
      <c r="H2002" s="3" t="s">
        <v>25</v>
      </c>
      <c r="I2002" s="3" t="str">
        <f t="shared" si="124"/>
        <v>Yes</v>
      </c>
      <c r="J2002" s="3" t="s">
        <v>684</v>
      </c>
      <c r="K2002" s="3">
        <v>2003</v>
      </c>
      <c r="L2002" s="3" t="str">
        <f t="shared" si="127"/>
        <v>Aug-2003</v>
      </c>
      <c r="M2002" s="3" t="s">
        <v>566</v>
      </c>
      <c r="N2002" s="3" t="s">
        <v>335</v>
      </c>
      <c r="O2002" s="3" t="s">
        <v>32</v>
      </c>
      <c r="P2002" s="3" t="s">
        <v>33</v>
      </c>
      <c r="Q2002" s="3" t="s">
        <v>36</v>
      </c>
    </row>
    <row r="2003" spans="1:17" x14ac:dyDescent="0.25">
      <c r="A2003" s="5">
        <v>10155</v>
      </c>
      <c r="B2003" s="5">
        <v>44</v>
      </c>
      <c r="C2003" s="5">
        <v>77.11</v>
      </c>
      <c r="D2003" s="5">
        <v>3392.84</v>
      </c>
      <c r="E2003" s="5" t="str">
        <f t="shared" si="125"/>
        <v>Medium</v>
      </c>
      <c r="F2003" s="5">
        <f t="shared" si="126"/>
        <v>1017.852</v>
      </c>
      <c r="G2003" s="6">
        <v>37900</v>
      </c>
      <c r="H2003" s="5" t="s">
        <v>25</v>
      </c>
      <c r="I2003" s="5" t="str">
        <f t="shared" si="124"/>
        <v>Yes</v>
      </c>
      <c r="J2003" s="5" t="s">
        <v>685</v>
      </c>
      <c r="K2003" s="5">
        <v>2003</v>
      </c>
      <c r="L2003" s="5" t="str">
        <f t="shared" si="127"/>
        <v>Oct-2003</v>
      </c>
      <c r="M2003" s="5" t="s">
        <v>566</v>
      </c>
      <c r="N2003" s="5" t="s">
        <v>126</v>
      </c>
      <c r="O2003" s="5" t="s">
        <v>130</v>
      </c>
      <c r="P2003" s="5" t="s">
        <v>42</v>
      </c>
      <c r="Q2003" s="5" t="s">
        <v>51</v>
      </c>
    </row>
    <row r="2004" spans="1:17" x14ac:dyDescent="0.25">
      <c r="A2004" s="3">
        <v>10168</v>
      </c>
      <c r="B2004" s="3">
        <v>27</v>
      </c>
      <c r="C2004" s="3">
        <v>73.02</v>
      </c>
      <c r="D2004" s="3">
        <v>1971.54</v>
      </c>
      <c r="E2004" s="3" t="str">
        <f t="shared" si="125"/>
        <v>Low</v>
      </c>
      <c r="F2004" s="3">
        <f t="shared" si="126"/>
        <v>591.46199999999999</v>
      </c>
      <c r="G2004" s="4">
        <v>37922</v>
      </c>
      <c r="H2004" s="3" t="s">
        <v>25</v>
      </c>
      <c r="I2004" s="3" t="str">
        <f t="shared" si="124"/>
        <v>Yes</v>
      </c>
      <c r="J2004" s="3" t="s">
        <v>685</v>
      </c>
      <c r="K2004" s="3">
        <v>2003</v>
      </c>
      <c r="L2004" s="3" t="str">
        <f t="shared" si="127"/>
        <v>Oct-2003</v>
      </c>
      <c r="M2004" s="3" t="s">
        <v>566</v>
      </c>
      <c r="N2004" s="3" t="s">
        <v>62</v>
      </c>
      <c r="O2004" s="3" t="s">
        <v>32</v>
      </c>
      <c r="P2004" s="3" t="s">
        <v>33</v>
      </c>
      <c r="Q2004" s="3" t="s">
        <v>36</v>
      </c>
    </row>
    <row r="2005" spans="1:17" x14ac:dyDescent="0.25">
      <c r="A2005" s="5">
        <v>10178</v>
      </c>
      <c r="B2005" s="5">
        <v>30</v>
      </c>
      <c r="C2005" s="5">
        <v>72.33</v>
      </c>
      <c r="D2005" s="5">
        <v>2169.9</v>
      </c>
      <c r="E2005" s="5" t="str">
        <f t="shared" si="125"/>
        <v>Medium</v>
      </c>
      <c r="F2005" s="5">
        <f t="shared" si="126"/>
        <v>650.97</v>
      </c>
      <c r="G2005" s="6">
        <v>37933</v>
      </c>
      <c r="H2005" s="5" t="s">
        <v>25</v>
      </c>
      <c r="I2005" s="5" t="str">
        <f t="shared" si="124"/>
        <v>Yes</v>
      </c>
      <c r="J2005" s="5" t="s">
        <v>686</v>
      </c>
      <c r="K2005" s="5">
        <v>2003</v>
      </c>
      <c r="L2005" s="5" t="str">
        <f t="shared" si="127"/>
        <v>Nov-2003</v>
      </c>
      <c r="M2005" s="5" t="s">
        <v>566</v>
      </c>
      <c r="N2005" s="5" t="s">
        <v>340</v>
      </c>
      <c r="O2005" s="5" t="s">
        <v>41</v>
      </c>
      <c r="P2005" s="5" t="s">
        <v>42</v>
      </c>
      <c r="Q2005" s="5" t="s">
        <v>36</v>
      </c>
    </row>
    <row r="2006" spans="1:17" x14ac:dyDescent="0.25">
      <c r="A2006" s="3">
        <v>10198</v>
      </c>
      <c r="B2006" s="3">
        <v>43</v>
      </c>
      <c r="C2006" s="3">
        <v>66.19</v>
      </c>
      <c r="D2006" s="3">
        <v>2846.17</v>
      </c>
      <c r="E2006" s="3" t="str">
        <f t="shared" si="125"/>
        <v>Medium</v>
      </c>
      <c r="F2006" s="3">
        <f t="shared" si="126"/>
        <v>853.851</v>
      </c>
      <c r="G2006" s="4">
        <v>37952</v>
      </c>
      <c r="H2006" s="3" t="s">
        <v>25</v>
      </c>
      <c r="I2006" s="3" t="str">
        <f t="shared" si="124"/>
        <v>Yes</v>
      </c>
      <c r="J2006" s="3" t="s">
        <v>686</v>
      </c>
      <c r="K2006" s="3">
        <v>2003</v>
      </c>
      <c r="L2006" s="3" t="str">
        <f t="shared" si="127"/>
        <v>Nov-2003</v>
      </c>
      <c r="M2006" s="3" t="s">
        <v>566</v>
      </c>
      <c r="N2006" s="3" t="s">
        <v>425</v>
      </c>
      <c r="O2006" s="3" t="s">
        <v>430</v>
      </c>
      <c r="P2006" s="3" t="s">
        <v>675</v>
      </c>
      <c r="Q2006" s="3" t="s">
        <v>36</v>
      </c>
    </row>
    <row r="2007" spans="1:17" x14ac:dyDescent="0.25">
      <c r="A2007" s="5">
        <v>10210</v>
      </c>
      <c r="B2007" s="5">
        <v>29</v>
      </c>
      <c r="C2007" s="5">
        <v>69.599999999999994</v>
      </c>
      <c r="D2007" s="5">
        <v>2018.3999999999999</v>
      </c>
      <c r="E2007" s="5" t="str">
        <f t="shared" si="125"/>
        <v>Medium</v>
      </c>
      <c r="F2007" s="5">
        <f t="shared" si="126"/>
        <v>605.52</v>
      </c>
      <c r="G2007" s="6">
        <v>37998</v>
      </c>
      <c r="H2007" s="5" t="s">
        <v>25</v>
      </c>
      <c r="I2007" s="5" t="str">
        <f t="shared" si="124"/>
        <v>Yes</v>
      </c>
      <c r="J2007" s="5" t="s">
        <v>549</v>
      </c>
      <c r="K2007" s="5">
        <v>2004</v>
      </c>
      <c r="L2007" s="5" t="str">
        <f t="shared" si="127"/>
        <v>Jan-2004</v>
      </c>
      <c r="M2007" s="5" t="s">
        <v>566</v>
      </c>
      <c r="N2007" s="5" t="s">
        <v>302</v>
      </c>
      <c r="O2007" s="5" t="s">
        <v>200</v>
      </c>
      <c r="P2007" s="5" t="s">
        <v>675</v>
      </c>
      <c r="Q2007" s="5" t="s">
        <v>36</v>
      </c>
    </row>
    <row r="2008" spans="1:17" x14ac:dyDescent="0.25">
      <c r="A2008" s="3">
        <v>10222</v>
      </c>
      <c r="B2008" s="3">
        <v>48</v>
      </c>
      <c r="C2008" s="3">
        <v>56.64</v>
      </c>
      <c r="D2008" s="3">
        <v>2718.7200000000003</v>
      </c>
      <c r="E2008" s="3" t="str">
        <f t="shared" si="125"/>
        <v>Medium</v>
      </c>
      <c r="F2008" s="3">
        <f t="shared" si="126"/>
        <v>815.6160000000001</v>
      </c>
      <c r="G2008" s="4">
        <v>38036</v>
      </c>
      <c r="H2008" s="3" t="s">
        <v>25</v>
      </c>
      <c r="I2008" s="3" t="str">
        <f t="shared" si="124"/>
        <v>Yes</v>
      </c>
      <c r="J2008" s="3" t="s">
        <v>681</v>
      </c>
      <c r="K2008" s="3">
        <v>2004</v>
      </c>
      <c r="L2008" s="3" t="str">
        <f t="shared" si="127"/>
        <v>Feb-2004</v>
      </c>
      <c r="M2008" s="3" t="s">
        <v>566</v>
      </c>
      <c r="N2008" s="3" t="s">
        <v>362</v>
      </c>
      <c r="O2008" s="3" t="s">
        <v>32</v>
      </c>
      <c r="P2008" s="3" t="s">
        <v>33</v>
      </c>
      <c r="Q2008" s="3" t="s">
        <v>36</v>
      </c>
    </row>
    <row r="2009" spans="1:17" x14ac:dyDescent="0.25">
      <c r="A2009" s="5">
        <v>10235</v>
      </c>
      <c r="B2009" s="5">
        <v>33</v>
      </c>
      <c r="C2009" s="5">
        <v>60.05</v>
      </c>
      <c r="D2009" s="5">
        <v>1981.6499999999999</v>
      </c>
      <c r="E2009" s="5" t="str">
        <f t="shared" si="125"/>
        <v>Low</v>
      </c>
      <c r="F2009" s="5">
        <f t="shared" si="126"/>
        <v>594.49499999999989</v>
      </c>
      <c r="G2009" s="6">
        <v>38079</v>
      </c>
      <c r="H2009" s="5" t="s">
        <v>25</v>
      </c>
      <c r="I2009" s="5" t="str">
        <f t="shared" si="124"/>
        <v>Yes</v>
      </c>
      <c r="J2009" s="5" t="s">
        <v>688</v>
      </c>
      <c r="K2009" s="5">
        <v>2004</v>
      </c>
      <c r="L2009" s="5" t="str">
        <f t="shared" si="127"/>
        <v>Apr-2004</v>
      </c>
      <c r="M2009" s="5" t="s">
        <v>566</v>
      </c>
      <c r="N2009" s="5" t="s">
        <v>373</v>
      </c>
      <c r="O2009" s="5" t="s">
        <v>231</v>
      </c>
      <c r="P2009" s="5" t="s">
        <v>33</v>
      </c>
      <c r="Q2009" s="5" t="s">
        <v>36</v>
      </c>
    </row>
    <row r="2010" spans="1:17" x14ac:dyDescent="0.25">
      <c r="A2010" s="3">
        <v>10250</v>
      </c>
      <c r="B2010" s="3">
        <v>40</v>
      </c>
      <c r="C2010" s="3">
        <v>75.06</v>
      </c>
      <c r="D2010" s="3">
        <v>3002.4</v>
      </c>
      <c r="E2010" s="3" t="str">
        <f t="shared" si="125"/>
        <v>Medium</v>
      </c>
      <c r="F2010" s="3">
        <f t="shared" si="126"/>
        <v>900.72</v>
      </c>
      <c r="G2010" s="4">
        <v>38118</v>
      </c>
      <c r="H2010" s="3" t="s">
        <v>25</v>
      </c>
      <c r="I2010" s="3" t="str">
        <f t="shared" si="124"/>
        <v>Yes</v>
      </c>
      <c r="J2010" s="3" t="s">
        <v>682</v>
      </c>
      <c r="K2010" s="3">
        <v>2004</v>
      </c>
      <c r="L2010" s="3" t="str">
        <f t="shared" si="127"/>
        <v>May-2004</v>
      </c>
      <c r="M2010" s="3" t="s">
        <v>566</v>
      </c>
      <c r="N2010" s="3" t="s">
        <v>397</v>
      </c>
      <c r="O2010" s="3" t="s">
        <v>32</v>
      </c>
      <c r="P2010" s="3" t="s">
        <v>33</v>
      </c>
      <c r="Q2010" s="3" t="s">
        <v>51</v>
      </c>
    </row>
    <row r="2011" spans="1:17" x14ac:dyDescent="0.25">
      <c r="A2011" s="5">
        <v>10262</v>
      </c>
      <c r="B2011" s="5">
        <v>48</v>
      </c>
      <c r="C2011" s="5">
        <v>61.42</v>
      </c>
      <c r="D2011" s="5">
        <v>2948.16</v>
      </c>
      <c r="E2011" s="5" t="str">
        <f t="shared" si="125"/>
        <v>Medium</v>
      </c>
      <c r="F2011" s="5">
        <f t="shared" si="126"/>
        <v>884.44799999999998</v>
      </c>
      <c r="G2011" s="6">
        <v>38162</v>
      </c>
      <c r="H2011" s="5" t="s">
        <v>339</v>
      </c>
      <c r="I2011" s="5" t="str">
        <f t="shared" si="124"/>
        <v>No</v>
      </c>
      <c r="J2011" s="5" t="s">
        <v>689</v>
      </c>
      <c r="K2011" s="5">
        <v>2004</v>
      </c>
      <c r="L2011" s="5" t="str">
        <f t="shared" si="127"/>
        <v>Jun-2004</v>
      </c>
      <c r="M2011" s="5" t="s">
        <v>566</v>
      </c>
      <c r="N2011" s="5" t="s">
        <v>174</v>
      </c>
      <c r="O2011" s="5" t="s">
        <v>178</v>
      </c>
      <c r="P2011" s="5" t="s">
        <v>42</v>
      </c>
      <c r="Q2011" s="5" t="s">
        <v>36</v>
      </c>
    </row>
    <row r="2012" spans="1:17" x14ac:dyDescent="0.25">
      <c r="A2012" s="3">
        <v>10275</v>
      </c>
      <c r="B2012" s="3">
        <v>41</v>
      </c>
      <c r="C2012" s="3">
        <v>81.89</v>
      </c>
      <c r="D2012" s="3">
        <v>3357.4900000000002</v>
      </c>
      <c r="E2012" s="3" t="str">
        <f t="shared" si="125"/>
        <v>Medium</v>
      </c>
      <c r="F2012" s="3">
        <f t="shared" si="126"/>
        <v>1007.2470000000001</v>
      </c>
      <c r="G2012" s="4">
        <v>38191</v>
      </c>
      <c r="H2012" s="3" t="s">
        <v>25</v>
      </c>
      <c r="I2012" s="3" t="str">
        <f t="shared" si="124"/>
        <v>Yes</v>
      </c>
      <c r="J2012" s="3" t="s">
        <v>683</v>
      </c>
      <c r="K2012" s="3">
        <v>2004</v>
      </c>
      <c r="L2012" s="3" t="str">
        <f t="shared" si="127"/>
        <v>Jul-2004</v>
      </c>
      <c r="M2012" s="3" t="s">
        <v>566</v>
      </c>
      <c r="N2012" s="3" t="s">
        <v>114</v>
      </c>
      <c r="O2012" s="3" t="s">
        <v>41</v>
      </c>
      <c r="P2012" s="3" t="s">
        <v>42</v>
      </c>
      <c r="Q2012" s="3" t="s">
        <v>51</v>
      </c>
    </row>
    <row r="2013" spans="1:17" x14ac:dyDescent="0.25">
      <c r="A2013" s="5">
        <v>10284</v>
      </c>
      <c r="B2013" s="5">
        <v>21</v>
      </c>
      <c r="C2013" s="5">
        <v>55.96</v>
      </c>
      <c r="D2013" s="5">
        <v>1175.1600000000001</v>
      </c>
      <c r="E2013" s="5" t="str">
        <f t="shared" si="125"/>
        <v>Low</v>
      </c>
      <c r="F2013" s="5">
        <f t="shared" si="126"/>
        <v>352.548</v>
      </c>
      <c r="G2013" s="6">
        <v>38220</v>
      </c>
      <c r="H2013" s="5" t="s">
        <v>25</v>
      </c>
      <c r="I2013" s="5" t="str">
        <f t="shared" si="124"/>
        <v>Yes</v>
      </c>
      <c r="J2013" s="5" t="s">
        <v>684</v>
      </c>
      <c r="K2013" s="5">
        <v>2004</v>
      </c>
      <c r="L2013" s="5" t="str">
        <f t="shared" si="127"/>
        <v>Aug-2004</v>
      </c>
      <c r="M2013" s="5" t="s">
        <v>566</v>
      </c>
      <c r="N2013" s="5" t="s">
        <v>543</v>
      </c>
      <c r="O2013" s="5" t="s">
        <v>78</v>
      </c>
      <c r="P2013" s="5" t="s">
        <v>42</v>
      </c>
      <c r="Q2013" s="5" t="s">
        <v>36</v>
      </c>
    </row>
    <row r="2014" spans="1:17" x14ac:dyDescent="0.25">
      <c r="A2014" s="3">
        <v>10296</v>
      </c>
      <c r="B2014" s="3">
        <v>32</v>
      </c>
      <c r="C2014" s="3">
        <v>71.650000000000006</v>
      </c>
      <c r="D2014" s="3">
        <v>2292.8000000000002</v>
      </c>
      <c r="E2014" s="3" t="str">
        <f t="shared" si="125"/>
        <v>Medium</v>
      </c>
      <c r="F2014" s="3">
        <f t="shared" si="126"/>
        <v>687.84</v>
      </c>
      <c r="G2014" s="4">
        <v>38245</v>
      </c>
      <c r="H2014" s="3" t="s">
        <v>25</v>
      </c>
      <c r="I2014" s="3" t="str">
        <f t="shared" si="124"/>
        <v>Yes</v>
      </c>
      <c r="J2014" s="3" t="s">
        <v>690</v>
      </c>
      <c r="K2014" s="3">
        <v>2004</v>
      </c>
      <c r="L2014" s="3" t="str">
        <f t="shared" si="127"/>
        <v>Sep-2004</v>
      </c>
      <c r="M2014" s="3" t="s">
        <v>566</v>
      </c>
      <c r="N2014" s="3" t="s">
        <v>572</v>
      </c>
      <c r="O2014" s="3" t="s">
        <v>443</v>
      </c>
      <c r="P2014" s="3" t="s">
        <v>42</v>
      </c>
      <c r="Q2014" s="3" t="s">
        <v>36</v>
      </c>
    </row>
    <row r="2015" spans="1:17" x14ac:dyDescent="0.25">
      <c r="A2015" s="5">
        <v>10308</v>
      </c>
      <c r="B2015" s="5">
        <v>43</v>
      </c>
      <c r="C2015" s="5">
        <v>76.430000000000007</v>
      </c>
      <c r="D2015" s="5">
        <v>3286.4900000000002</v>
      </c>
      <c r="E2015" s="5" t="str">
        <f t="shared" si="125"/>
        <v>Medium</v>
      </c>
      <c r="F2015" s="5">
        <f t="shared" si="126"/>
        <v>985.947</v>
      </c>
      <c r="G2015" s="6">
        <v>38275</v>
      </c>
      <c r="H2015" s="5" t="s">
        <v>25</v>
      </c>
      <c r="I2015" s="5" t="str">
        <f t="shared" si="124"/>
        <v>Yes</v>
      </c>
      <c r="J2015" s="5" t="s">
        <v>685</v>
      </c>
      <c r="K2015" s="5">
        <v>2004</v>
      </c>
      <c r="L2015" s="5" t="str">
        <f t="shared" si="127"/>
        <v>Oct-2004</v>
      </c>
      <c r="M2015" s="5" t="s">
        <v>566</v>
      </c>
      <c r="N2015" s="5" t="s">
        <v>317</v>
      </c>
      <c r="O2015" s="5" t="s">
        <v>32</v>
      </c>
      <c r="P2015" s="5" t="s">
        <v>33</v>
      </c>
      <c r="Q2015" s="5" t="s">
        <v>51</v>
      </c>
    </row>
    <row r="2016" spans="1:17" x14ac:dyDescent="0.25">
      <c r="A2016" s="3">
        <v>10316</v>
      </c>
      <c r="B2016" s="3">
        <v>30</v>
      </c>
      <c r="C2016" s="3">
        <v>77.790000000000006</v>
      </c>
      <c r="D2016" s="3">
        <v>2333.7000000000003</v>
      </c>
      <c r="E2016" s="3" t="str">
        <f t="shared" si="125"/>
        <v>Medium</v>
      </c>
      <c r="F2016" s="3">
        <f t="shared" si="126"/>
        <v>700.11</v>
      </c>
      <c r="G2016" s="4">
        <v>38292</v>
      </c>
      <c r="H2016" s="3" t="s">
        <v>25</v>
      </c>
      <c r="I2016" s="3" t="str">
        <f t="shared" si="124"/>
        <v>Yes</v>
      </c>
      <c r="J2016" s="3" t="s">
        <v>686</v>
      </c>
      <c r="K2016" s="3">
        <v>2004</v>
      </c>
      <c r="L2016" s="3" t="str">
        <f t="shared" si="127"/>
        <v>Nov-2004</v>
      </c>
      <c r="M2016" s="3" t="s">
        <v>566</v>
      </c>
      <c r="N2016" s="3" t="s">
        <v>383</v>
      </c>
      <c r="O2016" s="3" t="s">
        <v>170</v>
      </c>
      <c r="P2016" s="3" t="s">
        <v>42</v>
      </c>
      <c r="Q2016" s="3" t="s">
        <v>36</v>
      </c>
    </row>
    <row r="2017" spans="1:17" x14ac:dyDescent="0.25">
      <c r="A2017" s="5">
        <v>10328</v>
      </c>
      <c r="B2017" s="5">
        <v>35</v>
      </c>
      <c r="C2017" s="5">
        <v>76.430000000000007</v>
      </c>
      <c r="D2017" s="5">
        <v>2675.05</v>
      </c>
      <c r="E2017" s="5" t="str">
        <f t="shared" si="125"/>
        <v>Medium</v>
      </c>
      <c r="F2017" s="5">
        <f t="shared" si="126"/>
        <v>802.51499999999999</v>
      </c>
      <c r="G2017" s="6">
        <v>38303</v>
      </c>
      <c r="H2017" s="5" t="s">
        <v>25</v>
      </c>
      <c r="I2017" s="5" t="str">
        <f t="shared" si="124"/>
        <v>Yes</v>
      </c>
      <c r="J2017" s="5" t="s">
        <v>686</v>
      </c>
      <c r="K2017" s="5">
        <v>2004</v>
      </c>
      <c r="L2017" s="5" t="str">
        <f t="shared" si="127"/>
        <v>Nov-2004</v>
      </c>
      <c r="M2017" s="5" t="s">
        <v>566</v>
      </c>
      <c r="N2017" s="5" t="s">
        <v>552</v>
      </c>
      <c r="O2017" s="5" t="s">
        <v>258</v>
      </c>
      <c r="P2017" s="5" t="s">
        <v>42</v>
      </c>
      <c r="Q2017" s="5" t="s">
        <v>36</v>
      </c>
    </row>
    <row r="2018" spans="1:17" x14ac:dyDescent="0.25">
      <c r="A2018" s="3">
        <v>10339</v>
      </c>
      <c r="B2018" s="3">
        <v>45</v>
      </c>
      <c r="C2018" s="3">
        <v>96.92</v>
      </c>
      <c r="D2018" s="3">
        <v>4361.3999999999996</v>
      </c>
      <c r="E2018" s="3" t="str">
        <f t="shared" si="125"/>
        <v>Medium</v>
      </c>
      <c r="F2018" s="3">
        <f t="shared" si="126"/>
        <v>1308.4199999999998</v>
      </c>
      <c r="G2018" s="4">
        <v>38314</v>
      </c>
      <c r="H2018" s="3" t="s">
        <v>25</v>
      </c>
      <c r="I2018" s="3" t="str">
        <f t="shared" si="124"/>
        <v>Yes</v>
      </c>
      <c r="J2018" s="3" t="s">
        <v>686</v>
      </c>
      <c r="K2018" s="3">
        <v>2004</v>
      </c>
      <c r="L2018" s="3" t="str">
        <f t="shared" si="127"/>
        <v>Nov-2004</v>
      </c>
      <c r="M2018" s="3" t="s">
        <v>566</v>
      </c>
      <c r="N2018" s="3" t="s">
        <v>246</v>
      </c>
      <c r="O2018" s="3" t="s">
        <v>200</v>
      </c>
      <c r="P2018" s="3" t="s">
        <v>675</v>
      </c>
      <c r="Q2018" s="3" t="s">
        <v>51</v>
      </c>
    </row>
    <row r="2019" spans="1:17" x14ac:dyDescent="0.25">
      <c r="A2019" s="5">
        <v>10351</v>
      </c>
      <c r="B2019" s="5">
        <v>34</v>
      </c>
      <c r="C2019" s="5">
        <v>59.37</v>
      </c>
      <c r="D2019" s="5">
        <v>2018.58</v>
      </c>
      <c r="E2019" s="5" t="str">
        <f t="shared" si="125"/>
        <v>Medium</v>
      </c>
      <c r="F2019" s="5">
        <f t="shared" si="126"/>
        <v>605.57399999999996</v>
      </c>
      <c r="G2019" s="6">
        <v>38324</v>
      </c>
      <c r="H2019" s="5" t="s">
        <v>25</v>
      </c>
      <c r="I2019" s="5" t="str">
        <f t="shared" si="124"/>
        <v>Yes</v>
      </c>
      <c r="J2019" s="5" t="s">
        <v>687</v>
      </c>
      <c r="K2019" s="5">
        <v>2004</v>
      </c>
      <c r="L2019" s="5" t="str">
        <f t="shared" si="127"/>
        <v>Dec-2004</v>
      </c>
      <c r="M2019" s="5" t="s">
        <v>566</v>
      </c>
      <c r="N2019" s="5" t="s">
        <v>329</v>
      </c>
      <c r="O2019" s="5" t="s">
        <v>170</v>
      </c>
      <c r="P2019" s="5" t="s">
        <v>42</v>
      </c>
      <c r="Q2019" s="5" t="s">
        <v>36</v>
      </c>
    </row>
    <row r="2020" spans="1:17" x14ac:dyDescent="0.25">
      <c r="A2020" s="3">
        <v>10361</v>
      </c>
      <c r="B2020" s="3">
        <v>26</v>
      </c>
      <c r="C2020" s="3">
        <v>100</v>
      </c>
      <c r="D2020" s="3">
        <v>2600</v>
      </c>
      <c r="E2020" s="3" t="str">
        <f t="shared" si="125"/>
        <v>Medium</v>
      </c>
      <c r="F2020" s="3">
        <f t="shared" si="126"/>
        <v>780</v>
      </c>
      <c r="G2020" s="4">
        <v>38338</v>
      </c>
      <c r="H2020" s="3" t="s">
        <v>25</v>
      </c>
      <c r="I2020" s="3" t="str">
        <f t="shared" si="124"/>
        <v>Yes</v>
      </c>
      <c r="J2020" s="3" t="s">
        <v>687</v>
      </c>
      <c r="K2020" s="3">
        <v>2004</v>
      </c>
      <c r="L2020" s="3" t="str">
        <f t="shared" si="127"/>
        <v>Dec-2004</v>
      </c>
      <c r="M2020" s="3" t="s">
        <v>566</v>
      </c>
      <c r="N2020" s="3" t="s">
        <v>152</v>
      </c>
      <c r="O2020" s="3" t="s">
        <v>95</v>
      </c>
      <c r="P2020" s="3" t="s">
        <v>96</v>
      </c>
      <c r="Q2020" s="3" t="s">
        <v>51</v>
      </c>
    </row>
    <row r="2021" spans="1:17" x14ac:dyDescent="0.25">
      <c r="A2021" s="5">
        <v>10373</v>
      </c>
      <c r="B2021" s="5">
        <v>39</v>
      </c>
      <c r="C2021" s="5">
        <v>73</v>
      </c>
      <c r="D2021" s="5">
        <v>2847</v>
      </c>
      <c r="E2021" s="5" t="str">
        <f t="shared" si="125"/>
        <v>Medium</v>
      </c>
      <c r="F2021" s="5">
        <f t="shared" si="126"/>
        <v>854.1</v>
      </c>
      <c r="G2021" s="6">
        <v>38383</v>
      </c>
      <c r="H2021" s="5" t="s">
        <v>25</v>
      </c>
      <c r="I2021" s="5" t="str">
        <f t="shared" si="124"/>
        <v>Yes</v>
      </c>
      <c r="J2021" s="5" t="s">
        <v>549</v>
      </c>
      <c r="K2021" s="5">
        <v>2005</v>
      </c>
      <c r="L2021" s="5" t="str">
        <f t="shared" si="127"/>
        <v>Jan-2005</v>
      </c>
      <c r="M2021" s="5" t="s">
        <v>566</v>
      </c>
      <c r="N2021" s="5" t="s">
        <v>391</v>
      </c>
      <c r="O2021" s="5" t="s">
        <v>130</v>
      </c>
      <c r="P2021" s="5" t="s">
        <v>42</v>
      </c>
      <c r="Q2021" s="5" t="s">
        <v>36</v>
      </c>
    </row>
    <row r="2022" spans="1:17" x14ac:dyDescent="0.25">
      <c r="A2022" s="3">
        <v>10386</v>
      </c>
      <c r="B2022" s="3">
        <v>41</v>
      </c>
      <c r="C2022" s="3">
        <v>73.319999999999993</v>
      </c>
      <c r="D2022" s="3">
        <v>3006.12</v>
      </c>
      <c r="E2022" s="3" t="str">
        <f t="shared" si="125"/>
        <v>Medium</v>
      </c>
      <c r="F2022" s="3">
        <f t="shared" si="126"/>
        <v>901.8359999999999</v>
      </c>
      <c r="G2022" s="4">
        <v>38412</v>
      </c>
      <c r="H2022" s="3" t="s">
        <v>408</v>
      </c>
      <c r="I2022" s="3" t="str">
        <f t="shared" si="124"/>
        <v>No</v>
      </c>
      <c r="J2022" s="3" t="s">
        <v>691</v>
      </c>
      <c r="K2022" s="3">
        <v>2005</v>
      </c>
      <c r="L2022" s="3" t="str">
        <f t="shared" si="127"/>
        <v>Mar-2005</v>
      </c>
      <c r="M2022" s="3" t="s">
        <v>566</v>
      </c>
      <c r="N2022" s="3" t="s">
        <v>174</v>
      </c>
      <c r="O2022" s="3" t="s">
        <v>178</v>
      </c>
      <c r="P2022" s="3" t="s">
        <v>42</v>
      </c>
      <c r="Q2022" s="3" t="s">
        <v>51</v>
      </c>
    </row>
    <row r="2023" spans="1:17" x14ac:dyDescent="0.25">
      <c r="A2023" s="5">
        <v>10398</v>
      </c>
      <c r="B2023" s="5">
        <v>41</v>
      </c>
      <c r="C2023" s="5">
        <v>68.239999999999995</v>
      </c>
      <c r="D2023" s="5">
        <v>2797.8399999999997</v>
      </c>
      <c r="E2023" s="5" t="str">
        <f t="shared" si="125"/>
        <v>Medium</v>
      </c>
      <c r="F2023" s="5">
        <f t="shared" si="126"/>
        <v>839.35199999999986</v>
      </c>
      <c r="G2023" s="6">
        <v>38441</v>
      </c>
      <c r="H2023" s="5" t="s">
        <v>25</v>
      </c>
      <c r="I2023" s="5" t="str">
        <f t="shared" si="124"/>
        <v>Yes</v>
      </c>
      <c r="J2023" s="5" t="s">
        <v>691</v>
      </c>
      <c r="K2023" s="5">
        <v>2005</v>
      </c>
      <c r="L2023" s="5" t="str">
        <f t="shared" si="127"/>
        <v>Mar-2005</v>
      </c>
      <c r="M2023" s="5" t="s">
        <v>566</v>
      </c>
      <c r="N2023" s="5" t="s">
        <v>37</v>
      </c>
      <c r="O2023" s="5" t="s">
        <v>41</v>
      </c>
      <c r="P2023" s="5" t="s">
        <v>42</v>
      </c>
      <c r="Q2023" s="5" t="s">
        <v>36</v>
      </c>
    </row>
    <row r="2024" spans="1:17" x14ac:dyDescent="0.25">
      <c r="A2024" s="3">
        <v>10401</v>
      </c>
      <c r="B2024" s="3">
        <v>64</v>
      </c>
      <c r="C2024" s="3">
        <v>60.05</v>
      </c>
      <c r="D2024" s="3">
        <v>3843.2</v>
      </c>
      <c r="E2024" s="3" t="str">
        <f t="shared" si="125"/>
        <v>Medium</v>
      </c>
      <c r="F2024" s="3">
        <f t="shared" si="126"/>
        <v>1152.9599999999998</v>
      </c>
      <c r="G2024" s="4">
        <v>38445</v>
      </c>
      <c r="H2024" s="3" t="s">
        <v>401</v>
      </c>
      <c r="I2024" s="3" t="str">
        <f t="shared" si="124"/>
        <v>No</v>
      </c>
      <c r="J2024" s="3" t="s">
        <v>688</v>
      </c>
      <c r="K2024" s="3">
        <v>2005</v>
      </c>
      <c r="L2024" s="3" t="str">
        <f t="shared" si="127"/>
        <v>Apr-2005</v>
      </c>
      <c r="M2024" s="3" t="s">
        <v>566</v>
      </c>
      <c r="N2024" s="3" t="s">
        <v>104</v>
      </c>
      <c r="O2024" s="3" t="s">
        <v>32</v>
      </c>
      <c r="P2024" s="3" t="s">
        <v>33</v>
      </c>
      <c r="Q2024" s="3" t="s">
        <v>51</v>
      </c>
    </row>
    <row r="2025" spans="1:17" x14ac:dyDescent="0.25">
      <c r="A2025" s="5">
        <v>10416</v>
      </c>
      <c r="B2025" s="5">
        <v>18</v>
      </c>
      <c r="C2025" s="5">
        <v>75.06</v>
      </c>
      <c r="D2025" s="5">
        <v>1351.08</v>
      </c>
      <c r="E2025" s="5" t="str">
        <f t="shared" si="125"/>
        <v>Low</v>
      </c>
      <c r="F2025" s="5">
        <f t="shared" si="126"/>
        <v>405.32399999999996</v>
      </c>
      <c r="G2025" s="6">
        <v>38482</v>
      </c>
      <c r="H2025" s="5" t="s">
        <v>25</v>
      </c>
      <c r="I2025" s="5" t="str">
        <f t="shared" si="124"/>
        <v>Yes</v>
      </c>
      <c r="J2025" s="5" t="s">
        <v>682</v>
      </c>
      <c r="K2025" s="5">
        <v>2005</v>
      </c>
      <c r="L2025" s="5" t="str">
        <f t="shared" si="127"/>
        <v>May-2005</v>
      </c>
      <c r="M2025" s="5" t="s">
        <v>566</v>
      </c>
      <c r="N2025" s="5" t="s">
        <v>452</v>
      </c>
      <c r="O2025" s="5" t="s">
        <v>258</v>
      </c>
      <c r="P2025" s="5" t="s">
        <v>42</v>
      </c>
      <c r="Q2025" s="5" t="s">
        <v>36</v>
      </c>
    </row>
    <row r="2026" spans="1:17" x14ac:dyDescent="0.25">
      <c r="A2026" s="3">
        <v>10100</v>
      </c>
      <c r="B2026" s="3">
        <v>49</v>
      </c>
      <c r="C2026" s="3">
        <v>34.47</v>
      </c>
      <c r="D2026" s="3">
        <v>1689.03</v>
      </c>
      <c r="E2026" s="3" t="str">
        <f t="shared" si="125"/>
        <v>Low</v>
      </c>
      <c r="F2026" s="3">
        <f t="shared" si="126"/>
        <v>506.70899999999995</v>
      </c>
      <c r="G2026" s="4">
        <v>37627</v>
      </c>
      <c r="H2026" s="3" t="s">
        <v>25</v>
      </c>
      <c r="I2026" s="3" t="str">
        <f t="shared" si="124"/>
        <v>Yes</v>
      </c>
      <c r="J2026" s="3" t="s">
        <v>549</v>
      </c>
      <c r="K2026" s="3">
        <v>2003</v>
      </c>
      <c r="L2026" s="3" t="str">
        <f t="shared" si="127"/>
        <v>Jan-2003</v>
      </c>
      <c r="M2026" s="3" t="s">
        <v>550</v>
      </c>
      <c r="N2026" s="3" t="s">
        <v>277</v>
      </c>
      <c r="O2026" s="3" t="s">
        <v>32</v>
      </c>
      <c r="P2026" s="3" t="s">
        <v>33</v>
      </c>
      <c r="Q2026" s="3" t="s">
        <v>36</v>
      </c>
    </row>
    <row r="2027" spans="1:17" x14ac:dyDescent="0.25">
      <c r="A2027" s="5">
        <v>10110</v>
      </c>
      <c r="B2027" s="5">
        <v>48</v>
      </c>
      <c r="C2027" s="5">
        <v>34.47</v>
      </c>
      <c r="D2027" s="5">
        <v>1654.56</v>
      </c>
      <c r="E2027" s="5" t="str">
        <f t="shared" si="125"/>
        <v>Low</v>
      </c>
      <c r="F2027" s="5">
        <f t="shared" si="126"/>
        <v>496.36799999999994</v>
      </c>
      <c r="G2027" s="6">
        <v>37698</v>
      </c>
      <c r="H2027" s="5" t="s">
        <v>25</v>
      </c>
      <c r="I2027" s="5" t="str">
        <f t="shared" si="124"/>
        <v>Yes</v>
      </c>
      <c r="J2027" s="5" t="s">
        <v>691</v>
      </c>
      <c r="K2027" s="5">
        <v>2003</v>
      </c>
      <c r="L2027" s="5" t="str">
        <f t="shared" si="127"/>
        <v>Mar-2003</v>
      </c>
      <c r="M2027" s="5" t="s">
        <v>550</v>
      </c>
      <c r="N2027" s="5" t="s">
        <v>492</v>
      </c>
      <c r="O2027" s="5" t="s">
        <v>170</v>
      </c>
      <c r="P2027" s="5" t="s">
        <v>42</v>
      </c>
      <c r="Q2027" s="5" t="s">
        <v>36</v>
      </c>
    </row>
    <row r="2028" spans="1:17" x14ac:dyDescent="0.25">
      <c r="A2028" s="3">
        <v>10124</v>
      </c>
      <c r="B2028" s="3">
        <v>46</v>
      </c>
      <c r="C2028" s="3">
        <v>33.229999999999997</v>
      </c>
      <c r="D2028" s="3">
        <v>1528.58</v>
      </c>
      <c r="E2028" s="3" t="str">
        <f t="shared" si="125"/>
        <v>Low</v>
      </c>
      <c r="F2028" s="3">
        <f t="shared" si="126"/>
        <v>458.57399999999996</v>
      </c>
      <c r="G2028" s="4">
        <v>37762</v>
      </c>
      <c r="H2028" s="3" t="s">
        <v>25</v>
      </c>
      <c r="I2028" s="3" t="str">
        <f t="shared" si="124"/>
        <v>Yes</v>
      </c>
      <c r="J2028" s="3" t="s">
        <v>682</v>
      </c>
      <c r="K2028" s="3">
        <v>2003</v>
      </c>
      <c r="L2028" s="3" t="str">
        <f t="shared" si="127"/>
        <v>May-2003</v>
      </c>
      <c r="M2028" s="3" t="s">
        <v>550</v>
      </c>
      <c r="N2028" s="3" t="s">
        <v>539</v>
      </c>
      <c r="O2028" s="3" t="s">
        <v>32</v>
      </c>
      <c r="P2028" s="3" t="s">
        <v>33</v>
      </c>
      <c r="Q2028" s="3" t="s">
        <v>36</v>
      </c>
    </row>
    <row r="2029" spans="1:17" x14ac:dyDescent="0.25">
      <c r="A2029" s="5">
        <v>10149</v>
      </c>
      <c r="B2029" s="5">
        <v>26</v>
      </c>
      <c r="C2029" s="5">
        <v>38.979999999999997</v>
      </c>
      <c r="D2029" s="5">
        <v>1013.4799999999999</v>
      </c>
      <c r="E2029" s="5" t="str">
        <f t="shared" si="125"/>
        <v>Low</v>
      </c>
      <c r="F2029" s="5">
        <f t="shared" si="126"/>
        <v>304.04399999999998</v>
      </c>
      <c r="G2029" s="6">
        <v>37876</v>
      </c>
      <c r="H2029" s="5" t="s">
        <v>25</v>
      </c>
      <c r="I2029" s="5" t="str">
        <f t="shared" si="124"/>
        <v>Yes</v>
      </c>
      <c r="J2029" s="5" t="s">
        <v>690</v>
      </c>
      <c r="K2029" s="5">
        <v>2003</v>
      </c>
      <c r="L2029" s="5" t="str">
        <f t="shared" si="127"/>
        <v>Sep-2003</v>
      </c>
      <c r="M2029" s="5" t="s">
        <v>550</v>
      </c>
      <c r="N2029" s="5" t="s">
        <v>526</v>
      </c>
      <c r="O2029" s="5" t="s">
        <v>32</v>
      </c>
      <c r="P2029" s="5" t="s">
        <v>33</v>
      </c>
      <c r="Q2029" s="5" t="s">
        <v>36</v>
      </c>
    </row>
    <row r="2030" spans="1:17" x14ac:dyDescent="0.25">
      <c r="A2030" s="3">
        <v>10162</v>
      </c>
      <c r="B2030" s="3">
        <v>37</v>
      </c>
      <c r="C2030" s="3">
        <v>38.979999999999997</v>
      </c>
      <c r="D2030" s="3">
        <v>1442.26</v>
      </c>
      <c r="E2030" s="3" t="str">
        <f t="shared" si="125"/>
        <v>Low</v>
      </c>
      <c r="F2030" s="3">
        <f t="shared" si="126"/>
        <v>432.678</v>
      </c>
      <c r="G2030" s="4">
        <v>37912</v>
      </c>
      <c r="H2030" s="3" t="s">
        <v>25</v>
      </c>
      <c r="I2030" s="3" t="str">
        <f t="shared" si="124"/>
        <v>Yes</v>
      </c>
      <c r="J2030" s="3" t="s">
        <v>685</v>
      </c>
      <c r="K2030" s="3">
        <v>2003</v>
      </c>
      <c r="L2030" s="3" t="str">
        <f t="shared" si="127"/>
        <v>Oct-2003</v>
      </c>
      <c r="M2030" s="3" t="s">
        <v>550</v>
      </c>
      <c r="N2030" s="3" t="s">
        <v>58</v>
      </c>
      <c r="O2030" s="3" t="s">
        <v>32</v>
      </c>
      <c r="P2030" s="3" t="s">
        <v>33</v>
      </c>
      <c r="Q2030" s="3" t="s">
        <v>36</v>
      </c>
    </row>
    <row r="2031" spans="1:17" x14ac:dyDescent="0.25">
      <c r="A2031" s="5">
        <v>10173</v>
      </c>
      <c r="B2031" s="5">
        <v>35</v>
      </c>
      <c r="C2031" s="5">
        <v>33.229999999999997</v>
      </c>
      <c r="D2031" s="5">
        <v>1163.05</v>
      </c>
      <c r="E2031" s="5" t="str">
        <f t="shared" si="125"/>
        <v>Low</v>
      </c>
      <c r="F2031" s="5">
        <f t="shared" si="126"/>
        <v>348.91499999999996</v>
      </c>
      <c r="G2031" s="6">
        <v>37930</v>
      </c>
      <c r="H2031" s="5" t="s">
        <v>25</v>
      </c>
      <c r="I2031" s="5" t="str">
        <f t="shared" si="124"/>
        <v>Yes</v>
      </c>
      <c r="J2031" s="5" t="s">
        <v>686</v>
      </c>
      <c r="K2031" s="5">
        <v>2003</v>
      </c>
      <c r="L2031" s="5" t="str">
        <f t="shared" si="127"/>
        <v>Nov-2003</v>
      </c>
      <c r="M2031" s="5" t="s">
        <v>550</v>
      </c>
      <c r="N2031" s="5" t="s">
        <v>552</v>
      </c>
      <c r="O2031" s="5" t="s">
        <v>258</v>
      </c>
      <c r="P2031" s="5" t="s">
        <v>42</v>
      </c>
      <c r="Q2031" s="5" t="s">
        <v>36</v>
      </c>
    </row>
    <row r="2032" spans="1:17" x14ac:dyDescent="0.25">
      <c r="A2032" s="3">
        <v>10182</v>
      </c>
      <c r="B2032" s="3">
        <v>23</v>
      </c>
      <c r="C2032" s="3">
        <v>42.26</v>
      </c>
      <c r="D2032" s="3">
        <v>971.9799999999999</v>
      </c>
      <c r="E2032" s="3" t="str">
        <f t="shared" si="125"/>
        <v>Low</v>
      </c>
      <c r="F2032" s="3">
        <f t="shared" si="126"/>
        <v>291.59399999999994</v>
      </c>
      <c r="G2032" s="4">
        <v>37937</v>
      </c>
      <c r="H2032" s="3" t="s">
        <v>25</v>
      </c>
      <c r="I2032" s="3" t="str">
        <f t="shared" si="124"/>
        <v>Yes</v>
      </c>
      <c r="J2032" s="3" t="s">
        <v>686</v>
      </c>
      <c r="K2032" s="3">
        <v>2003</v>
      </c>
      <c r="L2032" s="3" t="str">
        <f t="shared" si="127"/>
        <v>Nov-2003</v>
      </c>
      <c r="M2032" s="3" t="s">
        <v>550</v>
      </c>
      <c r="N2032" s="3" t="s">
        <v>272</v>
      </c>
      <c r="O2032" s="3" t="s">
        <v>32</v>
      </c>
      <c r="P2032" s="3" t="s">
        <v>33</v>
      </c>
      <c r="Q2032" s="3" t="s">
        <v>36</v>
      </c>
    </row>
    <row r="2033" spans="1:17" x14ac:dyDescent="0.25">
      <c r="A2033" s="5">
        <v>10193</v>
      </c>
      <c r="B2033" s="5">
        <v>22</v>
      </c>
      <c r="C2033" s="5">
        <v>41.03</v>
      </c>
      <c r="D2033" s="5">
        <v>902.66000000000008</v>
      </c>
      <c r="E2033" s="5" t="str">
        <f t="shared" si="125"/>
        <v>Low</v>
      </c>
      <c r="F2033" s="5">
        <f t="shared" si="126"/>
        <v>270.798</v>
      </c>
      <c r="G2033" s="6">
        <v>37946</v>
      </c>
      <c r="H2033" s="5" t="s">
        <v>25</v>
      </c>
      <c r="I2033" s="5" t="str">
        <f t="shared" si="124"/>
        <v>Yes</v>
      </c>
      <c r="J2033" s="5" t="s">
        <v>686</v>
      </c>
      <c r="K2033" s="5">
        <v>2003</v>
      </c>
      <c r="L2033" s="5" t="str">
        <f t="shared" si="127"/>
        <v>Nov-2003</v>
      </c>
      <c r="M2033" s="5" t="s">
        <v>550</v>
      </c>
      <c r="N2033" s="5" t="s">
        <v>558</v>
      </c>
      <c r="O2033" s="5" t="s">
        <v>95</v>
      </c>
      <c r="P2033" s="5" t="s">
        <v>96</v>
      </c>
      <c r="Q2033" s="5" t="s">
        <v>36</v>
      </c>
    </row>
    <row r="2034" spans="1:17" x14ac:dyDescent="0.25">
      <c r="A2034" s="3">
        <v>10204</v>
      </c>
      <c r="B2034" s="3">
        <v>39</v>
      </c>
      <c r="C2034" s="3">
        <v>33.229999999999997</v>
      </c>
      <c r="D2034" s="3">
        <v>1295.9699999999998</v>
      </c>
      <c r="E2034" s="3" t="str">
        <f t="shared" si="125"/>
        <v>Low</v>
      </c>
      <c r="F2034" s="3">
        <f t="shared" si="126"/>
        <v>388.79099999999994</v>
      </c>
      <c r="G2034" s="4">
        <v>37957</v>
      </c>
      <c r="H2034" s="3" t="s">
        <v>25</v>
      </c>
      <c r="I2034" s="3" t="str">
        <f t="shared" si="124"/>
        <v>Yes</v>
      </c>
      <c r="J2034" s="3" t="s">
        <v>687</v>
      </c>
      <c r="K2034" s="3">
        <v>2003</v>
      </c>
      <c r="L2034" s="3" t="str">
        <f t="shared" si="127"/>
        <v>Dec-2003</v>
      </c>
      <c r="M2034" s="3" t="s">
        <v>550</v>
      </c>
      <c r="N2034" s="3" t="s">
        <v>475</v>
      </c>
      <c r="O2034" s="3" t="s">
        <v>32</v>
      </c>
      <c r="P2034" s="3" t="s">
        <v>33</v>
      </c>
      <c r="Q2034" s="3" t="s">
        <v>36</v>
      </c>
    </row>
    <row r="2035" spans="1:17" x14ac:dyDescent="0.25">
      <c r="A2035" s="5">
        <v>10214</v>
      </c>
      <c r="B2035" s="5">
        <v>44</v>
      </c>
      <c r="C2035" s="5">
        <v>34.880000000000003</v>
      </c>
      <c r="D2035" s="5">
        <v>1534.72</v>
      </c>
      <c r="E2035" s="5" t="str">
        <f t="shared" si="125"/>
        <v>Low</v>
      </c>
      <c r="F2035" s="5">
        <f t="shared" si="126"/>
        <v>460.416</v>
      </c>
      <c r="G2035" s="6">
        <v>38012</v>
      </c>
      <c r="H2035" s="5" t="s">
        <v>25</v>
      </c>
      <c r="I2035" s="5" t="str">
        <f t="shared" si="124"/>
        <v>Yes</v>
      </c>
      <c r="J2035" s="5" t="s">
        <v>549</v>
      </c>
      <c r="K2035" s="5">
        <v>2004</v>
      </c>
      <c r="L2035" s="5" t="str">
        <f t="shared" si="127"/>
        <v>Jan-2004</v>
      </c>
      <c r="M2035" s="5" t="s">
        <v>550</v>
      </c>
      <c r="N2035" s="5" t="s">
        <v>191</v>
      </c>
      <c r="O2035" s="5" t="s">
        <v>178</v>
      </c>
      <c r="P2035" s="5" t="s">
        <v>42</v>
      </c>
      <c r="Q2035" s="5" t="s">
        <v>36</v>
      </c>
    </row>
    <row r="2036" spans="1:17" x14ac:dyDescent="0.25">
      <c r="A2036" s="3">
        <v>10227</v>
      </c>
      <c r="B2036" s="3">
        <v>27</v>
      </c>
      <c r="C2036" s="3">
        <v>43.9</v>
      </c>
      <c r="D2036" s="3">
        <v>1185.3</v>
      </c>
      <c r="E2036" s="3" t="str">
        <f t="shared" si="125"/>
        <v>Low</v>
      </c>
      <c r="F2036" s="3">
        <f t="shared" si="126"/>
        <v>355.59</v>
      </c>
      <c r="G2036" s="4">
        <v>38048</v>
      </c>
      <c r="H2036" s="3" t="s">
        <v>25</v>
      </c>
      <c r="I2036" s="3" t="str">
        <f t="shared" si="124"/>
        <v>Yes</v>
      </c>
      <c r="J2036" s="3" t="s">
        <v>691</v>
      </c>
      <c r="K2036" s="3">
        <v>2004</v>
      </c>
      <c r="L2036" s="3" t="str">
        <f t="shared" si="127"/>
        <v>Mar-2004</v>
      </c>
      <c r="M2036" s="3" t="s">
        <v>550</v>
      </c>
      <c r="N2036" s="3" t="s">
        <v>219</v>
      </c>
      <c r="O2036" s="3" t="s">
        <v>41</v>
      </c>
      <c r="P2036" s="3" t="s">
        <v>42</v>
      </c>
      <c r="Q2036" s="3" t="s">
        <v>36</v>
      </c>
    </row>
    <row r="2037" spans="1:17" x14ac:dyDescent="0.25">
      <c r="A2037" s="5">
        <v>10242</v>
      </c>
      <c r="B2037" s="5">
        <v>46</v>
      </c>
      <c r="C2037" s="5">
        <v>36.93</v>
      </c>
      <c r="D2037" s="5">
        <v>1698.78</v>
      </c>
      <c r="E2037" s="5" t="str">
        <f t="shared" si="125"/>
        <v>Low</v>
      </c>
      <c r="F2037" s="5">
        <f t="shared" si="126"/>
        <v>509.63399999999996</v>
      </c>
      <c r="G2037" s="6">
        <v>38097</v>
      </c>
      <c r="H2037" s="5" t="s">
        <v>25</v>
      </c>
      <c r="I2037" s="5" t="str">
        <f t="shared" si="124"/>
        <v>Yes</v>
      </c>
      <c r="J2037" s="5" t="s">
        <v>688</v>
      </c>
      <c r="K2037" s="5">
        <v>2004</v>
      </c>
      <c r="L2037" s="5" t="str">
        <f t="shared" si="127"/>
        <v>Apr-2004</v>
      </c>
      <c r="M2037" s="5" t="s">
        <v>550</v>
      </c>
      <c r="N2037" s="5" t="s">
        <v>507</v>
      </c>
      <c r="O2037" s="5" t="s">
        <v>32</v>
      </c>
      <c r="P2037" s="5" t="s">
        <v>33</v>
      </c>
      <c r="Q2037" s="5" t="s">
        <v>36</v>
      </c>
    </row>
    <row r="2038" spans="1:17" x14ac:dyDescent="0.25">
      <c r="A2038" s="3">
        <v>10280</v>
      </c>
      <c r="B2038" s="3">
        <v>33</v>
      </c>
      <c r="C2038" s="3">
        <v>41.85</v>
      </c>
      <c r="D2038" s="3">
        <v>1381.05</v>
      </c>
      <c r="E2038" s="3" t="str">
        <f t="shared" si="125"/>
        <v>Low</v>
      </c>
      <c r="F2038" s="3">
        <f t="shared" si="126"/>
        <v>414.315</v>
      </c>
      <c r="G2038" s="4">
        <v>38216</v>
      </c>
      <c r="H2038" s="3" t="s">
        <v>25</v>
      </c>
      <c r="I2038" s="3" t="str">
        <f t="shared" si="124"/>
        <v>Yes</v>
      </c>
      <c r="J2038" s="3" t="s">
        <v>684</v>
      </c>
      <c r="K2038" s="3">
        <v>2004</v>
      </c>
      <c r="L2038" s="3" t="str">
        <f t="shared" si="127"/>
        <v>Aug-2004</v>
      </c>
      <c r="M2038" s="3" t="s">
        <v>550</v>
      </c>
      <c r="N2038" s="3" t="s">
        <v>254</v>
      </c>
      <c r="O2038" s="3" t="s">
        <v>258</v>
      </c>
      <c r="P2038" s="3" t="s">
        <v>42</v>
      </c>
      <c r="Q2038" s="3" t="s">
        <v>36</v>
      </c>
    </row>
    <row r="2039" spans="1:17" x14ac:dyDescent="0.25">
      <c r="A2039" s="5">
        <v>10288</v>
      </c>
      <c r="B2039" s="5">
        <v>33</v>
      </c>
      <c r="C2039" s="5">
        <v>40.619999999999997</v>
      </c>
      <c r="D2039" s="5">
        <v>1340.4599999999998</v>
      </c>
      <c r="E2039" s="5" t="str">
        <f t="shared" si="125"/>
        <v>Low</v>
      </c>
      <c r="F2039" s="5">
        <f t="shared" si="126"/>
        <v>402.13799999999992</v>
      </c>
      <c r="G2039" s="6">
        <v>38231</v>
      </c>
      <c r="H2039" s="5" t="s">
        <v>25</v>
      </c>
      <c r="I2039" s="5" t="str">
        <f t="shared" si="124"/>
        <v>Yes</v>
      </c>
      <c r="J2039" s="5" t="s">
        <v>690</v>
      </c>
      <c r="K2039" s="5">
        <v>2004</v>
      </c>
      <c r="L2039" s="5" t="str">
        <f t="shared" si="127"/>
        <v>Sep-2004</v>
      </c>
      <c r="M2039" s="5" t="s">
        <v>550</v>
      </c>
      <c r="N2039" s="5" t="s">
        <v>418</v>
      </c>
      <c r="O2039" s="5" t="s">
        <v>199</v>
      </c>
      <c r="P2039" s="5" t="s">
        <v>96</v>
      </c>
      <c r="Q2039" s="5" t="s">
        <v>36</v>
      </c>
    </row>
    <row r="2040" spans="1:17" x14ac:dyDescent="0.25">
      <c r="A2040" s="3">
        <v>10303</v>
      </c>
      <c r="B2040" s="3">
        <v>24</v>
      </c>
      <c r="C2040" s="3">
        <v>40.21</v>
      </c>
      <c r="D2040" s="3">
        <v>965.04</v>
      </c>
      <c r="E2040" s="3" t="str">
        <f t="shared" si="125"/>
        <v>Low</v>
      </c>
      <c r="F2040" s="3">
        <f t="shared" si="126"/>
        <v>289.512</v>
      </c>
      <c r="G2040" s="4">
        <v>38266</v>
      </c>
      <c r="H2040" s="3" t="s">
        <v>25</v>
      </c>
      <c r="I2040" s="3" t="str">
        <f t="shared" si="124"/>
        <v>Yes</v>
      </c>
      <c r="J2040" s="3" t="s">
        <v>685</v>
      </c>
      <c r="K2040" s="3">
        <v>2004</v>
      </c>
      <c r="L2040" s="3" t="str">
        <f t="shared" si="127"/>
        <v>Oct-2004</v>
      </c>
      <c r="M2040" s="3" t="s">
        <v>550</v>
      </c>
      <c r="N2040" s="3" t="s">
        <v>520</v>
      </c>
      <c r="O2040" s="3" t="s">
        <v>178</v>
      </c>
      <c r="P2040" s="3" t="s">
        <v>42</v>
      </c>
      <c r="Q2040" s="3" t="s">
        <v>36</v>
      </c>
    </row>
    <row r="2041" spans="1:17" x14ac:dyDescent="0.25">
      <c r="A2041" s="5">
        <v>10312</v>
      </c>
      <c r="B2041" s="5">
        <v>31</v>
      </c>
      <c r="C2041" s="5">
        <v>35.29</v>
      </c>
      <c r="D2041" s="5">
        <v>1093.99</v>
      </c>
      <c r="E2041" s="5" t="str">
        <f t="shared" si="125"/>
        <v>Low</v>
      </c>
      <c r="F2041" s="5">
        <f t="shared" si="126"/>
        <v>328.197</v>
      </c>
      <c r="G2041" s="6">
        <v>38281</v>
      </c>
      <c r="H2041" s="5" t="s">
        <v>25</v>
      </c>
      <c r="I2041" s="5" t="str">
        <f t="shared" si="124"/>
        <v>Yes</v>
      </c>
      <c r="J2041" s="5" t="s">
        <v>685</v>
      </c>
      <c r="K2041" s="5">
        <v>2004</v>
      </c>
      <c r="L2041" s="5" t="str">
        <f t="shared" si="127"/>
        <v>Oct-2004</v>
      </c>
      <c r="M2041" s="5" t="s">
        <v>550</v>
      </c>
      <c r="N2041" s="5" t="s">
        <v>272</v>
      </c>
      <c r="O2041" s="5" t="s">
        <v>32</v>
      </c>
      <c r="P2041" s="5" t="s">
        <v>33</v>
      </c>
      <c r="Q2041" s="5" t="s">
        <v>36</v>
      </c>
    </row>
    <row r="2042" spans="1:17" x14ac:dyDescent="0.25">
      <c r="A2042" s="3">
        <v>10332</v>
      </c>
      <c r="B2042" s="3">
        <v>41</v>
      </c>
      <c r="C2042" s="3">
        <v>77.239999999999995</v>
      </c>
      <c r="D2042" s="3">
        <v>3166.8399999999997</v>
      </c>
      <c r="E2042" s="3" t="str">
        <f t="shared" si="125"/>
        <v>Medium</v>
      </c>
      <c r="F2042" s="3">
        <f t="shared" si="126"/>
        <v>950.05199999999991</v>
      </c>
      <c r="G2042" s="4">
        <v>38308</v>
      </c>
      <c r="H2042" s="3" t="s">
        <v>25</v>
      </c>
      <c r="I2042" s="3" t="str">
        <f t="shared" si="124"/>
        <v>Yes</v>
      </c>
      <c r="J2042" s="3" t="s">
        <v>686</v>
      </c>
      <c r="K2042" s="3">
        <v>2004</v>
      </c>
      <c r="L2042" s="3" t="str">
        <f t="shared" si="127"/>
        <v>Nov-2004</v>
      </c>
      <c r="M2042" s="3" t="s">
        <v>550</v>
      </c>
      <c r="N2042" s="3" t="s">
        <v>492</v>
      </c>
      <c r="O2042" s="3" t="s">
        <v>170</v>
      </c>
      <c r="P2042" s="3" t="s">
        <v>42</v>
      </c>
      <c r="Q2042" s="3" t="s">
        <v>51</v>
      </c>
    </row>
    <row r="2043" spans="1:17" x14ac:dyDescent="0.25">
      <c r="A2043" s="5">
        <v>10346</v>
      </c>
      <c r="B2043" s="5">
        <v>22</v>
      </c>
      <c r="C2043" s="5">
        <v>97.44</v>
      </c>
      <c r="D2043" s="5">
        <v>2143.6799999999998</v>
      </c>
      <c r="E2043" s="5" t="str">
        <f t="shared" si="125"/>
        <v>Medium</v>
      </c>
      <c r="F2043" s="5">
        <f t="shared" si="126"/>
        <v>643.10399999999993</v>
      </c>
      <c r="G2043" s="6">
        <v>38320</v>
      </c>
      <c r="H2043" s="5" t="s">
        <v>25</v>
      </c>
      <c r="I2043" s="5" t="str">
        <f t="shared" si="124"/>
        <v>Yes</v>
      </c>
      <c r="J2043" s="5" t="s">
        <v>686</v>
      </c>
      <c r="K2043" s="5">
        <v>2004</v>
      </c>
      <c r="L2043" s="5" t="str">
        <f t="shared" si="127"/>
        <v>Nov-2004</v>
      </c>
      <c r="M2043" s="5" t="s">
        <v>550</v>
      </c>
      <c r="N2043" s="5" t="s">
        <v>539</v>
      </c>
      <c r="O2043" s="5" t="s">
        <v>32</v>
      </c>
      <c r="P2043" s="5" t="s">
        <v>33</v>
      </c>
      <c r="Q2043" s="5" t="s">
        <v>36</v>
      </c>
    </row>
    <row r="2044" spans="1:17" x14ac:dyDescent="0.25">
      <c r="A2044" s="3">
        <v>10368</v>
      </c>
      <c r="B2044" s="3">
        <v>46</v>
      </c>
      <c r="C2044" s="3">
        <v>37.340000000000003</v>
      </c>
      <c r="D2044" s="3">
        <v>1717.64</v>
      </c>
      <c r="E2044" s="3" t="str">
        <f t="shared" si="125"/>
        <v>Low</v>
      </c>
      <c r="F2044" s="3">
        <f t="shared" si="126"/>
        <v>515.29200000000003</v>
      </c>
      <c r="G2044" s="4">
        <v>38371</v>
      </c>
      <c r="H2044" s="3" t="s">
        <v>25</v>
      </c>
      <c r="I2044" s="3" t="str">
        <f t="shared" si="124"/>
        <v>Yes</v>
      </c>
      <c r="J2044" s="3" t="s">
        <v>549</v>
      </c>
      <c r="K2044" s="3">
        <v>2005</v>
      </c>
      <c r="L2044" s="3" t="str">
        <f t="shared" si="127"/>
        <v>Jan-2005</v>
      </c>
      <c r="M2044" s="3" t="s">
        <v>550</v>
      </c>
      <c r="N2044" s="3" t="s">
        <v>272</v>
      </c>
      <c r="O2044" s="3" t="s">
        <v>32</v>
      </c>
      <c r="P2044" s="3" t="s">
        <v>33</v>
      </c>
      <c r="Q2044" s="3" t="s">
        <v>36</v>
      </c>
    </row>
    <row r="2045" spans="1:17" x14ac:dyDescent="0.25">
      <c r="A2045" s="5">
        <v>10380</v>
      </c>
      <c r="B2045" s="5">
        <v>43</v>
      </c>
      <c r="C2045" s="5">
        <v>95.03</v>
      </c>
      <c r="D2045" s="5">
        <v>4086.29</v>
      </c>
      <c r="E2045" s="5" t="str">
        <f t="shared" si="125"/>
        <v>Medium</v>
      </c>
      <c r="F2045" s="5">
        <f t="shared" si="126"/>
        <v>1225.8869999999999</v>
      </c>
      <c r="G2045" s="6">
        <v>38399</v>
      </c>
      <c r="H2045" s="5" t="s">
        <v>25</v>
      </c>
      <c r="I2045" s="5" t="str">
        <f t="shared" si="124"/>
        <v>Yes</v>
      </c>
      <c r="J2045" s="5" t="s">
        <v>681</v>
      </c>
      <c r="K2045" s="5">
        <v>2005</v>
      </c>
      <c r="L2045" s="5" t="str">
        <f t="shared" si="127"/>
        <v>Feb-2005</v>
      </c>
      <c r="M2045" s="5" t="s">
        <v>550</v>
      </c>
      <c r="N2045" s="5" t="s">
        <v>174</v>
      </c>
      <c r="O2045" s="5" t="s">
        <v>178</v>
      </c>
      <c r="P2045" s="5" t="s">
        <v>42</v>
      </c>
      <c r="Q2045" s="5" t="s">
        <v>51</v>
      </c>
    </row>
    <row r="2046" spans="1:17" x14ac:dyDescent="0.25">
      <c r="A2046" s="3">
        <v>10408</v>
      </c>
      <c r="B2046" s="3">
        <v>15</v>
      </c>
      <c r="C2046" s="3">
        <v>36.93</v>
      </c>
      <c r="D2046" s="3">
        <v>553.95000000000005</v>
      </c>
      <c r="E2046" s="3" t="str">
        <f t="shared" si="125"/>
        <v>Low</v>
      </c>
      <c r="F2046" s="3">
        <f t="shared" si="126"/>
        <v>166.185</v>
      </c>
      <c r="G2046" s="4">
        <v>38464</v>
      </c>
      <c r="H2046" s="3" t="s">
        <v>25</v>
      </c>
      <c r="I2046" s="3" t="str">
        <f t="shared" si="124"/>
        <v>Yes</v>
      </c>
      <c r="J2046" s="3" t="s">
        <v>688</v>
      </c>
      <c r="K2046" s="3">
        <v>2005</v>
      </c>
      <c r="L2046" s="3" t="str">
        <f t="shared" si="127"/>
        <v>Apr-2005</v>
      </c>
      <c r="M2046" s="3" t="s">
        <v>550</v>
      </c>
      <c r="N2046" s="3" t="s">
        <v>246</v>
      </c>
      <c r="O2046" s="3" t="s">
        <v>200</v>
      </c>
      <c r="P2046" s="3" t="s">
        <v>675</v>
      </c>
      <c r="Q2046" s="3" t="s">
        <v>36</v>
      </c>
    </row>
    <row r="2047" spans="1:17" x14ac:dyDescent="0.25">
      <c r="A2047" s="5">
        <v>10420</v>
      </c>
      <c r="B2047" s="5">
        <v>15</v>
      </c>
      <c r="C2047" s="5">
        <v>43.49</v>
      </c>
      <c r="D2047" s="5">
        <v>652.35</v>
      </c>
      <c r="E2047" s="5" t="str">
        <f t="shared" si="125"/>
        <v>Low</v>
      </c>
      <c r="F2047" s="5">
        <f t="shared" si="126"/>
        <v>195.70500000000001</v>
      </c>
      <c r="G2047" s="6">
        <v>38501</v>
      </c>
      <c r="H2047" s="5" t="s">
        <v>300</v>
      </c>
      <c r="I2047" s="5" t="str">
        <f t="shared" si="124"/>
        <v>No</v>
      </c>
      <c r="J2047" s="5" t="s">
        <v>682</v>
      </c>
      <c r="K2047" s="5">
        <v>2005</v>
      </c>
      <c r="L2047" s="5" t="str">
        <f t="shared" si="127"/>
        <v>May-2005</v>
      </c>
      <c r="M2047" s="5" t="s">
        <v>550</v>
      </c>
      <c r="N2047" s="5" t="s">
        <v>152</v>
      </c>
      <c r="O2047" s="5" t="s">
        <v>95</v>
      </c>
      <c r="P2047" s="5" t="s">
        <v>96</v>
      </c>
      <c r="Q2047" s="5" t="s">
        <v>36</v>
      </c>
    </row>
    <row r="2048" spans="1:17" x14ac:dyDescent="0.25">
      <c r="A2048" s="3">
        <v>10104</v>
      </c>
      <c r="B2048" s="3">
        <v>26</v>
      </c>
      <c r="C2048" s="3">
        <v>100</v>
      </c>
      <c r="D2048" s="3">
        <v>2600</v>
      </c>
      <c r="E2048" s="3" t="str">
        <f t="shared" si="125"/>
        <v>Medium</v>
      </c>
      <c r="F2048" s="3">
        <f t="shared" si="126"/>
        <v>780</v>
      </c>
      <c r="G2048" s="4">
        <v>37652</v>
      </c>
      <c r="H2048" s="3" t="s">
        <v>25</v>
      </c>
      <c r="I2048" s="3" t="str">
        <f t="shared" si="124"/>
        <v>Yes</v>
      </c>
      <c r="J2048" s="3" t="s">
        <v>549</v>
      </c>
      <c r="K2048" s="3">
        <v>2003</v>
      </c>
      <c r="L2048" s="3" t="str">
        <f t="shared" si="127"/>
        <v>Jan-2003</v>
      </c>
      <c r="M2048" s="3" t="s">
        <v>181</v>
      </c>
      <c r="N2048" s="3" t="s">
        <v>174</v>
      </c>
      <c r="O2048" s="3" t="s">
        <v>178</v>
      </c>
      <c r="P2048" s="3" t="s">
        <v>42</v>
      </c>
      <c r="Q2048" s="3" t="s">
        <v>36</v>
      </c>
    </row>
    <row r="2049" spans="1:17" x14ac:dyDescent="0.25">
      <c r="A2049" s="5">
        <v>10115</v>
      </c>
      <c r="B2049" s="5">
        <v>44</v>
      </c>
      <c r="C2049" s="5">
        <v>100</v>
      </c>
      <c r="D2049" s="5">
        <v>4400</v>
      </c>
      <c r="E2049" s="5" t="str">
        <f t="shared" si="125"/>
        <v>Medium</v>
      </c>
      <c r="F2049" s="5">
        <f t="shared" si="126"/>
        <v>1320</v>
      </c>
      <c r="G2049" s="6">
        <v>37715</v>
      </c>
      <c r="H2049" s="5" t="s">
        <v>25</v>
      </c>
      <c r="I2049" s="5" t="str">
        <f t="shared" si="124"/>
        <v>Yes</v>
      </c>
      <c r="J2049" s="5" t="s">
        <v>688</v>
      </c>
      <c r="K2049" s="5">
        <v>2003</v>
      </c>
      <c r="L2049" s="5" t="str">
        <f t="shared" si="127"/>
        <v>Apr-2003</v>
      </c>
      <c r="M2049" s="5" t="s">
        <v>181</v>
      </c>
      <c r="N2049" s="5" t="s">
        <v>203</v>
      </c>
      <c r="O2049" s="5" t="s">
        <v>32</v>
      </c>
      <c r="P2049" s="5" t="s">
        <v>33</v>
      </c>
      <c r="Q2049" s="5" t="s">
        <v>51</v>
      </c>
    </row>
    <row r="2050" spans="1:17" x14ac:dyDescent="0.25">
      <c r="A2050" s="3">
        <v>10127</v>
      </c>
      <c r="B2050" s="3">
        <v>20</v>
      </c>
      <c r="C2050" s="3">
        <v>96.99</v>
      </c>
      <c r="D2050" s="3">
        <v>1939.8</v>
      </c>
      <c r="E2050" s="3" t="str">
        <f t="shared" si="125"/>
        <v>Low</v>
      </c>
      <c r="F2050" s="3">
        <f t="shared" si="126"/>
        <v>581.93999999999994</v>
      </c>
      <c r="G2050" s="4">
        <v>37775</v>
      </c>
      <c r="H2050" s="3" t="s">
        <v>25</v>
      </c>
      <c r="I2050" s="3" t="str">
        <f t="shared" ref="I2050:I2113" si="128">IF(H2050="Shipped","Yes","No")</f>
        <v>Yes</v>
      </c>
      <c r="J2050" s="3" t="s">
        <v>689</v>
      </c>
      <c r="K2050" s="3">
        <v>2003</v>
      </c>
      <c r="L2050" s="3" t="str">
        <f t="shared" si="127"/>
        <v>Jun-2003</v>
      </c>
      <c r="M2050" s="3" t="s">
        <v>181</v>
      </c>
      <c r="N2050" s="3" t="s">
        <v>475</v>
      </c>
      <c r="O2050" s="3" t="s">
        <v>32</v>
      </c>
      <c r="P2050" s="3" t="s">
        <v>33</v>
      </c>
      <c r="Q2050" s="3" t="s">
        <v>36</v>
      </c>
    </row>
    <row r="2051" spans="1:17" x14ac:dyDescent="0.25">
      <c r="A2051" s="5">
        <v>10141</v>
      </c>
      <c r="B2051" s="5">
        <v>40</v>
      </c>
      <c r="C2051" s="5">
        <v>94.62</v>
      </c>
      <c r="D2051" s="5">
        <v>3784.8</v>
      </c>
      <c r="E2051" s="5" t="str">
        <f t="shared" ref="E2051:E2114" si="129">IF(D2051&gt;=5000,"High",IF(D2051&gt;=2000,"Medium","Low"))</f>
        <v>Medium</v>
      </c>
      <c r="F2051" s="5">
        <f t="shared" ref="F2051:F2114" si="130">(D2051*0.3)</f>
        <v>1135.44</v>
      </c>
      <c r="G2051" s="6">
        <v>37834</v>
      </c>
      <c r="H2051" s="5" t="s">
        <v>25</v>
      </c>
      <c r="I2051" s="5" t="str">
        <f t="shared" si="128"/>
        <v>Yes</v>
      </c>
      <c r="J2051" s="5" t="s">
        <v>684</v>
      </c>
      <c r="K2051" s="5">
        <v>2003</v>
      </c>
      <c r="L2051" s="5" t="str">
        <f t="shared" ref="L2051:L2114" si="131">TEXT(G:G,"MMM-YYYY")</f>
        <v>Aug-2003</v>
      </c>
      <c r="M2051" s="5" t="s">
        <v>181</v>
      </c>
      <c r="N2051" s="5" t="s">
        <v>467</v>
      </c>
      <c r="O2051" s="5" t="s">
        <v>130</v>
      </c>
      <c r="P2051" s="5" t="s">
        <v>42</v>
      </c>
      <c r="Q2051" s="5" t="s">
        <v>51</v>
      </c>
    </row>
    <row r="2052" spans="1:17" x14ac:dyDescent="0.25">
      <c r="A2052" s="3">
        <v>10152</v>
      </c>
      <c r="B2052" s="3">
        <v>23</v>
      </c>
      <c r="C2052" s="3">
        <v>100</v>
      </c>
      <c r="D2052" s="3">
        <v>2300</v>
      </c>
      <c r="E2052" s="3" t="str">
        <f t="shared" si="129"/>
        <v>Medium</v>
      </c>
      <c r="F2052" s="3">
        <f t="shared" si="130"/>
        <v>690</v>
      </c>
      <c r="G2052" s="4">
        <v>37889</v>
      </c>
      <c r="H2052" s="3" t="s">
        <v>25</v>
      </c>
      <c r="I2052" s="3" t="str">
        <f t="shared" si="128"/>
        <v>Yes</v>
      </c>
      <c r="J2052" s="3" t="s">
        <v>690</v>
      </c>
      <c r="K2052" s="3">
        <v>2003</v>
      </c>
      <c r="L2052" s="3" t="str">
        <f t="shared" si="131"/>
        <v>Sep-2003</v>
      </c>
      <c r="M2052" s="3" t="s">
        <v>181</v>
      </c>
      <c r="N2052" s="3" t="s">
        <v>207</v>
      </c>
      <c r="O2052" s="3" t="s">
        <v>95</v>
      </c>
      <c r="P2052" s="3" t="s">
        <v>96</v>
      </c>
      <c r="Q2052" s="3" t="s">
        <v>36</v>
      </c>
    </row>
    <row r="2053" spans="1:17" x14ac:dyDescent="0.25">
      <c r="A2053" s="5">
        <v>10165</v>
      </c>
      <c r="B2053" s="5">
        <v>24</v>
      </c>
      <c r="C2053" s="5">
        <v>99.36</v>
      </c>
      <c r="D2053" s="5">
        <v>2384.64</v>
      </c>
      <c r="E2053" s="5" t="str">
        <f t="shared" si="129"/>
        <v>Medium</v>
      </c>
      <c r="F2053" s="5">
        <f t="shared" si="130"/>
        <v>715.39199999999994</v>
      </c>
      <c r="G2053" s="6">
        <v>37916</v>
      </c>
      <c r="H2053" s="5" t="s">
        <v>25</v>
      </c>
      <c r="I2053" s="5" t="str">
        <f t="shared" si="128"/>
        <v>Yes</v>
      </c>
      <c r="J2053" s="5" t="s">
        <v>685</v>
      </c>
      <c r="K2053" s="5">
        <v>2003</v>
      </c>
      <c r="L2053" s="5" t="str">
        <f t="shared" si="131"/>
        <v>Oct-2003</v>
      </c>
      <c r="M2053" s="5" t="s">
        <v>181</v>
      </c>
      <c r="N2053" s="5" t="s">
        <v>196</v>
      </c>
      <c r="O2053" s="5" t="s">
        <v>199</v>
      </c>
      <c r="P2053" s="5" t="s">
        <v>675</v>
      </c>
      <c r="Q2053" s="5" t="s">
        <v>36</v>
      </c>
    </row>
    <row r="2054" spans="1:17" x14ac:dyDescent="0.25">
      <c r="A2054" s="3">
        <v>10176</v>
      </c>
      <c r="B2054" s="3">
        <v>29</v>
      </c>
      <c r="C2054" s="3">
        <v>100</v>
      </c>
      <c r="D2054" s="3">
        <v>2900</v>
      </c>
      <c r="E2054" s="3" t="str">
        <f t="shared" si="129"/>
        <v>Medium</v>
      </c>
      <c r="F2054" s="3">
        <f t="shared" si="130"/>
        <v>870</v>
      </c>
      <c r="G2054" s="4">
        <v>37931</v>
      </c>
      <c r="H2054" s="3" t="s">
        <v>25</v>
      </c>
      <c r="I2054" s="3" t="str">
        <f t="shared" si="128"/>
        <v>Yes</v>
      </c>
      <c r="J2054" s="3" t="s">
        <v>686</v>
      </c>
      <c r="K2054" s="3">
        <v>2003</v>
      </c>
      <c r="L2054" s="3" t="str">
        <f t="shared" si="131"/>
        <v>Nov-2003</v>
      </c>
      <c r="M2054" s="3" t="s">
        <v>181</v>
      </c>
      <c r="N2054" s="3" t="s">
        <v>452</v>
      </c>
      <c r="O2054" s="3" t="s">
        <v>258</v>
      </c>
      <c r="P2054" s="3" t="s">
        <v>42</v>
      </c>
      <c r="Q2054" s="3" t="s">
        <v>36</v>
      </c>
    </row>
    <row r="2055" spans="1:17" x14ac:dyDescent="0.25">
      <c r="A2055" s="5">
        <v>10184</v>
      </c>
      <c r="B2055" s="5">
        <v>49</v>
      </c>
      <c r="C2055" s="5">
        <v>100</v>
      </c>
      <c r="D2055" s="5">
        <v>4900</v>
      </c>
      <c r="E2055" s="5" t="str">
        <f t="shared" si="129"/>
        <v>Medium</v>
      </c>
      <c r="F2055" s="5">
        <f t="shared" si="130"/>
        <v>1470</v>
      </c>
      <c r="G2055" s="6">
        <v>37939</v>
      </c>
      <c r="H2055" s="5" t="s">
        <v>25</v>
      </c>
      <c r="I2055" s="5" t="str">
        <f t="shared" si="128"/>
        <v>Yes</v>
      </c>
      <c r="J2055" s="5" t="s">
        <v>686</v>
      </c>
      <c r="K2055" s="5">
        <v>2003</v>
      </c>
      <c r="L2055" s="5" t="str">
        <f t="shared" si="131"/>
        <v>Nov-2003</v>
      </c>
      <c r="M2055" s="5" t="s">
        <v>181</v>
      </c>
      <c r="N2055" s="5" t="s">
        <v>520</v>
      </c>
      <c r="O2055" s="5" t="s">
        <v>178</v>
      </c>
      <c r="P2055" s="5" t="s">
        <v>42</v>
      </c>
      <c r="Q2055" s="5" t="s">
        <v>51</v>
      </c>
    </row>
    <row r="2056" spans="1:17" x14ac:dyDescent="0.25">
      <c r="A2056" s="3">
        <v>10195</v>
      </c>
      <c r="B2056" s="3">
        <v>34</v>
      </c>
      <c r="C2056" s="3">
        <v>100</v>
      </c>
      <c r="D2056" s="3">
        <v>3400</v>
      </c>
      <c r="E2056" s="3" t="str">
        <f t="shared" si="129"/>
        <v>Medium</v>
      </c>
      <c r="F2056" s="3">
        <f t="shared" si="130"/>
        <v>1020</v>
      </c>
      <c r="G2056" s="4">
        <v>37950</v>
      </c>
      <c r="H2056" s="3" t="s">
        <v>25</v>
      </c>
      <c r="I2056" s="3" t="str">
        <f t="shared" si="128"/>
        <v>Yes</v>
      </c>
      <c r="J2056" s="3" t="s">
        <v>686</v>
      </c>
      <c r="K2056" s="3">
        <v>2003</v>
      </c>
      <c r="L2056" s="3" t="str">
        <f t="shared" si="131"/>
        <v>Nov-2003</v>
      </c>
      <c r="M2056" s="3" t="s">
        <v>181</v>
      </c>
      <c r="N2056" s="3" t="s">
        <v>317</v>
      </c>
      <c r="O2056" s="3" t="s">
        <v>32</v>
      </c>
      <c r="P2056" s="3" t="s">
        <v>33</v>
      </c>
      <c r="Q2056" s="3" t="s">
        <v>51</v>
      </c>
    </row>
    <row r="2057" spans="1:17" x14ac:dyDescent="0.25">
      <c r="A2057" s="5">
        <v>10207</v>
      </c>
      <c r="B2057" s="5">
        <v>28</v>
      </c>
      <c r="C2057" s="5">
        <v>100</v>
      </c>
      <c r="D2057" s="5">
        <v>2800</v>
      </c>
      <c r="E2057" s="5" t="str">
        <f t="shared" si="129"/>
        <v>Medium</v>
      </c>
      <c r="F2057" s="5">
        <f t="shared" si="130"/>
        <v>840</v>
      </c>
      <c r="G2057" s="6">
        <v>37964</v>
      </c>
      <c r="H2057" s="5" t="s">
        <v>25</v>
      </c>
      <c r="I2057" s="5" t="str">
        <f t="shared" si="128"/>
        <v>Yes</v>
      </c>
      <c r="J2057" s="5" t="s">
        <v>687</v>
      </c>
      <c r="K2057" s="5">
        <v>2003</v>
      </c>
      <c r="L2057" s="5" t="str">
        <f t="shared" si="131"/>
        <v>Dec-2003</v>
      </c>
      <c r="M2057" s="5" t="s">
        <v>181</v>
      </c>
      <c r="N2057" s="5" t="s">
        <v>415</v>
      </c>
      <c r="O2057" s="5" t="s">
        <v>32</v>
      </c>
      <c r="P2057" s="5" t="s">
        <v>33</v>
      </c>
      <c r="Q2057" s="5" t="s">
        <v>36</v>
      </c>
    </row>
    <row r="2058" spans="1:17" x14ac:dyDescent="0.25">
      <c r="A2058" s="3">
        <v>10220</v>
      </c>
      <c r="B2058" s="3">
        <v>37</v>
      </c>
      <c r="C2058" s="3">
        <v>100</v>
      </c>
      <c r="D2058" s="3">
        <v>3700</v>
      </c>
      <c r="E2058" s="3" t="str">
        <f t="shared" si="129"/>
        <v>Medium</v>
      </c>
      <c r="F2058" s="3">
        <f t="shared" si="130"/>
        <v>1110</v>
      </c>
      <c r="G2058" s="4">
        <v>38029</v>
      </c>
      <c r="H2058" s="3" t="s">
        <v>25</v>
      </c>
      <c r="I2058" s="3" t="str">
        <f t="shared" si="128"/>
        <v>Yes</v>
      </c>
      <c r="J2058" s="3" t="s">
        <v>681</v>
      </c>
      <c r="K2058" s="3">
        <v>2004</v>
      </c>
      <c r="L2058" s="3" t="str">
        <f t="shared" si="131"/>
        <v>Feb-2004</v>
      </c>
      <c r="M2058" s="3" t="s">
        <v>181</v>
      </c>
      <c r="N2058" s="3" t="s">
        <v>479</v>
      </c>
      <c r="O2058" s="3" t="s">
        <v>484</v>
      </c>
      <c r="P2058" s="3" t="s">
        <v>42</v>
      </c>
      <c r="Q2058" s="3" t="s">
        <v>51</v>
      </c>
    </row>
    <row r="2059" spans="1:17" x14ac:dyDescent="0.25">
      <c r="A2059" s="5">
        <v>10230</v>
      </c>
      <c r="B2059" s="5">
        <v>45</v>
      </c>
      <c r="C2059" s="5">
        <v>100</v>
      </c>
      <c r="D2059" s="5">
        <v>4500</v>
      </c>
      <c r="E2059" s="5" t="str">
        <f t="shared" si="129"/>
        <v>Medium</v>
      </c>
      <c r="F2059" s="5">
        <f t="shared" si="130"/>
        <v>1350</v>
      </c>
      <c r="G2059" s="6">
        <v>38061</v>
      </c>
      <c r="H2059" s="5" t="s">
        <v>25</v>
      </c>
      <c r="I2059" s="5" t="str">
        <f t="shared" si="128"/>
        <v>Yes</v>
      </c>
      <c r="J2059" s="5" t="s">
        <v>691</v>
      </c>
      <c r="K2059" s="5">
        <v>2004</v>
      </c>
      <c r="L2059" s="5" t="str">
        <f t="shared" si="131"/>
        <v>Mar-2004</v>
      </c>
      <c r="M2059" s="5" t="s">
        <v>181</v>
      </c>
      <c r="N2059" s="5" t="s">
        <v>462</v>
      </c>
      <c r="O2059" s="5" t="s">
        <v>443</v>
      </c>
      <c r="P2059" s="5" t="s">
        <v>42</v>
      </c>
      <c r="Q2059" s="5" t="s">
        <v>51</v>
      </c>
    </row>
    <row r="2060" spans="1:17" x14ac:dyDescent="0.25">
      <c r="A2060" s="3">
        <v>10246</v>
      </c>
      <c r="B2060" s="3">
        <v>46</v>
      </c>
      <c r="C2060" s="3">
        <v>100</v>
      </c>
      <c r="D2060" s="3">
        <v>4600</v>
      </c>
      <c r="E2060" s="3" t="str">
        <f t="shared" si="129"/>
        <v>Medium</v>
      </c>
      <c r="F2060" s="3">
        <f t="shared" si="130"/>
        <v>1380</v>
      </c>
      <c r="G2060" s="4">
        <v>38112</v>
      </c>
      <c r="H2060" s="3" t="s">
        <v>25</v>
      </c>
      <c r="I2060" s="3" t="str">
        <f t="shared" si="128"/>
        <v>Yes</v>
      </c>
      <c r="J2060" s="3" t="s">
        <v>682</v>
      </c>
      <c r="K2060" s="3">
        <v>2004</v>
      </c>
      <c r="L2060" s="3" t="str">
        <f t="shared" si="131"/>
        <v>May-2004</v>
      </c>
      <c r="M2060" s="3" t="s">
        <v>181</v>
      </c>
      <c r="N2060" s="3" t="s">
        <v>174</v>
      </c>
      <c r="O2060" s="3" t="s">
        <v>178</v>
      </c>
      <c r="P2060" s="3" t="s">
        <v>42</v>
      </c>
      <c r="Q2060" s="3" t="s">
        <v>51</v>
      </c>
    </row>
    <row r="2061" spans="1:17" x14ac:dyDescent="0.25">
      <c r="A2061" s="5">
        <v>10271</v>
      </c>
      <c r="B2061" s="5">
        <v>22</v>
      </c>
      <c r="C2061" s="5">
        <v>100</v>
      </c>
      <c r="D2061" s="5">
        <v>2200</v>
      </c>
      <c r="E2061" s="5" t="str">
        <f t="shared" si="129"/>
        <v>Medium</v>
      </c>
      <c r="F2061" s="5">
        <f t="shared" si="130"/>
        <v>660</v>
      </c>
      <c r="G2061" s="6">
        <v>38188</v>
      </c>
      <c r="H2061" s="5" t="s">
        <v>25</v>
      </c>
      <c r="I2061" s="5" t="str">
        <f t="shared" si="128"/>
        <v>Yes</v>
      </c>
      <c r="J2061" s="5" t="s">
        <v>683</v>
      </c>
      <c r="K2061" s="5">
        <v>2004</v>
      </c>
      <c r="L2061" s="5" t="str">
        <f t="shared" si="131"/>
        <v>Jul-2004</v>
      </c>
      <c r="M2061" s="5" t="s">
        <v>181</v>
      </c>
      <c r="N2061" s="5" t="s">
        <v>272</v>
      </c>
      <c r="O2061" s="5" t="s">
        <v>32</v>
      </c>
      <c r="P2061" s="5" t="s">
        <v>33</v>
      </c>
      <c r="Q2061" s="5" t="s">
        <v>51</v>
      </c>
    </row>
    <row r="2062" spans="1:17" x14ac:dyDescent="0.25">
      <c r="A2062" s="3">
        <v>10282</v>
      </c>
      <c r="B2062" s="3">
        <v>39</v>
      </c>
      <c r="C2062" s="3">
        <v>100</v>
      </c>
      <c r="D2062" s="3">
        <v>3900</v>
      </c>
      <c r="E2062" s="3" t="str">
        <f t="shared" si="129"/>
        <v>Medium</v>
      </c>
      <c r="F2062" s="3">
        <f t="shared" si="130"/>
        <v>1170</v>
      </c>
      <c r="G2062" s="4">
        <v>38219</v>
      </c>
      <c r="H2062" s="3" t="s">
        <v>25</v>
      </c>
      <c r="I2062" s="3" t="str">
        <f t="shared" si="128"/>
        <v>Yes</v>
      </c>
      <c r="J2062" s="3" t="s">
        <v>684</v>
      </c>
      <c r="K2062" s="3">
        <v>2004</v>
      </c>
      <c r="L2062" s="3" t="str">
        <f t="shared" si="131"/>
        <v>Aug-2004</v>
      </c>
      <c r="M2062" s="3" t="s">
        <v>181</v>
      </c>
      <c r="N2062" s="3" t="s">
        <v>272</v>
      </c>
      <c r="O2062" s="3" t="s">
        <v>32</v>
      </c>
      <c r="P2062" s="3" t="s">
        <v>33</v>
      </c>
      <c r="Q2062" s="3" t="s">
        <v>51</v>
      </c>
    </row>
    <row r="2063" spans="1:17" x14ac:dyDescent="0.25">
      <c r="A2063" s="5">
        <v>10292</v>
      </c>
      <c r="B2063" s="5">
        <v>27</v>
      </c>
      <c r="C2063" s="5">
        <v>100</v>
      </c>
      <c r="D2063" s="5">
        <v>2700</v>
      </c>
      <c r="E2063" s="5" t="str">
        <f t="shared" si="129"/>
        <v>Medium</v>
      </c>
      <c r="F2063" s="5">
        <f t="shared" si="130"/>
        <v>810</v>
      </c>
      <c r="G2063" s="6">
        <v>38238</v>
      </c>
      <c r="H2063" s="5" t="s">
        <v>25</v>
      </c>
      <c r="I2063" s="5" t="str">
        <f t="shared" si="128"/>
        <v>Yes</v>
      </c>
      <c r="J2063" s="5" t="s">
        <v>690</v>
      </c>
      <c r="K2063" s="5">
        <v>2004</v>
      </c>
      <c r="L2063" s="5" t="str">
        <f t="shared" si="131"/>
        <v>Sep-2004</v>
      </c>
      <c r="M2063" s="5" t="s">
        <v>181</v>
      </c>
      <c r="N2063" s="5" t="s">
        <v>28</v>
      </c>
      <c r="O2063" s="5" t="s">
        <v>32</v>
      </c>
      <c r="P2063" s="5" t="s">
        <v>33</v>
      </c>
      <c r="Q2063" s="5" t="s">
        <v>51</v>
      </c>
    </row>
    <row r="2064" spans="1:17" x14ac:dyDescent="0.25">
      <c r="A2064" s="3">
        <v>10305</v>
      </c>
      <c r="B2064" s="3">
        <v>36</v>
      </c>
      <c r="C2064" s="3">
        <v>100</v>
      </c>
      <c r="D2064" s="3">
        <v>3600</v>
      </c>
      <c r="E2064" s="3" t="str">
        <f t="shared" si="129"/>
        <v>Medium</v>
      </c>
      <c r="F2064" s="3">
        <f t="shared" si="130"/>
        <v>1080</v>
      </c>
      <c r="G2064" s="4">
        <v>38273</v>
      </c>
      <c r="H2064" s="3" t="s">
        <v>25</v>
      </c>
      <c r="I2064" s="3" t="str">
        <f t="shared" si="128"/>
        <v>Yes</v>
      </c>
      <c r="J2064" s="3" t="s">
        <v>685</v>
      </c>
      <c r="K2064" s="3">
        <v>2004</v>
      </c>
      <c r="L2064" s="3" t="str">
        <f t="shared" si="131"/>
        <v>Oct-2004</v>
      </c>
      <c r="M2064" s="3" t="s">
        <v>181</v>
      </c>
      <c r="N2064" s="3" t="s">
        <v>120</v>
      </c>
      <c r="O2064" s="3" t="s">
        <v>32</v>
      </c>
      <c r="P2064" s="3" t="s">
        <v>33</v>
      </c>
      <c r="Q2064" s="3" t="s">
        <v>51</v>
      </c>
    </row>
    <row r="2065" spans="1:17" x14ac:dyDescent="0.25">
      <c r="A2065" s="5">
        <v>10314</v>
      </c>
      <c r="B2065" s="5">
        <v>38</v>
      </c>
      <c r="C2065" s="5">
        <v>100</v>
      </c>
      <c r="D2065" s="5">
        <v>3800</v>
      </c>
      <c r="E2065" s="5" t="str">
        <f t="shared" si="129"/>
        <v>Medium</v>
      </c>
      <c r="F2065" s="5">
        <f t="shared" si="130"/>
        <v>1140</v>
      </c>
      <c r="G2065" s="6">
        <v>38282</v>
      </c>
      <c r="H2065" s="5" t="s">
        <v>25</v>
      </c>
      <c r="I2065" s="5" t="str">
        <f t="shared" si="128"/>
        <v>Yes</v>
      </c>
      <c r="J2065" s="5" t="s">
        <v>685</v>
      </c>
      <c r="K2065" s="5">
        <v>2004</v>
      </c>
      <c r="L2065" s="5" t="str">
        <f t="shared" si="131"/>
        <v>Oct-2004</v>
      </c>
      <c r="M2065" s="5" t="s">
        <v>181</v>
      </c>
      <c r="N2065" s="5" t="s">
        <v>498</v>
      </c>
      <c r="O2065" s="5" t="s">
        <v>326</v>
      </c>
      <c r="P2065" s="5" t="s">
        <v>42</v>
      </c>
      <c r="Q2065" s="5" t="s">
        <v>51</v>
      </c>
    </row>
    <row r="2066" spans="1:17" x14ac:dyDescent="0.25">
      <c r="A2066" s="3">
        <v>10325</v>
      </c>
      <c r="B2066" s="3">
        <v>44</v>
      </c>
      <c r="C2066" s="3">
        <v>100</v>
      </c>
      <c r="D2066" s="3">
        <v>4400</v>
      </c>
      <c r="E2066" s="3" t="str">
        <f t="shared" si="129"/>
        <v>Medium</v>
      </c>
      <c r="F2066" s="3">
        <f t="shared" si="130"/>
        <v>1320</v>
      </c>
      <c r="G2066" s="4">
        <v>38296</v>
      </c>
      <c r="H2066" s="3" t="s">
        <v>25</v>
      </c>
      <c r="I2066" s="3" t="str">
        <f t="shared" si="128"/>
        <v>Yes</v>
      </c>
      <c r="J2066" s="3" t="s">
        <v>686</v>
      </c>
      <c r="K2066" s="3">
        <v>2004</v>
      </c>
      <c r="L2066" s="3" t="str">
        <f t="shared" si="131"/>
        <v>Nov-2004</v>
      </c>
      <c r="M2066" s="3" t="s">
        <v>181</v>
      </c>
      <c r="N2066" s="3" t="s">
        <v>133</v>
      </c>
      <c r="O2066" s="3" t="s">
        <v>78</v>
      </c>
      <c r="P2066" s="3" t="s">
        <v>42</v>
      </c>
      <c r="Q2066" s="3" t="s">
        <v>51</v>
      </c>
    </row>
    <row r="2067" spans="1:17" x14ac:dyDescent="0.25">
      <c r="A2067" s="5">
        <v>10336</v>
      </c>
      <c r="B2067" s="5">
        <v>31</v>
      </c>
      <c r="C2067" s="5">
        <v>100</v>
      </c>
      <c r="D2067" s="5">
        <v>3100</v>
      </c>
      <c r="E2067" s="5" t="str">
        <f t="shared" si="129"/>
        <v>Medium</v>
      </c>
      <c r="F2067" s="5">
        <f t="shared" si="130"/>
        <v>930</v>
      </c>
      <c r="G2067" s="6">
        <v>38311</v>
      </c>
      <c r="H2067" s="5" t="s">
        <v>25</v>
      </c>
      <c r="I2067" s="5" t="str">
        <f t="shared" si="128"/>
        <v>Yes</v>
      </c>
      <c r="J2067" s="5" t="s">
        <v>686</v>
      </c>
      <c r="K2067" s="5">
        <v>2004</v>
      </c>
      <c r="L2067" s="5" t="str">
        <f t="shared" si="131"/>
        <v>Nov-2004</v>
      </c>
      <c r="M2067" s="5" t="s">
        <v>181</v>
      </c>
      <c r="N2067" s="5" t="s">
        <v>403</v>
      </c>
      <c r="O2067" s="5" t="s">
        <v>41</v>
      </c>
      <c r="P2067" s="5" t="s">
        <v>42</v>
      </c>
      <c r="Q2067" s="5" t="s">
        <v>51</v>
      </c>
    </row>
    <row r="2068" spans="1:17" x14ac:dyDescent="0.25">
      <c r="A2068" s="3">
        <v>10349</v>
      </c>
      <c r="B2068" s="3">
        <v>23</v>
      </c>
      <c r="C2068" s="3">
        <v>100</v>
      </c>
      <c r="D2068" s="3">
        <v>2300</v>
      </c>
      <c r="E2068" s="3" t="str">
        <f t="shared" si="129"/>
        <v>Medium</v>
      </c>
      <c r="F2068" s="3">
        <f t="shared" si="130"/>
        <v>690</v>
      </c>
      <c r="G2068" s="4">
        <v>38322</v>
      </c>
      <c r="H2068" s="3" t="s">
        <v>25</v>
      </c>
      <c r="I2068" s="3" t="str">
        <f t="shared" si="128"/>
        <v>Yes</v>
      </c>
      <c r="J2068" s="3" t="s">
        <v>687</v>
      </c>
      <c r="K2068" s="3">
        <v>2004</v>
      </c>
      <c r="L2068" s="3" t="str">
        <f t="shared" si="131"/>
        <v>Dec-2004</v>
      </c>
      <c r="M2068" s="3" t="s">
        <v>181</v>
      </c>
      <c r="N2068" s="3" t="s">
        <v>475</v>
      </c>
      <c r="O2068" s="3" t="s">
        <v>32</v>
      </c>
      <c r="P2068" s="3" t="s">
        <v>33</v>
      </c>
      <c r="Q2068" s="3" t="s">
        <v>51</v>
      </c>
    </row>
    <row r="2069" spans="1:17" x14ac:dyDescent="0.25">
      <c r="A2069" s="5">
        <v>10359</v>
      </c>
      <c r="B2069" s="5">
        <v>22</v>
      </c>
      <c r="C2069" s="5">
        <v>100</v>
      </c>
      <c r="D2069" s="5">
        <v>2200</v>
      </c>
      <c r="E2069" s="5" t="str">
        <f t="shared" si="129"/>
        <v>Medium</v>
      </c>
      <c r="F2069" s="5">
        <f t="shared" si="130"/>
        <v>660</v>
      </c>
      <c r="G2069" s="6">
        <v>38336</v>
      </c>
      <c r="H2069" s="5" t="s">
        <v>25</v>
      </c>
      <c r="I2069" s="5" t="str">
        <f t="shared" si="128"/>
        <v>Yes</v>
      </c>
      <c r="J2069" s="5" t="s">
        <v>687</v>
      </c>
      <c r="K2069" s="5">
        <v>2004</v>
      </c>
      <c r="L2069" s="5" t="str">
        <f t="shared" si="131"/>
        <v>Dec-2004</v>
      </c>
      <c r="M2069" s="5" t="s">
        <v>181</v>
      </c>
      <c r="N2069" s="5" t="s">
        <v>37</v>
      </c>
      <c r="O2069" s="5" t="s">
        <v>41</v>
      </c>
      <c r="P2069" s="5" t="s">
        <v>42</v>
      </c>
      <c r="Q2069" s="5" t="s">
        <v>36</v>
      </c>
    </row>
    <row r="2070" spans="1:17" x14ac:dyDescent="0.25">
      <c r="A2070" s="3">
        <v>10371</v>
      </c>
      <c r="B2070" s="3">
        <v>28</v>
      </c>
      <c r="C2070" s="3">
        <v>50.32</v>
      </c>
      <c r="D2070" s="3">
        <v>1408.96</v>
      </c>
      <c r="E2070" s="3" t="str">
        <f t="shared" si="129"/>
        <v>Low</v>
      </c>
      <c r="F2070" s="3">
        <f t="shared" si="130"/>
        <v>422.68799999999999</v>
      </c>
      <c r="G2070" s="4">
        <v>38375</v>
      </c>
      <c r="H2070" s="3" t="s">
        <v>25</v>
      </c>
      <c r="I2070" s="3" t="str">
        <f t="shared" si="128"/>
        <v>Yes</v>
      </c>
      <c r="J2070" s="3" t="s">
        <v>549</v>
      </c>
      <c r="K2070" s="3">
        <v>2005</v>
      </c>
      <c r="L2070" s="3" t="str">
        <f t="shared" si="131"/>
        <v>Jan-2005</v>
      </c>
      <c r="M2070" s="3" t="s">
        <v>181</v>
      </c>
      <c r="N2070" s="3" t="s">
        <v>272</v>
      </c>
      <c r="O2070" s="3" t="s">
        <v>32</v>
      </c>
      <c r="P2070" s="3" t="s">
        <v>33</v>
      </c>
      <c r="Q2070" s="3" t="s">
        <v>36</v>
      </c>
    </row>
    <row r="2071" spans="1:17" x14ac:dyDescent="0.25">
      <c r="A2071" s="5">
        <v>10383</v>
      </c>
      <c r="B2071" s="5">
        <v>21</v>
      </c>
      <c r="C2071" s="5">
        <v>93.91</v>
      </c>
      <c r="D2071" s="5">
        <v>1972.11</v>
      </c>
      <c r="E2071" s="5" t="str">
        <f t="shared" si="129"/>
        <v>Low</v>
      </c>
      <c r="F2071" s="5">
        <f t="shared" si="130"/>
        <v>591.63299999999992</v>
      </c>
      <c r="G2071" s="6">
        <v>38405</v>
      </c>
      <c r="H2071" s="5" t="s">
        <v>25</v>
      </c>
      <c r="I2071" s="5" t="str">
        <f t="shared" si="128"/>
        <v>Yes</v>
      </c>
      <c r="J2071" s="5" t="s">
        <v>681</v>
      </c>
      <c r="K2071" s="5">
        <v>2005</v>
      </c>
      <c r="L2071" s="5" t="str">
        <f t="shared" si="131"/>
        <v>Feb-2005</v>
      </c>
      <c r="M2071" s="5" t="s">
        <v>181</v>
      </c>
      <c r="N2071" s="5" t="s">
        <v>174</v>
      </c>
      <c r="O2071" s="5" t="s">
        <v>178</v>
      </c>
      <c r="P2071" s="5" t="s">
        <v>42</v>
      </c>
      <c r="Q2071" s="5" t="s">
        <v>36</v>
      </c>
    </row>
    <row r="2072" spans="1:17" x14ac:dyDescent="0.25">
      <c r="A2072" s="3">
        <v>10394</v>
      </c>
      <c r="B2072" s="3">
        <v>37</v>
      </c>
      <c r="C2072" s="3">
        <v>100</v>
      </c>
      <c r="D2072" s="3">
        <v>3700</v>
      </c>
      <c r="E2072" s="3" t="str">
        <f t="shared" si="129"/>
        <v>Medium</v>
      </c>
      <c r="F2072" s="3">
        <f t="shared" si="130"/>
        <v>1110</v>
      </c>
      <c r="G2072" s="4">
        <v>38426</v>
      </c>
      <c r="H2072" s="3" t="s">
        <v>25</v>
      </c>
      <c r="I2072" s="3" t="str">
        <f t="shared" si="128"/>
        <v>Yes</v>
      </c>
      <c r="J2072" s="3" t="s">
        <v>691</v>
      </c>
      <c r="K2072" s="3">
        <v>2005</v>
      </c>
      <c r="L2072" s="3" t="str">
        <f t="shared" si="131"/>
        <v>Mar-2005</v>
      </c>
      <c r="M2072" s="3" t="s">
        <v>181</v>
      </c>
      <c r="N2072" s="3" t="s">
        <v>174</v>
      </c>
      <c r="O2072" s="3" t="s">
        <v>178</v>
      </c>
      <c r="P2072" s="3" t="s">
        <v>42</v>
      </c>
      <c r="Q2072" s="3" t="s">
        <v>51</v>
      </c>
    </row>
    <row r="2073" spans="1:17" x14ac:dyDescent="0.25">
      <c r="A2073" s="5">
        <v>10412</v>
      </c>
      <c r="B2073" s="5">
        <v>31</v>
      </c>
      <c r="C2073" s="5">
        <v>100</v>
      </c>
      <c r="D2073" s="5">
        <v>3100</v>
      </c>
      <c r="E2073" s="5" t="str">
        <f t="shared" si="129"/>
        <v>Medium</v>
      </c>
      <c r="F2073" s="5">
        <f t="shared" si="130"/>
        <v>930</v>
      </c>
      <c r="G2073" s="6">
        <v>38475</v>
      </c>
      <c r="H2073" s="5" t="s">
        <v>25</v>
      </c>
      <c r="I2073" s="5" t="str">
        <f t="shared" si="128"/>
        <v>Yes</v>
      </c>
      <c r="J2073" s="5" t="s">
        <v>682</v>
      </c>
      <c r="K2073" s="5">
        <v>2005</v>
      </c>
      <c r="L2073" s="5" t="str">
        <f t="shared" si="131"/>
        <v>May-2005</v>
      </c>
      <c r="M2073" s="5" t="s">
        <v>181</v>
      </c>
      <c r="N2073" s="5" t="s">
        <v>174</v>
      </c>
      <c r="O2073" s="5" t="s">
        <v>178</v>
      </c>
      <c r="P2073" s="5" t="s">
        <v>42</v>
      </c>
      <c r="Q2073" s="5" t="s">
        <v>51</v>
      </c>
    </row>
    <row r="2074" spans="1:17" x14ac:dyDescent="0.25">
      <c r="A2074" s="3">
        <v>10103</v>
      </c>
      <c r="B2074" s="3">
        <v>25</v>
      </c>
      <c r="C2074" s="3">
        <v>100</v>
      </c>
      <c r="D2074" s="3">
        <v>2500</v>
      </c>
      <c r="E2074" s="3" t="str">
        <f t="shared" si="129"/>
        <v>Medium</v>
      </c>
      <c r="F2074" s="3">
        <f t="shared" si="130"/>
        <v>750</v>
      </c>
      <c r="G2074" s="4">
        <v>37650</v>
      </c>
      <c r="H2074" s="3" t="s">
        <v>25</v>
      </c>
      <c r="I2074" s="3" t="str">
        <f t="shared" si="128"/>
        <v>Yes</v>
      </c>
      <c r="J2074" s="3" t="s">
        <v>549</v>
      </c>
      <c r="K2074" s="3">
        <v>2003</v>
      </c>
      <c r="L2074" s="3" t="str">
        <f t="shared" si="131"/>
        <v>Jan-2003</v>
      </c>
      <c r="M2074" s="3" t="s">
        <v>550</v>
      </c>
      <c r="N2074" s="3" t="s">
        <v>133</v>
      </c>
      <c r="O2074" s="3" t="s">
        <v>78</v>
      </c>
      <c r="P2074" s="3" t="s">
        <v>42</v>
      </c>
      <c r="Q2074" s="3" t="s">
        <v>36</v>
      </c>
    </row>
    <row r="2075" spans="1:17" x14ac:dyDescent="0.25">
      <c r="A2075" s="5">
        <v>10111</v>
      </c>
      <c r="B2075" s="5">
        <v>26</v>
      </c>
      <c r="C2075" s="5">
        <v>86.68</v>
      </c>
      <c r="D2075" s="5">
        <v>2253.6800000000003</v>
      </c>
      <c r="E2075" s="5" t="str">
        <f t="shared" si="129"/>
        <v>Medium</v>
      </c>
      <c r="F2075" s="5">
        <f t="shared" si="130"/>
        <v>676.10400000000004</v>
      </c>
      <c r="G2075" s="6">
        <v>37705</v>
      </c>
      <c r="H2075" s="5" t="s">
        <v>25</v>
      </c>
      <c r="I2075" s="5" t="str">
        <f t="shared" si="128"/>
        <v>Yes</v>
      </c>
      <c r="J2075" s="5" t="s">
        <v>691</v>
      </c>
      <c r="K2075" s="5">
        <v>2003</v>
      </c>
      <c r="L2075" s="5" t="str">
        <f t="shared" si="131"/>
        <v>Mar-2003</v>
      </c>
      <c r="M2075" s="5" t="s">
        <v>550</v>
      </c>
      <c r="N2075" s="5" t="s">
        <v>81</v>
      </c>
      <c r="O2075" s="5" t="s">
        <v>32</v>
      </c>
      <c r="P2075" s="5" t="s">
        <v>33</v>
      </c>
      <c r="Q2075" s="5" t="s">
        <v>36</v>
      </c>
    </row>
    <row r="2076" spans="1:17" x14ac:dyDescent="0.25">
      <c r="A2076" s="3">
        <v>10126</v>
      </c>
      <c r="B2076" s="3">
        <v>34</v>
      </c>
      <c r="C2076" s="3">
        <v>100</v>
      </c>
      <c r="D2076" s="3">
        <v>3400</v>
      </c>
      <c r="E2076" s="3" t="str">
        <f t="shared" si="129"/>
        <v>Medium</v>
      </c>
      <c r="F2076" s="3">
        <f t="shared" si="130"/>
        <v>1020</v>
      </c>
      <c r="G2076" s="4">
        <v>37769</v>
      </c>
      <c r="H2076" s="3" t="s">
        <v>25</v>
      </c>
      <c r="I2076" s="3" t="str">
        <f t="shared" si="128"/>
        <v>Yes</v>
      </c>
      <c r="J2076" s="3" t="s">
        <v>682</v>
      </c>
      <c r="K2076" s="3">
        <v>2003</v>
      </c>
      <c r="L2076" s="3" t="str">
        <f t="shared" si="131"/>
        <v>May-2003</v>
      </c>
      <c r="M2076" s="3" t="s">
        <v>550</v>
      </c>
      <c r="N2076" s="3" t="s">
        <v>191</v>
      </c>
      <c r="O2076" s="3" t="s">
        <v>178</v>
      </c>
      <c r="P2076" s="3" t="s">
        <v>42</v>
      </c>
      <c r="Q2076" s="3" t="s">
        <v>51</v>
      </c>
    </row>
    <row r="2077" spans="1:17" x14ac:dyDescent="0.25">
      <c r="A2077" s="5">
        <v>10139</v>
      </c>
      <c r="B2077" s="5">
        <v>29</v>
      </c>
      <c r="C2077" s="5">
        <v>100</v>
      </c>
      <c r="D2077" s="5">
        <v>2900</v>
      </c>
      <c r="E2077" s="5" t="str">
        <f t="shared" si="129"/>
        <v>Medium</v>
      </c>
      <c r="F2077" s="5">
        <f t="shared" si="130"/>
        <v>870</v>
      </c>
      <c r="G2077" s="6">
        <v>37818</v>
      </c>
      <c r="H2077" s="5" t="s">
        <v>25</v>
      </c>
      <c r="I2077" s="5" t="str">
        <f t="shared" si="128"/>
        <v>Yes</v>
      </c>
      <c r="J2077" s="5" t="s">
        <v>683</v>
      </c>
      <c r="K2077" s="5">
        <v>2003</v>
      </c>
      <c r="L2077" s="5" t="str">
        <f t="shared" si="131"/>
        <v>Jul-2003</v>
      </c>
      <c r="M2077" s="5" t="s">
        <v>550</v>
      </c>
      <c r="N2077" s="5" t="s">
        <v>152</v>
      </c>
      <c r="O2077" s="5" t="s">
        <v>95</v>
      </c>
      <c r="P2077" s="5" t="s">
        <v>96</v>
      </c>
      <c r="Q2077" s="5" t="s">
        <v>51</v>
      </c>
    </row>
    <row r="2078" spans="1:17" x14ac:dyDescent="0.25">
      <c r="A2078" s="3">
        <v>10149</v>
      </c>
      <c r="B2078" s="3">
        <v>20</v>
      </c>
      <c r="C2078" s="3">
        <v>90.57</v>
      </c>
      <c r="D2078" s="3">
        <v>1811.3999999999999</v>
      </c>
      <c r="E2078" s="3" t="str">
        <f t="shared" si="129"/>
        <v>Low</v>
      </c>
      <c r="F2078" s="3">
        <f t="shared" si="130"/>
        <v>543.41999999999996</v>
      </c>
      <c r="G2078" s="4">
        <v>37876</v>
      </c>
      <c r="H2078" s="3" t="s">
        <v>25</v>
      </c>
      <c r="I2078" s="3" t="str">
        <f t="shared" si="128"/>
        <v>Yes</v>
      </c>
      <c r="J2078" s="3" t="s">
        <v>690</v>
      </c>
      <c r="K2078" s="3">
        <v>2003</v>
      </c>
      <c r="L2078" s="3" t="str">
        <f t="shared" si="131"/>
        <v>Sep-2003</v>
      </c>
      <c r="M2078" s="3" t="s">
        <v>550</v>
      </c>
      <c r="N2078" s="3" t="s">
        <v>526</v>
      </c>
      <c r="O2078" s="3" t="s">
        <v>32</v>
      </c>
      <c r="P2078" s="3" t="s">
        <v>33</v>
      </c>
      <c r="Q2078" s="3" t="s">
        <v>36</v>
      </c>
    </row>
    <row r="2079" spans="1:17" x14ac:dyDescent="0.25">
      <c r="A2079" s="5">
        <v>10163</v>
      </c>
      <c r="B2079" s="5">
        <v>42</v>
      </c>
      <c r="C2079" s="5">
        <v>91.55</v>
      </c>
      <c r="D2079" s="5">
        <v>3845.1</v>
      </c>
      <c r="E2079" s="5" t="str">
        <f t="shared" si="129"/>
        <v>Medium</v>
      </c>
      <c r="F2079" s="5">
        <f t="shared" si="130"/>
        <v>1153.53</v>
      </c>
      <c r="G2079" s="6">
        <v>37914</v>
      </c>
      <c r="H2079" s="5" t="s">
        <v>25</v>
      </c>
      <c r="I2079" s="5" t="str">
        <f t="shared" si="128"/>
        <v>Yes</v>
      </c>
      <c r="J2079" s="5" t="s">
        <v>685</v>
      </c>
      <c r="K2079" s="5">
        <v>2003</v>
      </c>
      <c r="L2079" s="5" t="str">
        <f t="shared" si="131"/>
        <v>Oct-2003</v>
      </c>
      <c r="M2079" s="5" t="s">
        <v>550</v>
      </c>
      <c r="N2079" s="5" t="s">
        <v>203</v>
      </c>
      <c r="O2079" s="5" t="s">
        <v>32</v>
      </c>
      <c r="P2079" s="5" t="s">
        <v>33</v>
      </c>
      <c r="Q2079" s="5" t="s">
        <v>51</v>
      </c>
    </row>
    <row r="2080" spans="1:17" x14ac:dyDescent="0.25">
      <c r="A2080" s="3">
        <v>10173</v>
      </c>
      <c r="B2080" s="3">
        <v>22</v>
      </c>
      <c r="C2080" s="3">
        <v>100</v>
      </c>
      <c r="D2080" s="3">
        <v>2200</v>
      </c>
      <c r="E2080" s="3" t="str">
        <f t="shared" si="129"/>
        <v>Medium</v>
      </c>
      <c r="F2080" s="3">
        <f t="shared" si="130"/>
        <v>660</v>
      </c>
      <c r="G2080" s="4">
        <v>37930</v>
      </c>
      <c r="H2080" s="3" t="s">
        <v>25</v>
      </c>
      <c r="I2080" s="3" t="str">
        <f t="shared" si="128"/>
        <v>Yes</v>
      </c>
      <c r="J2080" s="3" t="s">
        <v>686</v>
      </c>
      <c r="K2080" s="3">
        <v>2003</v>
      </c>
      <c r="L2080" s="3" t="str">
        <f t="shared" si="131"/>
        <v>Nov-2003</v>
      </c>
      <c r="M2080" s="3" t="s">
        <v>550</v>
      </c>
      <c r="N2080" s="3" t="s">
        <v>552</v>
      </c>
      <c r="O2080" s="3" t="s">
        <v>258</v>
      </c>
      <c r="P2080" s="3" t="s">
        <v>42</v>
      </c>
      <c r="Q2080" s="3" t="s">
        <v>36</v>
      </c>
    </row>
    <row r="2081" spans="1:17" x14ac:dyDescent="0.25">
      <c r="A2081" s="5">
        <v>10183</v>
      </c>
      <c r="B2081" s="5">
        <v>47</v>
      </c>
      <c r="C2081" s="5">
        <v>100</v>
      </c>
      <c r="D2081" s="5">
        <v>4700</v>
      </c>
      <c r="E2081" s="5" t="str">
        <f t="shared" si="129"/>
        <v>Medium</v>
      </c>
      <c r="F2081" s="5">
        <f t="shared" si="130"/>
        <v>1410</v>
      </c>
      <c r="G2081" s="6">
        <v>37938</v>
      </c>
      <c r="H2081" s="5" t="s">
        <v>25</v>
      </c>
      <c r="I2081" s="5" t="str">
        <f t="shared" si="128"/>
        <v>Yes</v>
      </c>
      <c r="J2081" s="5" t="s">
        <v>686</v>
      </c>
      <c r="K2081" s="5">
        <v>2003</v>
      </c>
      <c r="L2081" s="5" t="str">
        <f t="shared" si="131"/>
        <v>Nov-2003</v>
      </c>
      <c r="M2081" s="5" t="s">
        <v>550</v>
      </c>
      <c r="N2081" s="5" t="s">
        <v>214</v>
      </c>
      <c r="O2081" s="5" t="s">
        <v>32</v>
      </c>
      <c r="P2081" s="5" t="s">
        <v>33</v>
      </c>
      <c r="Q2081" s="5" t="s">
        <v>51</v>
      </c>
    </row>
    <row r="2082" spans="1:17" x14ac:dyDescent="0.25">
      <c r="A2082" s="3">
        <v>10193</v>
      </c>
      <c r="B2082" s="3">
        <v>20</v>
      </c>
      <c r="C2082" s="3">
        <v>100</v>
      </c>
      <c r="D2082" s="3">
        <v>2000</v>
      </c>
      <c r="E2082" s="3" t="str">
        <f t="shared" si="129"/>
        <v>Medium</v>
      </c>
      <c r="F2082" s="3">
        <f t="shared" si="130"/>
        <v>600</v>
      </c>
      <c r="G2082" s="4">
        <v>37946</v>
      </c>
      <c r="H2082" s="3" t="s">
        <v>25</v>
      </c>
      <c r="I2082" s="3" t="str">
        <f t="shared" si="128"/>
        <v>Yes</v>
      </c>
      <c r="J2082" s="3" t="s">
        <v>686</v>
      </c>
      <c r="K2082" s="3">
        <v>2003</v>
      </c>
      <c r="L2082" s="3" t="str">
        <f t="shared" si="131"/>
        <v>Nov-2003</v>
      </c>
      <c r="M2082" s="3" t="s">
        <v>550</v>
      </c>
      <c r="N2082" s="3" t="s">
        <v>558</v>
      </c>
      <c r="O2082" s="3" t="s">
        <v>95</v>
      </c>
      <c r="P2082" s="3" t="s">
        <v>96</v>
      </c>
      <c r="Q2082" s="3" t="s">
        <v>36</v>
      </c>
    </row>
    <row r="2083" spans="1:17" x14ac:dyDescent="0.25">
      <c r="A2083" s="5">
        <v>10206</v>
      </c>
      <c r="B2083" s="5">
        <v>33</v>
      </c>
      <c r="C2083" s="5">
        <v>97.39</v>
      </c>
      <c r="D2083" s="5">
        <v>3213.87</v>
      </c>
      <c r="E2083" s="5" t="str">
        <f t="shared" si="129"/>
        <v>Medium</v>
      </c>
      <c r="F2083" s="5">
        <f t="shared" si="130"/>
        <v>964.16099999999994</v>
      </c>
      <c r="G2083" s="6">
        <v>37960</v>
      </c>
      <c r="H2083" s="5" t="s">
        <v>25</v>
      </c>
      <c r="I2083" s="5" t="str">
        <f t="shared" si="128"/>
        <v>Yes</v>
      </c>
      <c r="J2083" s="5" t="s">
        <v>687</v>
      </c>
      <c r="K2083" s="5">
        <v>2003</v>
      </c>
      <c r="L2083" s="5" t="str">
        <f t="shared" si="131"/>
        <v>Dec-2003</v>
      </c>
      <c r="M2083" s="5" t="s">
        <v>550</v>
      </c>
      <c r="N2083" s="5" t="s">
        <v>225</v>
      </c>
      <c r="O2083" s="5" t="s">
        <v>231</v>
      </c>
      <c r="P2083" s="5" t="s">
        <v>33</v>
      </c>
      <c r="Q2083" s="5" t="s">
        <v>51</v>
      </c>
    </row>
    <row r="2084" spans="1:17" x14ac:dyDescent="0.25">
      <c r="A2084" s="3">
        <v>10215</v>
      </c>
      <c r="B2084" s="3">
        <v>39</v>
      </c>
      <c r="C2084" s="3">
        <v>90.57</v>
      </c>
      <c r="D2084" s="3">
        <v>3532.2299999999996</v>
      </c>
      <c r="E2084" s="3" t="str">
        <f t="shared" si="129"/>
        <v>Medium</v>
      </c>
      <c r="F2084" s="3">
        <f t="shared" si="130"/>
        <v>1059.6689999999999</v>
      </c>
      <c r="G2084" s="4">
        <v>38015</v>
      </c>
      <c r="H2084" s="3" t="s">
        <v>25</v>
      </c>
      <c r="I2084" s="3" t="str">
        <f t="shared" si="128"/>
        <v>Yes</v>
      </c>
      <c r="J2084" s="3" t="s">
        <v>549</v>
      </c>
      <c r="K2084" s="3">
        <v>2004</v>
      </c>
      <c r="L2084" s="3" t="str">
        <f t="shared" si="131"/>
        <v>Jan-2004</v>
      </c>
      <c r="M2084" s="3" t="s">
        <v>550</v>
      </c>
      <c r="N2084" s="3" t="s">
        <v>234</v>
      </c>
      <c r="O2084" s="3" t="s">
        <v>32</v>
      </c>
      <c r="P2084" s="3" t="s">
        <v>33</v>
      </c>
      <c r="Q2084" s="3" t="s">
        <v>51</v>
      </c>
    </row>
    <row r="2085" spans="1:17" x14ac:dyDescent="0.25">
      <c r="A2085" s="5">
        <v>10228</v>
      </c>
      <c r="B2085" s="5">
        <v>33</v>
      </c>
      <c r="C2085" s="5">
        <v>100</v>
      </c>
      <c r="D2085" s="5">
        <v>3300</v>
      </c>
      <c r="E2085" s="5" t="str">
        <f t="shared" si="129"/>
        <v>Medium</v>
      </c>
      <c r="F2085" s="5">
        <f t="shared" si="130"/>
        <v>990</v>
      </c>
      <c r="G2085" s="6">
        <v>38056</v>
      </c>
      <c r="H2085" s="5" t="s">
        <v>25</v>
      </c>
      <c r="I2085" s="5" t="str">
        <f t="shared" si="128"/>
        <v>Yes</v>
      </c>
      <c r="J2085" s="5" t="s">
        <v>691</v>
      </c>
      <c r="K2085" s="5">
        <v>2004</v>
      </c>
      <c r="L2085" s="5" t="str">
        <f t="shared" si="131"/>
        <v>Mar-2004</v>
      </c>
      <c r="M2085" s="5" t="s">
        <v>550</v>
      </c>
      <c r="N2085" s="5" t="s">
        <v>239</v>
      </c>
      <c r="O2085" s="5" t="s">
        <v>32</v>
      </c>
      <c r="P2085" s="5" t="s">
        <v>33</v>
      </c>
      <c r="Q2085" s="5" t="s">
        <v>51</v>
      </c>
    </row>
    <row r="2086" spans="1:17" x14ac:dyDescent="0.25">
      <c r="A2086" s="3">
        <v>10244</v>
      </c>
      <c r="B2086" s="3">
        <v>40</v>
      </c>
      <c r="C2086" s="3">
        <v>86.68</v>
      </c>
      <c r="D2086" s="3">
        <v>3467.2000000000003</v>
      </c>
      <c r="E2086" s="3" t="str">
        <f t="shared" si="129"/>
        <v>Medium</v>
      </c>
      <c r="F2086" s="3">
        <f t="shared" si="130"/>
        <v>1040.1600000000001</v>
      </c>
      <c r="G2086" s="4">
        <v>38106</v>
      </c>
      <c r="H2086" s="3" t="s">
        <v>25</v>
      </c>
      <c r="I2086" s="3" t="str">
        <f t="shared" si="128"/>
        <v>Yes</v>
      </c>
      <c r="J2086" s="3" t="s">
        <v>688</v>
      </c>
      <c r="K2086" s="3">
        <v>2004</v>
      </c>
      <c r="L2086" s="3" t="str">
        <f t="shared" si="131"/>
        <v>Apr-2004</v>
      </c>
      <c r="M2086" s="3" t="s">
        <v>550</v>
      </c>
      <c r="N2086" s="3" t="s">
        <v>174</v>
      </c>
      <c r="O2086" s="3" t="s">
        <v>178</v>
      </c>
      <c r="P2086" s="3" t="s">
        <v>42</v>
      </c>
      <c r="Q2086" s="3" t="s">
        <v>51</v>
      </c>
    </row>
    <row r="2087" spans="1:17" x14ac:dyDescent="0.25">
      <c r="A2087" s="5">
        <v>10257</v>
      </c>
      <c r="B2087" s="5">
        <v>46</v>
      </c>
      <c r="C2087" s="5">
        <v>78.89</v>
      </c>
      <c r="D2087" s="5">
        <v>3628.94</v>
      </c>
      <c r="E2087" s="5" t="str">
        <f t="shared" si="129"/>
        <v>Medium</v>
      </c>
      <c r="F2087" s="5">
        <f t="shared" si="130"/>
        <v>1088.682</v>
      </c>
      <c r="G2087" s="6">
        <v>38152</v>
      </c>
      <c r="H2087" s="5" t="s">
        <v>25</v>
      </c>
      <c r="I2087" s="5" t="str">
        <f t="shared" si="128"/>
        <v>Yes</v>
      </c>
      <c r="J2087" s="5" t="s">
        <v>689</v>
      </c>
      <c r="K2087" s="5">
        <v>2004</v>
      </c>
      <c r="L2087" s="5" t="str">
        <f t="shared" si="131"/>
        <v>Jun-2004</v>
      </c>
      <c r="M2087" s="5" t="s">
        <v>550</v>
      </c>
      <c r="N2087" s="5" t="s">
        <v>397</v>
      </c>
      <c r="O2087" s="5" t="s">
        <v>32</v>
      </c>
      <c r="P2087" s="5" t="s">
        <v>33</v>
      </c>
      <c r="Q2087" s="5" t="s">
        <v>51</v>
      </c>
    </row>
    <row r="2088" spans="1:17" x14ac:dyDescent="0.25">
      <c r="A2088" s="3">
        <v>10269</v>
      </c>
      <c r="B2088" s="3">
        <v>48</v>
      </c>
      <c r="C2088" s="3">
        <v>97.39</v>
      </c>
      <c r="D2088" s="3">
        <v>4674.72</v>
      </c>
      <c r="E2088" s="3" t="str">
        <f t="shared" si="129"/>
        <v>Medium</v>
      </c>
      <c r="F2088" s="3">
        <f t="shared" si="130"/>
        <v>1402.4159999999999</v>
      </c>
      <c r="G2088" s="4">
        <v>38184</v>
      </c>
      <c r="H2088" s="3" t="s">
        <v>25</v>
      </c>
      <c r="I2088" s="3" t="str">
        <f t="shared" si="128"/>
        <v>Yes</v>
      </c>
      <c r="J2088" s="3" t="s">
        <v>683</v>
      </c>
      <c r="K2088" s="3">
        <v>2004</v>
      </c>
      <c r="L2088" s="3" t="str">
        <f t="shared" si="131"/>
        <v>Jul-2004</v>
      </c>
      <c r="M2088" s="3" t="s">
        <v>550</v>
      </c>
      <c r="N2088" s="3" t="s">
        <v>144</v>
      </c>
      <c r="O2088" s="3" t="s">
        <v>148</v>
      </c>
      <c r="P2088" s="3" t="s">
        <v>42</v>
      </c>
      <c r="Q2088" s="3" t="s">
        <v>51</v>
      </c>
    </row>
    <row r="2089" spans="1:17" x14ac:dyDescent="0.25">
      <c r="A2089" s="5">
        <v>10280</v>
      </c>
      <c r="B2089" s="5">
        <v>21</v>
      </c>
      <c r="C2089" s="5">
        <v>78.89</v>
      </c>
      <c r="D2089" s="5">
        <v>1656.69</v>
      </c>
      <c r="E2089" s="5" t="str">
        <f t="shared" si="129"/>
        <v>Low</v>
      </c>
      <c r="F2089" s="5">
        <f t="shared" si="130"/>
        <v>497.00700000000001</v>
      </c>
      <c r="G2089" s="6">
        <v>38216</v>
      </c>
      <c r="H2089" s="5" t="s">
        <v>25</v>
      </c>
      <c r="I2089" s="5" t="str">
        <f t="shared" si="128"/>
        <v>Yes</v>
      </c>
      <c r="J2089" s="5" t="s">
        <v>684</v>
      </c>
      <c r="K2089" s="5">
        <v>2004</v>
      </c>
      <c r="L2089" s="5" t="str">
        <f t="shared" si="131"/>
        <v>Aug-2004</v>
      </c>
      <c r="M2089" s="5" t="s">
        <v>550</v>
      </c>
      <c r="N2089" s="5" t="s">
        <v>254</v>
      </c>
      <c r="O2089" s="5" t="s">
        <v>258</v>
      </c>
      <c r="P2089" s="5" t="s">
        <v>42</v>
      </c>
      <c r="Q2089" s="5" t="s">
        <v>36</v>
      </c>
    </row>
    <row r="2090" spans="1:17" x14ac:dyDescent="0.25">
      <c r="A2090" s="3">
        <v>10290</v>
      </c>
      <c r="B2090" s="3">
        <v>45</v>
      </c>
      <c r="C2090" s="3">
        <v>100</v>
      </c>
      <c r="D2090" s="3">
        <v>4500</v>
      </c>
      <c r="E2090" s="3" t="str">
        <f t="shared" si="129"/>
        <v>Medium</v>
      </c>
      <c r="F2090" s="3">
        <f t="shared" si="130"/>
        <v>1350</v>
      </c>
      <c r="G2090" s="4">
        <v>38237</v>
      </c>
      <c r="H2090" s="3" t="s">
        <v>25</v>
      </c>
      <c r="I2090" s="3" t="str">
        <f t="shared" si="128"/>
        <v>Yes</v>
      </c>
      <c r="J2090" s="3" t="s">
        <v>690</v>
      </c>
      <c r="K2090" s="3">
        <v>2004</v>
      </c>
      <c r="L2090" s="3" t="str">
        <f t="shared" si="131"/>
        <v>Sep-2004</v>
      </c>
      <c r="M2090" s="3" t="s">
        <v>550</v>
      </c>
      <c r="N2090" s="3" t="s">
        <v>600</v>
      </c>
      <c r="O2090" s="3" t="s">
        <v>32</v>
      </c>
      <c r="P2090" s="3" t="s">
        <v>33</v>
      </c>
      <c r="Q2090" s="3" t="s">
        <v>51</v>
      </c>
    </row>
    <row r="2091" spans="1:17" x14ac:dyDescent="0.25">
      <c r="A2091" s="5">
        <v>10304</v>
      </c>
      <c r="B2091" s="5">
        <v>33</v>
      </c>
      <c r="C2091" s="5">
        <v>100</v>
      </c>
      <c r="D2091" s="5">
        <v>3300</v>
      </c>
      <c r="E2091" s="5" t="str">
        <f t="shared" si="129"/>
        <v>Medium</v>
      </c>
      <c r="F2091" s="5">
        <f t="shared" si="130"/>
        <v>990</v>
      </c>
      <c r="G2091" s="6">
        <v>38271</v>
      </c>
      <c r="H2091" s="5" t="s">
        <v>25</v>
      </c>
      <c r="I2091" s="5" t="str">
        <f t="shared" si="128"/>
        <v>Yes</v>
      </c>
      <c r="J2091" s="5" t="s">
        <v>685</v>
      </c>
      <c r="K2091" s="5">
        <v>2004</v>
      </c>
      <c r="L2091" s="5" t="str">
        <f t="shared" si="131"/>
        <v>Oct-2004</v>
      </c>
      <c r="M2091" s="5" t="s">
        <v>550</v>
      </c>
      <c r="N2091" s="5" t="s">
        <v>267</v>
      </c>
      <c r="O2091" s="5" t="s">
        <v>41</v>
      </c>
      <c r="P2091" s="5" t="s">
        <v>42</v>
      </c>
      <c r="Q2091" s="5" t="s">
        <v>51</v>
      </c>
    </row>
    <row r="2092" spans="1:17" x14ac:dyDescent="0.25">
      <c r="A2092" s="3">
        <v>10312</v>
      </c>
      <c r="B2092" s="3">
        <v>44</v>
      </c>
      <c r="C2092" s="3">
        <v>100</v>
      </c>
      <c r="D2092" s="3">
        <v>4400</v>
      </c>
      <c r="E2092" s="3" t="str">
        <f t="shared" si="129"/>
        <v>Medium</v>
      </c>
      <c r="F2092" s="3">
        <f t="shared" si="130"/>
        <v>1320</v>
      </c>
      <c r="G2092" s="4">
        <v>38281</v>
      </c>
      <c r="H2092" s="3" t="s">
        <v>25</v>
      </c>
      <c r="I2092" s="3" t="str">
        <f t="shared" si="128"/>
        <v>Yes</v>
      </c>
      <c r="J2092" s="3" t="s">
        <v>685</v>
      </c>
      <c r="K2092" s="3">
        <v>2004</v>
      </c>
      <c r="L2092" s="3" t="str">
        <f t="shared" si="131"/>
        <v>Oct-2004</v>
      </c>
      <c r="M2092" s="3" t="s">
        <v>550</v>
      </c>
      <c r="N2092" s="3" t="s">
        <v>272</v>
      </c>
      <c r="O2092" s="3" t="s">
        <v>32</v>
      </c>
      <c r="P2092" s="3" t="s">
        <v>33</v>
      </c>
      <c r="Q2092" s="3" t="s">
        <v>51</v>
      </c>
    </row>
    <row r="2093" spans="1:17" x14ac:dyDescent="0.25">
      <c r="A2093" s="5">
        <v>10324</v>
      </c>
      <c r="B2093" s="5">
        <v>33</v>
      </c>
      <c r="C2093" s="5">
        <v>100</v>
      </c>
      <c r="D2093" s="5">
        <v>3300</v>
      </c>
      <c r="E2093" s="5" t="str">
        <f t="shared" si="129"/>
        <v>Medium</v>
      </c>
      <c r="F2093" s="5">
        <f t="shared" si="130"/>
        <v>990</v>
      </c>
      <c r="G2093" s="6">
        <v>38296</v>
      </c>
      <c r="H2093" s="5" t="s">
        <v>25</v>
      </c>
      <c r="I2093" s="5" t="str">
        <f t="shared" si="128"/>
        <v>Yes</v>
      </c>
      <c r="J2093" s="5" t="s">
        <v>686</v>
      </c>
      <c r="K2093" s="5">
        <v>2004</v>
      </c>
      <c r="L2093" s="5" t="str">
        <f t="shared" si="131"/>
        <v>Nov-2004</v>
      </c>
      <c r="M2093" s="5" t="s">
        <v>550</v>
      </c>
      <c r="N2093" s="5" t="s">
        <v>99</v>
      </c>
      <c r="O2093" s="5" t="s">
        <v>32</v>
      </c>
      <c r="P2093" s="5" t="s">
        <v>33</v>
      </c>
      <c r="Q2093" s="5" t="s">
        <v>51</v>
      </c>
    </row>
    <row r="2094" spans="1:17" x14ac:dyDescent="0.25">
      <c r="A2094" s="3">
        <v>10333</v>
      </c>
      <c r="B2094" s="3">
        <v>39</v>
      </c>
      <c r="C2094" s="3">
        <v>100</v>
      </c>
      <c r="D2094" s="3">
        <v>3900</v>
      </c>
      <c r="E2094" s="3" t="str">
        <f t="shared" si="129"/>
        <v>Medium</v>
      </c>
      <c r="F2094" s="3">
        <f t="shared" si="130"/>
        <v>1170</v>
      </c>
      <c r="G2094" s="4">
        <v>38309</v>
      </c>
      <c r="H2094" s="3" t="s">
        <v>25</v>
      </c>
      <c r="I2094" s="3" t="str">
        <f t="shared" si="128"/>
        <v>Yes</v>
      </c>
      <c r="J2094" s="3" t="s">
        <v>686</v>
      </c>
      <c r="K2094" s="3">
        <v>2004</v>
      </c>
      <c r="L2094" s="3" t="str">
        <f t="shared" si="131"/>
        <v>Nov-2004</v>
      </c>
      <c r="M2094" s="3" t="s">
        <v>550</v>
      </c>
      <c r="N2094" s="3" t="s">
        <v>81</v>
      </c>
      <c r="O2094" s="3" t="s">
        <v>32</v>
      </c>
      <c r="P2094" s="3" t="s">
        <v>33</v>
      </c>
      <c r="Q2094" s="3" t="s">
        <v>51</v>
      </c>
    </row>
    <row r="2095" spans="1:17" x14ac:dyDescent="0.25">
      <c r="A2095" s="5">
        <v>10348</v>
      </c>
      <c r="B2095" s="5">
        <v>39</v>
      </c>
      <c r="C2095" s="5">
        <v>50.31</v>
      </c>
      <c r="D2095" s="5">
        <v>1962.0900000000001</v>
      </c>
      <c r="E2095" s="5" t="str">
        <f t="shared" si="129"/>
        <v>Low</v>
      </c>
      <c r="F2095" s="5">
        <f t="shared" si="130"/>
        <v>588.62700000000007</v>
      </c>
      <c r="G2095" s="6">
        <v>38292</v>
      </c>
      <c r="H2095" s="5" t="s">
        <v>25</v>
      </c>
      <c r="I2095" s="5" t="str">
        <f t="shared" si="128"/>
        <v>Yes</v>
      </c>
      <c r="J2095" s="5" t="s">
        <v>686</v>
      </c>
      <c r="K2095" s="5">
        <v>2004</v>
      </c>
      <c r="L2095" s="5" t="str">
        <f t="shared" si="131"/>
        <v>Nov-2004</v>
      </c>
      <c r="M2095" s="5" t="s">
        <v>550</v>
      </c>
      <c r="N2095" s="5" t="s">
        <v>191</v>
      </c>
      <c r="O2095" s="5" t="s">
        <v>178</v>
      </c>
      <c r="P2095" s="5" t="s">
        <v>42</v>
      </c>
      <c r="Q2095" s="5" t="s">
        <v>36</v>
      </c>
    </row>
    <row r="2096" spans="1:17" x14ac:dyDescent="0.25">
      <c r="A2096" s="3">
        <v>10358</v>
      </c>
      <c r="B2096" s="3">
        <v>41</v>
      </c>
      <c r="C2096" s="3">
        <v>100</v>
      </c>
      <c r="D2096" s="3">
        <v>4100</v>
      </c>
      <c r="E2096" s="3" t="str">
        <f t="shared" si="129"/>
        <v>Medium</v>
      </c>
      <c r="F2096" s="3">
        <f t="shared" si="130"/>
        <v>1230</v>
      </c>
      <c r="G2096" s="4">
        <v>38331</v>
      </c>
      <c r="H2096" s="3" t="s">
        <v>25</v>
      </c>
      <c r="I2096" s="3" t="str">
        <f t="shared" si="128"/>
        <v>Yes</v>
      </c>
      <c r="J2096" s="3" t="s">
        <v>687</v>
      </c>
      <c r="K2096" s="3">
        <v>2004</v>
      </c>
      <c r="L2096" s="3" t="str">
        <f t="shared" si="131"/>
        <v>Dec-2004</v>
      </c>
      <c r="M2096" s="3" t="s">
        <v>550</v>
      </c>
      <c r="N2096" s="3" t="s">
        <v>174</v>
      </c>
      <c r="O2096" s="3" t="s">
        <v>178</v>
      </c>
      <c r="P2096" s="3" t="s">
        <v>42</v>
      </c>
      <c r="Q2096" s="3" t="s">
        <v>51</v>
      </c>
    </row>
    <row r="2097" spans="1:17" x14ac:dyDescent="0.25">
      <c r="A2097" s="5">
        <v>10369</v>
      </c>
      <c r="B2097" s="5">
        <v>40</v>
      </c>
      <c r="C2097" s="5">
        <v>86.92</v>
      </c>
      <c r="D2097" s="5">
        <v>3476.8</v>
      </c>
      <c r="E2097" s="5" t="str">
        <f t="shared" si="129"/>
        <v>Medium</v>
      </c>
      <c r="F2097" s="5">
        <f t="shared" si="130"/>
        <v>1043.04</v>
      </c>
      <c r="G2097" s="6">
        <v>38372</v>
      </c>
      <c r="H2097" s="5" t="s">
        <v>25</v>
      </c>
      <c r="I2097" s="5" t="str">
        <f t="shared" si="128"/>
        <v>Yes</v>
      </c>
      <c r="J2097" s="5" t="s">
        <v>549</v>
      </c>
      <c r="K2097" s="5">
        <v>2005</v>
      </c>
      <c r="L2097" s="5" t="str">
        <f t="shared" si="131"/>
        <v>Jan-2005</v>
      </c>
      <c r="M2097" s="5" t="s">
        <v>550</v>
      </c>
      <c r="N2097" s="5" t="s">
        <v>281</v>
      </c>
      <c r="O2097" s="5" t="s">
        <v>32</v>
      </c>
      <c r="P2097" s="5" t="s">
        <v>33</v>
      </c>
      <c r="Q2097" s="5" t="s">
        <v>51</v>
      </c>
    </row>
    <row r="2098" spans="1:17" x14ac:dyDescent="0.25">
      <c r="A2098" s="3">
        <v>10382</v>
      </c>
      <c r="B2098" s="3">
        <v>33</v>
      </c>
      <c r="C2098" s="3">
        <v>100</v>
      </c>
      <c r="D2098" s="3">
        <v>3300</v>
      </c>
      <c r="E2098" s="3" t="str">
        <f t="shared" si="129"/>
        <v>Medium</v>
      </c>
      <c r="F2098" s="3">
        <f t="shared" si="130"/>
        <v>990</v>
      </c>
      <c r="G2098" s="4">
        <v>38400</v>
      </c>
      <c r="H2098" s="3" t="s">
        <v>25</v>
      </c>
      <c r="I2098" s="3" t="str">
        <f t="shared" si="128"/>
        <v>Yes</v>
      </c>
      <c r="J2098" s="3" t="s">
        <v>681</v>
      </c>
      <c r="K2098" s="3">
        <v>2005</v>
      </c>
      <c r="L2098" s="3" t="str">
        <f t="shared" si="131"/>
        <v>Feb-2005</v>
      </c>
      <c r="M2098" s="3" t="s">
        <v>550</v>
      </c>
      <c r="N2098" s="3" t="s">
        <v>272</v>
      </c>
      <c r="O2098" s="3" t="s">
        <v>32</v>
      </c>
      <c r="P2098" s="3" t="s">
        <v>33</v>
      </c>
      <c r="Q2098" s="3" t="s">
        <v>51</v>
      </c>
    </row>
    <row r="2099" spans="1:17" x14ac:dyDescent="0.25">
      <c r="A2099" s="5">
        <v>10423</v>
      </c>
      <c r="B2099" s="5">
        <v>28</v>
      </c>
      <c r="C2099" s="5">
        <v>78.89</v>
      </c>
      <c r="D2099" s="5">
        <v>2208.92</v>
      </c>
      <c r="E2099" s="5" t="str">
        <f t="shared" si="129"/>
        <v>Medium</v>
      </c>
      <c r="F2099" s="5">
        <f t="shared" si="130"/>
        <v>662.67600000000004</v>
      </c>
      <c r="G2099" s="6">
        <v>38502</v>
      </c>
      <c r="H2099" s="5" t="s">
        <v>300</v>
      </c>
      <c r="I2099" s="5" t="str">
        <f t="shared" si="128"/>
        <v>No</v>
      </c>
      <c r="J2099" s="5" t="s">
        <v>682</v>
      </c>
      <c r="K2099" s="5">
        <v>2005</v>
      </c>
      <c r="L2099" s="5" t="str">
        <f t="shared" si="131"/>
        <v>May-2005</v>
      </c>
      <c r="M2099" s="5" t="s">
        <v>550</v>
      </c>
      <c r="N2099" s="5" t="s">
        <v>365</v>
      </c>
      <c r="O2099" s="5" t="s">
        <v>370</v>
      </c>
      <c r="P2099" s="5" t="s">
        <v>42</v>
      </c>
      <c r="Q2099" s="5" t="s">
        <v>36</v>
      </c>
    </row>
    <row r="2100" spans="1:17" x14ac:dyDescent="0.25">
      <c r="A2100" s="3">
        <v>10106</v>
      </c>
      <c r="B2100" s="3">
        <v>26</v>
      </c>
      <c r="C2100" s="3">
        <v>63.76</v>
      </c>
      <c r="D2100" s="3">
        <v>1657.76</v>
      </c>
      <c r="E2100" s="3" t="str">
        <f t="shared" si="129"/>
        <v>Low</v>
      </c>
      <c r="F2100" s="3">
        <f t="shared" si="130"/>
        <v>497.32799999999997</v>
      </c>
      <c r="G2100" s="4">
        <v>37669</v>
      </c>
      <c r="H2100" s="3" t="s">
        <v>25</v>
      </c>
      <c r="I2100" s="3" t="str">
        <f t="shared" si="128"/>
        <v>Yes</v>
      </c>
      <c r="J2100" s="3" t="s">
        <v>681</v>
      </c>
      <c r="K2100" s="3">
        <v>2003</v>
      </c>
      <c r="L2100" s="3" t="str">
        <f t="shared" si="131"/>
        <v>Feb-2003</v>
      </c>
      <c r="M2100" s="3" t="s">
        <v>566</v>
      </c>
      <c r="N2100" s="3" t="s">
        <v>552</v>
      </c>
      <c r="O2100" s="3" t="s">
        <v>258</v>
      </c>
      <c r="P2100" s="3" t="s">
        <v>42</v>
      </c>
      <c r="Q2100" s="3" t="s">
        <v>36</v>
      </c>
    </row>
    <row r="2101" spans="1:17" x14ac:dyDescent="0.25">
      <c r="A2101" s="5">
        <v>10120</v>
      </c>
      <c r="B2101" s="5">
        <v>29</v>
      </c>
      <c r="C2101" s="5">
        <v>85.49</v>
      </c>
      <c r="D2101" s="5">
        <v>2479.21</v>
      </c>
      <c r="E2101" s="5" t="str">
        <f t="shared" si="129"/>
        <v>Medium</v>
      </c>
      <c r="F2101" s="5">
        <f t="shared" si="130"/>
        <v>743.76300000000003</v>
      </c>
      <c r="G2101" s="6">
        <v>37740</v>
      </c>
      <c r="H2101" s="5" t="s">
        <v>25</v>
      </c>
      <c r="I2101" s="5" t="str">
        <f t="shared" si="128"/>
        <v>Yes</v>
      </c>
      <c r="J2101" s="5" t="s">
        <v>688</v>
      </c>
      <c r="K2101" s="5">
        <v>2003</v>
      </c>
      <c r="L2101" s="5" t="str">
        <f t="shared" si="131"/>
        <v>Apr-2003</v>
      </c>
      <c r="M2101" s="5" t="s">
        <v>566</v>
      </c>
      <c r="N2101" s="5" t="s">
        <v>89</v>
      </c>
      <c r="O2101" s="5" t="s">
        <v>95</v>
      </c>
      <c r="P2101" s="5" t="s">
        <v>96</v>
      </c>
      <c r="Q2101" s="5" t="s">
        <v>36</v>
      </c>
    </row>
    <row r="2102" spans="1:17" x14ac:dyDescent="0.25">
      <c r="A2102" s="3">
        <v>10133</v>
      </c>
      <c r="B2102" s="3">
        <v>46</v>
      </c>
      <c r="C2102" s="3">
        <v>77.52</v>
      </c>
      <c r="D2102" s="3">
        <v>3565.9199999999996</v>
      </c>
      <c r="E2102" s="3" t="str">
        <f t="shared" si="129"/>
        <v>Medium</v>
      </c>
      <c r="F2102" s="3">
        <f t="shared" si="130"/>
        <v>1069.7759999999998</v>
      </c>
      <c r="G2102" s="4">
        <v>37799</v>
      </c>
      <c r="H2102" s="3" t="s">
        <v>25</v>
      </c>
      <c r="I2102" s="3" t="str">
        <f t="shared" si="128"/>
        <v>Yes</v>
      </c>
      <c r="J2102" s="3" t="s">
        <v>689</v>
      </c>
      <c r="K2102" s="3">
        <v>2003</v>
      </c>
      <c r="L2102" s="3" t="str">
        <f t="shared" si="131"/>
        <v>Jun-2003</v>
      </c>
      <c r="M2102" s="3" t="s">
        <v>566</v>
      </c>
      <c r="N2102" s="3" t="s">
        <v>174</v>
      </c>
      <c r="O2102" s="3" t="s">
        <v>178</v>
      </c>
      <c r="P2102" s="3" t="s">
        <v>42</v>
      </c>
      <c r="Q2102" s="3" t="s">
        <v>51</v>
      </c>
    </row>
    <row r="2103" spans="1:17" x14ac:dyDescent="0.25">
      <c r="A2103" s="5">
        <v>10145</v>
      </c>
      <c r="B2103" s="5">
        <v>33</v>
      </c>
      <c r="C2103" s="5">
        <v>84.77</v>
      </c>
      <c r="D2103" s="5">
        <v>2797.41</v>
      </c>
      <c r="E2103" s="5" t="str">
        <f t="shared" si="129"/>
        <v>Medium</v>
      </c>
      <c r="F2103" s="5">
        <f t="shared" si="130"/>
        <v>839.22299999999996</v>
      </c>
      <c r="G2103" s="6">
        <v>37858</v>
      </c>
      <c r="H2103" s="5" t="s">
        <v>25</v>
      </c>
      <c r="I2103" s="5" t="str">
        <f t="shared" si="128"/>
        <v>Yes</v>
      </c>
      <c r="J2103" s="5" t="s">
        <v>684</v>
      </c>
      <c r="K2103" s="5">
        <v>2003</v>
      </c>
      <c r="L2103" s="5" t="str">
        <f t="shared" si="131"/>
        <v>Aug-2003</v>
      </c>
      <c r="M2103" s="5" t="s">
        <v>566</v>
      </c>
      <c r="N2103" s="5" t="s">
        <v>52</v>
      </c>
      <c r="O2103" s="5" t="s">
        <v>32</v>
      </c>
      <c r="P2103" s="5" t="s">
        <v>33</v>
      </c>
      <c r="Q2103" s="5" t="s">
        <v>36</v>
      </c>
    </row>
    <row r="2104" spans="1:17" x14ac:dyDescent="0.25">
      <c r="A2104" s="3">
        <v>10168</v>
      </c>
      <c r="B2104" s="3">
        <v>48</v>
      </c>
      <c r="C2104" s="3">
        <v>78.25</v>
      </c>
      <c r="D2104" s="3">
        <v>3756</v>
      </c>
      <c r="E2104" s="3" t="str">
        <f t="shared" si="129"/>
        <v>Medium</v>
      </c>
      <c r="F2104" s="3">
        <f t="shared" si="130"/>
        <v>1126.8</v>
      </c>
      <c r="G2104" s="4">
        <v>37922</v>
      </c>
      <c r="H2104" s="3" t="s">
        <v>25</v>
      </c>
      <c r="I2104" s="3" t="str">
        <f t="shared" si="128"/>
        <v>Yes</v>
      </c>
      <c r="J2104" s="3" t="s">
        <v>685</v>
      </c>
      <c r="K2104" s="3">
        <v>2003</v>
      </c>
      <c r="L2104" s="3" t="str">
        <f t="shared" si="131"/>
        <v>Oct-2003</v>
      </c>
      <c r="M2104" s="3" t="s">
        <v>566</v>
      </c>
      <c r="N2104" s="3" t="s">
        <v>62</v>
      </c>
      <c r="O2104" s="3" t="s">
        <v>32</v>
      </c>
      <c r="P2104" s="3" t="s">
        <v>33</v>
      </c>
      <c r="Q2104" s="3" t="s">
        <v>51</v>
      </c>
    </row>
    <row r="2105" spans="1:17" x14ac:dyDescent="0.25">
      <c r="A2105" s="5">
        <v>10210</v>
      </c>
      <c r="B2105" s="5">
        <v>40</v>
      </c>
      <c r="C2105" s="5">
        <v>71</v>
      </c>
      <c r="D2105" s="5">
        <v>2840</v>
      </c>
      <c r="E2105" s="5" t="str">
        <f t="shared" si="129"/>
        <v>Medium</v>
      </c>
      <c r="F2105" s="5">
        <f t="shared" si="130"/>
        <v>852</v>
      </c>
      <c r="G2105" s="6">
        <v>37998</v>
      </c>
      <c r="H2105" s="5" t="s">
        <v>25</v>
      </c>
      <c r="I2105" s="5" t="str">
        <f t="shared" si="128"/>
        <v>Yes</v>
      </c>
      <c r="J2105" s="5" t="s">
        <v>549</v>
      </c>
      <c r="K2105" s="5">
        <v>2004</v>
      </c>
      <c r="L2105" s="5" t="str">
        <f t="shared" si="131"/>
        <v>Jan-2004</v>
      </c>
      <c r="M2105" s="5" t="s">
        <v>566</v>
      </c>
      <c r="N2105" s="5" t="s">
        <v>302</v>
      </c>
      <c r="O2105" s="5" t="s">
        <v>200</v>
      </c>
      <c r="P2105" s="5" t="s">
        <v>675</v>
      </c>
      <c r="Q2105" s="5" t="s">
        <v>36</v>
      </c>
    </row>
    <row r="2106" spans="1:17" x14ac:dyDescent="0.25">
      <c r="A2106" s="3">
        <v>10223</v>
      </c>
      <c r="B2106" s="3">
        <v>23</v>
      </c>
      <c r="C2106" s="3">
        <v>74.62</v>
      </c>
      <c r="D2106" s="3">
        <v>1716.2600000000002</v>
      </c>
      <c r="E2106" s="3" t="str">
        <f t="shared" si="129"/>
        <v>Low</v>
      </c>
      <c r="F2106" s="3">
        <f t="shared" si="130"/>
        <v>514.87800000000004</v>
      </c>
      <c r="G2106" s="4">
        <v>38037</v>
      </c>
      <c r="H2106" s="3" t="s">
        <v>25</v>
      </c>
      <c r="I2106" s="3" t="str">
        <f t="shared" si="128"/>
        <v>Yes</v>
      </c>
      <c r="J2106" s="3" t="s">
        <v>681</v>
      </c>
      <c r="K2106" s="3">
        <v>2004</v>
      </c>
      <c r="L2106" s="3" t="str">
        <f t="shared" si="131"/>
        <v>Feb-2004</v>
      </c>
      <c r="M2106" s="3" t="s">
        <v>566</v>
      </c>
      <c r="N2106" s="3" t="s">
        <v>89</v>
      </c>
      <c r="O2106" s="3" t="s">
        <v>95</v>
      </c>
      <c r="P2106" s="3" t="s">
        <v>96</v>
      </c>
      <c r="Q2106" s="3" t="s">
        <v>36</v>
      </c>
    </row>
    <row r="2107" spans="1:17" x14ac:dyDescent="0.25">
      <c r="A2107" s="5">
        <v>10235</v>
      </c>
      <c r="B2107" s="5">
        <v>40</v>
      </c>
      <c r="C2107" s="5">
        <v>81.14</v>
      </c>
      <c r="D2107" s="5">
        <v>3245.6</v>
      </c>
      <c r="E2107" s="5" t="str">
        <f t="shared" si="129"/>
        <v>Medium</v>
      </c>
      <c r="F2107" s="5">
        <f t="shared" si="130"/>
        <v>973.68</v>
      </c>
      <c r="G2107" s="6">
        <v>38079</v>
      </c>
      <c r="H2107" s="5" t="s">
        <v>25</v>
      </c>
      <c r="I2107" s="5" t="str">
        <f t="shared" si="128"/>
        <v>Yes</v>
      </c>
      <c r="J2107" s="5" t="s">
        <v>688</v>
      </c>
      <c r="K2107" s="5">
        <v>2004</v>
      </c>
      <c r="L2107" s="5" t="str">
        <f t="shared" si="131"/>
        <v>Apr-2004</v>
      </c>
      <c r="M2107" s="5" t="s">
        <v>566</v>
      </c>
      <c r="N2107" s="5" t="s">
        <v>373</v>
      </c>
      <c r="O2107" s="5" t="s">
        <v>231</v>
      </c>
      <c r="P2107" s="5" t="s">
        <v>33</v>
      </c>
      <c r="Q2107" s="5" t="s">
        <v>51</v>
      </c>
    </row>
    <row r="2108" spans="1:17" x14ac:dyDescent="0.25">
      <c r="A2108" s="3">
        <v>10250</v>
      </c>
      <c r="B2108" s="3">
        <v>37</v>
      </c>
      <c r="C2108" s="3">
        <v>74.62</v>
      </c>
      <c r="D2108" s="3">
        <v>2760.94</v>
      </c>
      <c r="E2108" s="3" t="str">
        <f t="shared" si="129"/>
        <v>Medium</v>
      </c>
      <c r="F2108" s="3">
        <f t="shared" si="130"/>
        <v>828.28200000000004</v>
      </c>
      <c r="G2108" s="4">
        <v>38118</v>
      </c>
      <c r="H2108" s="3" t="s">
        <v>25</v>
      </c>
      <c r="I2108" s="3" t="str">
        <f t="shared" si="128"/>
        <v>Yes</v>
      </c>
      <c r="J2108" s="3" t="s">
        <v>682</v>
      </c>
      <c r="K2108" s="3">
        <v>2004</v>
      </c>
      <c r="L2108" s="3" t="str">
        <f t="shared" si="131"/>
        <v>May-2004</v>
      </c>
      <c r="M2108" s="3" t="s">
        <v>566</v>
      </c>
      <c r="N2108" s="3" t="s">
        <v>397</v>
      </c>
      <c r="O2108" s="3" t="s">
        <v>32</v>
      </c>
      <c r="P2108" s="3" t="s">
        <v>33</v>
      </c>
      <c r="Q2108" s="3" t="s">
        <v>36</v>
      </c>
    </row>
    <row r="2109" spans="1:17" x14ac:dyDescent="0.25">
      <c r="A2109" s="5">
        <v>10263</v>
      </c>
      <c r="B2109" s="5">
        <v>24</v>
      </c>
      <c r="C2109" s="5">
        <v>75.349999999999994</v>
      </c>
      <c r="D2109" s="5">
        <v>1808.3999999999999</v>
      </c>
      <c r="E2109" s="5" t="str">
        <f t="shared" si="129"/>
        <v>Low</v>
      </c>
      <c r="F2109" s="5">
        <f t="shared" si="130"/>
        <v>542.52</v>
      </c>
      <c r="G2109" s="6">
        <v>38166</v>
      </c>
      <c r="H2109" s="5" t="s">
        <v>25</v>
      </c>
      <c r="I2109" s="5" t="str">
        <f t="shared" si="128"/>
        <v>Yes</v>
      </c>
      <c r="J2109" s="5" t="s">
        <v>689</v>
      </c>
      <c r="K2109" s="5">
        <v>2004</v>
      </c>
      <c r="L2109" s="5" t="str">
        <f t="shared" si="131"/>
        <v>Jun-2004</v>
      </c>
      <c r="M2109" s="5" t="s">
        <v>566</v>
      </c>
      <c r="N2109" s="5" t="s">
        <v>109</v>
      </c>
      <c r="O2109" s="5" t="s">
        <v>32</v>
      </c>
      <c r="P2109" s="5" t="s">
        <v>33</v>
      </c>
      <c r="Q2109" s="5" t="s">
        <v>36</v>
      </c>
    </row>
    <row r="2110" spans="1:17" x14ac:dyDescent="0.25">
      <c r="A2110" s="3">
        <v>10275</v>
      </c>
      <c r="B2110" s="3">
        <v>27</v>
      </c>
      <c r="C2110" s="3">
        <v>62.31</v>
      </c>
      <c r="D2110" s="3">
        <v>1682.3700000000001</v>
      </c>
      <c r="E2110" s="3" t="str">
        <f t="shared" si="129"/>
        <v>Low</v>
      </c>
      <c r="F2110" s="3">
        <f t="shared" si="130"/>
        <v>504.71100000000001</v>
      </c>
      <c r="G2110" s="4">
        <v>38191</v>
      </c>
      <c r="H2110" s="3" t="s">
        <v>25</v>
      </c>
      <c r="I2110" s="3" t="str">
        <f t="shared" si="128"/>
        <v>Yes</v>
      </c>
      <c r="J2110" s="3" t="s">
        <v>683</v>
      </c>
      <c r="K2110" s="3">
        <v>2004</v>
      </c>
      <c r="L2110" s="3" t="str">
        <f t="shared" si="131"/>
        <v>Jul-2004</v>
      </c>
      <c r="M2110" s="3" t="s">
        <v>566</v>
      </c>
      <c r="N2110" s="3" t="s">
        <v>114</v>
      </c>
      <c r="O2110" s="3" t="s">
        <v>41</v>
      </c>
      <c r="P2110" s="3" t="s">
        <v>42</v>
      </c>
      <c r="Q2110" s="3" t="s">
        <v>36</v>
      </c>
    </row>
    <row r="2111" spans="1:17" x14ac:dyDescent="0.25">
      <c r="A2111" s="5">
        <v>10284</v>
      </c>
      <c r="B2111" s="5">
        <v>21</v>
      </c>
      <c r="C2111" s="5">
        <v>71</v>
      </c>
      <c r="D2111" s="5">
        <v>1491</v>
      </c>
      <c r="E2111" s="5" t="str">
        <f t="shared" si="129"/>
        <v>Low</v>
      </c>
      <c r="F2111" s="5">
        <f t="shared" si="130"/>
        <v>447.3</v>
      </c>
      <c r="G2111" s="6">
        <v>38220</v>
      </c>
      <c r="H2111" s="5" t="s">
        <v>25</v>
      </c>
      <c r="I2111" s="5" t="str">
        <f t="shared" si="128"/>
        <v>Yes</v>
      </c>
      <c r="J2111" s="5" t="s">
        <v>684</v>
      </c>
      <c r="K2111" s="5">
        <v>2004</v>
      </c>
      <c r="L2111" s="5" t="str">
        <f t="shared" si="131"/>
        <v>Aug-2004</v>
      </c>
      <c r="M2111" s="5" t="s">
        <v>566</v>
      </c>
      <c r="N2111" s="5" t="s">
        <v>543</v>
      </c>
      <c r="O2111" s="5" t="s">
        <v>78</v>
      </c>
      <c r="P2111" s="5" t="s">
        <v>42</v>
      </c>
      <c r="Q2111" s="5" t="s">
        <v>36</v>
      </c>
    </row>
    <row r="2112" spans="1:17" x14ac:dyDescent="0.25">
      <c r="A2112" s="3">
        <v>10297</v>
      </c>
      <c r="B2112" s="3">
        <v>23</v>
      </c>
      <c r="C2112" s="3">
        <v>72.45</v>
      </c>
      <c r="D2112" s="3">
        <v>1666.3500000000001</v>
      </c>
      <c r="E2112" s="3" t="str">
        <f t="shared" si="129"/>
        <v>Low</v>
      </c>
      <c r="F2112" s="3">
        <f t="shared" si="130"/>
        <v>499.90500000000003</v>
      </c>
      <c r="G2112" s="4">
        <v>38246</v>
      </c>
      <c r="H2112" s="3" t="s">
        <v>25</v>
      </c>
      <c r="I2112" s="3" t="str">
        <f t="shared" si="128"/>
        <v>Yes</v>
      </c>
      <c r="J2112" s="3" t="s">
        <v>690</v>
      </c>
      <c r="K2112" s="3">
        <v>2004</v>
      </c>
      <c r="L2112" s="3" t="str">
        <f t="shared" si="131"/>
        <v>Sep-2004</v>
      </c>
      <c r="M2112" s="3" t="s">
        <v>566</v>
      </c>
      <c r="N2112" s="3" t="s">
        <v>479</v>
      </c>
      <c r="O2112" s="3" t="s">
        <v>484</v>
      </c>
      <c r="P2112" s="3" t="s">
        <v>42</v>
      </c>
      <c r="Q2112" s="3" t="s">
        <v>36</v>
      </c>
    </row>
    <row r="2113" spans="1:17" x14ac:dyDescent="0.25">
      <c r="A2113" s="5">
        <v>10308</v>
      </c>
      <c r="B2113" s="5">
        <v>44</v>
      </c>
      <c r="C2113" s="5">
        <v>83.32</v>
      </c>
      <c r="D2113" s="5">
        <v>3666.08</v>
      </c>
      <c r="E2113" s="5" t="str">
        <f t="shared" si="129"/>
        <v>Medium</v>
      </c>
      <c r="F2113" s="5">
        <f t="shared" si="130"/>
        <v>1099.8239999999998</v>
      </c>
      <c r="G2113" s="6">
        <v>38275</v>
      </c>
      <c r="H2113" s="5" t="s">
        <v>25</v>
      </c>
      <c r="I2113" s="5" t="str">
        <f t="shared" si="128"/>
        <v>Yes</v>
      </c>
      <c r="J2113" s="5" t="s">
        <v>685</v>
      </c>
      <c r="K2113" s="5">
        <v>2004</v>
      </c>
      <c r="L2113" s="5" t="str">
        <f t="shared" si="131"/>
        <v>Oct-2004</v>
      </c>
      <c r="M2113" s="5" t="s">
        <v>566</v>
      </c>
      <c r="N2113" s="5" t="s">
        <v>317</v>
      </c>
      <c r="O2113" s="5" t="s">
        <v>32</v>
      </c>
      <c r="P2113" s="5" t="s">
        <v>33</v>
      </c>
      <c r="Q2113" s="5" t="s">
        <v>51</v>
      </c>
    </row>
    <row r="2114" spans="1:17" x14ac:dyDescent="0.25">
      <c r="A2114" s="3">
        <v>10317</v>
      </c>
      <c r="B2114" s="3">
        <v>35</v>
      </c>
      <c r="C2114" s="3">
        <v>83.32</v>
      </c>
      <c r="D2114" s="3">
        <v>2916.2</v>
      </c>
      <c r="E2114" s="3" t="str">
        <f t="shared" si="129"/>
        <v>Medium</v>
      </c>
      <c r="F2114" s="3">
        <f t="shared" si="130"/>
        <v>874.8599999999999</v>
      </c>
      <c r="G2114" s="4">
        <v>38293</v>
      </c>
      <c r="H2114" s="3" t="s">
        <v>25</v>
      </c>
      <c r="I2114" s="3" t="str">
        <f t="shared" ref="I2114:I2177" si="132">IF(H2114="Shipped","Yes","No")</f>
        <v>Yes</v>
      </c>
      <c r="J2114" s="3" t="s">
        <v>686</v>
      </c>
      <c r="K2114" s="3">
        <v>2004</v>
      </c>
      <c r="L2114" s="3" t="str">
        <f t="shared" si="131"/>
        <v>Nov-2004</v>
      </c>
      <c r="M2114" s="3" t="s">
        <v>566</v>
      </c>
      <c r="N2114" s="3" t="s">
        <v>62</v>
      </c>
      <c r="O2114" s="3" t="s">
        <v>32</v>
      </c>
      <c r="P2114" s="3" t="s">
        <v>33</v>
      </c>
      <c r="Q2114" s="3" t="s">
        <v>36</v>
      </c>
    </row>
    <row r="2115" spans="1:17" x14ac:dyDescent="0.25">
      <c r="A2115" s="5">
        <v>10328</v>
      </c>
      <c r="B2115" s="5">
        <v>43</v>
      </c>
      <c r="C2115" s="5">
        <v>60.86</v>
      </c>
      <c r="D2115" s="5">
        <v>2616.98</v>
      </c>
      <c r="E2115" s="5" t="str">
        <f t="shared" ref="E2115:E2178" si="133">IF(D2115&gt;=5000,"High",IF(D2115&gt;=2000,"Medium","Low"))</f>
        <v>Medium</v>
      </c>
      <c r="F2115" s="5">
        <f t="shared" ref="F2115:F2178" si="134">(D2115*0.3)</f>
        <v>785.09399999999994</v>
      </c>
      <c r="G2115" s="6">
        <v>38303</v>
      </c>
      <c r="H2115" s="5" t="s">
        <v>25</v>
      </c>
      <c r="I2115" s="5" t="str">
        <f t="shared" si="132"/>
        <v>Yes</v>
      </c>
      <c r="J2115" s="5" t="s">
        <v>686</v>
      </c>
      <c r="K2115" s="5">
        <v>2004</v>
      </c>
      <c r="L2115" s="5" t="str">
        <f t="shared" ref="L2115:L2178" si="135">TEXT(G:G,"MMM-YYYY")</f>
        <v>Nov-2004</v>
      </c>
      <c r="M2115" s="5" t="s">
        <v>566</v>
      </c>
      <c r="N2115" s="5" t="s">
        <v>552</v>
      </c>
      <c r="O2115" s="5" t="s">
        <v>258</v>
      </c>
      <c r="P2115" s="5" t="s">
        <v>42</v>
      </c>
      <c r="Q2115" s="5" t="s">
        <v>36</v>
      </c>
    </row>
    <row r="2116" spans="1:17" x14ac:dyDescent="0.25">
      <c r="A2116" s="3">
        <v>10340</v>
      </c>
      <c r="B2116" s="3">
        <v>40</v>
      </c>
      <c r="C2116" s="3">
        <v>84.77</v>
      </c>
      <c r="D2116" s="3">
        <v>3390.7999999999997</v>
      </c>
      <c r="E2116" s="3" t="str">
        <f t="shared" si="133"/>
        <v>Medium</v>
      </c>
      <c r="F2116" s="3">
        <f t="shared" si="134"/>
        <v>1017.2399999999999</v>
      </c>
      <c r="G2116" s="4">
        <v>38315</v>
      </c>
      <c r="H2116" s="3" t="s">
        <v>25</v>
      </c>
      <c r="I2116" s="3" t="str">
        <f t="shared" si="132"/>
        <v>Yes</v>
      </c>
      <c r="J2116" s="3" t="s">
        <v>686</v>
      </c>
      <c r="K2116" s="3">
        <v>2004</v>
      </c>
      <c r="L2116" s="3" t="str">
        <f t="shared" si="135"/>
        <v>Nov-2004</v>
      </c>
      <c r="M2116" s="3" t="s">
        <v>566</v>
      </c>
      <c r="N2116" s="3" t="s">
        <v>352</v>
      </c>
      <c r="O2116" s="3" t="s">
        <v>178</v>
      </c>
      <c r="P2116" s="3" t="s">
        <v>42</v>
      </c>
      <c r="Q2116" s="3" t="s">
        <v>51</v>
      </c>
    </row>
    <row r="2117" spans="1:17" x14ac:dyDescent="0.25">
      <c r="A2117" s="5">
        <v>10353</v>
      </c>
      <c r="B2117" s="5">
        <v>35</v>
      </c>
      <c r="C2117" s="5">
        <v>89.9</v>
      </c>
      <c r="D2117" s="5">
        <v>3146.5</v>
      </c>
      <c r="E2117" s="5" t="str">
        <f t="shared" si="133"/>
        <v>Medium</v>
      </c>
      <c r="F2117" s="5">
        <f t="shared" si="134"/>
        <v>943.94999999999993</v>
      </c>
      <c r="G2117" s="6">
        <v>38325</v>
      </c>
      <c r="H2117" s="5" t="s">
        <v>25</v>
      </c>
      <c r="I2117" s="5" t="str">
        <f t="shared" si="132"/>
        <v>Yes</v>
      </c>
      <c r="J2117" s="5" t="s">
        <v>687</v>
      </c>
      <c r="K2117" s="5">
        <v>2004</v>
      </c>
      <c r="L2117" s="5" t="str">
        <f t="shared" si="135"/>
        <v>Dec-2004</v>
      </c>
      <c r="M2117" s="5" t="s">
        <v>566</v>
      </c>
      <c r="N2117" s="5" t="s">
        <v>568</v>
      </c>
      <c r="O2117" s="5" t="s">
        <v>32</v>
      </c>
      <c r="P2117" s="5" t="s">
        <v>33</v>
      </c>
      <c r="Q2117" s="5" t="s">
        <v>51</v>
      </c>
    </row>
    <row r="2118" spans="1:17" x14ac:dyDescent="0.25">
      <c r="A2118" s="3">
        <v>10361</v>
      </c>
      <c r="B2118" s="3">
        <v>25</v>
      </c>
      <c r="C2118" s="3">
        <v>62.46</v>
      </c>
      <c r="D2118" s="3">
        <v>1561.5</v>
      </c>
      <c r="E2118" s="3" t="str">
        <f t="shared" si="133"/>
        <v>Low</v>
      </c>
      <c r="F2118" s="3">
        <f t="shared" si="134"/>
        <v>468.45</v>
      </c>
      <c r="G2118" s="4">
        <v>38338</v>
      </c>
      <c r="H2118" s="3" t="s">
        <v>25</v>
      </c>
      <c r="I2118" s="3" t="str">
        <f t="shared" si="132"/>
        <v>Yes</v>
      </c>
      <c r="J2118" s="3" t="s">
        <v>687</v>
      </c>
      <c r="K2118" s="3">
        <v>2004</v>
      </c>
      <c r="L2118" s="3" t="str">
        <f t="shared" si="135"/>
        <v>Dec-2004</v>
      </c>
      <c r="M2118" s="3" t="s">
        <v>566</v>
      </c>
      <c r="N2118" s="3" t="s">
        <v>152</v>
      </c>
      <c r="O2118" s="3" t="s">
        <v>95</v>
      </c>
      <c r="P2118" s="3" t="s">
        <v>96</v>
      </c>
      <c r="Q2118" s="3" t="s">
        <v>36</v>
      </c>
    </row>
    <row r="2119" spans="1:17" x14ac:dyDescent="0.25">
      <c r="A2119" s="5">
        <v>10375</v>
      </c>
      <c r="B2119" s="5">
        <v>43</v>
      </c>
      <c r="C2119" s="5">
        <v>100</v>
      </c>
      <c r="D2119" s="5">
        <v>4300</v>
      </c>
      <c r="E2119" s="5" t="str">
        <f t="shared" si="133"/>
        <v>Medium</v>
      </c>
      <c r="F2119" s="5">
        <f t="shared" si="134"/>
        <v>1290</v>
      </c>
      <c r="G2119" s="6">
        <v>38386</v>
      </c>
      <c r="H2119" s="5" t="s">
        <v>25</v>
      </c>
      <c r="I2119" s="5" t="str">
        <f t="shared" si="132"/>
        <v>Yes</v>
      </c>
      <c r="J2119" s="5" t="s">
        <v>681</v>
      </c>
      <c r="K2119" s="5">
        <v>2005</v>
      </c>
      <c r="L2119" s="5" t="str">
        <f t="shared" si="135"/>
        <v>Feb-2005</v>
      </c>
      <c r="M2119" s="5" t="s">
        <v>566</v>
      </c>
      <c r="N2119" s="5" t="s">
        <v>114</v>
      </c>
      <c r="O2119" s="5" t="s">
        <v>41</v>
      </c>
      <c r="P2119" s="5" t="s">
        <v>42</v>
      </c>
      <c r="Q2119" s="5" t="s">
        <v>151</v>
      </c>
    </row>
    <row r="2120" spans="1:17" x14ac:dyDescent="0.25">
      <c r="A2120" s="3">
        <v>10386</v>
      </c>
      <c r="B2120" s="3">
        <v>50</v>
      </c>
      <c r="C2120" s="3">
        <v>63.34</v>
      </c>
      <c r="D2120" s="3">
        <v>3167</v>
      </c>
      <c r="E2120" s="3" t="str">
        <f t="shared" si="133"/>
        <v>Medium</v>
      </c>
      <c r="F2120" s="3">
        <f t="shared" si="134"/>
        <v>950.09999999999991</v>
      </c>
      <c r="G2120" s="4">
        <v>38412</v>
      </c>
      <c r="H2120" s="3" t="s">
        <v>408</v>
      </c>
      <c r="I2120" s="3" t="str">
        <f t="shared" si="132"/>
        <v>No</v>
      </c>
      <c r="J2120" s="3" t="s">
        <v>691</v>
      </c>
      <c r="K2120" s="3">
        <v>2005</v>
      </c>
      <c r="L2120" s="3" t="str">
        <f t="shared" si="135"/>
        <v>Mar-2005</v>
      </c>
      <c r="M2120" s="3" t="s">
        <v>566</v>
      </c>
      <c r="N2120" s="3" t="s">
        <v>174</v>
      </c>
      <c r="O2120" s="3" t="s">
        <v>178</v>
      </c>
      <c r="P2120" s="3" t="s">
        <v>42</v>
      </c>
      <c r="Q2120" s="3" t="s">
        <v>51</v>
      </c>
    </row>
    <row r="2121" spans="1:17" x14ac:dyDescent="0.25">
      <c r="A2121" s="5">
        <v>10398</v>
      </c>
      <c r="B2121" s="5">
        <v>45</v>
      </c>
      <c r="C2121" s="5">
        <v>78.25</v>
      </c>
      <c r="D2121" s="5">
        <v>3521.25</v>
      </c>
      <c r="E2121" s="5" t="str">
        <f t="shared" si="133"/>
        <v>Medium</v>
      </c>
      <c r="F2121" s="5">
        <f t="shared" si="134"/>
        <v>1056.375</v>
      </c>
      <c r="G2121" s="6">
        <v>38441</v>
      </c>
      <c r="H2121" s="5" t="s">
        <v>25</v>
      </c>
      <c r="I2121" s="5" t="str">
        <f t="shared" si="132"/>
        <v>Yes</v>
      </c>
      <c r="J2121" s="5" t="s">
        <v>691</v>
      </c>
      <c r="K2121" s="5">
        <v>2005</v>
      </c>
      <c r="L2121" s="5" t="str">
        <f t="shared" si="135"/>
        <v>Mar-2005</v>
      </c>
      <c r="M2121" s="5" t="s">
        <v>566</v>
      </c>
      <c r="N2121" s="5" t="s">
        <v>37</v>
      </c>
      <c r="O2121" s="5" t="s">
        <v>41</v>
      </c>
      <c r="P2121" s="5" t="s">
        <v>42</v>
      </c>
      <c r="Q2121" s="5" t="s">
        <v>51</v>
      </c>
    </row>
    <row r="2122" spans="1:17" x14ac:dyDescent="0.25">
      <c r="A2122" s="3">
        <v>10401</v>
      </c>
      <c r="B2122" s="3">
        <v>52</v>
      </c>
      <c r="C2122" s="3">
        <v>81.14</v>
      </c>
      <c r="D2122" s="3">
        <v>4219.28</v>
      </c>
      <c r="E2122" s="3" t="str">
        <f t="shared" si="133"/>
        <v>Medium</v>
      </c>
      <c r="F2122" s="3">
        <f t="shared" si="134"/>
        <v>1265.7839999999999</v>
      </c>
      <c r="G2122" s="4">
        <v>38445</v>
      </c>
      <c r="H2122" s="3" t="s">
        <v>401</v>
      </c>
      <c r="I2122" s="3" t="str">
        <f t="shared" si="132"/>
        <v>No</v>
      </c>
      <c r="J2122" s="3" t="s">
        <v>688</v>
      </c>
      <c r="K2122" s="3">
        <v>2005</v>
      </c>
      <c r="L2122" s="3" t="str">
        <f t="shared" si="135"/>
        <v>Apr-2005</v>
      </c>
      <c r="M2122" s="3" t="s">
        <v>566</v>
      </c>
      <c r="N2122" s="3" t="s">
        <v>104</v>
      </c>
      <c r="O2122" s="3" t="s">
        <v>32</v>
      </c>
      <c r="P2122" s="3" t="s">
        <v>33</v>
      </c>
      <c r="Q2122" s="3" t="s">
        <v>51</v>
      </c>
    </row>
    <row r="2123" spans="1:17" x14ac:dyDescent="0.25">
      <c r="A2123" s="5">
        <v>10416</v>
      </c>
      <c r="B2123" s="5">
        <v>48</v>
      </c>
      <c r="C2123" s="5">
        <v>74.62</v>
      </c>
      <c r="D2123" s="5">
        <v>3581.76</v>
      </c>
      <c r="E2123" s="5" t="str">
        <f t="shared" si="133"/>
        <v>Medium</v>
      </c>
      <c r="F2123" s="5">
        <f t="shared" si="134"/>
        <v>1074.528</v>
      </c>
      <c r="G2123" s="6">
        <v>38482</v>
      </c>
      <c r="H2123" s="5" t="s">
        <v>25</v>
      </c>
      <c r="I2123" s="5" t="str">
        <f t="shared" si="132"/>
        <v>Yes</v>
      </c>
      <c r="J2123" s="5" t="s">
        <v>682</v>
      </c>
      <c r="K2123" s="5">
        <v>2005</v>
      </c>
      <c r="L2123" s="5" t="str">
        <f t="shared" si="135"/>
        <v>May-2005</v>
      </c>
      <c r="M2123" s="5" t="s">
        <v>566</v>
      </c>
      <c r="N2123" s="5" t="s">
        <v>452</v>
      </c>
      <c r="O2123" s="5" t="s">
        <v>258</v>
      </c>
      <c r="P2123" s="5" t="s">
        <v>42</v>
      </c>
      <c r="Q2123" s="5" t="s">
        <v>51</v>
      </c>
    </row>
    <row r="2124" spans="1:17" x14ac:dyDescent="0.25">
      <c r="A2124" s="3">
        <v>10108</v>
      </c>
      <c r="B2124" s="3">
        <v>31</v>
      </c>
      <c r="C2124" s="3">
        <v>68.709999999999994</v>
      </c>
      <c r="D2124" s="3">
        <v>2130.0099999999998</v>
      </c>
      <c r="E2124" s="3" t="str">
        <f t="shared" si="133"/>
        <v>Medium</v>
      </c>
      <c r="F2124" s="3">
        <f t="shared" si="134"/>
        <v>639.00299999999993</v>
      </c>
      <c r="G2124" s="4">
        <v>37683</v>
      </c>
      <c r="H2124" s="3" t="s">
        <v>25</v>
      </c>
      <c r="I2124" s="3" t="str">
        <f t="shared" si="132"/>
        <v>Yes</v>
      </c>
      <c r="J2124" s="3" t="s">
        <v>691</v>
      </c>
      <c r="K2124" s="3">
        <v>2003</v>
      </c>
      <c r="L2124" s="3" t="str">
        <f t="shared" si="135"/>
        <v>Mar-2003</v>
      </c>
      <c r="M2124" s="3" t="s">
        <v>181</v>
      </c>
      <c r="N2124" s="3" t="s">
        <v>425</v>
      </c>
      <c r="O2124" s="3" t="s">
        <v>430</v>
      </c>
      <c r="P2124" s="3" t="s">
        <v>675</v>
      </c>
      <c r="Q2124" s="3" t="s">
        <v>36</v>
      </c>
    </row>
    <row r="2125" spans="1:17" x14ac:dyDescent="0.25">
      <c r="A2125" s="5">
        <v>10122</v>
      </c>
      <c r="B2125" s="5">
        <v>29</v>
      </c>
      <c r="C2125" s="5">
        <v>71.14</v>
      </c>
      <c r="D2125" s="5">
        <v>2063.06</v>
      </c>
      <c r="E2125" s="5" t="str">
        <f t="shared" si="133"/>
        <v>Medium</v>
      </c>
      <c r="F2125" s="5">
        <f t="shared" si="134"/>
        <v>618.91800000000001</v>
      </c>
      <c r="G2125" s="6">
        <v>37749</v>
      </c>
      <c r="H2125" s="5" t="s">
        <v>25</v>
      </c>
      <c r="I2125" s="5" t="str">
        <f t="shared" si="132"/>
        <v>Yes</v>
      </c>
      <c r="J2125" s="5" t="s">
        <v>682</v>
      </c>
      <c r="K2125" s="5">
        <v>2003</v>
      </c>
      <c r="L2125" s="5" t="str">
        <f t="shared" si="135"/>
        <v>May-2003</v>
      </c>
      <c r="M2125" s="5" t="s">
        <v>181</v>
      </c>
      <c r="N2125" s="5" t="s">
        <v>433</v>
      </c>
      <c r="O2125" s="5" t="s">
        <v>41</v>
      </c>
      <c r="P2125" s="5" t="s">
        <v>42</v>
      </c>
      <c r="Q2125" s="5" t="s">
        <v>36</v>
      </c>
    </row>
    <row r="2126" spans="1:17" x14ac:dyDescent="0.25">
      <c r="A2126" s="3">
        <v>10135</v>
      </c>
      <c r="B2126" s="3">
        <v>23</v>
      </c>
      <c r="C2126" s="3">
        <v>87.31</v>
      </c>
      <c r="D2126" s="3">
        <v>2008.13</v>
      </c>
      <c r="E2126" s="3" t="str">
        <f t="shared" si="133"/>
        <v>Medium</v>
      </c>
      <c r="F2126" s="3">
        <f t="shared" si="134"/>
        <v>602.43899999999996</v>
      </c>
      <c r="G2126" s="4">
        <v>37804</v>
      </c>
      <c r="H2126" s="3" t="s">
        <v>25</v>
      </c>
      <c r="I2126" s="3" t="str">
        <f t="shared" si="132"/>
        <v>Yes</v>
      </c>
      <c r="J2126" s="3" t="s">
        <v>683</v>
      </c>
      <c r="K2126" s="3">
        <v>2003</v>
      </c>
      <c r="L2126" s="3" t="str">
        <f t="shared" si="135"/>
        <v>Jul-2003</v>
      </c>
      <c r="M2126" s="3" t="s">
        <v>181</v>
      </c>
      <c r="N2126" s="3" t="s">
        <v>272</v>
      </c>
      <c r="O2126" s="3" t="s">
        <v>32</v>
      </c>
      <c r="P2126" s="3" t="s">
        <v>33</v>
      </c>
      <c r="Q2126" s="3" t="s">
        <v>36</v>
      </c>
    </row>
    <row r="2127" spans="1:17" x14ac:dyDescent="0.25">
      <c r="A2127" s="5">
        <v>10147</v>
      </c>
      <c r="B2127" s="5">
        <v>31</v>
      </c>
      <c r="C2127" s="5">
        <v>64.67</v>
      </c>
      <c r="D2127" s="5">
        <v>2004.77</v>
      </c>
      <c r="E2127" s="5" t="str">
        <f t="shared" si="133"/>
        <v>Medium</v>
      </c>
      <c r="F2127" s="5">
        <f t="shared" si="134"/>
        <v>601.43099999999993</v>
      </c>
      <c r="G2127" s="6">
        <v>37869</v>
      </c>
      <c r="H2127" s="5" t="s">
        <v>25</v>
      </c>
      <c r="I2127" s="5" t="str">
        <f t="shared" si="132"/>
        <v>Yes</v>
      </c>
      <c r="J2127" s="5" t="s">
        <v>690</v>
      </c>
      <c r="K2127" s="5">
        <v>2003</v>
      </c>
      <c r="L2127" s="5" t="str">
        <f t="shared" si="135"/>
        <v>Sep-2003</v>
      </c>
      <c r="M2127" s="5" t="s">
        <v>181</v>
      </c>
      <c r="N2127" s="5" t="s">
        <v>281</v>
      </c>
      <c r="O2127" s="5" t="s">
        <v>32</v>
      </c>
      <c r="P2127" s="5" t="s">
        <v>33</v>
      </c>
      <c r="Q2127" s="5" t="s">
        <v>36</v>
      </c>
    </row>
    <row r="2128" spans="1:17" x14ac:dyDescent="0.25">
      <c r="A2128" s="3">
        <v>10159</v>
      </c>
      <c r="B2128" s="3">
        <v>23</v>
      </c>
      <c r="C2128" s="3">
        <v>67.099999999999994</v>
      </c>
      <c r="D2128" s="3">
        <v>1543.3</v>
      </c>
      <c r="E2128" s="3" t="str">
        <f t="shared" si="133"/>
        <v>Low</v>
      </c>
      <c r="F2128" s="3">
        <f t="shared" si="134"/>
        <v>462.98999999999995</v>
      </c>
      <c r="G2128" s="4">
        <v>37904</v>
      </c>
      <c r="H2128" s="3" t="s">
        <v>25</v>
      </c>
      <c r="I2128" s="3" t="str">
        <f t="shared" si="132"/>
        <v>Yes</v>
      </c>
      <c r="J2128" s="3" t="s">
        <v>685</v>
      </c>
      <c r="K2128" s="3">
        <v>2003</v>
      </c>
      <c r="L2128" s="3" t="str">
        <f t="shared" si="135"/>
        <v>Oct-2003</v>
      </c>
      <c r="M2128" s="3" t="s">
        <v>181</v>
      </c>
      <c r="N2128" s="3" t="s">
        <v>58</v>
      </c>
      <c r="O2128" s="3" t="s">
        <v>32</v>
      </c>
      <c r="P2128" s="3" t="s">
        <v>33</v>
      </c>
      <c r="Q2128" s="3" t="s">
        <v>36</v>
      </c>
    </row>
    <row r="2129" spans="1:17" x14ac:dyDescent="0.25">
      <c r="A2129" s="5">
        <v>10169</v>
      </c>
      <c r="B2129" s="5">
        <v>24</v>
      </c>
      <c r="C2129" s="5">
        <v>94.58</v>
      </c>
      <c r="D2129" s="5">
        <v>2269.92</v>
      </c>
      <c r="E2129" s="5" t="str">
        <f t="shared" si="133"/>
        <v>Medium</v>
      </c>
      <c r="F2129" s="5">
        <f t="shared" si="134"/>
        <v>680.976</v>
      </c>
      <c r="G2129" s="6">
        <v>37929</v>
      </c>
      <c r="H2129" s="5" t="s">
        <v>25</v>
      </c>
      <c r="I2129" s="5" t="str">
        <f t="shared" si="132"/>
        <v>Yes</v>
      </c>
      <c r="J2129" s="5" t="s">
        <v>686</v>
      </c>
      <c r="K2129" s="5">
        <v>2003</v>
      </c>
      <c r="L2129" s="5" t="str">
        <f t="shared" si="135"/>
        <v>Nov-2003</v>
      </c>
      <c r="M2129" s="5" t="s">
        <v>181</v>
      </c>
      <c r="N2129" s="5" t="s">
        <v>285</v>
      </c>
      <c r="O2129" s="5" t="s">
        <v>95</v>
      </c>
      <c r="P2129" s="5" t="s">
        <v>96</v>
      </c>
      <c r="Q2129" s="5" t="s">
        <v>36</v>
      </c>
    </row>
    <row r="2130" spans="1:17" x14ac:dyDescent="0.25">
      <c r="A2130" s="3">
        <v>10180</v>
      </c>
      <c r="B2130" s="3">
        <v>28</v>
      </c>
      <c r="C2130" s="3">
        <v>71.14</v>
      </c>
      <c r="D2130" s="3">
        <v>1991.92</v>
      </c>
      <c r="E2130" s="3" t="str">
        <f t="shared" si="133"/>
        <v>Low</v>
      </c>
      <c r="F2130" s="3">
        <f t="shared" si="134"/>
        <v>597.57600000000002</v>
      </c>
      <c r="G2130" s="4">
        <v>37936</v>
      </c>
      <c r="H2130" s="3" t="s">
        <v>25</v>
      </c>
      <c r="I2130" s="3" t="str">
        <f t="shared" si="132"/>
        <v>Yes</v>
      </c>
      <c r="J2130" s="3" t="s">
        <v>686</v>
      </c>
      <c r="K2130" s="3">
        <v>2003</v>
      </c>
      <c r="L2130" s="3" t="str">
        <f t="shared" si="135"/>
        <v>Nov-2003</v>
      </c>
      <c r="M2130" s="3" t="s">
        <v>181</v>
      </c>
      <c r="N2130" s="3" t="s">
        <v>67</v>
      </c>
      <c r="O2130" s="3" t="s">
        <v>41</v>
      </c>
      <c r="P2130" s="3" t="s">
        <v>42</v>
      </c>
      <c r="Q2130" s="3" t="s">
        <v>36</v>
      </c>
    </row>
    <row r="2131" spans="1:17" x14ac:dyDescent="0.25">
      <c r="A2131" s="5">
        <v>10191</v>
      </c>
      <c r="B2131" s="5">
        <v>44</v>
      </c>
      <c r="C2131" s="5">
        <v>66.290000000000006</v>
      </c>
      <c r="D2131" s="5">
        <v>2916.76</v>
      </c>
      <c r="E2131" s="5" t="str">
        <f t="shared" si="133"/>
        <v>Medium</v>
      </c>
      <c r="F2131" s="5">
        <f t="shared" si="134"/>
        <v>875.02800000000002</v>
      </c>
      <c r="G2131" s="6">
        <v>37945</v>
      </c>
      <c r="H2131" s="5" t="s">
        <v>25</v>
      </c>
      <c r="I2131" s="5" t="str">
        <f t="shared" si="132"/>
        <v>Yes</v>
      </c>
      <c r="J2131" s="5" t="s">
        <v>686</v>
      </c>
      <c r="K2131" s="5">
        <v>2003</v>
      </c>
      <c r="L2131" s="5" t="str">
        <f t="shared" si="135"/>
        <v>Nov-2003</v>
      </c>
      <c r="M2131" s="5" t="s">
        <v>181</v>
      </c>
      <c r="N2131" s="5" t="s">
        <v>439</v>
      </c>
      <c r="O2131" s="5" t="s">
        <v>443</v>
      </c>
      <c r="P2131" s="5" t="s">
        <v>42</v>
      </c>
      <c r="Q2131" s="5" t="s">
        <v>36</v>
      </c>
    </row>
    <row r="2132" spans="1:17" x14ac:dyDescent="0.25">
      <c r="A2132" s="3">
        <v>10211</v>
      </c>
      <c r="B2132" s="3">
        <v>22</v>
      </c>
      <c r="C2132" s="3">
        <v>92.16</v>
      </c>
      <c r="D2132" s="3">
        <v>2027.52</v>
      </c>
      <c r="E2132" s="3" t="str">
        <f t="shared" si="133"/>
        <v>Medium</v>
      </c>
      <c r="F2132" s="3">
        <f t="shared" si="134"/>
        <v>608.25599999999997</v>
      </c>
      <c r="G2132" s="4">
        <v>38001</v>
      </c>
      <c r="H2132" s="3" t="s">
        <v>25</v>
      </c>
      <c r="I2132" s="3" t="str">
        <f t="shared" si="132"/>
        <v>Yes</v>
      </c>
      <c r="J2132" s="3" t="s">
        <v>549</v>
      </c>
      <c r="K2132" s="3">
        <v>2004</v>
      </c>
      <c r="L2132" s="3" t="str">
        <f t="shared" si="135"/>
        <v>Jan-2004</v>
      </c>
      <c r="M2132" s="3" t="s">
        <v>181</v>
      </c>
      <c r="N2132" s="3" t="s">
        <v>84</v>
      </c>
      <c r="O2132" s="3" t="s">
        <v>41</v>
      </c>
      <c r="P2132" s="3" t="s">
        <v>42</v>
      </c>
      <c r="Q2132" s="3" t="s">
        <v>36</v>
      </c>
    </row>
    <row r="2133" spans="1:17" x14ac:dyDescent="0.25">
      <c r="A2133" s="5">
        <v>10225</v>
      </c>
      <c r="B2133" s="5">
        <v>46</v>
      </c>
      <c r="C2133" s="5">
        <v>70.33</v>
      </c>
      <c r="D2133" s="5">
        <v>3235.18</v>
      </c>
      <c r="E2133" s="5" t="str">
        <f t="shared" si="133"/>
        <v>Medium</v>
      </c>
      <c r="F2133" s="5">
        <f t="shared" si="134"/>
        <v>970.55399999999986</v>
      </c>
      <c r="G2133" s="6">
        <v>38039</v>
      </c>
      <c r="H2133" s="5" t="s">
        <v>25</v>
      </c>
      <c r="I2133" s="5" t="str">
        <f t="shared" si="132"/>
        <v>Yes</v>
      </c>
      <c r="J2133" s="5" t="s">
        <v>681</v>
      </c>
      <c r="K2133" s="5">
        <v>2004</v>
      </c>
      <c r="L2133" s="5" t="str">
        <f t="shared" si="135"/>
        <v>Feb-2004</v>
      </c>
      <c r="M2133" s="5" t="s">
        <v>181</v>
      </c>
      <c r="N2133" s="5" t="s">
        <v>446</v>
      </c>
      <c r="O2133" s="5" t="s">
        <v>450</v>
      </c>
      <c r="P2133" s="5" t="s">
        <v>42</v>
      </c>
      <c r="Q2133" s="5" t="s">
        <v>51</v>
      </c>
    </row>
    <row r="2134" spans="1:17" x14ac:dyDescent="0.25">
      <c r="A2134" s="3">
        <v>10238</v>
      </c>
      <c r="B2134" s="3">
        <v>22</v>
      </c>
      <c r="C2134" s="3">
        <v>93.77</v>
      </c>
      <c r="D2134" s="3">
        <v>2062.94</v>
      </c>
      <c r="E2134" s="3" t="str">
        <f t="shared" si="133"/>
        <v>Medium</v>
      </c>
      <c r="F2134" s="3">
        <f t="shared" si="134"/>
        <v>618.88199999999995</v>
      </c>
      <c r="G2134" s="4">
        <v>38086</v>
      </c>
      <c r="H2134" s="3" t="s">
        <v>25</v>
      </c>
      <c r="I2134" s="3" t="str">
        <f t="shared" si="132"/>
        <v>Yes</v>
      </c>
      <c r="J2134" s="3" t="s">
        <v>688</v>
      </c>
      <c r="K2134" s="3">
        <v>2004</v>
      </c>
      <c r="L2134" s="3" t="str">
        <f t="shared" si="135"/>
        <v>Apr-2004</v>
      </c>
      <c r="M2134" s="3" t="s">
        <v>181</v>
      </c>
      <c r="N2134" s="3" t="s">
        <v>322</v>
      </c>
      <c r="O2134" s="3" t="s">
        <v>326</v>
      </c>
      <c r="P2134" s="3" t="s">
        <v>42</v>
      </c>
      <c r="Q2134" s="3" t="s">
        <v>36</v>
      </c>
    </row>
    <row r="2135" spans="1:17" x14ac:dyDescent="0.25">
      <c r="A2135" s="5">
        <v>10252</v>
      </c>
      <c r="B2135" s="5">
        <v>38</v>
      </c>
      <c r="C2135" s="5">
        <v>87.31</v>
      </c>
      <c r="D2135" s="5">
        <v>3317.78</v>
      </c>
      <c r="E2135" s="5" t="str">
        <f t="shared" si="133"/>
        <v>Medium</v>
      </c>
      <c r="F2135" s="5">
        <f t="shared" si="134"/>
        <v>995.33400000000006</v>
      </c>
      <c r="G2135" s="6">
        <v>38133</v>
      </c>
      <c r="H2135" s="5" t="s">
        <v>25</v>
      </c>
      <c r="I2135" s="5" t="str">
        <f t="shared" si="132"/>
        <v>Yes</v>
      </c>
      <c r="J2135" s="5" t="s">
        <v>682</v>
      </c>
      <c r="K2135" s="5">
        <v>2004</v>
      </c>
      <c r="L2135" s="5" t="str">
        <f t="shared" si="135"/>
        <v>May-2004</v>
      </c>
      <c r="M2135" s="5" t="s">
        <v>181</v>
      </c>
      <c r="N2135" s="5" t="s">
        <v>84</v>
      </c>
      <c r="O2135" s="5" t="s">
        <v>41</v>
      </c>
      <c r="P2135" s="5" t="s">
        <v>42</v>
      </c>
      <c r="Q2135" s="5" t="s">
        <v>51</v>
      </c>
    </row>
    <row r="2136" spans="1:17" x14ac:dyDescent="0.25">
      <c r="A2136" s="3">
        <v>10264</v>
      </c>
      <c r="B2136" s="3">
        <v>47</v>
      </c>
      <c r="C2136" s="3">
        <v>83.27</v>
      </c>
      <c r="D2136" s="3">
        <v>3913.6899999999996</v>
      </c>
      <c r="E2136" s="3" t="str">
        <f t="shared" si="133"/>
        <v>Medium</v>
      </c>
      <c r="F2136" s="3">
        <f t="shared" si="134"/>
        <v>1174.1069999999997</v>
      </c>
      <c r="G2136" s="4">
        <v>38168</v>
      </c>
      <c r="H2136" s="3" t="s">
        <v>25</v>
      </c>
      <c r="I2136" s="3" t="str">
        <f t="shared" si="132"/>
        <v>Yes</v>
      </c>
      <c r="J2136" s="3" t="s">
        <v>689</v>
      </c>
      <c r="K2136" s="3">
        <v>2004</v>
      </c>
      <c r="L2136" s="3" t="str">
        <f t="shared" si="135"/>
        <v>Jun-2004</v>
      </c>
      <c r="M2136" s="3" t="s">
        <v>181</v>
      </c>
      <c r="N2136" s="3" t="s">
        <v>379</v>
      </c>
      <c r="O2136" s="3" t="s">
        <v>32</v>
      </c>
      <c r="P2136" s="3" t="s">
        <v>33</v>
      </c>
      <c r="Q2136" s="3" t="s">
        <v>51</v>
      </c>
    </row>
    <row r="2137" spans="1:17" x14ac:dyDescent="0.25">
      <c r="A2137" s="5">
        <v>10276</v>
      </c>
      <c r="B2137" s="5">
        <v>48</v>
      </c>
      <c r="C2137" s="5">
        <v>75.180000000000007</v>
      </c>
      <c r="D2137" s="5">
        <v>3608.6400000000003</v>
      </c>
      <c r="E2137" s="5" t="str">
        <f t="shared" si="133"/>
        <v>Medium</v>
      </c>
      <c r="F2137" s="5">
        <f t="shared" si="134"/>
        <v>1082.5920000000001</v>
      </c>
      <c r="G2137" s="6">
        <v>38201</v>
      </c>
      <c r="H2137" s="5" t="s">
        <v>25</v>
      </c>
      <c r="I2137" s="5" t="str">
        <f t="shared" si="132"/>
        <v>Yes</v>
      </c>
      <c r="J2137" s="5" t="s">
        <v>684</v>
      </c>
      <c r="K2137" s="5">
        <v>2004</v>
      </c>
      <c r="L2137" s="5" t="str">
        <f t="shared" si="135"/>
        <v>Aug-2004</v>
      </c>
      <c r="M2137" s="5" t="s">
        <v>181</v>
      </c>
      <c r="N2137" s="5" t="s">
        <v>458</v>
      </c>
      <c r="O2137" s="5" t="s">
        <v>32</v>
      </c>
      <c r="P2137" s="5" t="s">
        <v>33</v>
      </c>
      <c r="Q2137" s="5" t="s">
        <v>51</v>
      </c>
    </row>
    <row r="2138" spans="1:17" x14ac:dyDescent="0.25">
      <c r="A2138" s="3">
        <v>10287</v>
      </c>
      <c r="B2138" s="3">
        <v>40</v>
      </c>
      <c r="C2138" s="3">
        <v>88.12</v>
      </c>
      <c r="D2138" s="3">
        <v>3524.8</v>
      </c>
      <c r="E2138" s="3" t="str">
        <f t="shared" si="133"/>
        <v>Medium</v>
      </c>
      <c r="F2138" s="3">
        <f t="shared" si="134"/>
        <v>1057.44</v>
      </c>
      <c r="G2138" s="4">
        <v>38229</v>
      </c>
      <c r="H2138" s="3" t="s">
        <v>25</v>
      </c>
      <c r="I2138" s="3" t="str">
        <f t="shared" si="132"/>
        <v>Yes</v>
      </c>
      <c r="J2138" s="3" t="s">
        <v>684</v>
      </c>
      <c r="K2138" s="3">
        <v>2004</v>
      </c>
      <c r="L2138" s="3" t="str">
        <f t="shared" si="135"/>
        <v>Aug-2004</v>
      </c>
      <c r="M2138" s="3" t="s">
        <v>181</v>
      </c>
      <c r="N2138" s="3" t="s">
        <v>446</v>
      </c>
      <c r="O2138" s="3" t="s">
        <v>450</v>
      </c>
      <c r="P2138" s="3" t="s">
        <v>42</v>
      </c>
      <c r="Q2138" s="3" t="s">
        <v>51</v>
      </c>
    </row>
    <row r="2139" spans="1:17" x14ac:dyDescent="0.25">
      <c r="A2139" s="5">
        <v>10299</v>
      </c>
      <c r="B2139" s="5">
        <v>32</v>
      </c>
      <c r="C2139" s="5">
        <v>80.84</v>
      </c>
      <c r="D2139" s="5">
        <v>2586.88</v>
      </c>
      <c r="E2139" s="5" t="str">
        <f t="shared" si="133"/>
        <v>Medium</v>
      </c>
      <c r="F2139" s="5">
        <f t="shared" si="134"/>
        <v>776.06399999999996</v>
      </c>
      <c r="G2139" s="6">
        <v>38260</v>
      </c>
      <c r="H2139" s="5" t="s">
        <v>25</v>
      </c>
      <c r="I2139" s="5" t="str">
        <f t="shared" si="132"/>
        <v>Yes</v>
      </c>
      <c r="J2139" s="5" t="s">
        <v>690</v>
      </c>
      <c r="K2139" s="5">
        <v>2004</v>
      </c>
      <c r="L2139" s="5" t="str">
        <f t="shared" si="135"/>
        <v>Sep-2004</v>
      </c>
      <c r="M2139" s="5" t="s">
        <v>181</v>
      </c>
      <c r="N2139" s="5" t="s">
        <v>126</v>
      </c>
      <c r="O2139" s="5" t="s">
        <v>130</v>
      </c>
      <c r="P2139" s="5" t="s">
        <v>42</v>
      </c>
      <c r="Q2139" s="5" t="s">
        <v>36</v>
      </c>
    </row>
    <row r="2140" spans="1:17" x14ac:dyDescent="0.25">
      <c r="A2140" s="3">
        <v>10310</v>
      </c>
      <c r="B2140" s="3">
        <v>49</v>
      </c>
      <c r="C2140" s="3">
        <v>97.01</v>
      </c>
      <c r="D2140" s="3">
        <v>4753.4900000000007</v>
      </c>
      <c r="E2140" s="3" t="str">
        <f t="shared" si="133"/>
        <v>Medium</v>
      </c>
      <c r="F2140" s="3">
        <f t="shared" si="134"/>
        <v>1426.0470000000003</v>
      </c>
      <c r="G2140" s="4">
        <v>38276</v>
      </c>
      <c r="H2140" s="3" t="s">
        <v>25</v>
      </c>
      <c r="I2140" s="3" t="str">
        <f t="shared" si="132"/>
        <v>Yes</v>
      </c>
      <c r="J2140" s="3" t="s">
        <v>685</v>
      </c>
      <c r="K2140" s="3">
        <v>2004</v>
      </c>
      <c r="L2140" s="3" t="str">
        <f t="shared" si="135"/>
        <v>Oct-2004</v>
      </c>
      <c r="M2140" s="3" t="s">
        <v>181</v>
      </c>
      <c r="N2140" s="3" t="s">
        <v>439</v>
      </c>
      <c r="O2140" s="3" t="s">
        <v>443</v>
      </c>
      <c r="P2140" s="3" t="s">
        <v>42</v>
      </c>
      <c r="Q2140" s="3" t="s">
        <v>51</v>
      </c>
    </row>
    <row r="2141" spans="1:17" x14ac:dyDescent="0.25">
      <c r="A2141" s="5">
        <v>10319</v>
      </c>
      <c r="B2141" s="5">
        <v>43</v>
      </c>
      <c r="C2141" s="5">
        <v>85.69</v>
      </c>
      <c r="D2141" s="5">
        <v>3684.67</v>
      </c>
      <c r="E2141" s="5" t="str">
        <f t="shared" si="133"/>
        <v>Medium</v>
      </c>
      <c r="F2141" s="5">
        <f t="shared" si="134"/>
        <v>1105.4010000000001</v>
      </c>
      <c r="G2141" s="6">
        <v>38294</v>
      </c>
      <c r="H2141" s="5" t="s">
        <v>25</v>
      </c>
      <c r="I2141" s="5" t="str">
        <f t="shared" si="132"/>
        <v>Yes</v>
      </c>
      <c r="J2141" s="5" t="s">
        <v>686</v>
      </c>
      <c r="K2141" s="5">
        <v>2004</v>
      </c>
      <c r="L2141" s="5" t="str">
        <f t="shared" si="135"/>
        <v>Nov-2004</v>
      </c>
      <c r="M2141" s="5" t="s">
        <v>181</v>
      </c>
      <c r="N2141" s="5" t="s">
        <v>507</v>
      </c>
      <c r="O2141" s="5" t="s">
        <v>32</v>
      </c>
      <c r="P2141" s="5" t="s">
        <v>33</v>
      </c>
      <c r="Q2141" s="5" t="s">
        <v>51</v>
      </c>
    </row>
    <row r="2142" spans="1:17" x14ac:dyDescent="0.25">
      <c r="A2142" s="3">
        <v>10331</v>
      </c>
      <c r="B2142" s="3">
        <v>41</v>
      </c>
      <c r="C2142" s="3">
        <v>100</v>
      </c>
      <c r="D2142" s="3">
        <v>4100</v>
      </c>
      <c r="E2142" s="3" t="str">
        <f t="shared" si="133"/>
        <v>Medium</v>
      </c>
      <c r="F2142" s="3">
        <f t="shared" si="134"/>
        <v>1230</v>
      </c>
      <c r="G2142" s="4">
        <v>38308</v>
      </c>
      <c r="H2142" s="3" t="s">
        <v>25</v>
      </c>
      <c r="I2142" s="3" t="str">
        <f t="shared" si="132"/>
        <v>Yes</v>
      </c>
      <c r="J2142" s="3" t="s">
        <v>686</v>
      </c>
      <c r="K2142" s="3">
        <v>2004</v>
      </c>
      <c r="L2142" s="3" t="str">
        <f t="shared" si="135"/>
        <v>Nov-2004</v>
      </c>
      <c r="M2142" s="3" t="s">
        <v>181</v>
      </c>
      <c r="N2142" s="3" t="s">
        <v>309</v>
      </c>
      <c r="O2142" s="3" t="s">
        <v>32</v>
      </c>
      <c r="P2142" s="3" t="s">
        <v>33</v>
      </c>
      <c r="Q2142" s="3" t="s">
        <v>51</v>
      </c>
    </row>
    <row r="2143" spans="1:17" x14ac:dyDescent="0.25">
      <c r="A2143" s="5">
        <v>10343</v>
      </c>
      <c r="B2143" s="5">
        <v>30</v>
      </c>
      <c r="C2143" s="5">
        <v>100</v>
      </c>
      <c r="D2143" s="5">
        <v>3000</v>
      </c>
      <c r="E2143" s="5" t="str">
        <f t="shared" si="133"/>
        <v>Medium</v>
      </c>
      <c r="F2143" s="5">
        <f t="shared" si="134"/>
        <v>900</v>
      </c>
      <c r="G2143" s="6">
        <v>38315</v>
      </c>
      <c r="H2143" s="5" t="s">
        <v>25</v>
      </c>
      <c r="I2143" s="5" t="str">
        <f t="shared" si="132"/>
        <v>Yes</v>
      </c>
      <c r="J2143" s="5" t="s">
        <v>686</v>
      </c>
      <c r="K2143" s="5">
        <v>2004</v>
      </c>
      <c r="L2143" s="5" t="str">
        <f t="shared" si="135"/>
        <v>Nov-2004</v>
      </c>
      <c r="M2143" s="5" t="s">
        <v>181</v>
      </c>
      <c r="N2143" s="5" t="s">
        <v>37</v>
      </c>
      <c r="O2143" s="5" t="s">
        <v>41</v>
      </c>
      <c r="P2143" s="5" t="s">
        <v>42</v>
      </c>
      <c r="Q2143" s="5" t="s">
        <v>51</v>
      </c>
    </row>
    <row r="2144" spans="1:17" x14ac:dyDescent="0.25">
      <c r="A2144" s="3">
        <v>10355</v>
      </c>
      <c r="B2144" s="3">
        <v>28</v>
      </c>
      <c r="C2144" s="3">
        <v>95.39</v>
      </c>
      <c r="D2144" s="3">
        <v>2670.92</v>
      </c>
      <c r="E2144" s="3" t="str">
        <f t="shared" si="133"/>
        <v>Medium</v>
      </c>
      <c r="F2144" s="3">
        <f t="shared" si="134"/>
        <v>801.27599999999995</v>
      </c>
      <c r="G2144" s="4">
        <v>38328</v>
      </c>
      <c r="H2144" s="3" t="s">
        <v>25</v>
      </c>
      <c r="I2144" s="3" t="str">
        <f t="shared" si="132"/>
        <v>Yes</v>
      </c>
      <c r="J2144" s="3" t="s">
        <v>687</v>
      </c>
      <c r="K2144" s="3">
        <v>2004</v>
      </c>
      <c r="L2144" s="3" t="str">
        <f t="shared" si="135"/>
        <v>Dec-2004</v>
      </c>
      <c r="M2144" s="3" t="s">
        <v>181</v>
      </c>
      <c r="N2144" s="3" t="s">
        <v>174</v>
      </c>
      <c r="O2144" s="3" t="s">
        <v>178</v>
      </c>
      <c r="P2144" s="3" t="s">
        <v>42</v>
      </c>
      <c r="Q2144" s="3" t="s">
        <v>36</v>
      </c>
    </row>
    <row r="2145" spans="1:17" x14ac:dyDescent="0.25">
      <c r="A2145" s="5">
        <v>10363</v>
      </c>
      <c r="B2145" s="5">
        <v>43</v>
      </c>
      <c r="C2145" s="5">
        <v>100</v>
      </c>
      <c r="D2145" s="5">
        <v>4300</v>
      </c>
      <c r="E2145" s="5" t="str">
        <f t="shared" si="133"/>
        <v>Medium</v>
      </c>
      <c r="F2145" s="5">
        <f t="shared" si="134"/>
        <v>1290</v>
      </c>
      <c r="G2145" s="6">
        <v>38358</v>
      </c>
      <c r="H2145" s="5" t="s">
        <v>25</v>
      </c>
      <c r="I2145" s="5" t="str">
        <f t="shared" si="132"/>
        <v>Yes</v>
      </c>
      <c r="J2145" s="5" t="s">
        <v>549</v>
      </c>
      <c r="K2145" s="5">
        <v>2005</v>
      </c>
      <c r="L2145" s="5" t="str">
        <f t="shared" si="135"/>
        <v>Jan-2005</v>
      </c>
      <c r="M2145" s="5" t="s">
        <v>181</v>
      </c>
      <c r="N2145" s="5" t="s">
        <v>467</v>
      </c>
      <c r="O2145" s="5" t="s">
        <v>130</v>
      </c>
      <c r="P2145" s="5" t="s">
        <v>42</v>
      </c>
      <c r="Q2145" s="5" t="s">
        <v>51</v>
      </c>
    </row>
    <row r="2146" spans="1:17" x14ac:dyDescent="0.25">
      <c r="A2146" s="3">
        <v>10378</v>
      </c>
      <c r="B2146" s="3">
        <v>41</v>
      </c>
      <c r="C2146" s="3">
        <v>100</v>
      </c>
      <c r="D2146" s="3">
        <v>4100</v>
      </c>
      <c r="E2146" s="3" t="str">
        <f t="shared" si="133"/>
        <v>Medium</v>
      </c>
      <c r="F2146" s="3">
        <f t="shared" si="134"/>
        <v>1230</v>
      </c>
      <c r="G2146" s="4">
        <v>38393</v>
      </c>
      <c r="H2146" s="3" t="s">
        <v>25</v>
      </c>
      <c r="I2146" s="3" t="str">
        <f t="shared" si="132"/>
        <v>Yes</v>
      </c>
      <c r="J2146" s="3" t="s">
        <v>681</v>
      </c>
      <c r="K2146" s="3">
        <v>2005</v>
      </c>
      <c r="L2146" s="3" t="str">
        <f t="shared" si="135"/>
        <v>Feb-2005</v>
      </c>
      <c r="M2146" s="3" t="s">
        <v>181</v>
      </c>
      <c r="N2146" s="3" t="s">
        <v>174</v>
      </c>
      <c r="O2146" s="3" t="s">
        <v>178</v>
      </c>
      <c r="P2146" s="3" t="s">
        <v>42</v>
      </c>
      <c r="Q2146" s="3" t="s">
        <v>51</v>
      </c>
    </row>
    <row r="2147" spans="1:17" x14ac:dyDescent="0.25">
      <c r="A2147" s="5">
        <v>10390</v>
      </c>
      <c r="B2147" s="5">
        <v>30</v>
      </c>
      <c r="C2147" s="5">
        <v>82.42</v>
      </c>
      <c r="D2147" s="5">
        <v>2472.6</v>
      </c>
      <c r="E2147" s="5" t="str">
        <f t="shared" si="133"/>
        <v>Medium</v>
      </c>
      <c r="F2147" s="5">
        <f t="shared" si="134"/>
        <v>741.78</v>
      </c>
      <c r="G2147" s="6">
        <v>38415</v>
      </c>
      <c r="H2147" s="5" t="s">
        <v>25</v>
      </c>
      <c r="I2147" s="5" t="str">
        <f t="shared" si="132"/>
        <v>Yes</v>
      </c>
      <c r="J2147" s="5" t="s">
        <v>691</v>
      </c>
      <c r="K2147" s="5">
        <v>2005</v>
      </c>
      <c r="L2147" s="5" t="str">
        <f t="shared" si="135"/>
        <v>Mar-2005</v>
      </c>
      <c r="M2147" s="5" t="s">
        <v>181</v>
      </c>
      <c r="N2147" s="5" t="s">
        <v>272</v>
      </c>
      <c r="O2147" s="5" t="s">
        <v>32</v>
      </c>
      <c r="P2147" s="5" t="s">
        <v>33</v>
      </c>
      <c r="Q2147" s="5" t="s">
        <v>36</v>
      </c>
    </row>
    <row r="2148" spans="1:17" x14ac:dyDescent="0.25">
      <c r="A2148" s="3">
        <v>10103</v>
      </c>
      <c r="B2148" s="3">
        <v>31</v>
      </c>
      <c r="C2148" s="3">
        <v>100</v>
      </c>
      <c r="D2148" s="3">
        <v>3100</v>
      </c>
      <c r="E2148" s="3" t="str">
        <f t="shared" si="133"/>
        <v>Medium</v>
      </c>
      <c r="F2148" s="3">
        <f t="shared" si="134"/>
        <v>930</v>
      </c>
      <c r="G2148" s="4">
        <v>37650</v>
      </c>
      <c r="H2148" s="3" t="s">
        <v>25</v>
      </c>
      <c r="I2148" s="3" t="str">
        <f t="shared" si="132"/>
        <v>Yes</v>
      </c>
      <c r="J2148" s="3" t="s">
        <v>549</v>
      </c>
      <c r="K2148" s="3">
        <v>2003</v>
      </c>
      <c r="L2148" s="3" t="str">
        <f t="shared" si="135"/>
        <v>Jan-2003</v>
      </c>
      <c r="M2148" s="3" t="s">
        <v>504</v>
      </c>
      <c r="N2148" s="3" t="s">
        <v>133</v>
      </c>
      <c r="O2148" s="3" t="s">
        <v>78</v>
      </c>
      <c r="P2148" s="3" t="s">
        <v>42</v>
      </c>
      <c r="Q2148" s="3" t="s">
        <v>51</v>
      </c>
    </row>
    <row r="2149" spans="1:17" x14ac:dyDescent="0.25">
      <c r="A2149" s="5">
        <v>10114</v>
      </c>
      <c r="B2149" s="5">
        <v>32</v>
      </c>
      <c r="C2149" s="5">
        <v>100</v>
      </c>
      <c r="D2149" s="5">
        <v>3200</v>
      </c>
      <c r="E2149" s="5" t="str">
        <f t="shared" si="133"/>
        <v>Medium</v>
      </c>
      <c r="F2149" s="5">
        <f t="shared" si="134"/>
        <v>960</v>
      </c>
      <c r="G2149" s="6">
        <v>37712</v>
      </c>
      <c r="H2149" s="5" t="s">
        <v>25</v>
      </c>
      <c r="I2149" s="5" t="str">
        <f t="shared" si="132"/>
        <v>Yes</v>
      </c>
      <c r="J2149" s="5" t="s">
        <v>688</v>
      </c>
      <c r="K2149" s="5">
        <v>2003</v>
      </c>
      <c r="L2149" s="5" t="str">
        <f t="shared" si="135"/>
        <v>Apr-2003</v>
      </c>
      <c r="M2149" s="5" t="s">
        <v>504</v>
      </c>
      <c r="N2149" s="5" t="s">
        <v>403</v>
      </c>
      <c r="O2149" s="5" t="s">
        <v>41</v>
      </c>
      <c r="P2149" s="5" t="s">
        <v>42</v>
      </c>
      <c r="Q2149" s="5" t="s">
        <v>51</v>
      </c>
    </row>
    <row r="2150" spans="1:17" x14ac:dyDescent="0.25">
      <c r="A2150" s="3">
        <v>10126</v>
      </c>
      <c r="B2150" s="3">
        <v>43</v>
      </c>
      <c r="C2150" s="3">
        <v>96.31</v>
      </c>
      <c r="D2150" s="3">
        <v>4141.33</v>
      </c>
      <c r="E2150" s="3" t="str">
        <f t="shared" si="133"/>
        <v>Medium</v>
      </c>
      <c r="F2150" s="3">
        <f t="shared" si="134"/>
        <v>1242.3989999999999</v>
      </c>
      <c r="G2150" s="4">
        <v>37769</v>
      </c>
      <c r="H2150" s="3" t="s">
        <v>25</v>
      </c>
      <c r="I2150" s="3" t="str">
        <f t="shared" si="132"/>
        <v>Yes</v>
      </c>
      <c r="J2150" s="3" t="s">
        <v>682</v>
      </c>
      <c r="K2150" s="3">
        <v>2003</v>
      </c>
      <c r="L2150" s="3" t="str">
        <f t="shared" si="135"/>
        <v>May-2003</v>
      </c>
      <c r="M2150" s="3" t="s">
        <v>504</v>
      </c>
      <c r="N2150" s="3" t="s">
        <v>191</v>
      </c>
      <c r="O2150" s="3" t="s">
        <v>178</v>
      </c>
      <c r="P2150" s="3" t="s">
        <v>42</v>
      </c>
      <c r="Q2150" s="3" t="s">
        <v>51</v>
      </c>
    </row>
    <row r="2151" spans="1:17" x14ac:dyDescent="0.25">
      <c r="A2151" s="5">
        <v>10140</v>
      </c>
      <c r="B2151" s="5">
        <v>26</v>
      </c>
      <c r="C2151" s="5">
        <v>100</v>
      </c>
      <c r="D2151" s="5">
        <v>2600</v>
      </c>
      <c r="E2151" s="5" t="str">
        <f t="shared" si="133"/>
        <v>Medium</v>
      </c>
      <c r="F2151" s="5">
        <f t="shared" si="134"/>
        <v>780</v>
      </c>
      <c r="G2151" s="6">
        <v>37826</v>
      </c>
      <c r="H2151" s="5" t="s">
        <v>25</v>
      </c>
      <c r="I2151" s="5" t="str">
        <f t="shared" si="132"/>
        <v>Yes</v>
      </c>
      <c r="J2151" s="5" t="s">
        <v>683</v>
      </c>
      <c r="K2151" s="5">
        <v>2003</v>
      </c>
      <c r="L2151" s="5" t="str">
        <f t="shared" si="135"/>
        <v>Jul-2003</v>
      </c>
      <c r="M2151" s="5" t="s">
        <v>504</v>
      </c>
      <c r="N2151" s="5" t="s">
        <v>62</v>
      </c>
      <c r="O2151" s="5" t="s">
        <v>32</v>
      </c>
      <c r="P2151" s="5" t="s">
        <v>33</v>
      </c>
      <c r="Q2151" s="5" t="s">
        <v>36</v>
      </c>
    </row>
    <row r="2152" spans="1:17" x14ac:dyDescent="0.25">
      <c r="A2152" s="3">
        <v>10151</v>
      </c>
      <c r="B2152" s="3">
        <v>27</v>
      </c>
      <c r="C2152" s="3">
        <v>100</v>
      </c>
      <c r="D2152" s="3">
        <v>2700</v>
      </c>
      <c r="E2152" s="3" t="str">
        <f t="shared" si="133"/>
        <v>Medium</v>
      </c>
      <c r="F2152" s="3">
        <f t="shared" si="134"/>
        <v>810</v>
      </c>
      <c r="G2152" s="4">
        <v>37885</v>
      </c>
      <c r="H2152" s="3" t="s">
        <v>25</v>
      </c>
      <c r="I2152" s="3" t="str">
        <f t="shared" si="132"/>
        <v>Yes</v>
      </c>
      <c r="J2152" s="3" t="s">
        <v>690</v>
      </c>
      <c r="K2152" s="3">
        <v>2003</v>
      </c>
      <c r="L2152" s="3" t="str">
        <f t="shared" si="135"/>
        <v>Sep-2003</v>
      </c>
      <c r="M2152" s="3" t="s">
        <v>504</v>
      </c>
      <c r="N2152" s="3" t="s">
        <v>391</v>
      </c>
      <c r="O2152" s="3" t="s">
        <v>130</v>
      </c>
      <c r="P2152" s="3" t="s">
        <v>42</v>
      </c>
      <c r="Q2152" s="3" t="s">
        <v>51</v>
      </c>
    </row>
    <row r="2153" spans="1:17" x14ac:dyDescent="0.25">
      <c r="A2153" s="5">
        <v>10164</v>
      </c>
      <c r="B2153" s="5">
        <v>24</v>
      </c>
      <c r="C2153" s="5">
        <v>100</v>
      </c>
      <c r="D2153" s="5">
        <v>2400</v>
      </c>
      <c r="E2153" s="5" t="str">
        <f t="shared" si="133"/>
        <v>Medium</v>
      </c>
      <c r="F2153" s="5">
        <f t="shared" si="134"/>
        <v>720</v>
      </c>
      <c r="G2153" s="6">
        <v>37915</v>
      </c>
      <c r="H2153" s="5" t="s">
        <v>408</v>
      </c>
      <c r="I2153" s="5" t="str">
        <f t="shared" si="132"/>
        <v>No</v>
      </c>
      <c r="J2153" s="5" t="s">
        <v>685</v>
      </c>
      <c r="K2153" s="5">
        <v>2003</v>
      </c>
      <c r="L2153" s="5" t="str">
        <f t="shared" si="135"/>
        <v>Oct-2003</v>
      </c>
      <c r="M2153" s="5" t="s">
        <v>504</v>
      </c>
      <c r="N2153" s="5" t="s">
        <v>409</v>
      </c>
      <c r="O2153" s="5" t="s">
        <v>148</v>
      </c>
      <c r="P2153" s="5" t="s">
        <v>42</v>
      </c>
      <c r="Q2153" s="5" t="s">
        <v>36</v>
      </c>
    </row>
    <row r="2154" spans="1:17" x14ac:dyDescent="0.25">
      <c r="A2154" s="3">
        <v>10175</v>
      </c>
      <c r="B2154" s="3">
        <v>22</v>
      </c>
      <c r="C2154" s="3">
        <v>100</v>
      </c>
      <c r="D2154" s="3">
        <v>2200</v>
      </c>
      <c r="E2154" s="3" t="str">
        <f t="shared" si="133"/>
        <v>Medium</v>
      </c>
      <c r="F2154" s="3">
        <f t="shared" si="134"/>
        <v>660</v>
      </c>
      <c r="G2154" s="4">
        <v>37931</v>
      </c>
      <c r="H2154" s="3" t="s">
        <v>25</v>
      </c>
      <c r="I2154" s="3" t="str">
        <f t="shared" si="132"/>
        <v>Yes</v>
      </c>
      <c r="J2154" s="3" t="s">
        <v>686</v>
      </c>
      <c r="K2154" s="3">
        <v>2003</v>
      </c>
      <c r="L2154" s="3" t="str">
        <f t="shared" si="135"/>
        <v>Nov-2003</v>
      </c>
      <c r="M2154" s="3" t="s">
        <v>504</v>
      </c>
      <c r="N2154" s="3" t="s">
        <v>329</v>
      </c>
      <c r="O2154" s="3" t="s">
        <v>170</v>
      </c>
      <c r="P2154" s="3" t="s">
        <v>42</v>
      </c>
      <c r="Q2154" s="3" t="s">
        <v>36</v>
      </c>
    </row>
    <row r="2155" spans="1:17" x14ac:dyDescent="0.25">
      <c r="A2155" s="5">
        <v>10184</v>
      </c>
      <c r="B2155" s="5">
        <v>46</v>
      </c>
      <c r="C2155" s="5">
        <v>100</v>
      </c>
      <c r="D2155" s="5">
        <v>4600</v>
      </c>
      <c r="E2155" s="5" t="str">
        <f t="shared" si="133"/>
        <v>Medium</v>
      </c>
      <c r="F2155" s="5">
        <f t="shared" si="134"/>
        <v>1380</v>
      </c>
      <c r="G2155" s="6">
        <v>37939</v>
      </c>
      <c r="H2155" s="5" t="s">
        <v>25</v>
      </c>
      <c r="I2155" s="5" t="str">
        <f t="shared" si="132"/>
        <v>Yes</v>
      </c>
      <c r="J2155" s="5" t="s">
        <v>686</v>
      </c>
      <c r="K2155" s="5">
        <v>2003</v>
      </c>
      <c r="L2155" s="5" t="str">
        <f t="shared" si="135"/>
        <v>Nov-2003</v>
      </c>
      <c r="M2155" s="5" t="s">
        <v>504</v>
      </c>
      <c r="N2155" s="5" t="s">
        <v>520</v>
      </c>
      <c r="O2155" s="5" t="s">
        <v>178</v>
      </c>
      <c r="P2155" s="5" t="s">
        <v>42</v>
      </c>
      <c r="Q2155" s="5" t="s">
        <v>51</v>
      </c>
    </row>
    <row r="2156" spans="1:17" x14ac:dyDescent="0.25">
      <c r="A2156" s="3">
        <v>10194</v>
      </c>
      <c r="B2156" s="3">
        <v>37</v>
      </c>
      <c r="C2156" s="3">
        <v>97.27</v>
      </c>
      <c r="D2156" s="3">
        <v>3598.99</v>
      </c>
      <c r="E2156" s="3" t="str">
        <f t="shared" si="133"/>
        <v>Medium</v>
      </c>
      <c r="F2156" s="3">
        <f t="shared" si="134"/>
        <v>1079.6969999999999</v>
      </c>
      <c r="G2156" s="4">
        <v>37950</v>
      </c>
      <c r="H2156" s="3" t="s">
        <v>25</v>
      </c>
      <c r="I2156" s="3" t="str">
        <f t="shared" si="132"/>
        <v>Yes</v>
      </c>
      <c r="J2156" s="3" t="s">
        <v>686</v>
      </c>
      <c r="K2156" s="3">
        <v>2003</v>
      </c>
      <c r="L2156" s="3" t="str">
        <f t="shared" si="135"/>
        <v>Nov-2003</v>
      </c>
      <c r="M2156" s="3" t="s">
        <v>504</v>
      </c>
      <c r="N2156" s="3" t="s">
        <v>219</v>
      </c>
      <c r="O2156" s="3" t="s">
        <v>41</v>
      </c>
      <c r="P2156" s="3" t="s">
        <v>42</v>
      </c>
      <c r="Q2156" s="3" t="s">
        <v>51</v>
      </c>
    </row>
    <row r="2157" spans="1:17" x14ac:dyDescent="0.25">
      <c r="A2157" s="5">
        <v>10207</v>
      </c>
      <c r="B2157" s="5">
        <v>49</v>
      </c>
      <c r="C2157" s="5">
        <v>80.900000000000006</v>
      </c>
      <c r="D2157" s="5">
        <v>3964.1000000000004</v>
      </c>
      <c r="E2157" s="5" t="str">
        <f t="shared" si="133"/>
        <v>Medium</v>
      </c>
      <c r="F2157" s="5">
        <f t="shared" si="134"/>
        <v>1189.23</v>
      </c>
      <c r="G2157" s="6">
        <v>37964</v>
      </c>
      <c r="H2157" s="5" t="s">
        <v>25</v>
      </c>
      <c r="I2157" s="5" t="str">
        <f t="shared" si="132"/>
        <v>Yes</v>
      </c>
      <c r="J2157" s="5" t="s">
        <v>687</v>
      </c>
      <c r="K2157" s="5">
        <v>2003</v>
      </c>
      <c r="L2157" s="5" t="str">
        <f t="shared" si="135"/>
        <v>Dec-2003</v>
      </c>
      <c r="M2157" s="5" t="s">
        <v>504</v>
      </c>
      <c r="N2157" s="5" t="s">
        <v>415</v>
      </c>
      <c r="O2157" s="5" t="s">
        <v>32</v>
      </c>
      <c r="P2157" s="5" t="s">
        <v>33</v>
      </c>
      <c r="Q2157" s="5" t="s">
        <v>51</v>
      </c>
    </row>
    <row r="2158" spans="1:17" x14ac:dyDescent="0.25">
      <c r="A2158" s="3">
        <v>10217</v>
      </c>
      <c r="B2158" s="3">
        <v>21</v>
      </c>
      <c r="C2158" s="3">
        <v>100</v>
      </c>
      <c r="D2158" s="3">
        <v>2100</v>
      </c>
      <c r="E2158" s="3" t="str">
        <f t="shared" si="133"/>
        <v>Medium</v>
      </c>
      <c r="F2158" s="3">
        <f t="shared" si="134"/>
        <v>630</v>
      </c>
      <c r="G2158" s="4">
        <v>38021</v>
      </c>
      <c r="H2158" s="3" t="s">
        <v>25</v>
      </c>
      <c r="I2158" s="3" t="str">
        <f t="shared" si="132"/>
        <v>Yes</v>
      </c>
      <c r="J2158" s="3" t="s">
        <v>681</v>
      </c>
      <c r="K2158" s="3">
        <v>2004</v>
      </c>
      <c r="L2158" s="3" t="str">
        <f t="shared" si="135"/>
        <v>Feb-2004</v>
      </c>
      <c r="M2158" s="3" t="s">
        <v>504</v>
      </c>
      <c r="N2158" s="3" t="s">
        <v>418</v>
      </c>
      <c r="O2158" s="3" t="s">
        <v>199</v>
      </c>
      <c r="P2158" s="3" t="s">
        <v>96</v>
      </c>
      <c r="Q2158" s="3" t="s">
        <v>36</v>
      </c>
    </row>
    <row r="2159" spans="1:17" x14ac:dyDescent="0.25">
      <c r="A2159" s="5">
        <v>10229</v>
      </c>
      <c r="B2159" s="5">
        <v>25</v>
      </c>
      <c r="C2159" s="5">
        <v>100</v>
      </c>
      <c r="D2159" s="5">
        <v>2500</v>
      </c>
      <c r="E2159" s="5" t="str">
        <f t="shared" si="133"/>
        <v>Medium</v>
      </c>
      <c r="F2159" s="5">
        <f t="shared" si="134"/>
        <v>750</v>
      </c>
      <c r="G2159" s="6">
        <v>38057</v>
      </c>
      <c r="H2159" s="5" t="s">
        <v>25</v>
      </c>
      <c r="I2159" s="5" t="str">
        <f t="shared" si="132"/>
        <v>Yes</v>
      </c>
      <c r="J2159" s="5" t="s">
        <v>691</v>
      </c>
      <c r="K2159" s="5">
        <v>2004</v>
      </c>
      <c r="L2159" s="5" t="str">
        <f t="shared" si="135"/>
        <v>Mar-2004</v>
      </c>
      <c r="M2159" s="5" t="s">
        <v>504</v>
      </c>
      <c r="N2159" s="5" t="s">
        <v>272</v>
      </c>
      <c r="O2159" s="5" t="s">
        <v>32</v>
      </c>
      <c r="P2159" s="5" t="s">
        <v>33</v>
      </c>
      <c r="Q2159" s="5" t="s">
        <v>36</v>
      </c>
    </row>
    <row r="2160" spans="1:17" x14ac:dyDescent="0.25">
      <c r="A2160" s="3">
        <v>10245</v>
      </c>
      <c r="B2160" s="3">
        <v>37</v>
      </c>
      <c r="C2160" s="3">
        <v>100</v>
      </c>
      <c r="D2160" s="3">
        <v>3700</v>
      </c>
      <c r="E2160" s="3" t="str">
        <f t="shared" si="133"/>
        <v>Medium</v>
      </c>
      <c r="F2160" s="3">
        <f t="shared" si="134"/>
        <v>1110</v>
      </c>
      <c r="G2160" s="4">
        <v>38111</v>
      </c>
      <c r="H2160" s="3" t="s">
        <v>25</v>
      </c>
      <c r="I2160" s="3" t="str">
        <f t="shared" si="132"/>
        <v>Yes</v>
      </c>
      <c r="J2160" s="3" t="s">
        <v>682</v>
      </c>
      <c r="K2160" s="3">
        <v>2004</v>
      </c>
      <c r="L2160" s="3" t="str">
        <f t="shared" si="135"/>
        <v>May-2004</v>
      </c>
      <c r="M2160" s="3" t="s">
        <v>504</v>
      </c>
      <c r="N2160" s="3" t="s">
        <v>242</v>
      </c>
      <c r="O2160" s="3" t="s">
        <v>32</v>
      </c>
      <c r="P2160" s="3" t="s">
        <v>33</v>
      </c>
      <c r="Q2160" s="3" t="s">
        <v>51</v>
      </c>
    </row>
    <row r="2161" spans="1:17" x14ac:dyDescent="0.25">
      <c r="A2161" s="5">
        <v>10259</v>
      </c>
      <c r="B2161" s="5">
        <v>45</v>
      </c>
      <c r="C2161" s="5">
        <v>86.68</v>
      </c>
      <c r="D2161" s="5">
        <v>3900.6000000000004</v>
      </c>
      <c r="E2161" s="5" t="str">
        <f t="shared" si="133"/>
        <v>Medium</v>
      </c>
      <c r="F2161" s="5">
        <f t="shared" si="134"/>
        <v>1170.18</v>
      </c>
      <c r="G2161" s="6">
        <v>38153</v>
      </c>
      <c r="H2161" s="5" t="s">
        <v>25</v>
      </c>
      <c r="I2161" s="5" t="str">
        <f t="shared" si="132"/>
        <v>Yes</v>
      </c>
      <c r="J2161" s="5" t="s">
        <v>689</v>
      </c>
      <c r="K2161" s="5">
        <v>2004</v>
      </c>
      <c r="L2161" s="5" t="str">
        <f t="shared" si="135"/>
        <v>Jun-2004</v>
      </c>
      <c r="M2161" s="5" t="s">
        <v>504</v>
      </c>
      <c r="N2161" s="5" t="s">
        <v>418</v>
      </c>
      <c r="O2161" s="5" t="s">
        <v>199</v>
      </c>
      <c r="P2161" s="5" t="s">
        <v>96</v>
      </c>
      <c r="Q2161" s="5" t="s">
        <v>51</v>
      </c>
    </row>
    <row r="2162" spans="1:17" x14ac:dyDescent="0.25">
      <c r="A2162" s="3">
        <v>10270</v>
      </c>
      <c r="B2162" s="3">
        <v>32</v>
      </c>
      <c r="C2162" s="3">
        <v>85.72</v>
      </c>
      <c r="D2162" s="3">
        <v>2743.04</v>
      </c>
      <c r="E2162" s="3" t="str">
        <f t="shared" si="133"/>
        <v>Medium</v>
      </c>
      <c r="F2162" s="3">
        <f t="shared" si="134"/>
        <v>822.91199999999992</v>
      </c>
      <c r="G2162" s="4">
        <v>38187</v>
      </c>
      <c r="H2162" s="3" t="s">
        <v>25</v>
      </c>
      <c r="I2162" s="3" t="str">
        <f t="shared" si="132"/>
        <v>Yes</v>
      </c>
      <c r="J2162" s="3" t="s">
        <v>683</v>
      </c>
      <c r="K2162" s="3">
        <v>2004</v>
      </c>
      <c r="L2162" s="3" t="str">
        <f t="shared" si="135"/>
        <v>Jul-2004</v>
      </c>
      <c r="M2162" s="3" t="s">
        <v>504</v>
      </c>
      <c r="N2162" s="3" t="s">
        <v>152</v>
      </c>
      <c r="O2162" s="3" t="s">
        <v>95</v>
      </c>
      <c r="P2162" s="3" t="s">
        <v>96</v>
      </c>
      <c r="Q2162" s="3" t="s">
        <v>36</v>
      </c>
    </row>
    <row r="2163" spans="1:17" x14ac:dyDescent="0.25">
      <c r="A2163" s="5">
        <v>10281</v>
      </c>
      <c r="B2163" s="5">
        <v>29</v>
      </c>
      <c r="C2163" s="5">
        <v>82.83</v>
      </c>
      <c r="D2163" s="5">
        <v>2402.0700000000002</v>
      </c>
      <c r="E2163" s="5" t="str">
        <f t="shared" si="133"/>
        <v>Medium</v>
      </c>
      <c r="F2163" s="5">
        <f t="shared" si="134"/>
        <v>720.62099999999998</v>
      </c>
      <c r="G2163" s="6">
        <v>38218</v>
      </c>
      <c r="H2163" s="5" t="s">
        <v>25</v>
      </c>
      <c r="I2163" s="5" t="str">
        <f t="shared" si="132"/>
        <v>Yes</v>
      </c>
      <c r="J2163" s="5" t="s">
        <v>684</v>
      </c>
      <c r="K2163" s="5">
        <v>2004</v>
      </c>
      <c r="L2163" s="5" t="str">
        <f t="shared" si="135"/>
        <v>Aug-2004</v>
      </c>
      <c r="M2163" s="5" t="s">
        <v>504</v>
      </c>
      <c r="N2163" s="5" t="s">
        <v>139</v>
      </c>
      <c r="O2163" s="5" t="s">
        <v>32</v>
      </c>
      <c r="P2163" s="5" t="s">
        <v>33</v>
      </c>
      <c r="Q2163" s="5" t="s">
        <v>36</v>
      </c>
    </row>
    <row r="2164" spans="1:17" x14ac:dyDescent="0.25">
      <c r="A2164" s="3">
        <v>10291</v>
      </c>
      <c r="B2164" s="3">
        <v>26</v>
      </c>
      <c r="C2164" s="3">
        <v>83.79</v>
      </c>
      <c r="D2164" s="3">
        <v>2178.54</v>
      </c>
      <c r="E2164" s="3" t="str">
        <f t="shared" si="133"/>
        <v>Medium</v>
      </c>
      <c r="F2164" s="3">
        <f t="shared" si="134"/>
        <v>653.56200000000001</v>
      </c>
      <c r="G2164" s="4">
        <v>38238</v>
      </c>
      <c r="H2164" s="3" t="s">
        <v>25</v>
      </c>
      <c r="I2164" s="3" t="str">
        <f t="shared" si="132"/>
        <v>Yes</v>
      </c>
      <c r="J2164" s="3" t="s">
        <v>690</v>
      </c>
      <c r="K2164" s="3">
        <v>2004</v>
      </c>
      <c r="L2164" s="3" t="str">
        <f t="shared" si="135"/>
        <v>Sep-2004</v>
      </c>
      <c r="M2164" s="3" t="s">
        <v>504</v>
      </c>
      <c r="N2164" s="3" t="s">
        <v>261</v>
      </c>
      <c r="O2164" s="3" t="s">
        <v>188</v>
      </c>
      <c r="P2164" s="3" t="s">
        <v>42</v>
      </c>
      <c r="Q2164" s="3" t="s">
        <v>36</v>
      </c>
    </row>
    <row r="2165" spans="1:17" x14ac:dyDescent="0.25">
      <c r="A2165" s="5">
        <v>10305</v>
      </c>
      <c r="B2165" s="5">
        <v>28</v>
      </c>
      <c r="C2165" s="5">
        <v>100</v>
      </c>
      <c r="D2165" s="5">
        <v>2800</v>
      </c>
      <c r="E2165" s="5" t="str">
        <f t="shared" si="133"/>
        <v>Medium</v>
      </c>
      <c r="F2165" s="5">
        <f t="shared" si="134"/>
        <v>840</v>
      </c>
      <c r="G2165" s="6">
        <v>38273</v>
      </c>
      <c r="H2165" s="5" t="s">
        <v>25</v>
      </c>
      <c r="I2165" s="5" t="str">
        <f t="shared" si="132"/>
        <v>Yes</v>
      </c>
      <c r="J2165" s="5" t="s">
        <v>685</v>
      </c>
      <c r="K2165" s="5">
        <v>2004</v>
      </c>
      <c r="L2165" s="5" t="str">
        <f t="shared" si="135"/>
        <v>Oct-2004</v>
      </c>
      <c r="M2165" s="5" t="s">
        <v>504</v>
      </c>
      <c r="N2165" s="5" t="s">
        <v>120</v>
      </c>
      <c r="O2165" s="5" t="s">
        <v>32</v>
      </c>
      <c r="P2165" s="5" t="s">
        <v>33</v>
      </c>
      <c r="Q2165" s="5" t="s">
        <v>51</v>
      </c>
    </row>
    <row r="2166" spans="1:17" x14ac:dyDescent="0.25">
      <c r="A2166" s="3">
        <v>10313</v>
      </c>
      <c r="B2166" s="3">
        <v>27</v>
      </c>
      <c r="C2166" s="3">
        <v>87.64</v>
      </c>
      <c r="D2166" s="3">
        <v>2366.2800000000002</v>
      </c>
      <c r="E2166" s="3" t="str">
        <f t="shared" si="133"/>
        <v>Medium</v>
      </c>
      <c r="F2166" s="3">
        <f t="shared" si="134"/>
        <v>709.88400000000001</v>
      </c>
      <c r="G2166" s="4">
        <v>38282</v>
      </c>
      <c r="H2166" s="3" t="s">
        <v>25</v>
      </c>
      <c r="I2166" s="3" t="str">
        <f t="shared" si="132"/>
        <v>Yes</v>
      </c>
      <c r="J2166" s="3" t="s">
        <v>685</v>
      </c>
      <c r="K2166" s="3">
        <v>2004</v>
      </c>
      <c r="L2166" s="3" t="str">
        <f t="shared" si="135"/>
        <v>Oct-2004</v>
      </c>
      <c r="M2166" s="3" t="s">
        <v>504</v>
      </c>
      <c r="N2166" s="3" t="s">
        <v>225</v>
      </c>
      <c r="O2166" s="3" t="s">
        <v>231</v>
      </c>
      <c r="P2166" s="3" t="s">
        <v>33</v>
      </c>
      <c r="Q2166" s="3" t="s">
        <v>36</v>
      </c>
    </row>
    <row r="2167" spans="1:17" x14ac:dyDescent="0.25">
      <c r="A2167" s="5">
        <v>10324</v>
      </c>
      <c r="B2167" s="5">
        <v>20</v>
      </c>
      <c r="C2167" s="5">
        <v>98.18</v>
      </c>
      <c r="D2167" s="5">
        <v>1963.6000000000001</v>
      </c>
      <c r="E2167" s="5" t="str">
        <f t="shared" si="133"/>
        <v>Low</v>
      </c>
      <c r="F2167" s="5">
        <f t="shared" si="134"/>
        <v>589.08000000000004</v>
      </c>
      <c r="G2167" s="6">
        <v>38296</v>
      </c>
      <c r="H2167" s="5" t="s">
        <v>25</v>
      </c>
      <c r="I2167" s="5" t="str">
        <f t="shared" si="132"/>
        <v>Yes</v>
      </c>
      <c r="J2167" s="5" t="s">
        <v>686</v>
      </c>
      <c r="K2167" s="5">
        <v>2004</v>
      </c>
      <c r="L2167" s="5" t="str">
        <f t="shared" si="135"/>
        <v>Nov-2004</v>
      </c>
      <c r="M2167" s="5" t="s">
        <v>504</v>
      </c>
      <c r="N2167" s="5" t="s">
        <v>99</v>
      </c>
      <c r="O2167" s="5" t="s">
        <v>32</v>
      </c>
      <c r="P2167" s="5" t="s">
        <v>33</v>
      </c>
      <c r="Q2167" s="5" t="s">
        <v>36</v>
      </c>
    </row>
    <row r="2168" spans="1:17" x14ac:dyDescent="0.25">
      <c r="A2168" s="3">
        <v>10335</v>
      </c>
      <c r="B2168" s="3">
        <v>44</v>
      </c>
      <c r="C2168" s="3">
        <v>100</v>
      </c>
      <c r="D2168" s="3">
        <v>4400</v>
      </c>
      <c r="E2168" s="3" t="str">
        <f t="shared" si="133"/>
        <v>Medium</v>
      </c>
      <c r="F2168" s="3">
        <f t="shared" si="134"/>
        <v>1320</v>
      </c>
      <c r="G2168" s="4">
        <v>38310</v>
      </c>
      <c r="H2168" s="3" t="s">
        <v>25</v>
      </c>
      <c r="I2168" s="3" t="str">
        <f t="shared" si="132"/>
        <v>Yes</v>
      </c>
      <c r="J2168" s="3" t="s">
        <v>686</v>
      </c>
      <c r="K2168" s="3">
        <v>2004</v>
      </c>
      <c r="L2168" s="3" t="str">
        <f t="shared" si="135"/>
        <v>Nov-2004</v>
      </c>
      <c r="M2168" s="3" t="s">
        <v>504</v>
      </c>
      <c r="N2168" s="3" t="s">
        <v>272</v>
      </c>
      <c r="O2168" s="3" t="s">
        <v>32</v>
      </c>
      <c r="P2168" s="3" t="s">
        <v>33</v>
      </c>
      <c r="Q2168" s="3" t="s">
        <v>51</v>
      </c>
    </row>
    <row r="2169" spans="1:17" x14ac:dyDescent="0.25">
      <c r="A2169" s="5">
        <v>10348</v>
      </c>
      <c r="B2169" s="5">
        <v>42</v>
      </c>
      <c r="C2169" s="5">
        <v>100</v>
      </c>
      <c r="D2169" s="5">
        <v>4200</v>
      </c>
      <c r="E2169" s="5" t="str">
        <f t="shared" si="133"/>
        <v>Medium</v>
      </c>
      <c r="F2169" s="5">
        <f t="shared" si="134"/>
        <v>1260</v>
      </c>
      <c r="G2169" s="6">
        <v>38292</v>
      </c>
      <c r="H2169" s="5" t="s">
        <v>25</v>
      </c>
      <c r="I2169" s="5" t="str">
        <f t="shared" si="132"/>
        <v>Yes</v>
      </c>
      <c r="J2169" s="5" t="s">
        <v>686</v>
      </c>
      <c r="K2169" s="5">
        <v>2004</v>
      </c>
      <c r="L2169" s="5" t="str">
        <f t="shared" si="135"/>
        <v>Nov-2004</v>
      </c>
      <c r="M2169" s="5" t="s">
        <v>504</v>
      </c>
      <c r="N2169" s="5" t="s">
        <v>191</v>
      </c>
      <c r="O2169" s="5" t="s">
        <v>178</v>
      </c>
      <c r="P2169" s="5" t="s">
        <v>42</v>
      </c>
      <c r="Q2169" s="5" t="s">
        <v>51</v>
      </c>
    </row>
    <row r="2170" spans="1:17" x14ac:dyDescent="0.25">
      <c r="A2170" s="3">
        <v>10358</v>
      </c>
      <c r="B2170" s="3">
        <v>41</v>
      </c>
      <c r="C2170" s="3">
        <v>100</v>
      </c>
      <c r="D2170" s="3">
        <v>4100</v>
      </c>
      <c r="E2170" s="3" t="str">
        <f t="shared" si="133"/>
        <v>Medium</v>
      </c>
      <c r="F2170" s="3">
        <f t="shared" si="134"/>
        <v>1230</v>
      </c>
      <c r="G2170" s="4">
        <v>38331</v>
      </c>
      <c r="H2170" s="3" t="s">
        <v>25</v>
      </c>
      <c r="I2170" s="3" t="str">
        <f t="shared" si="132"/>
        <v>Yes</v>
      </c>
      <c r="J2170" s="3" t="s">
        <v>687</v>
      </c>
      <c r="K2170" s="3">
        <v>2004</v>
      </c>
      <c r="L2170" s="3" t="str">
        <f t="shared" si="135"/>
        <v>Dec-2004</v>
      </c>
      <c r="M2170" s="3" t="s">
        <v>504</v>
      </c>
      <c r="N2170" s="3" t="s">
        <v>174</v>
      </c>
      <c r="O2170" s="3" t="s">
        <v>178</v>
      </c>
      <c r="P2170" s="3" t="s">
        <v>42</v>
      </c>
      <c r="Q2170" s="3" t="s">
        <v>51</v>
      </c>
    </row>
    <row r="2171" spans="1:17" x14ac:dyDescent="0.25">
      <c r="A2171" s="5">
        <v>10371</v>
      </c>
      <c r="B2171" s="5">
        <v>26</v>
      </c>
      <c r="C2171" s="5">
        <v>100</v>
      </c>
      <c r="D2171" s="5">
        <v>2600</v>
      </c>
      <c r="E2171" s="5" t="str">
        <f t="shared" si="133"/>
        <v>Medium</v>
      </c>
      <c r="F2171" s="5">
        <f t="shared" si="134"/>
        <v>780</v>
      </c>
      <c r="G2171" s="6">
        <v>38375</v>
      </c>
      <c r="H2171" s="5" t="s">
        <v>25</v>
      </c>
      <c r="I2171" s="5" t="str">
        <f t="shared" si="132"/>
        <v>Yes</v>
      </c>
      <c r="J2171" s="5" t="s">
        <v>549</v>
      </c>
      <c r="K2171" s="5">
        <v>2005</v>
      </c>
      <c r="L2171" s="5" t="str">
        <f t="shared" si="135"/>
        <v>Jan-2005</v>
      </c>
      <c r="M2171" s="5" t="s">
        <v>504</v>
      </c>
      <c r="N2171" s="5" t="s">
        <v>272</v>
      </c>
      <c r="O2171" s="5" t="s">
        <v>32</v>
      </c>
      <c r="P2171" s="5" t="s">
        <v>33</v>
      </c>
      <c r="Q2171" s="5" t="s">
        <v>51</v>
      </c>
    </row>
    <row r="2172" spans="1:17" x14ac:dyDescent="0.25">
      <c r="A2172" s="3">
        <v>10382</v>
      </c>
      <c r="B2172" s="3">
        <v>26</v>
      </c>
      <c r="C2172" s="3">
        <v>100</v>
      </c>
      <c r="D2172" s="3">
        <v>2600</v>
      </c>
      <c r="E2172" s="3" t="str">
        <f t="shared" si="133"/>
        <v>Medium</v>
      </c>
      <c r="F2172" s="3">
        <f t="shared" si="134"/>
        <v>780</v>
      </c>
      <c r="G2172" s="4">
        <v>38400</v>
      </c>
      <c r="H2172" s="3" t="s">
        <v>25</v>
      </c>
      <c r="I2172" s="3" t="str">
        <f t="shared" si="132"/>
        <v>Yes</v>
      </c>
      <c r="J2172" s="3" t="s">
        <v>681</v>
      </c>
      <c r="K2172" s="3">
        <v>2005</v>
      </c>
      <c r="L2172" s="3" t="str">
        <f t="shared" si="135"/>
        <v>Feb-2005</v>
      </c>
      <c r="M2172" s="3" t="s">
        <v>504</v>
      </c>
      <c r="N2172" s="3" t="s">
        <v>272</v>
      </c>
      <c r="O2172" s="3" t="s">
        <v>32</v>
      </c>
      <c r="P2172" s="3" t="s">
        <v>33</v>
      </c>
      <c r="Q2172" s="3" t="s">
        <v>36</v>
      </c>
    </row>
    <row r="2173" spans="1:17" x14ac:dyDescent="0.25">
      <c r="A2173" s="5">
        <v>10411</v>
      </c>
      <c r="B2173" s="5">
        <v>26</v>
      </c>
      <c r="C2173" s="5">
        <v>100</v>
      </c>
      <c r="D2173" s="5">
        <v>2600</v>
      </c>
      <c r="E2173" s="5" t="str">
        <f t="shared" si="133"/>
        <v>Medium</v>
      </c>
      <c r="F2173" s="5">
        <f t="shared" si="134"/>
        <v>780</v>
      </c>
      <c r="G2173" s="6">
        <v>38473</v>
      </c>
      <c r="H2173" s="5" t="s">
        <v>25</v>
      </c>
      <c r="I2173" s="5" t="str">
        <f t="shared" si="132"/>
        <v>Yes</v>
      </c>
      <c r="J2173" s="5" t="s">
        <v>682</v>
      </c>
      <c r="K2173" s="5">
        <v>2005</v>
      </c>
      <c r="L2173" s="5" t="str">
        <f t="shared" si="135"/>
        <v>May-2005</v>
      </c>
      <c r="M2173" s="5" t="s">
        <v>504</v>
      </c>
      <c r="N2173" s="5" t="s">
        <v>292</v>
      </c>
      <c r="O2173" s="5" t="s">
        <v>231</v>
      </c>
      <c r="P2173" s="5" t="s">
        <v>33</v>
      </c>
      <c r="Q2173" s="5" t="s">
        <v>36</v>
      </c>
    </row>
    <row r="2174" spans="1:17" x14ac:dyDescent="0.25">
      <c r="A2174" s="3">
        <v>10425</v>
      </c>
      <c r="B2174" s="3">
        <v>41</v>
      </c>
      <c r="C2174" s="3">
        <v>86.68</v>
      </c>
      <c r="D2174" s="3">
        <v>3553.88</v>
      </c>
      <c r="E2174" s="3" t="str">
        <f t="shared" si="133"/>
        <v>Medium</v>
      </c>
      <c r="F2174" s="3">
        <f t="shared" si="134"/>
        <v>1066.164</v>
      </c>
      <c r="G2174" s="4">
        <v>38503</v>
      </c>
      <c r="H2174" s="3" t="s">
        <v>300</v>
      </c>
      <c r="I2174" s="3" t="str">
        <f t="shared" si="132"/>
        <v>No</v>
      </c>
      <c r="J2174" s="3" t="s">
        <v>682</v>
      </c>
      <c r="K2174" s="3">
        <v>2005</v>
      </c>
      <c r="L2174" s="3" t="str">
        <f t="shared" si="135"/>
        <v>May-2005</v>
      </c>
      <c r="M2174" s="3" t="s">
        <v>504</v>
      </c>
      <c r="N2174" s="3" t="s">
        <v>114</v>
      </c>
      <c r="O2174" s="3" t="s">
        <v>41</v>
      </c>
      <c r="P2174" s="3" t="s">
        <v>42</v>
      </c>
      <c r="Q2174" s="3" t="s">
        <v>51</v>
      </c>
    </row>
    <row r="2175" spans="1:17" x14ac:dyDescent="0.25">
      <c r="A2175" s="5">
        <v>10107</v>
      </c>
      <c r="B2175" s="5">
        <v>20</v>
      </c>
      <c r="C2175" s="5">
        <v>92.9</v>
      </c>
      <c r="D2175" s="5">
        <v>1858</v>
      </c>
      <c r="E2175" s="5" t="str">
        <f t="shared" si="133"/>
        <v>Low</v>
      </c>
      <c r="F2175" s="5">
        <f t="shared" si="134"/>
        <v>557.4</v>
      </c>
      <c r="G2175" s="6">
        <v>37676</v>
      </c>
      <c r="H2175" s="5" t="s">
        <v>25</v>
      </c>
      <c r="I2175" s="5" t="str">
        <f t="shared" si="132"/>
        <v>Yes</v>
      </c>
      <c r="J2175" s="5" t="s">
        <v>681</v>
      </c>
      <c r="K2175" s="5">
        <v>2003</v>
      </c>
      <c r="L2175" s="5" t="str">
        <f t="shared" si="135"/>
        <v>Feb-2003</v>
      </c>
      <c r="M2175" s="5" t="s">
        <v>26</v>
      </c>
      <c r="N2175" s="5" t="s">
        <v>28</v>
      </c>
      <c r="O2175" s="5" t="s">
        <v>32</v>
      </c>
      <c r="P2175" s="5" t="s">
        <v>33</v>
      </c>
      <c r="Q2175" s="5" t="s">
        <v>36</v>
      </c>
    </row>
    <row r="2176" spans="1:17" x14ac:dyDescent="0.25">
      <c r="A2176" s="3">
        <v>10120</v>
      </c>
      <c r="B2176" s="3">
        <v>22</v>
      </c>
      <c r="C2176" s="3">
        <v>100</v>
      </c>
      <c r="D2176" s="3">
        <v>2200</v>
      </c>
      <c r="E2176" s="3" t="str">
        <f t="shared" si="133"/>
        <v>Medium</v>
      </c>
      <c r="F2176" s="3">
        <f t="shared" si="134"/>
        <v>660</v>
      </c>
      <c r="G2176" s="4">
        <v>37740</v>
      </c>
      <c r="H2176" s="3" t="s">
        <v>25</v>
      </c>
      <c r="I2176" s="3" t="str">
        <f t="shared" si="132"/>
        <v>Yes</v>
      </c>
      <c r="J2176" s="3" t="s">
        <v>688</v>
      </c>
      <c r="K2176" s="3">
        <v>2003</v>
      </c>
      <c r="L2176" s="3" t="str">
        <f t="shared" si="135"/>
        <v>Apr-2003</v>
      </c>
      <c r="M2176" s="3" t="s">
        <v>26</v>
      </c>
      <c r="N2176" s="3" t="s">
        <v>89</v>
      </c>
      <c r="O2176" s="3" t="s">
        <v>95</v>
      </c>
      <c r="P2176" s="3" t="s">
        <v>96</v>
      </c>
      <c r="Q2176" s="3" t="s">
        <v>36</v>
      </c>
    </row>
    <row r="2177" spans="1:17" x14ac:dyDescent="0.25">
      <c r="A2177" s="5">
        <v>10133</v>
      </c>
      <c r="B2177" s="5">
        <v>23</v>
      </c>
      <c r="C2177" s="5">
        <v>100</v>
      </c>
      <c r="D2177" s="5">
        <v>2300</v>
      </c>
      <c r="E2177" s="5" t="str">
        <f t="shared" si="133"/>
        <v>Medium</v>
      </c>
      <c r="F2177" s="5">
        <f t="shared" si="134"/>
        <v>690</v>
      </c>
      <c r="G2177" s="6">
        <v>37799</v>
      </c>
      <c r="H2177" s="5" t="s">
        <v>25</v>
      </c>
      <c r="I2177" s="5" t="str">
        <f t="shared" si="132"/>
        <v>Yes</v>
      </c>
      <c r="J2177" s="5" t="s">
        <v>689</v>
      </c>
      <c r="K2177" s="5">
        <v>2003</v>
      </c>
      <c r="L2177" s="5" t="str">
        <f t="shared" si="135"/>
        <v>Jun-2003</v>
      </c>
      <c r="M2177" s="5" t="s">
        <v>26</v>
      </c>
      <c r="N2177" s="5" t="s">
        <v>174</v>
      </c>
      <c r="O2177" s="5" t="s">
        <v>178</v>
      </c>
      <c r="P2177" s="5" t="s">
        <v>42</v>
      </c>
      <c r="Q2177" s="5" t="s">
        <v>36</v>
      </c>
    </row>
    <row r="2178" spans="1:17" x14ac:dyDescent="0.25">
      <c r="A2178" s="3">
        <v>10145</v>
      </c>
      <c r="B2178" s="3">
        <v>33</v>
      </c>
      <c r="C2178" s="3">
        <v>93.9</v>
      </c>
      <c r="D2178" s="3">
        <v>3098.7000000000003</v>
      </c>
      <c r="E2178" s="3" t="str">
        <f t="shared" si="133"/>
        <v>Medium</v>
      </c>
      <c r="F2178" s="3">
        <f t="shared" si="134"/>
        <v>929.61</v>
      </c>
      <c r="G2178" s="4">
        <v>37858</v>
      </c>
      <c r="H2178" s="3" t="s">
        <v>25</v>
      </c>
      <c r="I2178" s="3" t="str">
        <f t="shared" ref="I2178:I2241" si="136">IF(H2178="Shipped","Yes","No")</f>
        <v>Yes</v>
      </c>
      <c r="J2178" s="3" t="s">
        <v>684</v>
      </c>
      <c r="K2178" s="3">
        <v>2003</v>
      </c>
      <c r="L2178" s="3" t="str">
        <f t="shared" si="135"/>
        <v>Aug-2003</v>
      </c>
      <c r="M2178" s="3" t="s">
        <v>26</v>
      </c>
      <c r="N2178" s="3" t="s">
        <v>52</v>
      </c>
      <c r="O2178" s="3" t="s">
        <v>32</v>
      </c>
      <c r="P2178" s="3" t="s">
        <v>33</v>
      </c>
      <c r="Q2178" s="3" t="s">
        <v>51</v>
      </c>
    </row>
    <row r="2179" spans="1:17" x14ac:dyDescent="0.25">
      <c r="A2179" s="5">
        <v>10168</v>
      </c>
      <c r="B2179" s="5">
        <v>28</v>
      </c>
      <c r="C2179" s="5">
        <v>100</v>
      </c>
      <c r="D2179" s="5">
        <v>2800</v>
      </c>
      <c r="E2179" s="5" t="str">
        <f t="shared" ref="E2179:E2242" si="137">IF(D2179&gt;=5000,"High",IF(D2179&gt;=2000,"Medium","Low"))</f>
        <v>Medium</v>
      </c>
      <c r="F2179" s="5">
        <f t="shared" ref="F2179:F2242" si="138">(D2179*0.3)</f>
        <v>840</v>
      </c>
      <c r="G2179" s="6">
        <v>37922</v>
      </c>
      <c r="H2179" s="5" t="s">
        <v>25</v>
      </c>
      <c r="I2179" s="5" t="str">
        <f t="shared" si="136"/>
        <v>Yes</v>
      </c>
      <c r="J2179" s="5" t="s">
        <v>685</v>
      </c>
      <c r="K2179" s="5">
        <v>2003</v>
      </c>
      <c r="L2179" s="5" t="str">
        <f t="shared" ref="L2179:L2242" si="139">TEXT(G:G,"MMM-YYYY")</f>
        <v>Oct-2003</v>
      </c>
      <c r="M2179" s="5" t="s">
        <v>26</v>
      </c>
      <c r="N2179" s="5" t="s">
        <v>62</v>
      </c>
      <c r="O2179" s="5" t="s">
        <v>32</v>
      </c>
      <c r="P2179" s="5" t="s">
        <v>33</v>
      </c>
      <c r="Q2179" s="5" t="s">
        <v>51</v>
      </c>
    </row>
    <row r="2180" spans="1:17" x14ac:dyDescent="0.25">
      <c r="A2180" s="3">
        <v>10188</v>
      </c>
      <c r="B2180" s="3">
        <v>44</v>
      </c>
      <c r="C2180" s="3">
        <v>98.89</v>
      </c>
      <c r="D2180" s="3">
        <v>4351.16</v>
      </c>
      <c r="E2180" s="3" t="str">
        <f t="shared" si="137"/>
        <v>Medium</v>
      </c>
      <c r="F2180" s="3">
        <f t="shared" si="138"/>
        <v>1305.348</v>
      </c>
      <c r="G2180" s="4">
        <v>37943</v>
      </c>
      <c r="H2180" s="3" t="s">
        <v>25</v>
      </c>
      <c r="I2180" s="3" t="str">
        <f t="shared" si="136"/>
        <v>Yes</v>
      </c>
      <c r="J2180" s="3" t="s">
        <v>686</v>
      </c>
      <c r="K2180" s="3">
        <v>2003</v>
      </c>
      <c r="L2180" s="3" t="str">
        <f t="shared" si="139"/>
        <v>Nov-2003</v>
      </c>
      <c r="M2180" s="3" t="s">
        <v>26</v>
      </c>
      <c r="N2180" s="3" t="s">
        <v>73</v>
      </c>
      <c r="O2180" s="3" t="s">
        <v>78</v>
      </c>
      <c r="P2180" s="3" t="s">
        <v>42</v>
      </c>
      <c r="Q2180" s="3" t="s">
        <v>51</v>
      </c>
    </row>
    <row r="2181" spans="1:17" x14ac:dyDescent="0.25">
      <c r="A2181" s="5">
        <v>10210</v>
      </c>
      <c r="B2181" s="5">
        <v>46</v>
      </c>
      <c r="C2181" s="5">
        <v>79.91</v>
      </c>
      <c r="D2181" s="5">
        <v>3675.8599999999997</v>
      </c>
      <c r="E2181" s="5" t="str">
        <f t="shared" si="137"/>
        <v>Medium</v>
      </c>
      <c r="F2181" s="5">
        <f t="shared" si="138"/>
        <v>1102.7579999999998</v>
      </c>
      <c r="G2181" s="6">
        <v>37998</v>
      </c>
      <c r="H2181" s="5" t="s">
        <v>25</v>
      </c>
      <c r="I2181" s="5" t="str">
        <f t="shared" si="136"/>
        <v>Yes</v>
      </c>
      <c r="J2181" s="5" t="s">
        <v>549</v>
      </c>
      <c r="K2181" s="5">
        <v>2004</v>
      </c>
      <c r="L2181" s="5" t="str">
        <f t="shared" si="139"/>
        <v>Jan-2004</v>
      </c>
      <c r="M2181" s="5" t="s">
        <v>26</v>
      </c>
      <c r="N2181" s="5" t="s">
        <v>302</v>
      </c>
      <c r="O2181" s="5" t="s">
        <v>200</v>
      </c>
      <c r="P2181" s="5" t="s">
        <v>675</v>
      </c>
      <c r="Q2181" s="5" t="s">
        <v>51</v>
      </c>
    </row>
    <row r="2182" spans="1:17" x14ac:dyDescent="0.25">
      <c r="A2182" s="3">
        <v>10223</v>
      </c>
      <c r="B2182" s="3">
        <v>21</v>
      </c>
      <c r="C2182" s="3">
        <v>100</v>
      </c>
      <c r="D2182" s="3">
        <v>2100</v>
      </c>
      <c r="E2182" s="3" t="str">
        <f t="shared" si="137"/>
        <v>Medium</v>
      </c>
      <c r="F2182" s="3">
        <f t="shared" si="138"/>
        <v>630</v>
      </c>
      <c r="G2182" s="4">
        <v>38037</v>
      </c>
      <c r="H2182" s="3" t="s">
        <v>25</v>
      </c>
      <c r="I2182" s="3" t="str">
        <f t="shared" si="136"/>
        <v>Yes</v>
      </c>
      <c r="J2182" s="3" t="s">
        <v>681</v>
      </c>
      <c r="K2182" s="3">
        <v>2004</v>
      </c>
      <c r="L2182" s="3" t="str">
        <f t="shared" si="139"/>
        <v>Feb-2004</v>
      </c>
      <c r="M2182" s="3" t="s">
        <v>26</v>
      </c>
      <c r="N2182" s="3" t="s">
        <v>89</v>
      </c>
      <c r="O2182" s="3" t="s">
        <v>95</v>
      </c>
      <c r="P2182" s="3" t="s">
        <v>96</v>
      </c>
      <c r="Q2182" s="3" t="s">
        <v>36</v>
      </c>
    </row>
    <row r="2183" spans="1:17" x14ac:dyDescent="0.25">
      <c r="A2183" s="5">
        <v>10235</v>
      </c>
      <c r="B2183" s="5">
        <v>41</v>
      </c>
      <c r="C2183" s="5">
        <v>100</v>
      </c>
      <c r="D2183" s="5">
        <v>4100</v>
      </c>
      <c r="E2183" s="5" t="str">
        <f t="shared" si="137"/>
        <v>Medium</v>
      </c>
      <c r="F2183" s="5">
        <f t="shared" si="138"/>
        <v>1230</v>
      </c>
      <c r="G2183" s="6">
        <v>38079</v>
      </c>
      <c r="H2183" s="5" t="s">
        <v>25</v>
      </c>
      <c r="I2183" s="5" t="str">
        <f t="shared" si="136"/>
        <v>Yes</v>
      </c>
      <c r="J2183" s="5" t="s">
        <v>688</v>
      </c>
      <c r="K2183" s="5">
        <v>2004</v>
      </c>
      <c r="L2183" s="5" t="str">
        <f t="shared" si="139"/>
        <v>Apr-2004</v>
      </c>
      <c r="M2183" s="5" t="s">
        <v>26</v>
      </c>
      <c r="N2183" s="5" t="s">
        <v>373</v>
      </c>
      <c r="O2183" s="5" t="s">
        <v>231</v>
      </c>
      <c r="P2183" s="5" t="s">
        <v>33</v>
      </c>
      <c r="Q2183" s="5" t="s">
        <v>51</v>
      </c>
    </row>
    <row r="2184" spans="1:17" x14ac:dyDescent="0.25">
      <c r="A2184" s="3">
        <v>10250</v>
      </c>
      <c r="B2184" s="3">
        <v>31</v>
      </c>
      <c r="C2184" s="3">
        <v>100</v>
      </c>
      <c r="D2184" s="3">
        <v>3100</v>
      </c>
      <c r="E2184" s="3" t="str">
        <f t="shared" si="137"/>
        <v>Medium</v>
      </c>
      <c r="F2184" s="3">
        <f t="shared" si="138"/>
        <v>930</v>
      </c>
      <c r="G2184" s="4">
        <v>38118</v>
      </c>
      <c r="H2184" s="3" t="s">
        <v>25</v>
      </c>
      <c r="I2184" s="3" t="str">
        <f t="shared" si="136"/>
        <v>Yes</v>
      </c>
      <c r="J2184" s="3" t="s">
        <v>682</v>
      </c>
      <c r="K2184" s="3">
        <v>2004</v>
      </c>
      <c r="L2184" s="3" t="str">
        <f t="shared" si="139"/>
        <v>May-2004</v>
      </c>
      <c r="M2184" s="3" t="s">
        <v>26</v>
      </c>
      <c r="N2184" s="3" t="s">
        <v>397</v>
      </c>
      <c r="O2184" s="3" t="s">
        <v>32</v>
      </c>
      <c r="P2184" s="3" t="s">
        <v>33</v>
      </c>
      <c r="Q2184" s="3" t="s">
        <v>51</v>
      </c>
    </row>
    <row r="2185" spans="1:17" x14ac:dyDescent="0.25">
      <c r="A2185" s="5">
        <v>10263</v>
      </c>
      <c r="B2185" s="5">
        <v>31</v>
      </c>
      <c r="C2185" s="5">
        <v>79.91</v>
      </c>
      <c r="D2185" s="5">
        <v>2477.21</v>
      </c>
      <c r="E2185" s="5" t="str">
        <f t="shared" si="137"/>
        <v>Medium</v>
      </c>
      <c r="F2185" s="5">
        <f t="shared" si="138"/>
        <v>743.16300000000001</v>
      </c>
      <c r="G2185" s="6">
        <v>38166</v>
      </c>
      <c r="H2185" s="5" t="s">
        <v>25</v>
      </c>
      <c r="I2185" s="5" t="str">
        <f t="shared" si="136"/>
        <v>Yes</v>
      </c>
      <c r="J2185" s="5" t="s">
        <v>689</v>
      </c>
      <c r="K2185" s="5">
        <v>2004</v>
      </c>
      <c r="L2185" s="5" t="str">
        <f t="shared" si="139"/>
        <v>Jun-2004</v>
      </c>
      <c r="M2185" s="5" t="s">
        <v>26</v>
      </c>
      <c r="N2185" s="5" t="s">
        <v>109</v>
      </c>
      <c r="O2185" s="5" t="s">
        <v>32</v>
      </c>
      <c r="P2185" s="5" t="s">
        <v>33</v>
      </c>
      <c r="Q2185" s="5" t="s">
        <v>36</v>
      </c>
    </row>
    <row r="2186" spans="1:17" x14ac:dyDescent="0.25">
      <c r="A2186" s="3">
        <v>10275</v>
      </c>
      <c r="B2186" s="3">
        <v>23</v>
      </c>
      <c r="C2186" s="3">
        <v>81.91</v>
      </c>
      <c r="D2186" s="3">
        <v>1883.9299999999998</v>
      </c>
      <c r="E2186" s="3" t="str">
        <f t="shared" si="137"/>
        <v>Low</v>
      </c>
      <c r="F2186" s="3">
        <f t="shared" si="138"/>
        <v>565.17899999999997</v>
      </c>
      <c r="G2186" s="4">
        <v>38191</v>
      </c>
      <c r="H2186" s="3" t="s">
        <v>25</v>
      </c>
      <c r="I2186" s="3" t="str">
        <f t="shared" si="136"/>
        <v>Yes</v>
      </c>
      <c r="J2186" s="3" t="s">
        <v>683</v>
      </c>
      <c r="K2186" s="3">
        <v>2004</v>
      </c>
      <c r="L2186" s="3" t="str">
        <f t="shared" si="139"/>
        <v>Jul-2004</v>
      </c>
      <c r="M2186" s="3" t="s">
        <v>26</v>
      </c>
      <c r="N2186" s="3" t="s">
        <v>114</v>
      </c>
      <c r="O2186" s="3" t="s">
        <v>41</v>
      </c>
      <c r="P2186" s="3" t="s">
        <v>42</v>
      </c>
      <c r="Q2186" s="3" t="s">
        <v>36</v>
      </c>
    </row>
    <row r="2187" spans="1:17" x14ac:dyDescent="0.25">
      <c r="A2187" s="5">
        <v>10285</v>
      </c>
      <c r="B2187" s="5">
        <v>37</v>
      </c>
      <c r="C2187" s="5">
        <v>98.89</v>
      </c>
      <c r="D2187" s="5">
        <v>3658.93</v>
      </c>
      <c r="E2187" s="5" t="str">
        <f t="shared" si="137"/>
        <v>Medium</v>
      </c>
      <c r="F2187" s="5">
        <f t="shared" si="138"/>
        <v>1097.6789999999999</v>
      </c>
      <c r="G2187" s="6">
        <v>38226</v>
      </c>
      <c r="H2187" s="5" t="s">
        <v>25</v>
      </c>
      <c r="I2187" s="5" t="str">
        <f t="shared" si="136"/>
        <v>Yes</v>
      </c>
      <c r="J2187" s="5" t="s">
        <v>684</v>
      </c>
      <c r="K2187" s="5">
        <v>2004</v>
      </c>
      <c r="L2187" s="5" t="str">
        <f t="shared" si="139"/>
        <v>Aug-2004</v>
      </c>
      <c r="M2187" s="5" t="s">
        <v>26</v>
      </c>
      <c r="N2187" s="5" t="s">
        <v>120</v>
      </c>
      <c r="O2187" s="5" t="s">
        <v>32</v>
      </c>
      <c r="P2187" s="5" t="s">
        <v>33</v>
      </c>
      <c r="Q2187" s="5" t="s">
        <v>51</v>
      </c>
    </row>
    <row r="2188" spans="1:17" x14ac:dyDescent="0.25">
      <c r="A2188" s="3">
        <v>10297</v>
      </c>
      <c r="B2188" s="3">
        <v>26</v>
      </c>
      <c r="C2188" s="3">
        <v>100</v>
      </c>
      <c r="D2188" s="3">
        <v>2600</v>
      </c>
      <c r="E2188" s="3" t="str">
        <f t="shared" si="137"/>
        <v>Medium</v>
      </c>
      <c r="F2188" s="3">
        <f t="shared" si="138"/>
        <v>780</v>
      </c>
      <c r="G2188" s="4">
        <v>38246</v>
      </c>
      <c r="H2188" s="3" t="s">
        <v>25</v>
      </c>
      <c r="I2188" s="3" t="str">
        <f t="shared" si="136"/>
        <v>Yes</v>
      </c>
      <c r="J2188" s="3" t="s">
        <v>690</v>
      </c>
      <c r="K2188" s="3">
        <v>2004</v>
      </c>
      <c r="L2188" s="3" t="str">
        <f t="shared" si="139"/>
        <v>Sep-2004</v>
      </c>
      <c r="M2188" s="3" t="s">
        <v>26</v>
      </c>
      <c r="N2188" s="3" t="s">
        <v>479</v>
      </c>
      <c r="O2188" s="3" t="s">
        <v>484</v>
      </c>
      <c r="P2188" s="3" t="s">
        <v>42</v>
      </c>
      <c r="Q2188" s="3" t="s">
        <v>36</v>
      </c>
    </row>
    <row r="2189" spans="1:17" x14ac:dyDescent="0.25">
      <c r="A2189" s="5">
        <v>10308</v>
      </c>
      <c r="B2189" s="5">
        <v>24</v>
      </c>
      <c r="C2189" s="5">
        <v>79.91</v>
      </c>
      <c r="D2189" s="5">
        <v>1917.84</v>
      </c>
      <c r="E2189" s="5" t="str">
        <f t="shared" si="137"/>
        <v>Low</v>
      </c>
      <c r="F2189" s="5">
        <f t="shared" si="138"/>
        <v>575.35199999999998</v>
      </c>
      <c r="G2189" s="6">
        <v>38275</v>
      </c>
      <c r="H2189" s="5" t="s">
        <v>25</v>
      </c>
      <c r="I2189" s="5" t="str">
        <f t="shared" si="136"/>
        <v>Yes</v>
      </c>
      <c r="J2189" s="5" t="s">
        <v>685</v>
      </c>
      <c r="K2189" s="5">
        <v>2004</v>
      </c>
      <c r="L2189" s="5" t="str">
        <f t="shared" si="139"/>
        <v>Oct-2004</v>
      </c>
      <c r="M2189" s="5" t="s">
        <v>26</v>
      </c>
      <c r="N2189" s="5" t="s">
        <v>317</v>
      </c>
      <c r="O2189" s="5" t="s">
        <v>32</v>
      </c>
      <c r="P2189" s="5" t="s">
        <v>33</v>
      </c>
      <c r="Q2189" s="5" t="s">
        <v>36</v>
      </c>
    </row>
    <row r="2190" spans="1:17" x14ac:dyDescent="0.25">
      <c r="A2190" s="3">
        <v>10318</v>
      </c>
      <c r="B2190" s="3">
        <v>47</v>
      </c>
      <c r="C2190" s="3">
        <v>100</v>
      </c>
      <c r="D2190" s="3">
        <v>4700</v>
      </c>
      <c r="E2190" s="3" t="str">
        <f t="shared" si="137"/>
        <v>Medium</v>
      </c>
      <c r="F2190" s="3">
        <f t="shared" si="138"/>
        <v>1410</v>
      </c>
      <c r="G2190" s="4">
        <v>38293</v>
      </c>
      <c r="H2190" s="3" t="s">
        <v>25</v>
      </c>
      <c r="I2190" s="3" t="str">
        <f t="shared" si="136"/>
        <v>Yes</v>
      </c>
      <c r="J2190" s="3" t="s">
        <v>686</v>
      </c>
      <c r="K2190" s="3">
        <v>2004</v>
      </c>
      <c r="L2190" s="3" t="str">
        <f t="shared" si="139"/>
        <v>Nov-2004</v>
      </c>
      <c r="M2190" s="3" t="s">
        <v>26</v>
      </c>
      <c r="N2190" s="3" t="s">
        <v>139</v>
      </c>
      <c r="O2190" s="3" t="s">
        <v>32</v>
      </c>
      <c r="P2190" s="3" t="s">
        <v>33</v>
      </c>
      <c r="Q2190" s="3" t="s">
        <v>51</v>
      </c>
    </row>
    <row r="2191" spans="1:17" x14ac:dyDescent="0.25">
      <c r="A2191" s="5">
        <v>10329</v>
      </c>
      <c r="B2191" s="5">
        <v>45</v>
      </c>
      <c r="C2191" s="5">
        <v>63.91</v>
      </c>
      <c r="D2191" s="5">
        <v>2875.95</v>
      </c>
      <c r="E2191" s="5" t="str">
        <f t="shared" si="137"/>
        <v>Medium</v>
      </c>
      <c r="F2191" s="5">
        <f t="shared" si="138"/>
        <v>862.78499999999997</v>
      </c>
      <c r="G2191" s="6">
        <v>38306</v>
      </c>
      <c r="H2191" s="5" t="s">
        <v>25</v>
      </c>
      <c r="I2191" s="5" t="str">
        <f t="shared" si="136"/>
        <v>Yes</v>
      </c>
      <c r="J2191" s="5" t="s">
        <v>686</v>
      </c>
      <c r="K2191" s="5">
        <v>2004</v>
      </c>
      <c r="L2191" s="5" t="str">
        <f t="shared" si="139"/>
        <v>Nov-2004</v>
      </c>
      <c r="M2191" s="5" t="s">
        <v>26</v>
      </c>
      <c r="N2191" s="5" t="s">
        <v>28</v>
      </c>
      <c r="O2191" s="5" t="s">
        <v>32</v>
      </c>
      <c r="P2191" s="5" t="s">
        <v>33</v>
      </c>
      <c r="Q2191" s="5" t="s">
        <v>36</v>
      </c>
    </row>
    <row r="2192" spans="1:17" x14ac:dyDescent="0.25">
      <c r="A2192" s="3">
        <v>10340</v>
      </c>
      <c r="B2192" s="3">
        <v>55</v>
      </c>
      <c r="C2192" s="3">
        <v>100</v>
      </c>
      <c r="D2192" s="3">
        <v>5500</v>
      </c>
      <c r="E2192" s="3" t="str">
        <f t="shared" si="137"/>
        <v>High</v>
      </c>
      <c r="F2192" s="3">
        <f t="shared" si="138"/>
        <v>1650</v>
      </c>
      <c r="G2192" s="4">
        <v>38315</v>
      </c>
      <c r="H2192" s="3" t="s">
        <v>25</v>
      </c>
      <c r="I2192" s="3" t="str">
        <f t="shared" si="136"/>
        <v>Yes</v>
      </c>
      <c r="J2192" s="3" t="s">
        <v>686</v>
      </c>
      <c r="K2192" s="3">
        <v>2004</v>
      </c>
      <c r="L2192" s="3" t="str">
        <f t="shared" si="139"/>
        <v>Nov-2004</v>
      </c>
      <c r="M2192" s="3" t="s">
        <v>26</v>
      </c>
      <c r="N2192" s="3" t="s">
        <v>352</v>
      </c>
      <c r="O2192" s="3" t="s">
        <v>178</v>
      </c>
      <c r="P2192" s="3" t="s">
        <v>42</v>
      </c>
      <c r="Q2192" s="3" t="s">
        <v>51</v>
      </c>
    </row>
    <row r="2193" spans="1:17" x14ac:dyDescent="0.25">
      <c r="A2193" s="5">
        <v>10353</v>
      </c>
      <c r="B2193" s="5">
        <v>46</v>
      </c>
      <c r="C2193" s="5">
        <v>81.17</v>
      </c>
      <c r="D2193" s="5">
        <v>3733.82</v>
      </c>
      <c r="E2193" s="5" t="str">
        <f t="shared" si="137"/>
        <v>Medium</v>
      </c>
      <c r="F2193" s="5">
        <f t="shared" si="138"/>
        <v>1120.146</v>
      </c>
      <c r="G2193" s="6">
        <v>38325</v>
      </c>
      <c r="H2193" s="5" t="s">
        <v>25</v>
      </c>
      <c r="I2193" s="5" t="str">
        <f t="shared" si="136"/>
        <v>Yes</v>
      </c>
      <c r="J2193" s="5" t="s">
        <v>687</v>
      </c>
      <c r="K2193" s="5">
        <v>2004</v>
      </c>
      <c r="L2193" s="5" t="str">
        <f t="shared" si="139"/>
        <v>Dec-2004</v>
      </c>
      <c r="M2193" s="5" t="s">
        <v>26</v>
      </c>
      <c r="N2193" s="5" t="s">
        <v>568</v>
      </c>
      <c r="O2193" s="5" t="s">
        <v>32</v>
      </c>
      <c r="P2193" s="5" t="s">
        <v>33</v>
      </c>
      <c r="Q2193" s="5" t="s">
        <v>51</v>
      </c>
    </row>
    <row r="2194" spans="1:17" x14ac:dyDescent="0.25">
      <c r="A2194" s="3">
        <v>10363</v>
      </c>
      <c r="B2194" s="3">
        <v>50</v>
      </c>
      <c r="C2194" s="3">
        <v>100</v>
      </c>
      <c r="D2194" s="3">
        <v>5000</v>
      </c>
      <c r="E2194" s="3" t="str">
        <f t="shared" si="137"/>
        <v>High</v>
      </c>
      <c r="F2194" s="3">
        <f t="shared" si="138"/>
        <v>1500</v>
      </c>
      <c r="G2194" s="4">
        <v>38358</v>
      </c>
      <c r="H2194" s="3" t="s">
        <v>25</v>
      </c>
      <c r="I2194" s="3" t="str">
        <f t="shared" si="136"/>
        <v>Yes</v>
      </c>
      <c r="J2194" s="3" t="s">
        <v>549</v>
      </c>
      <c r="K2194" s="3">
        <v>2005</v>
      </c>
      <c r="L2194" s="3" t="str">
        <f t="shared" si="139"/>
        <v>Jan-2005</v>
      </c>
      <c r="M2194" s="3" t="s">
        <v>26</v>
      </c>
      <c r="N2194" s="3" t="s">
        <v>467</v>
      </c>
      <c r="O2194" s="3" t="s">
        <v>130</v>
      </c>
      <c r="P2194" s="3" t="s">
        <v>42</v>
      </c>
      <c r="Q2194" s="3" t="s">
        <v>51</v>
      </c>
    </row>
    <row r="2195" spans="1:17" x14ac:dyDescent="0.25">
      <c r="A2195" s="5">
        <v>10375</v>
      </c>
      <c r="B2195" s="5">
        <v>37</v>
      </c>
      <c r="C2195" s="5">
        <v>100</v>
      </c>
      <c r="D2195" s="5">
        <v>3700</v>
      </c>
      <c r="E2195" s="5" t="str">
        <f t="shared" si="137"/>
        <v>Medium</v>
      </c>
      <c r="F2195" s="5">
        <f t="shared" si="138"/>
        <v>1110</v>
      </c>
      <c r="G2195" s="6">
        <v>38386</v>
      </c>
      <c r="H2195" s="5" t="s">
        <v>25</v>
      </c>
      <c r="I2195" s="5" t="str">
        <f t="shared" si="136"/>
        <v>Yes</v>
      </c>
      <c r="J2195" s="5" t="s">
        <v>681</v>
      </c>
      <c r="K2195" s="5">
        <v>2005</v>
      </c>
      <c r="L2195" s="5" t="str">
        <f t="shared" si="139"/>
        <v>Feb-2005</v>
      </c>
      <c r="M2195" s="5" t="s">
        <v>26</v>
      </c>
      <c r="N2195" s="5" t="s">
        <v>114</v>
      </c>
      <c r="O2195" s="5" t="s">
        <v>41</v>
      </c>
      <c r="P2195" s="5" t="s">
        <v>42</v>
      </c>
      <c r="Q2195" s="5" t="s">
        <v>51</v>
      </c>
    </row>
    <row r="2196" spans="1:17" x14ac:dyDescent="0.25">
      <c r="A2196" s="3">
        <v>10387</v>
      </c>
      <c r="B2196" s="3">
        <v>44</v>
      </c>
      <c r="C2196" s="3">
        <v>94.9</v>
      </c>
      <c r="D2196" s="3">
        <v>4175.6000000000004</v>
      </c>
      <c r="E2196" s="3" t="str">
        <f t="shared" si="137"/>
        <v>Medium</v>
      </c>
      <c r="F2196" s="3">
        <f t="shared" si="138"/>
        <v>1252.68</v>
      </c>
      <c r="G2196" s="4">
        <v>38413</v>
      </c>
      <c r="H2196" s="3" t="s">
        <v>25</v>
      </c>
      <c r="I2196" s="3" t="str">
        <f t="shared" si="136"/>
        <v>Yes</v>
      </c>
      <c r="J2196" s="3" t="s">
        <v>691</v>
      </c>
      <c r="K2196" s="3">
        <v>2005</v>
      </c>
      <c r="L2196" s="3" t="str">
        <f t="shared" si="139"/>
        <v>Mar-2005</v>
      </c>
      <c r="M2196" s="3" t="s">
        <v>26</v>
      </c>
      <c r="N2196" s="3" t="s">
        <v>196</v>
      </c>
      <c r="O2196" s="3" t="s">
        <v>199</v>
      </c>
      <c r="P2196" s="3" t="s">
        <v>675</v>
      </c>
      <c r="Q2196" s="3" t="s">
        <v>51</v>
      </c>
    </row>
    <row r="2197" spans="1:17" x14ac:dyDescent="0.25">
      <c r="A2197" s="5">
        <v>10401</v>
      </c>
      <c r="B2197" s="5">
        <v>49</v>
      </c>
      <c r="C2197" s="5">
        <v>100</v>
      </c>
      <c r="D2197" s="5">
        <v>4900</v>
      </c>
      <c r="E2197" s="5" t="str">
        <f t="shared" si="137"/>
        <v>Medium</v>
      </c>
      <c r="F2197" s="5">
        <f t="shared" si="138"/>
        <v>1470</v>
      </c>
      <c r="G2197" s="6">
        <v>38445</v>
      </c>
      <c r="H2197" s="5" t="s">
        <v>401</v>
      </c>
      <c r="I2197" s="5" t="str">
        <f t="shared" si="136"/>
        <v>No</v>
      </c>
      <c r="J2197" s="5" t="s">
        <v>688</v>
      </c>
      <c r="K2197" s="5">
        <v>2005</v>
      </c>
      <c r="L2197" s="5" t="str">
        <f t="shared" si="139"/>
        <v>Apr-2005</v>
      </c>
      <c r="M2197" s="5" t="s">
        <v>26</v>
      </c>
      <c r="N2197" s="5" t="s">
        <v>104</v>
      </c>
      <c r="O2197" s="5" t="s">
        <v>32</v>
      </c>
      <c r="P2197" s="5" t="s">
        <v>33</v>
      </c>
      <c r="Q2197" s="5" t="s">
        <v>51</v>
      </c>
    </row>
    <row r="2198" spans="1:17" x14ac:dyDescent="0.25">
      <c r="A2198" s="3">
        <v>10416</v>
      </c>
      <c r="B2198" s="3">
        <v>45</v>
      </c>
      <c r="C2198" s="3">
        <v>100</v>
      </c>
      <c r="D2198" s="3">
        <v>4500</v>
      </c>
      <c r="E2198" s="3" t="str">
        <f t="shared" si="137"/>
        <v>Medium</v>
      </c>
      <c r="F2198" s="3">
        <f t="shared" si="138"/>
        <v>1350</v>
      </c>
      <c r="G2198" s="4">
        <v>38482</v>
      </c>
      <c r="H2198" s="3" t="s">
        <v>25</v>
      </c>
      <c r="I2198" s="3" t="str">
        <f t="shared" si="136"/>
        <v>Yes</v>
      </c>
      <c r="J2198" s="3" t="s">
        <v>682</v>
      </c>
      <c r="K2198" s="3">
        <v>2005</v>
      </c>
      <c r="L2198" s="3" t="str">
        <f t="shared" si="139"/>
        <v>May-2005</v>
      </c>
      <c r="M2198" s="3" t="s">
        <v>26</v>
      </c>
      <c r="N2198" s="3" t="s">
        <v>452</v>
      </c>
      <c r="O2198" s="3" t="s">
        <v>258</v>
      </c>
      <c r="P2198" s="3" t="s">
        <v>42</v>
      </c>
      <c r="Q2198" s="3" t="s">
        <v>51</v>
      </c>
    </row>
    <row r="2199" spans="1:17" x14ac:dyDescent="0.25">
      <c r="A2199" s="5">
        <v>10108</v>
      </c>
      <c r="B2199" s="5">
        <v>27</v>
      </c>
      <c r="C2199" s="5">
        <v>43.45</v>
      </c>
      <c r="D2199" s="5">
        <v>1173.1500000000001</v>
      </c>
      <c r="E2199" s="5" t="str">
        <f t="shared" si="137"/>
        <v>Low</v>
      </c>
      <c r="F2199" s="5">
        <f t="shared" si="138"/>
        <v>351.94499999999999</v>
      </c>
      <c r="G2199" s="6">
        <v>37683</v>
      </c>
      <c r="H2199" s="5" t="s">
        <v>25</v>
      </c>
      <c r="I2199" s="5" t="str">
        <f t="shared" si="136"/>
        <v>Yes</v>
      </c>
      <c r="J2199" s="5" t="s">
        <v>691</v>
      </c>
      <c r="K2199" s="5">
        <v>2003</v>
      </c>
      <c r="L2199" s="5" t="str">
        <f t="shared" si="139"/>
        <v>Mar-2003</v>
      </c>
      <c r="M2199" s="5" t="s">
        <v>26</v>
      </c>
      <c r="N2199" s="5" t="s">
        <v>425</v>
      </c>
      <c r="O2199" s="5" t="s">
        <v>430</v>
      </c>
      <c r="P2199" s="5" t="s">
        <v>675</v>
      </c>
      <c r="Q2199" s="5" t="s">
        <v>36</v>
      </c>
    </row>
    <row r="2200" spans="1:17" x14ac:dyDescent="0.25">
      <c r="A2200" s="3">
        <v>10122</v>
      </c>
      <c r="B2200" s="3">
        <v>31</v>
      </c>
      <c r="C2200" s="3">
        <v>44.66</v>
      </c>
      <c r="D2200" s="3">
        <v>1384.4599999999998</v>
      </c>
      <c r="E2200" s="3" t="str">
        <f t="shared" si="137"/>
        <v>Low</v>
      </c>
      <c r="F2200" s="3">
        <f t="shared" si="138"/>
        <v>415.33799999999991</v>
      </c>
      <c r="G2200" s="4">
        <v>37749</v>
      </c>
      <c r="H2200" s="3" t="s">
        <v>25</v>
      </c>
      <c r="I2200" s="3" t="str">
        <f t="shared" si="136"/>
        <v>Yes</v>
      </c>
      <c r="J2200" s="3" t="s">
        <v>682</v>
      </c>
      <c r="K2200" s="3">
        <v>2003</v>
      </c>
      <c r="L2200" s="3" t="str">
        <f t="shared" si="139"/>
        <v>May-2003</v>
      </c>
      <c r="M2200" s="3" t="s">
        <v>26</v>
      </c>
      <c r="N2200" s="3" t="s">
        <v>433</v>
      </c>
      <c r="O2200" s="3" t="s">
        <v>41</v>
      </c>
      <c r="P2200" s="3" t="s">
        <v>42</v>
      </c>
      <c r="Q2200" s="3" t="s">
        <v>36</v>
      </c>
    </row>
    <row r="2201" spans="1:17" x14ac:dyDescent="0.25">
      <c r="A2201" s="5">
        <v>10135</v>
      </c>
      <c r="B2201" s="5">
        <v>33</v>
      </c>
      <c r="C2201" s="5">
        <v>40.229999999999997</v>
      </c>
      <c r="D2201" s="5">
        <v>1327.59</v>
      </c>
      <c r="E2201" s="5" t="str">
        <f t="shared" si="137"/>
        <v>Low</v>
      </c>
      <c r="F2201" s="5">
        <f t="shared" si="138"/>
        <v>398.27699999999999</v>
      </c>
      <c r="G2201" s="6">
        <v>37804</v>
      </c>
      <c r="H2201" s="5" t="s">
        <v>25</v>
      </c>
      <c r="I2201" s="5" t="str">
        <f t="shared" si="136"/>
        <v>Yes</v>
      </c>
      <c r="J2201" s="5" t="s">
        <v>683</v>
      </c>
      <c r="K2201" s="5">
        <v>2003</v>
      </c>
      <c r="L2201" s="5" t="str">
        <f t="shared" si="139"/>
        <v>Jul-2003</v>
      </c>
      <c r="M2201" s="5" t="s">
        <v>26</v>
      </c>
      <c r="N2201" s="5" t="s">
        <v>272</v>
      </c>
      <c r="O2201" s="5" t="s">
        <v>32</v>
      </c>
      <c r="P2201" s="5" t="s">
        <v>33</v>
      </c>
      <c r="Q2201" s="5" t="s">
        <v>36</v>
      </c>
    </row>
    <row r="2202" spans="1:17" x14ac:dyDescent="0.25">
      <c r="A2202" s="3">
        <v>10145</v>
      </c>
      <c r="B2202" s="3">
        <v>31</v>
      </c>
      <c r="C2202" s="3">
        <v>35.799999999999997</v>
      </c>
      <c r="D2202" s="3">
        <v>1109.8</v>
      </c>
      <c r="E2202" s="3" t="str">
        <f t="shared" si="137"/>
        <v>Low</v>
      </c>
      <c r="F2202" s="3">
        <f t="shared" si="138"/>
        <v>332.94</v>
      </c>
      <c r="G2202" s="4">
        <v>37858</v>
      </c>
      <c r="H2202" s="3" t="s">
        <v>25</v>
      </c>
      <c r="I2202" s="3" t="str">
        <f t="shared" si="136"/>
        <v>Yes</v>
      </c>
      <c r="J2202" s="3" t="s">
        <v>684</v>
      </c>
      <c r="K2202" s="3">
        <v>2003</v>
      </c>
      <c r="L2202" s="3" t="str">
        <f t="shared" si="139"/>
        <v>Aug-2003</v>
      </c>
      <c r="M2202" s="3" t="s">
        <v>26</v>
      </c>
      <c r="N2202" s="3" t="s">
        <v>52</v>
      </c>
      <c r="O2202" s="3" t="s">
        <v>32</v>
      </c>
      <c r="P2202" s="3" t="s">
        <v>33</v>
      </c>
      <c r="Q2202" s="3" t="s">
        <v>36</v>
      </c>
    </row>
    <row r="2203" spans="1:17" x14ac:dyDescent="0.25">
      <c r="A2203" s="5">
        <v>10159</v>
      </c>
      <c r="B2203" s="5">
        <v>35</v>
      </c>
      <c r="C2203" s="5">
        <v>35.4</v>
      </c>
      <c r="D2203" s="5">
        <v>1239</v>
      </c>
      <c r="E2203" s="5" t="str">
        <f t="shared" si="137"/>
        <v>Low</v>
      </c>
      <c r="F2203" s="5">
        <f t="shared" si="138"/>
        <v>371.7</v>
      </c>
      <c r="G2203" s="6">
        <v>37904</v>
      </c>
      <c r="H2203" s="5" t="s">
        <v>25</v>
      </c>
      <c r="I2203" s="5" t="str">
        <f t="shared" si="136"/>
        <v>Yes</v>
      </c>
      <c r="J2203" s="5" t="s">
        <v>685</v>
      </c>
      <c r="K2203" s="5">
        <v>2003</v>
      </c>
      <c r="L2203" s="5" t="str">
        <f t="shared" si="139"/>
        <v>Oct-2003</v>
      </c>
      <c r="M2203" s="5" t="s">
        <v>26</v>
      </c>
      <c r="N2203" s="5" t="s">
        <v>58</v>
      </c>
      <c r="O2203" s="5" t="s">
        <v>32</v>
      </c>
      <c r="P2203" s="5" t="s">
        <v>33</v>
      </c>
      <c r="Q2203" s="5" t="s">
        <v>36</v>
      </c>
    </row>
    <row r="2204" spans="1:17" x14ac:dyDescent="0.25">
      <c r="A2204" s="3">
        <v>10169</v>
      </c>
      <c r="B2204" s="3">
        <v>26</v>
      </c>
      <c r="C2204" s="3">
        <v>39.83</v>
      </c>
      <c r="D2204" s="3">
        <v>1035.58</v>
      </c>
      <c r="E2204" s="3" t="str">
        <f t="shared" si="137"/>
        <v>Low</v>
      </c>
      <c r="F2204" s="3">
        <f t="shared" si="138"/>
        <v>310.67399999999998</v>
      </c>
      <c r="G2204" s="4">
        <v>37929</v>
      </c>
      <c r="H2204" s="3" t="s">
        <v>25</v>
      </c>
      <c r="I2204" s="3" t="str">
        <f t="shared" si="136"/>
        <v>Yes</v>
      </c>
      <c r="J2204" s="3" t="s">
        <v>686</v>
      </c>
      <c r="K2204" s="3">
        <v>2003</v>
      </c>
      <c r="L2204" s="3" t="str">
        <f t="shared" si="139"/>
        <v>Nov-2003</v>
      </c>
      <c r="M2204" s="3" t="s">
        <v>26</v>
      </c>
      <c r="N2204" s="3" t="s">
        <v>285</v>
      </c>
      <c r="O2204" s="3" t="s">
        <v>95</v>
      </c>
      <c r="P2204" s="3" t="s">
        <v>96</v>
      </c>
      <c r="Q2204" s="3" t="s">
        <v>36</v>
      </c>
    </row>
    <row r="2205" spans="1:17" x14ac:dyDescent="0.25">
      <c r="A2205" s="5">
        <v>10180</v>
      </c>
      <c r="B2205" s="5">
        <v>34</v>
      </c>
      <c r="C2205" s="5">
        <v>45.46</v>
      </c>
      <c r="D2205" s="5">
        <v>1545.64</v>
      </c>
      <c r="E2205" s="5" t="str">
        <f t="shared" si="137"/>
        <v>Low</v>
      </c>
      <c r="F2205" s="5">
        <f t="shared" si="138"/>
        <v>463.69200000000001</v>
      </c>
      <c r="G2205" s="6">
        <v>37936</v>
      </c>
      <c r="H2205" s="5" t="s">
        <v>25</v>
      </c>
      <c r="I2205" s="5" t="str">
        <f t="shared" si="136"/>
        <v>Yes</v>
      </c>
      <c r="J2205" s="5" t="s">
        <v>686</v>
      </c>
      <c r="K2205" s="5">
        <v>2003</v>
      </c>
      <c r="L2205" s="5" t="str">
        <f t="shared" si="139"/>
        <v>Nov-2003</v>
      </c>
      <c r="M2205" s="5" t="s">
        <v>26</v>
      </c>
      <c r="N2205" s="5" t="s">
        <v>67</v>
      </c>
      <c r="O2205" s="5" t="s">
        <v>41</v>
      </c>
      <c r="P2205" s="5" t="s">
        <v>42</v>
      </c>
      <c r="Q2205" s="5" t="s">
        <v>36</v>
      </c>
    </row>
    <row r="2206" spans="1:17" x14ac:dyDescent="0.25">
      <c r="A2206" s="3">
        <v>10190</v>
      </c>
      <c r="B2206" s="3">
        <v>46</v>
      </c>
      <c r="C2206" s="3">
        <v>32.99</v>
      </c>
      <c r="D2206" s="3">
        <v>1517.5400000000002</v>
      </c>
      <c r="E2206" s="3" t="str">
        <f t="shared" si="137"/>
        <v>Low</v>
      </c>
      <c r="F2206" s="3">
        <f t="shared" si="138"/>
        <v>455.26200000000006</v>
      </c>
      <c r="G2206" s="4">
        <v>37944</v>
      </c>
      <c r="H2206" s="3" t="s">
        <v>25</v>
      </c>
      <c r="I2206" s="3" t="str">
        <f t="shared" si="136"/>
        <v>Yes</v>
      </c>
      <c r="J2206" s="3" t="s">
        <v>686</v>
      </c>
      <c r="K2206" s="3">
        <v>2003</v>
      </c>
      <c r="L2206" s="3" t="str">
        <f t="shared" si="139"/>
        <v>Nov-2003</v>
      </c>
      <c r="M2206" s="3" t="s">
        <v>26</v>
      </c>
      <c r="N2206" s="3" t="s">
        <v>174</v>
      </c>
      <c r="O2206" s="3" t="s">
        <v>178</v>
      </c>
      <c r="P2206" s="3" t="s">
        <v>42</v>
      </c>
      <c r="Q2206" s="3" t="s">
        <v>36</v>
      </c>
    </row>
    <row r="2207" spans="1:17" x14ac:dyDescent="0.25">
      <c r="A2207" s="5">
        <v>10211</v>
      </c>
      <c r="B2207" s="5">
        <v>41</v>
      </c>
      <c r="C2207" s="5">
        <v>42.24</v>
      </c>
      <c r="D2207" s="5">
        <v>1731.8400000000001</v>
      </c>
      <c r="E2207" s="5" t="str">
        <f t="shared" si="137"/>
        <v>Low</v>
      </c>
      <c r="F2207" s="5">
        <f t="shared" si="138"/>
        <v>519.55200000000002</v>
      </c>
      <c r="G2207" s="6">
        <v>38001</v>
      </c>
      <c r="H2207" s="5" t="s">
        <v>25</v>
      </c>
      <c r="I2207" s="5" t="str">
        <f t="shared" si="136"/>
        <v>Yes</v>
      </c>
      <c r="J2207" s="5" t="s">
        <v>549</v>
      </c>
      <c r="K2207" s="5">
        <v>2004</v>
      </c>
      <c r="L2207" s="5" t="str">
        <f t="shared" si="139"/>
        <v>Jan-2004</v>
      </c>
      <c r="M2207" s="5" t="s">
        <v>26</v>
      </c>
      <c r="N2207" s="5" t="s">
        <v>84</v>
      </c>
      <c r="O2207" s="5" t="s">
        <v>41</v>
      </c>
      <c r="P2207" s="5" t="s">
        <v>42</v>
      </c>
      <c r="Q2207" s="5" t="s">
        <v>36</v>
      </c>
    </row>
    <row r="2208" spans="1:17" x14ac:dyDescent="0.25">
      <c r="A2208" s="3">
        <v>10224</v>
      </c>
      <c r="B2208" s="3">
        <v>43</v>
      </c>
      <c r="C2208" s="3">
        <v>39.43</v>
      </c>
      <c r="D2208" s="3">
        <v>1695.49</v>
      </c>
      <c r="E2208" s="3" t="str">
        <f t="shared" si="137"/>
        <v>Low</v>
      </c>
      <c r="F2208" s="3">
        <f t="shared" si="138"/>
        <v>508.64699999999999</v>
      </c>
      <c r="G2208" s="4">
        <v>38038</v>
      </c>
      <c r="H2208" s="3" t="s">
        <v>25</v>
      </c>
      <c r="I2208" s="3" t="str">
        <f t="shared" si="136"/>
        <v>Yes</v>
      </c>
      <c r="J2208" s="3" t="s">
        <v>681</v>
      </c>
      <c r="K2208" s="3">
        <v>2004</v>
      </c>
      <c r="L2208" s="3" t="str">
        <f t="shared" si="139"/>
        <v>Feb-2004</v>
      </c>
      <c r="M2208" s="3" t="s">
        <v>26</v>
      </c>
      <c r="N2208" s="3" t="s">
        <v>67</v>
      </c>
      <c r="O2208" s="3" t="s">
        <v>41</v>
      </c>
      <c r="P2208" s="3" t="s">
        <v>42</v>
      </c>
      <c r="Q2208" s="3" t="s">
        <v>36</v>
      </c>
    </row>
    <row r="2209" spans="1:17" x14ac:dyDescent="0.25">
      <c r="A2209" s="5">
        <v>10237</v>
      </c>
      <c r="B2209" s="5">
        <v>26</v>
      </c>
      <c r="C2209" s="5">
        <v>40.229999999999997</v>
      </c>
      <c r="D2209" s="5">
        <v>1045.98</v>
      </c>
      <c r="E2209" s="5" t="str">
        <f t="shared" si="137"/>
        <v>Low</v>
      </c>
      <c r="F2209" s="5">
        <f t="shared" si="138"/>
        <v>313.79399999999998</v>
      </c>
      <c r="G2209" s="6">
        <v>38082</v>
      </c>
      <c r="H2209" s="5" t="s">
        <v>25</v>
      </c>
      <c r="I2209" s="5" t="str">
        <f t="shared" si="136"/>
        <v>Yes</v>
      </c>
      <c r="J2209" s="5" t="s">
        <v>688</v>
      </c>
      <c r="K2209" s="5">
        <v>2004</v>
      </c>
      <c r="L2209" s="5" t="str">
        <f t="shared" si="139"/>
        <v>Apr-2004</v>
      </c>
      <c r="M2209" s="5" t="s">
        <v>26</v>
      </c>
      <c r="N2209" s="5" t="s">
        <v>99</v>
      </c>
      <c r="O2209" s="5" t="s">
        <v>32</v>
      </c>
      <c r="P2209" s="5" t="s">
        <v>33</v>
      </c>
      <c r="Q2209" s="5" t="s">
        <v>36</v>
      </c>
    </row>
    <row r="2210" spans="1:17" x14ac:dyDescent="0.25">
      <c r="A2210" s="3">
        <v>10252</v>
      </c>
      <c r="B2210" s="3">
        <v>36</v>
      </c>
      <c r="C2210" s="3">
        <v>48.28</v>
      </c>
      <c r="D2210" s="3">
        <v>1738.08</v>
      </c>
      <c r="E2210" s="3" t="str">
        <f t="shared" si="137"/>
        <v>Low</v>
      </c>
      <c r="F2210" s="3">
        <f t="shared" si="138"/>
        <v>521.42399999999998</v>
      </c>
      <c r="G2210" s="4">
        <v>38133</v>
      </c>
      <c r="H2210" s="3" t="s">
        <v>25</v>
      </c>
      <c r="I2210" s="3" t="str">
        <f t="shared" si="136"/>
        <v>Yes</v>
      </c>
      <c r="J2210" s="3" t="s">
        <v>682</v>
      </c>
      <c r="K2210" s="3">
        <v>2004</v>
      </c>
      <c r="L2210" s="3" t="str">
        <f t="shared" si="139"/>
        <v>May-2004</v>
      </c>
      <c r="M2210" s="3" t="s">
        <v>26</v>
      </c>
      <c r="N2210" s="3" t="s">
        <v>84</v>
      </c>
      <c r="O2210" s="3" t="s">
        <v>41</v>
      </c>
      <c r="P2210" s="3" t="s">
        <v>42</v>
      </c>
      <c r="Q2210" s="3" t="s">
        <v>36</v>
      </c>
    </row>
    <row r="2211" spans="1:17" x14ac:dyDescent="0.25">
      <c r="A2211" s="5">
        <v>10264</v>
      </c>
      <c r="B2211" s="5">
        <v>20</v>
      </c>
      <c r="C2211" s="5">
        <v>32.590000000000003</v>
      </c>
      <c r="D2211" s="5">
        <v>651.80000000000007</v>
      </c>
      <c r="E2211" s="5" t="str">
        <f t="shared" si="137"/>
        <v>Low</v>
      </c>
      <c r="F2211" s="5">
        <f t="shared" si="138"/>
        <v>195.54000000000002</v>
      </c>
      <c r="G2211" s="6">
        <v>38168</v>
      </c>
      <c r="H2211" s="5" t="s">
        <v>25</v>
      </c>
      <c r="I2211" s="5" t="str">
        <f t="shared" si="136"/>
        <v>Yes</v>
      </c>
      <c r="J2211" s="5" t="s">
        <v>689</v>
      </c>
      <c r="K2211" s="5">
        <v>2004</v>
      </c>
      <c r="L2211" s="5" t="str">
        <f t="shared" si="139"/>
        <v>Jun-2004</v>
      </c>
      <c r="M2211" s="5" t="s">
        <v>26</v>
      </c>
      <c r="N2211" s="5" t="s">
        <v>379</v>
      </c>
      <c r="O2211" s="5" t="s">
        <v>32</v>
      </c>
      <c r="P2211" s="5" t="s">
        <v>33</v>
      </c>
      <c r="Q2211" s="5" t="s">
        <v>36</v>
      </c>
    </row>
    <row r="2212" spans="1:17" x14ac:dyDescent="0.25">
      <c r="A2212" s="3">
        <v>10276</v>
      </c>
      <c r="B2212" s="3">
        <v>27</v>
      </c>
      <c r="C2212" s="3">
        <v>36.61</v>
      </c>
      <c r="D2212" s="3">
        <v>988.47</v>
      </c>
      <c r="E2212" s="3" t="str">
        <f t="shared" si="137"/>
        <v>Low</v>
      </c>
      <c r="F2212" s="3">
        <f t="shared" si="138"/>
        <v>296.541</v>
      </c>
      <c r="G2212" s="4">
        <v>38201</v>
      </c>
      <c r="H2212" s="3" t="s">
        <v>25</v>
      </c>
      <c r="I2212" s="3" t="str">
        <f t="shared" si="136"/>
        <v>Yes</v>
      </c>
      <c r="J2212" s="3" t="s">
        <v>684</v>
      </c>
      <c r="K2212" s="3">
        <v>2004</v>
      </c>
      <c r="L2212" s="3" t="str">
        <f t="shared" si="139"/>
        <v>Aug-2004</v>
      </c>
      <c r="M2212" s="3" t="s">
        <v>26</v>
      </c>
      <c r="N2212" s="3" t="s">
        <v>458</v>
      </c>
      <c r="O2212" s="3" t="s">
        <v>32</v>
      </c>
      <c r="P2212" s="3" t="s">
        <v>33</v>
      </c>
      <c r="Q2212" s="3" t="s">
        <v>36</v>
      </c>
    </row>
    <row r="2213" spans="1:17" x14ac:dyDescent="0.25">
      <c r="A2213" s="5">
        <v>10285</v>
      </c>
      <c r="B2213" s="5">
        <v>37</v>
      </c>
      <c r="C2213" s="5">
        <v>41.03</v>
      </c>
      <c r="D2213" s="5">
        <v>1518.1100000000001</v>
      </c>
      <c r="E2213" s="5" t="str">
        <f t="shared" si="137"/>
        <v>Low</v>
      </c>
      <c r="F2213" s="5">
        <f t="shared" si="138"/>
        <v>455.43300000000005</v>
      </c>
      <c r="G2213" s="6">
        <v>38226</v>
      </c>
      <c r="H2213" s="5" t="s">
        <v>25</v>
      </c>
      <c r="I2213" s="5" t="str">
        <f t="shared" si="136"/>
        <v>Yes</v>
      </c>
      <c r="J2213" s="5" t="s">
        <v>684</v>
      </c>
      <c r="K2213" s="5">
        <v>2004</v>
      </c>
      <c r="L2213" s="5" t="str">
        <f t="shared" si="139"/>
        <v>Aug-2004</v>
      </c>
      <c r="M2213" s="5" t="s">
        <v>26</v>
      </c>
      <c r="N2213" s="5" t="s">
        <v>120</v>
      </c>
      <c r="O2213" s="5" t="s">
        <v>32</v>
      </c>
      <c r="P2213" s="5" t="s">
        <v>33</v>
      </c>
      <c r="Q2213" s="5" t="s">
        <v>36</v>
      </c>
    </row>
    <row r="2214" spans="1:17" x14ac:dyDescent="0.25">
      <c r="A2214" s="3">
        <v>10299</v>
      </c>
      <c r="B2214" s="3">
        <v>24</v>
      </c>
      <c r="C2214" s="3">
        <v>42.24</v>
      </c>
      <c r="D2214" s="3">
        <v>1013.76</v>
      </c>
      <c r="E2214" s="3" t="str">
        <f t="shared" si="137"/>
        <v>Low</v>
      </c>
      <c r="F2214" s="3">
        <f t="shared" si="138"/>
        <v>304.12799999999999</v>
      </c>
      <c r="G2214" s="4">
        <v>38260</v>
      </c>
      <c r="H2214" s="3" t="s">
        <v>25</v>
      </c>
      <c r="I2214" s="3" t="str">
        <f t="shared" si="136"/>
        <v>Yes</v>
      </c>
      <c r="J2214" s="3" t="s">
        <v>690</v>
      </c>
      <c r="K2214" s="3">
        <v>2004</v>
      </c>
      <c r="L2214" s="3" t="str">
        <f t="shared" si="139"/>
        <v>Sep-2004</v>
      </c>
      <c r="M2214" s="3" t="s">
        <v>26</v>
      </c>
      <c r="N2214" s="3" t="s">
        <v>126</v>
      </c>
      <c r="O2214" s="3" t="s">
        <v>130</v>
      </c>
      <c r="P2214" s="3" t="s">
        <v>42</v>
      </c>
      <c r="Q2214" s="3" t="s">
        <v>36</v>
      </c>
    </row>
    <row r="2215" spans="1:17" x14ac:dyDescent="0.25">
      <c r="A2215" s="5">
        <v>10310</v>
      </c>
      <c r="B2215" s="5">
        <v>36</v>
      </c>
      <c r="C2215" s="5">
        <v>43.05</v>
      </c>
      <c r="D2215" s="5">
        <v>1549.8</v>
      </c>
      <c r="E2215" s="5" t="str">
        <f t="shared" si="137"/>
        <v>Low</v>
      </c>
      <c r="F2215" s="5">
        <f t="shared" si="138"/>
        <v>464.93999999999994</v>
      </c>
      <c r="G2215" s="6">
        <v>38276</v>
      </c>
      <c r="H2215" s="5" t="s">
        <v>25</v>
      </c>
      <c r="I2215" s="5" t="str">
        <f t="shared" si="136"/>
        <v>Yes</v>
      </c>
      <c r="J2215" s="5" t="s">
        <v>685</v>
      </c>
      <c r="K2215" s="5">
        <v>2004</v>
      </c>
      <c r="L2215" s="5" t="str">
        <f t="shared" si="139"/>
        <v>Oct-2004</v>
      </c>
      <c r="M2215" s="5" t="s">
        <v>26</v>
      </c>
      <c r="N2215" s="5" t="s">
        <v>439</v>
      </c>
      <c r="O2215" s="5" t="s">
        <v>443</v>
      </c>
      <c r="P2215" s="5" t="s">
        <v>42</v>
      </c>
      <c r="Q2215" s="5" t="s">
        <v>36</v>
      </c>
    </row>
    <row r="2216" spans="1:17" x14ac:dyDescent="0.25">
      <c r="A2216" s="3">
        <v>10319</v>
      </c>
      <c r="B2216" s="3">
        <v>29</v>
      </c>
      <c r="C2216" s="3">
        <v>38.22</v>
      </c>
      <c r="D2216" s="3">
        <v>1108.3799999999999</v>
      </c>
      <c r="E2216" s="3" t="str">
        <f t="shared" si="137"/>
        <v>Low</v>
      </c>
      <c r="F2216" s="3">
        <f t="shared" si="138"/>
        <v>332.51399999999995</v>
      </c>
      <c r="G2216" s="4">
        <v>38294</v>
      </c>
      <c r="H2216" s="3" t="s">
        <v>25</v>
      </c>
      <c r="I2216" s="3" t="str">
        <f t="shared" si="136"/>
        <v>Yes</v>
      </c>
      <c r="J2216" s="3" t="s">
        <v>686</v>
      </c>
      <c r="K2216" s="3">
        <v>2004</v>
      </c>
      <c r="L2216" s="3" t="str">
        <f t="shared" si="139"/>
        <v>Nov-2004</v>
      </c>
      <c r="M2216" s="3" t="s">
        <v>26</v>
      </c>
      <c r="N2216" s="3" t="s">
        <v>507</v>
      </c>
      <c r="O2216" s="3" t="s">
        <v>32</v>
      </c>
      <c r="P2216" s="3" t="s">
        <v>33</v>
      </c>
      <c r="Q2216" s="3" t="s">
        <v>36</v>
      </c>
    </row>
    <row r="2217" spans="1:17" x14ac:dyDescent="0.25">
      <c r="A2217" s="5">
        <v>10331</v>
      </c>
      <c r="B2217" s="5">
        <v>28</v>
      </c>
      <c r="C2217" s="5">
        <v>100</v>
      </c>
      <c r="D2217" s="5">
        <v>2800</v>
      </c>
      <c r="E2217" s="5" t="str">
        <f t="shared" si="137"/>
        <v>Medium</v>
      </c>
      <c r="F2217" s="5">
        <f t="shared" si="138"/>
        <v>840</v>
      </c>
      <c r="G2217" s="6">
        <v>38308</v>
      </c>
      <c r="H2217" s="5" t="s">
        <v>25</v>
      </c>
      <c r="I2217" s="5" t="str">
        <f t="shared" si="136"/>
        <v>Yes</v>
      </c>
      <c r="J2217" s="5" t="s">
        <v>686</v>
      </c>
      <c r="K2217" s="5">
        <v>2004</v>
      </c>
      <c r="L2217" s="5" t="str">
        <f t="shared" si="139"/>
        <v>Nov-2004</v>
      </c>
      <c r="M2217" s="5" t="s">
        <v>26</v>
      </c>
      <c r="N2217" s="5" t="s">
        <v>309</v>
      </c>
      <c r="O2217" s="5" t="s">
        <v>32</v>
      </c>
      <c r="P2217" s="5" t="s">
        <v>33</v>
      </c>
      <c r="Q2217" s="5" t="s">
        <v>51</v>
      </c>
    </row>
    <row r="2218" spans="1:17" x14ac:dyDescent="0.25">
      <c r="A2218" s="3">
        <v>10343</v>
      </c>
      <c r="B2218" s="3">
        <v>29</v>
      </c>
      <c r="C2218" s="3">
        <v>100</v>
      </c>
      <c r="D2218" s="3">
        <v>2900</v>
      </c>
      <c r="E2218" s="3" t="str">
        <f t="shared" si="137"/>
        <v>Medium</v>
      </c>
      <c r="F2218" s="3">
        <f t="shared" si="138"/>
        <v>870</v>
      </c>
      <c r="G2218" s="4">
        <v>38315</v>
      </c>
      <c r="H2218" s="3" t="s">
        <v>25</v>
      </c>
      <c r="I2218" s="3" t="str">
        <f t="shared" si="136"/>
        <v>Yes</v>
      </c>
      <c r="J2218" s="3" t="s">
        <v>686</v>
      </c>
      <c r="K2218" s="3">
        <v>2004</v>
      </c>
      <c r="L2218" s="3" t="str">
        <f t="shared" si="139"/>
        <v>Nov-2004</v>
      </c>
      <c r="M2218" s="3" t="s">
        <v>26</v>
      </c>
      <c r="N2218" s="3" t="s">
        <v>37</v>
      </c>
      <c r="O2218" s="3" t="s">
        <v>41</v>
      </c>
      <c r="P2218" s="3" t="s">
        <v>42</v>
      </c>
      <c r="Q2218" s="3" t="s">
        <v>51</v>
      </c>
    </row>
    <row r="2219" spans="1:17" x14ac:dyDescent="0.25">
      <c r="A2219" s="5">
        <v>10355</v>
      </c>
      <c r="B2219" s="5">
        <v>38</v>
      </c>
      <c r="C2219" s="5">
        <v>39.83</v>
      </c>
      <c r="D2219" s="5">
        <v>1513.54</v>
      </c>
      <c r="E2219" s="5" t="str">
        <f t="shared" si="137"/>
        <v>Low</v>
      </c>
      <c r="F2219" s="5">
        <f t="shared" si="138"/>
        <v>454.06199999999995</v>
      </c>
      <c r="G2219" s="6">
        <v>38328</v>
      </c>
      <c r="H2219" s="5" t="s">
        <v>25</v>
      </c>
      <c r="I2219" s="5" t="str">
        <f t="shared" si="136"/>
        <v>Yes</v>
      </c>
      <c r="J2219" s="5" t="s">
        <v>687</v>
      </c>
      <c r="K2219" s="5">
        <v>2004</v>
      </c>
      <c r="L2219" s="5" t="str">
        <f t="shared" si="139"/>
        <v>Dec-2004</v>
      </c>
      <c r="M2219" s="5" t="s">
        <v>26</v>
      </c>
      <c r="N2219" s="5" t="s">
        <v>174</v>
      </c>
      <c r="O2219" s="5" t="s">
        <v>178</v>
      </c>
      <c r="P2219" s="5" t="s">
        <v>42</v>
      </c>
      <c r="Q2219" s="5" t="s">
        <v>36</v>
      </c>
    </row>
    <row r="2220" spans="1:17" x14ac:dyDescent="0.25">
      <c r="A2220" s="3">
        <v>10364</v>
      </c>
      <c r="B2220" s="3">
        <v>48</v>
      </c>
      <c r="C2220" s="3">
        <v>48.28</v>
      </c>
      <c r="D2220" s="3">
        <v>2317.44</v>
      </c>
      <c r="E2220" s="3" t="str">
        <f t="shared" si="137"/>
        <v>Medium</v>
      </c>
      <c r="F2220" s="3">
        <f t="shared" si="138"/>
        <v>695.23199999999997</v>
      </c>
      <c r="G2220" s="4">
        <v>38358</v>
      </c>
      <c r="H2220" s="3" t="s">
        <v>25</v>
      </c>
      <c r="I2220" s="3" t="str">
        <f t="shared" si="136"/>
        <v>Yes</v>
      </c>
      <c r="J2220" s="3" t="s">
        <v>549</v>
      </c>
      <c r="K2220" s="3">
        <v>2005</v>
      </c>
      <c r="L2220" s="3" t="str">
        <f t="shared" si="139"/>
        <v>Jan-2005</v>
      </c>
      <c r="M2220" s="3" t="s">
        <v>26</v>
      </c>
      <c r="N2220" s="3" t="s">
        <v>433</v>
      </c>
      <c r="O2220" s="3" t="s">
        <v>41</v>
      </c>
      <c r="P2220" s="3" t="s">
        <v>42</v>
      </c>
      <c r="Q2220" s="3" t="s">
        <v>36</v>
      </c>
    </row>
    <row r="2221" spans="1:17" x14ac:dyDescent="0.25">
      <c r="A2221" s="5">
        <v>10378</v>
      </c>
      <c r="B2221" s="5">
        <v>40</v>
      </c>
      <c r="C2221" s="5">
        <v>82.46</v>
      </c>
      <c r="D2221" s="5">
        <v>3298.3999999999996</v>
      </c>
      <c r="E2221" s="5" t="str">
        <f t="shared" si="137"/>
        <v>Medium</v>
      </c>
      <c r="F2221" s="5">
        <f t="shared" si="138"/>
        <v>989.51999999999987</v>
      </c>
      <c r="G2221" s="6">
        <v>38393</v>
      </c>
      <c r="H2221" s="5" t="s">
        <v>25</v>
      </c>
      <c r="I2221" s="5" t="str">
        <f t="shared" si="136"/>
        <v>Yes</v>
      </c>
      <c r="J2221" s="5" t="s">
        <v>681</v>
      </c>
      <c r="K2221" s="5">
        <v>2005</v>
      </c>
      <c r="L2221" s="5" t="str">
        <f t="shared" si="139"/>
        <v>Feb-2005</v>
      </c>
      <c r="M2221" s="5" t="s">
        <v>26</v>
      </c>
      <c r="N2221" s="5" t="s">
        <v>174</v>
      </c>
      <c r="O2221" s="5" t="s">
        <v>178</v>
      </c>
      <c r="P2221" s="5" t="s">
        <v>42</v>
      </c>
      <c r="Q2221" s="5" t="s">
        <v>51</v>
      </c>
    </row>
    <row r="2222" spans="1:17" x14ac:dyDescent="0.25">
      <c r="A2222" s="3">
        <v>10390</v>
      </c>
      <c r="B2222" s="3">
        <v>41</v>
      </c>
      <c r="C2222" s="3">
        <v>44.56</v>
      </c>
      <c r="D2222" s="3">
        <v>1826.96</v>
      </c>
      <c r="E2222" s="3" t="str">
        <f t="shared" si="137"/>
        <v>Low</v>
      </c>
      <c r="F2222" s="3">
        <f t="shared" si="138"/>
        <v>548.08799999999997</v>
      </c>
      <c r="G2222" s="4">
        <v>38415</v>
      </c>
      <c r="H2222" s="3" t="s">
        <v>25</v>
      </c>
      <c r="I2222" s="3" t="str">
        <f t="shared" si="136"/>
        <v>Yes</v>
      </c>
      <c r="J2222" s="3" t="s">
        <v>691</v>
      </c>
      <c r="K2222" s="3">
        <v>2005</v>
      </c>
      <c r="L2222" s="3" t="str">
        <f t="shared" si="139"/>
        <v>Mar-2005</v>
      </c>
      <c r="M2222" s="3" t="s">
        <v>26</v>
      </c>
      <c r="N2222" s="3" t="s">
        <v>272</v>
      </c>
      <c r="O2222" s="3" t="s">
        <v>32</v>
      </c>
      <c r="P2222" s="3" t="s">
        <v>33</v>
      </c>
      <c r="Q2222" s="3" t="s">
        <v>36</v>
      </c>
    </row>
    <row r="2223" spans="1:17" x14ac:dyDescent="0.25">
      <c r="A2223" s="5">
        <v>10403</v>
      </c>
      <c r="B2223" s="5">
        <v>30</v>
      </c>
      <c r="C2223" s="5">
        <v>40.229999999999997</v>
      </c>
      <c r="D2223" s="5">
        <v>1206.8999999999999</v>
      </c>
      <c r="E2223" s="5" t="str">
        <f t="shared" si="137"/>
        <v>Low</v>
      </c>
      <c r="F2223" s="5">
        <f t="shared" si="138"/>
        <v>362.06999999999994</v>
      </c>
      <c r="G2223" s="6">
        <v>38450</v>
      </c>
      <c r="H2223" s="5" t="s">
        <v>25</v>
      </c>
      <c r="I2223" s="5" t="str">
        <f t="shared" si="136"/>
        <v>Yes</v>
      </c>
      <c r="J2223" s="5" t="s">
        <v>688</v>
      </c>
      <c r="K2223" s="5">
        <v>2005</v>
      </c>
      <c r="L2223" s="5" t="str">
        <f t="shared" si="139"/>
        <v>Apr-2005</v>
      </c>
      <c r="M2223" s="5" t="s">
        <v>26</v>
      </c>
      <c r="N2223" s="5" t="s">
        <v>165</v>
      </c>
      <c r="O2223" s="5" t="s">
        <v>170</v>
      </c>
      <c r="P2223" s="5" t="s">
        <v>42</v>
      </c>
      <c r="Q2223" s="5" t="s">
        <v>36</v>
      </c>
    </row>
    <row r="2224" spans="1:17" x14ac:dyDescent="0.25">
      <c r="A2224" s="3">
        <v>10104</v>
      </c>
      <c r="B2224" s="3">
        <v>35</v>
      </c>
      <c r="C2224" s="3">
        <v>47.62</v>
      </c>
      <c r="D2224" s="3">
        <v>1666.6999999999998</v>
      </c>
      <c r="E2224" s="3" t="str">
        <f t="shared" si="137"/>
        <v>Low</v>
      </c>
      <c r="F2224" s="3">
        <f t="shared" si="138"/>
        <v>500.00999999999993</v>
      </c>
      <c r="G2224" s="4">
        <v>37652</v>
      </c>
      <c r="H2224" s="3" t="s">
        <v>25</v>
      </c>
      <c r="I2224" s="3" t="str">
        <f t="shared" si="136"/>
        <v>Yes</v>
      </c>
      <c r="J2224" s="3" t="s">
        <v>549</v>
      </c>
      <c r="K2224" s="3">
        <v>2003</v>
      </c>
      <c r="L2224" s="3" t="str">
        <f t="shared" si="139"/>
        <v>Jan-2003</v>
      </c>
      <c r="M2224" s="3" t="s">
        <v>504</v>
      </c>
      <c r="N2224" s="3" t="s">
        <v>174</v>
      </c>
      <c r="O2224" s="3" t="s">
        <v>178</v>
      </c>
      <c r="P2224" s="3" t="s">
        <v>42</v>
      </c>
      <c r="Q2224" s="3" t="s">
        <v>36</v>
      </c>
    </row>
    <row r="2225" spans="1:17" x14ac:dyDescent="0.25">
      <c r="A2225" s="5">
        <v>10114</v>
      </c>
      <c r="B2225" s="5">
        <v>28</v>
      </c>
      <c r="C2225" s="5">
        <v>55.73</v>
      </c>
      <c r="D2225" s="5">
        <v>1560.4399999999998</v>
      </c>
      <c r="E2225" s="5" t="str">
        <f t="shared" si="137"/>
        <v>Low</v>
      </c>
      <c r="F2225" s="5">
        <f t="shared" si="138"/>
        <v>468.13199999999995</v>
      </c>
      <c r="G2225" s="6">
        <v>37712</v>
      </c>
      <c r="H2225" s="5" t="s">
        <v>25</v>
      </c>
      <c r="I2225" s="5" t="str">
        <f t="shared" si="136"/>
        <v>Yes</v>
      </c>
      <c r="J2225" s="5" t="s">
        <v>688</v>
      </c>
      <c r="K2225" s="5">
        <v>2003</v>
      </c>
      <c r="L2225" s="5" t="str">
        <f t="shared" si="139"/>
        <v>Apr-2003</v>
      </c>
      <c r="M2225" s="5" t="s">
        <v>504</v>
      </c>
      <c r="N2225" s="5" t="s">
        <v>403</v>
      </c>
      <c r="O2225" s="5" t="s">
        <v>41</v>
      </c>
      <c r="P2225" s="5" t="s">
        <v>42</v>
      </c>
      <c r="Q2225" s="5" t="s">
        <v>36</v>
      </c>
    </row>
    <row r="2226" spans="1:17" x14ac:dyDescent="0.25">
      <c r="A2226" s="3">
        <v>10127</v>
      </c>
      <c r="B2226" s="3">
        <v>45</v>
      </c>
      <c r="C2226" s="3">
        <v>51.95</v>
      </c>
      <c r="D2226" s="3">
        <v>2337.75</v>
      </c>
      <c r="E2226" s="3" t="str">
        <f t="shared" si="137"/>
        <v>Medium</v>
      </c>
      <c r="F2226" s="3">
        <f t="shared" si="138"/>
        <v>701.32499999999993</v>
      </c>
      <c r="G2226" s="4">
        <v>37775</v>
      </c>
      <c r="H2226" s="3" t="s">
        <v>25</v>
      </c>
      <c r="I2226" s="3" t="str">
        <f t="shared" si="136"/>
        <v>Yes</v>
      </c>
      <c r="J2226" s="3" t="s">
        <v>689</v>
      </c>
      <c r="K2226" s="3">
        <v>2003</v>
      </c>
      <c r="L2226" s="3" t="str">
        <f t="shared" si="139"/>
        <v>Jun-2003</v>
      </c>
      <c r="M2226" s="3" t="s">
        <v>504</v>
      </c>
      <c r="N2226" s="3" t="s">
        <v>475</v>
      </c>
      <c r="O2226" s="3" t="s">
        <v>32</v>
      </c>
      <c r="P2226" s="3" t="s">
        <v>33</v>
      </c>
      <c r="Q2226" s="3" t="s">
        <v>36</v>
      </c>
    </row>
    <row r="2227" spans="1:17" x14ac:dyDescent="0.25">
      <c r="A2227" s="5">
        <v>10141</v>
      </c>
      <c r="B2227" s="5">
        <v>24</v>
      </c>
      <c r="C2227" s="5">
        <v>45.99</v>
      </c>
      <c r="D2227" s="5">
        <v>1103.76</v>
      </c>
      <c r="E2227" s="5" t="str">
        <f t="shared" si="137"/>
        <v>Low</v>
      </c>
      <c r="F2227" s="5">
        <f t="shared" si="138"/>
        <v>331.12799999999999</v>
      </c>
      <c r="G2227" s="6">
        <v>37834</v>
      </c>
      <c r="H2227" s="5" t="s">
        <v>25</v>
      </c>
      <c r="I2227" s="5" t="str">
        <f t="shared" si="136"/>
        <v>Yes</v>
      </c>
      <c r="J2227" s="5" t="s">
        <v>684</v>
      </c>
      <c r="K2227" s="5">
        <v>2003</v>
      </c>
      <c r="L2227" s="5" t="str">
        <f t="shared" si="139"/>
        <v>Aug-2003</v>
      </c>
      <c r="M2227" s="5" t="s">
        <v>504</v>
      </c>
      <c r="N2227" s="5" t="s">
        <v>467</v>
      </c>
      <c r="O2227" s="5" t="s">
        <v>130</v>
      </c>
      <c r="P2227" s="5" t="s">
        <v>42</v>
      </c>
      <c r="Q2227" s="5" t="s">
        <v>36</v>
      </c>
    </row>
    <row r="2228" spans="1:17" x14ac:dyDescent="0.25">
      <c r="A2228" s="3">
        <v>10151</v>
      </c>
      <c r="B2228" s="3">
        <v>41</v>
      </c>
      <c r="C2228" s="3">
        <v>63.85</v>
      </c>
      <c r="D2228" s="3">
        <v>2617.85</v>
      </c>
      <c r="E2228" s="3" t="str">
        <f t="shared" si="137"/>
        <v>Medium</v>
      </c>
      <c r="F2228" s="3">
        <f t="shared" si="138"/>
        <v>785.3549999999999</v>
      </c>
      <c r="G2228" s="4">
        <v>37885</v>
      </c>
      <c r="H2228" s="3" t="s">
        <v>25</v>
      </c>
      <c r="I2228" s="3" t="str">
        <f t="shared" si="136"/>
        <v>Yes</v>
      </c>
      <c r="J2228" s="3" t="s">
        <v>690</v>
      </c>
      <c r="K2228" s="3">
        <v>2003</v>
      </c>
      <c r="L2228" s="3" t="str">
        <f t="shared" si="139"/>
        <v>Sep-2003</v>
      </c>
      <c r="M2228" s="3" t="s">
        <v>504</v>
      </c>
      <c r="N2228" s="3" t="s">
        <v>391</v>
      </c>
      <c r="O2228" s="3" t="s">
        <v>130</v>
      </c>
      <c r="P2228" s="3" t="s">
        <v>42</v>
      </c>
      <c r="Q2228" s="3" t="s">
        <v>36</v>
      </c>
    </row>
    <row r="2229" spans="1:17" x14ac:dyDescent="0.25">
      <c r="A2229" s="5">
        <v>10165</v>
      </c>
      <c r="B2229" s="5">
        <v>48</v>
      </c>
      <c r="C2229" s="5">
        <v>45.99</v>
      </c>
      <c r="D2229" s="5">
        <v>2207.52</v>
      </c>
      <c r="E2229" s="5" t="str">
        <f t="shared" si="137"/>
        <v>Medium</v>
      </c>
      <c r="F2229" s="5">
        <f t="shared" si="138"/>
        <v>662.25599999999997</v>
      </c>
      <c r="G2229" s="6">
        <v>37916</v>
      </c>
      <c r="H2229" s="5" t="s">
        <v>25</v>
      </c>
      <c r="I2229" s="5" t="str">
        <f t="shared" si="136"/>
        <v>Yes</v>
      </c>
      <c r="J2229" s="5" t="s">
        <v>685</v>
      </c>
      <c r="K2229" s="5">
        <v>2003</v>
      </c>
      <c r="L2229" s="5" t="str">
        <f t="shared" si="139"/>
        <v>Oct-2003</v>
      </c>
      <c r="M2229" s="5" t="s">
        <v>504</v>
      </c>
      <c r="N2229" s="5" t="s">
        <v>196</v>
      </c>
      <c r="O2229" s="5" t="s">
        <v>199</v>
      </c>
      <c r="P2229" s="5" t="s">
        <v>675</v>
      </c>
      <c r="Q2229" s="5" t="s">
        <v>36</v>
      </c>
    </row>
    <row r="2230" spans="1:17" x14ac:dyDescent="0.25">
      <c r="A2230" s="3">
        <v>10175</v>
      </c>
      <c r="B2230" s="3">
        <v>50</v>
      </c>
      <c r="C2230" s="3">
        <v>63.31</v>
      </c>
      <c r="D2230" s="3">
        <v>3165.5</v>
      </c>
      <c r="E2230" s="3" t="str">
        <f t="shared" si="137"/>
        <v>Medium</v>
      </c>
      <c r="F2230" s="3">
        <f t="shared" si="138"/>
        <v>949.65</v>
      </c>
      <c r="G2230" s="4">
        <v>37931</v>
      </c>
      <c r="H2230" s="3" t="s">
        <v>25</v>
      </c>
      <c r="I2230" s="3" t="str">
        <f t="shared" si="136"/>
        <v>Yes</v>
      </c>
      <c r="J2230" s="3" t="s">
        <v>686</v>
      </c>
      <c r="K2230" s="3">
        <v>2003</v>
      </c>
      <c r="L2230" s="3" t="str">
        <f t="shared" si="139"/>
        <v>Nov-2003</v>
      </c>
      <c r="M2230" s="3" t="s">
        <v>504</v>
      </c>
      <c r="N2230" s="3" t="s">
        <v>329</v>
      </c>
      <c r="O2230" s="3" t="s">
        <v>170</v>
      </c>
      <c r="P2230" s="3" t="s">
        <v>42</v>
      </c>
      <c r="Q2230" s="3" t="s">
        <v>51</v>
      </c>
    </row>
    <row r="2231" spans="1:17" x14ac:dyDescent="0.25">
      <c r="A2231" s="5">
        <v>10184</v>
      </c>
      <c r="B2231" s="5">
        <v>33</v>
      </c>
      <c r="C2231" s="5">
        <v>62.77</v>
      </c>
      <c r="D2231" s="5">
        <v>2071.4100000000003</v>
      </c>
      <c r="E2231" s="5" t="str">
        <f t="shared" si="137"/>
        <v>Medium</v>
      </c>
      <c r="F2231" s="5">
        <f t="shared" si="138"/>
        <v>621.42300000000012</v>
      </c>
      <c r="G2231" s="6">
        <v>37939</v>
      </c>
      <c r="H2231" s="5" t="s">
        <v>25</v>
      </c>
      <c r="I2231" s="5" t="str">
        <f t="shared" si="136"/>
        <v>Yes</v>
      </c>
      <c r="J2231" s="5" t="s">
        <v>686</v>
      </c>
      <c r="K2231" s="5">
        <v>2003</v>
      </c>
      <c r="L2231" s="5" t="str">
        <f t="shared" si="139"/>
        <v>Nov-2003</v>
      </c>
      <c r="M2231" s="5" t="s">
        <v>504</v>
      </c>
      <c r="N2231" s="5" t="s">
        <v>520</v>
      </c>
      <c r="O2231" s="5" t="s">
        <v>178</v>
      </c>
      <c r="P2231" s="5" t="s">
        <v>42</v>
      </c>
      <c r="Q2231" s="5" t="s">
        <v>36</v>
      </c>
    </row>
    <row r="2232" spans="1:17" x14ac:dyDescent="0.25">
      <c r="A2232" s="3">
        <v>10195</v>
      </c>
      <c r="B2232" s="3">
        <v>32</v>
      </c>
      <c r="C2232" s="3">
        <v>43.29</v>
      </c>
      <c r="D2232" s="3">
        <v>1385.28</v>
      </c>
      <c r="E2232" s="3" t="str">
        <f t="shared" si="137"/>
        <v>Low</v>
      </c>
      <c r="F2232" s="3">
        <f t="shared" si="138"/>
        <v>415.584</v>
      </c>
      <c r="G2232" s="4">
        <v>37950</v>
      </c>
      <c r="H2232" s="3" t="s">
        <v>25</v>
      </c>
      <c r="I2232" s="3" t="str">
        <f t="shared" si="136"/>
        <v>Yes</v>
      </c>
      <c r="J2232" s="3" t="s">
        <v>686</v>
      </c>
      <c r="K2232" s="3">
        <v>2003</v>
      </c>
      <c r="L2232" s="3" t="str">
        <f t="shared" si="139"/>
        <v>Nov-2003</v>
      </c>
      <c r="M2232" s="3" t="s">
        <v>504</v>
      </c>
      <c r="N2232" s="3" t="s">
        <v>317</v>
      </c>
      <c r="O2232" s="3" t="s">
        <v>32</v>
      </c>
      <c r="P2232" s="3" t="s">
        <v>33</v>
      </c>
      <c r="Q2232" s="3" t="s">
        <v>36</v>
      </c>
    </row>
    <row r="2233" spans="1:17" x14ac:dyDescent="0.25">
      <c r="A2233" s="5">
        <v>10207</v>
      </c>
      <c r="B2233" s="5">
        <v>27</v>
      </c>
      <c r="C2233" s="5">
        <v>60.06</v>
      </c>
      <c r="D2233" s="5">
        <v>1621.6200000000001</v>
      </c>
      <c r="E2233" s="5" t="str">
        <f t="shared" si="137"/>
        <v>Low</v>
      </c>
      <c r="F2233" s="5">
        <f t="shared" si="138"/>
        <v>486.48599999999999</v>
      </c>
      <c r="G2233" s="6">
        <v>37964</v>
      </c>
      <c r="H2233" s="5" t="s">
        <v>25</v>
      </c>
      <c r="I2233" s="5" t="str">
        <f t="shared" si="136"/>
        <v>Yes</v>
      </c>
      <c r="J2233" s="5" t="s">
        <v>687</v>
      </c>
      <c r="K2233" s="5">
        <v>2003</v>
      </c>
      <c r="L2233" s="5" t="str">
        <f t="shared" si="139"/>
        <v>Dec-2003</v>
      </c>
      <c r="M2233" s="5" t="s">
        <v>504</v>
      </c>
      <c r="N2233" s="5" t="s">
        <v>415</v>
      </c>
      <c r="O2233" s="5" t="s">
        <v>32</v>
      </c>
      <c r="P2233" s="5" t="s">
        <v>33</v>
      </c>
      <c r="Q2233" s="5" t="s">
        <v>36</v>
      </c>
    </row>
    <row r="2234" spans="1:17" x14ac:dyDescent="0.25">
      <c r="A2234" s="3">
        <v>10219</v>
      </c>
      <c r="B2234" s="3">
        <v>35</v>
      </c>
      <c r="C2234" s="3">
        <v>55.19</v>
      </c>
      <c r="D2234" s="3">
        <v>1931.6499999999999</v>
      </c>
      <c r="E2234" s="3" t="str">
        <f t="shared" si="137"/>
        <v>Low</v>
      </c>
      <c r="F2234" s="3">
        <f t="shared" si="138"/>
        <v>579.49499999999989</v>
      </c>
      <c r="G2234" s="4">
        <v>38027</v>
      </c>
      <c r="H2234" s="3" t="s">
        <v>25</v>
      </c>
      <c r="I2234" s="3" t="str">
        <f t="shared" si="136"/>
        <v>Yes</v>
      </c>
      <c r="J2234" s="3" t="s">
        <v>681</v>
      </c>
      <c r="K2234" s="3">
        <v>2004</v>
      </c>
      <c r="L2234" s="3" t="str">
        <f t="shared" si="139"/>
        <v>Feb-2004</v>
      </c>
      <c r="M2234" s="3" t="s">
        <v>504</v>
      </c>
      <c r="N2234" s="3" t="s">
        <v>526</v>
      </c>
      <c r="O2234" s="3" t="s">
        <v>32</v>
      </c>
      <c r="P2234" s="3" t="s">
        <v>33</v>
      </c>
      <c r="Q2234" s="3" t="s">
        <v>36</v>
      </c>
    </row>
    <row r="2235" spans="1:17" x14ac:dyDescent="0.25">
      <c r="A2235" s="5">
        <v>10229</v>
      </c>
      <c r="B2235" s="5">
        <v>23</v>
      </c>
      <c r="C2235" s="5">
        <v>54.11</v>
      </c>
      <c r="D2235" s="5">
        <v>1244.53</v>
      </c>
      <c r="E2235" s="5" t="str">
        <f t="shared" si="137"/>
        <v>Low</v>
      </c>
      <c r="F2235" s="5">
        <f t="shared" si="138"/>
        <v>373.35899999999998</v>
      </c>
      <c r="G2235" s="6">
        <v>38057</v>
      </c>
      <c r="H2235" s="5" t="s">
        <v>25</v>
      </c>
      <c r="I2235" s="5" t="str">
        <f t="shared" si="136"/>
        <v>Yes</v>
      </c>
      <c r="J2235" s="5" t="s">
        <v>691</v>
      </c>
      <c r="K2235" s="5">
        <v>2004</v>
      </c>
      <c r="L2235" s="5" t="str">
        <f t="shared" si="139"/>
        <v>Mar-2004</v>
      </c>
      <c r="M2235" s="5" t="s">
        <v>504</v>
      </c>
      <c r="N2235" s="5" t="s">
        <v>272</v>
      </c>
      <c r="O2235" s="5" t="s">
        <v>32</v>
      </c>
      <c r="P2235" s="5" t="s">
        <v>33</v>
      </c>
      <c r="Q2235" s="5" t="s">
        <v>36</v>
      </c>
    </row>
    <row r="2236" spans="1:17" x14ac:dyDescent="0.25">
      <c r="A2236" s="3">
        <v>10246</v>
      </c>
      <c r="B2236" s="3">
        <v>35</v>
      </c>
      <c r="C2236" s="3">
        <v>48.7</v>
      </c>
      <c r="D2236" s="3">
        <v>1704.5</v>
      </c>
      <c r="E2236" s="3" t="str">
        <f t="shared" si="137"/>
        <v>Low</v>
      </c>
      <c r="F2236" s="3">
        <f t="shared" si="138"/>
        <v>511.34999999999997</v>
      </c>
      <c r="G2236" s="4">
        <v>38112</v>
      </c>
      <c r="H2236" s="3" t="s">
        <v>25</v>
      </c>
      <c r="I2236" s="3" t="str">
        <f t="shared" si="136"/>
        <v>Yes</v>
      </c>
      <c r="J2236" s="3" t="s">
        <v>682</v>
      </c>
      <c r="K2236" s="3">
        <v>2004</v>
      </c>
      <c r="L2236" s="3" t="str">
        <f t="shared" si="139"/>
        <v>May-2004</v>
      </c>
      <c r="M2236" s="3" t="s">
        <v>504</v>
      </c>
      <c r="N2236" s="3" t="s">
        <v>174</v>
      </c>
      <c r="O2236" s="3" t="s">
        <v>178</v>
      </c>
      <c r="P2236" s="3" t="s">
        <v>42</v>
      </c>
      <c r="Q2236" s="3" t="s">
        <v>36</v>
      </c>
    </row>
    <row r="2237" spans="1:17" x14ac:dyDescent="0.25">
      <c r="A2237" s="5">
        <v>10259</v>
      </c>
      <c r="B2237" s="5">
        <v>40</v>
      </c>
      <c r="C2237" s="5">
        <v>43.83</v>
      </c>
      <c r="D2237" s="5">
        <v>1753.1999999999998</v>
      </c>
      <c r="E2237" s="5" t="str">
        <f t="shared" si="137"/>
        <v>Low</v>
      </c>
      <c r="F2237" s="5">
        <f t="shared" si="138"/>
        <v>525.95999999999992</v>
      </c>
      <c r="G2237" s="6">
        <v>38153</v>
      </c>
      <c r="H2237" s="5" t="s">
        <v>25</v>
      </c>
      <c r="I2237" s="5" t="str">
        <f t="shared" si="136"/>
        <v>Yes</v>
      </c>
      <c r="J2237" s="5" t="s">
        <v>689</v>
      </c>
      <c r="K2237" s="5">
        <v>2004</v>
      </c>
      <c r="L2237" s="5" t="str">
        <f t="shared" si="139"/>
        <v>Jun-2004</v>
      </c>
      <c r="M2237" s="5" t="s">
        <v>504</v>
      </c>
      <c r="N2237" s="5" t="s">
        <v>418</v>
      </c>
      <c r="O2237" s="5" t="s">
        <v>199</v>
      </c>
      <c r="P2237" s="5" t="s">
        <v>96</v>
      </c>
      <c r="Q2237" s="5" t="s">
        <v>36</v>
      </c>
    </row>
    <row r="2238" spans="1:17" x14ac:dyDescent="0.25">
      <c r="A2238" s="3">
        <v>10271</v>
      </c>
      <c r="B2238" s="3">
        <v>35</v>
      </c>
      <c r="C2238" s="3">
        <v>47.62</v>
      </c>
      <c r="D2238" s="3">
        <v>1666.6999999999998</v>
      </c>
      <c r="E2238" s="3" t="str">
        <f t="shared" si="137"/>
        <v>Low</v>
      </c>
      <c r="F2238" s="3">
        <f t="shared" si="138"/>
        <v>500.00999999999993</v>
      </c>
      <c r="G2238" s="4">
        <v>38188</v>
      </c>
      <c r="H2238" s="3" t="s">
        <v>25</v>
      </c>
      <c r="I2238" s="3" t="str">
        <f t="shared" si="136"/>
        <v>Yes</v>
      </c>
      <c r="J2238" s="3" t="s">
        <v>683</v>
      </c>
      <c r="K2238" s="3">
        <v>2004</v>
      </c>
      <c r="L2238" s="3" t="str">
        <f t="shared" si="139"/>
        <v>Jul-2004</v>
      </c>
      <c r="M2238" s="3" t="s">
        <v>504</v>
      </c>
      <c r="N2238" s="3" t="s">
        <v>272</v>
      </c>
      <c r="O2238" s="3" t="s">
        <v>32</v>
      </c>
      <c r="P2238" s="3" t="s">
        <v>33</v>
      </c>
      <c r="Q2238" s="3" t="s">
        <v>36</v>
      </c>
    </row>
    <row r="2239" spans="1:17" x14ac:dyDescent="0.25">
      <c r="A2239" s="5">
        <v>10281</v>
      </c>
      <c r="B2239" s="5">
        <v>31</v>
      </c>
      <c r="C2239" s="5">
        <v>55.19</v>
      </c>
      <c r="D2239" s="5">
        <v>1710.8899999999999</v>
      </c>
      <c r="E2239" s="5" t="str">
        <f t="shared" si="137"/>
        <v>Low</v>
      </c>
      <c r="F2239" s="5">
        <f t="shared" si="138"/>
        <v>513.26699999999994</v>
      </c>
      <c r="G2239" s="6">
        <v>38218</v>
      </c>
      <c r="H2239" s="5" t="s">
        <v>25</v>
      </c>
      <c r="I2239" s="5" t="str">
        <f t="shared" si="136"/>
        <v>Yes</v>
      </c>
      <c r="J2239" s="5" t="s">
        <v>684</v>
      </c>
      <c r="K2239" s="5">
        <v>2004</v>
      </c>
      <c r="L2239" s="5" t="str">
        <f t="shared" si="139"/>
        <v>Aug-2004</v>
      </c>
      <c r="M2239" s="5" t="s">
        <v>504</v>
      </c>
      <c r="N2239" s="5" t="s">
        <v>139</v>
      </c>
      <c r="O2239" s="5" t="s">
        <v>32</v>
      </c>
      <c r="P2239" s="5" t="s">
        <v>33</v>
      </c>
      <c r="Q2239" s="5" t="s">
        <v>36</v>
      </c>
    </row>
    <row r="2240" spans="1:17" x14ac:dyDescent="0.25">
      <c r="A2240" s="3">
        <v>10292</v>
      </c>
      <c r="B2240" s="3">
        <v>50</v>
      </c>
      <c r="C2240" s="3">
        <v>46.53</v>
      </c>
      <c r="D2240" s="3">
        <v>2326.5</v>
      </c>
      <c r="E2240" s="3" t="str">
        <f t="shared" si="137"/>
        <v>Medium</v>
      </c>
      <c r="F2240" s="3">
        <f t="shared" si="138"/>
        <v>697.94999999999993</v>
      </c>
      <c r="G2240" s="4">
        <v>38238</v>
      </c>
      <c r="H2240" s="3" t="s">
        <v>25</v>
      </c>
      <c r="I2240" s="3" t="str">
        <f t="shared" si="136"/>
        <v>Yes</v>
      </c>
      <c r="J2240" s="3" t="s">
        <v>690</v>
      </c>
      <c r="K2240" s="3">
        <v>2004</v>
      </c>
      <c r="L2240" s="3" t="str">
        <f t="shared" si="139"/>
        <v>Sep-2004</v>
      </c>
      <c r="M2240" s="3" t="s">
        <v>504</v>
      </c>
      <c r="N2240" s="3" t="s">
        <v>28</v>
      </c>
      <c r="O2240" s="3" t="s">
        <v>32</v>
      </c>
      <c r="P2240" s="3" t="s">
        <v>33</v>
      </c>
      <c r="Q2240" s="3" t="s">
        <v>36</v>
      </c>
    </row>
    <row r="2241" spans="1:17" x14ac:dyDescent="0.25">
      <c r="A2241" s="5">
        <v>10305</v>
      </c>
      <c r="B2241" s="5">
        <v>40</v>
      </c>
      <c r="C2241" s="5">
        <v>57.9</v>
      </c>
      <c r="D2241" s="5">
        <v>2316</v>
      </c>
      <c r="E2241" s="5" t="str">
        <f t="shared" si="137"/>
        <v>Medium</v>
      </c>
      <c r="F2241" s="5">
        <f t="shared" si="138"/>
        <v>694.8</v>
      </c>
      <c r="G2241" s="6">
        <v>38273</v>
      </c>
      <c r="H2241" s="5" t="s">
        <v>25</v>
      </c>
      <c r="I2241" s="5" t="str">
        <f t="shared" si="136"/>
        <v>Yes</v>
      </c>
      <c r="J2241" s="5" t="s">
        <v>685</v>
      </c>
      <c r="K2241" s="5">
        <v>2004</v>
      </c>
      <c r="L2241" s="5" t="str">
        <f t="shared" si="139"/>
        <v>Oct-2004</v>
      </c>
      <c r="M2241" s="5" t="s">
        <v>504</v>
      </c>
      <c r="N2241" s="5" t="s">
        <v>120</v>
      </c>
      <c r="O2241" s="5" t="s">
        <v>32</v>
      </c>
      <c r="P2241" s="5" t="s">
        <v>33</v>
      </c>
      <c r="Q2241" s="5" t="s">
        <v>36</v>
      </c>
    </row>
    <row r="2242" spans="1:17" x14ac:dyDescent="0.25">
      <c r="A2242" s="3">
        <v>10313</v>
      </c>
      <c r="B2242" s="3">
        <v>38</v>
      </c>
      <c r="C2242" s="3">
        <v>45.45</v>
      </c>
      <c r="D2242" s="3">
        <v>1727.1000000000001</v>
      </c>
      <c r="E2242" s="3" t="str">
        <f t="shared" si="137"/>
        <v>Low</v>
      </c>
      <c r="F2242" s="3">
        <f t="shared" si="138"/>
        <v>518.13</v>
      </c>
      <c r="G2242" s="4">
        <v>38282</v>
      </c>
      <c r="H2242" s="3" t="s">
        <v>25</v>
      </c>
      <c r="I2242" s="3" t="str">
        <f t="shared" ref="I2242:I2305" si="140">IF(H2242="Shipped","Yes","No")</f>
        <v>Yes</v>
      </c>
      <c r="J2242" s="3" t="s">
        <v>685</v>
      </c>
      <c r="K2242" s="3">
        <v>2004</v>
      </c>
      <c r="L2242" s="3" t="str">
        <f t="shared" si="139"/>
        <v>Oct-2004</v>
      </c>
      <c r="M2242" s="3" t="s">
        <v>504</v>
      </c>
      <c r="N2242" s="3" t="s">
        <v>225</v>
      </c>
      <c r="O2242" s="3" t="s">
        <v>231</v>
      </c>
      <c r="P2242" s="3" t="s">
        <v>33</v>
      </c>
      <c r="Q2242" s="3" t="s">
        <v>36</v>
      </c>
    </row>
    <row r="2243" spans="1:17" x14ac:dyDescent="0.25">
      <c r="A2243" s="5">
        <v>10325</v>
      </c>
      <c r="B2243" s="5">
        <v>38</v>
      </c>
      <c r="C2243" s="5">
        <v>100</v>
      </c>
      <c r="D2243" s="5">
        <v>3800</v>
      </c>
      <c r="E2243" s="5" t="str">
        <f t="shared" ref="E2243:E2306" si="141">IF(D2243&gt;=5000,"High",IF(D2243&gt;=2000,"Medium","Low"))</f>
        <v>Medium</v>
      </c>
      <c r="F2243" s="5">
        <f t="shared" ref="F2243:F2306" si="142">(D2243*0.3)</f>
        <v>1140</v>
      </c>
      <c r="G2243" s="6">
        <v>38296</v>
      </c>
      <c r="H2243" s="5" t="s">
        <v>25</v>
      </c>
      <c r="I2243" s="5" t="str">
        <f t="shared" si="140"/>
        <v>Yes</v>
      </c>
      <c r="J2243" s="5" t="s">
        <v>686</v>
      </c>
      <c r="K2243" s="5">
        <v>2004</v>
      </c>
      <c r="L2243" s="5" t="str">
        <f t="shared" ref="L2243:L2306" si="143">TEXT(G:G,"MMM-YYYY")</f>
        <v>Nov-2004</v>
      </c>
      <c r="M2243" s="5" t="s">
        <v>504</v>
      </c>
      <c r="N2243" s="5" t="s">
        <v>133</v>
      </c>
      <c r="O2243" s="5" t="s">
        <v>78</v>
      </c>
      <c r="P2243" s="5" t="s">
        <v>42</v>
      </c>
      <c r="Q2243" s="5" t="s">
        <v>151</v>
      </c>
    </row>
    <row r="2244" spans="1:17" x14ac:dyDescent="0.25">
      <c r="A2244" s="3">
        <v>10335</v>
      </c>
      <c r="B2244" s="3">
        <v>40</v>
      </c>
      <c r="C2244" s="3">
        <v>60.6</v>
      </c>
      <c r="D2244" s="3">
        <v>2424</v>
      </c>
      <c r="E2244" s="3" t="str">
        <f t="shared" si="141"/>
        <v>Medium</v>
      </c>
      <c r="F2244" s="3">
        <f t="shared" si="142"/>
        <v>727.19999999999993</v>
      </c>
      <c r="G2244" s="4">
        <v>38310</v>
      </c>
      <c r="H2244" s="3" t="s">
        <v>25</v>
      </c>
      <c r="I2244" s="3" t="str">
        <f t="shared" si="140"/>
        <v>Yes</v>
      </c>
      <c r="J2244" s="3" t="s">
        <v>686</v>
      </c>
      <c r="K2244" s="3">
        <v>2004</v>
      </c>
      <c r="L2244" s="3" t="str">
        <f t="shared" si="143"/>
        <v>Nov-2004</v>
      </c>
      <c r="M2244" s="3" t="s">
        <v>504</v>
      </c>
      <c r="N2244" s="3" t="s">
        <v>272</v>
      </c>
      <c r="O2244" s="3" t="s">
        <v>32</v>
      </c>
      <c r="P2244" s="3" t="s">
        <v>33</v>
      </c>
      <c r="Q2244" s="3" t="s">
        <v>36</v>
      </c>
    </row>
    <row r="2245" spans="1:17" x14ac:dyDescent="0.25">
      <c r="A2245" s="5">
        <v>10349</v>
      </c>
      <c r="B2245" s="5">
        <v>33</v>
      </c>
      <c r="C2245" s="5">
        <v>46.53</v>
      </c>
      <c r="D2245" s="5">
        <v>1535.49</v>
      </c>
      <c r="E2245" s="5" t="str">
        <f t="shared" si="141"/>
        <v>Low</v>
      </c>
      <c r="F2245" s="5">
        <f t="shared" si="142"/>
        <v>460.64699999999999</v>
      </c>
      <c r="G2245" s="6">
        <v>38322</v>
      </c>
      <c r="H2245" s="5" t="s">
        <v>25</v>
      </c>
      <c r="I2245" s="5" t="str">
        <f t="shared" si="140"/>
        <v>Yes</v>
      </c>
      <c r="J2245" s="5" t="s">
        <v>687</v>
      </c>
      <c r="K2245" s="5">
        <v>2004</v>
      </c>
      <c r="L2245" s="5" t="str">
        <f t="shared" si="143"/>
        <v>Dec-2004</v>
      </c>
      <c r="M2245" s="5" t="s">
        <v>504</v>
      </c>
      <c r="N2245" s="5" t="s">
        <v>475</v>
      </c>
      <c r="O2245" s="5" t="s">
        <v>32</v>
      </c>
      <c r="P2245" s="5" t="s">
        <v>33</v>
      </c>
      <c r="Q2245" s="5" t="s">
        <v>36</v>
      </c>
    </row>
    <row r="2246" spans="1:17" x14ac:dyDescent="0.25">
      <c r="A2246" s="3">
        <v>10359</v>
      </c>
      <c r="B2246" s="3">
        <v>36</v>
      </c>
      <c r="C2246" s="3">
        <v>100</v>
      </c>
      <c r="D2246" s="3">
        <v>3600</v>
      </c>
      <c r="E2246" s="3" t="str">
        <f t="shared" si="141"/>
        <v>Medium</v>
      </c>
      <c r="F2246" s="3">
        <f t="shared" si="142"/>
        <v>1080</v>
      </c>
      <c r="G2246" s="4">
        <v>38336</v>
      </c>
      <c r="H2246" s="3" t="s">
        <v>25</v>
      </c>
      <c r="I2246" s="3" t="str">
        <f t="shared" si="140"/>
        <v>Yes</v>
      </c>
      <c r="J2246" s="3" t="s">
        <v>687</v>
      </c>
      <c r="K2246" s="3">
        <v>2004</v>
      </c>
      <c r="L2246" s="3" t="str">
        <f t="shared" si="143"/>
        <v>Dec-2004</v>
      </c>
      <c r="M2246" s="3" t="s">
        <v>504</v>
      </c>
      <c r="N2246" s="3" t="s">
        <v>37</v>
      </c>
      <c r="O2246" s="3" t="s">
        <v>41</v>
      </c>
      <c r="P2246" s="3" t="s">
        <v>42</v>
      </c>
      <c r="Q2246" s="3" t="s">
        <v>51</v>
      </c>
    </row>
    <row r="2247" spans="1:17" x14ac:dyDescent="0.25">
      <c r="A2247" s="5">
        <v>10371</v>
      </c>
      <c r="B2247" s="5">
        <v>20</v>
      </c>
      <c r="C2247" s="5">
        <v>66.47</v>
      </c>
      <c r="D2247" s="5">
        <v>1329.4</v>
      </c>
      <c r="E2247" s="5" t="str">
        <f t="shared" si="141"/>
        <v>Low</v>
      </c>
      <c r="F2247" s="5">
        <f t="shared" si="142"/>
        <v>398.82</v>
      </c>
      <c r="G2247" s="6">
        <v>38375</v>
      </c>
      <c r="H2247" s="5" t="s">
        <v>25</v>
      </c>
      <c r="I2247" s="5" t="str">
        <f t="shared" si="140"/>
        <v>Yes</v>
      </c>
      <c r="J2247" s="5" t="s">
        <v>549</v>
      </c>
      <c r="K2247" s="5">
        <v>2005</v>
      </c>
      <c r="L2247" s="5" t="str">
        <f t="shared" si="143"/>
        <v>Jan-2005</v>
      </c>
      <c r="M2247" s="5" t="s">
        <v>504</v>
      </c>
      <c r="N2247" s="5" t="s">
        <v>272</v>
      </c>
      <c r="O2247" s="5" t="s">
        <v>32</v>
      </c>
      <c r="P2247" s="5" t="s">
        <v>33</v>
      </c>
      <c r="Q2247" s="5" t="s">
        <v>36</v>
      </c>
    </row>
    <row r="2248" spans="1:17" x14ac:dyDescent="0.25">
      <c r="A2248" s="3">
        <v>10383</v>
      </c>
      <c r="B2248" s="3">
        <v>32</v>
      </c>
      <c r="C2248" s="3">
        <v>53.18</v>
      </c>
      <c r="D2248" s="3">
        <v>1701.76</v>
      </c>
      <c r="E2248" s="3" t="str">
        <f t="shared" si="141"/>
        <v>Low</v>
      </c>
      <c r="F2248" s="3">
        <f t="shared" si="142"/>
        <v>510.52799999999996</v>
      </c>
      <c r="G2248" s="4">
        <v>38405</v>
      </c>
      <c r="H2248" s="3" t="s">
        <v>25</v>
      </c>
      <c r="I2248" s="3" t="str">
        <f t="shared" si="140"/>
        <v>Yes</v>
      </c>
      <c r="J2248" s="3" t="s">
        <v>681</v>
      </c>
      <c r="K2248" s="3">
        <v>2005</v>
      </c>
      <c r="L2248" s="3" t="str">
        <f t="shared" si="143"/>
        <v>Feb-2005</v>
      </c>
      <c r="M2248" s="3" t="s">
        <v>504</v>
      </c>
      <c r="N2248" s="3" t="s">
        <v>174</v>
      </c>
      <c r="O2248" s="3" t="s">
        <v>178</v>
      </c>
      <c r="P2248" s="3" t="s">
        <v>42</v>
      </c>
      <c r="Q2248" s="3" t="s">
        <v>36</v>
      </c>
    </row>
    <row r="2249" spans="1:17" x14ac:dyDescent="0.25">
      <c r="A2249" s="5">
        <v>10394</v>
      </c>
      <c r="B2249" s="5">
        <v>36</v>
      </c>
      <c r="C2249" s="5">
        <v>62.77</v>
      </c>
      <c r="D2249" s="5">
        <v>2259.7200000000003</v>
      </c>
      <c r="E2249" s="5" t="str">
        <f t="shared" si="141"/>
        <v>Medium</v>
      </c>
      <c r="F2249" s="5">
        <f t="shared" si="142"/>
        <v>677.91600000000005</v>
      </c>
      <c r="G2249" s="6">
        <v>38426</v>
      </c>
      <c r="H2249" s="5" t="s">
        <v>25</v>
      </c>
      <c r="I2249" s="5" t="str">
        <f t="shared" si="140"/>
        <v>Yes</v>
      </c>
      <c r="J2249" s="5" t="s">
        <v>691</v>
      </c>
      <c r="K2249" s="5">
        <v>2005</v>
      </c>
      <c r="L2249" s="5" t="str">
        <f t="shared" si="143"/>
        <v>Mar-2005</v>
      </c>
      <c r="M2249" s="5" t="s">
        <v>504</v>
      </c>
      <c r="N2249" s="5" t="s">
        <v>174</v>
      </c>
      <c r="O2249" s="5" t="s">
        <v>178</v>
      </c>
      <c r="P2249" s="5" t="s">
        <v>42</v>
      </c>
      <c r="Q2249" s="5" t="s">
        <v>36</v>
      </c>
    </row>
    <row r="2250" spans="1:17" x14ac:dyDescent="0.25">
      <c r="A2250" s="3">
        <v>10412</v>
      </c>
      <c r="B2250" s="3">
        <v>19</v>
      </c>
      <c r="C2250" s="3">
        <v>48.7</v>
      </c>
      <c r="D2250" s="3">
        <v>925.30000000000007</v>
      </c>
      <c r="E2250" s="3" t="str">
        <f t="shared" si="141"/>
        <v>Low</v>
      </c>
      <c r="F2250" s="3">
        <f t="shared" si="142"/>
        <v>277.59000000000003</v>
      </c>
      <c r="G2250" s="4">
        <v>38475</v>
      </c>
      <c r="H2250" s="3" t="s">
        <v>25</v>
      </c>
      <c r="I2250" s="3" t="str">
        <f t="shared" si="140"/>
        <v>Yes</v>
      </c>
      <c r="J2250" s="3" t="s">
        <v>682</v>
      </c>
      <c r="K2250" s="3">
        <v>2005</v>
      </c>
      <c r="L2250" s="3" t="str">
        <f t="shared" si="143"/>
        <v>May-2005</v>
      </c>
      <c r="M2250" s="3" t="s">
        <v>504</v>
      </c>
      <c r="N2250" s="3" t="s">
        <v>174</v>
      </c>
      <c r="O2250" s="3" t="s">
        <v>178</v>
      </c>
      <c r="P2250" s="3" t="s">
        <v>42</v>
      </c>
      <c r="Q2250" s="3" t="s">
        <v>36</v>
      </c>
    </row>
    <row r="2251" spans="1:17" x14ac:dyDescent="0.25">
      <c r="A2251" s="5">
        <v>10425</v>
      </c>
      <c r="B2251" s="5">
        <v>11</v>
      </c>
      <c r="C2251" s="5">
        <v>43.83</v>
      </c>
      <c r="D2251" s="5">
        <v>482.13</v>
      </c>
      <c r="E2251" s="5" t="str">
        <f t="shared" si="141"/>
        <v>Low</v>
      </c>
      <c r="F2251" s="5">
        <f t="shared" si="142"/>
        <v>144.63899999999998</v>
      </c>
      <c r="G2251" s="6">
        <v>38503</v>
      </c>
      <c r="H2251" s="5" t="s">
        <v>300</v>
      </c>
      <c r="I2251" s="5" t="str">
        <f t="shared" si="140"/>
        <v>No</v>
      </c>
      <c r="J2251" s="5" t="s">
        <v>682</v>
      </c>
      <c r="K2251" s="5">
        <v>2005</v>
      </c>
      <c r="L2251" s="5" t="str">
        <f t="shared" si="143"/>
        <v>May-2005</v>
      </c>
      <c r="M2251" s="5" t="s">
        <v>504</v>
      </c>
      <c r="N2251" s="5" t="s">
        <v>114</v>
      </c>
      <c r="O2251" s="5" t="s">
        <v>41</v>
      </c>
      <c r="P2251" s="5" t="s">
        <v>42</v>
      </c>
      <c r="Q2251" s="5" t="s">
        <v>36</v>
      </c>
    </row>
    <row r="2252" spans="1:17" x14ac:dyDescent="0.25">
      <c r="A2252" s="3">
        <v>10104</v>
      </c>
      <c r="B2252" s="3">
        <v>49</v>
      </c>
      <c r="C2252" s="3">
        <v>65.87</v>
      </c>
      <c r="D2252" s="3">
        <v>3227.63</v>
      </c>
      <c r="E2252" s="3" t="str">
        <f t="shared" si="141"/>
        <v>Medium</v>
      </c>
      <c r="F2252" s="3">
        <f t="shared" si="142"/>
        <v>968.28899999999999</v>
      </c>
      <c r="G2252" s="4">
        <v>37652</v>
      </c>
      <c r="H2252" s="3" t="s">
        <v>25</v>
      </c>
      <c r="I2252" s="3" t="str">
        <f t="shared" si="140"/>
        <v>Yes</v>
      </c>
      <c r="J2252" s="3" t="s">
        <v>549</v>
      </c>
      <c r="K2252" s="3">
        <v>2003</v>
      </c>
      <c r="L2252" s="3" t="str">
        <f t="shared" si="143"/>
        <v>Jan-2003</v>
      </c>
      <c r="M2252" s="3" t="s">
        <v>605</v>
      </c>
      <c r="N2252" s="3" t="s">
        <v>174</v>
      </c>
      <c r="O2252" s="3" t="s">
        <v>178</v>
      </c>
      <c r="P2252" s="3" t="s">
        <v>42</v>
      </c>
      <c r="Q2252" s="3" t="s">
        <v>51</v>
      </c>
    </row>
    <row r="2253" spans="1:17" x14ac:dyDescent="0.25">
      <c r="A2253" s="5">
        <v>10116</v>
      </c>
      <c r="B2253" s="5">
        <v>27</v>
      </c>
      <c r="C2253" s="5">
        <v>63.38</v>
      </c>
      <c r="D2253" s="5">
        <v>1711.26</v>
      </c>
      <c r="E2253" s="5" t="str">
        <f t="shared" si="141"/>
        <v>Low</v>
      </c>
      <c r="F2253" s="5">
        <f t="shared" si="142"/>
        <v>513.37799999999993</v>
      </c>
      <c r="G2253" s="6">
        <v>37722</v>
      </c>
      <c r="H2253" s="5" t="s">
        <v>25</v>
      </c>
      <c r="I2253" s="5" t="str">
        <f t="shared" si="140"/>
        <v>Yes</v>
      </c>
      <c r="J2253" s="5" t="s">
        <v>688</v>
      </c>
      <c r="K2253" s="5">
        <v>2003</v>
      </c>
      <c r="L2253" s="5" t="str">
        <f t="shared" si="143"/>
        <v>Apr-2003</v>
      </c>
      <c r="M2253" s="5" t="s">
        <v>605</v>
      </c>
      <c r="N2253" s="5" t="s">
        <v>577</v>
      </c>
      <c r="O2253" s="5" t="s">
        <v>370</v>
      </c>
      <c r="P2253" s="5" t="s">
        <v>42</v>
      </c>
      <c r="Q2253" s="5" t="s">
        <v>36</v>
      </c>
    </row>
    <row r="2254" spans="1:17" x14ac:dyDescent="0.25">
      <c r="A2254" s="3">
        <v>10127</v>
      </c>
      <c r="B2254" s="3">
        <v>29</v>
      </c>
      <c r="C2254" s="3">
        <v>70.84</v>
      </c>
      <c r="D2254" s="3">
        <v>2054.36</v>
      </c>
      <c r="E2254" s="3" t="str">
        <f t="shared" si="141"/>
        <v>Medium</v>
      </c>
      <c r="F2254" s="3">
        <f t="shared" si="142"/>
        <v>616.30799999999999</v>
      </c>
      <c r="G2254" s="4">
        <v>37775</v>
      </c>
      <c r="H2254" s="3" t="s">
        <v>25</v>
      </c>
      <c r="I2254" s="3" t="str">
        <f t="shared" si="140"/>
        <v>Yes</v>
      </c>
      <c r="J2254" s="3" t="s">
        <v>689</v>
      </c>
      <c r="K2254" s="3">
        <v>2003</v>
      </c>
      <c r="L2254" s="3" t="str">
        <f t="shared" si="143"/>
        <v>Jun-2003</v>
      </c>
      <c r="M2254" s="3" t="s">
        <v>605</v>
      </c>
      <c r="N2254" s="3" t="s">
        <v>475</v>
      </c>
      <c r="O2254" s="3" t="s">
        <v>32</v>
      </c>
      <c r="P2254" s="3" t="s">
        <v>33</v>
      </c>
      <c r="Q2254" s="3" t="s">
        <v>36</v>
      </c>
    </row>
    <row r="2255" spans="1:17" x14ac:dyDescent="0.25">
      <c r="A2255" s="5">
        <v>10142</v>
      </c>
      <c r="B2255" s="5">
        <v>42</v>
      </c>
      <c r="C2255" s="5">
        <v>74.569999999999993</v>
      </c>
      <c r="D2255" s="5">
        <v>3131.9399999999996</v>
      </c>
      <c r="E2255" s="5" t="str">
        <f t="shared" si="141"/>
        <v>Medium</v>
      </c>
      <c r="F2255" s="5">
        <f t="shared" si="142"/>
        <v>939.58199999999988</v>
      </c>
      <c r="G2255" s="6">
        <v>37841</v>
      </c>
      <c r="H2255" s="5" t="s">
        <v>25</v>
      </c>
      <c r="I2255" s="5" t="str">
        <f t="shared" si="140"/>
        <v>Yes</v>
      </c>
      <c r="J2255" s="5" t="s">
        <v>684</v>
      </c>
      <c r="K2255" s="5">
        <v>2003</v>
      </c>
      <c r="L2255" s="5" t="str">
        <f t="shared" si="143"/>
        <v>Aug-2003</v>
      </c>
      <c r="M2255" s="5" t="s">
        <v>605</v>
      </c>
      <c r="N2255" s="5" t="s">
        <v>272</v>
      </c>
      <c r="O2255" s="5" t="s">
        <v>32</v>
      </c>
      <c r="P2255" s="5" t="s">
        <v>33</v>
      </c>
      <c r="Q2255" s="5" t="s">
        <v>51</v>
      </c>
    </row>
    <row r="2256" spans="1:17" x14ac:dyDescent="0.25">
      <c r="A2256" s="3">
        <v>10152</v>
      </c>
      <c r="B2256" s="3">
        <v>33</v>
      </c>
      <c r="C2256" s="3">
        <v>50.95</v>
      </c>
      <c r="D2256" s="3">
        <v>1681.3500000000001</v>
      </c>
      <c r="E2256" s="3" t="str">
        <f t="shared" si="141"/>
        <v>Low</v>
      </c>
      <c r="F2256" s="3">
        <f t="shared" si="142"/>
        <v>504.40500000000003</v>
      </c>
      <c r="G2256" s="4">
        <v>37889</v>
      </c>
      <c r="H2256" s="3" t="s">
        <v>25</v>
      </c>
      <c r="I2256" s="3" t="str">
        <f t="shared" si="140"/>
        <v>Yes</v>
      </c>
      <c r="J2256" s="3" t="s">
        <v>690</v>
      </c>
      <c r="K2256" s="3">
        <v>2003</v>
      </c>
      <c r="L2256" s="3" t="str">
        <f t="shared" si="143"/>
        <v>Sep-2003</v>
      </c>
      <c r="M2256" s="3" t="s">
        <v>605</v>
      </c>
      <c r="N2256" s="3" t="s">
        <v>207</v>
      </c>
      <c r="O2256" s="3" t="s">
        <v>95</v>
      </c>
      <c r="P2256" s="3" t="s">
        <v>96</v>
      </c>
      <c r="Q2256" s="3" t="s">
        <v>36</v>
      </c>
    </row>
    <row r="2257" spans="1:17" x14ac:dyDescent="0.25">
      <c r="A2257" s="5">
        <v>10165</v>
      </c>
      <c r="B2257" s="5">
        <v>44</v>
      </c>
      <c r="C2257" s="5">
        <v>53.44</v>
      </c>
      <c r="D2257" s="5">
        <v>2351.3599999999997</v>
      </c>
      <c r="E2257" s="5" t="str">
        <f t="shared" si="141"/>
        <v>Medium</v>
      </c>
      <c r="F2257" s="5">
        <f t="shared" si="142"/>
        <v>705.4079999999999</v>
      </c>
      <c r="G2257" s="6">
        <v>37916</v>
      </c>
      <c r="H2257" s="5" t="s">
        <v>25</v>
      </c>
      <c r="I2257" s="5" t="str">
        <f t="shared" si="140"/>
        <v>Yes</v>
      </c>
      <c r="J2257" s="5" t="s">
        <v>685</v>
      </c>
      <c r="K2257" s="5">
        <v>2003</v>
      </c>
      <c r="L2257" s="5" t="str">
        <f t="shared" si="143"/>
        <v>Oct-2003</v>
      </c>
      <c r="M2257" s="5" t="s">
        <v>605</v>
      </c>
      <c r="N2257" s="5" t="s">
        <v>196</v>
      </c>
      <c r="O2257" s="5" t="s">
        <v>199</v>
      </c>
      <c r="P2257" s="5" t="s">
        <v>675</v>
      </c>
      <c r="Q2257" s="5" t="s">
        <v>36</v>
      </c>
    </row>
    <row r="2258" spans="1:17" x14ac:dyDescent="0.25">
      <c r="A2258" s="3">
        <v>10176</v>
      </c>
      <c r="B2258" s="3">
        <v>22</v>
      </c>
      <c r="C2258" s="3">
        <v>64</v>
      </c>
      <c r="D2258" s="3">
        <v>1408</v>
      </c>
      <c r="E2258" s="3" t="str">
        <f t="shared" si="141"/>
        <v>Low</v>
      </c>
      <c r="F2258" s="3">
        <f t="shared" si="142"/>
        <v>422.4</v>
      </c>
      <c r="G2258" s="4">
        <v>37931</v>
      </c>
      <c r="H2258" s="3" t="s">
        <v>25</v>
      </c>
      <c r="I2258" s="3" t="str">
        <f t="shared" si="140"/>
        <v>Yes</v>
      </c>
      <c r="J2258" s="3" t="s">
        <v>686</v>
      </c>
      <c r="K2258" s="3">
        <v>2003</v>
      </c>
      <c r="L2258" s="3" t="str">
        <f t="shared" si="143"/>
        <v>Nov-2003</v>
      </c>
      <c r="M2258" s="3" t="s">
        <v>605</v>
      </c>
      <c r="N2258" s="3" t="s">
        <v>452</v>
      </c>
      <c r="O2258" s="3" t="s">
        <v>258</v>
      </c>
      <c r="P2258" s="3" t="s">
        <v>42</v>
      </c>
      <c r="Q2258" s="3" t="s">
        <v>36</v>
      </c>
    </row>
    <row r="2259" spans="1:17" x14ac:dyDescent="0.25">
      <c r="A2259" s="5">
        <v>10184</v>
      </c>
      <c r="B2259" s="5">
        <v>48</v>
      </c>
      <c r="C2259" s="5">
        <v>50.95</v>
      </c>
      <c r="D2259" s="5">
        <v>2445.6000000000004</v>
      </c>
      <c r="E2259" s="5" t="str">
        <f t="shared" si="141"/>
        <v>Medium</v>
      </c>
      <c r="F2259" s="5">
        <f t="shared" si="142"/>
        <v>733.68000000000006</v>
      </c>
      <c r="G2259" s="6">
        <v>37939</v>
      </c>
      <c r="H2259" s="5" t="s">
        <v>25</v>
      </c>
      <c r="I2259" s="5" t="str">
        <f t="shared" si="140"/>
        <v>Yes</v>
      </c>
      <c r="J2259" s="5" t="s">
        <v>686</v>
      </c>
      <c r="K2259" s="5">
        <v>2003</v>
      </c>
      <c r="L2259" s="5" t="str">
        <f t="shared" si="143"/>
        <v>Nov-2003</v>
      </c>
      <c r="M2259" s="5" t="s">
        <v>605</v>
      </c>
      <c r="N2259" s="5" t="s">
        <v>520</v>
      </c>
      <c r="O2259" s="5" t="s">
        <v>178</v>
      </c>
      <c r="P2259" s="5" t="s">
        <v>42</v>
      </c>
      <c r="Q2259" s="5" t="s">
        <v>36</v>
      </c>
    </row>
    <row r="2260" spans="1:17" x14ac:dyDescent="0.25">
      <c r="A2260" s="3">
        <v>10195</v>
      </c>
      <c r="B2260" s="3">
        <v>33</v>
      </c>
      <c r="C2260" s="3">
        <v>54.68</v>
      </c>
      <c r="D2260" s="3">
        <v>1804.44</v>
      </c>
      <c r="E2260" s="3" t="str">
        <f t="shared" si="141"/>
        <v>Low</v>
      </c>
      <c r="F2260" s="3">
        <f t="shared" si="142"/>
        <v>541.33199999999999</v>
      </c>
      <c r="G2260" s="4">
        <v>37950</v>
      </c>
      <c r="H2260" s="3" t="s">
        <v>25</v>
      </c>
      <c r="I2260" s="3" t="str">
        <f t="shared" si="140"/>
        <v>Yes</v>
      </c>
      <c r="J2260" s="3" t="s">
        <v>686</v>
      </c>
      <c r="K2260" s="3">
        <v>2003</v>
      </c>
      <c r="L2260" s="3" t="str">
        <f t="shared" si="143"/>
        <v>Nov-2003</v>
      </c>
      <c r="M2260" s="3" t="s">
        <v>605</v>
      </c>
      <c r="N2260" s="3" t="s">
        <v>317</v>
      </c>
      <c r="O2260" s="3" t="s">
        <v>32</v>
      </c>
      <c r="P2260" s="3" t="s">
        <v>33</v>
      </c>
      <c r="Q2260" s="3" t="s">
        <v>36</v>
      </c>
    </row>
    <row r="2261" spans="1:17" x14ac:dyDescent="0.25">
      <c r="A2261" s="5">
        <v>10207</v>
      </c>
      <c r="B2261" s="5">
        <v>45</v>
      </c>
      <c r="C2261" s="5">
        <v>56.55</v>
      </c>
      <c r="D2261" s="5">
        <v>2544.75</v>
      </c>
      <c r="E2261" s="5" t="str">
        <f t="shared" si="141"/>
        <v>Medium</v>
      </c>
      <c r="F2261" s="5">
        <f t="shared" si="142"/>
        <v>763.42499999999995</v>
      </c>
      <c r="G2261" s="6">
        <v>37964</v>
      </c>
      <c r="H2261" s="5" t="s">
        <v>25</v>
      </c>
      <c r="I2261" s="5" t="str">
        <f t="shared" si="140"/>
        <v>Yes</v>
      </c>
      <c r="J2261" s="5" t="s">
        <v>687</v>
      </c>
      <c r="K2261" s="5">
        <v>2003</v>
      </c>
      <c r="L2261" s="5" t="str">
        <f t="shared" si="143"/>
        <v>Dec-2003</v>
      </c>
      <c r="M2261" s="5" t="s">
        <v>605</v>
      </c>
      <c r="N2261" s="5" t="s">
        <v>415</v>
      </c>
      <c r="O2261" s="5" t="s">
        <v>32</v>
      </c>
      <c r="P2261" s="5" t="s">
        <v>33</v>
      </c>
      <c r="Q2261" s="5" t="s">
        <v>36</v>
      </c>
    </row>
    <row r="2262" spans="1:17" x14ac:dyDescent="0.25">
      <c r="A2262" s="3">
        <v>10220</v>
      </c>
      <c r="B2262" s="3">
        <v>20</v>
      </c>
      <c r="C2262" s="3">
        <v>52.82</v>
      </c>
      <c r="D2262" s="3">
        <v>1056.4000000000001</v>
      </c>
      <c r="E2262" s="3" t="str">
        <f t="shared" si="141"/>
        <v>Low</v>
      </c>
      <c r="F2262" s="3">
        <f t="shared" si="142"/>
        <v>316.92</v>
      </c>
      <c r="G2262" s="4">
        <v>38029</v>
      </c>
      <c r="H2262" s="3" t="s">
        <v>25</v>
      </c>
      <c r="I2262" s="3" t="str">
        <f t="shared" si="140"/>
        <v>Yes</v>
      </c>
      <c r="J2262" s="3" t="s">
        <v>681</v>
      </c>
      <c r="K2262" s="3">
        <v>2004</v>
      </c>
      <c r="L2262" s="3" t="str">
        <f t="shared" si="143"/>
        <v>Feb-2004</v>
      </c>
      <c r="M2262" s="3" t="s">
        <v>605</v>
      </c>
      <c r="N2262" s="3" t="s">
        <v>479</v>
      </c>
      <c r="O2262" s="3" t="s">
        <v>484</v>
      </c>
      <c r="P2262" s="3" t="s">
        <v>42</v>
      </c>
      <c r="Q2262" s="3" t="s">
        <v>36</v>
      </c>
    </row>
    <row r="2263" spans="1:17" x14ac:dyDescent="0.25">
      <c r="A2263" s="5">
        <v>10230</v>
      </c>
      <c r="B2263" s="5">
        <v>46</v>
      </c>
      <c r="C2263" s="5">
        <v>60.9</v>
      </c>
      <c r="D2263" s="5">
        <v>2801.4</v>
      </c>
      <c r="E2263" s="5" t="str">
        <f t="shared" si="141"/>
        <v>Medium</v>
      </c>
      <c r="F2263" s="5">
        <f t="shared" si="142"/>
        <v>840.42</v>
      </c>
      <c r="G2263" s="6">
        <v>38061</v>
      </c>
      <c r="H2263" s="5" t="s">
        <v>25</v>
      </c>
      <c r="I2263" s="5" t="str">
        <f t="shared" si="140"/>
        <v>Yes</v>
      </c>
      <c r="J2263" s="5" t="s">
        <v>691</v>
      </c>
      <c r="K2263" s="5">
        <v>2004</v>
      </c>
      <c r="L2263" s="5" t="str">
        <f t="shared" si="143"/>
        <v>Mar-2004</v>
      </c>
      <c r="M2263" s="5" t="s">
        <v>605</v>
      </c>
      <c r="N2263" s="5" t="s">
        <v>462</v>
      </c>
      <c r="O2263" s="5" t="s">
        <v>443</v>
      </c>
      <c r="P2263" s="5" t="s">
        <v>42</v>
      </c>
      <c r="Q2263" s="5" t="s">
        <v>36</v>
      </c>
    </row>
    <row r="2264" spans="1:17" x14ac:dyDescent="0.25">
      <c r="A2264" s="3">
        <v>10247</v>
      </c>
      <c r="B2264" s="3">
        <v>40</v>
      </c>
      <c r="C2264" s="3">
        <v>49.71</v>
      </c>
      <c r="D2264" s="3">
        <v>1988.4</v>
      </c>
      <c r="E2264" s="3" t="str">
        <f t="shared" si="141"/>
        <v>Low</v>
      </c>
      <c r="F2264" s="3">
        <f t="shared" si="142"/>
        <v>596.52</v>
      </c>
      <c r="G2264" s="4">
        <v>38112</v>
      </c>
      <c r="H2264" s="3" t="s">
        <v>25</v>
      </c>
      <c r="I2264" s="3" t="str">
        <f t="shared" si="140"/>
        <v>Yes</v>
      </c>
      <c r="J2264" s="3" t="s">
        <v>682</v>
      </c>
      <c r="K2264" s="3">
        <v>2004</v>
      </c>
      <c r="L2264" s="3" t="str">
        <f t="shared" si="143"/>
        <v>May-2004</v>
      </c>
      <c r="M2264" s="3" t="s">
        <v>605</v>
      </c>
      <c r="N2264" s="3" t="s">
        <v>467</v>
      </c>
      <c r="O2264" s="3" t="s">
        <v>130</v>
      </c>
      <c r="P2264" s="3" t="s">
        <v>42</v>
      </c>
      <c r="Q2264" s="3" t="s">
        <v>36</v>
      </c>
    </row>
    <row r="2265" spans="1:17" x14ac:dyDescent="0.25">
      <c r="A2265" s="5">
        <v>10272</v>
      </c>
      <c r="B2265" s="5">
        <v>45</v>
      </c>
      <c r="C2265" s="5">
        <v>64.63</v>
      </c>
      <c r="D2265" s="5">
        <v>2908.35</v>
      </c>
      <c r="E2265" s="5" t="str">
        <f t="shared" si="141"/>
        <v>Medium</v>
      </c>
      <c r="F2265" s="5">
        <f t="shared" si="142"/>
        <v>872.505</v>
      </c>
      <c r="G2265" s="6">
        <v>38188</v>
      </c>
      <c r="H2265" s="5" t="s">
        <v>25</v>
      </c>
      <c r="I2265" s="5" t="str">
        <f t="shared" si="140"/>
        <v>Yes</v>
      </c>
      <c r="J2265" s="5" t="s">
        <v>683</v>
      </c>
      <c r="K2265" s="5">
        <v>2004</v>
      </c>
      <c r="L2265" s="5" t="str">
        <f t="shared" si="143"/>
        <v>Jul-2004</v>
      </c>
      <c r="M2265" s="5" t="s">
        <v>605</v>
      </c>
      <c r="N2265" s="5" t="s">
        <v>139</v>
      </c>
      <c r="O2265" s="5" t="s">
        <v>32</v>
      </c>
      <c r="P2265" s="5" t="s">
        <v>33</v>
      </c>
      <c r="Q2265" s="5" t="s">
        <v>36</v>
      </c>
    </row>
    <row r="2266" spans="1:17" x14ac:dyDescent="0.25">
      <c r="A2266" s="3">
        <v>10282</v>
      </c>
      <c r="B2266" s="3">
        <v>36</v>
      </c>
      <c r="C2266" s="3">
        <v>59.65</v>
      </c>
      <c r="D2266" s="3">
        <v>2147.4</v>
      </c>
      <c r="E2266" s="3" t="str">
        <f t="shared" si="141"/>
        <v>Medium</v>
      </c>
      <c r="F2266" s="3">
        <f t="shared" si="142"/>
        <v>644.22</v>
      </c>
      <c r="G2266" s="4">
        <v>38219</v>
      </c>
      <c r="H2266" s="3" t="s">
        <v>25</v>
      </c>
      <c r="I2266" s="3" t="str">
        <f t="shared" si="140"/>
        <v>Yes</v>
      </c>
      <c r="J2266" s="3" t="s">
        <v>684</v>
      </c>
      <c r="K2266" s="3">
        <v>2004</v>
      </c>
      <c r="L2266" s="3" t="str">
        <f t="shared" si="143"/>
        <v>Aug-2004</v>
      </c>
      <c r="M2266" s="3" t="s">
        <v>605</v>
      </c>
      <c r="N2266" s="3" t="s">
        <v>272</v>
      </c>
      <c r="O2266" s="3" t="s">
        <v>32</v>
      </c>
      <c r="P2266" s="3" t="s">
        <v>33</v>
      </c>
      <c r="Q2266" s="3" t="s">
        <v>36</v>
      </c>
    </row>
    <row r="2267" spans="1:17" x14ac:dyDescent="0.25">
      <c r="A2267" s="5">
        <v>10292</v>
      </c>
      <c r="B2267" s="5">
        <v>31</v>
      </c>
      <c r="C2267" s="5">
        <v>67.73</v>
      </c>
      <c r="D2267" s="5">
        <v>2099.63</v>
      </c>
      <c r="E2267" s="5" t="str">
        <f t="shared" si="141"/>
        <v>Medium</v>
      </c>
      <c r="F2267" s="5">
        <f t="shared" si="142"/>
        <v>629.88900000000001</v>
      </c>
      <c r="G2267" s="6">
        <v>38238</v>
      </c>
      <c r="H2267" s="5" t="s">
        <v>25</v>
      </c>
      <c r="I2267" s="5" t="str">
        <f t="shared" si="140"/>
        <v>Yes</v>
      </c>
      <c r="J2267" s="5" t="s">
        <v>690</v>
      </c>
      <c r="K2267" s="5">
        <v>2004</v>
      </c>
      <c r="L2267" s="5" t="str">
        <f t="shared" si="143"/>
        <v>Sep-2004</v>
      </c>
      <c r="M2267" s="5" t="s">
        <v>605</v>
      </c>
      <c r="N2267" s="5" t="s">
        <v>28</v>
      </c>
      <c r="O2267" s="5" t="s">
        <v>32</v>
      </c>
      <c r="P2267" s="5" t="s">
        <v>33</v>
      </c>
      <c r="Q2267" s="5" t="s">
        <v>36</v>
      </c>
    </row>
    <row r="2268" spans="1:17" x14ac:dyDescent="0.25">
      <c r="A2268" s="3">
        <v>10306</v>
      </c>
      <c r="B2268" s="3">
        <v>46</v>
      </c>
      <c r="C2268" s="3">
        <v>50.33</v>
      </c>
      <c r="D2268" s="3">
        <v>2315.1799999999998</v>
      </c>
      <c r="E2268" s="3" t="str">
        <f t="shared" si="141"/>
        <v>Medium</v>
      </c>
      <c r="F2268" s="3">
        <f t="shared" si="142"/>
        <v>694.55399999999997</v>
      </c>
      <c r="G2268" s="4">
        <v>38274</v>
      </c>
      <c r="H2268" s="3" t="s">
        <v>25</v>
      </c>
      <c r="I2268" s="3" t="str">
        <f t="shared" si="140"/>
        <v>Yes</v>
      </c>
      <c r="J2268" s="3" t="s">
        <v>685</v>
      </c>
      <c r="K2268" s="3">
        <v>2004</v>
      </c>
      <c r="L2268" s="3" t="str">
        <f t="shared" si="143"/>
        <v>Oct-2004</v>
      </c>
      <c r="M2268" s="3" t="s">
        <v>605</v>
      </c>
      <c r="N2268" s="3" t="s">
        <v>492</v>
      </c>
      <c r="O2268" s="3" t="s">
        <v>170</v>
      </c>
      <c r="P2268" s="3" t="s">
        <v>42</v>
      </c>
      <c r="Q2268" s="3" t="s">
        <v>36</v>
      </c>
    </row>
    <row r="2269" spans="1:17" x14ac:dyDescent="0.25">
      <c r="A2269" s="5">
        <v>10314</v>
      </c>
      <c r="B2269" s="5">
        <v>35</v>
      </c>
      <c r="C2269" s="5">
        <v>66.489999999999995</v>
      </c>
      <c r="D2269" s="5">
        <v>2327.1499999999996</v>
      </c>
      <c r="E2269" s="5" t="str">
        <f t="shared" si="141"/>
        <v>Medium</v>
      </c>
      <c r="F2269" s="5">
        <f t="shared" si="142"/>
        <v>698.14499999999987</v>
      </c>
      <c r="G2269" s="6">
        <v>38282</v>
      </c>
      <c r="H2269" s="5" t="s">
        <v>25</v>
      </c>
      <c r="I2269" s="5" t="str">
        <f t="shared" si="140"/>
        <v>Yes</v>
      </c>
      <c r="J2269" s="5" t="s">
        <v>685</v>
      </c>
      <c r="K2269" s="5">
        <v>2004</v>
      </c>
      <c r="L2269" s="5" t="str">
        <f t="shared" si="143"/>
        <v>Oct-2004</v>
      </c>
      <c r="M2269" s="5" t="s">
        <v>605</v>
      </c>
      <c r="N2269" s="5" t="s">
        <v>498</v>
      </c>
      <c r="O2269" s="5" t="s">
        <v>326</v>
      </c>
      <c r="P2269" s="5" t="s">
        <v>42</v>
      </c>
      <c r="Q2269" s="5" t="s">
        <v>36</v>
      </c>
    </row>
    <row r="2270" spans="1:17" x14ac:dyDescent="0.25">
      <c r="A2270" s="3">
        <v>10325</v>
      </c>
      <c r="B2270" s="3">
        <v>28</v>
      </c>
      <c r="C2270" s="3">
        <v>100</v>
      </c>
      <c r="D2270" s="3">
        <v>2800</v>
      </c>
      <c r="E2270" s="3" t="str">
        <f t="shared" si="141"/>
        <v>Medium</v>
      </c>
      <c r="F2270" s="3">
        <f t="shared" si="142"/>
        <v>840</v>
      </c>
      <c r="G2270" s="4">
        <v>38296</v>
      </c>
      <c r="H2270" s="3" t="s">
        <v>25</v>
      </c>
      <c r="I2270" s="3" t="str">
        <f t="shared" si="140"/>
        <v>Yes</v>
      </c>
      <c r="J2270" s="3" t="s">
        <v>686</v>
      </c>
      <c r="K2270" s="3">
        <v>2004</v>
      </c>
      <c r="L2270" s="3" t="str">
        <f t="shared" si="143"/>
        <v>Nov-2004</v>
      </c>
      <c r="M2270" s="3" t="s">
        <v>605</v>
      </c>
      <c r="N2270" s="3" t="s">
        <v>133</v>
      </c>
      <c r="O2270" s="3" t="s">
        <v>78</v>
      </c>
      <c r="P2270" s="3" t="s">
        <v>42</v>
      </c>
      <c r="Q2270" s="3" t="s">
        <v>51</v>
      </c>
    </row>
    <row r="2271" spans="1:17" x14ac:dyDescent="0.25">
      <c r="A2271" s="5">
        <v>10336</v>
      </c>
      <c r="B2271" s="5">
        <v>31</v>
      </c>
      <c r="C2271" s="5">
        <v>84.71</v>
      </c>
      <c r="D2271" s="5">
        <v>2626.0099999999998</v>
      </c>
      <c r="E2271" s="5" t="str">
        <f t="shared" si="141"/>
        <v>Medium</v>
      </c>
      <c r="F2271" s="5">
        <f t="shared" si="142"/>
        <v>787.80299999999988</v>
      </c>
      <c r="G2271" s="6">
        <v>38311</v>
      </c>
      <c r="H2271" s="5" t="s">
        <v>25</v>
      </c>
      <c r="I2271" s="5" t="str">
        <f t="shared" si="140"/>
        <v>Yes</v>
      </c>
      <c r="J2271" s="5" t="s">
        <v>686</v>
      </c>
      <c r="K2271" s="5">
        <v>2004</v>
      </c>
      <c r="L2271" s="5" t="str">
        <f t="shared" si="143"/>
        <v>Nov-2004</v>
      </c>
      <c r="M2271" s="5" t="s">
        <v>605</v>
      </c>
      <c r="N2271" s="5" t="s">
        <v>403</v>
      </c>
      <c r="O2271" s="5" t="s">
        <v>41</v>
      </c>
      <c r="P2271" s="5" t="s">
        <v>42</v>
      </c>
      <c r="Q2271" s="5" t="s">
        <v>36</v>
      </c>
    </row>
    <row r="2272" spans="1:17" x14ac:dyDescent="0.25">
      <c r="A2272" s="3">
        <v>10350</v>
      </c>
      <c r="B2272" s="3">
        <v>27</v>
      </c>
      <c r="C2272" s="3">
        <v>100</v>
      </c>
      <c r="D2272" s="3">
        <v>2700</v>
      </c>
      <c r="E2272" s="3" t="str">
        <f t="shared" si="141"/>
        <v>Medium</v>
      </c>
      <c r="F2272" s="3">
        <f t="shared" si="142"/>
        <v>810</v>
      </c>
      <c r="G2272" s="4">
        <v>38323</v>
      </c>
      <c r="H2272" s="3" t="s">
        <v>25</v>
      </c>
      <c r="I2272" s="3" t="str">
        <f t="shared" si="140"/>
        <v>Yes</v>
      </c>
      <c r="J2272" s="3" t="s">
        <v>687</v>
      </c>
      <c r="K2272" s="3">
        <v>2004</v>
      </c>
      <c r="L2272" s="3" t="str">
        <f t="shared" si="143"/>
        <v>Dec-2004</v>
      </c>
      <c r="M2272" s="3" t="s">
        <v>605</v>
      </c>
      <c r="N2272" s="3" t="s">
        <v>174</v>
      </c>
      <c r="O2272" s="3" t="s">
        <v>178</v>
      </c>
      <c r="P2272" s="3" t="s">
        <v>42</v>
      </c>
      <c r="Q2272" s="3" t="s">
        <v>51</v>
      </c>
    </row>
    <row r="2273" spans="1:17" x14ac:dyDescent="0.25">
      <c r="A2273" s="5">
        <v>10359</v>
      </c>
      <c r="B2273" s="5">
        <v>22</v>
      </c>
      <c r="C2273" s="5">
        <v>100</v>
      </c>
      <c r="D2273" s="5">
        <v>2200</v>
      </c>
      <c r="E2273" s="5" t="str">
        <f t="shared" si="141"/>
        <v>Medium</v>
      </c>
      <c r="F2273" s="5">
        <f t="shared" si="142"/>
        <v>660</v>
      </c>
      <c r="G2273" s="6">
        <v>38336</v>
      </c>
      <c r="H2273" s="5" t="s">
        <v>25</v>
      </c>
      <c r="I2273" s="5" t="str">
        <f t="shared" si="140"/>
        <v>Yes</v>
      </c>
      <c r="J2273" s="5" t="s">
        <v>687</v>
      </c>
      <c r="K2273" s="5">
        <v>2004</v>
      </c>
      <c r="L2273" s="5" t="str">
        <f t="shared" si="143"/>
        <v>Dec-2004</v>
      </c>
      <c r="M2273" s="5" t="s">
        <v>605</v>
      </c>
      <c r="N2273" s="5" t="s">
        <v>37</v>
      </c>
      <c r="O2273" s="5" t="s">
        <v>41</v>
      </c>
      <c r="P2273" s="5" t="s">
        <v>42</v>
      </c>
      <c r="Q2273" s="5" t="s">
        <v>51</v>
      </c>
    </row>
    <row r="2274" spans="1:17" x14ac:dyDescent="0.25">
      <c r="A2274" s="3">
        <v>10371</v>
      </c>
      <c r="B2274" s="3">
        <v>30</v>
      </c>
      <c r="C2274" s="3">
        <v>99.55</v>
      </c>
      <c r="D2274" s="3">
        <v>2986.5</v>
      </c>
      <c r="E2274" s="3" t="str">
        <f t="shared" si="141"/>
        <v>Medium</v>
      </c>
      <c r="F2274" s="3">
        <f t="shared" si="142"/>
        <v>895.94999999999993</v>
      </c>
      <c r="G2274" s="4">
        <v>38375</v>
      </c>
      <c r="H2274" s="3" t="s">
        <v>25</v>
      </c>
      <c r="I2274" s="3" t="str">
        <f t="shared" si="140"/>
        <v>Yes</v>
      </c>
      <c r="J2274" s="3" t="s">
        <v>549</v>
      </c>
      <c r="K2274" s="3">
        <v>2005</v>
      </c>
      <c r="L2274" s="3" t="str">
        <f t="shared" si="143"/>
        <v>Jan-2005</v>
      </c>
      <c r="M2274" s="3" t="s">
        <v>605</v>
      </c>
      <c r="N2274" s="3" t="s">
        <v>272</v>
      </c>
      <c r="O2274" s="3" t="s">
        <v>32</v>
      </c>
      <c r="P2274" s="3" t="s">
        <v>33</v>
      </c>
      <c r="Q2274" s="3" t="s">
        <v>36</v>
      </c>
    </row>
    <row r="2275" spans="1:17" x14ac:dyDescent="0.25">
      <c r="A2275" s="5">
        <v>10383</v>
      </c>
      <c r="B2275" s="5">
        <v>44</v>
      </c>
      <c r="C2275" s="5">
        <v>36.07</v>
      </c>
      <c r="D2275" s="5">
        <v>1587.08</v>
      </c>
      <c r="E2275" s="5" t="str">
        <f t="shared" si="141"/>
        <v>Low</v>
      </c>
      <c r="F2275" s="5">
        <f t="shared" si="142"/>
        <v>476.12399999999997</v>
      </c>
      <c r="G2275" s="6">
        <v>38405</v>
      </c>
      <c r="H2275" s="5" t="s">
        <v>25</v>
      </c>
      <c r="I2275" s="5" t="str">
        <f t="shared" si="140"/>
        <v>Yes</v>
      </c>
      <c r="J2275" s="5" t="s">
        <v>681</v>
      </c>
      <c r="K2275" s="5">
        <v>2005</v>
      </c>
      <c r="L2275" s="5" t="str">
        <f t="shared" si="143"/>
        <v>Feb-2005</v>
      </c>
      <c r="M2275" s="5" t="s">
        <v>605</v>
      </c>
      <c r="N2275" s="5" t="s">
        <v>174</v>
      </c>
      <c r="O2275" s="5" t="s">
        <v>178</v>
      </c>
      <c r="P2275" s="5" t="s">
        <v>42</v>
      </c>
      <c r="Q2275" s="5" t="s">
        <v>36</v>
      </c>
    </row>
    <row r="2276" spans="1:17" x14ac:dyDescent="0.25">
      <c r="A2276" s="3">
        <v>10394</v>
      </c>
      <c r="B2276" s="3">
        <v>30</v>
      </c>
      <c r="C2276" s="3">
        <v>60.28</v>
      </c>
      <c r="D2276" s="3">
        <v>1808.4</v>
      </c>
      <c r="E2276" s="3" t="str">
        <f t="shared" si="141"/>
        <v>Low</v>
      </c>
      <c r="F2276" s="3">
        <f t="shared" si="142"/>
        <v>542.52</v>
      </c>
      <c r="G2276" s="4">
        <v>38426</v>
      </c>
      <c r="H2276" s="3" t="s">
        <v>25</v>
      </c>
      <c r="I2276" s="3" t="str">
        <f t="shared" si="140"/>
        <v>Yes</v>
      </c>
      <c r="J2276" s="3" t="s">
        <v>691</v>
      </c>
      <c r="K2276" s="3">
        <v>2005</v>
      </c>
      <c r="L2276" s="3" t="str">
        <f t="shared" si="143"/>
        <v>Mar-2005</v>
      </c>
      <c r="M2276" s="3" t="s">
        <v>605</v>
      </c>
      <c r="N2276" s="3" t="s">
        <v>174</v>
      </c>
      <c r="O2276" s="3" t="s">
        <v>178</v>
      </c>
      <c r="P2276" s="3" t="s">
        <v>42</v>
      </c>
      <c r="Q2276" s="3" t="s">
        <v>36</v>
      </c>
    </row>
    <row r="2277" spans="1:17" x14ac:dyDescent="0.25">
      <c r="A2277" s="5">
        <v>10413</v>
      </c>
      <c r="B2277" s="5">
        <v>24</v>
      </c>
      <c r="C2277" s="5">
        <v>49.71</v>
      </c>
      <c r="D2277" s="5">
        <v>1193.04</v>
      </c>
      <c r="E2277" s="5" t="str">
        <f t="shared" si="141"/>
        <v>Low</v>
      </c>
      <c r="F2277" s="5">
        <f t="shared" si="142"/>
        <v>357.91199999999998</v>
      </c>
      <c r="G2277" s="6">
        <v>38477</v>
      </c>
      <c r="H2277" s="5" t="s">
        <v>25</v>
      </c>
      <c r="I2277" s="5" t="str">
        <f t="shared" si="140"/>
        <v>Yes</v>
      </c>
      <c r="J2277" s="5" t="s">
        <v>682</v>
      </c>
      <c r="K2277" s="5">
        <v>2005</v>
      </c>
      <c r="L2277" s="5" t="str">
        <f t="shared" si="143"/>
        <v>May-2005</v>
      </c>
      <c r="M2277" s="5" t="s">
        <v>605</v>
      </c>
      <c r="N2277" s="5" t="s">
        <v>109</v>
      </c>
      <c r="O2277" s="5" t="s">
        <v>32</v>
      </c>
      <c r="P2277" s="5" t="s">
        <v>33</v>
      </c>
      <c r="Q2277" s="5" t="s">
        <v>36</v>
      </c>
    </row>
    <row r="2278" spans="1:17" x14ac:dyDescent="0.25">
      <c r="A2278" s="3">
        <v>10103</v>
      </c>
      <c r="B2278" s="3">
        <v>45</v>
      </c>
      <c r="C2278" s="3">
        <v>75.63</v>
      </c>
      <c r="D2278" s="3">
        <v>3403.35</v>
      </c>
      <c r="E2278" s="3" t="str">
        <f t="shared" si="141"/>
        <v>Medium</v>
      </c>
      <c r="F2278" s="3">
        <f t="shared" si="142"/>
        <v>1021.0049999999999</v>
      </c>
      <c r="G2278" s="4">
        <v>37650</v>
      </c>
      <c r="H2278" s="3" t="s">
        <v>25</v>
      </c>
      <c r="I2278" s="3" t="str">
        <f t="shared" si="140"/>
        <v>Yes</v>
      </c>
      <c r="J2278" s="3" t="s">
        <v>549</v>
      </c>
      <c r="K2278" s="3">
        <v>2003</v>
      </c>
      <c r="L2278" s="3" t="str">
        <f t="shared" si="143"/>
        <v>Jan-2003</v>
      </c>
      <c r="M2278" s="3" t="s">
        <v>504</v>
      </c>
      <c r="N2278" s="3" t="s">
        <v>133</v>
      </c>
      <c r="O2278" s="3" t="s">
        <v>78</v>
      </c>
      <c r="P2278" s="3" t="s">
        <v>42</v>
      </c>
      <c r="Q2278" s="3" t="s">
        <v>51</v>
      </c>
    </row>
    <row r="2279" spans="1:17" x14ac:dyDescent="0.25">
      <c r="A2279" s="5">
        <v>10113</v>
      </c>
      <c r="B2279" s="5">
        <v>23</v>
      </c>
      <c r="C2279" s="5">
        <v>68.52</v>
      </c>
      <c r="D2279" s="5">
        <v>1575.9599999999998</v>
      </c>
      <c r="E2279" s="5" t="str">
        <f t="shared" si="141"/>
        <v>Low</v>
      </c>
      <c r="F2279" s="5">
        <f t="shared" si="142"/>
        <v>472.7879999999999</v>
      </c>
      <c r="G2279" s="6">
        <v>37706</v>
      </c>
      <c r="H2279" s="5" t="s">
        <v>25</v>
      </c>
      <c r="I2279" s="5" t="str">
        <f t="shared" si="140"/>
        <v>Yes</v>
      </c>
      <c r="J2279" s="5" t="s">
        <v>691</v>
      </c>
      <c r="K2279" s="5">
        <v>2003</v>
      </c>
      <c r="L2279" s="5" t="str">
        <f t="shared" si="143"/>
        <v>Mar-2003</v>
      </c>
      <c r="M2279" s="5" t="s">
        <v>504</v>
      </c>
      <c r="N2279" s="5" t="s">
        <v>272</v>
      </c>
      <c r="O2279" s="5" t="s">
        <v>32</v>
      </c>
      <c r="P2279" s="5" t="s">
        <v>33</v>
      </c>
      <c r="Q2279" s="5" t="s">
        <v>36</v>
      </c>
    </row>
    <row r="2280" spans="1:17" x14ac:dyDescent="0.25">
      <c r="A2280" s="3">
        <v>10126</v>
      </c>
      <c r="B2280" s="3">
        <v>26</v>
      </c>
      <c r="C2280" s="3">
        <v>62.7</v>
      </c>
      <c r="D2280" s="3">
        <v>1630.2</v>
      </c>
      <c r="E2280" s="3" t="str">
        <f t="shared" si="141"/>
        <v>Low</v>
      </c>
      <c r="F2280" s="3">
        <f t="shared" si="142"/>
        <v>489.06</v>
      </c>
      <c r="G2280" s="4">
        <v>37769</v>
      </c>
      <c r="H2280" s="3" t="s">
        <v>25</v>
      </c>
      <c r="I2280" s="3" t="str">
        <f t="shared" si="140"/>
        <v>Yes</v>
      </c>
      <c r="J2280" s="3" t="s">
        <v>682</v>
      </c>
      <c r="K2280" s="3">
        <v>2003</v>
      </c>
      <c r="L2280" s="3" t="str">
        <f t="shared" si="143"/>
        <v>May-2003</v>
      </c>
      <c r="M2280" s="3" t="s">
        <v>504</v>
      </c>
      <c r="N2280" s="3" t="s">
        <v>191</v>
      </c>
      <c r="O2280" s="3" t="s">
        <v>178</v>
      </c>
      <c r="P2280" s="3" t="s">
        <v>42</v>
      </c>
      <c r="Q2280" s="3" t="s">
        <v>36</v>
      </c>
    </row>
    <row r="2281" spans="1:17" x14ac:dyDescent="0.25">
      <c r="A2281" s="5">
        <v>10140</v>
      </c>
      <c r="B2281" s="5">
        <v>28</v>
      </c>
      <c r="C2281" s="5">
        <v>60.76</v>
      </c>
      <c r="D2281" s="5">
        <v>1701.28</v>
      </c>
      <c r="E2281" s="5" t="str">
        <f t="shared" si="141"/>
        <v>Low</v>
      </c>
      <c r="F2281" s="5">
        <f t="shared" si="142"/>
        <v>510.38399999999996</v>
      </c>
      <c r="G2281" s="6">
        <v>37826</v>
      </c>
      <c r="H2281" s="5" t="s">
        <v>25</v>
      </c>
      <c r="I2281" s="5" t="str">
        <f t="shared" si="140"/>
        <v>Yes</v>
      </c>
      <c r="J2281" s="5" t="s">
        <v>683</v>
      </c>
      <c r="K2281" s="5">
        <v>2003</v>
      </c>
      <c r="L2281" s="5" t="str">
        <f t="shared" si="143"/>
        <v>Jul-2003</v>
      </c>
      <c r="M2281" s="5" t="s">
        <v>504</v>
      </c>
      <c r="N2281" s="5" t="s">
        <v>62</v>
      </c>
      <c r="O2281" s="5" t="s">
        <v>32</v>
      </c>
      <c r="P2281" s="5" t="s">
        <v>33</v>
      </c>
      <c r="Q2281" s="5" t="s">
        <v>36</v>
      </c>
    </row>
    <row r="2282" spans="1:17" x14ac:dyDescent="0.25">
      <c r="A2282" s="3">
        <v>10150</v>
      </c>
      <c r="B2282" s="3">
        <v>49</v>
      </c>
      <c r="C2282" s="3">
        <v>58.18</v>
      </c>
      <c r="D2282" s="3">
        <v>2850.82</v>
      </c>
      <c r="E2282" s="3" t="str">
        <f t="shared" si="141"/>
        <v>Medium</v>
      </c>
      <c r="F2282" s="3">
        <f t="shared" si="142"/>
        <v>855.24599999999998</v>
      </c>
      <c r="G2282" s="4">
        <v>37883</v>
      </c>
      <c r="H2282" s="3" t="s">
        <v>25</v>
      </c>
      <c r="I2282" s="3" t="str">
        <f t="shared" si="140"/>
        <v>Yes</v>
      </c>
      <c r="J2282" s="3" t="s">
        <v>690</v>
      </c>
      <c r="K2282" s="3">
        <v>2003</v>
      </c>
      <c r="L2282" s="3" t="str">
        <f t="shared" si="143"/>
        <v>Sep-2003</v>
      </c>
      <c r="M2282" s="3" t="s">
        <v>504</v>
      </c>
      <c r="N2282" s="3" t="s">
        <v>196</v>
      </c>
      <c r="O2282" s="3" t="s">
        <v>199</v>
      </c>
      <c r="P2282" s="3" t="s">
        <v>675</v>
      </c>
      <c r="Q2282" s="3" t="s">
        <v>36</v>
      </c>
    </row>
    <row r="2283" spans="1:17" x14ac:dyDescent="0.25">
      <c r="A2283" s="5">
        <v>10164</v>
      </c>
      <c r="B2283" s="5">
        <v>49</v>
      </c>
      <c r="C2283" s="5">
        <v>54.94</v>
      </c>
      <c r="D2283" s="5">
        <v>2692.06</v>
      </c>
      <c r="E2283" s="5" t="str">
        <f t="shared" si="141"/>
        <v>Medium</v>
      </c>
      <c r="F2283" s="5">
        <f t="shared" si="142"/>
        <v>807.61799999999994</v>
      </c>
      <c r="G2283" s="6">
        <v>37915</v>
      </c>
      <c r="H2283" s="5" t="s">
        <v>408</v>
      </c>
      <c r="I2283" s="5" t="str">
        <f t="shared" si="140"/>
        <v>No</v>
      </c>
      <c r="J2283" s="5" t="s">
        <v>685</v>
      </c>
      <c r="K2283" s="5">
        <v>2003</v>
      </c>
      <c r="L2283" s="5" t="str">
        <f t="shared" si="143"/>
        <v>Oct-2003</v>
      </c>
      <c r="M2283" s="5" t="s">
        <v>504</v>
      </c>
      <c r="N2283" s="5" t="s">
        <v>409</v>
      </c>
      <c r="O2283" s="5" t="s">
        <v>148</v>
      </c>
      <c r="P2283" s="5" t="s">
        <v>42</v>
      </c>
      <c r="Q2283" s="5" t="s">
        <v>36</v>
      </c>
    </row>
    <row r="2284" spans="1:17" x14ac:dyDescent="0.25">
      <c r="A2284" s="3">
        <v>10175</v>
      </c>
      <c r="B2284" s="3">
        <v>29</v>
      </c>
      <c r="C2284" s="3">
        <v>74.98</v>
      </c>
      <c r="D2284" s="3">
        <v>2174.42</v>
      </c>
      <c r="E2284" s="3" t="str">
        <f t="shared" si="141"/>
        <v>Medium</v>
      </c>
      <c r="F2284" s="3">
        <f t="shared" si="142"/>
        <v>652.32600000000002</v>
      </c>
      <c r="G2284" s="4">
        <v>37931</v>
      </c>
      <c r="H2284" s="3" t="s">
        <v>25</v>
      </c>
      <c r="I2284" s="3" t="str">
        <f t="shared" si="140"/>
        <v>Yes</v>
      </c>
      <c r="J2284" s="3" t="s">
        <v>686</v>
      </c>
      <c r="K2284" s="3">
        <v>2003</v>
      </c>
      <c r="L2284" s="3" t="str">
        <f t="shared" si="143"/>
        <v>Nov-2003</v>
      </c>
      <c r="M2284" s="3" t="s">
        <v>504</v>
      </c>
      <c r="N2284" s="3" t="s">
        <v>329</v>
      </c>
      <c r="O2284" s="3" t="s">
        <v>170</v>
      </c>
      <c r="P2284" s="3" t="s">
        <v>42</v>
      </c>
      <c r="Q2284" s="3" t="s">
        <v>36</v>
      </c>
    </row>
    <row r="2285" spans="1:17" x14ac:dyDescent="0.25">
      <c r="A2285" s="5">
        <v>10183</v>
      </c>
      <c r="B2285" s="5">
        <v>49</v>
      </c>
      <c r="C2285" s="5">
        <v>64.64</v>
      </c>
      <c r="D2285" s="5">
        <v>3167.36</v>
      </c>
      <c r="E2285" s="5" t="str">
        <f t="shared" si="141"/>
        <v>Medium</v>
      </c>
      <c r="F2285" s="5">
        <f t="shared" si="142"/>
        <v>950.20799999999997</v>
      </c>
      <c r="G2285" s="6">
        <v>37938</v>
      </c>
      <c r="H2285" s="5" t="s">
        <v>25</v>
      </c>
      <c r="I2285" s="5" t="str">
        <f t="shared" si="140"/>
        <v>Yes</v>
      </c>
      <c r="J2285" s="5" t="s">
        <v>686</v>
      </c>
      <c r="K2285" s="5">
        <v>2003</v>
      </c>
      <c r="L2285" s="5" t="str">
        <f t="shared" si="143"/>
        <v>Nov-2003</v>
      </c>
      <c r="M2285" s="5" t="s">
        <v>504</v>
      </c>
      <c r="N2285" s="5" t="s">
        <v>214</v>
      </c>
      <c r="O2285" s="5" t="s">
        <v>32</v>
      </c>
      <c r="P2285" s="5" t="s">
        <v>33</v>
      </c>
      <c r="Q2285" s="5" t="s">
        <v>51</v>
      </c>
    </row>
    <row r="2286" spans="1:17" x14ac:dyDescent="0.25">
      <c r="A2286" s="3">
        <v>10194</v>
      </c>
      <c r="B2286" s="3">
        <v>39</v>
      </c>
      <c r="C2286" s="3">
        <v>54.94</v>
      </c>
      <c r="D2286" s="3">
        <v>2142.66</v>
      </c>
      <c r="E2286" s="3" t="str">
        <f t="shared" si="141"/>
        <v>Medium</v>
      </c>
      <c r="F2286" s="3">
        <f t="shared" si="142"/>
        <v>642.79799999999989</v>
      </c>
      <c r="G2286" s="4">
        <v>37950</v>
      </c>
      <c r="H2286" s="3" t="s">
        <v>25</v>
      </c>
      <c r="I2286" s="3" t="str">
        <f t="shared" si="140"/>
        <v>Yes</v>
      </c>
      <c r="J2286" s="3" t="s">
        <v>686</v>
      </c>
      <c r="K2286" s="3">
        <v>2003</v>
      </c>
      <c r="L2286" s="3" t="str">
        <f t="shared" si="143"/>
        <v>Nov-2003</v>
      </c>
      <c r="M2286" s="3" t="s">
        <v>504</v>
      </c>
      <c r="N2286" s="3" t="s">
        <v>219</v>
      </c>
      <c r="O2286" s="3" t="s">
        <v>41</v>
      </c>
      <c r="P2286" s="3" t="s">
        <v>42</v>
      </c>
      <c r="Q2286" s="3" t="s">
        <v>36</v>
      </c>
    </row>
    <row r="2287" spans="1:17" x14ac:dyDescent="0.25">
      <c r="A2287" s="5">
        <v>10206</v>
      </c>
      <c r="B2287" s="5">
        <v>36</v>
      </c>
      <c r="C2287" s="5">
        <v>58.82</v>
      </c>
      <c r="D2287" s="5">
        <v>2117.52</v>
      </c>
      <c r="E2287" s="5" t="str">
        <f t="shared" si="141"/>
        <v>Medium</v>
      </c>
      <c r="F2287" s="5">
        <f t="shared" si="142"/>
        <v>635.25599999999997</v>
      </c>
      <c r="G2287" s="6">
        <v>37960</v>
      </c>
      <c r="H2287" s="5" t="s">
        <v>25</v>
      </c>
      <c r="I2287" s="5" t="str">
        <f t="shared" si="140"/>
        <v>Yes</v>
      </c>
      <c r="J2287" s="5" t="s">
        <v>687</v>
      </c>
      <c r="K2287" s="5">
        <v>2003</v>
      </c>
      <c r="L2287" s="5" t="str">
        <f t="shared" si="143"/>
        <v>Dec-2003</v>
      </c>
      <c r="M2287" s="5" t="s">
        <v>504</v>
      </c>
      <c r="N2287" s="5" t="s">
        <v>225</v>
      </c>
      <c r="O2287" s="5" t="s">
        <v>231</v>
      </c>
      <c r="P2287" s="5" t="s">
        <v>33</v>
      </c>
      <c r="Q2287" s="5" t="s">
        <v>36</v>
      </c>
    </row>
    <row r="2288" spans="1:17" x14ac:dyDescent="0.25">
      <c r="A2288" s="3">
        <v>10217</v>
      </c>
      <c r="B2288" s="3">
        <v>39</v>
      </c>
      <c r="C2288" s="3">
        <v>62.05</v>
      </c>
      <c r="D2288" s="3">
        <v>2419.9499999999998</v>
      </c>
      <c r="E2288" s="3" t="str">
        <f t="shared" si="141"/>
        <v>Medium</v>
      </c>
      <c r="F2288" s="3">
        <f t="shared" si="142"/>
        <v>725.9849999999999</v>
      </c>
      <c r="G2288" s="4">
        <v>38021</v>
      </c>
      <c r="H2288" s="3" t="s">
        <v>25</v>
      </c>
      <c r="I2288" s="3" t="str">
        <f t="shared" si="140"/>
        <v>Yes</v>
      </c>
      <c r="J2288" s="3" t="s">
        <v>681</v>
      </c>
      <c r="K2288" s="3">
        <v>2004</v>
      </c>
      <c r="L2288" s="3" t="str">
        <f t="shared" si="143"/>
        <v>Feb-2004</v>
      </c>
      <c r="M2288" s="3" t="s">
        <v>504</v>
      </c>
      <c r="N2288" s="3" t="s">
        <v>418</v>
      </c>
      <c r="O2288" s="3" t="s">
        <v>199</v>
      </c>
      <c r="P2288" s="3" t="s">
        <v>96</v>
      </c>
      <c r="Q2288" s="3" t="s">
        <v>36</v>
      </c>
    </row>
    <row r="2289" spans="1:17" x14ac:dyDescent="0.25">
      <c r="A2289" s="5">
        <v>10229</v>
      </c>
      <c r="B2289" s="5">
        <v>30</v>
      </c>
      <c r="C2289" s="5">
        <v>73.040000000000006</v>
      </c>
      <c r="D2289" s="5">
        <v>2191.2000000000003</v>
      </c>
      <c r="E2289" s="5" t="str">
        <f t="shared" si="141"/>
        <v>Medium</v>
      </c>
      <c r="F2289" s="5">
        <f t="shared" si="142"/>
        <v>657.36</v>
      </c>
      <c r="G2289" s="6">
        <v>38057</v>
      </c>
      <c r="H2289" s="5" t="s">
        <v>25</v>
      </c>
      <c r="I2289" s="5" t="str">
        <f t="shared" si="140"/>
        <v>Yes</v>
      </c>
      <c r="J2289" s="5" t="s">
        <v>691</v>
      </c>
      <c r="K2289" s="5">
        <v>2004</v>
      </c>
      <c r="L2289" s="5" t="str">
        <f t="shared" si="143"/>
        <v>Mar-2004</v>
      </c>
      <c r="M2289" s="5" t="s">
        <v>504</v>
      </c>
      <c r="N2289" s="5" t="s">
        <v>272</v>
      </c>
      <c r="O2289" s="5" t="s">
        <v>32</v>
      </c>
      <c r="P2289" s="5" t="s">
        <v>33</v>
      </c>
      <c r="Q2289" s="5" t="s">
        <v>36</v>
      </c>
    </row>
    <row r="2290" spans="1:17" x14ac:dyDescent="0.25">
      <c r="A2290" s="3">
        <v>10245</v>
      </c>
      <c r="B2290" s="3">
        <v>44</v>
      </c>
      <c r="C2290" s="3">
        <v>69.16</v>
      </c>
      <c r="D2290" s="3">
        <v>3043.04</v>
      </c>
      <c r="E2290" s="3" t="str">
        <f t="shared" si="141"/>
        <v>Medium</v>
      </c>
      <c r="F2290" s="3">
        <f t="shared" si="142"/>
        <v>912.91199999999992</v>
      </c>
      <c r="G2290" s="4">
        <v>38111</v>
      </c>
      <c r="H2290" s="3" t="s">
        <v>25</v>
      </c>
      <c r="I2290" s="3" t="str">
        <f t="shared" si="140"/>
        <v>Yes</v>
      </c>
      <c r="J2290" s="3" t="s">
        <v>682</v>
      </c>
      <c r="K2290" s="3">
        <v>2004</v>
      </c>
      <c r="L2290" s="3" t="str">
        <f t="shared" si="143"/>
        <v>May-2004</v>
      </c>
      <c r="M2290" s="3" t="s">
        <v>504</v>
      </c>
      <c r="N2290" s="3" t="s">
        <v>242</v>
      </c>
      <c r="O2290" s="3" t="s">
        <v>32</v>
      </c>
      <c r="P2290" s="3" t="s">
        <v>33</v>
      </c>
      <c r="Q2290" s="3" t="s">
        <v>51</v>
      </c>
    </row>
    <row r="2291" spans="1:17" x14ac:dyDescent="0.25">
      <c r="A2291" s="5">
        <v>10258</v>
      </c>
      <c r="B2291" s="5">
        <v>20</v>
      </c>
      <c r="C2291" s="5">
        <v>61.41</v>
      </c>
      <c r="D2291" s="5">
        <v>1228.1999999999998</v>
      </c>
      <c r="E2291" s="5" t="str">
        <f t="shared" si="141"/>
        <v>Low</v>
      </c>
      <c r="F2291" s="5">
        <f t="shared" si="142"/>
        <v>368.45999999999992</v>
      </c>
      <c r="G2291" s="6">
        <v>38153</v>
      </c>
      <c r="H2291" s="5" t="s">
        <v>25</v>
      </c>
      <c r="I2291" s="5" t="str">
        <f t="shared" si="140"/>
        <v>Yes</v>
      </c>
      <c r="J2291" s="5" t="s">
        <v>689</v>
      </c>
      <c r="K2291" s="5">
        <v>2004</v>
      </c>
      <c r="L2291" s="5" t="str">
        <f t="shared" si="143"/>
        <v>Jun-2004</v>
      </c>
      <c r="M2291" s="5" t="s">
        <v>504</v>
      </c>
      <c r="N2291" s="5" t="s">
        <v>246</v>
      </c>
      <c r="O2291" s="5" t="s">
        <v>200</v>
      </c>
      <c r="P2291" s="5" t="s">
        <v>675</v>
      </c>
      <c r="Q2291" s="5" t="s">
        <v>36</v>
      </c>
    </row>
    <row r="2292" spans="1:17" x14ac:dyDescent="0.25">
      <c r="A2292" s="3">
        <v>10270</v>
      </c>
      <c r="B2292" s="3">
        <v>21</v>
      </c>
      <c r="C2292" s="3">
        <v>63.35</v>
      </c>
      <c r="D2292" s="3">
        <v>1330.3500000000001</v>
      </c>
      <c r="E2292" s="3" t="str">
        <f t="shared" si="141"/>
        <v>Low</v>
      </c>
      <c r="F2292" s="3">
        <f t="shared" si="142"/>
        <v>399.10500000000002</v>
      </c>
      <c r="G2292" s="4">
        <v>38187</v>
      </c>
      <c r="H2292" s="3" t="s">
        <v>25</v>
      </c>
      <c r="I2292" s="3" t="str">
        <f t="shared" si="140"/>
        <v>Yes</v>
      </c>
      <c r="J2292" s="3" t="s">
        <v>683</v>
      </c>
      <c r="K2292" s="3">
        <v>2004</v>
      </c>
      <c r="L2292" s="3" t="str">
        <f t="shared" si="143"/>
        <v>Jul-2004</v>
      </c>
      <c r="M2292" s="3" t="s">
        <v>504</v>
      </c>
      <c r="N2292" s="3" t="s">
        <v>152</v>
      </c>
      <c r="O2292" s="3" t="s">
        <v>95</v>
      </c>
      <c r="P2292" s="3" t="s">
        <v>96</v>
      </c>
      <c r="Q2292" s="3" t="s">
        <v>36</v>
      </c>
    </row>
    <row r="2293" spans="1:17" x14ac:dyDescent="0.25">
      <c r="A2293" s="5">
        <v>10281</v>
      </c>
      <c r="B2293" s="5">
        <v>36</v>
      </c>
      <c r="C2293" s="5">
        <v>77.569999999999993</v>
      </c>
      <c r="D2293" s="5">
        <v>2792.5199999999995</v>
      </c>
      <c r="E2293" s="5" t="str">
        <f t="shared" si="141"/>
        <v>Medium</v>
      </c>
      <c r="F2293" s="5">
        <f t="shared" si="142"/>
        <v>837.75599999999986</v>
      </c>
      <c r="G2293" s="6">
        <v>38218</v>
      </c>
      <c r="H2293" s="5" t="s">
        <v>25</v>
      </c>
      <c r="I2293" s="5" t="str">
        <f t="shared" si="140"/>
        <v>Yes</v>
      </c>
      <c r="J2293" s="5" t="s">
        <v>684</v>
      </c>
      <c r="K2293" s="5">
        <v>2004</v>
      </c>
      <c r="L2293" s="5" t="str">
        <f t="shared" si="143"/>
        <v>Aug-2004</v>
      </c>
      <c r="M2293" s="5" t="s">
        <v>504</v>
      </c>
      <c r="N2293" s="5" t="s">
        <v>139</v>
      </c>
      <c r="O2293" s="5" t="s">
        <v>32</v>
      </c>
      <c r="P2293" s="5" t="s">
        <v>33</v>
      </c>
      <c r="Q2293" s="5" t="s">
        <v>36</v>
      </c>
    </row>
    <row r="2294" spans="1:17" x14ac:dyDescent="0.25">
      <c r="A2294" s="3">
        <v>10291</v>
      </c>
      <c r="B2294" s="3">
        <v>32</v>
      </c>
      <c r="C2294" s="3">
        <v>71.75</v>
      </c>
      <c r="D2294" s="3">
        <v>2296</v>
      </c>
      <c r="E2294" s="3" t="str">
        <f t="shared" si="141"/>
        <v>Medium</v>
      </c>
      <c r="F2294" s="3">
        <f t="shared" si="142"/>
        <v>688.8</v>
      </c>
      <c r="G2294" s="4">
        <v>38238</v>
      </c>
      <c r="H2294" s="3" t="s">
        <v>25</v>
      </c>
      <c r="I2294" s="3" t="str">
        <f t="shared" si="140"/>
        <v>Yes</v>
      </c>
      <c r="J2294" s="3" t="s">
        <v>690</v>
      </c>
      <c r="K2294" s="3">
        <v>2004</v>
      </c>
      <c r="L2294" s="3" t="str">
        <f t="shared" si="143"/>
        <v>Sep-2004</v>
      </c>
      <c r="M2294" s="3" t="s">
        <v>504</v>
      </c>
      <c r="N2294" s="3" t="s">
        <v>261</v>
      </c>
      <c r="O2294" s="3" t="s">
        <v>188</v>
      </c>
      <c r="P2294" s="3" t="s">
        <v>42</v>
      </c>
      <c r="Q2294" s="3" t="s">
        <v>36</v>
      </c>
    </row>
    <row r="2295" spans="1:17" x14ac:dyDescent="0.25">
      <c r="A2295" s="5">
        <v>10304</v>
      </c>
      <c r="B2295" s="5">
        <v>36</v>
      </c>
      <c r="C2295" s="5">
        <v>73.040000000000006</v>
      </c>
      <c r="D2295" s="5">
        <v>2629.44</v>
      </c>
      <c r="E2295" s="5" t="str">
        <f t="shared" si="141"/>
        <v>Medium</v>
      </c>
      <c r="F2295" s="5">
        <f t="shared" si="142"/>
        <v>788.83199999999999</v>
      </c>
      <c r="G2295" s="6">
        <v>38271</v>
      </c>
      <c r="H2295" s="5" t="s">
        <v>25</v>
      </c>
      <c r="I2295" s="5" t="str">
        <f t="shared" si="140"/>
        <v>Yes</v>
      </c>
      <c r="J2295" s="5" t="s">
        <v>685</v>
      </c>
      <c r="K2295" s="5">
        <v>2004</v>
      </c>
      <c r="L2295" s="5" t="str">
        <f t="shared" si="143"/>
        <v>Oct-2004</v>
      </c>
      <c r="M2295" s="5" t="s">
        <v>504</v>
      </c>
      <c r="N2295" s="5" t="s">
        <v>267</v>
      </c>
      <c r="O2295" s="5" t="s">
        <v>41</v>
      </c>
      <c r="P2295" s="5" t="s">
        <v>42</v>
      </c>
      <c r="Q2295" s="5" t="s">
        <v>36</v>
      </c>
    </row>
    <row r="2296" spans="1:17" x14ac:dyDescent="0.25">
      <c r="A2296" s="3">
        <v>10313</v>
      </c>
      <c r="B2296" s="3">
        <v>34</v>
      </c>
      <c r="C2296" s="3">
        <v>56.24</v>
      </c>
      <c r="D2296" s="3">
        <v>1912.16</v>
      </c>
      <c r="E2296" s="3" t="str">
        <f t="shared" si="141"/>
        <v>Low</v>
      </c>
      <c r="F2296" s="3">
        <f t="shared" si="142"/>
        <v>573.64800000000002</v>
      </c>
      <c r="G2296" s="4">
        <v>38282</v>
      </c>
      <c r="H2296" s="3" t="s">
        <v>25</v>
      </c>
      <c r="I2296" s="3" t="str">
        <f t="shared" si="140"/>
        <v>Yes</v>
      </c>
      <c r="J2296" s="3" t="s">
        <v>685</v>
      </c>
      <c r="K2296" s="3">
        <v>2004</v>
      </c>
      <c r="L2296" s="3" t="str">
        <f t="shared" si="143"/>
        <v>Oct-2004</v>
      </c>
      <c r="M2296" s="3" t="s">
        <v>504</v>
      </c>
      <c r="N2296" s="3" t="s">
        <v>225</v>
      </c>
      <c r="O2296" s="3" t="s">
        <v>231</v>
      </c>
      <c r="P2296" s="3" t="s">
        <v>33</v>
      </c>
      <c r="Q2296" s="3" t="s">
        <v>36</v>
      </c>
    </row>
    <row r="2297" spans="1:17" x14ac:dyDescent="0.25">
      <c r="A2297" s="5">
        <v>10324</v>
      </c>
      <c r="B2297" s="5">
        <v>48</v>
      </c>
      <c r="C2297" s="5">
        <v>100</v>
      </c>
      <c r="D2297" s="5">
        <v>4800</v>
      </c>
      <c r="E2297" s="5" t="str">
        <f t="shared" si="141"/>
        <v>Medium</v>
      </c>
      <c r="F2297" s="5">
        <f t="shared" si="142"/>
        <v>1440</v>
      </c>
      <c r="G2297" s="6">
        <v>38296</v>
      </c>
      <c r="H2297" s="5" t="s">
        <v>25</v>
      </c>
      <c r="I2297" s="5" t="str">
        <f t="shared" si="140"/>
        <v>Yes</v>
      </c>
      <c r="J2297" s="5" t="s">
        <v>686</v>
      </c>
      <c r="K2297" s="5">
        <v>2004</v>
      </c>
      <c r="L2297" s="5" t="str">
        <f t="shared" si="143"/>
        <v>Nov-2004</v>
      </c>
      <c r="M2297" s="5" t="s">
        <v>504</v>
      </c>
      <c r="N2297" s="5" t="s">
        <v>99</v>
      </c>
      <c r="O2297" s="5" t="s">
        <v>32</v>
      </c>
      <c r="P2297" s="5" t="s">
        <v>33</v>
      </c>
      <c r="Q2297" s="5" t="s">
        <v>151</v>
      </c>
    </row>
    <row r="2298" spans="1:17" x14ac:dyDescent="0.25">
      <c r="A2298" s="3">
        <v>10333</v>
      </c>
      <c r="B2298" s="3">
        <v>33</v>
      </c>
      <c r="C2298" s="3">
        <v>73.69</v>
      </c>
      <c r="D2298" s="3">
        <v>2431.77</v>
      </c>
      <c r="E2298" s="3" t="str">
        <f t="shared" si="141"/>
        <v>Medium</v>
      </c>
      <c r="F2298" s="3">
        <f t="shared" si="142"/>
        <v>729.53099999999995</v>
      </c>
      <c r="G2298" s="4">
        <v>38309</v>
      </c>
      <c r="H2298" s="3" t="s">
        <v>25</v>
      </c>
      <c r="I2298" s="3" t="str">
        <f t="shared" si="140"/>
        <v>Yes</v>
      </c>
      <c r="J2298" s="3" t="s">
        <v>686</v>
      </c>
      <c r="K2298" s="3">
        <v>2004</v>
      </c>
      <c r="L2298" s="3" t="str">
        <f t="shared" si="143"/>
        <v>Nov-2004</v>
      </c>
      <c r="M2298" s="3" t="s">
        <v>504</v>
      </c>
      <c r="N2298" s="3" t="s">
        <v>81</v>
      </c>
      <c r="O2298" s="3" t="s">
        <v>32</v>
      </c>
      <c r="P2298" s="3" t="s">
        <v>33</v>
      </c>
      <c r="Q2298" s="3" t="s">
        <v>36</v>
      </c>
    </row>
    <row r="2299" spans="1:17" x14ac:dyDescent="0.25">
      <c r="A2299" s="5">
        <v>10348</v>
      </c>
      <c r="B2299" s="5">
        <v>31</v>
      </c>
      <c r="C2299" s="5">
        <v>100</v>
      </c>
      <c r="D2299" s="5">
        <v>3100</v>
      </c>
      <c r="E2299" s="5" t="str">
        <f t="shared" si="141"/>
        <v>Medium</v>
      </c>
      <c r="F2299" s="5">
        <f t="shared" si="142"/>
        <v>930</v>
      </c>
      <c r="G2299" s="6">
        <v>38292</v>
      </c>
      <c r="H2299" s="5" t="s">
        <v>25</v>
      </c>
      <c r="I2299" s="5" t="str">
        <f t="shared" si="140"/>
        <v>Yes</v>
      </c>
      <c r="J2299" s="5" t="s">
        <v>686</v>
      </c>
      <c r="K2299" s="5">
        <v>2004</v>
      </c>
      <c r="L2299" s="5" t="str">
        <f t="shared" si="143"/>
        <v>Nov-2004</v>
      </c>
      <c r="M2299" s="5" t="s">
        <v>504</v>
      </c>
      <c r="N2299" s="5" t="s">
        <v>191</v>
      </c>
      <c r="O2299" s="5" t="s">
        <v>178</v>
      </c>
      <c r="P2299" s="5" t="s">
        <v>42</v>
      </c>
      <c r="Q2299" s="5" t="s">
        <v>51</v>
      </c>
    </row>
    <row r="2300" spans="1:17" x14ac:dyDescent="0.25">
      <c r="A2300" s="3">
        <v>10358</v>
      </c>
      <c r="B2300" s="3">
        <v>36</v>
      </c>
      <c r="C2300" s="3">
        <v>100</v>
      </c>
      <c r="D2300" s="3">
        <v>3600</v>
      </c>
      <c r="E2300" s="3" t="str">
        <f t="shared" si="141"/>
        <v>Medium</v>
      </c>
      <c r="F2300" s="3">
        <f t="shared" si="142"/>
        <v>1080</v>
      </c>
      <c r="G2300" s="4">
        <v>38331</v>
      </c>
      <c r="H2300" s="3" t="s">
        <v>25</v>
      </c>
      <c r="I2300" s="3" t="str">
        <f t="shared" si="140"/>
        <v>Yes</v>
      </c>
      <c r="J2300" s="3" t="s">
        <v>687</v>
      </c>
      <c r="K2300" s="3">
        <v>2004</v>
      </c>
      <c r="L2300" s="3" t="str">
        <f t="shared" si="143"/>
        <v>Dec-2004</v>
      </c>
      <c r="M2300" s="3" t="s">
        <v>504</v>
      </c>
      <c r="N2300" s="3" t="s">
        <v>174</v>
      </c>
      <c r="O2300" s="3" t="s">
        <v>178</v>
      </c>
      <c r="P2300" s="3" t="s">
        <v>42</v>
      </c>
      <c r="Q2300" s="3" t="s">
        <v>51</v>
      </c>
    </row>
    <row r="2301" spans="1:17" x14ac:dyDescent="0.25">
      <c r="A2301" s="5">
        <v>10370</v>
      </c>
      <c r="B2301" s="5">
        <v>25</v>
      </c>
      <c r="C2301" s="5">
        <v>100</v>
      </c>
      <c r="D2301" s="5">
        <v>2500</v>
      </c>
      <c r="E2301" s="5" t="str">
        <f t="shared" si="141"/>
        <v>Medium</v>
      </c>
      <c r="F2301" s="5">
        <f t="shared" si="142"/>
        <v>750</v>
      </c>
      <c r="G2301" s="6">
        <v>38372</v>
      </c>
      <c r="H2301" s="5" t="s">
        <v>25</v>
      </c>
      <c r="I2301" s="5" t="str">
        <f t="shared" si="140"/>
        <v>Yes</v>
      </c>
      <c r="J2301" s="5" t="s">
        <v>549</v>
      </c>
      <c r="K2301" s="5">
        <v>2005</v>
      </c>
      <c r="L2301" s="5" t="str">
        <f t="shared" si="143"/>
        <v>Jan-2005</v>
      </c>
      <c r="M2301" s="5" t="s">
        <v>504</v>
      </c>
      <c r="N2301" s="5" t="s">
        <v>285</v>
      </c>
      <c r="O2301" s="5" t="s">
        <v>95</v>
      </c>
      <c r="P2301" s="5" t="s">
        <v>96</v>
      </c>
      <c r="Q2301" s="5" t="s">
        <v>51</v>
      </c>
    </row>
    <row r="2302" spans="1:17" x14ac:dyDescent="0.25">
      <c r="A2302" s="3">
        <v>10382</v>
      </c>
      <c r="B2302" s="3">
        <v>48</v>
      </c>
      <c r="C2302" s="3">
        <v>100</v>
      </c>
      <c r="D2302" s="3">
        <v>4800</v>
      </c>
      <c r="E2302" s="3" t="str">
        <f t="shared" si="141"/>
        <v>Medium</v>
      </c>
      <c r="F2302" s="3">
        <f t="shared" si="142"/>
        <v>1440</v>
      </c>
      <c r="G2302" s="4">
        <v>38400</v>
      </c>
      <c r="H2302" s="3" t="s">
        <v>25</v>
      </c>
      <c r="I2302" s="3" t="str">
        <f t="shared" si="140"/>
        <v>Yes</v>
      </c>
      <c r="J2302" s="3" t="s">
        <v>681</v>
      </c>
      <c r="K2302" s="3">
        <v>2005</v>
      </c>
      <c r="L2302" s="3" t="str">
        <f t="shared" si="143"/>
        <v>Feb-2005</v>
      </c>
      <c r="M2302" s="3" t="s">
        <v>504</v>
      </c>
      <c r="N2302" s="3" t="s">
        <v>272</v>
      </c>
      <c r="O2302" s="3" t="s">
        <v>32</v>
      </c>
      <c r="P2302" s="3" t="s">
        <v>33</v>
      </c>
      <c r="Q2302" s="3" t="s">
        <v>51</v>
      </c>
    </row>
    <row r="2303" spans="1:17" x14ac:dyDescent="0.25">
      <c r="A2303" s="5">
        <v>10411</v>
      </c>
      <c r="B2303" s="5">
        <v>27</v>
      </c>
      <c r="C2303" s="5">
        <v>69.16</v>
      </c>
      <c r="D2303" s="5">
        <v>1867.32</v>
      </c>
      <c r="E2303" s="5" t="str">
        <f t="shared" si="141"/>
        <v>Low</v>
      </c>
      <c r="F2303" s="5">
        <f t="shared" si="142"/>
        <v>560.19599999999991</v>
      </c>
      <c r="G2303" s="6">
        <v>38473</v>
      </c>
      <c r="H2303" s="5" t="s">
        <v>25</v>
      </c>
      <c r="I2303" s="5" t="str">
        <f t="shared" si="140"/>
        <v>Yes</v>
      </c>
      <c r="J2303" s="5" t="s">
        <v>682</v>
      </c>
      <c r="K2303" s="5">
        <v>2005</v>
      </c>
      <c r="L2303" s="5" t="str">
        <f t="shared" si="143"/>
        <v>May-2005</v>
      </c>
      <c r="M2303" s="5" t="s">
        <v>504</v>
      </c>
      <c r="N2303" s="5" t="s">
        <v>292</v>
      </c>
      <c r="O2303" s="5" t="s">
        <v>231</v>
      </c>
      <c r="P2303" s="5" t="s">
        <v>33</v>
      </c>
      <c r="Q2303" s="5" t="s">
        <v>36</v>
      </c>
    </row>
    <row r="2304" spans="1:17" x14ac:dyDescent="0.25">
      <c r="A2304" s="3">
        <v>10424</v>
      </c>
      <c r="B2304" s="3">
        <v>44</v>
      </c>
      <c r="C2304" s="3">
        <v>61.41</v>
      </c>
      <c r="D2304" s="3">
        <v>2702.04</v>
      </c>
      <c r="E2304" s="3" t="str">
        <f t="shared" si="141"/>
        <v>Medium</v>
      </c>
      <c r="F2304" s="3">
        <f t="shared" si="142"/>
        <v>810.61199999999997</v>
      </c>
      <c r="G2304" s="4">
        <v>38503</v>
      </c>
      <c r="H2304" s="3" t="s">
        <v>300</v>
      </c>
      <c r="I2304" s="3" t="str">
        <f t="shared" si="140"/>
        <v>No</v>
      </c>
      <c r="J2304" s="3" t="s">
        <v>682</v>
      </c>
      <c r="K2304" s="3">
        <v>2005</v>
      </c>
      <c r="L2304" s="3" t="str">
        <f t="shared" si="143"/>
        <v>May-2005</v>
      </c>
      <c r="M2304" s="3" t="s">
        <v>504</v>
      </c>
      <c r="N2304" s="3" t="s">
        <v>174</v>
      </c>
      <c r="O2304" s="3" t="s">
        <v>178</v>
      </c>
      <c r="P2304" s="3" t="s">
        <v>42</v>
      </c>
      <c r="Q2304" s="3" t="s">
        <v>36</v>
      </c>
    </row>
    <row r="2305" spans="1:17" x14ac:dyDescent="0.25">
      <c r="A2305" s="5">
        <v>10106</v>
      </c>
      <c r="B2305" s="5">
        <v>33</v>
      </c>
      <c r="C2305" s="5">
        <v>72.92</v>
      </c>
      <c r="D2305" s="5">
        <v>2406.36</v>
      </c>
      <c r="E2305" s="5" t="str">
        <f t="shared" si="141"/>
        <v>Medium</v>
      </c>
      <c r="F2305" s="5">
        <f t="shared" si="142"/>
        <v>721.90800000000002</v>
      </c>
      <c r="G2305" s="6">
        <v>37669</v>
      </c>
      <c r="H2305" s="5" t="s">
        <v>25</v>
      </c>
      <c r="I2305" s="5" t="str">
        <f t="shared" si="140"/>
        <v>Yes</v>
      </c>
      <c r="J2305" s="5" t="s">
        <v>681</v>
      </c>
      <c r="K2305" s="5">
        <v>2003</v>
      </c>
      <c r="L2305" s="5" t="str">
        <f t="shared" si="143"/>
        <v>Feb-2003</v>
      </c>
      <c r="M2305" s="5" t="s">
        <v>550</v>
      </c>
      <c r="N2305" s="5" t="s">
        <v>552</v>
      </c>
      <c r="O2305" s="5" t="s">
        <v>258</v>
      </c>
      <c r="P2305" s="5" t="s">
        <v>42</v>
      </c>
      <c r="Q2305" s="5" t="s">
        <v>36</v>
      </c>
    </row>
    <row r="2306" spans="1:17" x14ac:dyDescent="0.25">
      <c r="A2306" s="3">
        <v>10120</v>
      </c>
      <c r="B2306" s="3">
        <v>29</v>
      </c>
      <c r="C2306" s="3">
        <v>72.23</v>
      </c>
      <c r="D2306" s="3">
        <v>2094.67</v>
      </c>
      <c r="E2306" s="3" t="str">
        <f t="shared" si="141"/>
        <v>Medium</v>
      </c>
      <c r="F2306" s="3">
        <f t="shared" si="142"/>
        <v>628.40099999999995</v>
      </c>
      <c r="G2306" s="4">
        <v>37740</v>
      </c>
      <c r="H2306" s="3" t="s">
        <v>25</v>
      </c>
      <c r="I2306" s="3" t="str">
        <f t="shared" ref="I2306:I2369" si="144">IF(H2306="Shipped","Yes","No")</f>
        <v>Yes</v>
      </c>
      <c r="J2306" s="3" t="s">
        <v>688</v>
      </c>
      <c r="K2306" s="3">
        <v>2003</v>
      </c>
      <c r="L2306" s="3" t="str">
        <f t="shared" si="143"/>
        <v>Apr-2003</v>
      </c>
      <c r="M2306" s="3" t="s">
        <v>550</v>
      </c>
      <c r="N2306" s="3" t="s">
        <v>89</v>
      </c>
      <c r="O2306" s="3" t="s">
        <v>95</v>
      </c>
      <c r="P2306" s="3" t="s">
        <v>96</v>
      </c>
      <c r="Q2306" s="3" t="s">
        <v>36</v>
      </c>
    </row>
    <row r="2307" spans="1:17" x14ac:dyDescent="0.25">
      <c r="A2307" s="5">
        <v>10133</v>
      </c>
      <c r="B2307" s="5">
        <v>49</v>
      </c>
      <c r="C2307" s="5">
        <v>57.1</v>
      </c>
      <c r="D2307" s="5">
        <v>2797.9</v>
      </c>
      <c r="E2307" s="5" t="str">
        <f t="shared" ref="E2307:E2370" si="145">IF(D2307&gt;=5000,"High",IF(D2307&gt;=2000,"Medium","Low"))</f>
        <v>Medium</v>
      </c>
      <c r="F2307" s="5">
        <f t="shared" ref="F2307:F2370" si="146">(D2307*0.3)</f>
        <v>839.37</v>
      </c>
      <c r="G2307" s="6">
        <v>37799</v>
      </c>
      <c r="H2307" s="5" t="s">
        <v>25</v>
      </c>
      <c r="I2307" s="5" t="str">
        <f t="shared" si="144"/>
        <v>Yes</v>
      </c>
      <c r="J2307" s="5" t="s">
        <v>689</v>
      </c>
      <c r="K2307" s="5">
        <v>2003</v>
      </c>
      <c r="L2307" s="5" t="str">
        <f t="shared" ref="L2307:L2370" si="147">TEXT(G:G,"MMM-YYYY")</f>
        <v>Jun-2003</v>
      </c>
      <c r="M2307" s="5" t="s">
        <v>550</v>
      </c>
      <c r="N2307" s="5" t="s">
        <v>174</v>
      </c>
      <c r="O2307" s="5" t="s">
        <v>178</v>
      </c>
      <c r="P2307" s="5" t="s">
        <v>42</v>
      </c>
      <c r="Q2307" s="5" t="s">
        <v>36</v>
      </c>
    </row>
    <row r="2308" spans="1:17" x14ac:dyDescent="0.25">
      <c r="A2308" s="3">
        <v>10144</v>
      </c>
      <c r="B2308" s="3">
        <v>20</v>
      </c>
      <c r="C2308" s="3">
        <v>81.86</v>
      </c>
      <c r="D2308" s="3">
        <v>1637.2</v>
      </c>
      <c r="E2308" s="3" t="str">
        <f t="shared" si="145"/>
        <v>Low</v>
      </c>
      <c r="F2308" s="3">
        <f t="shared" si="146"/>
        <v>491.15999999999997</v>
      </c>
      <c r="G2308" s="4">
        <v>37846</v>
      </c>
      <c r="H2308" s="3" t="s">
        <v>25</v>
      </c>
      <c r="I2308" s="3" t="str">
        <f t="shared" si="144"/>
        <v>Yes</v>
      </c>
      <c r="J2308" s="3" t="s">
        <v>684</v>
      </c>
      <c r="K2308" s="3">
        <v>2003</v>
      </c>
      <c r="L2308" s="3" t="str">
        <f t="shared" si="147"/>
        <v>Aug-2003</v>
      </c>
      <c r="M2308" s="3" t="s">
        <v>550</v>
      </c>
      <c r="N2308" s="3" t="s">
        <v>577</v>
      </c>
      <c r="O2308" s="3" t="s">
        <v>370</v>
      </c>
      <c r="P2308" s="3" t="s">
        <v>42</v>
      </c>
      <c r="Q2308" s="3" t="s">
        <v>36</v>
      </c>
    </row>
    <row r="2309" spans="1:17" x14ac:dyDescent="0.25">
      <c r="A2309" s="5">
        <v>10168</v>
      </c>
      <c r="B2309" s="5">
        <v>31</v>
      </c>
      <c r="C2309" s="5">
        <v>73.61</v>
      </c>
      <c r="D2309" s="5">
        <v>2281.91</v>
      </c>
      <c r="E2309" s="5" t="str">
        <f t="shared" si="145"/>
        <v>Medium</v>
      </c>
      <c r="F2309" s="5">
        <f t="shared" si="146"/>
        <v>684.57299999999998</v>
      </c>
      <c r="G2309" s="6">
        <v>37922</v>
      </c>
      <c r="H2309" s="5" t="s">
        <v>25</v>
      </c>
      <c r="I2309" s="5" t="str">
        <f t="shared" si="144"/>
        <v>Yes</v>
      </c>
      <c r="J2309" s="5" t="s">
        <v>685</v>
      </c>
      <c r="K2309" s="5">
        <v>2003</v>
      </c>
      <c r="L2309" s="5" t="str">
        <f t="shared" si="147"/>
        <v>Oct-2003</v>
      </c>
      <c r="M2309" s="5" t="s">
        <v>550</v>
      </c>
      <c r="N2309" s="5" t="s">
        <v>62</v>
      </c>
      <c r="O2309" s="5" t="s">
        <v>32</v>
      </c>
      <c r="P2309" s="5" t="s">
        <v>33</v>
      </c>
      <c r="Q2309" s="5" t="s">
        <v>36</v>
      </c>
    </row>
    <row r="2310" spans="1:17" x14ac:dyDescent="0.25">
      <c r="A2310" s="3">
        <v>10210</v>
      </c>
      <c r="B2310" s="3">
        <v>39</v>
      </c>
      <c r="C2310" s="3">
        <v>59.16</v>
      </c>
      <c r="D2310" s="3">
        <v>2307.2399999999998</v>
      </c>
      <c r="E2310" s="3" t="str">
        <f t="shared" si="145"/>
        <v>Medium</v>
      </c>
      <c r="F2310" s="3">
        <f t="shared" si="146"/>
        <v>692.17199999999991</v>
      </c>
      <c r="G2310" s="4">
        <v>37998</v>
      </c>
      <c r="H2310" s="3" t="s">
        <v>25</v>
      </c>
      <c r="I2310" s="3" t="str">
        <f t="shared" si="144"/>
        <v>Yes</v>
      </c>
      <c r="J2310" s="3" t="s">
        <v>549</v>
      </c>
      <c r="K2310" s="3">
        <v>2004</v>
      </c>
      <c r="L2310" s="3" t="str">
        <f t="shared" si="147"/>
        <v>Jan-2004</v>
      </c>
      <c r="M2310" s="3" t="s">
        <v>550</v>
      </c>
      <c r="N2310" s="3" t="s">
        <v>302</v>
      </c>
      <c r="O2310" s="3" t="s">
        <v>200</v>
      </c>
      <c r="P2310" s="3" t="s">
        <v>675</v>
      </c>
      <c r="Q2310" s="3" t="s">
        <v>36</v>
      </c>
    </row>
    <row r="2311" spans="1:17" x14ac:dyDescent="0.25">
      <c r="A2311" s="5">
        <v>10223</v>
      </c>
      <c r="B2311" s="5">
        <v>20</v>
      </c>
      <c r="C2311" s="5">
        <v>66.040000000000006</v>
      </c>
      <c r="D2311" s="5">
        <v>1320.8000000000002</v>
      </c>
      <c r="E2311" s="5" t="str">
        <f t="shared" si="145"/>
        <v>Low</v>
      </c>
      <c r="F2311" s="5">
        <f t="shared" si="146"/>
        <v>396.24000000000007</v>
      </c>
      <c r="G2311" s="6">
        <v>38037</v>
      </c>
      <c r="H2311" s="5" t="s">
        <v>25</v>
      </c>
      <c r="I2311" s="5" t="str">
        <f t="shared" si="144"/>
        <v>Yes</v>
      </c>
      <c r="J2311" s="5" t="s">
        <v>681</v>
      </c>
      <c r="K2311" s="5">
        <v>2004</v>
      </c>
      <c r="L2311" s="5" t="str">
        <f t="shared" si="147"/>
        <v>Feb-2004</v>
      </c>
      <c r="M2311" s="5" t="s">
        <v>550</v>
      </c>
      <c r="N2311" s="5" t="s">
        <v>89</v>
      </c>
      <c r="O2311" s="5" t="s">
        <v>95</v>
      </c>
      <c r="P2311" s="5" t="s">
        <v>96</v>
      </c>
      <c r="Q2311" s="5" t="s">
        <v>36</v>
      </c>
    </row>
    <row r="2312" spans="1:17" x14ac:dyDescent="0.25">
      <c r="A2312" s="3">
        <v>10235</v>
      </c>
      <c r="B2312" s="3">
        <v>34</v>
      </c>
      <c r="C2312" s="3">
        <v>77.73</v>
      </c>
      <c r="D2312" s="3">
        <v>2642.82</v>
      </c>
      <c r="E2312" s="3" t="str">
        <f t="shared" si="145"/>
        <v>Medium</v>
      </c>
      <c r="F2312" s="3">
        <f t="shared" si="146"/>
        <v>792.846</v>
      </c>
      <c r="G2312" s="4">
        <v>38079</v>
      </c>
      <c r="H2312" s="3" t="s">
        <v>25</v>
      </c>
      <c r="I2312" s="3" t="str">
        <f t="shared" si="144"/>
        <v>Yes</v>
      </c>
      <c r="J2312" s="3" t="s">
        <v>688</v>
      </c>
      <c r="K2312" s="3">
        <v>2004</v>
      </c>
      <c r="L2312" s="3" t="str">
        <f t="shared" si="147"/>
        <v>Apr-2004</v>
      </c>
      <c r="M2312" s="3" t="s">
        <v>550</v>
      </c>
      <c r="N2312" s="3" t="s">
        <v>373</v>
      </c>
      <c r="O2312" s="3" t="s">
        <v>231</v>
      </c>
      <c r="P2312" s="3" t="s">
        <v>33</v>
      </c>
      <c r="Q2312" s="3" t="s">
        <v>36</v>
      </c>
    </row>
    <row r="2313" spans="1:17" x14ac:dyDescent="0.25">
      <c r="A2313" s="5">
        <v>10250</v>
      </c>
      <c r="B2313" s="5">
        <v>50</v>
      </c>
      <c r="C2313" s="5">
        <v>61.22</v>
      </c>
      <c r="D2313" s="5">
        <v>3061</v>
      </c>
      <c r="E2313" s="5" t="str">
        <f t="shared" si="145"/>
        <v>Medium</v>
      </c>
      <c r="F2313" s="5">
        <f t="shared" si="146"/>
        <v>918.3</v>
      </c>
      <c r="G2313" s="6">
        <v>38118</v>
      </c>
      <c r="H2313" s="5" t="s">
        <v>25</v>
      </c>
      <c r="I2313" s="5" t="str">
        <f t="shared" si="144"/>
        <v>Yes</v>
      </c>
      <c r="J2313" s="5" t="s">
        <v>682</v>
      </c>
      <c r="K2313" s="5">
        <v>2004</v>
      </c>
      <c r="L2313" s="5" t="str">
        <f t="shared" si="147"/>
        <v>May-2004</v>
      </c>
      <c r="M2313" s="5" t="s">
        <v>550</v>
      </c>
      <c r="N2313" s="5" t="s">
        <v>397</v>
      </c>
      <c r="O2313" s="5" t="s">
        <v>32</v>
      </c>
      <c r="P2313" s="5" t="s">
        <v>33</v>
      </c>
      <c r="Q2313" s="5" t="s">
        <v>51</v>
      </c>
    </row>
    <row r="2314" spans="1:17" x14ac:dyDescent="0.25">
      <c r="A2314" s="3">
        <v>10262</v>
      </c>
      <c r="B2314" s="3">
        <v>40</v>
      </c>
      <c r="C2314" s="3">
        <v>79.11</v>
      </c>
      <c r="D2314" s="3">
        <v>3164.4</v>
      </c>
      <c r="E2314" s="3" t="str">
        <f t="shared" si="145"/>
        <v>Medium</v>
      </c>
      <c r="F2314" s="3">
        <f t="shared" si="146"/>
        <v>949.31999999999994</v>
      </c>
      <c r="G2314" s="4">
        <v>38162</v>
      </c>
      <c r="H2314" s="3" t="s">
        <v>339</v>
      </c>
      <c r="I2314" s="3" t="str">
        <f t="shared" si="144"/>
        <v>No</v>
      </c>
      <c r="J2314" s="3" t="s">
        <v>689</v>
      </c>
      <c r="K2314" s="3">
        <v>2004</v>
      </c>
      <c r="L2314" s="3" t="str">
        <f t="shared" si="147"/>
        <v>Jun-2004</v>
      </c>
      <c r="M2314" s="3" t="s">
        <v>550</v>
      </c>
      <c r="N2314" s="3" t="s">
        <v>174</v>
      </c>
      <c r="O2314" s="3" t="s">
        <v>178</v>
      </c>
      <c r="P2314" s="3" t="s">
        <v>42</v>
      </c>
      <c r="Q2314" s="3" t="s">
        <v>51</v>
      </c>
    </row>
    <row r="2315" spans="1:17" x14ac:dyDescent="0.25">
      <c r="A2315" s="5">
        <v>10275</v>
      </c>
      <c r="B2315" s="5">
        <v>28</v>
      </c>
      <c r="C2315" s="5">
        <v>63.97</v>
      </c>
      <c r="D2315" s="5">
        <v>1791.1599999999999</v>
      </c>
      <c r="E2315" s="5" t="str">
        <f t="shared" si="145"/>
        <v>Low</v>
      </c>
      <c r="F2315" s="5">
        <f t="shared" si="146"/>
        <v>537.34799999999996</v>
      </c>
      <c r="G2315" s="6">
        <v>38191</v>
      </c>
      <c r="H2315" s="5" t="s">
        <v>25</v>
      </c>
      <c r="I2315" s="5" t="str">
        <f t="shared" si="144"/>
        <v>Yes</v>
      </c>
      <c r="J2315" s="5" t="s">
        <v>683</v>
      </c>
      <c r="K2315" s="5">
        <v>2004</v>
      </c>
      <c r="L2315" s="5" t="str">
        <f t="shared" si="147"/>
        <v>Jul-2004</v>
      </c>
      <c r="M2315" s="5" t="s">
        <v>550</v>
      </c>
      <c r="N2315" s="5" t="s">
        <v>114</v>
      </c>
      <c r="O2315" s="5" t="s">
        <v>41</v>
      </c>
      <c r="P2315" s="5" t="s">
        <v>42</v>
      </c>
      <c r="Q2315" s="5" t="s">
        <v>36</v>
      </c>
    </row>
    <row r="2316" spans="1:17" x14ac:dyDescent="0.25">
      <c r="A2316" s="3">
        <v>10284</v>
      </c>
      <c r="B2316" s="3">
        <v>50</v>
      </c>
      <c r="C2316" s="3">
        <v>81.86</v>
      </c>
      <c r="D2316" s="3">
        <v>4093</v>
      </c>
      <c r="E2316" s="3" t="str">
        <f t="shared" si="145"/>
        <v>Medium</v>
      </c>
      <c r="F2316" s="3">
        <f t="shared" si="146"/>
        <v>1227.8999999999999</v>
      </c>
      <c r="G2316" s="4">
        <v>38220</v>
      </c>
      <c r="H2316" s="3" t="s">
        <v>25</v>
      </c>
      <c r="I2316" s="3" t="str">
        <f t="shared" si="144"/>
        <v>Yes</v>
      </c>
      <c r="J2316" s="3" t="s">
        <v>684</v>
      </c>
      <c r="K2316" s="3">
        <v>2004</v>
      </c>
      <c r="L2316" s="3" t="str">
        <f t="shared" si="147"/>
        <v>Aug-2004</v>
      </c>
      <c r="M2316" s="3" t="s">
        <v>550</v>
      </c>
      <c r="N2316" s="3" t="s">
        <v>543</v>
      </c>
      <c r="O2316" s="3" t="s">
        <v>78</v>
      </c>
      <c r="P2316" s="3" t="s">
        <v>42</v>
      </c>
      <c r="Q2316" s="3" t="s">
        <v>51</v>
      </c>
    </row>
    <row r="2317" spans="1:17" x14ac:dyDescent="0.25">
      <c r="A2317" s="5">
        <v>10297</v>
      </c>
      <c r="B2317" s="5">
        <v>28</v>
      </c>
      <c r="C2317" s="5">
        <v>79.8</v>
      </c>
      <c r="D2317" s="5">
        <v>2234.4</v>
      </c>
      <c r="E2317" s="5" t="str">
        <f t="shared" si="145"/>
        <v>Medium</v>
      </c>
      <c r="F2317" s="5">
        <f t="shared" si="146"/>
        <v>670.32</v>
      </c>
      <c r="G2317" s="6">
        <v>38246</v>
      </c>
      <c r="H2317" s="5" t="s">
        <v>25</v>
      </c>
      <c r="I2317" s="5" t="str">
        <f t="shared" si="144"/>
        <v>Yes</v>
      </c>
      <c r="J2317" s="5" t="s">
        <v>690</v>
      </c>
      <c r="K2317" s="5">
        <v>2004</v>
      </c>
      <c r="L2317" s="5" t="str">
        <f t="shared" si="147"/>
        <v>Sep-2004</v>
      </c>
      <c r="M2317" s="5" t="s">
        <v>550</v>
      </c>
      <c r="N2317" s="5" t="s">
        <v>479</v>
      </c>
      <c r="O2317" s="5" t="s">
        <v>484</v>
      </c>
      <c r="P2317" s="5" t="s">
        <v>42</v>
      </c>
      <c r="Q2317" s="5" t="s">
        <v>36</v>
      </c>
    </row>
    <row r="2318" spans="1:17" x14ac:dyDescent="0.25">
      <c r="A2318" s="3">
        <v>10308</v>
      </c>
      <c r="B2318" s="3">
        <v>46</v>
      </c>
      <c r="C2318" s="3">
        <v>66.040000000000006</v>
      </c>
      <c r="D2318" s="3">
        <v>3037.84</v>
      </c>
      <c r="E2318" s="3" t="str">
        <f t="shared" si="145"/>
        <v>Medium</v>
      </c>
      <c r="F2318" s="3">
        <f t="shared" si="146"/>
        <v>911.35199999999998</v>
      </c>
      <c r="G2318" s="4">
        <v>38275</v>
      </c>
      <c r="H2318" s="3" t="s">
        <v>25</v>
      </c>
      <c r="I2318" s="3" t="str">
        <f t="shared" si="144"/>
        <v>Yes</v>
      </c>
      <c r="J2318" s="3" t="s">
        <v>685</v>
      </c>
      <c r="K2318" s="3">
        <v>2004</v>
      </c>
      <c r="L2318" s="3" t="str">
        <f t="shared" si="147"/>
        <v>Oct-2004</v>
      </c>
      <c r="M2318" s="3" t="s">
        <v>550</v>
      </c>
      <c r="N2318" s="3" t="s">
        <v>317</v>
      </c>
      <c r="O2318" s="3" t="s">
        <v>32</v>
      </c>
      <c r="P2318" s="3" t="s">
        <v>33</v>
      </c>
      <c r="Q2318" s="3" t="s">
        <v>51</v>
      </c>
    </row>
    <row r="2319" spans="1:17" x14ac:dyDescent="0.25">
      <c r="A2319" s="5">
        <v>10316</v>
      </c>
      <c r="B2319" s="5">
        <v>24</v>
      </c>
      <c r="C2319" s="5">
        <v>59.16</v>
      </c>
      <c r="D2319" s="5">
        <v>1419.84</v>
      </c>
      <c r="E2319" s="5" t="str">
        <f t="shared" si="145"/>
        <v>Low</v>
      </c>
      <c r="F2319" s="5">
        <f t="shared" si="146"/>
        <v>425.95199999999994</v>
      </c>
      <c r="G2319" s="6">
        <v>38292</v>
      </c>
      <c r="H2319" s="5" t="s">
        <v>25</v>
      </c>
      <c r="I2319" s="5" t="str">
        <f t="shared" si="144"/>
        <v>Yes</v>
      </c>
      <c r="J2319" s="5" t="s">
        <v>686</v>
      </c>
      <c r="K2319" s="5">
        <v>2004</v>
      </c>
      <c r="L2319" s="5" t="str">
        <f t="shared" si="147"/>
        <v>Nov-2004</v>
      </c>
      <c r="M2319" s="5" t="s">
        <v>550</v>
      </c>
      <c r="N2319" s="5" t="s">
        <v>383</v>
      </c>
      <c r="O2319" s="5" t="s">
        <v>170</v>
      </c>
      <c r="P2319" s="5" t="s">
        <v>42</v>
      </c>
      <c r="Q2319" s="5" t="s">
        <v>36</v>
      </c>
    </row>
    <row r="2320" spans="1:17" x14ac:dyDescent="0.25">
      <c r="A2320" s="3">
        <v>10328</v>
      </c>
      <c r="B2320" s="3">
        <v>24</v>
      </c>
      <c r="C2320" s="3">
        <v>81.17</v>
      </c>
      <c r="D2320" s="3">
        <v>1948.08</v>
      </c>
      <c r="E2320" s="3" t="str">
        <f t="shared" si="145"/>
        <v>Low</v>
      </c>
      <c r="F2320" s="3">
        <f t="shared" si="146"/>
        <v>584.42399999999998</v>
      </c>
      <c r="G2320" s="4">
        <v>38303</v>
      </c>
      <c r="H2320" s="3" t="s">
        <v>25</v>
      </c>
      <c r="I2320" s="3" t="str">
        <f t="shared" si="144"/>
        <v>Yes</v>
      </c>
      <c r="J2320" s="3" t="s">
        <v>686</v>
      </c>
      <c r="K2320" s="3">
        <v>2004</v>
      </c>
      <c r="L2320" s="3" t="str">
        <f t="shared" si="147"/>
        <v>Nov-2004</v>
      </c>
      <c r="M2320" s="3" t="s">
        <v>550</v>
      </c>
      <c r="N2320" s="3" t="s">
        <v>552</v>
      </c>
      <c r="O2320" s="3" t="s">
        <v>258</v>
      </c>
      <c r="P2320" s="3" t="s">
        <v>42</v>
      </c>
      <c r="Q2320" s="3" t="s">
        <v>36</v>
      </c>
    </row>
    <row r="2321" spans="1:17" x14ac:dyDescent="0.25">
      <c r="A2321" s="5">
        <v>10340</v>
      </c>
      <c r="B2321" s="5">
        <v>39</v>
      </c>
      <c r="C2321" s="5">
        <v>59.16</v>
      </c>
      <c r="D2321" s="5">
        <v>2307.2399999999998</v>
      </c>
      <c r="E2321" s="5" t="str">
        <f t="shared" si="145"/>
        <v>Medium</v>
      </c>
      <c r="F2321" s="5">
        <f t="shared" si="146"/>
        <v>692.17199999999991</v>
      </c>
      <c r="G2321" s="6">
        <v>38315</v>
      </c>
      <c r="H2321" s="5" t="s">
        <v>25</v>
      </c>
      <c r="I2321" s="5" t="str">
        <f t="shared" si="144"/>
        <v>Yes</v>
      </c>
      <c r="J2321" s="5" t="s">
        <v>686</v>
      </c>
      <c r="K2321" s="5">
        <v>2004</v>
      </c>
      <c r="L2321" s="5" t="str">
        <f t="shared" si="147"/>
        <v>Nov-2004</v>
      </c>
      <c r="M2321" s="5" t="s">
        <v>550</v>
      </c>
      <c r="N2321" s="5" t="s">
        <v>352</v>
      </c>
      <c r="O2321" s="5" t="s">
        <v>178</v>
      </c>
      <c r="P2321" s="5" t="s">
        <v>42</v>
      </c>
      <c r="Q2321" s="5" t="s">
        <v>36</v>
      </c>
    </row>
    <row r="2322" spans="1:17" x14ac:dyDescent="0.25">
      <c r="A2322" s="3">
        <v>10353</v>
      </c>
      <c r="B2322" s="3">
        <v>40</v>
      </c>
      <c r="C2322" s="3">
        <v>44.51</v>
      </c>
      <c r="D2322" s="3">
        <v>1780.3999999999999</v>
      </c>
      <c r="E2322" s="3" t="str">
        <f t="shared" si="145"/>
        <v>Low</v>
      </c>
      <c r="F2322" s="3">
        <f t="shared" si="146"/>
        <v>534.11999999999989</v>
      </c>
      <c r="G2322" s="4">
        <v>38325</v>
      </c>
      <c r="H2322" s="3" t="s">
        <v>25</v>
      </c>
      <c r="I2322" s="3" t="str">
        <f t="shared" si="144"/>
        <v>Yes</v>
      </c>
      <c r="J2322" s="3" t="s">
        <v>687</v>
      </c>
      <c r="K2322" s="3">
        <v>2004</v>
      </c>
      <c r="L2322" s="3" t="str">
        <f t="shared" si="147"/>
        <v>Dec-2004</v>
      </c>
      <c r="M2322" s="3" t="s">
        <v>550</v>
      </c>
      <c r="N2322" s="3" t="s">
        <v>568</v>
      </c>
      <c r="O2322" s="3" t="s">
        <v>32</v>
      </c>
      <c r="P2322" s="3" t="s">
        <v>33</v>
      </c>
      <c r="Q2322" s="3" t="s">
        <v>36</v>
      </c>
    </row>
    <row r="2323" spans="1:17" x14ac:dyDescent="0.25">
      <c r="A2323" s="5">
        <v>10361</v>
      </c>
      <c r="B2323" s="5">
        <v>49</v>
      </c>
      <c r="C2323" s="5">
        <v>72.33</v>
      </c>
      <c r="D2323" s="5">
        <v>3544.17</v>
      </c>
      <c r="E2323" s="5" t="str">
        <f t="shared" si="145"/>
        <v>Medium</v>
      </c>
      <c r="F2323" s="5">
        <f t="shared" si="146"/>
        <v>1063.251</v>
      </c>
      <c r="G2323" s="6">
        <v>38338</v>
      </c>
      <c r="H2323" s="5" t="s">
        <v>25</v>
      </c>
      <c r="I2323" s="5" t="str">
        <f t="shared" si="144"/>
        <v>Yes</v>
      </c>
      <c r="J2323" s="5" t="s">
        <v>687</v>
      </c>
      <c r="K2323" s="5">
        <v>2004</v>
      </c>
      <c r="L2323" s="5" t="str">
        <f t="shared" si="147"/>
        <v>Dec-2004</v>
      </c>
      <c r="M2323" s="5" t="s">
        <v>550</v>
      </c>
      <c r="N2323" s="5" t="s">
        <v>152</v>
      </c>
      <c r="O2323" s="5" t="s">
        <v>95</v>
      </c>
      <c r="P2323" s="5" t="s">
        <v>96</v>
      </c>
      <c r="Q2323" s="5" t="s">
        <v>51</v>
      </c>
    </row>
    <row r="2324" spans="1:17" x14ac:dyDescent="0.25">
      <c r="A2324" s="3">
        <v>10375</v>
      </c>
      <c r="B2324" s="3">
        <v>44</v>
      </c>
      <c r="C2324" s="3">
        <v>82.26</v>
      </c>
      <c r="D2324" s="3">
        <v>3619.44</v>
      </c>
      <c r="E2324" s="3" t="str">
        <f t="shared" si="145"/>
        <v>Medium</v>
      </c>
      <c r="F2324" s="3">
        <f t="shared" si="146"/>
        <v>1085.8319999999999</v>
      </c>
      <c r="G2324" s="4">
        <v>38386</v>
      </c>
      <c r="H2324" s="3" t="s">
        <v>25</v>
      </c>
      <c r="I2324" s="3" t="str">
        <f t="shared" si="144"/>
        <v>Yes</v>
      </c>
      <c r="J2324" s="3" t="s">
        <v>681</v>
      </c>
      <c r="K2324" s="3">
        <v>2005</v>
      </c>
      <c r="L2324" s="3" t="str">
        <f t="shared" si="147"/>
        <v>Feb-2005</v>
      </c>
      <c r="M2324" s="3" t="s">
        <v>550</v>
      </c>
      <c r="N2324" s="3" t="s">
        <v>114</v>
      </c>
      <c r="O2324" s="3" t="s">
        <v>41</v>
      </c>
      <c r="P2324" s="3" t="s">
        <v>42</v>
      </c>
      <c r="Q2324" s="3" t="s">
        <v>51</v>
      </c>
    </row>
    <row r="2325" spans="1:17" x14ac:dyDescent="0.25">
      <c r="A2325" s="5">
        <v>10388</v>
      </c>
      <c r="B2325" s="5">
        <v>35</v>
      </c>
      <c r="C2325" s="5">
        <v>100</v>
      </c>
      <c r="D2325" s="5">
        <v>3500</v>
      </c>
      <c r="E2325" s="5" t="str">
        <f t="shared" si="145"/>
        <v>Medium</v>
      </c>
      <c r="F2325" s="5">
        <f t="shared" si="146"/>
        <v>1050</v>
      </c>
      <c r="G2325" s="6">
        <v>38414</v>
      </c>
      <c r="H2325" s="5" t="s">
        <v>25</v>
      </c>
      <c r="I2325" s="5" t="str">
        <f t="shared" si="144"/>
        <v>Yes</v>
      </c>
      <c r="J2325" s="5" t="s">
        <v>691</v>
      </c>
      <c r="K2325" s="5">
        <v>2005</v>
      </c>
      <c r="L2325" s="5" t="str">
        <f t="shared" si="147"/>
        <v>Mar-2005</v>
      </c>
      <c r="M2325" s="5" t="s">
        <v>550</v>
      </c>
      <c r="N2325" s="5" t="s">
        <v>160</v>
      </c>
      <c r="O2325" s="5" t="s">
        <v>32</v>
      </c>
      <c r="P2325" s="5" t="s">
        <v>33</v>
      </c>
      <c r="Q2325" s="5" t="s">
        <v>51</v>
      </c>
    </row>
    <row r="2326" spans="1:17" x14ac:dyDescent="0.25">
      <c r="A2326" s="3">
        <v>10398</v>
      </c>
      <c r="B2326" s="3">
        <v>22</v>
      </c>
      <c r="C2326" s="3">
        <v>67.41</v>
      </c>
      <c r="D2326" s="3">
        <v>1483.02</v>
      </c>
      <c r="E2326" s="3" t="str">
        <f t="shared" si="145"/>
        <v>Low</v>
      </c>
      <c r="F2326" s="3">
        <f t="shared" si="146"/>
        <v>444.90600000000001</v>
      </c>
      <c r="G2326" s="4">
        <v>38441</v>
      </c>
      <c r="H2326" s="3" t="s">
        <v>25</v>
      </c>
      <c r="I2326" s="3" t="str">
        <f t="shared" si="144"/>
        <v>Yes</v>
      </c>
      <c r="J2326" s="3" t="s">
        <v>691</v>
      </c>
      <c r="K2326" s="3">
        <v>2005</v>
      </c>
      <c r="L2326" s="3" t="str">
        <f t="shared" si="147"/>
        <v>Mar-2005</v>
      </c>
      <c r="M2326" s="3" t="s">
        <v>550</v>
      </c>
      <c r="N2326" s="3" t="s">
        <v>37</v>
      </c>
      <c r="O2326" s="3" t="s">
        <v>41</v>
      </c>
      <c r="P2326" s="3" t="s">
        <v>42</v>
      </c>
      <c r="Q2326" s="3" t="s">
        <v>36</v>
      </c>
    </row>
    <row r="2327" spans="1:17" x14ac:dyDescent="0.25">
      <c r="A2327" s="5">
        <v>10401</v>
      </c>
      <c r="B2327" s="5">
        <v>62</v>
      </c>
      <c r="C2327" s="5">
        <v>77.73</v>
      </c>
      <c r="D2327" s="5">
        <v>4819.26</v>
      </c>
      <c r="E2327" s="5" t="str">
        <f t="shared" si="145"/>
        <v>Medium</v>
      </c>
      <c r="F2327" s="5">
        <f t="shared" si="146"/>
        <v>1445.778</v>
      </c>
      <c r="G2327" s="6">
        <v>38445</v>
      </c>
      <c r="H2327" s="5" t="s">
        <v>401</v>
      </c>
      <c r="I2327" s="5" t="str">
        <f t="shared" si="144"/>
        <v>No</v>
      </c>
      <c r="J2327" s="5" t="s">
        <v>688</v>
      </c>
      <c r="K2327" s="5">
        <v>2005</v>
      </c>
      <c r="L2327" s="5" t="str">
        <f t="shared" si="147"/>
        <v>Apr-2005</v>
      </c>
      <c r="M2327" s="5" t="s">
        <v>550</v>
      </c>
      <c r="N2327" s="5" t="s">
        <v>104</v>
      </c>
      <c r="O2327" s="5" t="s">
        <v>32</v>
      </c>
      <c r="P2327" s="5" t="s">
        <v>33</v>
      </c>
      <c r="Q2327" s="5" t="s">
        <v>51</v>
      </c>
    </row>
    <row r="2328" spans="1:17" x14ac:dyDescent="0.25">
      <c r="A2328" s="3">
        <v>10416</v>
      </c>
      <c r="B2328" s="3">
        <v>26</v>
      </c>
      <c r="C2328" s="3">
        <v>61.22</v>
      </c>
      <c r="D2328" s="3">
        <v>1591.72</v>
      </c>
      <c r="E2328" s="3" t="str">
        <f t="shared" si="145"/>
        <v>Low</v>
      </c>
      <c r="F2328" s="3">
        <f t="shared" si="146"/>
        <v>477.51599999999996</v>
      </c>
      <c r="G2328" s="4">
        <v>38482</v>
      </c>
      <c r="H2328" s="3" t="s">
        <v>25</v>
      </c>
      <c r="I2328" s="3" t="str">
        <f t="shared" si="144"/>
        <v>Yes</v>
      </c>
      <c r="J2328" s="3" t="s">
        <v>682</v>
      </c>
      <c r="K2328" s="3">
        <v>2005</v>
      </c>
      <c r="L2328" s="3" t="str">
        <f t="shared" si="147"/>
        <v>May-2005</v>
      </c>
      <c r="M2328" s="3" t="s">
        <v>550</v>
      </c>
      <c r="N2328" s="3" t="s">
        <v>452</v>
      </c>
      <c r="O2328" s="3" t="s">
        <v>258</v>
      </c>
      <c r="P2328" s="3" t="s">
        <v>42</v>
      </c>
      <c r="Q2328" s="3" t="s">
        <v>36</v>
      </c>
    </row>
    <row r="2329" spans="1:17" x14ac:dyDescent="0.25">
      <c r="A2329" s="5">
        <v>10108</v>
      </c>
      <c r="B2329" s="5">
        <v>31</v>
      </c>
      <c r="C2329" s="5">
        <v>100</v>
      </c>
      <c r="D2329" s="5">
        <v>3100</v>
      </c>
      <c r="E2329" s="5" t="str">
        <f t="shared" si="145"/>
        <v>Medium</v>
      </c>
      <c r="F2329" s="5">
        <f t="shared" si="146"/>
        <v>930</v>
      </c>
      <c r="G2329" s="6">
        <v>37683</v>
      </c>
      <c r="H2329" s="5" t="s">
        <v>25</v>
      </c>
      <c r="I2329" s="5" t="str">
        <f t="shared" si="144"/>
        <v>Yes</v>
      </c>
      <c r="J2329" s="5" t="s">
        <v>691</v>
      </c>
      <c r="K2329" s="5">
        <v>2003</v>
      </c>
      <c r="L2329" s="5" t="str">
        <f t="shared" si="147"/>
        <v>Mar-2003</v>
      </c>
      <c r="M2329" s="5" t="s">
        <v>26</v>
      </c>
      <c r="N2329" s="5" t="s">
        <v>425</v>
      </c>
      <c r="O2329" s="5" t="s">
        <v>430</v>
      </c>
      <c r="P2329" s="5" t="s">
        <v>675</v>
      </c>
      <c r="Q2329" s="5" t="s">
        <v>51</v>
      </c>
    </row>
    <row r="2330" spans="1:17" x14ac:dyDescent="0.25">
      <c r="A2330" s="3">
        <v>10121</v>
      </c>
      <c r="B2330" s="3">
        <v>25</v>
      </c>
      <c r="C2330" s="3">
        <v>86.74</v>
      </c>
      <c r="D2330" s="3">
        <v>2168.5</v>
      </c>
      <c r="E2330" s="3" t="str">
        <f t="shared" si="145"/>
        <v>Medium</v>
      </c>
      <c r="F2330" s="3">
        <f t="shared" si="146"/>
        <v>650.54999999999995</v>
      </c>
      <c r="G2330" s="4">
        <v>37748</v>
      </c>
      <c r="H2330" s="3" t="s">
        <v>25</v>
      </c>
      <c r="I2330" s="3" t="str">
        <f t="shared" si="144"/>
        <v>Yes</v>
      </c>
      <c r="J2330" s="3" t="s">
        <v>682</v>
      </c>
      <c r="K2330" s="3">
        <v>2003</v>
      </c>
      <c r="L2330" s="3" t="str">
        <f t="shared" si="147"/>
        <v>May-2003</v>
      </c>
      <c r="M2330" s="3" t="s">
        <v>26</v>
      </c>
      <c r="N2330" s="3" t="s">
        <v>37</v>
      </c>
      <c r="O2330" s="3" t="s">
        <v>41</v>
      </c>
      <c r="P2330" s="3" t="s">
        <v>42</v>
      </c>
      <c r="Q2330" s="3" t="s">
        <v>36</v>
      </c>
    </row>
    <row r="2331" spans="1:17" x14ac:dyDescent="0.25">
      <c r="A2331" s="5">
        <v>10135</v>
      </c>
      <c r="B2331" s="5">
        <v>30</v>
      </c>
      <c r="C2331" s="5">
        <v>89.8</v>
      </c>
      <c r="D2331" s="5">
        <v>2694</v>
      </c>
      <c r="E2331" s="5" t="str">
        <f t="shared" si="145"/>
        <v>Medium</v>
      </c>
      <c r="F2331" s="5">
        <f t="shared" si="146"/>
        <v>808.19999999999993</v>
      </c>
      <c r="G2331" s="6">
        <v>37804</v>
      </c>
      <c r="H2331" s="5" t="s">
        <v>25</v>
      </c>
      <c r="I2331" s="5" t="str">
        <f t="shared" si="144"/>
        <v>Yes</v>
      </c>
      <c r="J2331" s="5" t="s">
        <v>683</v>
      </c>
      <c r="K2331" s="5">
        <v>2003</v>
      </c>
      <c r="L2331" s="5" t="str">
        <f t="shared" si="147"/>
        <v>Jul-2003</v>
      </c>
      <c r="M2331" s="5" t="s">
        <v>26</v>
      </c>
      <c r="N2331" s="5" t="s">
        <v>272</v>
      </c>
      <c r="O2331" s="5" t="s">
        <v>32</v>
      </c>
      <c r="P2331" s="5" t="s">
        <v>33</v>
      </c>
      <c r="Q2331" s="5" t="s">
        <v>36</v>
      </c>
    </row>
    <row r="2332" spans="1:17" x14ac:dyDescent="0.25">
      <c r="A2332" s="3">
        <v>10145</v>
      </c>
      <c r="B2332" s="3">
        <v>27</v>
      </c>
      <c r="C2332" s="3">
        <v>100</v>
      </c>
      <c r="D2332" s="3">
        <v>2700</v>
      </c>
      <c r="E2332" s="3" t="str">
        <f t="shared" si="145"/>
        <v>Medium</v>
      </c>
      <c r="F2332" s="3">
        <f t="shared" si="146"/>
        <v>810</v>
      </c>
      <c r="G2332" s="4">
        <v>37858</v>
      </c>
      <c r="H2332" s="3" t="s">
        <v>25</v>
      </c>
      <c r="I2332" s="3" t="str">
        <f t="shared" si="144"/>
        <v>Yes</v>
      </c>
      <c r="J2332" s="3" t="s">
        <v>684</v>
      </c>
      <c r="K2332" s="3">
        <v>2003</v>
      </c>
      <c r="L2332" s="3" t="str">
        <f t="shared" si="147"/>
        <v>Aug-2003</v>
      </c>
      <c r="M2332" s="3" t="s">
        <v>26</v>
      </c>
      <c r="N2332" s="3" t="s">
        <v>52</v>
      </c>
      <c r="O2332" s="3" t="s">
        <v>32</v>
      </c>
      <c r="P2332" s="3" t="s">
        <v>33</v>
      </c>
      <c r="Q2332" s="3" t="s">
        <v>51</v>
      </c>
    </row>
    <row r="2333" spans="1:17" x14ac:dyDescent="0.25">
      <c r="A2333" s="5">
        <v>10159</v>
      </c>
      <c r="B2333" s="5">
        <v>23</v>
      </c>
      <c r="C2333" s="5">
        <v>100</v>
      </c>
      <c r="D2333" s="5">
        <v>2300</v>
      </c>
      <c r="E2333" s="5" t="str">
        <f t="shared" si="145"/>
        <v>Medium</v>
      </c>
      <c r="F2333" s="5">
        <f t="shared" si="146"/>
        <v>690</v>
      </c>
      <c r="G2333" s="6">
        <v>37904</v>
      </c>
      <c r="H2333" s="5" t="s">
        <v>25</v>
      </c>
      <c r="I2333" s="5" t="str">
        <f t="shared" si="144"/>
        <v>Yes</v>
      </c>
      <c r="J2333" s="5" t="s">
        <v>685</v>
      </c>
      <c r="K2333" s="5">
        <v>2003</v>
      </c>
      <c r="L2333" s="5" t="str">
        <f t="shared" si="147"/>
        <v>Oct-2003</v>
      </c>
      <c r="M2333" s="5" t="s">
        <v>26</v>
      </c>
      <c r="N2333" s="5" t="s">
        <v>58</v>
      </c>
      <c r="O2333" s="5" t="s">
        <v>32</v>
      </c>
      <c r="P2333" s="5" t="s">
        <v>33</v>
      </c>
      <c r="Q2333" s="5" t="s">
        <v>36</v>
      </c>
    </row>
    <row r="2334" spans="1:17" x14ac:dyDescent="0.25">
      <c r="A2334" s="3">
        <v>10169</v>
      </c>
      <c r="B2334" s="3">
        <v>34</v>
      </c>
      <c r="C2334" s="3">
        <v>100</v>
      </c>
      <c r="D2334" s="3">
        <v>3400</v>
      </c>
      <c r="E2334" s="3" t="str">
        <f t="shared" si="145"/>
        <v>Medium</v>
      </c>
      <c r="F2334" s="3">
        <f t="shared" si="146"/>
        <v>1020</v>
      </c>
      <c r="G2334" s="4">
        <v>37929</v>
      </c>
      <c r="H2334" s="3" t="s">
        <v>25</v>
      </c>
      <c r="I2334" s="3" t="str">
        <f t="shared" si="144"/>
        <v>Yes</v>
      </c>
      <c r="J2334" s="3" t="s">
        <v>686</v>
      </c>
      <c r="K2334" s="3">
        <v>2003</v>
      </c>
      <c r="L2334" s="3" t="str">
        <f t="shared" si="147"/>
        <v>Nov-2003</v>
      </c>
      <c r="M2334" s="3" t="s">
        <v>26</v>
      </c>
      <c r="N2334" s="3" t="s">
        <v>285</v>
      </c>
      <c r="O2334" s="3" t="s">
        <v>95</v>
      </c>
      <c r="P2334" s="3" t="s">
        <v>96</v>
      </c>
      <c r="Q2334" s="3" t="s">
        <v>51</v>
      </c>
    </row>
    <row r="2335" spans="1:17" x14ac:dyDescent="0.25">
      <c r="A2335" s="5">
        <v>10180</v>
      </c>
      <c r="B2335" s="5">
        <v>22</v>
      </c>
      <c r="C2335" s="5">
        <v>100</v>
      </c>
      <c r="D2335" s="5">
        <v>2200</v>
      </c>
      <c r="E2335" s="5" t="str">
        <f t="shared" si="145"/>
        <v>Medium</v>
      </c>
      <c r="F2335" s="5">
        <f t="shared" si="146"/>
        <v>660</v>
      </c>
      <c r="G2335" s="6">
        <v>37936</v>
      </c>
      <c r="H2335" s="5" t="s">
        <v>25</v>
      </c>
      <c r="I2335" s="5" t="str">
        <f t="shared" si="144"/>
        <v>Yes</v>
      </c>
      <c r="J2335" s="5" t="s">
        <v>686</v>
      </c>
      <c r="K2335" s="5">
        <v>2003</v>
      </c>
      <c r="L2335" s="5" t="str">
        <f t="shared" si="147"/>
        <v>Nov-2003</v>
      </c>
      <c r="M2335" s="5" t="s">
        <v>26</v>
      </c>
      <c r="N2335" s="5" t="s">
        <v>67</v>
      </c>
      <c r="O2335" s="5" t="s">
        <v>41</v>
      </c>
      <c r="P2335" s="5" t="s">
        <v>42</v>
      </c>
      <c r="Q2335" s="5" t="s">
        <v>36</v>
      </c>
    </row>
    <row r="2336" spans="1:17" x14ac:dyDescent="0.25">
      <c r="A2336" s="3">
        <v>10190</v>
      </c>
      <c r="B2336" s="3">
        <v>42</v>
      </c>
      <c r="C2336" s="3">
        <v>85.72</v>
      </c>
      <c r="D2336" s="3">
        <v>3600.24</v>
      </c>
      <c r="E2336" s="3" t="str">
        <f t="shared" si="145"/>
        <v>Medium</v>
      </c>
      <c r="F2336" s="3">
        <f t="shared" si="146"/>
        <v>1080.0719999999999</v>
      </c>
      <c r="G2336" s="4">
        <v>37944</v>
      </c>
      <c r="H2336" s="3" t="s">
        <v>25</v>
      </c>
      <c r="I2336" s="3" t="str">
        <f t="shared" si="144"/>
        <v>Yes</v>
      </c>
      <c r="J2336" s="3" t="s">
        <v>686</v>
      </c>
      <c r="K2336" s="3">
        <v>2003</v>
      </c>
      <c r="L2336" s="3" t="str">
        <f t="shared" si="147"/>
        <v>Nov-2003</v>
      </c>
      <c r="M2336" s="3" t="s">
        <v>26</v>
      </c>
      <c r="N2336" s="3" t="s">
        <v>174</v>
      </c>
      <c r="O2336" s="3" t="s">
        <v>178</v>
      </c>
      <c r="P2336" s="3" t="s">
        <v>42</v>
      </c>
      <c r="Q2336" s="3" t="s">
        <v>51</v>
      </c>
    </row>
    <row r="2337" spans="1:17" x14ac:dyDescent="0.25">
      <c r="A2337" s="5">
        <v>10211</v>
      </c>
      <c r="B2337" s="5">
        <v>37</v>
      </c>
      <c r="C2337" s="5">
        <v>100</v>
      </c>
      <c r="D2337" s="5">
        <v>3700</v>
      </c>
      <c r="E2337" s="5" t="str">
        <f t="shared" si="145"/>
        <v>Medium</v>
      </c>
      <c r="F2337" s="5">
        <f t="shared" si="146"/>
        <v>1110</v>
      </c>
      <c r="G2337" s="6">
        <v>38001</v>
      </c>
      <c r="H2337" s="5" t="s">
        <v>25</v>
      </c>
      <c r="I2337" s="5" t="str">
        <f t="shared" si="144"/>
        <v>Yes</v>
      </c>
      <c r="J2337" s="5" t="s">
        <v>549</v>
      </c>
      <c r="K2337" s="5">
        <v>2004</v>
      </c>
      <c r="L2337" s="5" t="str">
        <f t="shared" si="147"/>
        <v>Jan-2004</v>
      </c>
      <c r="M2337" s="5" t="s">
        <v>26</v>
      </c>
      <c r="N2337" s="5" t="s">
        <v>84</v>
      </c>
      <c r="O2337" s="5" t="s">
        <v>41</v>
      </c>
      <c r="P2337" s="5" t="s">
        <v>42</v>
      </c>
      <c r="Q2337" s="5" t="s">
        <v>51</v>
      </c>
    </row>
    <row r="2338" spans="1:17" x14ac:dyDescent="0.25">
      <c r="A2338" s="3">
        <v>10224</v>
      </c>
      <c r="B2338" s="3">
        <v>30</v>
      </c>
      <c r="C2338" s="3">
        <v>100</v>
      </c>
      <c r="D2338" s="3">
        <v>3000</v>
      </c>
      <c r="E2338" s="3" t="str">
        <f t="shared" si="145"/>
        <v>Medium</v>
      </c>
      <c r="F2338" s="3">
        <f t="shared" si="146"/>
        <v>900</v>
      </c>
      <c r="G2338" s="4">
        <v>38038</v>
      </c>
      <c r="H2338" s="3" t="s">
        <v>25</v>
      </c>
      <c r="I2338" s="3" t="str">
        <f t="shared" si="144"/>
        <v>Yes</v>
      </c>
      <c r="J2338" s="3" t="s">
        <v>681</v>
      </c>
      <c r="K2338" s="3">
        <v>2004</v>
      </c>
      <c r="L2338" s="3" t="str">
        <f t="shared" si="147"/>
        <v>Feb-2004</v>
      </c>
      <c r="M2338" s="3" t="s">
        <v>26</v>
      </c>
      <c r="N2338" s="3" t="s">
        <v>67</v>
      </c>
      <c r="O2338" s="3" t="s">
        <v>41</v>
      </c>
      <c r="P2338" s="3" t="s">
        <v>42</v>
      </c>
      <c r="Q2338" s="3" t="s">
        <v>51</v>
      </c>
    </row>
    <row r="2339" spans="1:17" x14ac:dyDescent="0.25">
      <c r="A2339" s="5">
        <v>10237</v>
      </c>
      <c r="B2339" s="5">
        <v>27</v>
      </c>
      <c r="C2339" s="5">
        <v>100</v>
      </c>
      <c r="D2339" s="5">
        <v>2700</v>
      </c>
      <c r="E2339" s="5" t="str">
        <f t="shared" si="145"/>
        <v>Medium</v>
      </c>
      <c r="F2339" s="5">
        <f t="shared" si="146"/>
        <v>810</v>
      </c>
      <c r="G2339" s="6">
        <v>38082</v>
      </c>
      <c r="H2339" s="5" t="s">
        <v>25</v>
      </c>
      <c r="I2339" s="5" t="str">
        <f t="shared" si="144"/>
        <v>Yes</v>
      </c>
      <c r="J2339" s="5" t="s">
        <v>688</v>
      </c>
      <c r="K2339" s="5">
        <v>2004</v>
      </c>
      <c r="L2339" s="5" t="str">
        <f t="shared" si="147"/>
        <v>Apr-2004</v>
      </c>
      <c r="M2339" s="5" t="s">
        <v>26</v>
      </c>
      <c r="N2339" s="5" t="s">
        <v>99</v>
      </c>
      <c r="O2339" s="5" t="s">
        <v>32</v>
      </c>
      <c r="P2339" s="5" t="s">
        <v>33</v>
      </c>
      <c r="Q2339" s="5" t="s">
        <v>51</v>
      </c>
    </row>
    <row r="2340" spans="1:17" x14ac:dyDescent="0.25">
      <c r="A2340" s="3">
        <v>10252</v>
      </c>
      <c r="B2340" s="3">
        <v>25</v>
      </c>
      <c r="C2340" s="3">
        <v>100</v>
      </c>
      <c r="D2340" s="3">
        <v>2500</v>
      </c>
      <c r="E2340" s="3" t="str">
        <f t="shared" si="145"/>
        <v>Medium</v>
      </c>
      <c r="F2340" s="3">
        <f t="shared" si="146"/>
        <v>750</v>
      </c>
      <c r="G2340" s="4">
        <v>38133</v>
      </c>
      <c r="H2340" s="3" t="s">
        <v>25</v>
      </c>
      <c r="I2340" s="3" t="str">
        <f t="shared" si="144"/>
        <v>Yes</v>
      </c>
      <c r="J2340" s="3" t="s">
        <v>682</v>
      </c>
      <c r="K2340" s="3">
        <v>2004</v>
      </c>
      <c r="L2340" s="3" t="str">
        <f t="shared" si="147"/>
        <v>May-2004</v>
      </c>
      <c r="M2340" s="3" t="s">
        <v>26</v>
      </c>
      <c r="N2340" s="3" t="s">
        <v>84</v>
      </c>
      <c r="O2340" s="3" t="s">
        <v>41</v>
      </c>
      <c r="P2340" s="3" t="s">
        <v>42</v>
      </c>
      <c r="Q2340" s="3" t="s">
        <v>36</v>
      </c>
    </row>
    <row r="2341" spans="1:17" x14ac:dyDescent="0.25">
      <c r="A2341" s="5">
        <v>10264</v>
      </c>
      <c r="B2341" s="5">
        <v>34</v>
      </c>
      <c r="C2341" s="5">
        <v>97.97</v>
      </c>
      <c r="D2341" s="5">
        <v>3330.98</v>
      </c>
      <c r="E2341" s="5" t="str">
        <f t="shared" si="145"/>
        <v>Medium</v>
      </c>
      <c r="F2341" s="5">
        <f t="shared" si="146"/>
        <v>999.29399999999998</v>
      </c>
      <c r="G2341" s="6">
        <v>38168</v>
      </c>
      <c r="H2341" s="5" t="s">
        <v>25</v>
      </c>
      <c r="I2341" s="5" t="str">
        <f t="shared" si="144"/>
        <v>Yes</v>
      </c>
      <c r="J2341" s="5" t="s">
        <v>689</v>
      </c>
      <c r="K2341" s="5">
        <v>2004</v>
      </c>
      <c r="L2341" s="5" t="str">
        <f t="shared" si="147"/>
        <v>Jun-2004</v>
      </c>
      <c r="M2341" s="5" t="s">
        <v>26</v>
      </c>
      <c r="N2341" s="5" t="s">
        <v>379</v>
      </c>
      <c r="O2341" s="5" t="s">
        <v>32</v>
      </c>
      <c r="P2341" s="5" t="s">
        <v>33</v>
      </c>
      <c r="Q2341" s="5" t="s">
        <v>51</v>
      </c>
    </row>
    <row r="2342" spans="1:17" x14ac:dyDescent="0.25">
      <c r="A2342" s="3">
        <v>10276</v>
      </c>
      <c r="B2342" s="3">
        <v>38</v>
      </c>
      <c r="C2342" s="3">
        <v>100</v>
      </c>
      <c r="D2342" s="3">
        <v>3800</v>
      </c>
      <c r="E2342" s="3" t="str">
        <f t="shared" si="145"/>
        <v>Medium</v>
      </c>
      <c r="F2342" s="3">
        <f t="shared" si="146"/>
        <v>1140</v>
      </c>
      <c r="G2342" s="4">
        <v>38201</v>
      </c>
      <c r="H2342" s="3" t="s">
        <v>25</v>
      </c>
      <c r="I2342" s="3" t="str">
        <f t="shared" si="144"/>
        <v>Yes</v>
      </c>
      <c r="J2342" s="3" t="s">
        <v>684</v>
      </c>
      <c r="K2342" s="3">
        <v>2004</v>
      </c>
      <c r="L2342" s="3" t="str">
        <f t="shared" si="147"/>
        <v>Aug-2004</v>
      </c>
      <c r="M2342" s="3" t="s">
        <v>26</v>
      </c>
      <c r="N2342" s="3" t="s">
        <v>458</v>
      </c>
      <c r="O2342" s="3" t="s">
        <v>32</v>
      </c>
      <c r="P2342" s="3" t="s">
        <v>33</v>
      </c>
      <c r="Q2342" s="3" t="s">
        <v>51</v>
      </c>
    </row>
    <row r="2343" spans="1:17" x14ac:dyDescent="0.25">
      <c r="A2343" s="5">
        <v>10285</v>
      </c>
      <c r="B2343" s="5">
        <v>26</v>
      </c>
      <c r="C2343" s="5">
        <v>100</v>
      </c>
      <c r="D2343" s="5">
        <v>2600</v>
      </c>
      <c r="E2343" s="5" t="str">
        <f t="shared" si="145"/>
        <v>Medium</v>
      </c>
      <c r="F2343" s="5">
        <f t="shared" si="146"/>
        <v>780</v>
      </c>
      <c r="G2343" s="6">
        <v>38226</v>
      </c>
      <c r="H2343" s="5" t="s">
        <v>25</v>
      </c>
      <c r="I2343" s="5" t="str">
        <f t="shared" si="144"/>
        <v>Yes</v>
      </c>
      <c r="J2343" s="5" t="s">
        <v>684</v>
      </c>
      <c r="K2343" s="5">
        <v>2004</v>
      </c>
      <c r="L2343" s="5" t="str">
        <f t="shared" si="147"/>
        <v>Aug-2004</v>
      </c>
      <c r="M2343" s="5" t="s">
        <v>26</v>
      </c>
      <c r="N2343" s="5" t="s">
        <v>120</v>
      </c>
      <c r="O2343" s="5" t="s">
        <v>32</v>
      </c>
      <c r="P2343" s="5" t="s">
        <v>33</v>
      </c>
      <c r="Q2343" s="5" t="s">
        <v>36</v>
      </c>
    </row>
    <row r="2344" spans="1:17" x14ac:dyDescent="0.25">
      <c r="A2344" s="3">
        <v>10299</v>
      </c>
      <c r="B2344" s="3">
        <v>38</v>
      </c>
      <c r="C2344" s="3">
        <v>100</v>
      </c>
      <c r="D2344" s="3">
        <v>3800</v>
      </c>
      <c r="E2344" s="3" t="str">
        <f t="shared" si="145"/>
        <v>Medium</v>
      </c>
      <c r="F2344" s="3">
        <f t="shared" si="146"/>
        <v>1140</v>
      </c>
      <c r="G2344" s="4">
        <v>38260</v>
      </c>
      <c r="H2344" s="3" t="s">
        <v>25</v>
      </c>
      <c r="I2344" s="3" t="str">
        <f t="shared" si="144"/>
        <v>Yes</v>
      </c>
      <c r="J2344" s="3" t="s">
        <v>690</v>
      </c>
      <c r="K2344" s="3">
        <v>2004</v>
      </c>
      <c r="L2344" s="3" t="str">
        <f t="shared" si="147"/>
        <v>Sep-2004</v>
      </c>
      <c r="M2344" s="3" t="s">
        <v>26</v>
      </c>
      <c r="N2344" s="3" t="s">
        <v>126</v>
      </c>
      <c r="O2344" s="3" t="s">
        <v>130</v>
      </c>
      <c r="P2344" s="3" t="s">
        <v>42</v>
      </c>
      <c r="Q2344" s="3" t="s">
        <v>51</v>
      </c>
    </row>
    <row r="2345" spans="1:17" x14ac:dyDescent="0.25">
      <c r="A2345" s="5">
        <v>10309</v>
      </c>
      <c r="B2345" s="5">
        <v>50</v>
      </c>
      <c r="C2345" s="5">
        <v>84.7</v>
      </c>
      <c r="D2345" s="5">
        <v>4235</v>
      </c>
      <c r="E2345" s="5" t="str">
        <f t="shared" si="145"/>
        <v>Medium</v>
      </c>
      <c r="F2345" s="5">
        <f t="shared" si="146"/>
        <v>1270.5</v>
      </c>
      <c r="G2345" s="6">
        <v>38275</v>
      </c>
      <c r="H2345" s="5" t="s">
        <v>25</v>
      </c>
      <c r="I2345" s="5" t="str">
        <f t="shared" si="144"/>
        <v>Yes</v>
      </c>
      <c r="J2345" s="5" t="s">
        <v>685</v>
      </c>
      <c r="K2345" s="5">
        <v>2004</v>
      </c>
      <c r="L2345" s="5" t="str">
        <f t="shared" si="147"/>
        <v>Oct-2004</v>
      </c>
      <c r="M2345" s="5" t="s">
        <v>26</v>
      </c>
      <c r="N2345" s="5" t="s">
        <v>133</v>
      </c>
      <c r="O2345" s="5" t="s">
        <v>78</v>
      </c>
      <c r="P2345" s="5" t="s">
        <v>42</v>
      </c>
      <c r="Q2345" s="5" t="s">
        <v>51</v>
      </c>
    </row>
    <row r="2346" spans="1:17" x14ac:dyDescent="0.25">
      <c r="A2346" s="3">
        <v>10319</v>
      </c>
      <c r="B2346" s="3">
        <v>22</v>
      </c>
      <c r="C2346" s="3">
        <v>100</v>
      </c>
      <c r="D2346" s="3">
        <v>2200</v>
      </c>
      <c r="E2346" s="3" t="str">
        <f t="shared" si="145"/>
        <v>Medium</v>
      </c>
      <c r="F2346" s="3">
        <f t="shared" si="146"/>
        <v>660</v>
      </c>
      <c r="G2346" s="4">
        <v>38294</v>
      </c>
      <c r="H2346" s="3" t="s">
        <v>25</v>
      </c>
      <c r="I2346" s="3" t="str">
        <f t="shared" si="144"/>
        <v>Yes</v>
      </c>
      <c r="J2346" s="3" t="s">
        <v>686</v>
      </c>
      <c r="K2346" s="3">
        <v>2004</v>
      </c>
      <c r="L2346" s="3" t="str">
        <f t="shared" si="147"/>
        <v>Nov-2004</v>
      </c>
      <c r="M2346" s="3" t="s">
        <v>26</v>
      </c>
      <c r="N2346" s="3" t="s">
        <v>507</v>
      </c>
      <c r="O2346" s="3" t="s">
        <v>32</v>
      </c>
      <c r="P2346" s="3" t="s">
        <v>33</v>
      </c>
      <c r="Q2346" s="3" t="s">
        <v>36</v>
      </c>
    </row>
    <row r="2347" spans="1:17" x14ac:dyDescent="0.25">
      <c r="A2347" s="5">
        <v>10331</v>
      </c>
      <c r="B2347" s="5">
        <v>32</v>
      </c>
      <c r="C2347" s="5">
        <v>100</v>
      </c>
      <c r="D2347" s="5">
        <v>3200</v>
      </c>
      <c r="E2347" s="5" t="str">
        <f t="shared" si="145"/>
        <v>Medium</v>
      </c>
      <c r="F2347" s="5">
        <f t="shared" si="146"/>
        <v>960</v>
      </c>
      <c r="G2347" s="6">
        <v>38308</v>
      </c>
      <c r="H2347" s="5" t="s">
        <v>25</v>
      </c>
      <c r="I2347" s="5" t="str">
        <f t="shared" si="144"/>
        <v>Yes</v>
      </c>
      <c r="J2347" s="5" t="s">
        <v>686</v>
      </c>
      <c r="K2347" s="5">
        <v>2004</v>
      </c>
      <c r="L2347" s="5" t="str">
        <f t="shared" si="147"/>
        <v>Nov-2004</v>
      </c>
      <c r="M2347" s="5" t="s">
        <v>26</v>
      </c>
      <c r="N2347" s="5" t="s">
        <v>309</v>
      </c>
      <c r="O2347" s="5" t="s">
        <v>32</v>
      </c>
      <c r="P2347" s="5" t="s">
        <v>33</v>
      </c>
      <c r="Q2347" s="5" t="s">
        <v>51</v>
      </c>
    </row>
    <row r="2348" spans="1:17" x14ac:dyDescent="0.25">
      <c r="A2348" s="3">
        <v>10341</v>
      </c>
      <c r="B2348" s="3">
        <v>31</v>
      </c>
      <c r="C2348" s="3">
        <v>71.02</v>
      </c>
      <c r="D2348" s="3">
        <v>2201.62</v>
      </c>
      <c r="E2348" s="3" t="str">
        <f t="shared" si="145"/>
        <v>Medium</v>
      </c>
      <c r="F2348" s="3">
        <f t="shared" si="146"/>
        <v>660.48599999999999</v>
      </c>
      <c r="G2348" s="4">
        <v>38315</v>
      </c>
      <c r="H2348" s="3" t="s">
        <v>25</v>
      </c>
      <c r="I2348" s="3" t="str">
        <f t="shared" si="144"/>
        <v>Yes</v>
      </c>
      <c r="J2348" s="3" t="s">
        <v>686</v>
      </c>
      <c r="K2348" s="3">
        <v>2004</v>
      </c>
      <c r="L2348" s="3" t="str">
        <f t="shared" si="147"/>
        <v>Nov-2004</v>
      </c>
      <c r="M2348" s="3" t="s">
        <v>26</v>
      </c>
      <c r="N2348" s="3" t="s">
        <v>144</v>
      </c>
      <c r="O2348" s="3" t="s">
        <v>148</v>
      </c>
      <c r="P2348" s="3" t="s">
        <v>42</v>
      </c>
      <c r="Q2348" s="3" t="s">
        <v>36</v>
      </c>
    </row>
    <row r="2349" spans="1:17" x14ac:dyDescent="0.25">
      <c r="A2349" s="5">
        <v>10355</v>
      </c>
      <c r="B2349" s="5">
        <v>40</v>
      </c>
      <c r="C2349" s="5">
        <v>100</v>
      </c>
      <c r="D2349" s="5">
        <v>4000</v>
      </c>
      <c r="E2349" s="5" t="str">
        <f t="shared" si="145"/>
        <v>Medium</v>
      </c>
      <c r="F2349" s="5">
        <f t="shared" si="146"/>
        <v>1200</v>
      </c>
      <c r="G2349" s="6">
        <v>38328</v>
      </c>
      <c r="H2349" s="5" t="s">
        <v>25</v>
      </c>
      <c r="I2349" s="5" t="str">
        <f t="shared" si="144"/>
        <v>Yes</v>
      </c>
      <c r="J2349" s="5" t="s">
        <v>687</v>
      </c>
      <c r="K2349" s="5">
        <v>2004</v>
      </c>
      <c r="L2349" s="5" t="str">
        <f t="shared" si="147"/>
        <v>Dec-2004</v>
      </c>
      <c r="M2349" s="5" t="s">
        <v>26</v>
      </c>
      <c r="N2349" s="5" t="s">
        <v>174</v>
      </c>
      <c r="O2349" s="5" t="s">
        <v>178</v>
      </c>
      <c r="P2349" s="5" t="s">
        <v>42</v>
      </c>
      <c r="Q2349" s="5" t="s">
        <v>51</v>
      </c>
    </row>
    <row r="2350" spans="1:17" x14ac:dyDescent="0.25">
      <c r="A2350" s="3">
        <v>10365</v>
      </c>
      <c r="B2350" s="3">
        <v>22</v>
      </c>
      <c r="C2350" s="3">
        <v>100</v>
      </c>
      <c r="D2350" s="3">
        <v>2200</v>
      </c>
      <c r="E2350" s="3" t="str">
        <f t="shared" si="145"/>
        <v>Medium</v>
      </c>
      <c r="F2350" s="3">
        <f t="shared" si="146"/>
        <v>660</v>
      </c>
      <c r="G2350" s="4">
        <v>38359</v>
      </c>
      <c r="H2350" s="3" t="s">
        <v>25</v>
      </c>
      <c r="I2350" s="3" t="str">
        <f t="shared" si="144"/>
        <v>Yes</v>
      </c>
      <c r="J2350" s="3" t="s">
        <v>549</v>
      </c>
      <c r="K2350" s="3">
        <v>2005</v>
      </c>
      <c r="L2350" s="3" t="str">
        <f t="shared" si="147"/>
        <v>Jan-2005</v>
      </c>
      <c r="M2350" s="3" t="s">
        <v>26</v>
      </c>
      <c r="N2350" s="3" t="s">
        <v>335</v>
      </c>
      <c r="O2350" s="3" t="s">
        <v>32</v>
      </c>
      <c r="P2350" s="3" t="s">
        <v>33</v>
      </c>
      <c r="Q2350" s="3" t="s">
        <v>51</v>
      </c>
    </row>
    <row r="2351" spans="1:17" x14ac:dyDescent="0.25">
      <c r="A2351" s="5">
        <v>10375</v>
      </c>
      <c r="B2351" s="5">
        <v>41</v>
      </c>
      <c r="C2351" s="5">
        <v>100</v>
      </c>
      <c r="D2351" s="5">
        <v>4100</v>
      </c>
      <c r="E2351" s="5" t="str">
        <f t="shared" si="145"/>
        <v>Medium</v>
      </c>
      <c r="F2351" s="5">
        <f t="shared" si="146"/>
        <v>1230</v>
      </c>
      <c r="G2351" s="6">
        <v>38386</v>
      </c>
      <c r="H2351" s="5" t="s">
        <v>25</v>
      </c>
      <c r="I2351" s="5" t="str">
        <f t="shared" si="144"/>
        <v>Yes</v>
      </c>
      <c r="J2351" s="5" t="s">
        <v>681</v>
      </c>
      <c r="K2351" s="5">
        <v>2005</v>
      </c>
      <c r="L2351" s="5" t="str">
        <f t="shared" si="147"/>
        <v>Feb-2005</v>
      </c>
      <c r="M2351" s="5" t="s">
        <v>26</v>
      </c>
      <c r="N2351" s="5" t="s">
        <v>114</v>
      </c>
      <c r="O2351" s="5" t="s">
        <v>41</v>
      </c>
      <c r="P2351" s="5" t="s">
        <v>42</v>
      </c>
      <c r="Q2351" s="5" t="s">
        <v>51</v>
      </c>
    </row>
    <row r="2352" spans="1:17" x14ac:dyDescent="0.25">
      <c r="A2352" s="3">
        <v>10390</v>
      </c>
      <c r="B2352" s="3">
        <v>45</v>
      </c>
      <c r="C2352" s="3">
        <v>48.98</v>
      </c>
      <c r="D2352" s="3">
        <v>2204.1</v>
      </c>
      <c r="E2352" s="3" t="str">
        <f t="shared" si="145"/>
        <v>Medium</v>
      </c>
      <c r="F2352" s="3">
        <f t="shared" si="146"/>
        <v>661.2299999999999</v>
      </c>
      <c r="G2352" s="4">
        <v>38415</v>
      </c>
      <c r="H2352" s="3" t="s">
        <v>25</v>
      </c>
      <c r="I2352" s="3" t="str">
        <f t="shared" si="144"/>
        <v>Yes</v>
      </c>
      <c r="J2352" s="3" t="s">
        <v>691</v>
      </c>
      <c r="K2352" s="3">
        <v>2005</v>
      </c>
      <c r="L2352" s="3" t="str">
        <f t="shared" si="147"/>
        <v>Mar-2005</v>
      </c>
      <c r="M2352" s="3" t="s">
        <v>26</v>
      </c>
      <c r="N2352" s="3" t="s">
        <v>272</v>
      </c>
      <c r="O2352" s="3" t="s">
        <v>32</v>
      </c>
      <c r="P2352" s="3" t="s">
        <v>33</v>
      </c>
      <c r="Q2352" s="3" t="s">
        <v>36</v>
      </c>
    </row>
    <row r="2353" spans="1:17" x14ac:dyDescent="0.25">
      <c r="A2353" s="5">
        <v>10403</v>
      </c>
      <c r="B2353" s="5">
        <v>45</v>
      </c>
      <c r="C2353" s="5">
        <v>100</v>
      </c>
      <c r="D2353" s="5">
        <v>4500</v>
      </c>
      <c r="E2353" s="5" t="str">
        <f t="shared" si="145"/>
        <v>Medium</v>
      </c>
      <c r="F2353" s="5">
        <f t="shared" si="146"/>
        <v>1350</v>
      </c>
      <c r="G2353" s="6">
        <v>38450</v>
      </c>
      <c r="H2353" s="5" t="s">
        <v>25</v>
      </c>
      <c r="I2353" s="5" t="str">
        <f t="shared" si="144"/>
        <v>Yes</v>
      </c>
      <c r="J2353" s="5" t="s">
        <v>688</v>
      </c>
      <c r="K2353" s="5">
        <v>2005</v>
      </c>
      <c r="L2353" s="5" t="str">
        <f t="shared" si="147"/>
        <v>Apr-2005</v>
      </c>
      <c r="M2353" s="5" t="s">
        <v>26</v>
      </c>
      <c r="N2353" s="5" t="s">
        <v>165</v>
      </c>
      <c r="O2353" s="5" t="s">
        <v>170</v>
      </c>
      <c r="P2353" s="5" t="s">
        <v>42</v>
      </c>
      <c r="Q2353" s="5" t="s">
        <v>51</v>
      </c>
    </row>
    <row r="2354" spans="1:17" x14ac:dyDescent="0.25">
      <c r="A2354" s="3">
        <v>10106</v>
      </c>
      <c r="B2354" s="3">
        <v>39</v>
      </c>
      <c r="C2354" s="3">
        <v>40.15</v>
      </c>
      <c r="D2354" s="3">
        <v>1565.85</v>
      </c>
      <c r="E2354" s="3" t="str">
        <f t="shared" si="145"/>
        <v>Low</v>
      </c>
      <c r="F2354" s="3">
        <f t="shared" si="146"/>
        <v>469.75499999999994</v>
      </c>
      <c r="G2354" s="4">
        <v>37669</v>
      </c>
      <c r="H2354" s="3" t="s">
        <v>25</v>
      </c>
      <c r="I2354" s="3" t="str">
        <f t="shared" si="144"/>
        <v>Yes</v>
      </c>
      <c r="J2354" s="3" t="s">
        <v>681</v>
      </c>
      <c r="K2354" s="3">
        <v>2003</v>
      </c>
      <c r="L2354" s="3" t="str">
        <f t="shared" si="147"/>
        <v>Feb-2003</v>
      </c>
      <c r="M2354" s="3" t="s">
        <v>550</v>
      </c>
      <c r="N2354" s="3" t="s">
        <v>552</v>
      </c>
      <c r="O2354" s="3" t="s">
        <v>258</v>
      </c>
      <c r="P2354" s="3" t="s">
        <v>42</v>
      </c>
      <c r="Q2354" s="3" t="s">
        <v>36</v>
      </c>
    </row>
    <row r="2355" spans="1:17" x14ac:dyDescent="0.25">
      <c r="A2355" s="5">
        <v>10120</v>
      </c>
      <c r="B2355" s="5">
        <v>49</v>
      </c>
      <c r="C2355" s="5">
        <v>50.62</v>
      </c>
      <c r="D2355" s="5">
        <v>2480.3799999999997</v>
      </c>
      <c r="E2355" s="5" t="str">
        <f t="shared" si="145"/>
        <v>Medium</v>
      </c>
      <c r="F2355" s="5">
        <f t="shared" si="146"/>
        <v>744.11399999999992</v>
      </c>
      <c r="G2355" s="6">
        <v>37740</v>
      </c>
      <c r="H2355" s="5" t="s">
        <v>25</v>
      </c>
      <c r="I2355" s="5" t="str">
        <f t="shared" si="144"/>
        <v>Yes</v>
      </c>
      <c r="J2355" s="5" t="s">
        <v>688</v>
      </c>
      <c r="K2355" s="5">
        <v>2003</v>
      </c>
      <c r="L2355" s="5" t="str">
        <f t="shared" si="147"/>
        <v>Apr-2003</v>
      </c>
      <c r="M2355" s="5" t="s">
        <v>550</v>
      </c>
      <c r="N2355" s="5" t="s">
        <v>89</v>
      </c>
      <c r="O2355" s="5" t="s">
        <v>95</v>
      </c>
      <c r="P2355" s="5" t="s">
        <v>96</v>
      </c>
      <c r="Q2355" s="5" t="s">
        <v>36</v>
      </c>
    </row>
    <row r="2356" spans="1:17" x14ac:dyDescent="0.25">
      <c r="A2356" s="3">
        <v>10133</v>
      </c>
      <c r="B2356" s="3">
        <v>27</v>
      </c>
      <c r="C2356" s="3">
        <v>50.19</v>
      </c>
      <c r="D2356" s="3">
        <v>1355.1299999999999</v>
      </c>
      <c r="E2356" s="3" t="str">
        <f t="shared" si="145"/>
        <v>Low</v>
      </c>
      <c r="F2356" s="3">
        <f t="shared" si="146"/>
        <v>406.53899999999993</v>
      </c>
      <c r="G2356" s="4">
        <v>37799</v>
      </c>
      <c r="H2356" s="3" t="s">
        <v>25</v>
      </c>
      <c r="I2356" s="3" t="str">
        <f t="shared" si="144"/>
        <v>Yes</v>
      </c>
      <c r="J2356" s="3" t="s">
        <v>689</v>
      </c>
      <c r="K2356" s="3">
        <v>2003</v>
      </c>
      <c r="L2356" s="3" t="str">
        <f t="shared" si="147"/>
        <v>Jun-2003</v>
      </c>
      <c r="M2356" s="3" t="s">
        <v>550</v>
      </c>
      <c r="N2356" s="3" t="s">
        <v>174</v>
      </c>
      <c r="O2356" s="3" t="s">
        <v>178</v>
      </c>
      <c r="P2356" s="3" t="s">
        <v>42</v>
      </c>
      <c r="Q2356" s="3" t="s">
        <v>36</v>
      </c>
    </row>
    <row r="2357" spans="1:17" x14ac:dyDescent="0.25">
      <c r="A2357" s="5">
        <v>10143</v>
      </c>
      <c r="B2357" s="5">
        <v>34</v>
      </c>
      <c r="C2357" s="5">
        <v>36.659999999999997</v>
      </c>
      <c r="D2357" s="5">
        <v>1246.4399999999998</v>
      </c>
      <c r="E2357" s="5" t="str">
        <f t="shared" si="145"/>
        <v>Low</v>
      </c>
      <c r="F2357" s="5">
        <f t="shared" si="146"/>
        <v>373.93199999999996</v>
      </c>
      <c r="G2357" s="6">
        <v>37843</v>
      </c>
      <c r="H2357" s="5" t="s">
        <v>25</v>
      </c>
      <c r="I2357" s="5" t="str">
        <f t="shared" si="144"/>
        <v>Yes</v>
      </c>
      <c r="J2357" s="5" t="s">
        <v>684</v>
      </c>
      <c r="K2357" s="5">
        <v>2003</v>
      </c>
      <c r="L2357" s="5" t="str">
        <f t="shared" si="147"/>
        <v>Aug-2003</v>
      </c>
      <c r="M2357" s="5" t="s">
        <v>550</v>
      </c>
      <c r="N2357" s="5" t="s">
        <v>335</v>
      </c>
      <c r="O2357" s="5" t="s">
        <v>32</v>
      </c>
      <c r="P2357" s="5" t="s">
        <v>33</v>
      </c>
      <c r="Q2357" s="5" t="s">
        <v>36</v>
      </c>
    </row>
    <row r="2358" spans="1:17" x14ac:dyDescent="0.25">
      <c r="A2358" s="3">
        <v>10156</v>
      </c>
      <c r="B2358" s="3">
        <v>20</v>
      </c>
      <c r="C2358" s="3">
        <v>41.02</v>
      </c>
      <c r="D2358" s="3">
        <v>820.40000000000009</v>
      </c>
      <c r="E2358" s="3" t="str">
        <f t="shared" si="145"/>
        <v>Low</v>
      </c>
      <c r="F2358" s="3">
        <f t="shared" si="146"/>
        <v>246.12</v>
      </c>
      <c r="G2358" s="4">
        <v>37902</v>
      </c>
      <c r="H2358" s="3" t="s">
        <v>25</v>
      </c>
      <c r="I2358" s="3" t="str">
        <f t="shared" si="144"/>
        <v>Yes</v>
      </c>
      <c r="J2358" s="3" t="s">
        <v>685</v>
      </c>
      <c r="K2358" s="3">
        <v>2003</v>
      </c>
      <c r="L2358" s="3" t="str">
        <f t="shared" si="147"/>
        <v>Oct-2003</v>
      </c>
      <c r="M2358" s="3" t="s">
        <v>550</v>
      </c>
      <c r="N2358" s="3" t="s">
        <v>174</v>
      </c>
      <c r="O2358" s="3" t="s">
        <v>178</v>
      </c>
      <c r="P2358" s="3" t="s">
        <v>42</v>
      </c>
      <c r="Q2358" s="3" t="s">
        <v>36</v>
      </c>
    </row>
    <row r="2359" spans="1:17" x14ac:dyDescent="0.25">
      <c r="A2359" s="5">
        <v>10168</v>
      </c>
      <c r="B2359" s="5">
        <v>48</v>
      </c>
      <c r="C2359" s="5">
        <v>51.93</v>
      </c>
      <c r="D2359" s="5">
        <v>2492.64</v>
      </c>
      <c r="E2359" s="5" t="str">
        <f t="shared" si="145"/>
        <v>Medium</v>
      </c>
      <c r="F2359" s="5">
        <f t="shared" si="146"/>
        <v>747.79199999999992</v>
      </c>
      <c r="G2359" s="6">
        <v>37922</v>
      </c>
      <c r="H2359" s="5" t="s">
        <v>25</v>
      </c>
      <c r="I2359" s="5" t="str">
        <f t="shared" si="144"/>
        <v>Yes</v>
      </c>
      <c r="J2359" s="5" t="s">
        <v>685</v>
      </c>
      <c r="K2359" s="5">
        <v>2003</v>
      </c>
      <c r="L2359" s="5" t="str">
        <f t="shared" si="147"/>
        <v>Oct-2003</v>
      </c>
      <c r="M2359" s="5" t="s">
        <v>550</v>
      </c>
      <c r="N2359" s="5" t="s">
        <v>62</v>
      </c>
      <c r="O2359" s="5" t="s">
        <v>32</v>
      </c>
      <c r="P2359" s="5" t="s">
        <v>33</v>
      </c>
      <c r="Q2359" s="5" t="s">
        <v>36</v>
      </c>
    </row>
    <row r="2360" spans="1:17" x14ac:dyDescent="0.25">
      <c r="A2360" s="3">
        <v>10199</v>
      </c>
      <c r="B2360" s="3">
        <v>29</v>
      </c>
      <c r="C2360" s="3">
        <v>38.4</v>
      </c>
      <c r="D2360" s="3">
        <v>1113.5999999999999</v>
      </c>
      <c r="E2360" s="3" t="str">
        <f t="shared" si="145"/>
        <v>Low</v>
      </c>
      <c r="F2360" s="3">
        <f t="shared" si="146"/>
        <v>334.08</v>
      </c>
      <c r="G2360" s="4">
        <v>37956</v>
      </c>
      <c r="H2360" s="3" t="s">
        <v>25</v>
      </c>
      <c r="I2360" s="3" t="str">
        <f t="shared" si="144"/>
        <v>Yes</v>
      </c>
      <c r="J2360" s="3" t="s">
        <v>687</v>
      </c>
      <c r="K2360" s="3">
        <v>2003</v>
      </c>
      <c r="L2360" s="3" t="str">
        <f t="shared" si="147"/>
        <v>Dec-2003</v>
      </c>
      <c r="M2360" s="3" t="s">
        <v>550</v>
      </c>
      <c r="N2360" s="3" t="s">
        <v>234</v>
      </c>
      <c r="O2360" s="3" t="s">
        <v>32</v>
      </c>
      <c r="P2360" s="3" t="s">
        <v>33</v>
      </c>
      <c r="Q2360" s="3" t="s">
        <v>36</v>
      </c>
    </row>
    <row r="2361" spans="1:17" x14ac:dyDescent="0.25">
      <c r="A2361" s="5">
        <v>10210</v>
      </c>
      <c r="B2361" s="5">
        <v>43</v>
      </c>
      <c r="C2361" s="5">
        <v>41.02</v>
      </c>
      <c r="D2361" s="5">
        <v>1763.8600000000001</v>
      </c>
      <c r="E2361" s="5" t="str">
        <f t="shared" si="145"/>
        <v>Low</v>
      </c>
      <c r="F2361" s="5">
        <f t="shared" si="146"/>
        <v>529.15800000000002</v>
      </c>
      <c r="G2361" s="6">
        <v>37998</v>
      </c>
      <c r="H2361" s="5" t="s">
        <v>25</v>
      </c>
      <c r="I2361" s="5" t="str">
        <f t="shared" si="144"/>
        <v>Yes</v>
      </c>
      <c r="J2361" s="5" t="s">
        <v>549</v>
      </c>
      <c r="K2361" s="5">
        <v>2004</v>
      </c>
      <c r="L2361" s="5" t="str">
        <f t="shared" si="147"/>
        <v>Jan-2004</v>
      </c>
      <c r="M2361" s="5" t="s">
        <v>550</v>
      </c>
      <c r="N2361" s="5" t="s">
        <v>302</v>
      </c>
      <c r="O2361" s="5" t="s">
        <v>200</v>
      </c>
      <c r="P2361" s="5" t="s">
        <v>675</v>
      </c>
      <c r="Q2361" s="5" t="s">
        <v>36</v>
      </c>
    </row>
    <row r="2362" spans="1:17" x14ac:dyDescent="0.25">
      <c r="A2362" s="3">
        <v>10223</v>
      </c>
      <c r="B2362" s="3">
        <v>41</v>
      </c>
      <c r="C2362" s="3">
        <v>46.26</v>
      </c>
      <c r="D2362" s="3">
        <v>1896.6599999999999</v>
      </c>
      <c r="E2362" s="3" t="str">
        <f t="shared" si="145"/>
        <v>Low</v>
      </c>
      <c r="F2362" s="3">
        <f t="shared" si="146"/>
        <v>568.99799999999993</v>
      </c>
      <c r="G2362" s="4">
        <v>38037</v>
      </c>
      <c r="H2362" s="3" t="s">
        <v>25</v>
      </c>
      <c r="I2362" s="3" t="str">
        <f t="shared" si="144"/>
        <v>Yes</v>
      </c>
      <c r="J2362" s="3" t="s">
        <v>681</v>
      </c>
      <c r="K2362" s="3">
        <v>2004</v>
      </c>
      <c r="L2362" s="3" t="str">
        <f t="shared" si="147"/>
        <v>Feb-2004</v>
      </c>
      <c r="M2362" s="3" t="s">
        <v>550</v>
      </c>
      <c r="N2362" s="3" t="s">
        <v>89</v>
      </c>
      <c r="O2362" s="3" t="s">
        <v>95</v>
      </c>
      <c r="P2362" s="3" t="s">
        <v>96</v>
      </c>
      <c r="Q2362" s="3" t="s">
        <v>36</v>
      </c>
    </row>
    <row r="2363" spans="1:17" x14ac:dyDescent="0.25">
      <c r="A2363" s="5">
        <v>10235</v>
      </c>
      <c r="B2363" s="5">
        <v>41</v>
      </c>
      <c r="C2363" s="5">
        <v>35.35</v>
      </c>
      <c r="D2363" s="5">
        <v>1449.3500000000001</v>
      </c>
      <c r="E2363" s="5" t="str">
        <f t="shared" si="145"/>
        <v>Low</v>
      </c>
      <c r="F2363" s="5">
        <f t="shared" si="146"/>
        <v>434.80500000000001</v>
      </c>
      <c r="G2363" s="6">
        <v>38079</v>
      </c>
      <c r="H2363" s="5" t="s">
        <v>25</v>
      </c>
      <c r="I2363" s="5" t="str">
        <f t="shared" si="144"/>
        <v>Yes</v>
      </c>
      <c r="J2363" s="5" t="s">
        <v>688</v>
      </c>
      <c r="K2363" s="5">
        <v>2004</v>
      </c>
      <c r="L2363" s="5" t="str">
        <f t="shared" si="147"/>
        <v>Apr-2004</v>
      </c>
      <c r="M2363" s="5" t="s">
        <v>550</v>
      </c>
      <c r="N2363" s="5" t="s">
        <v>373</v>
      </c>
      <c r="O2363" s="5" t="s">
        <v>231</v>
      </c>
      <c r="P2363" s="5" t="s">
        <v>33</v>
      </c>
      <c r="Q2363" s="5" t="s">
        <v>36</v>
      </c>
    </row>
    <row r="2364" spans="1:17" x14ac:dyDescent="0.25">
      <c r="A2364" s="3">
        <v>10250</v>
      </c>
      <c r="B2364" s="3">
        <v>36</v>
      </c>
      <c r="C2364" s="3">
        <v>51.93</v>
      </c>
      <c r="D2364" s="3">
        <v>1869.48</v>
      </c>
      <c r="E2364" s="3" t="str">
        <f t="shared" si="145"/>
        <v>Low</v>
      </c>
      <c r="F2364" s="3">
        <f t="shared" si="146"/>
        <v>560.84399999999994</v>
      </c>
      <c r="G2364" s="4">
        <v>38118</v>
      </c>
      <c r="H2364" s="3" t="s">
        <v>25</v>
      </c>
      <c r="I2364" s="3" t="str">
        <f t="shared" si="144"/>
        <v>Yes</v>
      </c>
      <c r="J2364" s="3" t="s">
        <v>682</v>
      </c>
      <c r="K2364" s="3">
        <v>2004</v>
      </c>
      <c r="L2364" s="3" t="str">
        <f t="shared" si="147"/>
        <v>May-2004</v>
      </c>
      <c r="M2364" s="3" t="s">
        <v>550</v>
      </c>
      <c r="N2364" s="3" t="s">
        <v>397</v>
      </c>
      <c r="O2364" s="3" t="s">
        <v>32</v>
      </c>
      <c r="P2364" s="3" t="s">
        <v>33</v>
      </c>
      <c r="Q2364" s="3" t="s">
        <v>36</v>
      </c>
    </row>
    <row r="2365" spans="1:17" x14ac:dyDescent="0.25">
      <c r="A2365" s="5">
        <v>10262</v>
      </c>
      <c r="B2365" s="5">
        <v>49</v>
      </c>
      <c r="C2365" s="5">
        <v>37.97</v>
      </c>
      <c r="D2365" s="5">
        <v>1860.53</v>
      </c>
      <c r="E2365" s="5" t="str">
        <f t="shared" si="145"/>
        <v>Low</v>
      </c>
      <c r="F2365" s="5">
        <f t="shared" si="146"/>
        <v>558.15899999999999</v>
      </c>
      <c r="G2365" s="6">
        <v>38162</v>
      </c>
      <c r="H2365" s="5" t="s">
        <v>339</v>
      </c>
      <c r="I2365" s="5" t="str">
        <f t="shared" si="144"/>
        <v>No</v>
      </c>
      <c r="J2365" s="5" t="s">
        <v>689</v>
      </c>
      <c r="K2365" s="5">
        <v>2004</v>
      </c>
      <c r="L2365" s="5" t="str">
        <f t="shared" si="147"/>
        <v>Jun-2004</v>
      </c>
      <c r="M2365" s="5" t="s">
        <v>550</v>
      </c>
      <c r="N2365" s="5" t="s">
        <v>174</v>
      </c>
      <c r="O2365" s="5" t="s">
        <v>178</v>
      </c>
      <c r="P2365" s="5" t="s">
        <v>42</v>
      </c>
      <c r="Q2365" s="5" t="s">
        <v>36</v>
      </c>
    </row>
    <row r="2366" spans="1:17" x14ac:dyDescent="0.25">
      <c r="A2366" s="3">
        <v>10275</v>
      </c>
      <c r="B2366" s="3">
        <v>38</v>
      </c>
      <c r="C2366" s="3">
        <v>45.39</v>
      </c>
      <c r="D2366" s="3">
        <v>1724.82</v>
      </c>
      <c r="E2366" s="3" t="str">
        <f t="shared" si="145"/>
        <v>Low</v>
      </c>
      <c r="F2366" s="3">
        <f t="shared" si="146"/>
        <v>517.44599999999991</v>
      </c>
      <c r="G2366" s="4">
        <v>38191</v>
      </c>
      <c r="H2366" s="3" t="s">
        <v>25</v>
      </c>
      <c r="I2366" s="3" t="str">
        <f t="shared" si="144"/>
        <v>Yes</v>
      </c>
      <c r="J2366" s="3" t="s">
        <v>683</v>
      </c>
      <c r="K2366" s="3">
        <v>2004</v>
      </c>
      <c r="L2366" s="3" t="str">
        <f t="shared" si="147"/>
        <v>Jul-2004</v>
      </c>
      <c r="M2366" s="3" t="s">
        <v>550</v>
      </c>
      <c r="N2366" s="3" t="s">
        <v>114</v>
      </c>
      <c r="O2366" s="3" t="s">
        <v>41</v>
      </c>
      <c r="P2366" s="3" t="s">
        <v>42</v>
      </c>
      <c r="Q2366" s="3" t="s">
        <v>36</v>
      </c>
    </row>
    <row r="2367" spans="1:17" x14ac:dyDescent="0.25">
      <c r="A2367" s="5">
        <v>10284</v>
      </c>
      <c r="B2367" s="5">
        <v>33</v>
      </c>
      <c r="C2367" s="5">
        <v>51.93</v>
      </c>
      <c r="D2367" s="5">
        <v>1713.69</v>
      </c>
      <c r="E2367" s="5" t="str">
        <f t="shared" si="145"/>
        <v>Low</v>
      </c>
      <c r="F2367" s="5">
        <f t="shared" si="146"/>
        <v>514.10699999999997</v>
      </c>
      <c r="G2367" s="6">
        <v>38220</v>
      </c>
      <c r="H2367" s="5" t="s">
        <v>25</v>
      </c>
      <c r="I2367" s="5" t="str">
        <f t="shared" si="144"/>
        <v>Yes</v>
      </c>
      <c r="J2367" s="5" t="s">
        <v>684</v>
      </c>
      <c r="K2367" s="5">
        <v>2004</v>
      </c>
      <c r="L2367" s="5" t="str">
        <f t="shared" si="147"/>
        <v>Aug-2004</v>
      </c>
      <c r="M2367" s="5" t="s">
        <v>550</v>
      </c>
      <c r="N2367" s="5" t="s">
        <v>543</v>
      </c>
      <c r="O2367" s="5" t="s">
        <v>78</v>
      </c>
      <c r="P2367" s="5" t="s">
        <v>42</v>
      </c>
      <c r="Q2367" s="5" t="s">
        <v>36</v>
      </c>
    </row>
    <row r="2368" spans="1:17" x14ac:dyDescent="0.25">
      <c r="A2368" s="3">
        <v>10296</v>
      </c>
      <c r="B2368" s="3">
        <v>26</v>
      </c>
      <c r="C2368" s="3">
        <v>48.44</v>
      </c>
      <c r="D2368" s="3">
        <v>1259.44</v>
      </c>
      <c r="E2368" s="3" t="str">
        <f t="shared" si="145"/>
        <v>Low</v>
      </c>
      <c r="F2368" s="3">
        <f t="shared" si="146"/>
        <v>377.83199999999999</v>
      </c>
      <c r="G2368" s="4">
        <v>38245</v>
      </c>
      <c r="H2368" s="3" t="s">
        <v>25</v>
      </c>
      <c r="I2368" s="3" t="str">
        <f t="shared" si="144"/>
        <v>Yes</v>
      </c>
      <c r="J2368" s="3" t="s">
        <v>690</v>
      </c>
      <c r="K2368" s="3">
        <v>2004</v>
      </c>
      <c r="L2368" s="3" t="str">
        <f t="shared" si="147"/>
        <v>Sep-2004</v>
      </c>
      <c r="M2368" s="3" t="s">
        <v>550</v>
      </c>
      <c r="N2368" s="3" t="s">
        <v>572</v>
      </c>
      <c r="O2368" s="3" t="s">
        <v>443</v>
      </c>
      <c r="P2368" s="3" t="s">
        <v>42</v>
      </c>
      <c r="Q2368" s="3" t="s">
        <v>36</v>
      </c>
    </row>
    <row r="2369" spans="1:17" x14ac:dyDescent="0.25">
      <c r="A2369" s="5">
        <v>10308</v>
      </c>
      <c r="B2369" s="5">
        <v>47</v>
      </c>
      <c r="C2369" s="5">
        <v>43.64</v>
      </c>
      <c r="D2369" s="5">
        <v>2051.08</v>
      </c>
      <c r="E2369" s="5" t="str">
        <f t="shared" si="145"/>
        <v>Medium</v>
      </c>
      <c r="F2369" s="5">
        <f t="shared" si="146"/>
        <v>615.32399999999996</v>
      </c>
      <c r="G2369" s="6">
        <v>38275</v>
      </c>
      <c r="H2369" s="5" t="s">
        <v>25</v>
      </c>
      <c r="I2369" s="5" t="str">
        <f t="shared" si="144"/>
        <v>Yes</v>
      </c>
      <c r="J2369" s="5" t="s">
        <v>685</v>
      </c>
      <c r="K2369" s="5">
        <v>2004</v>
      </c>
      <c r="L2369" s="5" t="str">
        <f t="shared" si="147"/>
        <v>Oct-2004</v>
      </c>
      <c r="M2369" s="5" t="s">
        <v>550</v>
      </c>
      <c r="N2369" s="5" t="s">
        <v>317</v>
      </c>
      <c r="O2369" s="5" t="s">
        <v>32</v>
      </c>
      <c r="P2369" s="5" t="s">
        <v>33</v>
      </c>
      <c r="Q2369" s="5" t="s">
        <v>36</v>
      </c>
    </row>
    <row r="2370" spans="1:17" x14ac:dyDescent="0.25">
      <c r="A2370" s="3">
        <v>10316</v>
      </c>
      <c r="B2370" s="3">
        <v>34</v>
      </c>
      <c r="C2370" s="3">
        <v>47.57</v>
      </c>
      <c r="D2370" s="3">
        <v>1617.38</v>
      </c>
      <c r="E2370" s="3" t="str">
        <f t="shared" si="145"/>
        <v>Low</v>
      </c>
      <c r="F2370" s="3">
        <f t="shared" si="146"/>
        <v>485.214</v>
      </c>
      <c r="G2370" s="4">
        <v>38292</v>
      </c>
      <c r="H2370" s="3" t="s">
        <v>25</v>
      </c>
      <c r="I2370" s="3" t="str">
        <f t="shared" ref="I2370:I2433" si="148">IF(H2370="Shipped","Yes","No")</f>
        <v>Yes</v>
      </c>
      <c r="J2370" s="3" t="s">
        <v>686</v>
      </c>
      <c r="K2370" s="3">
        <v>2004</v>
      </c>
      <c r="L2370" s="3" t="str">
        <f t="shared" si="147"/>
        <v>Nov-2004</v>
      </c>
      <c r="M2370" s="3" t="s">
        <v>550</v>
      </c>
      <c r="N2370" s="3" t="s">
        <v>383</v>
      </c>
      <c r="O2370" s="3" t="s">
        <v>170</v>
      </c>
      <c r="P2370" s="3" t="s">
        <v>42</v>
      </c>
      <c r="Q2370" s="3" t="s">
        <v>36</v>
      </c>
    </row>
    <row r="2371" spans="1:17" x14ac:dyDescent="0.25">
      <c r="A2371" s="5">
        <v>10328</v>
      </c>
      <c r="B2371" s="5">
        <v>34</v>
      </c>
      <c r="C2371" s="5">
        <v>51.93</v>
      </c>
      <c r="D2371" s="5">
        <v>1765.62</v>
      </c>
      <c r="E2371" s="5" t="str">
        <f t="shared" ref="E2371:E2434" si="149">IF(D2371&gt;=5000,"High",IF(D2371&gt;=2000,"Medium","Low"))</f>
        <v>Low</v>
      </c>
      <c r="F2371" s="5">
        <f t="shared" ref="F2371:F2434" si="150">(D2371*0.3)</f>
        <v>529.68599999999992</v>
      </c>
      <c r="G2371" s="6">
        <v>38303</v>
      </c>
      <c r="H2371" s="5" t="s">
        <v>25</v>
      </c>
      <c r="I2371" s="5" t="str">
        <f t="shared" si="148"/>
        <v>Yes</v>
      </c>
      <c r="J2371" s="5" t="s">
        <v>686</v>
      </c>
      <c r="K2371" s="5">
        <v>2004</v>
      </c>
      <c r="L2371" s="5" t="str">
        <f t="shared" ref="L2371:L2434" si="151">TEXT(G:G,"MMM-YYYY")</f>
        <v>Nov-2004</v>
      </c>
      <c r="M2371" s="5" t="s">
        <v>550</v>
      </c>
      <c r="N2371" s="5" t="s">
        <v>552</v>
      </c>
      <c r="O2371" s="5" t="s">
        <v>258</v>
      </c>
      <c r="P2371" s="5" t="s">
        <v>42</v>
      </c>
      <c r="Q2371" s="5" t="s">
        <v>36</v>
      </c>
    </row>
    <row r="2372" spans="1:17" x14ac:dyDescent="0.25">
      <c r="A2372" s="3">
        <v>10340</v>
      </c>
      <c r="B2372" s="3">
        <v>40</v>
      </c>
      <c r="C2372" s="3">
        <v>50.62</v>
      </c>
      <c r="D2372" s="3">
        <v>2024.8</v>
      </c>
      <c r="E2372" s="3" t="str">
        <f t="shared" si="149"/>
        <v>Medium</v>
      </c>
      <c r="F2372" s="3">
        <f t="shared" si="150"/>
        <v>607.43999999999994</v>
      </c>
      <c r="G2372" s="4">
        <v>38315</v>
      </c>
      <c r="H2372" s="3" t="s">
        <v>25</v>
      </c>
      <c r="I2372" s="3" t="str">
        <f t="shared" si="148"/>
        <v>Yes</v>
      </c>
      <c r="J2372" s="3" t="s">
        <v>686</v>
      </c>
      <c r="K2372" s="3">
        <v>2004</v>
      </c>
      <c r="L2372" s="3" t="str">
        <f t="shared" si="151"/>
        <v>Nov-2004</v>
      </c>
      <c r="M2372" s="3" t="s">
        <v>550</v>
      </c>
      <c r="N2372" s="3" t="s">
        <v>352</v>
      </c>
      <c r="O2372" s="3" t="s">
        <v>178</v>
      </c>
      <c r="P2372" s="3" t="s">
        <v>42</v>
      </c>
      <c r="Q2372" s="3" t="s">
        <v>36</v>
      </c>
    </row>
    <row r="2373" spans="1:17" x14ac:dyDescent="0.25">
      <c r="A2373" s="5">
        <v>10353</v>
      </c>
      <c r="B2373" s="5">
        <v>40</v>
      </c>
      <c r="C2373" s="5">
        <v>82.21</v>
      </c>
      <c r="D2373" s="5">
        <v>3288.3999999999996</v>
      </c>
      <c r="E2373" s="5" t="str">
        <f t="shared" si="149"/>
        <v>Medium</v>
      </c>
      <c r="F2373" s="5">
        <f t="shared" si="150"/>
        <v>986.51999999999987</v>
      </c>
      <c r="G2373" s="6">
        <v>38325</v>
      </c>
      <c r="H2373" s="5" t="s">
        <v>25</v>
      </c>
      <c r="I2373" s="5" t="str">
        <f t="shared" si="148"/>
        <v>Yes</v>
      </c>
      <c r="J2373" s="5" t="s">
        <v>687</v>
      </c>
      <c r="K2373" s="5">
        <v>2004</v>
      </c>
      <c r="L2373" s="5" t="str">
        <f t="shared" si="151"/>
        <v>Dec-2004</v>
      </c>
      <c r="M2373" s="5" t="s">
        <v>550</v>
      </c>
      <c r="N2373" s="5" t="s">
        <v>568</v>
      </c>
      <c r="O2373" s="5" t="s">
        <v>32</v>
      </c>
      <c r="P2373" s="5" t="s">
        <v>33</v>
      </c>
      <c r="Q2373" s="5" t="s">
        <v>51</v>
      </c>
    </row>
    <row r="2374" spans="1:17" x14ac:dyDescent="0.25">
      <c r="A2374" s="3">
        <v>10361</v>
      </c>
      <c r="B2374" s="3">
        <v>33</v>
      </c>
      <c r="C2374" s="3">
        <v>82.59</v>
      </c>
      <c r="D2374" s="3">
        <v>2725.4700000000003</v>
      </c>
      <c r="E2374" s="3" t="str">
        <f t="shared" si="149"/>
        <v>Medium</v>
      </c>
      <c r="F2374" s="3">
        <f t="shared" si="150"/>
        <v>817.64100000000008</v>
      </c>
      <c r="G2374" s="4">
        <v>38338</v>
      </c>
      <c r="H2374" s="3" t="s">
        <v>25</v>
      </c>
      <c r="I2374" s="3" t="str">
        <f t="shared" si="148"/>
        <v>Yes</v>
      </c>
      <c r="J2374" s="3" t="s">
        <v>687</v>
      </c>
      <c r="K2374" s="3">
        <v>2004</v>
      </c>
      <c r="L2374" s="3" t="str">
        <f t="shared" si="151"/>
        <v>Dec-2004</v>
      </c>
      <c r="M2374" s="3" t="s">
        <v>550</v>
      </c>
      <c r="N2374" s="3" t="s">
        <v>152</v>
      </c>
      <c r="O2374" s="3" t="s">
        <v>95</v>
      </c>
      <c r="P2374" s="3" t="s">
        <v>96</v>
      </c>
      <c r="Q2374" s="3" t="s">
        <v>36</v>
      </c>
    </row>
    <row r="2375" spans="1:17" x14ac:dyDescent="0.25">
      <c r="A2375" s="5">
        <v>10375</v>
      </c>
      <c r="B2375" s="5">
        <v>49</v>
      </c>
      <c r="C2375" s="5">
        <v>65.8</v>
      </c>
      <c r="D2375" s="5">
        <v>3224.2</v>
      </c>
      <c r="E2375" s="5" t="str">
        <f t="shared" si="149"/>
        <v>Medium</v>
      </c>
      <c r="F2375" s="5">
        <f t="shared" si="150"/>
        <v>967.25999999999988</v>
      </c>
      <c r="G2375" s="6">
        <v>38386</v>
      </c>
      <c r="H2375" s="5" t="s">
        <v>25</v>
      </c>
      <c r="I2375" s="5" t="str">
        <f t="shared" si="148"/>
        <v>Yes</v>
      </c>
      <c r="J2375" s="5" t="s">
        <v>681</v>
      </c>
      <c r="K2375" s="5">
        <v>2005</v>
      </c>
      <c r="L2375" s="5" t="str">
        <f t="shared" si="151"/>
        <v>Feb-2005</v>
      </c>
      <c r="M2375" s="5" t="s">
        <v>550</v>
      </c>
      <c r="N2375" s="5" t="s">
        <v>114</v>
      </c>
      <c r="O2375" s="5" t="s">
        <v>41</v>
      </c>
      <c r="P2375" s="5" t="s">
        <v>42</v>
      </c>
      <c r="Q2375" s="5" t="s">
        <v>51</v>
      </c>
    </row>
    <row r="2376" spans="1:17" x14ac:dyDescent="0.25">
      <c r="A2376" s="3">
        <v>10388</v>
      </c>
      <c r="B2376" s="3">
        <v>27</v>
      </c>
      <c r="C2376" s="3">
        <v>100</v>
      </c>
      <c r="D2376" s="3">
        <v>2700</v>
      </c>
      <c r="E2376" s="3" t="str">
        <f t="shared" si="149"/>
        <v>Medium</v>
      </c>
      <c r="F2376" s="3">
        <f t="shared" si="150"/>
        <v>810</v>
      </c>
      <c r="G2376" s="4">
        <v>38414</v>
      </c>
      <c r="H2376" s="3" t="s">
        <v>25</v>
      </c>
      <c r="I2376" s="3" t="str">
        <f t="shared" si="148"/>
        <v>Yes</v>
      </c>
      <c r="J2376" s="3" t="s">
        <v>691</v>
      </c>
      <c r="K2376" s="3">
        <v>2005</v>
      </c>
      <c r="L2376" s="3" t="str">
        <f t="shared" si="151"/>
        <v>Mar-2005</v>
      </c>
      <c r="M2376" s="3" t="s">
        <v>550</v>
      </c>
      <c r="N2376" s="3" t="s">
        <v>160</v>
      </c>
      <c r="O2376" s="3" t="s">
        <v>32</v>
      </c>
      <c r="P2376" s="3" t="s">
        <v>33</v>
      </c>
      <c r="Q2376" s="3" t="s">
        <v>51</v>
      </c>
    </row>
    <row r="2377" spans="1:17" x14ac:dyDescent="0.25">
      <c r="A2377" s="5">
        <v>10398</v>
      </c>
      <c r="B2377" s="5">
        <v>49</v>
      </c>
      <c r="C2377" s="5">
        <v>36.659999999999997</v>
      </c>
      <c r="D2377" s="5">
        <v>1796.34</v>
      </c>
      <c r="E2377" s="5" t="str">
        <f t="shared" si="149"/>
        <v>Low</v>
      </c>
      <c r="F2377" s="5">
        <f t="shared" si="150"/>
        <v>538.90199999999993</v>
      </c>
      <c r="G2377" s="6">
        <v>38441</v>
      </c>
      <c r="H2377" s="5" t="s">
        <v>25</v>
      </c>
      <c r="I2377" s="5" t="str">
        <f t="shared" si="148"/>
        <v>Yes</v>
      </c>
      <c r="J2377" s="5" t="s">
        <v>691</v>
      </c>
      <c r="K2377" s="5">
        <v>2005</v>
      </c>
      <c r="L2377" s="5" t="str">
        <f t="shared" si="151"/>
        <v>Mar-2005</v>
      </c>
      <c r="M2377" s="5" t="s">
        <v>550</v>
      </c>
      <c r="N2377" s="5" t="s">
        <v>37</v>
      </c>
      <c r="O2377" s="5" t="s">
        <v>41</v>
      </c>
      <c r="P2377" s="5" t="s">
        <v>42</v>
      </c>
      <c r="Q2377" s="5" t="s">
        <v>36</v>
      </c>
    </row>
    <row r="2378" spans="1:17" x14ac:dyDescent="0.25">
      <c r="A2378" s="3">
        <v>10401</v>
      </c>
      <c r="B2378" s="3">
        <v>56</v>
      </c>
      <c r="C2378" s="3">
        <v>35.35</v>
      </c>
      <c r="D2378" s="3">
        <v>1979.6000000000001</v>
      </c>
      <c r="E2378" s="3" t="str">
        <f t="shared" si="149"/>
        <v>Low</v>
      </c>
      <c r="F2378" s="3">
        <f t="shared" si="150"/>
        <v>593.88</v>
      </c>
      <c r="G2378" s="4">
        <v>38445</v>
      </c>
      <c r="H2378" s="3" t="s">
        <v>401</v>
      </c>
      <c r="I2378" s="3" t="str">
        <f t="shared" si="148"/>
        <v>No</v>
      </c>
      <c r="J2378" s="3" t="s">
        <v>688</v>
      </c>
      <c r="K2378" s="3">
        <v>2005</v>
      </c>
      <c r="L2378" s="3" t="str">
        <f t="shared" si="151"/>
        <v>Apr-2005</v>
      </c>
      <c r="M2378" s="3" t="s">
        <v>550</v>
      </c>
      <c r="N2378" s="3" t="s">
        <v>104</v>
      </c>
      <c r="O2378" s="3" t="s">
        <v>32</v>
      </c>
      <c r="P2378" s="3" t="s">
        <v>33</v>
      </c>
      <c r="Q2378" s="3" t="s">
        <v>36</v>
      </c>
    </row>
    <row r="2379" spans="1:17" x14ac:dyDescent="0.25">
      <c r="A2379" s="5">
        <v>10416</v>
      </c>
      <c r="B2379" s="5">
        <v>37</v>
      </c>
      <c r="C2379" s="5">
        <v>51.93</v>
      </c>
      <c r="D2379" s="5">
        <v>1921.41</v>
      </c>
      <c r="E2379" s="5" t="str">
        <f t="shared" si="149"/>
        <v>Low</v>
      </c>
      <c r="F2379" s="5">
        <f t="shared" si="150"/>
        <v>576.423</v>
      </c>
      <c r="G2379" s="6">
        <v>38482</v>
      </c>
      <c r="H2379" s="5" t="s">
        <v>25</v>
      </c>
      <c r="I2379" s="5" t="str">
        <f t="shared" si="148"/>
        <v>Yes</v>
      </c>
      <c r="J2379" s="5" t="s">
        <v>682</v>
      </c>
      <c r="K2379" s="5">
        <v>2005</v>
      </c>
      <c r="L2379" s="5" t="str">
        <f t="shared" si="151"/>
        <v>May-2005</v>
      </c>
      <c r="M2379" s="5" t="s">
        <v>550</v>
      </c>
      <c r="N2379" s="5" t="s">
        <v>452</v>
      </c>
      <c r="O2379" s="5" t="s">
        <v>258</v>
      </c>
      <c r="P2379" s="5" t="s">
        <v>42</v>
      </c>
      <c r="Q2379" s="5" t="s">
        <v>36</v>
      </c>
    </row>
    <row r="2380" spans="1:17" x14ac:dyDescent="0.25">
      <c r="A2380" s="3">
        <v>10104</v>
      </c>
      <c r="B2380" s="3">
        <v>33</v>
      </c>
      <c r="C2380" s="3">
        <v>100</v>
      </c>
      <c r="D2380" s="3">
        <v>3300</v>
      </c>
      <c r="E2380" s="3" t="str">
        <f t="shared" si="149"/>
        <v>Medium</v>
      </c>
      <c r="F2380" s="3">
        <f t="shared" si="150"/>
        <v>990</v>
      </c>
      <c r="G2380" s="4">
        <v>37652</v>
      </c>
      <c r="H2380" s="3" t="s">
        <v>25</v>
      </c>
      <c r="I2380" s="3" t="str">
        <f t="shared" si="148"/>
        <v>Yes</v>
      </c>
      <c r="J2380" s="3" t="s">
        <v>549</v>
      </c>
      <c r="K2380" s="3">
        <v>2003</v>
      </c>
      <c r="L2380" s="3" t="str">
        <f t="shared" si="151"/>
        <v>Jan-2003</v>
      </c>
      <c r="M2380" s="3" t="s">
        <v>504</v>
      </c>
      <c r="N2380" s="3" t="s">
        <v>174</v>
      </c>
      <c r="O2380" s="3" t="s">
        <v>178</v>
      </c>
      <c r="P2380" s="3" t="s">
        <v>42</v>
      </c>
      <c r="Q2380" s="3" t="s">
        <v>51</v>
      </c>
    </row>
    <row r="2381" spans="1:17" x14ac:dyDescent="0.25">
      <c r="A2381" s="5">
        <v>10115</v>
      </c>
      <c r="B2381" s="5">
        <v>27</v>
      </c>
      <c r="C2381" s="5">
        <v>100</v>
      </c>
      <c r="D2381" s="5">
        <v>2700</v>
      </c>
      <c r="E2381" s="5" t="str">
        <f t="shared" si="149"/>
        <v>Medium</v>
      </c>
      <c r="F2381" s="5">
        <f t="shared" si="150"/>
        <v>810</v>
      </c>
      <c r="G2381" s="6">
        <v>37715</v>
      </c>
      <c r="H2381" s="5" t="s">
        <v>25</v>
      </c>
      <c r="I2381" s="5" t="str">
        <f t="shared" si="148"/>
        <v>Yes</v>
      </c>
      <c r="J2381" s="5" t="s">
        <v>688</v>
      </c>
      <c r="K2381" s="5">
        <v>2003</v>
      </c>
      <c r="L2381" s="5" t="str">
        <f t="shared" si="151"/>
        <v>Apr-2003</v>
      </c>
      <c r="M2381" s="5" t="s">
        <v>504</v>
      </c>
      <c r="N2381" s="5" t="s">
        <v>203</v>
      </c>
      <c r="O2381" s="5" t="s">
        <v>32</v>
      </c>
      <c r="P2381" s="5" t="s">
        <v>33</v>
      </c>
      <c r="Q2381" s="5" t="s">
        <v>36</v>
      </c>
    </row>
    <row r="2382" spans="1:17" x14ac:dyDescent="0.25">
      <c r="A2382" s="3">
        <v>10127</v>
      </c>
      <c r="B2382" s="3">
        <v>46</v>
      </c>
      <c r="C2382" s="3">
        <v>100</v>
      </c>
      <c r="D2382" s="3">
        <v>4600</v>
      </c>
      <c r="E2382" s="3" t="str">
        <f t="shared" si="149"/>
        <v>Medium</v>
      </c>
      <c r="F2382" s="3">
        <f t="shared" si="150"/>
        <v>1380</v>
      </c>
      <c r="G2382" s="4">
        <v>37775</v>
      </c>
      <c r="H2382" s="3" t="s">
        <v>25</v>
      </c>
      <c r="I2382" s="3" t="str">
        <f t="shared" si="148"/>
        <v>Yes</v>
      </c>
      <c r="J2382" s="3" t="s">
        <v>689</v>
      </c>
      <c r="K2382" s="3">
        <v>2003</v>
      </c>
      <c r="L2382" s="3" t="str">
        <f t="shared" si="151"/>
        <v>Jun-2003</v>
      </c>
      <c r="M2382" s="3" t="s">
        <v>504</v>
      </c>
      <c r="N2382" s="3" t="s">
        <v>475</v>
      </c>
      <c r="O2382" s="3" t="s">
        <v>32</v>
      </c>
      <c r="P2382" s="3" t="s">
        <v>33</v>
      </c>
      <c r="Q2382" s="3" t="s">
        <v>51</v>
      </c>
    </row>
    <row r="2383" spans="1:17" x14ac:dyDescent="0.25">
      <c r="A2383" s="5">
        <v>10141</v>
      </c>
      <c r="B2383" s="5">
        <v>44</v>
      </c>
      <c r="C2383" s="5">
        <v>100</v>
      </c>
      <c r="D2383" s="5">
        <v>4400</v>
      </c>
      <c r="E2383" s="5" t="str">
        <f t="shared" si="149"/>
        <v>Medium</v>
      </c>
      <c r="F2383" s="5">
        <f t="shared" si="150"/>
        <v>1320</v>
      </c>
      <c r="G2383" s="6">
        <v>37834</v>
      </c>
      <c r="H2383" s="5" t="s">
        <v>25</v>
      </c>
      <c r="I2383" s="5" t="str">
        <f t="shared" si="148"/>
        <v>Yes</v>
      </c>
      <c r="J2383" s="5" t="s">
        <v>684</v>
      </c>
      <c r="K2383" s="5">
        <v>2003</v>
      </c>
      <c r="L2383" s="5" t="str">
        <f t="shared" si="151"/>
        <v>Aug-2003</v>
      </c>
      <c r="M2383" s="5" t="s">
        <v>504</v>
      </c>
      <c r="N2383" s="5" t="s">
        <v>467</v>
      </c>
      <c r="O2383" s="5" t="s">
        <v>130</v>
      </c>
      <c r="P2383" s="5" t="s">
        <v>42</v>
      </c>
      <c r="Q2383" s="5" t="s">
        <v>51</v>
      </c>
    </row>
    <row r="2384" spans="1:17" x14ac:dyDescent="0.25">
      <c r="A2384" s="3">
        <v>10151</v>
      </c>
      <c r="B2384" s="3">
        <v>26</v>
      </c>
      <c r="C2384" s="3">
        <v>100</v>
      </c>
      <c r="D2384" s="3">
        <v>2600</v>
      </c>
      <c r="E2384" s="3" t="str">
        <f t="shared" si="149"/>
        <v>Medium</v>
      </c>
      <c r="F2384" s="3">
        <f t="shared" si="150"/>
        <v>780</v>
      </c>
      <c r="G2384" s="4">
        <v>37885</v>
      </c>
      <c r="H2384" s="3" t="s">
        <v>25</v>
      </c>
      <c r="I2384" s="3" t="str">
        <f t="shared" si="148"/>
        <v>Yes</v>
      </c>
      <c r="J2384" s="3" t="s">
        <v>690</v>
      </c>
      <c r="K2384" s="3">
        <v>2003</v>
      </c>
      <c r="L2384" s="3" t="str">
        <f t="shared" si="151"/>
        <v>Sep-2003</v>
      </c>
      <c r="M2384" s="3" t="s">
        <v>504</v>
      </c>
      <c r="N2384" s="3" t="s">
        <v>391</v>
      </c>
      <c r="O2384" s="3" t="s">
        <v>130</v>
      </c>
      <c r="P2384" s="3" t="s">
        <v>42</v>
      </c>
      <c r="Q2384" s="3" t="s">
        <v>51</v>
      </c>
    </row>
    <row r="2385" spans="1:17" x14ac:dyDescent="0.25">
      <c r="A2385" s="5">
        <v>10165</v>
      </c>
      <c r="B2385" s="5">
        <v>48</v>
      </c>
      <c r="C2385" s="5">
        <v>94.92</v>
      </c>
      <c r="D2385" s="5">
        <v>4556.16</v>
      </c>
      <c r="E2385" s="5" t="str">
        <f t="shared" si="149"/>
        <v>Medium</v>
      </c>
      <c r="F2385" s="5">
        <f t="shared" si="150"/>
        <v>1366.848</v>
      </c>
      <c r="G2385" s="6">
        <v>37916</v>
      </c>
      <c r="H2385" s="5" t="s">
        <v>25</v>
      </c>
      <c r="I2385" s="5" t="str">
        <f t="shared" si="148"/>
        <v>Yes</v>
      </c>
      <c r="J2385" s="5" t="s">
        <v>685</v>
      </c>
      <c r="K2385" s="5">
        <v>2003</v>
      </c>
      <c r="L2385" s="5" t="str">
        <f t="shared" si="151"/>
        <v>Oct-2003</v>
      </c>
      <c r="M2385" s="5" t="s">
        <v>504</v>
      </c>
      <c r="N2385" s="5" t="s">
        <v>196</v>
      </c>
      <c r="O2385" s="5" t="s">
        <v>199</v>
      </c>
      <c r="P2385" s="5" t="s">
        <v>675</v>
      </c>
      <c r="Q2385" s="5" t="s">
        <v>51</v>
      </c>
    </row>
    <row r="2386" spans="1:17" x14ac:dyDescent="0.25">
      <c r="A2386" s="3">
        <v>10176</v>
      </c>
      <c r="B2386" s="3">
        <v>23</v>
      </c>
      <c r="C2386" s="3">
        <v>100</v>
      </c>
      <c r="D2386" s="3">
        <v>2300</v>
      </c>
      <c r="E2386" s="3" t="str">
        <f t="shared" si="149"/>
        <v>Medium</v>
      </c>
      <c r="F2386" s="3">
        <f t="shared" si="150"/>
        <v>690</v>
      </c>
      <c r="G2386" s="4">
        <v>37931</v>
      </c>
      <c r="H2386" s="3" t="s">
        <v>25</v>
      </c>
      <c r="I2386" s="3" t="str">
        <f t="shared" si="148"/>
        <v>Yes</v>
      </c>
      <c r="J2386" s="3" t="s">
        <v>686</v>
      </c>
      <c r="K2386" s="3">
        <v>2003</v>
      </c>
      <c r="L2386" s="3" t="str">
        <f t="shared" si="151"/>
        <v>Nov-2003</v>
      </c>
      <c r="M2386" s="3" t="s">
        <v>504</v>
      </c>
      <c r="N2386" s="3" t="s">
        <v>452</v>
      </c>
      <c r="O2386" s="3" t="s">
        <v>258</v>
      </c>
      <c r="P2386" s="3" t="s">
        <v>42</v>
      </c>
      <c r="Q2386" s="3" t="s">
        <v>51</v>
      </c>
    </row>
    <row r="2387" spans="1:17" x14ac:dyDescent="0.25">
      <c r="A2387" s="5">
        <v>10184</v>
      </c>
      <c r="B2387" s="5">
        <v>45</v>
      </c>
      <c r="C2387" s="5">
        <v>100</v>
      </c>
      <c r="D2387" s="5">
        <v>4500</v>
      </c>
      <c r="E2387" s="5" t="str">
        <f t="shared" si="149"/>
        <v>Medium</v>
      </c>
      <c r="F2387" s="5">
        <f t="shared" si="150"/>
        <v>1350</v>
      </c>
      <c r="G2387" s="6">
        <v>37939</v>
      </c>
      <c r="H2387" s="5" t="s">
        <v>25</v>
      </c>
      <c r="I2387" s="5" t="str">
        <f t="shared" si="148"/>
        <v>Yes</v>
      </c>
      <c r="J2387" s="5" t="s">
        <v>686</v>
      </c>
      <c r="K2387" s="5">
        <v>2003</v>
      </c>
      <c r="L2387" s="5" t="str">
        <f t="shared" si="151"/>
        <v>Nov-2003</v>
      </c>
      <c r="M2387" s="5" t="s">
        <v>504</v>
      </c>
      <c r="N2387" s="5" t="s">
        <v>520</v>
      </c>
      <c r="O2387" s="5" t="s">
        <v>178</v>
      </c>
      <c r="P2387" s="5" t="s">
        <v>42</v>
      </c>
      <c r="Q2387" s="5" t="s">
        <v>51</v>
      </c>
    </row>
    <row r="2388" spans="1:17" x14ac:dyDescent="0.25">
      <c r="A2388" s="3">
        <v>10195</v>
      </c>
      <c r="B2388" s="3">
        <v>49</v>
      </c>
      <c r="C2388" s="3">
        <v>100</v>
      </c>
      <c r="D2388" s="3">
        <v>4900</v>
      </c>
      <c r="E2388" s="3" t="str">
        <f t="shared" si="149"/>
        <v>Medium</v>
      </c>
      <c r="F2388" s="3">
        <f t="shared" si="150"/>
        <v>1470</v>
      </c>
      <c r="G2388" s="4">
        <v>37950</v>
      </c>
      <c r="H2388" s="3" t="s">
        <v>25</v>
      </c>
      <c r="I2388" s="3" t="str">
        <f t="shared" si="148"/>
        <v>Yes</v>
      </c>
      <c r="J2388" s="3" t="s">
        <v>686</v>
      </c>
      <c r="K2388" s="3">
        <v>2003</v>
      </c>
      <c r="L2388" s="3" t="str">
        <f t="shared" si="151"/>
        <v>Nov-2003</v>
      </c>
      <c r="M2388" s="3" t="s">
        <v>504</v>
      </c>
      <c r="N2388" s="3" t="s">
        <v>317</v>
      </c>
      <c r="O2388" s="3" t="s">
        <v>32</v>
      </c>
      <c r="P2388" s="3" t="s">
        <v>33</v>
      </c>
      <c r="Q2388" s="3" t="s">
        <v>51</v>
      </c>
    </row>
    <row r="2389" spans="1:17" x14ac:dyDescent="0.25">
      <c r="A2389" s="5">
        <v>10207</v>
      </c>
      <c r="B2389" s="5">
        <v>28</v>
      </c>
      <c r="C2389" s="5">
        <v>94.92</v>
      </c>
      <c r="D2389" s="5">
        <v>2657.76</v>
      </c>
      <c r="E2389" s="5" t="str">
        <f t="shared" si="149"/>
        <v>Medium</v>
      </c>
      <c r="F2389" s="5">
        <f t="shared" si="150"/>
        <v>797.32800000000009</v>
      </c>
      <c r="G2389" s="6">
        <v>37964</v>
      </c>
      <c r="H2389" s="5" t="s">
        <v>25</v>
      </c>
      <c r="I2389" s="5" t="str">
        <f t="shared" si="148"/>
        <v>Yes</v>
      </c>
      <c r="J2389" s="5" t="s">
        <v>687</v>
      </c>
      <c r="K2389" s="5">
        <v>2003</v>
      </c>
      <c r="L2389" s="5" t="str">
        <f t="shared" si="151"/>
        <v>Dec-2003</v>
      </c>
      <c r="M2389" s="5" t="s">
        <v>504</v>
      </c>
      <c r="N2389" s="5" t="s">
        <v>415</v>
      </c>
      <c r="O2389" s="5" t="s">
        <v>32</v>
      </c>
      <c r="P2389" s="5" t="s">
        <v>33</v>
      </c>
      <c r="Q2389" s="5" t="s">
        <v>36</v>
      </c>
    </row>
    <row r="2390" spans="1:17" x14ac:dyDescent="0.25">
      <c r="A2390" s="3">
        <v>10220</v>
      </c>
      <c r="B2390" s="3">
        <v>37</v>
      </c>
      <c r="C2390" s="3">
        <v>100</v>
      </c>
      <c r="D2390" s="3">
        <v>3700</v>
      </c>
      <c r="E2390" s="3" t="str">
        <f t="shared" si="149"/>
        <v>Medium</v>
      </c>
      <c r="F2390" s="3">
        <f t="shared" si="150"/>
        <v>1110</v>
      </c>
      <c r="G2390" s="4">
        <v>38029</v>
      </c>
      <c r="H2390" s="3" t="s">
        <v>25</v>
      </c>
      <c r="I2390" s="3" t="str">
        <f t="shared" si="148"/>
        <v>Yes</v>
      </c>
      <c r="J2390" s="3" t="s">
        <v>681</v>
      </c>
      <c r="K2390" s="3">
        <v>2004</v>
      </c>
      <c r="L2390" s="3" t="str">
        <f t="shared" si="151"/>
        <v>Feb-2004</v>
      </c>
      <c r="M2390" s="3" t="s">
        <v>504</v>
      </c>
      <c r="N2390" s="3" t="s">
        <v>479</v>
      </c>
      <c r="O2390" s="3" t="s">
        <v>484</v>
      </c>
      <c r="P2390" s="3" t="s">
        <v>42</v>
      </c>
      <c r="Q2390" s="3" t="s">
        <v>51</v>
      </c>
    </row>
    <row r="2391" spans="1:17" x14ac:dyDescent="0.25">
      <c r="A2391" s="5">
        <v>10230</v>
      </c>
      <c r="B2391" s="5">
        <v>34</v>
      </c>
      <c r="C2391" s="5">
        <v>100</v>
      </c>
      <c r="D2391" s="5">
        <v>3400</v>
      </c>
      <c r="E2391" s="5" t="str">
        <f t="shared" si="149"/>
        <v>Medium</v>
      </c>
      <c r="F2391" s="5">
        <f t="shared" si="150"/>
        <v>1020</v>
      </c>
      <c r="G2391" s="6">
        <v>38061</v>
      </c>
      <c r="H2391" s="5" t="s">
        <v>25</v>
      </c>
      <c r="I2391" s="5" t="str">
        <f t="shared" si="148"/>
        <v>Yes</v>
      </c>
      <c r="J2391" s="5" t="s">
        <v>691</v>
      </c>
      <c r="K2391" s="5">
        <v>2004</v>
      </c>
      <c r="L2391" s="5" t="str">
        <f t="shared" si="151"/>
        <v>Mar-2004</v>
      </c>
      <c r="M2391" s="5" t="s">
        <v>504</v>
      </c>
      <c r="N2391" s="5" t="s">
        <v>462</v>
      </c>
      <c r="O2391" s="5" t="s">
        <v>443</v>
      </c>
      <c r="P2391" s="5" t="s">
        <v>42</v>
      </c>
      <c r="Q2391" s="5" t="s">
        <v>51</v>
      </c>
    </row>
    <row r="2392" spans="1:17" x14ac:dyDescent="0.25">
      <c r="A2392" s="3">
        <v>10246</v>
      </c>
      <c r="B2392" s="3">
        <v>22</v>
      </c>
      <c r="C2392" s="3">
        <v>100</v>
      </c>
      <c r="D2392" s="3">
        <v>2200</v>
      </c>
      <c r="E2392" s="3" t="str">
        <f t="shared" si="149"/>
        <v>Medium</v>
      </c>
      <c r="F2392" s="3">
        <f t="shared" si="150"/>
        <v>660</v>
      </c>
      <c r="G2392" s="4">
        <v>38112</v>
      </c>
      <c r="H2392" s="3" t="s">
        <v>25</v>
      </c>
      <c r="I2392" s="3" t="str">
        <f t="shared" si="148"/>
        <v>Yes</v>
      </c>
      <c r="J2392" s="3" t="s">
        <v>682</v>
      </c>
      <c r="K2392" s="3">
        <v>2004</v>
      </c>
      <c r="L2392" s="3" t="str">
        <f t="shared" si="151"/>
        <v>May-2004</v>
      </c>
      <c r="M2392" s="3" t="s">
        <v>504</v>
      </c>
      <c r="N2392" s="3" t="s">
        <v>174</v>
      </c>
      <c r="O2392" s="3" t="s">
        <v>178</v>
      </c>
      <c r="P2392" s="3" t="s">
        <v>42</v>
      </c>
      <c r="Q2392" s="3" t="s">
        <v>36</v>
      </c>
    </row>
    <row r="2393" spans="1:17" x14ac:dyDescent="0.25">
      <c r="A2393" s="5">
        <v>10259</v>
      </c>
      <c r="B2393" s="5">
        <v>29</v>
      </c>
      <c r="C2393" s="5">
        <v>100</v>
      </c>
      <c r="D2393" s="5">
        <v>2900</v>
      </c>
      <c r="E2393" s="5" t="str">
        <f t="shared" si="149"/>
        <v>Medium</v>
      </c>
      <c r="F2393" s="5">
        <f t="shared" si="150"/>
        <v>870</v>
      </c>
      <c r="G2393" s="6">
        <v>38153</v>
      </c>
      <c r="H2393" s="5" t="s">
        <v>25</v>
      </c>
      <c r="I2393" s="5" t="str">
        <f t="shared" si="148"/>
        <v>Yes</v>
      </c>
      <c r="J2393" s="5" t="s">
        <v>689</v>
      </c>
      <c r="K2393" s="5">
        <v>2004</v>
      </c>
      <c r="L2393" s="5" t="str">
        <f t="shared" si="151"/>
        <v>Jun-2004</v>
      </c>
      <c r="M2393" s="5" t="s">
        <v>504</v>
      </c>
      <c r="N2393" s="5" t="s">
        <v>418</v>
      </c>
      <c r="O2393" s="5" t="s">
        <v>199</v>
      </c>
      <c r="P2393" s="5" t="s">
        <v>96</v>
      </c>
      <c r="Q2393" s="5" t="s">
        <v>51</v>
      </c>
    </row>
    <row r="2394" spans="1:17" x14ac:dyDescent="0.25">
      <c r="A2394" s="3">
        <v>10271</v>
      </c>
      <c r="B2394" s="3">
        <v>34</v>
      </c>
      <c r="C2394" s="3">
        <v>98.39</v>
      </c>
      <c r="D2394" s="3">
        <v>3345.26</v>
      </c>
      <c r="E2394" s="3" t="str">
        <f t="shared" si="149"/>
        <v>Medium</v>
      </c>
      <c r="F2394" s="3">
        <f t="shared" si="150"/>
        <v>1003.578</v>
      </c>
      <c r="G2394" s="4">
        <v>38188</v>
      </c>
      <c r="H2394" s="3" t="s">
        <v>25</v>
      </c>
      <c r="I2394" s="3" t="str">
        <f t="shared" si="148"/>
        <v>Yes</v>
      </c>
      <c r="J2394" s="3" t="s">
        <v>683</v>
      </c>
      <c r="K2394" s="3">
        <v>2004</v>
      </c>
      <c r="L2394" s="3" t="str">
        <f t="shared" si="151"/>
        <v>Jul-2004</v>
      </c>
      <c r="M2394" s="3" t="s">
        <v>504</v>
      </c>
      <c r="N2394" s="3" t="s">
        <v>272</v>
      </c>
      <c r="O2394" s="3" t="s">
        <v>32</v>
      </c>
      <c r="P2394" s="3" t="s">
        <v>33</v>
      </c>
      <c r="Q2394" s="3" t="s">
        <v>51</v>
      </c>
    </row>
    <row r="2395" spans="1:17" x14ac:dyDescent="0.25">
      <c r="A2395" s="5">
        <v>10282</v>
      </c>
      <c r="B2395" s="5">
        <v>38</v>
      </c>
      <c r="C2395" s="5">
        <v>100</v>
      </c>
      <c r="D2395" s="5">
        <v>3800</v>
      </c>
      <c r="E2395" s="5" t="str">
        <f t="shared" si="149"/>
        <v>Medium</v>
      </c>
      <c r="F2395" s="5">
        <f t="shared" si="150"/>
        <v>1140</v>
      </c>
      <c r="G2395" s="6">
        <v>38219</v>
      </c>
      <c r="H2395" s="5" t="s">
        <v>25</v>
      </c>
      <c r="I2395" s="5" t="str">
        <f t="shared" si="148"/>
        <v>Yes</v>
      </c>
      <c r="J2395" s="5" t="s">
        <v>684</v>
      </c>
      <c r="K2395" s="5">
        <v>2004</v>
      </c>
      <c r="L2395" s="5" t="str">
        <f t="shared" si="151"/>
        <v>Aug-2004</v>
      </c>
      <c r="M2395" s="5" t="s">
        <v>504</v>
      </c>
      <c r="N2395" s="5" t="s">
        <v>272</v>
      </c>
      <c r="O2395" s="5" t="s">
        <v>32</v>
      </c>
      <c r="P2395" s="5" t="s">
        <v>33</v>
      </c>
      <c r="Q2395" s="5" t="s">
        <v>51</v>
      </c>
    </row>
    <row r="2396" spans="1:17" x14ac:dyDescent="0.25">
      <c r="A2396" s="3">
        <v>10292</v>
      </c>
      <c r="B2396" s="3">
        <v>41</v>
      </c>
      <c r="C2396" s="3">
        <v>100</v>
      </c>
      <c r="D2396" s="3">
        <v>4100</v>
      </c>
      <c r="E2396" s="3" t="str">
        <f t="shared" si="149"/>
        <v>Medium</v>
      </c>
      <c r="F2396" s="3">
        <f t="shared" si="150"/>
        <v>1230</v>
      </c>
      <c r="G2396" s="4">
        <v>38238</v>
      </c>
      <c r="H2396" s="3" t="s">
        <v>25</v>
      </c>
      <c r="I2396" s="3" t="str">
        <f t="shared" si="148"/>
        <v>Yes</v>
      </c>
      <c r="J2396" s="3" t="s">
        <v>690</v>
      </c>
      <c r="K2396" s="3">
        <v>2004</v>
      </c>
      <c r="L2396" s="3" t="str">
        <f t="shared" si="151"/>
        <v>Sep-2004</v>
      </c>
      <c r="M2396" s="3" t="s">
        <v>504</v>
      </c>
      <c r="N2396" s="3" t="s">
        <v>28</v>
      </c>
      <c r="O2396" s="3" t="s">
        <v>32</v>
      </c>
      <c r="P2396" s="3" t="s">
        <v>33</v>
      </c>
      <c r="Q2396" s="3" t="s">
        <v>51</v>
      </c>
    </row>
    <row r="2397" spans="1:17" x14ac:dyDescent="0.25">
      <c r="A2397" s="5">
        <v>10305</v>
      </c>
      <c r="B2397" s="5">
        <v>42</v>
      </c>
      <c r="C2397" s="5">
        <v>100</v>
      </c>
      <c r="D2397" s="5">
        <v>4200</v>
      </c>
      <c r="E2397" s="5" t="str">
        <f t="shared" si="149"/>
        <v>Medium</v>
      </c>
      <c r="F2397" s="5">
        <f t="shared" si="150"/>
        <v>1260</v>
      </c>
      <c r="G2397" s="6">
        <v>38273</v>
      </c>
      <c r="H2397" s="5" t="s">
        <v>25</v>
      </c>
      <c r="I2397" s="5" t="str">
        <f t="shared" si="148"/>
        <v>Yes</v>
      </c>
      <c r="J2397" s="5" t="s">
        <v>685</v>
      </c>
      <c r="K2397" s="5">
        <v>2004</v>
      </c>
      <c r="L2397" s="5" t="str">
        <f t="shared" si="151"/>
        <v>Oct-2004</v>
      </c>
      <c r="M2397" s="5" t="s">
        <v>504</v>
      </c>
      <c r="N2397" s="5" t="s">
        <v>120</v>
      </c>
      <c r="O2397" s="5" t="s">
        <v>32</v>
      </c>
      <c r="P2397" s="5" t="s">
        <v>33</v>
      </c>
      <c r="Q2397" s="5" t="s">
        <v>51</v>
      </c>
    </row>
    <row r="2398" spans="1:17" x14ac:dyDescent="0.25">
      <c r="A2398" s="3">
        <v>10314</v>
      </c>
      <c r="B2398" s="3">
        <v>28</v>
      </c>
      <c r="C2398" s="3">
        <v>100</v>
      </c>
      <c r="D2398" s="3">
        <v>2800</v>
      </c>
      <c r="E2398" s="3" t="str">
        <f t="shared" si="149"/>
        <v>Medium</v>
      </c>
      <c r="F2398" s="3">
        <f t="shared" si="150"/>
        <v>840</v>
      </c>
      <c r="G2398" s="4">
        <v>38282</v>
      </c>
      <c r="H2398" s="3" t="s">
        <v>25</v>
      </c>
      <c r="I2398" s="3" t="str">
        <f t="shared" si="148"/>
        <v>Yes</v>
      </c>
      <c r="J2398" s="3" t="s">
        <v>685</v>
      </c>
      <c r="K2398" s="3">
        <v>2004</v>
      </c>
      <c r="L2398" s="3" t="str">
        <f t="shared" si="151"/>
        <v>Oct-2004</v>
      </c>
      <c r="M2398" s="3" t="s">
        <v>504</v>
      </c>
      <c r="N2398" s="3" t="s">
        <v>498</v>
      </c>
      <c r="O2398" s="3" t="s">
        <v>326</v>
      </c>
      <c r="P2398" s="3" t="s">
        <v>42</v>
      </c>
      <c r="Q2398" s="3" t="s">
        <v>51</v>
      </c>
    </row>
    <row r="2399" spans="1:17" x14ac:dyDescent="0.25">
      <c r="A2399" s="5">
        <v>10325</v>
      </c>
      <c r="B2399" s="5">
        <v>38</v>
      </c>
      <c r="C2399" s="5">
        <v>100</v>
      </c>
      <c r="D2399" s="5">
        <v>3800</v>
      </c>
      <c r="E2399" s="5" t="str">
        <f t="shared" si="149"/>
        <v>Medium</v>
      </c>
      <c r="F2399" s="5">
        <f t="shared" si="150"/>
        <v>1140</v>
      </c>
      <c r="G2399" s="6">
        <v>38296</v>
      </c>
      <c r="H2399" s="5" t="s">
        <v>25</v>
      </c>
      <c r="I2399" s="5" t="str">
        <f t="shared" si="148"/>
        <v>Yes</v>
      </c>
      <c r="J2399" s="5" t="s">
        <v>686</v>
      </c>
      <c r="K2399" s="5">
        <v>2004</v>
      </c>
      <c r="L2399" s="5" t="str">
        <f t="shared" si="151"/>
        <v>Nov-2004</v>
      </c>
      <c r="M2399" s="5" t="s">
        <v>504</v>
      </c>
      <c r="N2399" s="5" t="s">
        <v>133</v>
      </c>
      <c r="O2399" s="5" t="s">
        <v>78</v>
      </c>
      <c r="P2399" s="5" t="s">
        <v>42</v>
      </c>
      <c r="Q2399" s="5" t="s">
        <v>51</v>
      </c>
    </row>
    <row r="2400" spans="1:17" x14ac:dyDescent="0.25">
      <c r="A2400" s="3">
        <v>10336</v>
      </c>
      <c r="B2400" s="3">
        <v>23</v>
      </c>
      <c r="C2400" s="3">
        <v>100</v>
      </c>
      <c r="D2400" s="3">
        <v>2300</v>
      </c>
      <c r="E2400" s="3" t="str">
        <f t="shared" si="149"/>
        <v>Medium</v>
      </c>
      <c r="F2400" s="3">
        <f t="shared" si="150"/>
        <v>690</v>
      </c>
      <c r="G2400" s="4">
        <v>38311</v>
      </c>
      <c r="H2400" s="3" t="s">
        <v>25</v>
      </c>
      <c r="I2400" s="3" t="str">
        <f t="shared" si="148"/>
        <v>Yes</v>
      </c>
      <c r="J2400" s="3" t="s">
        <v>686</v>
      </c>
      <c r="K2400" s="3">
        <v>2004</v>
      </c>
      <c r="L2400" s="3" t="str">
        <f t="shared" si="151"/>
        <v>Nov-2004</v>
      </c>
      <c r="M2400" s="3" t="s">
        <v>504</v>
      </c>
      <c r="N2400" s="3" t="s">
        <v>403</v>
      </c>
      <c r="O2400" s="3" t="s">
        <v>41</v>
      </c>
      <c r="P2400" s="3" t="s">
        <v>42</v>
      </c>
      <c r="Q2400" s="3" t="s">
        <v>51</v>
      </c>
    </row>
    <row r="2401" spans="1:17" x14ac:dyDescent="0.25">
      <c r="A2401" s="5">
        <v>10350</v>
      </c>
      <c r="B2401" s="5">
        <v>31</v>
      </c>
      <c r="C2401" s="5">
        <v>71.400000000000006</v>
      </c>
      <c r="D2401" s="5">
        <v>2213.4</v>
      </c>
      <c r="E2401" s="5" t="str">
        <f t="shared" si="149"/>
        <v>Medium</v>
      </c>
      <c r="F2401" s="5">
        <f t="shared" si="150"/>
        <v>664.02</v>
      </c>
      <c r="G2401" s="6">
        <v>38323</v>
      </c>
      <c r="H2401" s="5" t="s">
        <v>25</v>
      </c>
      <c r="I2401" s="5" t="str">
        <f t="shared" si="148"/>
        <v>Yes</v>
      </c>
      <c r="J2401" s="5" t="s">
        <v>687</v>
      </c>
      <c r="K2401" s="5">
        <v>2004</v>
      </c>
      <c r="L2401" s="5" t="str">
        <f t="shared" si="151"/>
        <v>Dec-2004</v>
      </c>
      <c r="M2401" s="5" t="s">
        <v>504</v>
      </c>
      <c r="N2401" s="5" t="s">
        <v>174</v>
      </c>
      <c r="O2401" s="5" t="s">
        <v>178</v>
      </c>
      <c r="P2401" s="5" t="s">
        <v>42</v>
      </c>
      <c r="Q2401" s="5" t="s">
        <v>36</v>
      </c>
    </row>
    <row r="2402" spans="1:17" x14ac:dyDescent="0.25">
      <c r="A2402" s="3">
        <v>10359</v>
      </c>
      <c r="B2402" s="3">
        <v>46</v>
      </c>
      <c r="C2402" s="3">
        <v>100</v>
      </c>
      <c r="D2402" s="3">
        <v>4600</v>
      </c>
      <c r="E2402" s="3" t="str">
        <f t="shared" si="149"/>
        <v>Medium</v>
      </c>
      <c r="F2402" s="3">
        <f t="shared" si="150"/>
        <v>1380</v>
      </c>
      <c r="G2402" s="4">
        <v>38336</v>
      </c>
      <c r="H2402" s="3" t="s">
        <v>25</v>
      </c>
      <c r="I2402" s="3" t="str">
        <f t="shared" si="148"/>
        <v>Yes</v>
      </c>
      <c r="J2402" s="3" t="s">
        <v>687</v>
      </c>
      <c r="K2402" s="3">
        <v>2004</v>
      </c>
      <c r="L2402" s="3" t="str">
        <f t="shared" si="151"/>
        <v>Dec-2004</v>
      </c>
      <c r="M2402" s="3" t="s">
        <v>504</v>
      </c>
      <c r="N2402" s="3" t="s">
        <v>37</v>
      </c>
      <c r="O2402" s="3" t="s">
        <v>41</v>
      </c>
      <c r="P2402" s="3" t="s">
        <v>42</v>
      </c>
      <c r="Q2402" s="3" t="s">
        <v>51</v>
      </c>
    </row>
    <row r="2403" spans="1:17" x14ac:dyDescent="0.25">
      <c r="A2403" s="5">
        <v>10371</v>
      </c>
      <c r="B2403" s="5">
        <v>48</v>
      </c>
      <c r="C2403" s="5">
        <v>56.55</v>
      </c>
      <c r="D2403" s="5">
        <v>2714.3999999999996</v>
      </c>
      <c r="E2403" s="5" t="str">
        <f t="shared" si="149"/>
        <v>Medium</v>
      </c>
      <c r="F2403" s="5">
        <f t="shared" si="150"/>
        <v>814.31999999999982</v>
      </c>
      <c r="G2403" s="6">
        <v>38375</v>
      </c>
      <c r="H2403" s="5" t="s">
        <v>25</v>
      </c>
      <c r="I2403" s="5" t="str">
        <f t="shared" si="148"/>
        <v>Yes</v>
      </c>
      <c r="J2403" s="5" t="s">
        <v>549</v>
      </c>
      <c r="K2403" s="5">
        <v>2005</v>
      </c>
      <c r="L2403" s="5" t="str">
        <f t="shared" si="151"/>
        <v>Jan-2005</v>
      </c>
      <c r="M2403" s="5" t="s">
        <v>504</v>
      </c>
      <c r="N2403" s="5" t="s">
        <v>272</v>
      </c>
      <c r="O2403" s="5" t="s">
        <v>32</v>
      </c>
      <c r="P2403" s="5" t="s">
        <v>33</v>
      </c>
      <c r="Q2403" s="5" t="s">
        <v>36</v>
      </c>
    </row>
    <row r="2404" spans="1:17" x14ac:dyDescent="0.25">
      <c r="A2404" s="3">
        <v>10383</v>
      </c>
      <c r="B2404" s="3">
        <v>29</v>
      </c>
      <c r="C2404" s="3">
        <v>100</v>
      </c>
      <c r="D2404" s="3">
        <v>2900</v>
      </c>
      <c r="E2404" s="3" t="str">
        <f t="shared" si="149"/>
        <v>Medium</v>
      </c>
      <c r="F2404" s="3">
        <f t="shared" si="150"/>
        <v>870</v>
      </c>
      <c r="G2404" s="4">
        <v>38405</v>
      </c>
      <c r="H2404" s="3" t="s">
        <v>25</v>
      </c>
      <c r="I2404" s="3" t="str">
        <f t="shared" si="148"/>
        <v>Yes</v>
      </c>
      <c r="J2404" s="3" t="s">
        <v>681</v>
      </c>
      <c r="K2404" s="3">
        <v>2005</v>
      </c>
      <c r="L2404" s="3" t="str">
        <f t="shared" si="151"/>
        <v>Feb-2005</v>
      </c>
      <c r="M2404" s="3" t="s">
        <v>504</v>
      </c>
      <c r="N2404" s="3" t="s">
        <v>174</v>
      </c>
      <c r="O2404" s="3" t="s">
        <v>178</v>
      </c>
      <c r="P2404" s="3" t="s">
        <v>42</v>
      </c>
      <c r="Q2404" s="3" t="s">
        <v>51</v>
      </c>
    </row>
    <row r="2405" spans="1:17" x14ac:dyDescent="0.25">
      <c r="A2405" s="5">
        <v>10395</v>
      </c>
      <c r="B2405" s="5">
        <v>46</v>
      </c>
      <c r="C2405" s="5">
        <v>100</v>
      </c>
      <c r="D2405" s="5">
        <v>4600</v>
      </c>
      <c r="E2405" s="5" t="str">
        <f t="shared" si="149"/>
        <v>Medium</v>
      </c>
      <c r="F2405" s="5">
        <f t="shared" si="150"/>
        <v>1380</v>
      </c>
      <c r="G2405" s="6">
        <v>38428</v>
      </c>
      <c r="H2405" s="5" t="s">
        <v>25</v>
      </c>
      <c r="I2405" s="5" t="str">
        <f t="shared" si="148"/>
        <v>Yes</v>
      </c>
      <c r="J2405" s="5" t="s">
        <v>691</v>
      </c>
      <c r="K2405" s="5">
        <v>2005</v>
      </c>
      <c r="L2405" s="5" t="str">
        <f t="shared" si="151"/>
        <v>Mar-2005</v>
      </c>
      <c r="M2405" s="5" t="s">
        <v>504</v>
      </c>
      <c r="N2405" s="5" t="s">
        <v>45</v>
      </c>
      <c r="O2405" s="5" t="s">
        <v>41</v>
      </c>
      <c r="P2405" s="5" t="s">
        <v>42</v>
      </c>
      <c r="Q2405" s="5" t="s">
        <v>51</v>
      </c>
    </row>
    <row r="2406" spans="1:17" x14ac:dyDescent="0.25">
      <c r="A2406" s="3">
        <v>10412</v>
      </c>
      <c r="B2406" s="3">
        <v>26</v>
      </c>
      <c r="C2406" s="3">
        <v>100</v>
      </c>
      <c r="D2406" s="3">
        <v>2600</v>
      </c>
      <c r="E2406" s="3" t="str">
        <f t="shared" si="149"/>
        <v>Medium</v>
      </c>
      <c r="F2406" s="3">
        <f t="shared" si="150"/>
        <v>780</v>
      </c>
      <c r="G2406" s="4">
        <v>38475</v>
      </c>
      <c r="H2406" s="3" t="s">
        <v>25</v>
      </c>
      <c r="I2406" s="3" t="str">
        <f t="shared" si="148"/>
        <v>Yes</v>
      </c>
      <c r="J2406" s="3" t="s">
        <v>682</v>
      </c>
      <c r="K2406" s="3">
        <v>2005</v>
      </c>
      <c r="L2406" s="3" t="str">
        <f t="shared" si="151"/>
        <v>May-2005</v>
      </c>
      <c r="M2406" s="3" t="s">
        <v>504</v>
      </c>
      <c r="N2406" s="3" t="s">
        <v>174</v>
      </c>
      <c r="O2406" s="3" t="s">
        <v>178</v>
      </c>
      <c r="P2406" s="3" t="s">
        <v>42</v>
      </c>
      <c r="Q2406" s="3" t="s">
        <v>51</v>
      </c>
    </row>
    <row r="2407" spans="1:17" x14ac:dyDescent="0.25">
      <c r="A2407" s="5">
        <v>10425</v>
      </c>
      <c r="B2407" s="5">
        <v>18</v>
      </c>
      <c r="C2407" s="5">
        <v>100</v>
      </c>
      <c r="D2407" s="5">
        <v>1800</v>
      </c>
      <c r="E2407" s="5" t="str">
        <f t="shared" si="149"/>
        <v>Low</v>
      </c>
      <c r="F2407" s="5">
        <f t="shared" si="150"/>
        <v>540</v>
      </c>
      <c r="G2407" s="6">
        <v>38503</v>
      </c>
      <c r="H2407" s="5" t="s">
        <v>300</v>
      </c>
      <c r="I2407" s="5" t="str">
        <f t="shared" si="148"/>
        <v>No</v>
      </c>
      <c r="J2407" s="5" t="s">
        <v>682</v>
      </c>
      <c r="K2407" s="5">
        <v>2005</v>
      </c>
      <c r="L2407" s="5" t="str">
        <f t="shared" si="151"/>
        <v>May-2005</v>
      </c>
      <c r="M2407" s="5" t="s">
        <v>504</v>
      </c>
      <c r="N2407" s="5" t="s">
        <v>114</v>
      </c>
      <c r="O2407" s="5" t="s">
        <v>41</v>
      </c>
      <c r="P2407" s="5" t="s">
        <v>42</v>
      </c>
      <c r="Q2407" s="5" t="s">
        <v>36</v>
      </c>
    </row>
    <row r="2408" spans="1:17" x14ac:dyDescent="0.25">
      <c r="A2408" s="3">
        <v>10104</v>
      </c>
      <c r="B2408" s="3">
        <v>32</v>
      </c>
      <c r="C2408" s="3">
        <v>53.31</v>
      </c>
      <c r="D2408" s="3">
        <v>1705.92</v>
      </c>
      <c r="E2408" s="3" t="str">
        <f t="shared" si="149"/>
        <v>Low</v>
      </c>
      <c r="F2408" s="3">
        <f t="shared" si="150"/>
        <v>511.77600000000001</v>
      </c>
      <c r="G2408" s="4">
        <v>37652</v>
      </c>
      <c r="H2408" s="3" t="s">
        <v>25</v>
      </c>
      <c r="I2408" s="3" t="str">
        <f t="shared" si="148"/>
        <v>Yes</v>
      </c>
      <c r="J2408" s="3" t="s">
        <v>549</v>
      </c>
      <c r="K2408" s="3">
        <v>2003</v>
      </c>
      <c r="L2408" s="3" t="str">
        <f t="shared" si="151"/>
        <v>Jan-2003</v>
      </c>
      <c r="M2408" s="3" t="s">
        <v>605</v>
      </c>
      <c r="N2408" s="3" t="s">
        <v>174</v>
      </c>
      <c r="O2408" s="3" t="s">
        <v>178</v>
      </c>
      <c r="P2408" s="3" t="s">
        <v>42</v>
      </c>
      <c r="Q2408" s="3" t="s">
        <v>36</v>
      </c>
    </row>
    <row r="2409" spans="1:17" x14ac:dyDescent="0.25">
      <c r="A2409" s="5">
        <v>10117</v>
      </c>
      <c r="B2409" s="5">
        <v>21</v>
      </c>
      <c r="C2409" s="5">
        <v>49.21</v>
      </c>
      <c r="D2409" s="5">
        <v>1033.4100000000001</v>
      </c>
      <c r="E2409" s="5" t="str">
        <f t="shared" si="149"/>
        <v>Low</v>
      </c>
      <c r="F2409" s="5">
        <f t="shared" si="150"/>
        <v>310.02300000000002</v>
      </c>
      <c r="G2409" s="6">
        <v>37727</v>
      </c>
      <c r="H2409" s="5" t="s">
        <v>25</v>
      </c>
      <c r="I2409" s="5" t="str">
        <f t="shared" si="148"/>
        <v>Yes</v>
      </c>
      <c r="J2409" s="5" t="s">
        <v>688</v>
      </c>
      <c r="K2409" s="5">
        <v>2003</v>
      </c>
      <c r="L2409" s="5" t="str">
        <f t="shared" si="151"/>
        <v>Apr-2003</v>
      </c>
      <c r="M2409" s="5" t="s">
        <v>605</v>
      </c>
      <c r="N2409" s="5" t="s">
        <v>196</v>
      </c>
      <c r="O2409" s="5" t="s">
        <v>199</v>
      </c>
      <c r="P2409" s="5" t="s">
        <v>675</v>
      </c>
      <c r="Q2409" s="5" t="s">
        <v>36</v>
      </c>
    </row>
    <row r="2410" spans="1:17" x14ac:dyDescent="0.25">
      <c r="A2410" s="3">
        <v>10127</v>
      </c>
      <c r="B2410" s="3">
        <v>46</v>
      </c>
      <c r="C2410" s="3">
        <v>69.12</v>
      </c>
      <c r="D2410" s="3">
        <v>3179.5200000000004</v>
      </c>
      <c r="E2410" s="3" t="str">
        <f t="shared" si="149"/>
        <v>Medium</v>
      </c>
      <c r="F2410" s="3">
        <f t="shared" si="150"/>
        <v>953.85600000000011</v>
      </c>
      <c r="G2410" s="4">
        <v>37775</v>
      </c>
      <c r="H2410" s="3" t="s">
        <v>25</v>
      </c>
      <c r="I2410" s="3" t="str">
        <f t="shared" si="148"/>
        <v>Yes</v>
      </c>
      <c r="J2410" s="3" t="s">
        <v>689</v>
      </c>
      <c r="K2410" s="3">
        <v>2003</v>
      </c>
      <c r="L2410" s="3" t="str">
        <f t="shared" si="151"/>
        <v>Jun-2003</v>
      </c>
      <c r="M2410" s="3" t="s">
        <v>605</v>
      </c>
      <c r="N2410" s="3" t="s">
        <v>475</v>
      </c>
      <c r="O2410" s="3" t="s">
        <v>32</v>
      </c>
      <c r="P2410" s="3" t="s">
        <v>33</v>
      </c>
      <c r="Q2410" s="3" t="s">
        <v>51</v>
      </c>
    </row>
    <row r="2411" spans="1:17" x14ac:dyDescent="0.25">
      <c r="A2411" s="5">
        <v>10142</v>
      </c>
      <c r="B2411" s="5">
        <v>42</v>
      </c>
      <c r="C2411" s="5">
        <v>49.79</v>
      </c>
      <c r="D2411" s="5">
        <v>2091.1799999999998</v>
      </c>
      <c r="E2411" s="5" t="str">
        <f t="shared" si="149"/>
        <v>Medium</v>
      </c>
      <c r="F2411" s="5">
        <f t="shared" si="150"/>
        <v>627.35399999999993</v>
      </c>
      <c r="G2411" s="6">
        <v>37841</v>
      </c>
      <c r="H2411" s="5" t="s">
        <v>25</v>
      </c>
      <c r="I2411" s="5" t="str">
        <f t="shared" si="148"/>
        <v>Yes</v>
      </c>
      <c r="J2411" s="5" t="s">
        <v>684</v>
      </c>
      <c r="K2411" s="5">
        <v>2003</v>
      </c>
      <c r="L2411" s="5" t="str">
        <f t="shared" si="151"/>
        <v>Aug-2003</v>
      </c>
      <c r="M2411" s="5" t="s">
        <v>605</v>
      </c>
      <c r="N2411" s="5" t="s">
        <v>272</v>
      </c>
      <c r="O2411" s="5" t="s">
        <v>32</v>
      </c>
      <c r="P2411" s="5" t="s">
        <v>33</v>
      </c>
      <c r="Q2411" s="5" t="s">
        <v>36</v>
      </c>
    </row>
    <row r="2412" spans="1:17" x14ac:dyDescent="0.25">
      <c r="A2412" s="3">
        <v>10153</v>
      </c>
      <c r="B2412" s="3">
        <v>31</v>
      </c>
      <c r="C2412" s="3">
        <v>57.41</v>
      </c>
      <c r="D2412" s="3">
        <v>1779.7099999999998</v>
      </c>
      <c r="E2412" s="3" t="str">
        <f t="shared" si="149"/>
        <v>Low</v>
      </c>
      <c r="F2412" s="3">
        <f t="shared" si="150"/>
        <v>533.9129999999999</v>
      </c>
      <c r="G2412" s="4">
        <v>37892</v>
      </c>
      <c r="H2412" s="3" t="s">
        <v>25</v>
      </c>
      <c r="I2412" s="3" t="str">
        <f t="shared" si="148"/>
        <v>Yes</v>
      </c>
      <c r="J2412" s="3" t="s">
        <v>690</v>
      </c>
      <c r="K2412" s="3">
        <v>2003</v>
      </c>
      <c r="L2412" s="3" t="str">
        <f t="shared" si="151"/>
        <v>Sep-2003</v>
      </c>
      <c r="M2412" s="3" t="s">
        <v>605</v>
      </c>
      <c r="N2412" s="3" t="s">
        <v>174</v>
      </c>
      <c r="O2412" s="3" t="s">
        <v>178</v>
      </c>
      <c r="P2412" s="3" t="s">
        <v>42</v>
      </c>
      <c r="Q2412" s="3" t="s">
        <v>36</v>
      </c>
    </row>
    <row r="2413" spans="1:17" x14ac:dyDescent="0.25">
      <c r="A2413" s="5">
        <v>10165</v>
      </c>
      <c r="B2413" s="5">
        <v>38</v>
      </c>
      <c r="C2413" s="5">
        <v>66.78</v>
      </c>
      <c r="D2413" s="5">
        <v>2537.64</v>
      </c>
      <c r="E2413" s="5" t="str">
        <f t="shared" si="149"/>
        <v>Medium</v>
      </c>
      <c r="F2413" s="5">
        <f t="shared" si="150"/>
        <v>761.29199999999992</v>
      </c>
      <c r="G2413" s="6">
        <v>37916</v>
      </c>
      <c r="H2413" s="5" t="s">
        <v>25</v>
      </c>
      <c r="I2413" s="5" t="str">
        <f t="shared" si="148"/>
        <v>Yes</v>
      </c>
      <c r="J2413" s="5" t="s">
        <v>685</v>
      </c>
      <c r="K2413" s="5">
        <v>2003</v>
      </c>
      <c r="L2413" s="5" t="str">
        <f t="shared" si="151"/>
        <v>Oct-2003</v>
      </c>
      <c r="M2413" s="5" t="s">
        <v>605</v>
      </c>
      <c r="N2413" s="5" t="s">
        <v>196</v>
      </c>
      <c r="O2413" s="5" t="s">
        <v>199</v>
      </c>
      <c r="P2413" s="5" t="s">
        <v>675</v>
      </c>
      <c r="Q2413" s="5" t="s">
        <v>36</v>
      </c>
    </row>
    <row r="2414" spans="1:17" x14ac:dyDescent="0.25">
      <c r="A2414" s="3">
        <v>10176</v>
      </c>
      <c r="B2414" s="3">
        <v>38</v>
      </c>
      <c r="C2414" s="3">
        <v>64.44</v>
      </c>
      <c r="D2414" s="3">
        <v>2448.7199999999998</v>
      </c>
      <c r="E2414" s="3" t="str">
        <f t="shared" si="149"/>
        <v>Medium</v>
      </c>
      <c r="F2414" s="3">
        <f t="shared" si="150"/>
        <v>734.61599999999987</v>
      </c>
      <c r="G2414" s="4">
        <v>37931</v>
      </c>
      <c r="H2414" s="3" t="s">
        <v>25</v>
      </c>
      <c r="I2414" s="3" t="str">
        <f t="shared" si="148"/>
        <v>Yes</v>
      </c>
      <c r="J2414" s="3" t="s">
        <v>686</v>
      </c>
      <c r="K2414" s="3">
        <v>2003</v>
      </c>
      <c r="L2414" s="3" t="str">
        <f t="shared" si="151"/>
        <v>Nov-2003</v>
      </c>
      <c r="M2414" s="3" t="s">
        <v>605</v>
      </c>
      <c r="N2414" s="3" t="s">
        <v>452</v>
      </c>
      <c r="O2414" s="3" t="s">
        <v>258</v>
      </c>
      <c r="P2414" s="3" t="s">
        <v>42</v>
      </c>
      <c r="Q2414" s="3" t="s">
        <v>36</v>
      </c>
    </row>
    <row r="2415" spans="1:17" x14ac:dyDescent="0.25">
      <c r="A2415" s="5">
        <v>10185</v>
      </c>
      <c r="B2415" s="5">
        <v>20</v>
      </c>
      <c r="C2415" s="5">
        <v>48.62</v>
      </c>
      <c r="D2415" s="5">
        <v>972.4</v>
      </c>
      <c r="E2415" s="5" t="str">
        <f t="shared" si="149"/>
        <v>Low</v>
      </c>
      <c r="F2415" s="5">
        <f t="shared" si="150"/>
        <v>291.71999999999997</v>
      </c>
      <c r="G2415" s="6">
        <v>37939</v>
      </c>
      <c r="H2415" s="5" t="s">
        <v>25</v>
      </c>
      <c r="I2415" s="5" t="str">
        <f t="shared" si="148"/>
        <v>Yes</v>
      </c>
      <c r="J2415" s="5" t="s">
        <v>686</v>
      </c>
      <c r="K2415" s="5">
        <v>2003</v>
      </c>
      <c r="L2415" s="5" t="str">
        <f t="shared" si="151"/>
        <v>Nov-2003</v>
      </c>
      <c r="M2415" s="5" t="s">
        <v>605</v>
      </c>
      <c r="N2415" s="5" t="s">
        <v>335</v>
      </c>
      <c r="O2415" s="5" t="s">
        <v>32</v>
      </c>
      <c r="P2415" s="5" t="s">
        <v>33</v>
      </c>
      <c r="Q2415" s="5" t="s">
        <v>36</v>
      </c>
    </row>
    <row r="2416" spans="1:17" x14ac:dyDescent="0.25">
      <c r="A2416" s="3">
        <v>10196</v>
      </c>
      <c r="B2416" s="3">
        <v>46</v>
      </c>
      <c r="C2416" s="3">
        <v>62.09</v>
      </c>
      <c r="D2416" s="3">
        <v>2856.1400000000003</v>
      </c>
      <c r="E2416" s="3" t="str">
        <f t="shared" si="149"/>
        <v>Medium</v>
      </c>
      <c r="F2416" s="3">
        <f t="shared" si="150"/>
        <v>856.8420000000001</v>
      </c>
      <c r="G2416" s="4">
        <v>37951</v>
      </c>
      <c r="H2416" s="3" t="s">
        <v>25</v>
      </c>
      <c r="I2416" s="3" t="str">
        <f t="shared" si="148"/>
        <v>Yes</v>
      </c>
      <c r="J2416" s="3" t="s">
        <v>686</v>
      </c>
      <c r="K2416" s="3">
        <v>2003</v>
      </c>
      <c r="L2416" s="3" t="str">
        <f t="shared" si="151"/>
        <v>Nov-2003</v>
      </c>
      <c r="M2416" s="3" t="s">
        <v>605</v>
      </c>
      <c r="N2416" s="3" t="s">
        <v>242</v>
      </c>
      <c r="O2416" s="3" t="s">
        <v>32</v>
      </c>
      <c r="P2416" s="3" t="s">
        <v>33</v>
      </c>
      <c r="Q2416" s="3" t="s">
        <v>36</v>
      </c>
    </row>
    <row r="2417" spans="1:17" x14ac:dyDescent="0.25">
      <c r="A2417" s="5">
        <v>10208</v>
      </c>
      <c r="B2417" s="5">
        <v>30</v>
      </c>
      <c r="C2417" s="5">
        <v>65.61</v>
      </c>
      <c r="D2417" s="5">
        <v>1968.3</v>
      </c>
      <c r="E2417" s="5" t="str">
        <f t="shared" si="149"/>
        <v>Low</v>
      </c>
      <c r="F2417" s="5">
        <f t="shared" si="150"/>
        <v>590.49</v>
      </c>
      <c r="G2417" s="6">
        <v>37988</v>
      </c>
      <c r="H2417" s="5" t="s">
        <v>25</v>
      </c>
      <c r="I2417" s="5" t="str">
        <f t="shared" si="148"/>
        <v>Yes</v>
      </c>
      <c r="J2417" s="5" t="s">
        <v>549</v>
      </c>
      <c r="K2417" s="5">
        <v>2004</v>
      </c>
      <c r="L2417" s="5" t="str">
        <f t="shared" si="151"/>
        <v>Jan-2004</v>
      </c>
      <c r="M2417" s="5" t="s">
        <v>605</v>
      </c>
      <c r="N2417" s="5" t="s">
        <v>219</v>
      </c>
      <c r="O2417" s="5" t="s">
        <v>41</v>
      </c>
      <c r="P2417" s="5" t="s">
        <v>42</v>
      </c>
      <c r="Q2417" s="5" t="s">
        <v>36</v>
      </c>
    </row>
    <row r="2418" spans="1:17" x14ac:dyDescent="0.25">
      <c r="A2418" s="3">
        <v>10220</v>
      </c>
      <c r="B2418" s="3">
        <v>30</v>
      </c>
      <c r="C2418" s="3">
        <v>68.540000000000006</v>
      </c>
      <c r="D2418" s="3">
        <v>2056.2000000000003</v>
      </c>
      <c r="E2418" s="3" t="str">
        <f t="shared" si="149"/>
        <v>Medium</v>
      </c>
      <c r="F2418" s="3">
        <f t="shared" si="150"/>
        <v>616.86</v>
      </c>
      <c r="G2418" s="4">
        <v>38029</v>
      </c>
      <c r="H2418" s="3" t="s">
        <v>25</v>
      </c>
      <c r="I2418" s="3" t="str">
        <f t="shared" si="148"/>
        <v>Yes</v>
      </c>
      <c r="J2418" s="3" t="s">
        <v>681</v>
      </c>
      <c r="K2418" s="3">
        <v>2004</v>
      </c>
      <c r="L2418" s="3" t="str">
        <f t="shared" si="151"/>
        <v>Feb-2004</v>
      </c>
      <c r="M2418" s="3" t="s">
        <v>605</v>
      </c>
      <c r="N2418" s="3" t="s">
        <v>479</v>
      </c>
      <c r="O2418" s="3" t="s">
        <v>484</v>
      </c>
      <c r="P2418" s="3" t="s">
        <v>42</v>
      </c>
      <c r="Q2418" s="3" t="s">
        <v>36</v>
      </c>
    </row>
    <row r="2419" spans="1:17" x14ac:dyDescent="0.25">
      <c r="A2419" s="5">
        <v>10230</v>
      </c>
      <c r="B2419" s="5">
        <v>43</v>
      </c>
      <c r="C2419" s="5">
        <v>52.14</v>
      </c>
      <c r="D2419" s="5">
        <v>2242.02</v>
      </c>
      <c r="E2419" s="5" t="str">
        <f t="shared" si="149"/>
        <v>Medium</v>
      </c>
      <c r="F2419" s="5">
        <f t="shared" si="150"/>
        <v>672.60599999999999</v>
      </c>
      <c r="G2419" s="6">
        <v>38061</v>
      </c>
      <c r="H2419" s="5" t="s">
        <v>25</v>
      </c>
      <c r="I2419" s="5" t="str">
        <f t="shared" si="148"/>
        <v>Yes</v>
      </c>
      <c r="J2419" s="5" t="s">
        <v>691</v>
      </c>
      <c r="K2419" s="5">
        <v>2004</v>
      </c>
      <c r="L2419" s="5" t="str">
        <f t="shared" si="151"/>
        <v>Mar-2004</v>
      </c>
      <c r="M2419" s="5" t="s">
        <v>605</v>
      </c>
      <c r="N2419" s="5" t="s">
        <v>462</v>
      </c>
      <c r="O2419" s="5" t="s">
        <v>443</v>
      </c>
      <c r="P2419" s="5" t="s">
        <v>42</v>
      </c>
      <c r="Q2419" s="5" t="s">
        <v>36</v>
      </c>
    </row>
    <row r="2420" spans="1:17" x14ac:dyDescent="0.25">
      <c r="A2420" s="3">
        <v>10247</v>
      </c>
      <c r="B2420" s="3">
        <v>49</v>
      </c>
      <c r="C2420" s="3">
        <v>63.85</v>
      </c>
      <c r="D2420" s="3">
        <v>3128.65</v>
      </c>
      <c r="E2420" s="3" t="str">
        <f t="shared" si="149"/>
        <v>Medium</v>
      </c>
      <c r="F2420" s="3">
        <f t="shared" si="150"/>
        <v>938.59500000000003</v>
      </c>
      <c r="G2420" s="4">
        <v>38112</v>
      </c>
      <c r="H2420" s="3" t="s">
        <v>25</v>
      </c>
      <c r="I2420" s="3" t="str">
        <f t="shared" si="148"/>
        <v>Yes</v>
      </c>
      <c r="J2420" s="3" t="s">
        <v>682</v>
      </c>
      <c r="K2420" s="3">
        <v>2004</v>
      </c>
      <c r="L2420" s="3" t="str">
        <f t="shared" si="151"/>
        <v>May-2004</v>
      </c>
      <c r="M2420" s="3" t="s">
        <v>605</v>
      </c>
      <c r="N2420" s="3" t="s">
        <v>467</v>
      </c>
      <c r="O2420" s="3" t="s">
        <v>130</v>
      </c>
      <c r="P2420" s="3" t="s">
        <v>42</v>
      </c>
      <c r="Q2420" s="3" t="s">
        <v>51</v>
      </c>
    </row>
    <row r="2421" spans="1:17" x14ac:dyDescent="0.25">
      <c r="A2421" s="5">
        <v>10272</v>
      </c>
      <c r="B2421" s="5">
        <v>43</v>
      </c>
      <c r="C2421" s="5">
        <v>56.82</v>
      </c>
      <c r="D2421" s="5">
        <v>2443.2600000000002</v>
      </c>
      <c r="E2421" s="5" t="str">
        <f t="shared" si="149"/>
        <v>Medium</v>
      </c>
      <c r="F2421" s="5">
        <f t="shared" si="150"/>
        <v>732.97800000000007</v>
      </c>
      <c r="G2421" s="6">
        <v>38188</v>
      </c>
      <c r="H2421" s="5" t="s">
        <v>25</v>
      </c>
      <c r="I2421" s="5" t="str">
        <f t="shared" si="148"/>
        <v>Yes</v>
      </c>
      <c r="J2421" s="5" t="s">
        <v>683</v>
      </c>
      <c r="K2421" s="5">
        <v>2004</v>
      </c>
      <c r="L2421" s="5" t="str">
        <f t="shared" si="151"/>
        <v>Jul-2004</v>
      </c>
      <c r="M2421" s="5" t="s">
        <v>605</v>
      </c>
      <c r="N2421" s="5" t="s">
        <v>139</v>
      </c>
      <c r="O2421" s="5" t="s">
        <v>32</v>
      </c>
      <c r="P2421" s="5" t="s">
        <v>33</v>
      </c>
      <c r="Q2421" s="5" t="s">
        <v>36</v>
      </c>
    </row>
    <row r="2422" spans="1:17" x14ac:dyDescent="0.25">
      <c r="A2422" s="3">
        <v>10282</v>
      </c>
      <c r="B2422" s="3">
        <v>37</v>
      </c>
      <c r="C2422" s="3">
        <v>66.78</v>
      </c>
      <c r="D2422" s="3">
        <v>2470.86</v>
      </c>
      <c r="E2422" s="3" t="str">
        <f t="shared" si="149"/>
        <v>Medium</v>
      </c>
      <c r="F2422" s="3">
        <f t="shared" si="150"/>
        <v>741.25800000000004</v>
      </c>
      <c r="G2422" s="4">
        <v>38219</v>
      </c>
      <c r="H2422" s="3" t="s">
        <v>25</v>
      </c>
      <c r="I2422" s="3" t="str">
        <f t="shared" si="148"/>
        <v>Yes</v>
      </c>
      <c r="J2422" s="3" t="s">
        <v>684</v>
      </c>
      <c r="K2422" s="3">
        <v>2004</v>
      </c>
      <c r="L2422" s="3" t="str">
        <f t="shared" si="151"/>
        <v>Aug-2004</v>
      </c>
      <c r="M2422" s="3" t="s">
        <v>605</v>
      </c>
      <c r="N2422" s="3" t="s">
        <v>272</v>
      </c>
      <c r="O2422" s="3" t="s">
        <v>32</v>
      </c>
      <c r="P2422" s="3" t="s">
        <v>33</v>
      </c>
      <c r="Q2422" s="3" t="s">
        <v>36</v>
      </c>
    </row>
    <row r="2423" spans="1:17" x14ac:dyDescent="0.25">
      <c r="A2423" s="5">
        <v>10292</v>
      </c>
      <c r="B2423" s="5">
        <v>35</v>
      </c>
      <c r="C2423" s="5">
        <v>55.07</v>
      </c>
      <c r="D2423" s="5">
        <v>1927.45</v>
      </c>
      <c r="E2423" s="5" t="str">
        <f t="shared" si="149"/>
        <v>Low</v>
      </c>
      <c r="F2423" s="5">
        <f t="shared" si="150"/>
        <v>578.23500000000001</v>
      </c>
      <c r="G2423" s="6">
        <v>38238</v>
      </c>
      <c r="H2423" s="5" t="s">
        <v>25</v>
      </c>
      <c r="I2423" s="5" t="str">
        <f t="shared" si="148"/>
        <v>Yes</v>
      </c>
      <c r="J2423" s="5" t="s">
        <v>690</v>
      </c>
      <c r="K2423" s="5">
        <v>2004</v>
      </c>
      <c r="L2423" s="5" t="str">
        <f t="shared" si="151"/>
        <v>Sep-2004</v>
      </c>
      <c r="M2423" s="5" t="s">
        <v>605</v>
      </c>
      <c r="N2423" s="5" t="s">
        <v>28</v>
      </c>
      <c r="O2423" s="5" t="s">
        <v>32</v>
      </c>
      <c r="P2423" s="5" t="s">
        <v>33</v>
      </c>
      <c r="Q2423" s="5" t="s">
        <v>36</v>
      </c>
    </row>
    <row r="2424" spans="1:17" x14ac:dyDescent="0.25">
      <c r="A2424" s="3">
        <v>10306</v>
      </c>
      <c r="B2424" s="3">
        <v>34</v>
      </c>
      <c r="C2424" s="3">
        <v>60.34</v>
      </c>
      <c r="D2424" s="3">
        <v>2051.56</v>
      </c>
      <c r="E2424" s="3" t="str">
        <f t="shared" si="149"/>
        <v>Medium</v>
      </c>
      <c r="F2424" s="3">
        <f t="shared" si="150"/>
        <v>615.46799999999996</v>
      </c>
      <c r="G2424" s="4">
        <v>38274</v>
      </c>
      <c r="H2424" s="3" t="s">
        <v>25</v>
      </c>
      <c r="I2424" s="3" t="str">
        <f t="shared" si="148"/>
        <v>Yes</v>
      </c>
      <c r="J2424" s="3" t="s">
        <v>685</v>
      </c>
      <c r="K2424" s="3">
        <v>2004</v>
      </c>
      <c r="L2424" s="3" t="str">
        <f t="shared" si="151"/>
        <v>Oct-2004</v>
      </c>
      <c r="M2424" s="3" t="s">
        <v>605</v>
      </c>
      <c r="N2424" s="3" t="s">
        <v>492</v>
      </c>
      <c r="O2424" s="3" t="s">
        <v>170</v>
      </c>
      <c r="P2424" s="3" t="s">
        <v>42</v>
      </c>
      <c r="Q2424" s="3" t="s">
        <v>36</v>
      </c>
    </row>
    <row r="2425" spans="1:17" x14ac:dyDescent="0.25">
      <c r="A2425" s="5">
        <v>10314</v>
      </c>
      <c r="B2425" s="5">
        <v>38</v>
      </c>
      <c r="C2425" s="5">
        <v>61.51</v>
      </c>
      <c r="D2425" s="5">
        <v>2337.38</v>
      </c>
      <c r="E2425" s="5" t="str">
        <f t="shared" si="149"/>
        <v>Medium</v>
      </c>
      <c r="F2425" s="5">
        <f t="shared" si="150"/>
        <v>701.21400000000006</v>
      </c>
      <c r="G2425" s="6">
        <v>38282</v>
      </c>
      <c r="H2425" s="5" t="s">
        <v>25</v>
      </c>
      <c r="I2425" s="5" t="str">
        <f t="shared" si="148"/>
        <v>Yes</v>
      </c>
      <c r="J2425" s="5" t="s">
        <v>685</v>
      </c>
      <c r="K2425" s="5">
        <v>2004</v>
      </c>
      <c r="L2425" s="5" t="str">
        <f t="shared" si="151"/>
        <v>Oct-2004</v>
      </c>
      <c r="M2425" s="5" t="s">
        <v>605</v>
      </c>
      <c r="N2425" s="5" t="s">
        <v>498</v>
      </c>
      <c r="O2425" s="5" t="s">
        <v>326</v>
      </c>
      <c r="P2425" s="5" t="s">
        <v>42</v>
      </c>
      <c r="Q2425" s="5" t="s">
        <v>36</v>
      </c>
    </row>
    <row r="2426" spans="1:17" x14ac:dyDescent="0.25">
      <c r="A2426" s="3">
        <v>10325</v>
      </c>
      <c r="B2426" s="3">
        <v>44</v>
      </c>
      <c r="C2426" s="3">
        <v>100</v>
      </c>
      <c r="D2426" s="3">
        <v>4400</v>
      </c>
      <c r="E2426" s="3" t="str">
        <f t="shared" si="149"/>
        <v>Medium</v>
      </c>
      <c r="F2426" s="3">
        <f t="shared" si="150"/>
        <v>1320</v>
      </c>
      <c r="G2426" s="4">
        <v>38296</v>
      </c>
      <c r="H2426" s="3" t="s">
        <v>25</v>
      </c>
      <c r="I2426" s="3" t="str">
        <f t="shared" si="148"/>
        <v>Yes</v>
      </c>
      <c r="J2426" s="3" t="s">
        <v>686</v>
      </c>
      <c r="K2426" s="3">
        <v>2004</v>
      </c>
      <c r="L2426" s="3" t="str">
        <f t="shared" si="151"/>
        <v>Nov-2004</v>
      </c>
      <c r="M2426" s="3" t="s">
        <v>605</v>
      </c>
      <c r="N2426" s="3" t="s">
        <v>133</v>
      </c>
      <c r="O2426" s="3" t="s">
        <v>78</v>
      </c>
      <c r="P2426" s="3" t="s">
        <v>42</v>
      </c>
      <c r="Q2426" s="3" t="s">
        <v>51</v>
      </c>
    </row>
    <row r="2427" spans="1:17" x14ac:dyDescent="0.25">
      <c r="A2427" s="5">
        <v>10337</v>
      </c>
      <c r="B2427" s="5">
        <v>21</v>
      </c>
      <c r="C2427" s="5">
        <v>100</v>
      </c>
      <c r="D2427" s="5">
        <v>2100</v>
      </c>
      <c r="E2427" s="5" t="str">
        <f t="shared" si="149"/>
        <v>Medium</v>
      </c>
      <c r="F2427" s="5">
        <f t="shared" si="150"/>
        <v>630</v>
      </c>
      <c r="G2427" s="6">
        <v>38312</v>
      </c>
      <c r="H2427" s="5" t="s">
        <v>25</v>
      </c>
      <c r="I2427" s="5" t="str">
        <f t="shared" si="148"/>
        <v>Yes</v>
      </c>
      <c r="J2427" s="5" t="s">
        <v>686</v>
      </c>
      <c r="K2427" s="5">
        <v>2004</v>
      </c>
      <c r="L2427" s="5" t="str">
        <f t="shared" si="151"/>
        <v>Nov-2004</v>
      </c>
      <c r="M2427" s="5" t="s">
        <v>605</v>
      </c>
      <c r="N2427" s="5" t="s">
        <v>203</v>
      </c>
      <c r="O2427" s="5" t="s">
        <v>32</v>
      </c>
      <c r="P2427" s="5" t="s">
        <v>33</v>
      </c>
      <c r="Q2427" s="5" t="s">
        <v>36</v>
      </c>
    </row>
    <row r="2428" spans="1:17" x14ac:dyDescent="0.25">
      <c r="A2428" s="3">
        <v>10350</v>
      </c>
      <c r="B2428" s="3">
        <v>44</v>
      </c>
      <c r="C2428" s="3">
        <v>100</v>
      </c>
      <c r="D2428" s="3">
        <v>4400</v>
      </c>
      <c r="E2428" s="3" t="str">
        <f t="shared" si="149"/>
        <v>Medium</v>
      </c>
      <c r="F2428" s="3">
        <f t="shared" si="150"/>
        <v>1320</v>
      </c>
      <c r="G2428" s="4">
        <v>38323</v>
      </c>
      <c r="H2428" s="3" t="s">
        <v>25</v>
      </c>
      <c r="I2428" s="3" t="str">
        <f t="shared" si="148"/>
        <v>Yes</v>
      </c>
      <c r="J2428" s="3" t="s">
        <v>687</v>
      </c>
      <c r="K2428" s="3">
        <v>2004</v>
      </c>
      <c r="L2428" s="3" t="str">
        <f t="shared" si="151"/>
        <v>Dec-2004</v>
      </c>
      <c r="M2428" s="3" t="s">
        <v>605</v>
      </c>
      <c r="N2428" s="3" t="s">
        <v>174</v>
      </c>
      <c r="O2428" s="3" t="s">
        <v>178</v>
      </c>
      <c r="P2428" s="3" t="s">
        <v>42</v>
      </c>
      <c r="Q2428" s="3" t="s">
        <v>51</v>
      </c>
    </row>
    <row r="2429" spans="1:17" x14ac:dyDescent="0.25">
      <c r="A2429" s="5">
        <v>10359</v>
      </c>
      <c r="B2429" s="5">
        <v>25</v>
      </c>
      <c r="C2429" s="5">
        <v>64.930000000000007</v>
      </c>
      <c r="D2429" s="5">
        <v>1623.2500000000002</v>
      </c>
      <c r="E2429" s="5" t="str">
        <f t="shared" si="149"/>
        <v>Low</v>
      </c>
      <c r="F2429" s="5">
        <f t="shared" si="150"/>
        <v>486.97500000000002</v>
      </c>
      <c r="G2429" s="6">
        <v>38336</v>
      </c>
      <c r="H2429" s="5" t="s">
        <v>25</v>
      </c>
      <c r="I2429" s="5" t="str">
        <f t="shared" si="148"/>
        <v>Yes</v>
      </c>
      <c r="J2429" s="5" t="s">
        <v>687</v>
      </c>
      <c r="K2429" s="5">
        <v>2004</v>
      </c>
      <c r="L2429" s="5" t="str">
        <f t="shared" si="151"/>
        <v>Dec-2004</v>
      </c>
      <c r="M2429" s="5" t="s">
        <v>605</v>
      </c>
      <c r="N2429" s="5" t="s">
        <v>37</v>
      </c>
      <c r="O2429" s="5" t="s">
        <v>41</v>
      </c>
      <c r="P2429" s="5" t="s">
        <v>42</v>
      </c>
      <c r="Q2429" s="5" t="s">
        <v>36</v>
      </c>
    </row>
    <row r="2430" spans="1:17" x14ac:dyDescent="0.25">
      <c r="A2430" s="3">
        <v>10372</v>
      </c>
      <c r="B2430" s="3">
        <v>24</v>
      </c>
      <c r="C2430" s="3">
        <v>58.58</v>
      </c>
      <c r="D2430" s="3">
        <v>1405.92</v>
      </c>
      <c r="E2430" s="3" t="str">
        <f t="shared" si="149"/>
        <v>Low</v>
      </c>
      <c r="F2430" s="3">
        <f t="shared" si="150"/>
        <v>421.77600000000001</v>
      </c>
      <c r="G2430" s="4">
        <v>38378</v>
      </c>
      <c r="H2430" s="3" t="s">
        <v>25</v>
      </c>
      <c r="I2430" s="3" t="str">
        <f t="shared" si="148"/>
        <v>Yes</v>
      </c>
      <c r="J2430" s="3" t="s">
        <v>549</v>
      </c>
      <c r="K2430" s="3">
        <v>2005</v>
      </c>
      <c r="L2430" s="3" t="str">
        <f t="shared" si="151"/>
        <v>Jan-2005</v>
      </c>
      <c r="M2430" s="3" t="s">
        <v>605</v>
      </c>
      <c r="N2430" s="3" t="s">
        <v>246</v>
      </c>
      <c r="O2430" s="3" t="s">
        <v>200</v>
      </c>
      <c r="P2430" s="3" t="s">
        <v>675</v>
      </c>
      <c r="Q2430" s="3" t="s">
        <v>36</v>
      </c>
    </row>
    <row r="2431" spans="1:17" x14ac:dyDescent="0.25">
      <c r="A2431" s="5">
        <v>10383</v>
      </c>
      <c r="B2431" s="5">
        <v>38</v>
      </c>
      <c r="C2431" s="5">
        <v>60.06</v>
      </c>
      <c r="D2431" s="5">
        <v>2282.2800000000002</v>
      </c>
      <c r="E2431" s="5" t="str">
        <f t="shared" si="149"/>
        <v>Medium</v>
      </c>
      <c r="F2431" s="5">
        <f t="shared" si="150"/>
        <v>684.68400000000008</v>
      </c>
      <c r="G2431" s="6">
        <v>38405</v>
      </c>
      <c r="H2431" s="5" t="s">
        <v>25</v>
      </c>
      <c r="I2431" s="5" t="str">
        <f t="shared" si="148"/>
        <v>Yes</v>
      </c>
      <c r="J2431" s="5" t="s">
        <v>681</v>
      </c>
      <c r="K2431" s="5">
        <v>2005</v>
      </c>
      <c r="L2431" s="5" t="str">
        <f t="shared" si="151"/>
        <v>Feb-2005</v>
      </c>
      <c r="M2431" s="5" t="s">
        <v>605</v>
      </c>
      <c r="N2431" s="5" t="s">
        <v>174</v>
      </c>
      <c r="O2431" s="5" t="s">
        <v>178</v>
      </c>
      <c r="P2431" s="5" t="s">
        <v>42</v>
      </c>
      <c r="Q2431" s="5" t="s">
        <v>36</v>
      </c>
    </row>
    <row r="2432" spans="1:17" x14ac:dyDescent="0.25">
      <c r="A2432" s="3">
        <v>10395</v>
      </c>
      <c r="B2432" s="3">
        <v>45</v>
      </c>
      <c r="C2432" s="3">
        <v>100</v>
      </c>
      <c r="D2432" s="3">
        <v>4500</v>
      </c>
      <c r="E2432" s="3" t="str">
        <f t="shared" si="149"/>
        <v>Medium</v>
      </c>
      <c r="F2432" s="3">
        <f t="shared" si="150"/>
        <v>1350</v>
      </c>
      <c r="G2432" s="4">
        <v>38428</v>
      </c>
      <c r="H2432" s="3" t="s">
        <v>25</v>
      </c>
      <c r="I2432" s="3" t="str">
        <f t="shared" si="148"/>
        <v>Yes</v>
      </c>
      <c r="J2432" s="3" t="s">
        <v>691</v>
      </c>
      <c r="K2432" s="3">
        <v>2005</v>
      </c>
      <c r="L2432" s="3" t="str">
        <f t="shared" si="151"/>
        <v>Mar-2005</v>
      </c>
      <c r="M2432" s="3" t="s">
        <v>605</v>
      </c>
      <c r="N2432" s="3" t="s">
        <v>45</v>
      </c>
      <c r="O2432" s="3" t="s">
        <v>41</v>
      </c>
      <c r="P2432" s="3" t="s">
        <v>42</v>
      </c>
      <c r="Q2432" s="3" t="s">
        <v>151</v>
      </c>
    </row>
    <row r="2433" spans="1:17" x14ac:dyDescent="0.25">
      <c r="A2433" s="5">
        <v>10413</v>
      </c>
      <c r="B2433" s="5">
        <v>51</v>
      </c>
      <c r="C2433" s="5">
        <v>63.85</v>
      </c>
      <c r="D2433" s="5">
        <v>3256.35</v>
      </c>
      <c r="E2433" s="5" t="str">
        <f t="shared" si="149"/>
        <v>Medium</v>
      </c>
      <c r="F2433" s="5">
        <f t="shared" si="150"/>
        <v>976.90499999999997</v>
      </c>
      <c r="G2433" s="6">
        <v>38477</v>
      </c>
      <c r="H2433" s="5" t="s">
        <v>25</v>
      </c>
      <c r="I2433" s="5" t="str">
        <f t="shared" si="148"/>
        <v>Yes</v>
      </c>
      <c r="J2433" s="5" t="s">
        <v>682</v>
      </c>
      <c r="K2433" s="5">
        <v>2005</v>
      </c>
      <c r="L2433" s="5" t="str">
        <f t="shared" si="151"/>
        <v>May-2005</v>
      </c>
      <c r="M2433" s="5" t="s">
        <v>605</v>
      </c>
      <c r="N2433" s="5" t="s">
        <v>109</v>
      </c>
      <c r="O2433" s="5" t="s">
        <v>32</v>
      </c>
      <c r="P2433" s="5" t="s">
        <v>33</v>
      </c>
      <c r="Q2433" s="5" t="s">
        <v>51</v>
      </c>
    </row>
    <row r="2434" spans="1:17" x14ac:dyDescent="0.25">
      <c r="A2434" s="3">
        <v>10108</v>
      </c>
      <c r="B2434" s="3">
        <v>34</v>
      </c>
      <c r="C2434" s="3">
        <v>82.99</v>
      </c>
      <c r="D2434" s="3">
        <v>2821.66</v>
      </c>
      <c r="E2434" s="3" t="str">
        <f t="shared" si="149"/>
        <v>Medium</v>
      </c>
      <c r="F2434" s="3">
        <f t="shared" si="150"/>
        <v>846.49799999999993</v>
      </c>
      <c r="G2434" s="4">
        <v>37683</v>
      </c>
      <c r="H2434" s="3" t="s">
        <v>25</v>
      </c>
      <c r="I2434" s="3" t="str">
        <f t="shared" ref="I2434:I2497" si="152">IF(H2434="Shipped","Yes","No")</f>
        <v>Yes</v>
      </c>
      <c r="J2434" s="3" t="s">
        <v>691</v>
      </c>
      <c r="K2434" s="3">
        <v>2003</v>
      </c>
      <c r="L2434" s="3" t="str">
        <f t="shared" si="151"/>
        <v>Mar-2003</v>
      </c>
      <c r="M2434" s="3" t="s">
        <v>26</v>
      </c>
      <c r="N2434" s="3" t="s">
        <v>425</v>
      </c>
      <c r="O2434" s="3" t="s">
        <v>430</v>
      </c>
      <c r="P2434" s="3" t="s">
        <v>675</v>
      </c>
      <c r="Q2434" s="3" t="s">
        <v>36</v>
      </c>
    </row>
    <row r="2435" spans="1:17" x14ac:dyDescent="0.25">
      <c r="A2435" s="5">
        <v>10121</v>
      </c>
      <c r="B2435" s="5">
        <v>44</v>
      </c>
      <c r="C2435" s="5">
        <v>74.849999999999994</v>
      </c>
      <c r="D2435" s="5">
        <v>3293.3999999999996</v>
      </c>
      <c r="E2435" s="5" t="str">
        <f t="shared" ref="E2435:E2498" si="153">IF(D2435&gt;=5000,"High",IF(D2435&gt;=2000,"Medium","Low"))</f>
        <v>Medium</v>
      </c>
      <c r="F2435" s="5">
        <f t="shared" ref="F2435:F2498" si="154">(D2435*0.3)</f>
        <v>988.01999999999987</v>
      </c>
      <c r="G2435" s="6">
        <v>37748</v>
      </c>
      <c r="H2435" s="5" t="s">
        <v>25</v>
      </c>
      <c r="I2435" s="5" t="str">
        <f t="shared" si="152"/>
        <v>Yes</v>
      </c>
      <c r="J2435" s="5" t="s">
        <v>682</v>
      </c>
      <c r="K2435" s="5">
        <v>2003</v>
      </c>
      <c r="L2435" s="5" t="str">
        <f t="shared" ref="L2435:L2498" si="155">TEXT(G:G,"MMM-YYYY")</f>
        <v>May-2003</v>
      </c>
      <c r="M2435" s="5" t="s">
        <v>26</v>
      </c>
      <c r="N2435" s="5" t="s">
        <v>37</v>
      </c>
      <c r="O2435" s="5" t="s">
        <v>41</v>
      </c>
      <c r="P2435" s="5" t="s">
        <v>42</v>
      </c>
      <c r="Q2435" s="5" t="s">
        <v>51</v>
      </c>
    </row>
    <row r="2436" spans="1:17" x14ac:dyDescent="0.25">
      <c r="A2436" s="3">
        <v>10135</v>
      </c>
      <c r="B2436" s="3">
        <v>44</v>
      </c>
      <c r="C2436" s="3">
        <v>96</v>
      </c>
      <c r="D2436" s="3">
        <v>4224</v>
      </c>
      <c r="E2436" s="3" t="str">
        <f t="shared" si="153"/>
        <v>Medium</v>
      </c>
      <c r="F2436" s="3">
        <f t="shared" si="154"/>
        <v>1267.2</v>
      </c>
      <c r="G2436" s="4">
        <v>37804</v>
      </c>
      <c r="H2436" s="3" t="s">
        <v>25</v>
      </c>
      <c r="I2436" s="3" t="str">
        <f t="shared" si="152"/>
        <v>Yes</v>
      </c>
      <c r="J2436" s="3" t="s">
        <v>683</v>
      </c>
      <c r="K2436" s="3">
        <v>2003</v>
      </c>
      <c r="L2436" s="3" t="str">
        <f t="shared" si="155"/>
        <v>Jul-2003</v>
      </c>
      <c r="M2436" s="3" t="s">
        <v>26</v>
      </c>
      <c r="N2436" s="3" t="s">
        <v>272</v>
      </c>
      <c r="O2436" s="3" t="s">
        <v>32</v>
      </c>
      <c r="P2436" s="3" t="s">
        <v>33</v>
      </c>
      <c r="Q2436" s="3" t="s">
        <v>51</v>
      </c>
    </row>
    <row r="2437" spans="1:17" x14ac:dyDescent="0.25">
      <c r="A2437" s="5">
        <v>10145</v>
      </c>
      <c r="B2437" s="5">
        <v>38</v>
      </c>
      <c r="C2437" s="5">
        <v>81.36</v>
      </c>
      <c r="D2437" s="5">
        <v>3091.68</v>
      </c>
      <c r="E2437" s="5" t="str">
        <f t="shared" si="153"/>
        <v>Medium</v>
      </c>
      <c r="F2437" s="5">
        <f t="shared" si="154"/>
        <v>927.50399999999991</v>
      </c>
      <c r="G2437" s="6">
        <v>37858</v>
      </c>
      <c r="H2437" s="5" t="s">
        <v>25</v>
      </c>
      <c r="I2437" s="5" t="str">
        <f t="shared" si="152"/>
        <v>Yes</v>
      </c>
      <c r="J2437" s="5" t="s">
        <v>684</v>
      </c>
      <c r="K2437" s="5">
        <v>2003</v>
      </c>
      <c r="L2437" s="5" t="str">
        <f t="shared" si="155"/>
        <v>Aug-2003</v>
      </c>
      <c r="M2437" s="5" t="s">
        <v>26</v>
      </c>
      <c r="N2437" s="5" t="s">
        <v>52</v>
      </c>
      <c r="O2437" s="5" t="s">
        <v>32</v>
      </c>
      <c r="P2437" s="5" t="s">
        <v>33</v>
      </c>
      <c r="Q2437" s="5" t="s">
        <v>51</v>
      </c>
    </row>
    <row r="2438" spans="1:17" x14ac:dyDescent="0.25">
      <c r="A2438" s="3">
        <v>10159</v>
      </c>
      <c r="B2438" s="3">
        <v>31</v>
      </c>
      <c r="C2438" s="3">
        <v>71.599999999999994</v>
      </c>
      <c r="D2438" s="3">
        <v>2219.6</v>
      </c>
      <c r="E2438" s="3" t="str">
        <f t="shared" si="153"/>
        <v>Medium</v>
      </c>
      <c r="F2438" s="3">
        <f t="shared" si="154"/>
        <v>665.88</v>
      </c>
      <c r="G2438" s="4">
        <v>37904</v>
      </c>
      <c r="H2438" s="3" t="s">
        <v>25</v>
      </c>
      <c r="I2438" s="3" t="str">
        <f t="shared" si="152"/>
        <v>Yes</v>
      </c>
      <c r="J2438" s="3" t="s">
        <v>685</v>
      </c>
      <c r="K2438" s="3">
        <v>2003</v>
      </c>
      <c r="L2438" s="3" t="str">
        <f t="shared" si="155"/>
        <v>Oct-2003</v>
      </c>
      <c r="M2438" s="3" t="s">
        <v>26</v>
      </c>
      <c r="N2438" s="3" t="s">
        <v>58</v>
      </c>
      <c r="O2438" s="3" t="s">
        <v>32</v>
      </c>
      <c r="P2438" s="3" t="s">
        <v>33</v>
      </c>
      <c r="Q2438" s="3" t="s">
        <v>36</v>
      </c>
    </row>
    <row r="2439" spans="1:17" x14ac:dyDescent="0.25">
      <c r="A2439" s="5">
        <v>10169</v>
      </c>
      <c r="B2439" s="5">
        <v>48</v>
      </c>
      <c r="C2439" s="5">
        <v>80.55</v>
      </c>
      <c r="D2439" s="5">
        <v>3866.3999999999996</v>
      </c>
      <c r="E2439" s="5" t="str">
        <f t="shared" si="153"/>
        <v>Medium</v>
      </c>
      <c r="F2439" s="5">
        <f t="shared" si="154"/>
        <v>1159.9199999999998</v>
      </c>
      <c r="G2439" s="6">
        <v>37929</v>
      </c>
      <c r="H2439" s="5" t="s">
        <v>25</v>
      </c>
      <c r="I2439" s="5" t="str">
        <f t="shared" si="152"/>
        <v>Yes</v>
      </c>
      <c r="J2439" s="5" t="s">
        <v>686</v>
      </c>
      <c r="K2439" s="5">
        <v>2003</v>
      </c>
      <c r="L2439" s="5" t="str">
        <f t="shared" si="155"/>
        <v>Nov-2003</v>
      </c>
      <c r="M2439" s="5" t="s">
        <v>26</v>
      </c>
      <c r="N2439" s="5" t="s">
        <v>285</v>
      </c>
      <c r="O2439" s="5" t="s">
        <v>95</v>
      </c>
      <c r="P2439" s="5" t="s">
        <v>96</v>
      </c>
      <c r="Q2439" s="5" t="s">
        <v>51</v>
      </c>
    </row>
    <row r="2440" spans="1:17" x14ac:dyDescent="0.25">
      <c r="A2440" s="3">
        <v>10180</v>
      </c>
      <c r="B2440" s="3">
        <v>21</v>
      </c>
      <c r="C2440" s="3">
        <v>93.56</v>
      </c>
      <c r="D2440" s="3">
        <v>1964.76</v>
      </c>
      <c r="E2440" s="3" t="str">
        <f t="shared" si="153"/>
        <v>Low</v>
      </c>
      <c r="F2440" s="3">
        <f t="shared" si="154"/>
        <v>589.428</v>
      </c>
      <c r="G2440" s="4">
        <v>37936</v>
      </c>
      <c r="H2440" s="3" t="s">
        <v>25</v>
      </c>
      <c r="I2440" s="3" t="str">
        <f t="shared" si="152"/>
        <v>Yes</v>
      </c>
      <c r="J2440" s="3" t="s">
        <v>686</v>
      </c>
      <c r="K2440" s="3">
        <v>2003</v>
      </c>
      <c r="L2440" s="3" t="str">
        <f t="shared" si="155"/>
        <v>Nov-2003</v>
      </c>
      <c r="M2440" s="3" t="s">
        <v>26</v>
      </c>
      <c r="N2440" s="3" t="s">
        <v>67</v>
      </c>
      <c r="O2440" s="3" t="s">
        <v>41</v>
      </c>
      <c r="P2440" s="3" t="s">
        <v>42</v>
      </c>
      <c r="Q2440" s="3" t="s">
        <v>36</v>
      </c>
    </row>
    <row r="2441" spans="1:17" x14ac:dyDescent="0.25">
      <c r="A2441" s="5">
        <v>10190</v>
      </c>
      <c r="B2441" s="5">
        <v>40</v>
      </c>
      <c r="C2441" s="5">
        <v>66.72</v>
      </c>
      <c r="D2441" s="5">
        <v>2668.8</v>
      </c>
      <c r="E2441" s="5" t="str">
        <f t="shared" si="153"/>
        <v>Medium</v>
      </c>
      <c r="F2441" s="5">
        <f t="shared" si="154"/>
        <v>800.64</v>
      </c>
      <c r="G2441" s="6">
        <v>37944</v>
      </c>
      <c r="H2441" s="5" t="s">
        <v>25</v>
      </c>
      <c r="I2441" s="5" t="str">
        <f t="shared" si="152"/>
        <v>Yes</v>
      </c>
      <c r="J2441" s="5" t="s">
        <v>686</v>
      </c>
      <c r="K2441" s="5">
        <v>2003</v>
      </c>
      <c r="L2441" s="5" t="str">
        <f t="shared" si="155"/>
        <v>Nov-2003</v>
      </c>
      <c r="M2441" s="5" t="s">
        <v>26</v>
      </c>
      <c r="N2441" s="5" t="s">
        <v>174</v>
      </c>
      <c r="O2441" s="5" t="s">
        <v>178</v>
      </c>
      <c r="P2441" s="5" t="s">
        <v>42</v>
      </c>
      <c r="Q2441" s="5" t="s">
        <v>36</v>
      </c>
    </row>
    <row r="2442" spans="1:17" x14ac:dyDescent="0.25">
      <c r="A2442" s="3">
        <v>10211</v>
      </c>
      <c r="B2442" s="3">
        <v>40</v>
      </c>
      <c r="C2442" s="3">
        <v>80.55</v>
      </c>
      <c r="D2442" s="3">
        <v>3222</v>
      </c>
      <c r="E2442" s="3" t="str">
        <f t="shared" si="153"/>
        <v>Medium</v>
      </c>
      <c r="F2442" s="3">
        <f t="shared" si="154"/>
        <v>966.59999999999991</v>
      </c>
      <c r="G2442" s="4">
        <v>38001</v>
      </c>
      <c r="H2442" s="3" t="s">
        <v>25</v>
      </c>
      <c r="I2442" s="3" t="str">
        <f t="shared" si="152"/>
        <v>Yes</v>
      </c>
      <c r="J2442" s="3" t="s">
        <v>549</v>
      </c>
      <c r="K2442" s="3">
        <v>2004</v>
      </c>
      <c r="L2442" s="3" t="str">
        <f t="shared" si="155"/>
        <v>Jan-2004</v>
      </c>
      <c r="M2442" s="3" t="s">
        <v>26</v>
      </c>
      <c r="N2442" s="3" t="s">
        <v>84</v>
      </c>
      <c r="O2442" s="3" t="s">
        <v>41</v>
      </c>
      <c r="P2442" s="3" t="s">
        <v>42</v>
      </c>
      <c r="Q2442" s="3" t="s">
        <v>51</v>
      </c>
    </row>
    <row r="2443" spans="1:17" x14ac:dyDescent="0.25">
      <c r="A2443" s="5">
        <v>10224</v>
      </c>
      <c r="B2443" s="5">
        <v>50</v>
      </c>
      <c r="C2443" s="5">
        <v>77.290000000000006</v>
      </c>
      <c r="D2443" s="5">
        <v>3864.5000000000005</v>
      </c>
      <c r="E2443" s="5" t="str">
        <f t="shared" si="153"/>
        <v>Medium</v>
      </c>
      <c r="F2443" s="5">
        <f t="shared" si="154"/>
        <v>1159.3500000000001</v>
      </c>
      <c r="G2443" s="6">
        <v>38038</v>
      </c>
      <c r="H2443" s="5" t="s">
        <v>25</v>
      </c>
      <c r="I2443" s="5" t="str">
        <f t="shared" si="152"/>
        <v>Yes</v>
      </c>
      <c r="J2443" s="5" t="s">
        <v>681</v>
      </c>
      <c r="K2443" s="5">
        <v>2004</v>
      </c>
      <c r="L2443" s="5" t="str">
        <f t="shared" si="155"/>
        <v>Feb-2004</v>
      </c>
      <c r="M2443" s="5" t="s">
        <v>26</v>
      </c>
      <c r="N2443" s="5" t="s">
        <v>67</v>
      </c>
      <c r="O2443" s="5" t="s">
        <v>41</v>
      </c>
      <c r="P2443" s="5" t="s">
        <v>42</v>
      </c>
      <c r="Q2443" s="5" t="s">
        <v>51</v>
      </c>
    </row>
    <row r="2444" spans="1:17" x14ac:dyDescent="0.25">
      <c r="A2444" s="3">
        <v>10237</v>
      </c>
      <c r="B2444" s="3">
        <v>20</v>
      </c>
      <c r="C2444" s="3">
        <v>68.34</v>
      </c>
      <c r="D2444" s="3">
        <v>1366.8000000000002</v>
      </c>
      <c r="E2444" s="3" t="str">
        <f t="shared" si="153"/>
        <v>Low</v>
      </c>
      <c r="F2444" s="3">
        <f t="shared" si="154"/>
        <v>410.04</v>
      </c>
      <c r="G2444" s="4">
        <v>38082</v>
      </c>
      <c r="H2444" s="3" t="s">
        <v>25</v>
      </c>
      <c r="I2444" s="3" t="str">
        <f t="shared" si="152"/>
        <v>Yes</v>
      </c>
      <c r="J2444" s="3" t="s">
        <v>688</v>
      </c>
      <c r="K2444" s="3">
        <v>2004</v>
      </c>
      <c r="L2444" s="3" t="str">
        <f t="shared" si="155"/>
        <v>Apr-2004</v>
      </c>
      <c r="M2444" s="3" t="s">
        <v>26</v>
      </c>
      <c r="N2444" s="3" t="s">
        <v>99</v>
      </c>
      <c r="O2444" s="3" t="s">
        <v>32</v>
      </c>
      <c r="P2444" s="3" t="s">
        <v>33</v>
      </c>
      <c r="Q2444" s="3" t="s">
        <v>36</v>
      </c>
    </row>
    <row r="2445" spans="1:17" x14ac:dyDescent="0.25">
      <c r="A2445" s="5">
        <v>10252</v>
      </c>
      <c r="B2445" s="5">
        <v>48</v>
      </c>
      <c r="C2445" s="5">
        <v>72.41</v>
      </c>
      <c r="D2445" s="5">
        <v>3475.68</v>
      </c>
      <c r="E2445" s="5" t="str">
        <f t="shared" si="153"/>
        <v>Medium</v>
      </c>
      <c r="F2445" s="5">
        <f t="shared" si="154"/>
        <v>1042.704</v>
      </c>
      <c r="G2445" s="6">
        <v>38133</v>
      </c>
      <c r="H2445" s="5" t="s">
        <v>25</v>
      </c>
      <c r="I2445" s="5" t="str">
        <f t="shared" si="152"/>
        <v>Yes</v>
      </c>
      <c r="J2445" s="5" t="s">
        <v>682</v>
      </c>
      <c r="K2445" s="5">
        <v>2004</v>
      </c>
      <c r="L2445" s="5" t="str">
        <f t="shared" si="155"/>
        <v>May-2004</v>
      </c>
      <c r="M2445" s="5" t="s">
        <v>26</v>
      </c>
      <c r="N2445" s="5" t="s">
        <v>84</v>
      </c>
      <c r="O2445" s="5" t="s">
        <v>41</v>
      </c>
      <c r="P2445" s="5" t="s">
        <v>42</v>
      </c>
      <c r="Q2445" s="5" t="s">
        <v>51</v>
      </c>
    </row>
    <row r="2446" spans="1:17" x14ac:dyDescent="0.25">
      <c r="A2446" s="3">
        <v>10264</v>
      </c>
      <c r="B2446" s="3">
        <v>47</v>
      </c>
      <c r="C2446" s="3">
        <v>89.5</v>
      </c>
      <c r="D2446" s="3">
        <v>4206.5</v>
      </c>
      <c r="E2446" s="3" t="str">
        <f t="shared" si="153"/>
        <v>Medium</v>
      </c>
      <c r="F2446" s="3">
        <f t="shared" si="154"/>
        <v>1261.95</v>
      </c>
      <c r="G2446" s="4">
        <v>38168</v>
      </c>
      <c r="H2446" s="3" t="s">
        <v>25</v>
      </c>
      <c r="I2446" s="3" t="str">
        <f t="shared" si="152"/>
        <v>Yes</v>
      </c>
      <c r="J2446" s="3" t="s">
        <v>689</v>
      </c>
      <c r="K2446" s="3">
        <v>2004</v>
      </c>
      <c r="L2446" s="3" t="str">
        <f t="shared" si="155"/>
        <v>Jun-2004</v>
      </c>
      <c r="M2446" s="3" t="s">
        <v>26</v>
      </c>
      <c r="N2446" s="3" t="s">
        <v>379</v>
      </c>
      <c r="O2446" s="3" t="s">
        <v>32</v>
      </c>
      <c r="P2446" s="3" t="s">
        <v>33</v>
      </c>
      <c r="Q2446" s="3" t="s">
        <v>51</v>
      </c>
    </row>
    <row r="2447" spans="1:17" x14ac:dyDescent="0.25">
      <c r="A2447" s="5">
        <v>10276</v>
      </c>
      <c r="B2447" s="5">
        <v>21</v>
      </c>
      <c r="C2447" s="5">
        <v>70.78</v>
      </c>
      <c r="D2447" s="5">
        <v>1486.38</v>
      </c>
      <c r="E2447" s="5" t="str">
        <f t="shared" si="153"/>
        <v>Low</v>
      </c>
      <c r="F2447" s="5">
        <f t="shared" si="154"/>
        <v>445.91400000000004</v>
      </c>
      <c r="G2447" s="6">
        <v>38201</v>
      </c>
      <c r="H2447" s="5" t="s">
        <v>25</v>
      </c>
      <c r="I2447" s="5" t="str">
        <f t="shared" si="152"/>
        <v>Yes</v>
      </c>
      <c r="J2447" s="5" t="s">
        <v>684</v>
      </c>
      <c r="K2447" s="5">
        <v>2004</v>
      </c>
      <c r="L2447" s="5" t="str">
        <f t="shared" si="155"/>
        <v>Aug-2004</v>
      </c>
      <c r="M2447" s="5" t="s">
        <v>26</v>
      </c>
      <c r="N2447" s="5" t="s">
        <v>458</v>
      </c>
      <c r="O2447" s="5" t="s">
        <v>32</v>
      </c>
      <c r="P2447" s="5" t="s">
        <v>33</v>
      </c>
      <c r="Q2447" s="5" t="s">
        <v>36</v>
      </c>
    </row>
    <row r="2448" spans="1:17" x14ac:dyDescent="0.25">
      <c r="A2448" s="3">
        <v>10285</v>
      </c>
      <c r="B2448" s="3">
        <v>39</v>
      </c>
      <c r="C2448" s="3">
        <v>78.92</v>
      </c>
      <c r="D2448" s="3">
        <v>3077.88</v>
      </c>
      <c r="E2448" s="3" t="str">
        <f t="shared" si="153"/>
        <v>Medium</v>
      </c>
      <c r="F2448" s="3">
        <f t="shared" si="154"/>
        <v>923.36400000000003</v>
      </c>
      <c r="G2448" s="4">
        <v>38226</v>
      </c>
      <c r="H2448" s="3" t="s">
        <v>25</v>
      </c>
      <c r="I2448" s="3" t="str">
        <f t="shared" si="152"/>
        <v>Yes</v>
      </c>
      <c r="J2448" s="3" t="s">
        <v>684</v>
      </c>
      <c r="K2448" s="3">
        <v>2004</v>
      </c>
      <c r="L2448" s="3" t="str">
        <f t="shared" si="155"/>
        <v>Aug-2004</v>
      </c>
      <c r="M2448" s="3" t="s">
        <v>26</v>
      </c>
      <c r="N2448" s="3" t="s">
        <v>120</v>
      </c>
      <c r="O2448" s="3" t="s">
        <v>32</v>
      </c>
      <c r="P2448" s="3" t="s">
        <v>33</v>
      </c>
      <c r="Q2448" s="3" t="s">
        <v>51</v>
      </c>
    </row>
    <row r="2449" spans="1:17" x14ac:dyDescent="0.25">
      <c r="A2449" s="5">
        <v>10299</v>
      </c>
      <c r="B2449" s="5">
        <v>44</v>
      </c>
      <c r="C2449" s="5">
        <v>80.55</v>
      </c>
      <c r="D2449" s="5">
        <v>3544.2</v>
      </c>
      <c r="E2449" s="5" t="str">
        <f t="shared" si="153"/>
        <v>Medium</v>
      </c>
      <c r="F2449" s="5">
        <f t="shared" si="154"/>
        <v>1063.26</v>
      </c>
      <c r="G2449" s="6">
        <v>38260</v>
      </c>
      <c r="H2449" s="5" t="s">
        <v>25</v>
      </c>
      <c r="I2449" s="5" t="str">
        <f t="shared" si="152"/>
        <v>Yes</v>
      </c>
      <c r="J2449" s="5" t="s">
        <v>690</v>
      </c>
      <c r="K2449" s="5">
        <v>2004</v>
      </c>
      <c r="L2449" s="5" t="str">
        <f t="shared" si="155"/>
        <v>Sep-2004</v>
      </c>
      <c r="M2449" s="5" t="s">
        <v>26</v>
      </c>
      <c r="N2449" s="5" t="s">
        <v>126</v>
      </c>
      <c r="O2449" s="5" t="s">
        <v>130</v>
      </c>
      <c r="P2449" s="5" t="s">
        <v>42</v>
      </c>
      <c r="Q2449" s="5" t="s">
        <v>51</v>
      </c>
    </row>
    <row r="2450" spans="1:17" x14ac:dyDescent="0.25">
      <c r="A2450" s="3">
        <v>10309</v>
      </c>
      <c r="B2450" s="3">
        <v>28</v>
      </c>
      <c r="C2450" s="3">
        <v>88.68</v>
      </c>
      <c r="D2450" s="3">
        <v>2483.04</v>
      </c>
      <c r="E2450" s="3" t="str">
        <f t="shared" si="153"/>
        <v>Medium</v>
      </c>
      <c r="F2450" s="3">
        <f t="shared" si="154"/>
        <v>744.91199999999992</v>
      </c>
      <c r="G2450" s="4">
        <v>38275</v>
      </c>
      <c r="H2450" s="3" t="s">
        <v>25</v>
      </c>
      <c r="I2450" s="3" t="str">
        <f t="shared" si="152"/>
        <v>Yes</v>
      </c>
      <c r="J2450" s="3" t="s">
        <v>685</v>
      </c>
      <c r="K2450" s="3">
        <v>2004</v>
      </c>
      <c r="L2450" s="3" t="str">
        <f t="shared" si="155"/>
        <v>Oct-2004</v>
      </c>
      <c r="M2450" s="3" t="s">
        <v>26</v>
      </c>
      <c r="N2450" s="3" t="s">
        <v>133</v>
      </c>
      <c r="O2450" s="3" t="s">
        <v>78</v>
      </c>
      <c r="P2450" s="3" t="s">
        <v>42</v>
      </c>
      <c r="Q2450" s="3" t="s">
        <v>36</v>
      </c>
    </row>
    <row r="2451" spans="1:17" x14ac:dyDescent="0.25">
      <c r="A2451" s="5">
        <v>10319</v>
      </c>
      <c r="B2451" s="5">
        <v>45</v>
      </c>
      <c r="C2451" s="5">
        <v>77.290000000000006</v>
      </c>
      <c r="D2451" s="5">
        <v>3478.05</v>
      </c>
      <c r="E2451" s="5" t="str">
        <f t="shared" si="153"/>
        <v>Medium</v>
      </c>
      <c r="F2451" s="5">
        <f t="shared" si="154"/>
        <v>1043.415</v>
      </c>
      <c r="G2451" s="6">
        <v>38294</v>
      </c>
      <c r="H2451" s="5" t="s">
        <v>25</v>
      </c>
      <c r="I2451" s="5" t="str">
        <f t="shared" si="152"/>
        <v>Yes</v>
      </c>
      <c r="J2451" s="5" t="s">
        <v>686</v>
      </c>
      <c r="K2451" s="5">
        <v>2004</v>
      </c>
      <c r="L2451" s="5" t="str">
        <f t="shared" si="155"/>
        <v>Nov-2004</v>
      </c>
      <c r="M2451" s="5" t="s">
        <v>26</v>
      </c>
      <c r="N2451" s="5" t="s">
        <v>507</v>
      </c>
      <c r="O2451" s="5" t="s">
        <v>32</v>
      </c>
      <c r="P2451" s="5" t="s">
        <v>33</v>
      </c>
      <c r="Q2451" s="5" t="s">
        <v>51</v>
      </c>
    </row>
    <row r="2452" spans="1:17" x14ac:dyDescent="0.25">
      <c r="A2452" s="3">
        <v>10331</v>
      </c>
      <c r="B2452" s="3">
        <v>20</v>
      </c>
      <c r="C2452" s="3">
        <v>100</v>
      </c>
      <c r="D2452" s="3">
        <v>2000</v>
      </c>
      <c r="E2452" s="3" t="str">
        <f t="shared" si="153"/>
        <v>Medium</v>
      </c>
      <c r="F2452" s="3">
        <f t="shared" si="154"/>
        <v>600</v>
      </c>
      <c r="G2452" s="4">
        <v>38308</v>
      </c>
      <c r="H2452" s="3" t="s">
        <v>25</v>
      </c>
      <c r="I2452" s="3" t="str">
        <f t="shared" si="152"/>
        <v>Yes</v>
      </c>
      <c r="J2452" s="3" t="s">
        <v>686</v>
      </c>
      <c r="K2452" s="3">
        <v>2004</v>
      </c>
      <c r="L2452" s="3" t="str">
        <f t="shared" si="155"/>
        <v>Nov-2004</v>
      </c>
      <c r="M2452" s="3" t="s">
        <v>26</v>
      </c>
      <c r="N2452" s="3" t="s">
        <v>309</v>
      </c>
      <c r="O2452" s="3" t="s">
        <v>32</v>
      </c>
      <c r="P2452" s="3" t="s">
        <v>33</v>
      </c>
      <c r="Q2452" s="3" t="s">
        <v>51</v>
      </c>
    </row>
    <row r="2453" spans="1:17" x14ac:dyDescent="0.25">
      <c r="A2453" s="5">
        <v>10341</v>
      </c>
      <c r="B2453" s="5">
        <v>38</v>
      </c>
      <c r="C2453" s="5">
        <v>100</v>
      </c>
      <c r="D2453" s="5">
        <v>3800</v>
      </c>
      <c r="E2453" s="5" t="str">
        <f t="shared" si="153"/>
        <v>Medium</v>
      </c>
      <c r="F2453" s="5">
        <f t="shared" si="154"/>
        <v>1140</v>
      </c>
      <c r="G2453" s="6">
        <v>38315</v>
      </c>
      <c r="H2453" s="5" t="s">
        <v>25</v>
      </c>
      <c r="I2453" s="5" t="str">
        <f t="shared" si="152"/>
        <v>Yes</v>
      </c>
      <c r="J2453" s="5" t="s">
        <v>686</v>
      </c>
      <c r="K2453" s="5">
        <v>2004</v>
      </c>
      <c r="L2453" s="5" t="str">
        <f t="shared" si="155"/>
        <v>Nov-2004</v>
      </c>
      <c r="M2453" s="5" t="s">
        <v>26</v>
      </c>
      <c r="N2453" s="5" t="s">
        <v>144</v>
      </c>
      <c r="O2453" s="5" t="s">
        <v>148</v>
      </c>
      <c r="P2453" s="5" t="s">
        <v>42</v>
      </c>
      <c r="Q2453" s="5" t="s">
        <v>51</v>
      </c>
    </row>
    <row r="2454" spans="1:17" x14ac:dyDescent="0.25">
      <c r="A2454" s="3">
        <v>10356</v>
      </c>
      <c r="B2454" s="3">
        <v>26</v>
      </c>
      <c r="C2454" s="3">
        <v>100</v>
      </c>
      <c r="D2454" s="3">
        <v>2600</v>
      </c>
      <c r="E2454" s="3" t="str">
        <f t="shared" si="153"/>
        <v>Medium</v>
      </c>
      <c r="F2454" s="3">
        <f t="shared" si="154"/>
        <v>780</v>
      </c>
      <c r="G2454" s="4">
        <v>38330</v>
      </c>
      <c r="H2454" s="3" t="s">
        <v>25</v>
      </c>
      <c r="I2454" s="3" t="str">
        <f t="shared" si="152"/>
        <v>Yes</v>
      </c>
      <c r="J2454" s="3" t="s">
        <v>687</v>
      </c>
      <c r="K2454" s="3">
        <v>2004</v>
      </c>
      <c r="L2454" s="3" t="str">
        <f t="shared" si="155"/>
        <v>Dec-2004</v>
      </c>
      <c r="M2454" s="3" t="s">
        <v>26</v>
      </c>
      <c r="N2454" s="3" t="s">
        <v>45</v>
      </c>
      <c r="O2454" s="3" t="s">
        <v>41</v>
      </c>
      <c r="P2454" s="3" t="s">
        <v>42</v>
      </c>
      <c r="Q2454" s="3" t="s">
        <v>51</v>
      </c>
    </row>
    <row r="2455" spans="1:17" x14ac:dyDescent="0.25">
      <c r="A2455" s="5">
        <v>10365</v>
      </c>
      <c r="B2455" s="5">
        <v>44</v>
      </c>
      <c r="C2455" s="5">
        <v>100</v>
      </c>
      <c r="D2455" s="5">
        <v>4400</v>
      </c>
      <c r="E2455" s="5" t="str">
        <f t="shared" si="153"/>
        <v>Medium</v>
      </c>
      <c r="F2455" s="5">
        <f t="shared" si="154"/>
        <v>1320</v>
      </c>
      <c r="G2455" s="6">
        <v>38359</v>
      </c>
      <c r="H2455" s="5" t="s">
        <v>25</v>
      </c>
      <c r="I2455" s="5" t="str">
        <f t="shared" si="152"/>
        <v>Yes</v>
      </c>
      <c r="J2455" s="5" t="s">
        <v>549</v>
      </c>
      <c r="K2455" s="5">
        <v>2005</v>
      </c>
      <c r="L2455" s="5" t="str">
        <f t="shared" si="155"/>
        <v>Jan-2005</v>
      </c>
      <c r="M2455" s="5" t="s">
        <v>26</v>
      </c>
      <c r="N2455" s="5" t="s">
        <v>335</v>
      </c>
      <c r="O2455" s="5" t="s">
        <v>32</v>
      </c>
      <c r="P2455" s="5" t="s">
        <v>33</v>
      </c>
      <c r="Q2455" s="5" t="s">
        <v>51</v>
      </c>
    </row>
    <row r="2456" spans="1:17" x14ac:dyDescent="0.25">
      <c r="A2456" s="3">
        <v>10375</v>
      </c>
      <c r="B2456" s="3">
        <v>49</v>
      </c>
      <c r="C2456" s="3">
        <v>100</v>
      </c>
      <c r="D2456" s="3">
        <v>4900</v>
      </c>
      <c r="E2456" s="3" t="str">
        <f t="shared" si="153"/>
        <v>Medium</v>
      </c>
      <c r="F2456" s="3">
        <f t="shared" si="154"/>
        <v>1470</v>
      </c>
      <c r="G2456" s="4">
        <v>38386</v>
      </c>
      <c r="H2456" s="3" t="s">
        <v>25</v>
      </c>
      <c r="I2456" s="3" t="str">
        <f t="shared" si="152"/>
        <v>Yes</v>
      </c>
      <c r="J2456" s="3" t="s">
        <v>681</v>
      </c>
      <c r="K2456" s="3">
        <v>2005</v>
      </c>
      <c r="L2456" s="3" t="str">
        <f t="shared" si="155"/>
        <v>Feb-2005</v>
      </c>
      <c r="M2456" s="3" t="s">
        <v>26</v>
      </c>
      <c r="N2456" s="3" t="s">
        <v>114</v>
      </c>
      <c r="O2456" s="3" t="s">
        <v>41</v>
      </c>
      <c r="P2456" s="3" t="s">
        <v>42</v>
      </c>
      <c r="Q2456" s="3" t="s">
        <v>51</v>
      </c>
    </row>
    <row r="2457" spans="1:17" x14ac:dyDescent="0.25">
      <c r="A2457" s="5">
        <v>10390</v>
      </c>
      <c r="B2457" s="5">
        <v>22</v>
      </c>
      <c r="C2457" s="5">
        <v>100</v>
      </c>
      <c r="D2457" s="5">
        <v>2200</v>
      </c>
      <c r="E2457" s="5" t="str">
        <f t="shared" si="153"/>
        <v>Medium</v>
      </c>
      <c r="F2457" s="5">
        <f t="shared" si="154"/>
        <v>660</v>
      </c>
      <c r="G2457" s="6">
        <v>38415</v>
      </c>
      <c r="H2457" s="5" t="s">
        <v>25</v>
      </c>
      <c r="I2457" s="5" t="str">
        <f t="shared" si="152"/>
        <v>Yes</v>
      </c>
      <c r="J2457" s="5" t="s">
        <v>691</v>
      </c>
      <c r="K2457" s="5">
        <v>2005</v>
      </c>
      <c r="L2457" s="5" t="str">
        <f t="shared" si="155"/>
        <v>Mar-2005</v>
      </c>
      <c r="M2457" s="5" t="s">
        <v>26</v>
      </c>
      <c r="N2457" s="5" t="s">
        <v>272</v>
      </c>
      <c r="O2457" s="5" t="s">
        <v>32</v>
      </c>
      <c r="P2457" s="5" t="s">
        <v>33</v>
      </c>
      <c r="Q2457" s="5" t="s">
        <v>51</v>
      </c>
    </row>
    <row r="2458" spans="1:17" x14ac:dyDescent="0.25">
      <c r="A2458" s="3">
        <v>10403</v>
      </c>
      <c r="B2458" s="3">
        <v>31</v>
      </c>
      <c r="C2458" s="3">
        <v>68.34</v>
      </c>
      <c r="D2458" s="3">
        <v>2118.54</v>
      </c>
      <c r="E2458" s="3" t="str">
        <f t="shared" si="153"/>
        <v>Medium</v>
      </c>
      <c r="F2458" s="3">
        <f t="shared" si="154"/>
        <v>635.56200000000001</v>
      </c>
      <c r="G2458" s="4">
        <v>38450</v>
      </c>
      <c r="H2458" s="3" t="s">
        <v>25</v>
      </c>
      <c r="I2458" s="3" t="str">
        <f t="shared" si="152"/>
        <v>Yes</v>
      </c>
      <c r="J2458" s="3" t="s">
        <v>688</v>
      </c>
      <c r="K2458" s="3">
        <v>2005</v>
      </c>
      <c r="L2458" s="3" t="str">
        <f t="shared" si="155"/>
        <v>Apr-2005</v>
      </c>
      <c r="M2458" s="3" t="s">
        <v>26</v>
      </c>
      <c r="N2458" s="3" t="s">
        <v>165</v>
      </c>
      <c r="O2458" s="3" t="s">
        <v>170</v>
      </c>
      <c r="P2458" s="3" t="s">
        <v>42</v>
      </c>
      <c r="Q2458" s="3" t="s">
        <v>36</v>
      </c>
    </row>
    <row r="2459" spans="1:17" x14ac:dyDescent="0.25">
      <c r="A2459" s="5">
        <v>10105</v>
      </c>
      <c r="B2459" s="5">
        <v>41</v>
      </c>
      <c r="C2459" s="5">
        <v>70.67</v>
      </c>
      <c r="D2459" s="5">
        <v>2897.4700000000003</v>
      </c>
      <c r="E2459" s="5" t="str">
        <f t="shared" si="153"/>
        <v>Medium</v>
      </c>
      <c r="F2459" s="5">
        <f t="shared" si="154"/>
        <v>869.2410000000001</v>
      </c>
      <c r="G2459" s="6">
        <v>37663</v>
      </c>
      <c r="H2459" s="5" t="s">
        <v>25</v>
      </c>
      <c r="I2459" s="5" t="str">
        <f t="shared" si="152"/>
        <v>Yes</v>
      </c>
      <c r="J2459" s="5" t="s">
        <v>681</v>
      </c>
      <c r="K2459" s="5">
        <v>2003</v>
      </c>
      <c r="L2459" s="5" t="str">
        <f t="shared" si="155"/>
        <v>Feb-2003</v>
      </c>
      <c r="M2459" s="5" t="s">
        <v>598</v>
      </c>
      <c r="N2459" s="5" t="s">
        <v>322</v>
      </c>
      <c r="O2459" s="5" t="s">
        <v>326</v>
      </c>
      <c r="P2459" s="5" t="s">
        <v>42</v>
      </c>
      <c r="Q2459" s="5" t="s">
        <v>36</v>
      </c>
    </row>
    <row r="2460" spans="1:17" x14ac:dyDescent="0.25">
      <c r="A2460" s="3">
        <v>10119</v>
      </c>
      <c r="B2460" s="3">
        <v>25</v>
      </c>
      <c r="C2460" s="3">
        <v>76.67</v>
      </c>
      <c r="D2460" s="3">
        <v>1916.75</v>
      </c>
      <c r="E2460" s="3" t="str">
        <f t="shared" si="153"/>
        <v>Low</v>
      </c>
      <c r="F2460" s="3">
        <f t="shared" si="154"/>
        <v>575.02499999999998</v>
      </c>
      <c r="G2460" s="4">
        <v>37739</v>
      </c>
      <c r="H2460" s="3" t="s">
        <v>25</v>
      </c>
      <c r="I2460" s="3" t="str">
        <f t="shared" si="152"/>
        <v>Yes</v>
      </c>
      <c r="J2460" s="3" t="s">
        <v>688</v>
      </c>
      <c r="K2460" s="3">
        <v>2003</v>
      </c>
      <c r="L2460" s="3" t="str">
        <f t="shared" si="155"/>
        <v>Apr-2003</v>
      </c>
      <c r="M2460" s="3" t="s">
        <v>598</v>
      </c>
      <c r="N2460" s="3" t="s">
        <v>144</v>
      </c>
      <c r="O2460" s="3" t="s">
        <v>148</v>
      </c>
      <c r="P2460" s="3" t="s">
        <v>42</v>
      </c>
      <c r="Q2460" s="3" t="s">
        <v>36</v>
      </c>
    </row>
    <row r="2461" spans="1:17" x14ac:dyDescent="0.25">
      <c r="A2461" s="5">
        <v>10129</v>
      </c>
      <c r="B2461" s="5">
        <v>31</v>
      </c>
      <c r="C2461" s="5">
        <v>60</v>
      </c>
      <c r="D2461" s="5">
        <v>1860</v>
      </c>
      <c r="E2461" s="5" t="str">
        <f t="shared" si="153"/>
        <v>Low</v>
      </c>
      <c r="F2461" s="5">
        <f t="shared" si="154"/>
        <v>558</v>
      </c>
      <c r="G2461" s="6">
        <v>37784</v>
      </c>
      <c r="H2461" s="5" t="s">
        <v>25</v>
      </c>
      <c r="I2461" s="5" t="str">
        <f t="shared" si="152"/>
        <v>Yes</v>
      </c>
      <c r="J2461" s="5" t="s">
        <v>689</v>
      </c>
      <c r="K2461" s="5">
        <v>2003</v>
      </c>
      <c r="L2461" s="5" t="str">
        <f t="shared" si="155"/>
        <v>Jun-2003</v>
      </c>
      <c r="M2461" s="5" t="s">
        <v>598</v>
      </c>
      <c r="N2461" s="5" t="s">
        <v>329</v>
      </c>
      <c r="O2461" s="5" t="s">
        <v>170</v>
      </c>
      <c r="P2461" s="5" t="s">
        <v>42</v>
      </c>
      <c r="Q2461" s="5" t="s">
        <v>36</v>
      </c>
    </row>
    <row r="2462" spans="1:17" x14ac:dyDescent="0.25">
      <c r="A2462" s="3">
        <v>10142</v>
      </c>
      <c r="B2462" s="3">
        <v>41</v>
      </c>
      <c r="C2462" s="3">
        <v>64</v>
      </c>
      <c r="D2462" s="3">
        <v>2624</v>
      </c>
      <c r="E2462" s="3" t="str">
        <f t="shared" si="153"/>
        <v>Medium</v>
      </c>
      <c r="F2462" s="3">
        <f t="shared" si="154"/>
        <v>787.19999999999993</v>
      </c>
      <c r="G2462" s="4">
        <v>37841</v>
      </c>
      <c r="H2462" s="3" t="s">
        <v>25</v>
      </c>
      <c r="I2462" s="3" t="str">
        <f t="shared" si="152"/>
        <v>Yes</v>
      </c>
      <c r="J2462" s="3" t="s">
        <v>684</v>
      </c>
      <c r="K2462" s="3">
        <v>2003</v>
      </c>
      <c r="L2462" s="3" t="str">
        <f t="shared" si="155"/>
        <v>Aug-2003</v>
      </c>
      <c r="M2462" s="3" t="s">
        <v>598</v>
      </c>
      <c r="N2462" s="3" t="s">
        <v>272</v>
      </c>
      <c r="O2462" s="3" t="s">
        <v>32</v>
      </c>
      <c r="P2462" s="3" t="s">
        <v>33</v>
      </c>
      <c r="Q2462" s="3" t="s">
        <v>36</v>
      </c>
    </row>
    <row r="2463" spans="1:17" x14ac:dyDescent="0.25">
      <c r="A2463" s="5">
        <v>10153</v>
      </c>
      <c r="B2463" s="5">
        <v>43</v>
      </c>
      <c r="C2463" s="5">
        <v>64.67</v>
      </c>
      <c r="D2463" s="5">
        <v>2780.81</v>
      </c>
      <c r="E2463" s="5" t="str">
        <f t="shared" si="153"/>
        <v>Medium</v>
      </c>
      <c r="F2463" s="5">
        <f t="shared" si="154"/>
        <v>834.24299999999994</v>
      </c>
      <c r="G2463" s="6">
        <v>37892</v>
      </c>
      <c r="H2463" s="5" t="s">
        <v>25</v>
      </c>
      <c r="I2463" s="5" t="str">
        <f t="shared" si="152"/>
        <v>Yes</v>
      </c>
      <c r="J2463" s="5" t="s">
        <v>690</v>
      </c>
      <c r="K2463" s="5">
        <v>2003</v>
      </c>
      <c r="L2463" s="5" t="str">
        <f t="shared" si="155"/>
        <v>Sep-2003</v>
      </c>
      <c r="M2463" s="5" t="s">
        <v>598</v>
      </c>
      <c r="N2463" s="5" t="s">
        <v>174</v>
      </c>
      <c r="O2463" s="5" t="s">
        <v>178</v>
      </c>
      <c r="P2463" s="5" t="s">
        <v>42</v>
      </c>
      <c r="Q2463" s="5" t="s">
        <v>36</v>
      </c>
    </row>
    <row r="2464" spans="1:17" x14ac:dyDescent="0.25">
      <c r="A2464" s="3">
        <v>10167</v>
      </c>
      <c r="B2464" s="3">
        <v>43</v>
      </c>
      <c r="C2464" s="3">
        <v>75.34</v>
      </c>
      <c r="D2464" s="3">
        <v>3239.6200000000003</v>
      </c>
      <c r="E2464" s="3" t="str">
        <f t="shared" si="153"/>
        <v>Medium</v>
      </c>
      <c r="F2464" s="3">
        <f t="shared" si="154"/>
        <v>971.88600000000008</v>
      </c>
      <c r="G2464" s="4">
        <v>37917</v>
      </c>
      <c r="H2464" s="3" t="s">
        <v>339</v>
      </c>
      <c r="I2464" s="3" t="str">
        <f t="shared" si="152"/>
        <v>No</v>
      </c>
      <c r="J2464" s="3" t="s">
        <v>685</v>
      </c>
      <c r="K2464" s="3">
        <v>2003</v>
      </c>
      <c r="L2464" s="3" t="str">
        <f t="shared" si="155"/>
        <v>Oct-2003</v>
      </c>
      <c r="M2464" s="3" t="s">
        <v>598</v>
      </c>
      <c r="N2464" s="3" t="s">
        <v>261</v>
      </c>
      <c r="O2464" s="3" t="s">
        <v>188</v>
      </c>
      <c r="P2464" s="3" t="s">
        <v>42</v>
      </c>
      <c r="Q2464" s="3" t="s">
        <v>51</v>
      </c>
    </row>
    <row r="2465" spans="1:17" x14ac:dyDescent="0.25">
      <c r="A2465" s="5">
        <v>10177</v>
      </c>
      <c r="B2465" s="5">
        <v>24</v>
      </c>
      <c r="C2465" s="5">
        <v>76</v>
      </c>
      <c r="D2465" s="5">
        <v>1824</v>
      </c>
      <c r="E2465" s="5" t="str">
        <f t="shared" si="153"/>
        <v>Low</v>
      </c>
      <c r="F2465" s="5">
        <f t="shared" si="154"/>
        <v>547.19999999999993</v>
      </c>
      <c r="G2465" s="6">
        <v>37932</v>
      </c>
      <c r="H2465" s="5" t="s">
        <v>25</v>
      </c>
      <c r="I2465" s="5" t="str">
        <f t="shared" si="152"/>
        <v>Yes</v>
      </c>
      <c r="J2465" s="5" t="s">
        <v>686</v>
      </c>
      <c r="K2465" s="5">
        <v>2003</v>
      </c>
      <c r="L2465" s="5" t="str">
        <f t="shared" si="155"/>
        <v>Nov-2003</v>
      </c>
      <c r="M2465" s="5" t="s">
        <v>598</v>
      </c>
      <c r="N2465" s="5" t="s">
        <v>487</v>
      </c>
      <c r="O2465" s="5" t="s">
        <v>178</v>
      </c>
      <c r="P2465" s="5" t="s">
        <v>42</v>
      </c>
      <c r="Q2465" s="5" t="s">
        <v>36</v>
      </c>
    </row>
    <row r="2466" spans="1:17" x14ac:dyDescent="0.25">
      <c r="A2466" s="3">
        <v>10185</v>
      </c>
      <c r="B2466" s="3">
        <v>21</v>
      </c>
      <c r="C2466" s="3">
        <v>54</v>
      </c>
      <c r="D2466" s="3">
        <v>1134</v>
      </c>
      <c r="E2466" s="3" t="str">
        <f t="shared" si="153"/>
        <v>Low</v>
      </c>
      <c r="F2466" s="3">
        <f t="shared" si="154"/>
        <v>340.2</v>
      </c>
      <c r="G2466" s="4">
        <v>37939</v>
      </c>
      <c r="H2466" s="3" t="s">
        <v>25</v>
      </c>
      <c r="I2466" s="3" t="str">
        <f t="shared" si="152"/>
        <v>Yes</v>
      </c>
      <c r="J2466" s="3" t="s">
        <v>686</v>
      </c>
      <c r="K2466" s="3">
        <v>2003</v>
      </c>
      <c r="L2466" s="3" t="str">
        <f t="shared" si="155"/>
        <v>Nov-2003</v>
      </c>
      <c r="M2466" s="3" t="s">
        <v>598</v>
      </c>
      <c r="N2466" s="3" t="s">
        <v>335</v>
      </c>
      <c r="O2466" s="3" t="s">
        <v>32</v>
      </c>
      <c r="P2466" s="3" t="s">
        <v>33</v>
      </c>
      <c r="Q2466" s="3" t="s">
        <v>36</v>
      </c>
    </row>
    <row r="2467" spans="1:17" x14ac:dyDescent="0.25">
      <c r="A2467" s="5">
        <v>10197</v>
      </c>
      <c r="B2467" s="5">
        <v>23</v>
      </c>
      <c r="C2467" s="5">
        <v>64.67</v>
      </c>
      <c r="D2467" s="5">
        <v>1487.41</v>
      </c>
      <c r="E2467" s="5" t="str">
        <f t="shared" si="153"/>
        <v>Low</v>
      </c>
      <c r="F2467" s="5">
        <f t="shared" si="154"/>
        <v>446.22300000000001</v>
      </c>
      <c r="G2467" s="6">
        <v>37951</v>
      </c>
      <c r="H2467" s="5" t="s">
        <v>25</v>
      </c>
      <c r="I2467" s="5" t="str">
        <f t="shared" si="152"/>
        <v>Yes</v>
      </c>
      <c r="J2467" s="5" t="s">
        <v>686</v>
      </c>
      <c r="K2467" s="5">
        <v>2003</v>
      </c>
      <c r="L2467" s="5" t="str">
        <f t="shared" si="155"/>
        <v>Nov-2003</v>
      </c>
      <c r="M2467" s="5" t="s">
        <v>598</v>
      </c>
      <c r="N2467" s="5" t="s">
        <v>352</v>
      </c>
      <c r="O2467" s="5" t="s">
        <v>178</v>
      </c>
      <c r="P2467" s="5" t="s">
        <v>42</v>
      </c>
      <c r="Q2467" s="5" t="s">
        <v>36</v>
      </c>
    </row>
    <row r="2468" spans="1:17" x14ac:dyDescent="0.25">
      <c r="A2468" s="3">
        <v>10208</v>
      </c>
      <c r="B2468" s="3">
        <v>38</v>
      </c>
      <c r="C2468" s="3">
        <v>74.67</v>
      </c>
      <c r="D2468" s="3">
        <v>2837.46</v>
      </c>
      <c r="E2468" s="3" t="str">
        <f t="shared" si="153"/>
        <v>Medium</v>
      </c>
      <c r="F2468" s="3">
        <f t="shared" si="154"/>
        <v>851.23799999999994</v>
      </c>
      <c r="G2468" s="4">
        <v>37988</v>
      </c>
      <c r="H2468" s="3" t="s">
        <v>25</v>
      </c>
      <c r="I2468" s="3" t="str">
        <f t="shared" si="152"/>
        <v>Yes</v>
      </c>
      <c r="J2468" s="3" t="s">
        <v>549</v>
      </c>
      <c r="K2468" s="3">
        <v>2004</v>
      </c>
      <c r="L2468" s="3" t="str">
        <f t="shared" si="155"/>
        <v>Jan-2004</v>
      </c>
      <c r="M2468" s="3" t="s">
        <v>598</v>
      </c>
      <c r="N2468" s="3" t="s">
        <v>219</v>
      </c>
      <c r="O2468" s="3" t="s">
        <v>41</v>
      </c>
      <c r="P2468" s="3" t="s">
        <v>42</v>
      </c>
      <c r="Q2468" s="3" t="s">
        <v>36</v>
      </c>
    </row>
    <row r="2469" spans="1:17" x14ac:dyDescent="0.25">
      <c r="A2469" s="5">
        <v>10222</v>
      </c>
      <c r="B2469" s="5">
        <v>31</v>
      </c>
      <c r="C2469" s="5">
        <v>62.67</v>
      </c>
      <c r="D2469" s="5">
        <v>1942.77</v>
      </c>
      <c r="E2469" s="5" t="str">
        <f t="shared" si="153"/>
        <v>Low</v>
      </c>
      <c r="F2469" s="5">
        <f t="shared" si="154"/>
        <v>582.83100000000002</v>
      </c>
      <c r="G2469" s="6">
        <v>38036</v>
      </c>
      <c r="H2469" s="5" t="s">
        <v>25</v>
      </c>
      <c r="I2469" s="5" t="str">
        <f t="shared" si="152"/>
        <v>Yes</v>
      </c>
      <c r="J2469" s="5" t="s">
        <v>681</v>
      </c>
      <c r="K2469" s="5">
        <v>2004</v>
      </c>
      <c r="L2469" s="5" t="str">
        <f t="shared" si="155"/>
        <v>Feb-2004</v>
      </c>
      <c r="M2469" s="5" t="s">
        <v>598</v>
      </c>
      <c r="N2469" s="5" t="s">
        <v>362</v>
      </c>
      <c r="O2469" s="5" t="s">
        <v>32</v>
      </c>
      <c r="P2469" s="5" t="s">
        <v>33</v>
      </c>
      <c r="Q2469" s="5" t="s">
        <v>36</v>
      </c>
    </row>
    <row r="2470" spans="1:17" x14ac:dyDescent="0.25">
      <c r="A2470" s="3">
        <v>10233</v>
      </c>
      <c r="B2470" s="3">
        <v>36</v>
      </c>
      <c r="C2470" s="3">
        <v>70.67</v>
      </c>
      <c r="D2470" s="3">
        <v>2544.12</v>
      </c>
      <c r="E2470" s="3" t="str">
        <f t="shared" si="153"/>
        <v>Medium</v>
      </c>
      <c r="F2470" s="3">
        <f t="shared" si="154"/>
        <v>763.23599999999999</v>
      </c>
      <c r="G2470" s="4">
        <v>38075</v>
      </c>
      <c r="H2470" s="3" t="s">
        <v>25</v>
      </c>
      <c r="I2470" s="3" t="str">
        <f t="shared" si="152"/>
        <v>Yes</v>
      </c>
      <c r="J2470" s="3" t="s">
        <v>691</v>
      </c>
      <c r="K2470" s="3">
        <v>2004</v>
      </c>
      <c r="L2470" s="3" t="str">
        <f t="shared" si="155"/>
        <v>Mar-2004</v>
      </c>
      <c r="M2470" s="3" t="s">
        <v>598</v>
      </c>
      <c r="N2470" s="3" t="s">
        <v>104</v>
      </c>
      <c r="O2470" s="3" t="s">
        <v>32</v>
      </c>
      <c r="P2470" s="3" t="s">
        <v>33</v>
      </c>
      <c r="Q2470" s="3" t="s">
        <v>36</v>
      </c>
    </row>
    <row r="2471" spans="1:17" x14ac:dyDescent="0.25">
      <c r="A2471" s="5">
        <v>10248</v>
      </c>
      <c r="B2471" s="5">
        <v>36</v>
      </c>
      <c r="C2471" s="5">
        <v>71.34</v>
      </c>
      <c r="D2471" s="5">
        <v>2568.2400000000002</v>
      </c>
      <c r="E2471" s="5" t="str">
        <f t="shared" si="153"/>
        <v>Medium</v>
      </c>
      <c r="F2471" s="5">
        <f t="shared" si="154"/>
        <v>770.47200000000009</v>
      </c>
      <c r="G2471" s="6">
        <v>38114</v>
      </c>
      <c r="H2471" s="5" t="s">
        <v>339</v>
      </c>
      <c r="I2471" s="5" t="str">
        <f t="shared" si="152"/>
        <v>No</v>
      </c>
      <c r="J2471" s="5" t="s">
        <v>682</v>
      </c>
      <c r="K2471" s="5">
        <v>2004</v>
      </c>
      <c r="L2471" s="5" t="str">
        <f t="shared" si="155"/>
        <v>May-2004</v>
      </c>
      <c r="M2471" s="5" t="s">
        <v>598</v>
      </c>
      <c r="N2471" s="5" t="s">
        <v>28</v>
      </c>
      <c r="O2471" s="5" t="s">
        <v>32</v>
      </c>
      <c r="P2471" s="5" t="s">
        <v>33</v>
      </c>
      <c r="Q2471" s="5" t="s">
        <v>36</v>
      </c>
    </row>
    <row r="2472" spans="1:17" x14ac:dyDescent="0.25">
      <c r="A2472" s="3">
        <v>10261</v>
      </c>
      <c r="B2472" s="3">
        <v>34</v>
      </c>
      <c r="C2472" s="3">
        <v>62</v>
      </c>
      <c r="D2472" s="3">
        <v>2108</v>
      </c>
      <c r="E2472" s="3" t="str">
        <f t="shared" si="153"/>
        <v>Medium</v>
      </c>
      <c r="F2472" s="3">
        <f t="shared" si="154"/>
        <v>632.4</v>
      </c>
      <c r="G2472" s="4">
        <v>38155</v>
      </c>
      <c r="H2472" s="3" t="s">
        <v>25</v>
      </c>
      <c r="I2472" s="3" t="str">
        <f t="shared" si="152"/>
        <v>Yes</v>
      </c>
      <c r="J2472" s="3" t="s">
        <v>689</v>
      </c>
      <c r="K2472" s="3">
        <v>2004</v>
      </c>
      <c r="L2472" s="3" t="str">
        <f t="shared" si="155"/>
        <v>Jun-2004</v>
      </c>
      <c r="M2472" s="3" t="s">
        <v>598</v>
      </c>
      <c r="N2472" s="3" t="s">
        <v>292</v>
      </c>
      <c r="O2472" s="3" t="s">
        <v>231</v>
      </c>
      <c r="P2472" s="3" t="s">
        <v>33</v>
      </c>
      <c r="Q2472" s="3" t="s">
        <v>36</v>
      </c>
    </row>
    <row r="2473" spans="1:17" x14ac:dyDescent="0.25">
      <c r="A2473" s="5">
        <v>10273</v>
      </c>
      <c r="B2473" s="5">
        <v>21</v>
      </c>
      <c r="C2473" s="5">
        <v>65.34</v>
      </c>
      <c r="D2473" s="5">
        <v>1372.14</v>
      </c>
      <c r="E2473" s="5" t="str">
        <f t="shared" si="153"/>
        <v>Low</v>
      </c>
      <c r="F2473" s="5">
        <f t="shared" si="154"/>
        <v>411.642</v>
      </c>
      <c r="G2473" s="6">
        <v>38189</v>
      </c>
      <c r="H2473" s="5" t="s">
        <v>25</v>
      </c>
      <c r="I2473" s="5" t="str">
        <f t="shared" si="152"/>
        <v>Yes</v>
      </c>
      <c r="J2473" s="5" t="s">
        <v>683</v>
      </c>
      <c r="K2473" s="5">
        <v>2004</v>
      </c>
      <c r="L2473" s="5" t="str">
        <f t="shared" si="155"/>
        <v>Jul-2004</v>
      </c>
      <c r="M2473" s="5" t="s">
        <v>598</v>
      </c>
      <c r="N2473" s="5" t="s">
        <v>365</v>
      </c>
      <c r="O2473" s="5" t="s">
        <v>370</v>
      </c>
      <c r="P2473" s="5" t="s">
        <v>42</v>
      </c>
      <c r="Q2473" s="5" t="s">
        <v>36</v>
      </c>
    </row>
    <row r="2474" spans="1:17" x14ac:dyDescent="0.25">
      <c r="A2474" s="3">
        <v>10283</v>
      </c>
      <c r="B2474" s="3">
        <v>45</v>
      </c>
      <c r="C2474" s="3">
        <v>78.67</v>
      </c>
      <c r="D2474" s="3">
        <v>3540.15</v>
      </c>
      <c r="E2474" s="3" t="str">
        <f t="shared" si="153"/>
        <v>Medium</v>
      </c>
      <c r="F2474" s="3">
        <f t="shared" si="154"/>
        <v>1062.0450000000001</v>
      </c>
      <c r="G2474" s="4">
        <v>38219</v>
      </c>
      <c r="H2474" s="3" t="s">
        <v>25</v>
      </c>
      <c r="I2474" s="3" t="str">
        <f t="shared" si="152"/>
        <v>Yes</v>
      </c>
      <c r="J2474" s="3" t="s">
        <v>684</v>
      </c>
      <c r="K2474" s="3">
        <v>2004</v>
      </c>
      <c r="L2474" s="3" t="str">
        <f t="shared" si="155"/>
        <v>Aug-2004</v>
      </c>
      <c r="M2474" s="3" t="s">
        <v>598</v>
      </c>
      <c r="N2474" s="3" t="s">
        <v>373</v>
      </c>
      <c r="O2474" s="3" t="s">
        <v>231</v>
      </c>
      <c r="P2474" s="3" t="s">
        <v>33</v>
      </c>
      <c r="Q2474" s="3" t="s">
        <v>51</v>
      </c>
    </row>
    <row r="2475" spans="1:17" x14ac:dyDescent="0.25">
      <c r="A2475" s="5">
        <v>10295</v>
      </c>
      <c r="B2475" s="5">
        <v>26</v>
      </c>
      <c r="C2475" s="5">
        <v>75.34</v>
      </c>
      <c r="D2475" s="5">
        <v>1958.8400000000001</v>
      </c>
      <c r="E2475" s="5" t="str">
        <f t="shared" si="153"/>
        <v>Low</v>
      </c>
      <c r="F2475" s="5">
        <f t="shared" si="154"/>
        <v>587.65200000000004</v>
      </c>
      <c r="G2475" s="6">
        <v>38240</v>
      </c>
      <c r="H2475" s="5" t="s">
        <v>25</v>
      </c>
      <c r="I2475" s="5" t="str">
        <f t="shared" si="152"/>
        <v>Yes</v>
      </c>
      <c r="J2475" s="5" t="s">
        <v>690</v>
      </c>
      <c r="K2475" s="5">
        <v>2004</v>
      </c>
      <c r="L2475" s="5" t="str">
        <f t="shared" si="155"/>
        <v>Sep-2004</v>
      </c>
      <c r="M2475" s="5" t="s">
        <v>598</v>
      </c>
      <c r="N2475" s="5" t="s">
        <v>379</v>
      </c>
      <c r="O2475" s="5" t="s">
        <v>32</v>
      </c>
      <c r="P2475" s="5" t="s">
        <v>33</v>
      </c>
      <c r="Q2475" s="5" t="s">
        <v>36</v>
      </c>
    </row>
    <row r="2476" spans="1:17" x14ac:dyDescent="0.25">
      <c r="A2476" s="3">
        <v>10306</v>
      </c>
      <c r="B2476" s="3">
        <v>50</v>
      </c>
      <c r="C2476" s="3">
        <v>54</v>
      </c>
      <c r="D2476" s="3">
        <v>2700</v>
      </c>
      <c r="E2476" s="3" t="str">
        <f t="shared" si="153"/>
        <v>Medium</v>
      </c>
      <c r="F2476" s="3">
        <f t="shared" si="154"/>
        <v>810</v>
      </c>
      <c r="G2476" s="4">
        <v>38274</v>
      </c>
      <c r="H2476" s="3" t="s">
        <v>25</v>
      </c>
      <c r="I2476" s="3" t="str">
        <f t="shared" si="152"/>
        <v>Yes</v>
      </c>
      <c r="J2476" s="3" t="s">
        <v>685</v>
      </c>
      <c r="K2476" s="3">
        <v>2004</v>
      </c>
      <c r="L2476" s="3" t="str">
        <f t="shared" si="155"/>
        <v>Oct-2004</v>
      </c>
      <c r="M2476" s="3" t="s">
        <v>598</v>
      </c>
      <c r="N2476" s="3" t="s">
        <v>492</v>
      </c>
      <c r="O2476" s="3" t="s">
        <v>170</v>
      </c>
      <c r="P2476" s="3" t="s">
        <v>42</v>
      </c>
      <c r="Q2476" s="3" t="s">
        <v>36</v>
      </c>
    </row>
    <row r="2477" spans="1:17" x14ac:dyDescent="0.25">
      <c r="A2477" s="5">
        <v>10315</v>
      </c>
      <c r="B2477" s="5">
        <v>41</v>
      </c>
      <c r="C2477" s="5">
        <v>62</v>
      </c>
      <c r="D2477" s="5">
        <v>2542</v>
      </c>
      <c r="E2477" s="5" t="str">
        <f t="shared" si="153"/>
        <v>Medium</v>
      </c>
      <c r="F2477" s="5">
        <f t="shared" si="154"/>
        <v>762.6</v>
      </c>
      <c r="G2477" s="6">
        <v>38289</v>
      </c>
      <c r="H2477" s="5" t="s">
        <v>25</v>
      </c>
      <c r="I2477" s="5" t="str">
        <f t="shared" si="152"/>
        <v>Yes</v>
      </c>
      <c r="J2477" s="5" t="s">
        <v>685</v>
      </c>
      <c r="K2477" s="5">
        <v>2004</v>
      </c>
      <c r="L2477" s="5" t="str">
        <f t="shared" si="155"/>
        <v>Oct-2004</v>
      </c>
      <c r="M2477" s="5" t="s">
        <v>598</v>
      </c>
      <c r="N2477" s="5" t="s">
        <v>114</v>
      </c>
      <c r="O2477" s="5" t="s">
        <v>41</v>
      </c>
      <c r="P2477" s="5" t="s">
        <v>42</v>
      </c>
      <c r="Q2477" s="5" t="s">
        <v>36</v>
      </c>
    </row>
    <row r="2478" spans="1:17" x14ac:dyDescent="0.25">
      <c r="A2478" s="3">
        <v>10326</v>
      </c>
      <c r="B2478" s="3">
        <v>39</v>
      </c>
      <c r="C2478" s="3">
        <v>60</v>
      </c>
      <c r="D2478" s="3">
        <v>2340</v>
      </c>
      <c r="E2478" s="3" t="str">
        <f t="shared" si="153"/>
        <v>Medium</v>
      </c>
      <c r="F2478" s="3">
        <f t="shared" si="154"/>
        <v>702</v>
      </c>
      <c r="G2478" s="4">
        <v>38300</v>
      </c>
      <c r="H2478" s="3" t="s">
        <v>25</v>
      </c>
      <c r="I2478" s="3" t="str">
        <f t="shared" si="152"/>
        <v>Yes</v>
      </c>
      <c r="J2478" s="3" t="s">
        <v>686</v>
      </c>
      <c r="K2478" s="3">
        <v>2004</v>
      </c>
      <c r="L2478" s="3" t="str">
        <f t="shared" si="155"/>
        <v>Nov-2004</v>
      </c>
      <c r="M2478" s="3" t="s">
        <v>598</v>
      </c>
      <c r="N2478" s="3" t="s">
        <v>183</v>
      </c>
      <c r="O2478" s="3" t="s">
        <v>188</v>
      </c>
      <c r="P2478" s="3" t="s">
        <v>42</v>
      </c>
      <c r="Q2478" s="3" t="s">
        <v>36</v>
      </c>
    </row>
    <row r="2479" spans="1:17" x14ac:dyDescent="0.25">
      <c r="A2479" s="5">
        <v>10339</v>
      </c>
      <c r="B2479" s="5">
        <v>22</v>
      </c>
      <c r="C2479" s="5">
        <v>100</v>
      </c>
      <c r="D2479" s="5">
        <v>2200</v>
      </c>
      <c r="E2479" s="5" t="str">
        <f t="shared" si="153"/>
        <v>Medium</v>
      </c>
      <c r="F2479" s="5">
        <f t="shared" si="154"/>
        <v>660</v>
      </c>
      <c r="G2479" s="6">
        <v>38314</v>
      </c>
      <c r="H2479" s="5" t="s">
        <v>25</v>
      </c>
      <c r="I2479" s="5" t="str">
        <f t="shared" si="152"/>
        <v>Yes</v>
      </c>
      <c r="J2479" s="5" t="s">
        <v>686</v>
      </c>
      <c r="K2479" s="5">
        <v>2004</v>
      </c>
      <c r="L2479" s="5" t="str">
        <f t="shared" si="155"/>
        <v>Nov-2004</v>
      </c>
      <c r="M2479" s="5" t="s">
        <v>598</v>
      </c>
      <c r="N2479" s="5" t="s">
        <v>246</v>
      </c>
      <c r="O2479" s="5" t="s">
        <v>200</v>
      </c>
      <c r="P2479" s="5" t="s">
        <v>675</v>
      </c>
      <c r="Q2479" s="5" t="s">
        <v>36</v>
      </c>
    </row>
    <row r="2480" spans="1:17" x14ac:dyDescent="0.25">
      <c r="A2480" s="3">
        <v>10350</v>
      </c>
      <c r="B2480" s="3">
        <v>46</v>
      </c>
      <c r="C2480" s="3">
        <v>76.67</v>
      </c>
      <c r="D2480" s="3">
        <v>3526.82</v>
      </c>
      <c r="E2480" s="3" t="str">
        <f t="shared" si="153"/>
        <v>Medium</v>
      </c>
      <c r="F2480" s="3">
        <f t="shared" si="154"/>
        <v>1058.046</v>
      </c>
      <c r="G2480" s="4">
        <v>38323</v>
      </c>
      <c r="H2480" s="3" t="s">
        <v>25</v>
      </c>
      <c r="I2480" s="3" t="str">
        <f t="shared" si="152"/>
        <v>Yes</v>
      </c>
      <c r="J2480" s="3" t="s">
        <v>687</v>
      </c>
      <c r="K2480" s="3">
        <v>2004</v>
      </c>
      <c r="L2480" s="3" t="str">
        <f t="shared" si="155"/>
        <v>Dec-2004</v>
      </c>
      <c r="M2480" s="3" t="s">
        <v>598</v>
      </c>
      <c r="N2480" s="3" t="s">
        <v>174</v>
      </c>
      <c r="O2480" s="3" t="s">
        <v>178</v>
      </c>
      <c r="P2480" s="3" t="s">
        <v>42</v>
      </c>
      <c r="Q2480" s="3" t="s">
        <v>51</v>
      </c>
    </row>
    <row r="2481" spans="1:17" x14ac:dyDescent="0.25">
      <c r="A2481" s="5">
        <v>10373</v>
      </c>
      <c r="B2481" s="5">
        <v>44</v>
      </c>
      <c r="C2481" s="5">
        <v>100</v>
      </c>
      <c r="D2481" s="5">
        <v>4400</v>
      </c>
      <c r="E2481" s="5" t="str">
        <f t="shared" si="153"/>
        <v>Medium</v>
      </c>
      <c r="F2481" s="5">
        <f t="shared" si="154"/>
        <v>1320</v>
      </c>
      <c r="G2481" s="6">
        <v>38383</v>
      </c>
      <c r="H2481" s="5" t="s">
        <v>25</v>
      </c>
      <c r="I2481" s="5" t="str">
        <f t="shared" si="152"/>
        <v>Yes</v>
      </c>
      <c r="J2481" s="5" t="s">
        <v>549</v>
      </c>
      <c r="K2481" s="5">
        <v>2005</v>
      </c>
      <c r="L2481" s="5" t="str">
        <f t="shared" si="155"/>
        <v>Jan-2005</v>
      </c>
      <c r="M2481" s="5" t="s">
        <v>598</v>
      </c>
      <c r="N2481" s="5" t="s">
        <v>391</v>
      </c>
      <c r="O2481" s="5" t="s">
        <v>130</v>
      </c>
      <c r="P2481" s="5" t="s">
        <v>42</v>
      </c>
      <c r="Q2481" s="5" t="s">
        <v>51</v>
      </c>
    </row>
    <row r="2482" spans="1:17" x14ac:dyDescent="0.25">
      <c r="A2482" s="3">
        <v>10385</v>
      </c>
      <c r="B2482" s="3">
        <v>25</v>
      </c>
      <c r="C2482" s="3">
        <v>77.34</v>
      </c>
      <c r="D2482" s="3">
        <v>1933.5</v>
      </c>
      <c r="E2482" s="3" t="str">
        <f t="shared" si="153"/>
        <v>Low</v>
      </c>
      <c r="F2482" s="3">
        <f t="shared" si="154"/>
        <v>580.04999999999995</v>
      </c>
      <c r="G2482" s="4">
        <v>38411</v>
      </c>
      <c r="H2482" s="3" t="s">
        <v>25</v>
      </c>
      <c r="I2482" s="3" t="str">
        <f t="shared" si="152"/>
        <v>Yes</v>
      </c>
      <c r="J2482" s="3" t="s">
        <v>681</v>
      </c>
      <c r="K2482" s="3">
        <v>2005</v>
      </c>
      <c r="L2482" s="3" t="str">
        <f t="shared" si="155"/>
        <v>Feb-2005</v>
      </c>
      <c r="M2482" s="3" t="s">
        <v>598</v>
      </c>
      <c r="N2482" s="3" t="s">
        <v>272</v>
      </c>
      <c r="O2482" s="3" t="s">
        <v>32</v>
      </c>
      <c r="P2482" s="3" t="s">
        <v>33</v>
      </c>
      <c r="Q2482" s="3" t="s">
        <v>36</v>
      </c>
    </row>
    <row r="2483" spans="1:17" x14ac:dyDescent="0.25">
      <c r="A2483" s="5">
        <v>10396</v>
      </c>
      <c r="B2483" s="5">
        <v>39</v>
      </c>
      <c r="C2483" s="5">
        <v>66.67</v>
      </c>
      <c r="D2483" s="5">
        <v>2600.13</v>
      </c>
      <c r="E2483" s="5" t="str">
        <f t="shared" si="153"/>
        <v>Medium</v>
      </c>
      <c r="F2483" s="5">
        <f t="shared" si="154"/>
        <v>780.03899999999999</v>
      </c>
      <c r="G2483" s="6">
        <v>38434</v>
      </c>
      <c r="H2483" s="5" t="s">
        <v>25</v>
      </c>
      <c r="I2483" s="5" t="str">
        <f t="shared" si="152"/>
        <v>Yes</v>
      </c>
      <c r="J2483" s="5" t="s">
        <v>691</v>
      </c>
      <c r="K2483" s="5">
        <v>2005</v>
      </c>
      <c r="L2483" s="5" t="str">
        <f t="shared" si="155"/>
        <v>Mar-2005</v>
      </c>
      <c r="M2483" s="5" t="s">
        <v>598</v>
      </c>
      <c r="N2483" s="5" t="s">
        <v>272</v>
      </c>
      <c r="O2483" s="5" t="s">
        <v>32</v>
      </c>
      <c r="P2483" s="5" t="s">
        <v>33</v>
      </c>
      <c r="Q2483" s="5" t="s">
        <v>36</v>
      </c>
    </row>
    <row r="2484" spans="1:17" x14ac:dyDescent="0.25">
      <c r="A2484" s="3">
        <v>10414</v>
      </c>
      <c r="B2484" s="3">
        <v>37</v>
      </c>
      <c r="C2484" s="3">
        <v>71.34</v>
      </c>
      <c r="D2484" s="3">
        <v>2639.58</v>
      </c>
      <c r="E2484" s="3" t="str">
        <f t="shared" si="153"/>
        <v>Medium</v>
      </c>
      <c r="F2484" s="3">
        <f t="shared" si="154"/>
        <v>791.87399999999991</v>
      </c>
      <c r="G2484" s="4">
        <v>38478</v>
      </c>
      <c r="H2484" s="3" t="s">
        <v>401</v>
      </c>
      <c r="I2484" s="3" t="str">
        <f t="shared" si="152"/>
        <v>No</v>
      </c>
      <c r="J2484" s="3" t="s">
        <v>682</v>
      </c>
      <c r="K2484" s="3">
        <v>2005</v>
      </c>
      <c r="L2484" s="3" t="str">
        <f t="shared" si="155"/>
        <v>May-2005</v>
      </c>
      <c r="M2484" s="3" t="s">
        <v>598</v>
      </c>
      <c r="N2484" s="3" t="s">
        <v>379</v>
      </c>
      <c r="O2484" s="3" t="s">
        <v>32</v>
      </c>
      <c r="P2484" s="3" t="s">
        <v>33</v>
      </c>
      <c r="Q2484" s="3" t="s">
        <v>36</v>
      </c>
    </row>
    <row r="2485" spans="1:17" x14ac:dyDescent="0.25">
      <c r="A2485" s="5">
        <v>10106</v>
      </c>
      <c r="B2485" s="5">
        <v>31</v>
      </c>
      <c r="C2485" s="5">
        <v>100</v>
      </c>
      <c r="D2485" s="5">
        <v>3100</v>
      </c>
      <c r="E2485" s="5" t="str">
        <f t="shared" si="153"/>
        <v>Medium</v>
      </c>
      <c r="F2485" s="5">
        <f t="shared" si="154"/>
        <v>930</v>
      </c>
      <c r="G2485" s="6">
        <v>37669</v>
      </c>
      <c r="H2485" s="5" t="s">
        <v>25</v>
      </c>
      <c r="I2485" s="5" t="str">
        <f t="shared" si="152"/>
        <v>Yes</v>
      </c>
      <c r="J2485" s="5" t="s">
        <v>681</v>
      </c>
      <c r="K2485" s="5">
        <v>2003</v>
      </c>
      <c r="L2485" s="5" t="str">
        <f t="shared" si="155"/>
        <v>Feb-2003</v>
      </c>
      <c r="M2485" s="5" t="s">
        <v>566</v>
      </c>
      <c r="N2485" s="5" t="s">
        <v>552</v>
      </c>
      <c r="O2485" s="5" t="s">
        <v>258</v>
      </c>
      <c r="P2485" s="5" t="s">
        <v>42</v>
      </c>
      <c r="Q2485" s="5" t="s">
        <v>51</v>
      </c>
    </row>
    <row r="2486" spans="1:17" x14ac:dyDescent="0.25">
      <c r="A2486" s="3">
        <v>10120</v>
      </c>
      <c r="B2486" s="3">
        <v>47</v>
      </c>
      <c r="C2486" s="3">
        <v>82.21</v>
      </c>
      <c r="D2486" s="3">
        <v>3863.87</v>
      </c>
      <c r="E2486" s="3" t="str">
        <f t="shared" si="153"/>
        <v>Medium</v>
      </c>
      <c r="F2486" s="3">
        <f t="shared" si="154"/>
        <v>1159.1609999999998</v>
      </c>
      <c r="G2486" s="4">
        <v>37740</v>
      </c>
      <c r="H2486" s="3" t="s">
        <v>25</v>
      </c>
      <c r="I2486" s="3" t="str">
        <f t="shared" si="152"/>
        <v>Yes</v>
      </c>
      <c r="J2486" s="3" t="s">
        <v>688</v>
      </c>
      <c r="K2486" s="3">
        <v>2003</v>
      </c>
      <c r="L2486" s="3" t="str">
        <f t="shared" si="155"/>
        <v>Apr-2003</v>
      </c>
      <c r="M2486" s="3" t="s">
        <v>566</v>
      </c>
      <c r="N2486" s="3" t="s">
        <v>89</v>
      </c>
      <c r="O2486" s="3" t="s">
        <v>95</v>
      </c>
      <c r="P2486" s="3" t="s">
        <v>96</v>
      </c>
      <c r="Q2486" s="3" t="s">
        <v>51</v>
      </c>
    </row>
    <row r="2487" spans="1:17" x14ac:dyDescent="0.25">
      <c r="A2487" s="5">
        <v>10133</v>
      </c>
      <c r="B2487" s="5">
        <v>24</v>
      </c>
      <c r="C2487" s="5">
        <v>77.64</v>
      </c>
      <c r="D2487" s="5">
        <v>1863.3600000000001</v>
      </c>
      <c r="E2487" s="5" t="str">
        <f t="shared" si="153"/>
        <v>Low</v>
      </c>
      <c r="F2487" s="5">
        <f t="shared" si="154"/>
        <v>559.00800000000004</v>
      </c>
      <c r="G2487" s="6">
        <v>37799</v>
      </c>
      <c r="H2487" s="5" t="s">
        <v>25</v>
      </c>
      <c r="I2487" s="5" t="str">
        <f t="shared" si="152"/>
        <v>Yes</v>
      </c>
      <c r="J2487" s="5" t="s">
        <v>689</v>
      </c>
      <c r="K2487" s="5">
        <v>2003</v>
      </c>
      <c r="L2487" s="5" t="str">
        <f t="shared" si="155"/>
        <v>Jun-2003</v>
      </c>
      <c r="M2487" s="5" t="s">
        <v>566</v>
      </c>
      <c r="N2487" s="5" t="s">
        <v>174</v>
      </c>
      <c r="O2487" s="5" t="s">
        <v>178</v>
      </c>
      <c r="P2487" s="5" t="s">
        <v>42</v>
      </c>
      <c r="Q2487" s="5" t="s">
        <v>36</v>
      </c>
    </row>
    <row r="2488" spans="1:17" x14ac:dyDescent="0.25">
      <c r="A2488" s="3">
        <v>10143</v>
      </c>
      <c r="B2488" s="3">
        <v>36</v>
      </c>
      <c r="C2488" s="3">
        <v>100</v>
      </c>
      <c r="D2488" s="3">
        <v>3600</v>
      </c>
      <c r="E2488" s="3" t="str">
        <f t="shared" si="153"/>
        <v>Medium</v>
      </c>
      <c r="F2488" s="3">
        <f t="shared" si="154"/>
        <v>1080</v>
      </c>
      <c r="G2488" s="4">
        <v>37843</v>
      </c>
      <c r="H2488" s="3" t="s">
        <v>25</v>
      </c>
      <c r="I2488" s="3" t="str">
        <f t="shared" si="152"/>
        <v>Yes</v>
      </c>
      <c r="J2488" s="3" t="s">
        <v>684</v>
      </c>
      <c r="K2488" s="3">
        <v>2003</v>
      </c>
      <c r="L2488" s="3" t="str">
        <f t="shared" si="155"/>
        <v>Aug-2003</v>
      </c>
      <c r="M2488" s="3" t="s">
        <v>566</v>
      </c>
      <c r="N2488" s="3" t="s">
        <v>335</v>
      </c>
      <c r="O2488" s="3" t="s">
        <v>32</v>
      </c>
      <c r="P2488" s="3" t="s">
        <v>33</v>
      </c>
      <c r="Q2488" s="3" t="s">
        <v>51</v>
      </c>
    </row>
    <row r="2489" spans="1:17" x14ac:dyDescent="0.25">
      <c r="A2489" s="5">
        <v>10156</v>
      </c>
      <c r="B2489" s="5">
        <v>48</v>
      </c>
      <c r="C2489" s="5">
        <v>100</v>
      </c>
      <c r="D2489" s="5">
        <v>4800</v>
      </c>
      <c r="E2489" s="5" t="str">
        <f t="shared" si="153"/>
        <v>Medium</v>
      </c>
      <c r="F2489" s="5">
        <f t="shared" si="154"/>
        <v>1440</v>
      </c>
      <c r="G2489" s="6">
        <v>37902</v>
      </c>
      <c r="H2489" s="5" t="s">
        <v>25</v>
      </c>
      <c r="I2489" s="5" t="str">
        <f t="shared" si="152"/>
        <v>Yes</v>
      </c>
      <c r="J2489" s="5" t="s">
        <v>685</v>
      </c>
      <c r="K2489" s="5">
        <v>2003</v>
      </c>
      <c r="L2489" s="5" t="str">
        <f t="shared" si="155"/>
        <v>Oct-2003</v>
      </c>
      <c r="M2489" s="5" t="s">
        <v>566</v>
      </c>
      <c r="N2489" s="5" t="s">
        <v>174</v>
      </c>
      <c r="O2489" s="5" t="s">
        <v>178</v>
      </c>
      <c r="P2489" s="5" t="s">
        <v>42</v>
      </c>
      <c r="Q2489" s="5" t="s">
        <v>51</v>
      </c>
    </row>
    <row r="2490" spans="1:17" x14ac:dyDescent="0.25">
      <c r="A2490" s="3">
        <v>10168</v>
      </c>
      <c r="B2490" s="3">
        <v>28</v>
      </c>
      <c r="C2490" s="3">
        <v>98.65</v>
      </c>
      <c r="D2490" s="3">
        <v>2762.2000000000003</v>
      </c>
      <c r="E2490" s="3" t="str">
        <f t="shared" si="153"/>
        <v>Medium</v>
      </c>
      <c r="F2490" s="3">
        <f t="shared" si="154"/>
        <v>828.66000000000008</v>
      </c>
      <c r="G2490" s="4">
        <v>37922</v>
      </c>
      <c r="H2490" s="3" t="s">
        <v>25</v>
      </c>
      <c r="I2490" s="3" t="str">
        <f t="shared" si="152"/>
        <v>Yes</v>
      </c>
      <c r="J2490" s="3" t="s">
        <v>685</v>
      </c>
      <c r="K2490" s="3">
        <v>2003</v>
      </c>
      <c r="L2490" s="3" t="str">
        <f t="shared" si="155"/>
        <v>Oct-2003</v>
      </c>
      <c r="M2490" s="3" t="s">
        <v>566</v>
      </c>
      <c r="N2490" s="3" t="s">
        <v>62</v>
      </c>
      <c r="O2490" s="3" t="s">
        <v>32</v>
      </c>
      <c r="P2490" s="3" t="s">
        <v>33</v>
      </c>
      <c r="Q2490" s="3" t="s">
        <v>36</v>
      </c>
    </row>
    <row r="2491" spans="1:17" x14ac:dyDescent="0.25">
      <c r="A2491" s="5">
        <v>10199</v>
      </c>
      <c r="B2491" s="5">
        <v>48</v>
      </c>
      <c r="C2491" s="5">
        <v>83.12</v>
      </c>
      <c r="D2491" s="5">
        <v>3989.76</v>
      </c>
      <c r="E2491" s="5" t="str">
        <f t="shared" si="153"/>
        <v>Medium</v>
      </c>
      <c r="F2491" s="5">
        <f t="shared" si="154"/>
        <v>1196.9280000000001</v>
      </c>
      <c r="G2491" s="6">
        <v>37956</v>
      </c>
      <c r="H2491" s="5" t="s">
        <v>25</v>
      </c>
      <c r="I2491" s="5" t="str">
        <f t="shared" si="152"/>
        <v>Yes</v>
      </c>
      <c r="J2491" s="5" t="s">
        <v>687</v>
      </c>
      <c r="K2491" s="5">
        <v>2003</v>
      </c>
      <c r="L2491" s="5" t="str">
        <f t="shared" si="155"/>
        <v>Dec-2003</v>
      </c>
      <c r="M2491" s="5" t="s">
        <v>566</v>
      </c>
      <c r="N2491" s="5" t="s">
        <v>234</v>
      </c>
      <c r="O2491" s="5" t="s">
        <v>32</v>
      </c>
      <c r="P2491" s="5" t="s">
        <v>33</v>
      </c>
      <c r="Q2491" s="5" t="s">
        <v>51</v>
      </c>
    </row>
    <row r="2492" spans="1:17" x14ac:dyDescent="0.25">
      <c r="A2492" s="3">
        <v>10210</v>
      </c>
      <c r="B2492" s="3">
        <v>21</v>
      </c>
      <c r="C2492" s="3">
        <v>78.55</v>
      </c>
      <c r="D2492" s="3">
        <v>1649.55</v>
      </c>
      <c r="E2492" s="3" t="str">
        <f t="shared" si="153"/>
        <v>Low</v>
      </c>
      <c r="F2492" s="3">
        <f t="shared" si="154"/>
        <v>494.86499999999995</v>
      </c>
      <c r="G2492" s="4">
        <v>37998</v>
      </c>
      <c r="H2492" s="3" t="s">
        <v>25</v>
      </c>
      <c r="I2492" s="3" t="str">
        <f t="shared" si="152"/>
        <v>Yes</v>
      </c>
      <c r="J2492" s="3" t="s">
        <v>549</v>
      </c>
      <c r="K2492" s="3">
        <v>2004</v>
      </c>
      <c r="L2492" s="3" t="str">
        <f t="shared" si="155"/>
        <v>Jan-2004</v>
      </c>
      <c r="M2492" s="3" t="s">
        <v>566</v>
      </c>
      <c r="N2492" s="3" t="s">
        <v>302</v>
      </c>
      <c r="O2492" s="3" t="s">
        <v>200</v>
      </c>
      <c r="P2492" s="3" t="s">
        <v>675</v>
      </c>
      <c r="Q2492" s="3" t="s">
        <v>36</v>
      </c>
    </row>
    <row r="2493" spans="1:17" x14ac:dyDescent="0.25">
      <c r="A2493" s="5">
        <v>10223</v>
      </c>
      <c r="B2493" s="5">
        <v>25</v>
      </c>
      <c r="C2493" s="5">
        <v>100</v>
      </c>
      <c r="D2493" s="5">
        <v>2500</v>
      </c>
      <c r="E2493" s="5" t="str">
        <f t="shared" si="153"/>
        <v>Medium</v>
      </c>
      <c r="F2493" s="5">
        <f t="shared" si="154"/>
        <v>750</v>
      </c>
      <c r="G2493" s="6">
        <v>38037</v>
      </c>
      <c r="H2493" s="5" t="s">
        <v>25</v>
      </c>
      <c r="I2493" s="5" t="str">
        <f t="shared" si="152"/>
        <v>Yes</v>
      </c>
      <c r="J2493" s="5" t="s">
        <v>681</v>
      </c>
      <c r="K2493" s="5">
        <v>2004</v>
      </c>
      <c r="L2493" s="5" t="str">
        <f t="shared" si="155"/>
        <v>Feb-2004</v>
      </c>
      <c r="M2493" s="5" t="s">
        <v>566</v>
      </c>
      <c r="N2493" s="5" t="s">
        <v>89</v>
      </c>
      <c r="O2493" s="5" t="s">
        <v>95</v>
      </c>
      <c r="P2493" s="5" t="s">
        <v>96</v>
      </c>
      <c r="Q2493" s="5" t="s">
        <v>36</v>
      </c>
    </row>
    <row r="2494" spans="1:17" x14ac:dyDescent="0.25">
      <c r="A2494" s="3">
        <v>10235</v>
      </c>
      <c r="B2494" s="3">
        <v>25</v>
      </c>
      <c r="C2494" s="3">
        <v>100</v>
      </c>
      <c r="D2494" s="3">
        <v>2500</v>
      </c>
      <c r="E2494" s="3" t="str">
        <f t="shared" si="153"/>
        <v>Medium</v>
      </c>
      <c r="F2494" s="3">
        <f t="shared" si="154"/>
        <v>750</v>
      </c>
      <c r="G2494" s="4">
        <v>38079</v>
      </c>
      <c r="H2494" s="3" t="s">
        <v>25</v>
      </c>
      <c r="I2494" s="3" t="str">
        <f t="shared" si="152"/>
        <v>Yes</v>
      </c>
      <c r="J2494" s="3" t="s">
        <v>688</v>
      </c>
      <c r="K2494" s="3">
        <v>2004</v>
      </c>
      <c r="L2494" s="3" t="str">
        <f t="shared" si="155"/>
        <v>Apr-2004</v>
      </c>
      <c r="M2494" s="3" t="s">
        <v>566</v>
      </c>
      <c r="N2494" s="3" t="s">
        <v>373</v>
      </c>
      <c r="O2494" s="3" t="s">
        <v>231</v>
      </c>
      <c r="P2494" s="3" t="s">
        <v>33</v>
      </c>
      <c r="Q2494" s="3" t="s">
        <v>36</v>
      </c>
    </row>
    <row r="2495" spans="1:17" x14ac:dyDescent="0.25">
      <c r="A2495" s="5">
        <v>10250</v>
      </c>
      <c r="B2495" s="5">
        <v>31</v>
      </c>
      <c r="C2495" s="5">
        <v>91.34</v>
      </c>
      <c r="D2495" s="5">
        <v>2831.54</v>
      </c>
      <c r="E2495" s="5" t="str">
        <f t="shared" si="153"/>
        <v>Medium</v>
      </c>
      <c r="F2495" s="5">
        <f t="shared" si="154"/>
        <v>849.46199999999999</v>
      </c>
      <c r="G2495" s="6">
        <v>38118</v>
      </c>
      <c r="H2495" s="5" t="s">
        <v>25</v>
      </c>
      <c r="I2495" s="5" t="str">
        <f t="shared" si="152"/>
        <v>Yes</v>
      </c>
      <c r="J2495" s="5" t="s">
        <v>682</v>
      </c>
      <c r="K2495" s="5">
        <v>2004</v>
      </c>
      <c r="L2495" s="5" t="str">
        <f t="shared" si="155"/>
        <v>May-2004</v>
      </c>
      <c r="M2495" s="5" t="s">
        <v>566</v>
      </c>
      <c r="N2495" s="5" t="s">
        <v>397</v>
      </c>
      <c r="O2495" s="5" t="s">
        <v>32</v>
      </c>
      <c r="P2495" s="5" t="s">
        <v>33</v>
      </c>
      <c r="Q2495" s="5" t="s">
        <v>36</v>
      </c>
    </row>
    <row r="2496" spans="1:17" x14ac:dyDescent="0.25">
      <c r="A2496" s="3">
        <v>10262</v>
      </c>
      <c r="B2496" s="3">
        <v>40</v>
      </c>
      <c r="C2496" s="3">
        <v>84.03</v>
      </c>
      <c r="D2496" s="3">
        <v>3361.2</v>
      </c>
      <c r="E2496" s="3" t="str">
        <f t="shared" si="153"/>
        <v>Medium</v>
      </c>
      <c r="F2496" s="3">
        <f t="shared" si="154"/>
        <v>1008.3599999999999</v>
      </c>
      <c r="G2496" s="4">
        <v>38162</v>
      </c>
      <c r="H2496" s="3" t="s">
        <v>339</v>
      </c>
      <c r="I2496" s="3" t="str">
        <f t="shared" si="152"/>
        <v>No</v>
      </c>
      <c r="J2496" s="3" t="s">
        <v>689</v>
      </c>
      <c r="K2496" s="3">
        <v>2004</v>
      </c>
      <c r="L2496" s="3" t="str">
        <f t="shared" si="155"/>
        <v>Jun-2004</v>
      </c>
      <c r="M2496" s="3" t="s">
        <v>566</v>
      </c>
      <c r="N2496" s="3" t="s">
        <v>174</v>
      </c>
      <c r="O2496" s="3" t="s">
        <v>178</v>
      </c>
      <c r="P2496" s="3" t="s">
        <v>42</v>
      </c>
      <c r="Q2496" s="3" t="s">
        <v>51</v>
      </c>
    </row>
    <row r="2497" spans="1:17" x14ac:dyDescent="0.25">
      <c r="A2497" s="5">
        <v>10275</v>
      </c>
      <c r="B2497" s="5">
        <v>32</v>
      </c>
      <c r="C2497" s="5">
        <v>89.51</v>
      </c>
      <c r="D2497" s="5">
        <v>2864.32</v>
      </c>
      <c r="E2497" s="5" t="str">
        <f t="shared" si="153"/>
        <v>Medium</v>
      </c>
      <c r="F2497" s="5">
        <f t="shared" si="154"/>
        <v>859.29600000000005</v>
      </c>
      <c r="G2497" s="6">
        <v>38191</v>
      </c>
      <c r="H2497" s="5" t="s">
        <v>25</v>
      </c>
      <c r="I2497" s="5" t="str">
        <f t="shared" si="152"/>
        <v>Yes</v>
      </c>
      <c r="J2497" s="5" t="s">
        <v>683</v>
      </c>
      <c r="K2497" s="5">
        <v>2004</v>
      </c>
      <c r="L2497" s="5" t="str">
        <f t="shared" si="155"/>
        <v>Jul-2004</v>
      </c>
      <c r="M2497" s="5" t="s">
        <v>566</v>
      </c>
      <c r="N2497" s="5" t="s">
        <v>114</v>
      </c>
      <c r="O2497" s="5" t="s">
        <v>41</v>
      </c>
      <c r="P2497" s="5" t="s">
        <v>42</v>
      </c>
      <c r="Q2497" s="5" t="s">
        <v>36</v>
      </c>
    </row>
    <row r="2498" spans="1:17" x14ac:dyDescent="0.25">
      <c r="A2498" s="3">
        <v>10284</v>
      </c>
      <c r="B2498" s="3">
        <v>24</v>
      </c>
      <c r="C2498" s="3">
        <v>83.12</v>
      </c>
      <c r="D2498" s="3">
        <v>1994.88</v>
      </c>
      <c r="E2498" s="3" t="str">
        <f t="shared" si="153"/>
        <v>Low</v>
      </c>
      <c r="F2498" s="3">
        <f t="shared" si="154"/>
        <v>598.46400000000006</v>
      </c>
      <c r="G2498" s="4">
        <v>38220</v>
      </c>
      <c r="H2498" s="3" t="s">
        <v>25</v>
      </c>
      <c r="I2498" s="3" t="str">
        <f t="shared" ref="I2498:I2561" si="156">IF(H2498="Shipped","Yes","No")</f>
        <v>Yes</v>
      </c>
      <c r="J2498" s="3" t="s">
        <v>684</v>
      </c>
      <c r="K2498" s="3">
        <v>2004</v>
      </c>
      <c r="L2498" s="3" t="str">
        <f t="shared" si="155"/>
        <v>Aug-2004</v>
      </c>
      <c r="M2498" s="3" t="s">
        <v>566</v>
      </c>
      <c r="N2498" s="3" t="s">
        <v>543</v>
      </c>
      <c r="O2498" s="3" t="s">
        <v>78</v>
      </c>
      <c r="P2498" s="3" t="s">
        <v>42</v>
      </c>
      <c r="Q2498" s="3" t="s">
        <v>36</v>
      </c>
    </row>
    <row r="2499" spans="1:17" x14ac:dyDescent="0.25">
      <c r="A2499" s="5">
        <v>10296</v>
      </c>
      <c r="B2499" s="5">
        <v>42</v>
      </c>
      <c r="C2499" s="5">
        <v>100</v>
      </c>
      <c r="D2499" s="5">
        <v>4200</v>
      </c>
      <c r="E2499" s="5" t="str">
        <f t="shared" ref="E2499:E2562" si="157">IF(D2499&gt;=5000,"High",IF(D2499&gt;=2000,"Medium","Low"))</f>
        <v>Medium</v>
      </c>
      <c r="F2499" s="5">
        <f t="shared" ref="F2499:F2562" si="158">(D2499*0.3)</f>
        <v>1260</v>
      </c>
      <c r="G2499" s="6">
        <v>38245</v>
      </c>
      <c r="H2499" s="5" t="s">
        <v>25</v>
      </c>
      <c r="I2499" s="5" t="str">
        <f t="shared" si="156"/>
        <v>Yes</v>
      </c>
      <c r="J2499" s="5" t="s">
        <v>690</v>
      </c>
      <c r="K2499" s="5">
        <v>2004</v>
      </c>
      <c r="L2499" s="5" t="str">
        <f t="shared" ref="L2499:L2562" si="159">TEXT(G:G,"MMM-YYYY")</f>
        <v>Sep-2004</v>
      </c>
      <c r="M2499" s="5" t="s">
        <v>566</v>
      </c>
      <c r="N2499" s="5" t="s">
        <v>572</v>
      </c>
      <c r="O2499" s="5" t="s">
        <v>443</v>
      </c>
      <c r="P2499" s="5" t="s">
        <v>42</v>
      </c>
      <c r="Q2499" s="5" t="s">
        <v>51</v>
      </c>
    </row>
    <row r="2500" spans="1:17" x14ac:dyDescent="0.25">
      <c r="A2500" s="3">
        <v>10308</v>
      </c>
      <c r="B2500" s="3">
        <v>21</v>
      </c>
      <c r="C2500" s="3">
        <v>100</v>
      </c>
      <c r="D2500" s="3">
        <v>2100</v>
      </c>
      <c r="E2500" s="3" t="str">
        <f t="shared" si="157"/>
        <v>Medium</v>
      </c>
      <c r="F2500" s="3">
        <f t="shared" si="158"/>
        <v>630</v>
      </c>
      <c r="G2500" s="4">
        <v>38275</v>
      </c>
      <c r="H2500" s="3" t="s">
        <v>25</v>
      </c>
      <c r="I2500" s="3" t="str">
        <f t="shared" si="156"/>
        <v>Yes</v>
      </c>
      <c r="J2500" s="3" t="s">
        <v>685</v>
      </c>
      <c r="K2500" s="3">
        <v>2004</v>
      </c>
      <c r="L2500" s="3" t="str">
        <f t="shared" si="159"/>
        <v>Oct-2004</v>
      </c>
      <c r="M2500" s="3" t="s">
        <v>566</v>
      </c>
      <c r="N2500" s="3" t="s">
        <v>317</v>
      </c>
      <c r="O2500" s="3" t="s">
        <v>32</v>
      </c>
      <c r="P2500" s="3" t="s">
        <v>33</v>
      </c>
      <c r="Q2500" s="3" t="s">
        <v>36</v>
      </c>
    </row>
    <row r="2501" spans="1:17" x14ac:dyDescent="0.25">
      <c r="A2501" s="5">
        <v>10316</v>
      </c>
      <c r="B2501" s="5">
        <v>34</v>
      </c>
      <c r="C2501" s="5">
        <v>82.21</v>
      </c>
      <c r="D2501" s="5">
        <v>2795.14</v>
      </c>
      <c r="E2501" s="5" t="str">
        <f t="shared" si="157"/>
        <v>Medium</v>
      </c>
      <c r="F2501" s="5">
        <f t="shared" si="158"/>
        <v>838.54199999999992</v>
      </c>
      <c r="G2501" s="6">
        <v>38292</v>
      </c>
      <c r="H2501" s="5" t="s">
        <v>25</v>
      </c>
      <c r="I2501" s="5" t="str">
        <f t="shared" si="156"/>
        <v>Yes</v>
      </c>
      <c r="J2501" s="5" t="s">
        <v>686</v>
      </c>
      <c r="K2501" s="5">
        <v>2004</v>
      </c>
      <c r="L2501" s="5" t="str">
        <f t="shared" si="159"/>
        <v>Nov-2004</v>
      </c>
      <c r="M2501" s="5" t="s">
        <v>566</v>
      </c>
      <c r="N2501" s="5" t="s">
        <v>383</v>
      </c>
      <c r="O2501" s="5" t="s">
        <v>170</v>
      </c>
      <c r="P2501" s="5" t="s">
        <v>42</v>
      </c>
      <c r="Q2501" s="5" t="s">
        <v>36</v>
      </c>
    </row>
    <row r="2502" spans="1:17" x14ac:dyDescent="0.25">
      <c r="A2502" s="3">
        <v>10328</v>
      </c>
      <c r="B2502" s="3">
        <v>27</v>
      </c>
      <c r="C2502" s="3">
        <v>100</v>
      </c>
      <c r="D2502" s="3">
        <v>2700</v>
      </c>
      <c r="E2502" s="3" t="str">
        <f t="shared" si="157"/>
        <v>Medium</v>
      </c>
      <c r="F2502" s="3">
        <f t="shared" si="158"/>
        <v>810</v>
      </c>
      <c r="G2502" s="4">
        <v>38303</v>
      </c>
      <c r="H2502" s="3" t="s">
        <v>25</v>
      </c>
      <c r="I2502" s="3" t="str">
        <f t="shared" si="156"/>
        <v>Yes</v>
      </c>
      <c r="J2502" s="3" t="s">
        <v>686</v>
      </c>
      <c r="K2502" s="3">
        <v>2004</v>
      </c>
      <c r="L2502" s="3" t="str">
        <f t="shared" si="159"/>
        <v>Nov-2004</v>
      </c>
      <c r="M2502" s="3" t="s">
        <v>566</v>
      </c>
      <c r="N2502" s="3" t="s">
        <v>552</v>
      </c>
      <c r="O2502" s="3" t="s">
        <v>258</v>
      </c>
      <c r="P2502" s="3" t="s">
        <v>42</v>
      </c>
      <c r="Q2502" s="3" t="s">
        <v>36</v>
      </c>
    </row>
    <row r="2503" spans="1:17" x14ac:dyDescent="0.25">
      <c r="A2503" s="5">
        <v>10340</v>
      </c>
      <c r="B2503" s="5">
        <v>30</v>
      </c>
      <c r="C2503" s="5">
        <v>88.6</v>
      </c>
      <c r="D2503" s="5">
        <v>2658</v>
      </c>
      <c r="E2503" s="5" t="str">
        <f t="shared" si="157"/>
        <v>Medium</v>
      </c>
      <c r="F2503" s="5">
        <f t="shared" si="158"/>
        <v>797.4</v>
      </c>
      <c r="G2503" s="6">
        <v>38315</v>
      </c>
      <c r="H2503" s="5" t="s">
        <v>25</v>
      </c>
      <c r="I2503" s="5" t="str">
        <f t="shared" si="156"/>
        <v>Yes</v>
      </c>
      <c r="J2503" s="5" t="s">
        <v>686</v>
      </c>
      <c r="K2503" s="5">
        <v>2004</v>
      </c>
      <c r="L2503" s="5" t="str">
        <f t="shared" si="159"/>
        <v>Nov-2004</v>
      </c>
      <c r="M2503" s="5" t="s">
        <v>566</v>
      </c>
      <c r="N2503" s="5" t="s">
        <v>352</v>
      </c>
      <c r="O2503" s="5" t="s">
        <v>178</v>
      </c>
      <c r="P2503" s="5" t="s">
        <v>42</v>
      </c>
      <c r="Q2503" s="5" t="s">
        <v>36</v>
      </c>
    </row>
    <row r="2504" spans="1:17" x14ac:dyDescent="0.25">
      <c r="A2504" s="3">
        <v>10353</v>
      </c>
      <c r="B2504" s="3">
        <v>39</v>
      </c>
      <c r="C2504" s="3">
        <v>100</v>
      </c>
      <c r="D2504" s="3">
        <v>3900</v>
      </c>
      <c r="E2504" s="3" t="str">
        <f t="shared" si="157"/>
        <v>Medium</v>
      </c>
      <c r="F2504" s="3">
        <f t="shared" si="158"/>
        <v>1170</v>
      </c>
      <c r="G2504" s="4">
        <v>38325</v>
      </c>
      <c r="H2504" s="3" t="s">
        <v>25</v>
      </c>
      <c r="I2504" s="3" t="str">
        <f t="shared" si="156"/>
        <v>Yes</v>
      </c>
      <c r="J2504" s="3" t="s">
        <v>687</v>
      </c>
      <c r="K2504" s="3">
        <v>2004</v>
      </c>
      <c r="L2504" s="3" t="str">
        <f t="shared" si="159"/>
        <v>Dec-2004</v>
      </c>
      <c r="M2504" s="3" t="s">
        <v>566</v>
      </c>
      <c r="N2504" s="3" t="s">
        <v>568</v>
      </c>
      <c r="O2504" s="3" t="s">
        <v>32</v>
      </c>
      <c r="P2504" s="3" t="s">
        <v>33</v>
      </c>
      <c r="Q2504" s="3" t="s">
        <v>51</v>
      </c>
    </row>
    <row r="2505" spans="1:17" x14ac:dyDescent="0.25">
      <c r="A2505" s="5">
        <v>10361</v>
      </c>
      <c r="B2505" s="5">
        <v>20</v>
      </c>
      <c r="C2505" s="5">
        <v>60.54</v>
      </c>
      <c r="D2505" s="5">
        <v>1210.8</v>
      </c>
      <c r="E2505" s="5" t="str">
        <f t="shared" si="157"/>
        <v>Low</v>
      </c>
      <c r="F2505" s="5">
        <f t="shared" si="158"/>
        <v>363.23999999999995</v>
      </c>
      <c r="G2505" s="6">
        <v>38338</v>
      </c>
      <c r="H2505" s="5" t="s">
        <v>25</v>
      </c>
      <c r="I2505" s="5" t="str">
        <f t="shared" si="156"/>
        <v>Yes</v>
      </c>
      <c r="J2505" s="5" t="s">
        <v>687</v>
      </c>
      <c r="K2505" s="5">
        <v>2004</v>
      </c>
      <c r="L2505" s="5" t="str">
        <f t="shared" si="159"/>
        <v>Dec-2004</v>
      </c>
      <c r="M2505" s="5" t="s">
        <v>566</v>
      </c>
      <c r="N2505" s="5" t="s">
        <v>152</v>
      </c>
      <c r="O2505" s="5" t="s">
        <v>95</v>
      </c>
      <c r="P2505" s="5" t="s">
        <v>96</v>
      </c>
      <c r="Q2505" s="5" t="s">
        <v>36</v>
      </c>
    </row>
    <row r="2506" spans="1:17" x14ac:dyDescent="0.25">
      <c r="A2506" s="3">
        <v>10375</v>
      </c>
      <c r="B2506" s="3">
        <v>37</v>
      </c>
      <c r="C2506" s="3">
        <v>81.87</v>
      </c>
      <c r="D2506" s="3">
        <v>3029.19</v>
      </c>
      <c r="E2506" s="3" t="str">
        <f t="shared" si="157"/>
        <v>Medium</v>
      </c>
      <c r="F2506" s="3">
        <f t="shared" si="158"/>
        <v>908.75699999999995</v>
      </c>
      <c r="G2506" s="4">
        <v>38386</v>
      </c>
      <c r="H2506" s="3" t="s">
        <v>25</v>
      </c>
      <c r="I2506" s="3" t="str">
        <f t="shared" si="156"/>
        <v>Yes</v>
      </c>
      <c r="J2506" s="3" t="s">
        <v>681</v>
      </c>
      <c r="K2506" s="3">
        <v>2005</v>
      </c>
      <c r="L2506" s="3" t="str">
        <f t="shared" si="159"/>
        <v>Feb-2005</v>
      </c>
      <c r="M2506" s="3" t="s">
        <v>566</v>
      </c>
      <c r="N2506" s="3" t="s">
        <v>114</v>
      </c>
      <c r="O2506" s="3" t="s">
        <v>41</v>
      </c>
      <c r="P2506" s="3" t="s">
        <v>42</v>
      </c>
      <c r="Q2506" s="3" t="s">
        <v>51</v>
      </c>
    </row>
    <row r="2507" spans="1:17" x14ac:dyDescent="0.25">
      <c r="A2507" s="5">
        <v>10388</v>
      </c>
      <c r="B2507" s="5">
        <v>46</v>
      </c>
      <c r="C2507" s="5">
        <v>100</v>
      </c>
      <c r="D2507" s="5">
        <v>4600</v>
      </c>
      <c r="E2507" s="5" t="str">
        <f t="shared" si="157"/>
        <v>Medium</v>
      </c>
      <c r="F2507" s="5">
        <f t="shared" si="158"/>
        <v>1380</v>
      </c>
      <c r="G2507" s="6">
        <v>38414</v>
      </c>
      <c r="H2507" s="5" t="s">
        <v>25</v>
      </c>
      <c r="I2507" s="5" t="str">
        <f t="shared" si="156"/>
        <v>Yes</v>
      </c>
      <c r="J2507" s="5" t="s">
        <v>691</v>
      </c>
      <c r="K2507" s="5">
        <v>2005</v>
      </c>
      <c r="L2507" s="5" t="str">
        <f t="shared" si="159"/>
        <v>Mar-2005</v>
      </c>
      <c r="M2507" s="5" t="s">
        <v>566</v>
      </c>
      <c r="N2507" s="5" t="s">
        <v>160</v>
      </c>
      <c r="O2507" s="5" t="s">
        <v>32</v>
      </c>
      <c r="P2507" s="5" t="s">
        <v>33</v>
      </c>
      <c r="Q2507" s="5" t="s">
        <v>151</v>
      </c>
    </row>
    <row r="2508" spans="1:17" x14ac:dyDescent="0.25">
      <c r="A2508" s="3">
        <v>10398</v>
      </c>
      <c r="B2508" s="3">
        <v>47</v>
      </c>
      <c r="C2508" s="3">
        <v>87.69</v>
      </c>
      <c r="D2508" s="3">
        <v>4121.43</v>
      </c>
      <c r="E2508" s="3" t="str">
        <f t="shared" si="157"/>
        <v>Medium</v>
      </c>
      <c r="F2508" s="3">
        <f t="shared" si="158"/>
        <v>1236.4290000000001</v>
      </c>
      <c r="G2508" s="4">
        <v>38441</v>
      </c>
      <c r="H2508" s="3" t="s">
        <v>25</v>
      </c>
      <c r="I2508" s="3" t="str">
        <f t="shared" si="156"/>
        <v>Yes</v>
      </c>
      <c r="J2508" s="3" t="s">
        <v>691</v>
      </c>
      <c r="K2508" s="3">
        <v>2005</v>
      </c>
      <c r="L2508" s="3" t="str">
        <f t="shared" si="159"/>
        <v>Mar-2005</v>
      </c>
      <c r="M2508" s="3" t="s">
        <v>566</v>
      </c>
      <c r="N2508" s="3" t="s">
        <v>37</v>
      </c>
      <c r="O2508" s="3" t="s">
        <v>41</v>
      </c>
      <c r="P2508" s="3" t="s">
        <v>42</v>
      </c>
      <c r="Q2508" s="3" t="s">
        <v>51</v>
      </c>
    </row>
    <row r="2509" spans="1:17" x14ac:dyDescent="0.25">
      <c r="A2509" s="5">
        <v>10401</v>
      </c>
      <c r="B2509" s="5">
        <v>11</v>
      </c>
      <c r="C2509" s="5">
        <v>100</v>
      </c>
      <c r="D2509" s="5">
        <v>1100</v>
      </c>
      <c r="E2509" s="5" t="str">
        <f t="shared" si="157"/>
        <v>Low</v>
      </c>
      <c r="F2509" s="5">
        <f t="shared" si="158"/>
        <v>330</v>
      </c>
      <c r="G2509" s="6">
        <v>38445</v>
      </c>
      <c r="H2509" s="5" t="s">
        <v>401</v>
      </c>
      <c r="I2509" s="5" t="str">
        <f t="shared" si="156"/>
        <v>No</v>
      </c>
      <c r="J2509" s="5" t="s">
        <v>688</v>
      </c>
      <c r="K2509" s="5">
        <v>2005</v>
      </c>
      <c r="L2509" s="5" t="str">
        <f t="shared" si="159"/>
        <v>Apr-2005</v>
      </c>
      <c r="M2509" s="5" t="s">
        <v>566</v>
      </c>
      <c r="N2509" s="5" t="s">
        <v>104</v>
      </c>
      <c r="O2509" s="5" t="s">
        <v>32</v>
      </c>
      <c r="P2509" s="5" t="s">
        <v>33</v>
      </c>
      <c r="Q2509" s="5" t="s">
        <v>36</v>
      </c>
    </row>
    <row r="2510" spans="1:17" x14ac:dyDescent="0.25">
      <c r="A2510" s="3">
        <v>10416</v>
      </c>
      <c r="B2510" s="3">
        <v>23</v>
      </c>
      <c r="C2510" s="3">
        <v>91.34</v>
      </c>
      <c r="D2510" s="3">
        <v>2100.8200000000002</v>
      </c>
      <c r="E2510" s="3" t="str">
        <f t="shared" si="157"/>
        <v>Medium</v>
      </c>
      <c r="F2510" s="3">
        <f t="shared" si="158"/>
        <v>630.24599999999998</v>
      </c>
      <c r="G2510" s="4">
        <v>38482</v>
      </c>
      <c r="H2510" s="3" t="s">
        <v>25</v>
      </c>
      <c r="I2510" s="3" t="str">
        <f t="shared" si="156"/>
        <v>Yes</v>
      </c>
      <c r="J2510" s="3" t="s">
        <v>682</v>
      </c>
      <c r="K2510" s="3">
        <v>2005</v>
      </c>
      <c r="L2510" s="3" t="str">
        <f t="shared" si="159"/>
        <v>May-2005</v>
      </c>
      <c r="M2510" s="3" t="s">
        <v>566</v>
      </c>
      <c r="N2510" s="3" t="s">
        <v>452</v>
      </c>
      <c r="O2510" s="3" t="s">
        <v>258</v>
      </c>
      <c r="P2510" s="3" t="s">
        <v>42</v>
      </c>
      <c r="Q2510" s="3" t="s">
        <v>36</v>
      </c>
    </row>
    <row r="2511" spans="1:17" x14ac:dyDescent="0.25">
      <c r="A2511" s="5">
        <v>10105</v>
      </c>
      <c r="B2511" s="5">
        <v>29</v>
      </c>
      <c r="C2511" s="5">
        <v>70.150000000000006</v>
      </c>
      <c r="D2511" s="5">
        <v>2034.3500000000001</v>
      </c>
      <c r="E2511" s="5" t="str">
        <f t="shared" si="157"/>
        <v>Medium</v>
      </c>
      <c r="F2511" s="5">
        <f t="shared" si="158"/>
        <v>610.30500000000006</v>
      </c>
      <c r="G2511" s="6">
        <v>37663</v>
      </c>
      <c r="H2511" s="5" t="s">
        <v>25</v>
      </c>
      <c r="I2511" s="5" t="str">
        <f t="shared" si="156"/>
        <v>Yes</v>
      </c>
      <c r="J2511" s="5" t="s">
        <v>681</v>
      </c>
      <c r="K2511" s="5">
        <v>2003</v>
      </c>
      <c r="L2511" s="5" t="str">
        <f t="shared" si="159"/>
        <v>Feb-2003</v>
      </c>
      <c r="M2511" s="5" t="s">
        <v>598</v>
      </c>
      <c r="N2511" s="5" t="s">
        <v>322</v>
      </c>
      <c r="O2511" s="5" t="s">
        <v>326</v>
      </c>
      <c r="P2511" s="5" t="s">
        <v>42</v>
      </c>
      <c r="Q2511" s="5" t="s">
        <v>36</v>
      </c>
    </row>
    <row r="2512" spans="1:17" x14ac:dyDescent="0.25">
      <c r="A2512" s="3">
        <v>10117</v>
      </c>
      <c r="B2512" s="3">
        <v>38</v>
      </c>
      <c r="C2512" s="3">
        <v>79.680000000000007</v>
      </c>
      <c r="D2512" s="3">
        <v>3027.84</v>
      </c>
      <c r="E2512" s="3" t="str">
        <f t="shared" si="157"/>
        <v>Medium</v>
      </c>
      <c r="F2512" s="3">
        <f t="shared" si="158"/>
        <v>908.35199999999998</v>
      </c>
      <c r="G2512" s="4">
        <v>37727</v>
      </c>
      <c r="H2512" s="3" t="s">
        <v>25</v>
      </c>
      <c r="I2512" s="3" t="str">
        <f t="shared" si="156"/>
        <v>Yes</v>
      </c>
      <c r="J2512" s="3" t="s">
        <v>688</v>
      </c>
      <c r="K2512" s="3">
        <v>2003</v>
      </c>
      <c r="L2512" s="3" t="str">
        <f t="shared" si="159"/>
        <v>Apr-2003</v>
      </c>
      <c r="M2512" s="3" t="s">
        <v>598</v>
      </c>
      <c r="N2512" s="3" t="s">
        <v>196</v>
      </c>
      <c r="O2512" s="3" t="s">
        <v>199</v>
      </c>
      <c r="P2512" s="3" t="s">
        <v>675</v>
      </c>
      <c r="Q2512" s="3" t="s">
        <v>51</v>
      </c>
    </row>
    <row r="2513" spans="1:17" x14ac:dyDescent="0.25">
      <c r="A2513" s="5">
        <v>10128</v>
      </c>
      <c r="B2513" s="5">
        <v>32</v>
      </c>
      <c r="C2513" s="5">
        <v>97</v>
      </c>
      <c r="D2513" s="5">
        <v>3104</v>
      </c>
      <c r="E2513" s="5" t="str">
        <f t="shared" si="157"/>
        <v>Medium</v>
      </c>
      <c r="F2513" s="5">
        <f t="shared" si="158"/>
        <v>931.19999999999993</v>
      </c>
      <c r="G2513" s="6">
        <v>37778</v>
      </c>
      <c r="H2513" s="5" t="s">
        <v>25</v>
      </c>
      <c r="I2513" s="5" t="str">
        <f t="shared" si="156"/>
        <v>Yes</v>
      </c>
      <c r="J2513" s="5" t="s">
        <v>689</v>
      </c>
      <c r="K2513" s="5">
        <v>2003</v>
      </c>
      <c r="L2513" s="5" t="str">
        <f t="shared" si="159"/>
        <v>Jun-2003</v>
      </c>
      <c r="M2513" s="5" t="s">
        <v>598</v>
      </c>
      <c r="N2513" s="5" t="s">
        <v>174</v>
      </c>
      <c r="O2513" s="5" t="s">
        <v>178</v>
      </c>
      <c r="P2513" s="5" t="s">
        <v>42</v>
      </c>
      <c r="Q2513" s="5" t="s">
        <v>51</v>
      </c>
    </row>
    <row r="2514" spans="1:17" x14ac:dyDescent="0.25">
      <c r="A2514" s="3">
        <v>10142</v>
      </c>
      <c r="B2514" s="3">
        <v>43</v>
      </c>
      <c r="C2514" s="3">
        <v>84.01</v>
      </c>
      <c r="D2514" s="3">
        <v>3612.4300000000003</v>
      </c>
      <c r="E2514" s="3" t="str">
        <f t="shared" si="157"/>
        <v>Medium</v>
      </c>
      <c r="F2514" s="3">
        <f t="shared" si="158"/>
        <v>1083.729</v>
      </c>
      <c r="G2514" s="4">
        <v>37841</v>
      </c>
      <c r="H2514" s="3" t="s">
        <v>25</v>
      </c>
      <c r="I2514" s="3" t="str">
        <f t="shared" si="156"/>
        <v>Yes</v>
      </c>
      <c r="J2514" s="3" t="s">
        <v>684</v>
      </c>
      <c r="K2514" s="3">
        <v>2003</v>
      </c>
      <c r="L2514" s="3" t="str">
        <f t="shared" si="159"/>
        <v>Aug-2003</v>
      </c>
      <c r="M2514" s="3" t="s">
        <v>598</v>
      </c>
      <c r="N2514" s="3" t="s">
        <v>272</v>
      </c>
      <c r="O2514" s="3" t="s">
        <v>32</v>
      </c>
      <c r="P2514" s="3" t="s">
        <v>33</v>
      </c>
      <c r="Q2514" s="3" t="s">
        <v>51</v>
      </c>
    </row>
    <row r="2515" spans="1:17" x14ac:dyDescent="0.25">
      <c r="A2515" s="5">
        <v>10153</v>
      </c>
      <c r="B2515" s="5">
        <v>31</v>
      </c>
      <c r="C2515" s="5">
        <v>87.48</v>
      </c>
      <c r="D2515" s="5">
        <v>2711.88</v>
      </c>
      <c r="E2515" s="5" t="str">
        <f t="shared" si="157"/>
        <v>Medium</v>
      </c>
      <c r="F2515" s="5">
        <f t="shared" si="158"/>
        <v>813.56399999999996</v>
      </c>
      <c r="G2515" s="6">
        <v>37892</v>
      </c>
      <c r="H2515" s="5" t="s">
        <v>25</v>
      </c>
      <c r="I2515" s="5" t="str">
        <f t="shared" si="156"/>
        <v>Yes</v>
      </c>
      <c r="J2515" s="5" t="s">
        <v>690</v>
      </c>
      <c r="K2515" s="5">
        <v>2003</v>
      </c>
      <c r="L2515" s="5" t="str">
        <f t="shared" si="159"/>
        <v>Sep-2003</v>
      </c>
      <c r="M2515" s="5" t="s">
        <v>598</v>
      </c>
      <c r="N2515" s="5" t="s">
        <v>174</v>
      </c>
      <c r="O2515" s="5" t="s">
        <v>178</v>
      </c>
      <c r="P2515" s="5" t="s">
        <v>42</v>
      </c>
      <c r="Q2515" s="5" t="s">
        <v>36</v>
      </c>
    </row>
    <row r="2516" spans="1:17" x14ac:dyDescent="0.25">
      <c r="A2516" s="3">
        <v>10166</v>
      </c>
      <c r="B2516" s="3">
        <v>29</v>
      </c>
      <c r="C2516" s="3">
        <v>100</v>
      </c>
      <c r="D2516" s="3">
        <v>2900</v>
      </c>
      <c r="E2516" s="3" t="str">
        <f t="shared" si="157"/>
        <v>Medium</v>
      </c>
      <c r="F2516" s="3">
        <f t="shared" si="158"/>
        <v>870</v>
      </c>
      <c r="G2516" s="4">
        <v>37915</v>
      </c>
      <c r="H2516" s="3" t="s">
        <v>25</v>
      </c>
      <c r="I2516" s="3" t="str">
        <f t="shared" si="156"/>
        <v>Yes</v>
      </c>
      <c r="J2516" s="3" t="s">
        <v>685</v>
      </c>
      <c r="K2516" s="3">
        <v>2003</v>
      </c>
      <c r="L2516" s="3" t="str">
        <f t="shared" si="159"/>
        <v>Oct-2003</v>
      </c>
      <c r="M2516" s="3" t="s">
        <v>598</v>
      </c>
      <c r="N2516" s="3" t="s">
        <v>160</v>
      </c>
      <c r="O2516" s="3" t="s">
        <v>32</v>
      </c>
      <c r="P2516" s="3" t="s">
        <v>33</v>
      </c>
      <c r="Q2516" s="3" t="s">
        <v>51</v>
      </c>
    </row>
    <row r="2517" spans="1:17" x14ac:dyDescent="0.25">
      <c r="A2517" s="5">
        <v>10177</v>
      </c>
      <c r="B2517" s="5">
        <v>31</v>
      </c>
      <c r="C2517" s="5">
        <v>88.34</v>
      </c>
      <c r="D2517" s="5">
        <v>2738.54</v>
      </c>
      <c r="E2517" s="5" t="str">
        <f t="shared" si="157"/>
        <v>Medium</v>
      </c>
      <c r="F2517" s="5">
        <f t="shared" si="158"/>
        <v>821.56200000000001</v>
      </c>
      <c r="G2517" s="6">
        <v>37932</v>
      </c>
      <c r="H2517" s="5" t="s">
        <v>25</v>
      </c>
      <c r="I2517" s="5" t="str">
        <f t="shared" si="156"/>
        <v>Yes</v>
      </c>
      <c r="J2517" s="5" t="s">
        <v>686</v>
      </c>
      <c r="K2517" s="5">
        <v>2003</v>
      </c>
      <c r="L2517" s="5" t="str">
        <f t="shared" si="159"/>
        <v>Nov-2003</v>
      </c>
      <c r="M2517" s="5" t="s">
        <v>598</v>
      </c>
      <c r="N2517" s="5" t="s">
        <v>487</v>
      </c>
      <c r="O2517" s="5" t="s">
        <v>178</v>
      </c>
      <c r="P2517" s="5" t="s">
        <v>42</v>
      </c>
      <c r="Q2517" s="5" t="s">
        <v>36</v>
      </c>
    </row>
    <row r="2518" spans="1:17" x14ac:dyDescent="0.25">
      <c r="A2518" s="3">
        <v>10185</v>
      </c>
      <c r="B2518" s="3">
        <v>30</v>
      </c>
      <c r="C2518" s="3">
        <v>94.4</v>
      </c>
      <c r="D2518" s="3">
        <v>2832</v>
      </c>
      <c r="E2518" s="3" t="str">
        <f t="shared" si="157"/>
        <v>Medium</v>
      </c>
      <c r="F2518" s="3">
        <f t="shared" si="158"/>
        <v>849.6</v>
      </c>
      <c r="G2518" s="4">
        <v>37939</v>
      </c>
      <c r="H2518" s="3" t="s">
        <v>25</v>
      </c>
      <c r="I2518" s="3" t="str">
        <f t="shared" si="156"/>
        <v>Yes</v>
      </c>
      <c r="J2518" s="3" t="s">
        <v>686</v>
      </c>
      <c r="K2518" s="3">
        <v>2003</v>
      </c>
      <c r="L2518" s="3" t="str">
        <f t="shared" si="159"/>
        <v>Nov-2003</v>
      </c>
      <c r="M2518" s="3" t="s">
        <v>598</v>
      </c>
      <c r="N2518" s="3" t="s">
        <v>335</v>
      </c>
      <c r="O2518" s="3" t="s">
        <v>32</v>
      </c>
      <c r="P2518" s="3" t="s">
        <v>33</v>
      </c>
      <c r="Q2518" s="3" t="s">
        <v>36</v>
      </c>
    </row>
    <row r="2519" spans="1:17" x14ac:dyDescent="0.25">
      <c r="A2519" s="5">
        <v>10196</v>
      </c>
      <c r="B2519" s="5">
        <v>50</v>
      </c>
      <c r="C2519" s="5">
        <v>94.4</v>
      </c>
      <c r="D2519" s="5">
        <v>4720</v>
      </c>
      <c r="E2519" s="5" t="str">
        <f t="shared" si="157"/>
        <v>Medium</v>
      </c>
      <c r="F2519" s="5">
        <f t="shared" si="158"/>
        <v>1416</v>
      </c>
      <c r="G2519" s="6">
        <v>37951</v>
      </c>
      <c r="H2519" s="5" t="s">
        <v>25</v>
      </c>
      <c r="I2519" s="5" t="str">
        <f t="shared" si="156"/>
        <v>Yes</v>
      </c>
      <c r="J2519" s="5" t="s">
        <v>686</v>
      </c>
      <c r="K2519" s="5">
        <v>2003</v>
      </c>
      <c r="L2519" s="5" t="str">
        <f t="shared" si="159"/>
        <v>Nov-2003</v>
      </c>
      <c r="M2519" s="5" t="s">
        <v>598</v>
      </c>
      <c r="N2519" s="5" t="s">
        <v>242</v>
      </c>
      <c r="O2519" s="5" t="s">
        <v>32</v>
      </c>
      <c r="P2519" s="5" t="s">
        <v>33</v>
      </c>
      <c r="Q2519" s="5" t="s">
        <v>51</v>
      </c>
    </row>
    <row r="2520" spans="1:17" x14ac:dyDescent="0.25">
      <c r="A2520" s="3">
        <v>10208</v>
      </c>
      <c r="B2520" s="3">
        <v>40</v>
      </c>
      <c r="C2520" s="3">
        <v>80.55</v>
      </c>
      <c r="D2520" s="3">
        <v>3222</v>
      </c>
      <c r="E2520" s="3" t="str">
        <f t="shared" si="157"/>
        <v>Medium</v>
      </c>
      <c r="F2520" s="3">
        <f t="shared" si="158"/>
        <v>966.59999999999991</v>
      </c>
      <c r="G2520" s="4">
        <v>37988</v>
      </c>
      <c r="H2520" s="3" t="s">
        <v>25</v>
      </c>
      <c r="I2520" s="3" t="str">
        <f t="shared" si="156"/>
        <v>Yes</v>
      </c>
      <c r="J2520" s="3" t="s">
        <v>549</v>
      </c>
      <c r="K2520" s="3">
        <v>2004</v>
      </c>
      <c r="L2520" s="3" t="str">
        <f t="shared" si="159"/>
        <v>Jan-2004</v>
      </c>
      <c r="M2520" s="3" t="s">
        <v>598</v>
      </c>
      <c r="N2520" s="3" t="s">
        <v>219</v>
      </c>
      <c r="O2520" s="3" t="s">
        <v>41</v>
      </c>
      <c r="P2520" s="3" t="s">
        <v>42</v>
      </c>
      <c r="Q2520" s="3" t="s">
        <v>51</v>
      </c>
    </row>
    <row r="2521" spans="1:17" x14ac:dyDescent="0.25">
      <c r="A2521" s="5">
        <v>10221</v>
      </c>
      <c r="B2521" s="5">
        <v>23</v>
      </c>
      <c r="C2521" s="5">
        <v>97</v>
      </c>
      <c r="D2521" s="5">
        <v>2231</v>
      </c>
      <c r="E2521" s="5" t="str">
        <f t="shared" si="157"/>
        <v>Medium</v>
      </c>
      <c r="F2521" s="5">
        <f t="shared" si="158"/>
        <v>669.3</v>
      </c>
      <c r="G2521" s="6">
        <v>38035</v>
      </c>
      <c r="H2521" s="5" t="s">
        <v>25</v>
      </c>
      <c r="I2521" s="5" t="str">
        <f t="shared" si="156"/>
        <v>Yes</v>
      </c>
      <c r="J2521" s="5" t="s">
        <v>681</v>
      </c>
      <c r="K2521" s="5">
        <v>2004</v>
      </c>
      <c r="L2521" s="5" t="str">
        <f t="shared" si="159"/>
        <v>Feb-2004</v>
      </c>
      <c r="M2521" s="5" t="s">
        <v>598</v>
      </c>
      <c r="N2521" s="5" t="s">
        <v>365</v>
      </c>
      <c r="O2521" s="5" t="s">
        <v>370</v>
      </c>
      <c r="P2521" s="5" t="s">
        <v>42</v>
      </c>
      <c r="Q2521" s="5" t="s">
        <v>36</v>
      </c>
    </row>
    <row r="2522" spans="1:17" x14ac:dyDescent="0.25">
      <c r="A2522" s="3">
        <v>10232</v>
      </c>
      <c r="B2522" s="3">
        <v>26</v>
      </c>
      <c r="C2522" s="3">
        <v>88.34</v>
      </c>
      <c r="D2522" s="3">
        <v>2296.84</v>
      </c>
      <c r="E2522" s="3" t="str">
        <f t="shared" si="157"/>
        <v>Medium</v>
      </c>
      <c r="F2522" s="3">
        <f t="shared" si="158"/>
        <v>689.05200000000002</v>
      </c>
      <c r="G2522" s="4">
        <v>38066</v>
      </c>
      <c r="H2522" s="3" t="s">
        <v>25</v>
      </c>
      <c r="I2522" s="3" t="str">
        <f t="shared" si="156"/>
        <v>Yes</v>
      </c>
      <c r="J2522" s="3" t="s">
        <v>691</v>
      </c>
      <c r="K2522" s="3">
        <v>2004</v>
      </c>
      <c r="L2522" s="3" t="str">
        <f t="shared" si="159"/>
        <v>Mar-2004</v>
      </c>
      <c r="M2522" s="3" t="s">
        <v>598</v>
      </c>
      <c r="N2522" s="3" t="s">
        <v>383</v>
      </c>
      <c r="O2522" s="3" t="s">
        <v>170</v>
      </c>
      <c r="P2522" s="3" t="s">
        <v>42</v>
      </c>
      <c r="Q2522" s="3" t="s">
        <v>36</v>
      </c>
    </row>
    <row r="2523" spans="1:17" x14ac:dyDescent="0.25">
      <c r="A2523" s="5">
        <v>10248</v>
      </c>
      <c r="B2523" s="5">
        <v>40</v>
      </c>
      <c r="C2523" s="5">
        <v>100</v>
      </c>
      <c r="D2523" s="5">
        <v>4000</v>
      </c>
      <c r="E2523" s="5" t="str">
        <f t="shared" si="157"/>
        <v>Medium</v>
      </c>
      <c r="F2523" s="5">
        <f t="shared" si="158"/>
        <v>1200</v>
      </c>
      <c r="G2523" s="6">
        <v>38114</v>
      </c>
      <c r="H2523" s="5" t="s">
        <v>339</v>
      </c>
      <c r="I2523" s="5" t="str">
        <f t="shared" si="156"/>
        <v>No</v>
      </c>
      <c r="J2523" s="5" t="s">
        <v>682</v>
      </c>
      <c r="K2523" s="5">
        <v>2004</v>
      </c>
      <c r="L2523" s="5" t="str">
        <f t="shared" si="159"/>
        <v>May-2004</v>
      </c>
      <c r="M2523" s="5" t="s">
        <v>598</v>
      </c>
      <c r="N2523" s="5" t="s">
        <v>28</v>
      </c>
      <c r="O2523" s="5" t="s">
        <v>32</v>
      </c>
      <c r="P2523" s="5" t="s">
        <v>33</v>
      </c>
      <c r="Q2523" s="5" t="s">
        <v>51</v>
      </c>
    </row>
    <row r="2524" spans="1:17" x14ac:dyDescent="0.25">
      <c r="A2524" s="3">
        <v>10273</v>
      </c>
      <c r="B2524" s="3">
        <v>21</v>
      </c>
      <c r="C2524" s="3">
        <v>100</v>
      </c>
      <c r="D2524" s="3">
        <v>2100</v>
      </c>
      <c r="E2524" s="3" t="str">
        <f t="shared" si="157"/>
        <v>Medium</v>
      </c>
      <c r="F2524" s="3">
        <f t="shared" si="158"/>
        <v>630</v>
      </c>
      <c r="G2524" s="4">
        <v>38189</v>
      </c>
      <c r="H2524" s="3" t="s">
        <v>25</v>
      </c>
      <c r="I2524" s="3" t="str">
        <f t="shared" si="156"/>
        <v>Yes</v>
      </c>
      <c r="J2524" s="3" t="s">
        <v>683</v>
      </c>
      <c r="K2524" s="3">
        <v>2004</v>
      </c>
      <c r="L2524" s="3" t="str">
        <f t="shared" si="159"/>
        <v>Jul-2004</v>
      </c>
      <c r="M2524" s="3" t="s">
        <v>598</v>
      </c>
      <c r="N2524" s="3" t="s">
        <v>365</v>
      </c>
      <c r="O2524" s="3" t="s">
        <v>370</v>
      </c>
      <c r="P2524" s="3" t="s">
        <v>42</v>
      </c>
      <c r="Q2524" s="3" t="s">
        <v>36</v>
      </c>
    </row>
    <row r="2525" spans="1:17" x14ac:dyDescent="0.25">
      <c r="A2525" s="5">
        <v>10282</v>
      </c>
      <c r="B2525" s="5">
        <v>43</v>
      </c>
      <c r="C2525" s="5">
        <v>86.61</v>
      </c>
      <c r="D2525" s="5">
        <v>3724.23</v>
      </c>
      <c r="E2525" s="5" t="str">
        <f t="shared" si="157"/>
        <v>Medium</v>
      </c>
      <c r="F2525" s="5">
        <f t="shared" si="158"/>
        <v>1117.269</v>
      </c>
      <c r="G2525" s="6">
        <v>38219</v>
      </c>
      <c r="H2525" s="5" t="s">
        <v>25</v>
      </c>
      <c r="I2525" s="5" t="str">
        <f t="shared" si="156"/>
        <v>Yes</v>
      </c>
      <c r="J2525" s="5" t="s">
        <v>684</v>
      </c>
      <c r="K2525" s="5">
        <v>2004</v>
      </c>
      <c r="L2525" s="5" t="str">
        <f t="shared" si="159"/>
        <v>Aug-2004</v>
      </c>
      <c r="M2525" s="5" t="s">
        <v>598</v>
      </c>
      <c r="N2525" s="5" t="s">
        <v>272</v>
      </c>
      <c r="O2525" s="5" t="s">
        <v>32</v>
      </c>
      <c r="P2525" s="5" t="s">
        <v>33</v>
      </c>
      <c r="Q2525" s="5" t="s">
        <v>51</v>
      </c>
    </row>
    <row r="2526" spans="1:17" x14ac:dyDescent="0.25">
      <c r="A2526" s="3">
        <v>10293</v>
      </c>
      <c r="B2526" s="3">
        <v>29</v>
      </c>
      <c r="C2526" s="3">
        <v>71.89</v>
      </c>
      <c r="D2526" s="3">
        <v>2084.81</v>
      </c>
      <c r="E2526" s="3" t="str">
        <f t="shared" si="157"/>
        <v>Medium</v>
      </c>
      <c r="F2526" s="3">
        <f t="shared" si="158"/>
        <v>625.44299999999998</v>
      </c>
      <c r="G2526" s="4">
        <v>38239</v>
      </c>
      <c r="H2526" s="3" t="s">
        <v>25</v>
      </c>
      <c r="I2526" s="3" t="str">
        <f t="shared" si="156"/>
        <v>Yes</v>
      </c>
      <c r="J2526" s="3" t="s">
        <v>690</v>
      </c>
      <c r="K2526" s="3">
        <v>2004</v>
      </c>
      <c r="L2526" s="3" t="str">
        <f t="shared" si="159"/>
        <v>Sep-2004</v>
      </c>
      <c r="M2526" s="3" t="s">
        <v>598</v>
      </c>
      <c r="N2526" s="3" t="s">
        <v>254</v>
      </c>
      <c r="O2526" s="3" t="s">
        <v>258</v>
      </c>
      <c r="P2526" s="3" t="s">
        <v>42</v>
      </c>
      <c r="Q2526" s="3" t="s">
        <v>36</v>
      </c>
    </row>
    <row r="2527" spans="1:17" x14ac:dyDescent="0.25">
      <c r="A2527" s="5">
        <v>10306</v>
      </c>
      <c r="B2527" s="5">
        <v>38</v>
      </c>
      <c r="C2527" s="5">
        <v>91.81</v>
      </c>
      <c r="D2527" s="5">
        <v>3488.78</v>
      </c>
      <c r="E2527" s="5" t="str">
        <f t="shared" si="157"/>
        <v>Medium</v>
      </c>
      <c r="F2527" s="5">
        <f t="shared" si="158"/>
        <v>1046.634</v>
      </c>
      <c r="G2527" s="6">
        <v>38274</v>
      </c>
      <c r="H2527" s="5" t="s">
        <v>25</v>
      </c>
      <c r="I2527" s="5" t="str">
        <f t="shared" si="156"/>
        <v>Yes</v>
      </c>
      <c r="J2527" s="5" t="s">
        <v>685</v>
      </c>
      <c r="K2527" s="5">
        <v>2004</v>
      </c>
      <c r="L2527" s="5" t="str">
        <f t="shared" si="159"/>
        <v>Oct-2004</v>
      </c>
      <c r="M2527" s="5" t="s">
        <v>598</v>
      </c>
      <c r="N2527" s="5" t="s">
        <v>492</v>
      </c>
      <c r="O2527" s="5" t="s">
        <v>170</v>
      </c>
      <c r="P2527" s="5" t="s">
        <v>42</v>
      </c>
      <c r="Q2527" s="5" t="s">
        <v>51</v>
      </c>
    </row>
    <row r="2528" spans="1:17" x14ac:dyDescent="0.25">
      <c r="A2528" s="3">
        <v>10314</v>
      </c>
      <c r="B2528" s="3">
        <v>23</v>
      </c>
      <c r="C2528" s="3">
        <v>76.22</v>
      </c>
      <c r="D2528" s="3">
        <v>1753.06</v>
      </c>
      <c r="E2528" s="3" t="str">
        <f t="shared" si="157"/>
        <v>Low</v>
      </c>
      <c r="F2528" s="3">
        <f t="shared" si="158"/>
        <v>525.91800000000001</v>
      </c>
      <c r="G2528" s="4">
        <v>38282</v>
      </c>
      <c r="H2528" s="3" t="s">
        <v>25</v>
      </c>
      <c r="I2528" s="3" t="str">
        <f t="shared" si="156"/>
        <v>Yes</v>
      </c>
      <c r="J2528" s="3" t="s">
        <v>685</v>
      </c>
      <c r="K2528" s="3">
        <v>2004</v>
      </c>
      <c r="L2528" s="3" t="str">
        <f t="shared" si="159"/>
        <v>Oct-2004</v>
      </c>
      <c r="M2528" s="3" t="s">
        <v>598</v>
      </c>
      <c r="N2528" s="3" t="s">
        <v>498</v>
      </c>
      <c r="O2528" s="3" t="s">
        <v>326</v>
      </c>
      <c r="P2528" s="3" t="s">
        <v>42</v>
      </c>
      <c r="Q2528" s="3" t="s">
        <v>36</v>
      </c>
    </row>
    <row r="2529" spans="1:17" x14ac:dyDescent="0.25">
      <c r="A2529" s="5">
        <v>10327</v>
      </c>
      <c r="B2529" s="5">
        <v>20</v>
      </c>
      <c r="C2529" s="5">
        <v>100</v>
      </c>
      <c r="D2529" s="5">
        <v>2000</v>
      </c>
      <c r="E2529" s="5" t="str">
        <f t="shared" si="157"/>
        <v>Medium</v>
      </c>
      <c r="F2529" s="5">
        <f t="shared" si="158"/>
        <v>600</v>
      </c>
      <c r="G2529" s="6">
        <v>38301</v>
      </c>
      <c r="H2529" s="5" t="s">
        <v>408</v>
      </c>
      <c r="I2529" s="5" t="str">
        <f t="shared" si="156"/>
        <v>No</v>
      </c>
      <c r="J2529" s="5" t="s">
        <v>686</v>
      </c>
      <c r="K2529" s="5">
        <v>2004</v>
      </c>
      <c r="L2529" s="5" t="str">
        <f t="shared" si="159"/>
        <v>Nov-2004</v>
      </c>
      <c r="M2529" s="5" t="s">
        <v>598</v>
      </c>
      <c r="N2529" s="5" t="s">
        <v>322</v>
      </c>
      <c r="O2529" s="5" t="s">
        <v>326</v>
      </c>
      <c r="P2529" s="5" t="s">
        <v>42</v>
      </c>
      <c r="Q2529" s="5" t="s">
        <v>51</v>
      </c>
    </row>
    <row r="2530" spans="1:17" x14ac:dyDescent="0.25">
      <c r="A2530" s="3">
        <v>10337</v>
      </c>
      <c r="B2530" s="3">
        <v>36</v>
      </c>
      <c r="C2530" s="3">
        <v>70.3</v>
      </c>
      <c r="D2530" s="3">
        <v>2530.7999999999997</v>
      </c>
      <c r="E2530" s="3" t="str">
        <f t="shared" si="157"/>
        <v>Medium</v>
      </c>
      <c r="F2530" s="3">
        <f t="shared" si="158"/>
        <v>759.2399999999999</v>
      </c>
      <c r="G2530" s="4">
        <v>38312</v>
      </c>
      <c r="H2530" s="3" t="s">
        <v>25</v>
      </c>
      <c r="I2530" s="3" t="str">
        <f t="shared" si="156"/>
        <v>Yes</v>
      </c>
      <c r="J2530" s="3" t="s">
        <v>686</v>
      </c>
      <c r="K2530" s="3">
        <v>2004</v>
      </c>
      <c r="L2530" s="3" t="str">
        <f t="shared" si="159"/>
        <v>Nov-2004</v>
      </c>
      <c r="M2530" s="3" t="s">
        <v>598</v>
      </c>
      <c r="N2530" s="3" t="s">
        <v>203</v>
      </c>
      <c r="O2530" s="3" t="s">
        <v>32</v>
      </c>
      <c r="P2530" s="3" t="s">
        <v>33</v>
      </c>
      <c r="Q2530" s="3" t="s">
        <v>36</v>
      </c>
    </row>
    <row r="2531" spans="1:17" x14ac:dyDescent="0.25">
      <c r="A2531" s="5">
        <v>10350</v>
      </c>
      <c r="B2531" s="5">
        <v>28</v>
      </c>
      <c r="C2531" s="5">
        <v>100</v>
      </c>
      <c r="D2531" s="5">
        <v>2800</v>
      </c>
      <c r="E2531" s="5" t="str">
        <f t="shared" si="157"/>
        <v>Medium</v>
      </c>
      <c r="F2531" s="5">
        <f t="shared" si="158"/>
        <v>840</v>
      </c>
      <c r="G2531" s="6">
        <v>38323</v>
      </c>
      <c r="H2531" s="5" t="s">
        <v>25</v>
      </c>
      <c r="I2531" s="5" t="str">
        <f t="shared" si="156"/>
        <v>Yes</v>
      </c>
      <c r="J2531" s="5" t="s">
        <v>687</v>
      </c>
      <c r="K2531" s="5">
        <v>2004</v>
      </c>
      <c r="L2531" s="5" t="str">
        <f t="shared" si="159"/>
        <v>Dec-2004</v>
      </c>
      <c r="M2531" s="5" t="s">
        <v>598</v>
      </c>
      <c r="N2531" s="5" t="s">
        <v>174</v>
      </c>
      <c r="O2531" s="5" t="s">
        <v>178</v>
      </c>
      <c r="P2531" s="5" t="s">
        <v>42</v>
      </c>
      <c r="Q2531" s="5" t="s">
        <v>36</v>
      </c>
    </row>
    <row r="2532" spans="1:17" x14ac:dyDescent="0.25">
      <c r="A2532" s="3">
        <v>10372</v>
      </c>
      <c r="B2532" s="3">
        <v>44</v>
      </c>
      <c r="C2532" s="3">
        <v>100</v>
      </c>
      <c r="D2532" s="3">
        <v>4400</v>
      </c>
      <c r="E2532" s="3" t="str">
        <f t="shared" si="157"/>
        <v>Medium</v>
      </c>
      <c r="F2532" s="3">
        <f t="shared" si="158"/>
        <v>1320</v>
      </c>
      <c r="G2532" s="4">
        <v>38378</v>
      </c>
      <c r="H2532" s="3" t="s">
        <v>25</v>
      </c>
      <c r="I2532" s="3" t="str">
        <f t="shared" si="156"/>
        <v>Yes</v>
      </c>
      <c r="J2532" s="3" t="s">
        <v>549</v>
      </c>
      <c r="K2532" s="3">
        <v>2005</v>
      </c>
      <c r="L2532" s="3" t="str">
        <f t="shared" si="159"/>
        <v>Jan-2005</v>
      </c>
      <c r="M2532" s="3" t="s">
        <v>598</v>
      </c>
      <c r="N2532" s="3" t="s">
        <v>246</v>
      </c>
      <c r="O2532" s="3" t="s">
        <v>200</v>
      </c>
      <c r="P2532" s="3" t="s">
        <v>675</v>
      </c>
      <c r="Q2532" s="3" t="s">
        <v>51</v>
      </c>
    </row>
    <row r="2533" spans="1:17" x14ac:dyDescent="0.25">
      <c r="A2533" s="5">
        <v>10384</v>
      </c>
      <c r="B2533" s="5">
        <v>49</v>
      </c>
      <c r="C2533" s="5">
        <v>100</v>
      </c>
      <c r="D2533" s="5">
        <v>4900</v>
      </c>
      <c r="E2533" s="5" t="str">
        <f t="shared" si="157"/>
        <v>Medium</v>
      </c>
      <c r="F2533" s="5">
        <f t="shared" si="158"/>
        <v>1470</v>
      </c>
      <c r="G2533" s="6">
        <v>38406</v>
      </c>
      <c r="H2533" s="5" t="s">
        <v>25</v>
      </c>
      <c r="I2533" s="5" t="str">
        <f t="shared" si="156"/>
        <v>Yes</v>
      </c>
      <c r="J2533" s="5" t="s">
        <v>681</v>
      </c>
      <c r="K2533" s="5">
        <v>2005</v>
      </c>
      <c r="L2533" s="5" t="str">
        <f t="shared" si="159"/>
        <v>Feb-2005</v>
      </c>
      <c r="M2533" s="5" t="s">
        <v>598</v>
      </c>
      <c r="N2533" s="5" t="s">
        <v>58</v>
      </c>
      <c r="O2533" s="5" t="s">
        <v>32</v>
      </c>
      <c r="P2533" s="5" t="s">
        <v>33</v>
      </c>
      <c r="Q2533" s="5" t="s">
        <v>51</v>
      </c>
    </row>
    <row r="2534" spans="1:17" x14ac:dyDescent="0.25">
      <c r="A2534" s="3">
        <v>10397</v>
      </c>
      <c r="B2534" s="3">
        <v>32</v>
      </c>
      <c r="C2534" s="3">
        <v>80.55</v>
      </c>
      <c r="D2534" s="3">
        <v>2577.6</v>
      </c>
      <c r="E2534" s="3" t="str">
        <f t="shared" si="157"/>
        <v>Medium</v>
      </c>
      <c r="F2534" s="3">
        <f t="shared" si="158"/>
        <v>773.28</v>
      </c>
      <c r="G2534" s="4">
        <v>38439</v>
      </c>
      <c r="H2534" s="3" t="s">
        <v>25</v>
      </c>
      <c r="I2534" s="3" t="str">
        <f t="shared" si="156"/>
        <v>Yes</v>
      </c>
      <c r="J2534" s="3" t="s">
        <v>691</v>
      </c>
      <c r="K2534" s="3">
        <v>2005</v>
      </c>
      <c r="L2534" s="3" t="str">
        <f t="shared" si="159"/>
        <v>Mar-2005</v>
      </c>
      <c r="M2534" s="3" t="s">
        <v>598</v>
      </c>
      <c r="N2534" s="3" t="s">
        <v>340</v>
      </c>
      <c r="O2534" s="3" t="s">
        <v>41</v>
      </c>
      <c r="P2534" s="3" t="s">
        <v>42</v>
      </c>
      <c r="Q2534" s="3" t="s">
        <v>36</v>
      </c>
    </row>
    <row r="2535" spans="1:17" x14ac:dyDescent="0.25">
      <c r="A2535" s="5">
        <v>10414</v>
      </c>
      <c r="B2535" s="5">
        <v>34</v>
      </c>
      <c r="C2535" s="5">
        <v>100</v>
      </c>
      <c r="D2535" s="5">
        <v>3400</v>
      </c>
      <c r="E2535" s="5" t="str">
        <f t="shared" si="157"/>
        <v>Medium</v>
      </c>
      <c r="F2535" s="5">
        <f t="shared" si="158"/>
        <v>1020</v>
      </c>
      <c r="G2535" s="6">
        <v>38478</v>
      </c>
      <c r="H2535" s="5" t="s">
        <v>401</v>
      </c>
      <c r="I2535" s="5" t="str">
        <f t="shared" si="156"/>
        <v>No</v>
      </c>
      <c r="J2535" s="5" t="s">
        <v>682</v>
      </c>
      <c r="K2535" s="5">
        <v>2005</v>
      </c>
      <c r="L2535" s="5" t="str">
        <f t="shared" si="159"/>
        <v>May-2005</v>
      </c>
      <c r="M2535" s="5" t="s">
        <v>598</v>
      </c>
      <c r="N2535" s="5" t="s">
        <v>379</v>
      </c>
      <c r="O2535" s="5" t="s">
        <v>32</v>
      </c>
      <c r="P2535" s="5" t="s">
        <v>33</v>
      </c>
      <c r="Q2535" s="5" t="s">
        <v>51</v>
      </c>
    </row>
    <row r="2536" spans="1:17" x14ac:dyDescent="0.25">
      <c r="A2536" s="3">
        <v>10106</v>
      </c>
      <c r="B2536" s="3">
        <v>30</v>
      </c>
      <c r="C2536" s="3">
        <v>100</v>
      </c>
      <c r="D2536" s="3">
        <v>3000</v>
      </c>
      <c r="E2536" s="3" t="str">
        <f t="shared" si="157"/>
        <v>Medium</v>
      </c>
      <c r="F2536" s="3">
        <f t="shared" si="158"/>
        <v>900</v>
      </c>
      <c r="G2536" s="4">
        <v>37669</v>
      </c>
      <c r="H2536" s="3" t="s">
        <v>25</v>
      </c>
      <c r="I2536" s="3" t="str">
        <f t="shared" si="156"/>
        <v>Yes</v>
      </c>
      <c r="J2536" s="3" t="s">
        <v>681</v>
      </c>
      <c r="K2536" s="3">
        <v>2003</v>
      </c>
      <c r="L2536" s="3" t="str">
        <f t="shared" si="159"/>
        <v>Feb-2003</v>
      </c>
      <c r="M2536" s="3" t="s">
        <v>598</v>
      </c>
      <c r="N2536" s="3" t="s">
        <v>552</v>
      </c>
      <c r="O2536" s="3" t="s">
        <v>258</v>
      </c>
      <c r="P2536" s="3" t="s">
        <v>42</v>
      </c>
      <c r="Q2536" s="3" t="s">
        <v>51</v>
      </c>
    </row>
    <row r="2537" spans="1:17" x14ac:dyDescent="0.25">
      <c r="A2537" s="5">
        <v>10119</v>
      </c>
      <c r="B2537" s="5">
        <v>29</v>
      </c>
      <c r="C2537" s="5">
        <v>94.14</v>
      </c>
      <c r="D2537" s="5">
        <v>2730.06</v>
      </c>
      <c r="E2537" s="5" t="str">
        <f t="shared" si="157"/>
        <v>Medium</v>
      </c>
      <c r="F2537" s="5">
        <f t="shared" si="158"/>
        <v>819.01799999999992</v>
      </c>
      <c r="G2537" s="6">
        <v>37739</v>
      </c>
      <c r="H2537" s="5" t="s">
        <v>25</v>
      </c>
      <c r="I2537" s="5" t="str">
        <f t="shared" si="156"/>
        <v>Yes</v>
      </c>
      <c r="J2537" s="5" t="s">
        <v>688</v>
      </c>
      <c r="K2537" s="5">
        <v>2003</v>
      </c>
      <c r="L2537" s="5" t="str">
        <f t="shared" si="159"/>
        <v>Apr-2003</v>
      </c>
      <c r="M2537" s="5" t="s">
        <v>598</v>
      </c>
      <c r="N2537" s="5" t="s">
        <v>144</v>
      </c>
      <c r="O2537" s="5" t="s">
        <v>148</v>
      </c>
      <c r="P2537" s="5" t="s">
        <v>42</v>
      </c>
      <c r="Q2537" s="5" t="s">
        <v>36</v>
      </c>
    </row>
    <row r="2538" spans="1:17" x14ac:dyDescent="0.25">
      <c r="A2538" s="3">
        <v>10131</v>
      </c>
      <c r="B2538" s="3">
        <v>22</v>
      </c>
      <c r="C2538" s="3">
        <v>85.99</v>
      </c>
      <c r="D2538" s="3">
        <v>1891.78</v>
      </c>
      <c r="E2538" s="3" t="str">
        <f t="shared" si="157"/>
        <v>Low</v>
      </c>
      <c r="F2538" s="3">
        <f t="shared" si="158"/>
        <v>567.53399999999999</v>
      </c>
      <c r="G2538" s="4">
        <v>37788</v>
      </c>
      <c r="H2538" s="3" t="s">
        <v>25</v>
      </c>
      <c r="I2538" s="3" t="str">
        <f t="shared" si="156"/>
        <v>Yes</v>
      </c>
      <c r="J2538" s="3" t="s">
        <v>689</v>
      </c>
      <c r="K2538" s="3">
        <v>2003</v>
      </c>
      <c r="L2538" s="3" t="str">
        <f t="shared" si="159"/>
        <v>Jun-2003</v>
      </c>
      <c r="M2538" s="3" t="s">
        <v>598</v>
      </c>
      <c r="N2538" s="3" t="s">
        <v>568</v>
      </c>
      <c r="O2538" s="3" t="s">
        <v>32</v>
      </c>
      <c r="P2538" s="3" t="s">
        <v>33</v>
      </c>
      <c r="Q2538" s="3" t="s">
        <v>36</v>
      </c>
    </row>
    <row r="2539" spans="1:17" x14ac:dyDescent="0.25">
      <c r="A2539" s="5">
        <v>10143</v>
      </c>
      <c r="B2539" s="5">
        <v>26</v>
      </c>
      <c r="C2539" s="5">
        <v>100</v>
      </c>
      <c r="D2539" s="5">
        <v>2600</v>
      </c>
      <c r="E2539" s="5" t="str">
        <f t="shared" si="157"/>
        <v>Medium</v>
      </c>
      <c r="F2539" s="5">
        <f t="shared" si="158"/>
        <v>780</v>
      </c>
      <c r="G2539" s="6">
        <v>37843</v>
      </c>
      <c r="H2539" s="5" t="s">
        <v>25</v>
      </c>
      <c r="I2539" s="5" t="str">
        <f t="shared" si="156"/>
        <v>Yes</v>
      </c>
      <c r="J2539" s="5" t="s">
        <v>684</v>
      </c>
      <c r="K2539" s="5">
        <v>2003</v>
      </c>
      <c r="L2539" s="5" t="str">
        <f t="shared" si="159"/>
        <v>Aug-2003</v>
      </c>
      <c r="M2539" s="5" t="s">
        <v>598</v>
      </c>
      <c r="N2539" s="5" t="s">
        <v>335</v>
      </c>
      <c r="O2539" s="5" t="s">
        <v>32</v>
      </c>
      <c r="P2539" s="5" t="s">
        <v>33</v>
      </c>
      <c r="Q2539" s="5" t="s">
        <v>36</v>
      </c>
    </row>
    <row r="2540" spans="1:17" x14ac:dyDescent="0.25">
      <c r="A2540" s="3">
        <v>10155</v>
      </c>
      <c r="B2540" s="3">
        <v>32</v>
      </c>
      <c r="C2540" s="3">
        <v>91.43</v>
      </c>
      <c r="D2540" s="3">
        <v>2925.76</v>
      </c>
      <c r="E2540" s="3" t="str">
        <f t="shared" si="157"/>
        <v>Medium</v>
      </c>
      <c r="F2540" s="3">
        <f t="shared" si="158"/>
        <v>877.72800000000007</v>
      </c>
      <c r="G2540" s="4">
        <v>37900</v>
      </c>
      <c r="H2540" s="3" t="s">
        <v>25</v>
      </c>
      <c r="I2540" s="3" t="str">
        <f t="shared" si="156"/>
        <v>Yes</v>
      </c>
      <c r="J2540" s="3" t="s">
        <v>685</v>
      </c>
      <c r="K2540" s="3">
        <v>2003</v>
      </c>
      <c r="L2540" s="3" t="str">
        <f t="shared" si="159"/>
        <v>Oct-2003</v>
      </c>
      <c r="M2540" s="3" t="s">
        <v>598</v>
      </c>
      <c r="N2540" s="3" t="s">
        <v>126</v>
      </c>
      <c r="O2540" s="3" t="s">
        <v>130</v>
      </c>
      <c r="P2540" s="3" t="s">
        <v>42</v>
      </c>
      <c r="Q2540" s="3" t="s">
        <v>36</v>
      </c>
    </row>
    <row r="2541" spans="1:17" x14ac:dyDescent="0.25">
      <c r="A2541" s="5">
        <v>10167</v>
      </c>
      <c r="B2541" s="5">
        <v>29</v>
      </c>
      <c r="C2541" s="5">
        <v>100</v>
      </c>
      <c r="D2541" s="5">
        <v>2900</v>
      </c>
      <c r="E2541" s="5" t="str">
        <f t="shared" si="157"/>
        <v>Medium</v>
      </c>
      <c r="F2541" s="5">
        <f t="shared" si="158"/>
        <v>870</v>
      </c>
      <c r="G2541" s="6">
        <v>37917</v>
      </c>
      <c r="H2541" s="5" t="s">
        <v>339</v>
      </c>
      <c r="I2541" s="5" t="str">
        <f t="shared" si="156"/>
        <v>No</v>
      </c>
      <c r="J2541" s="5" t="s">
        <v>685</v>
      </c>
      <c r="K2541" s="5">
        <v>2003</v>
      </c>
      <c r="L2541" s="5" t="str">
        <f t="shared" si="159"/>
        <v>Oct-2003</v>
      </c>
      <c r="M2541" s="5" t="s">
        <v>598</v>
      </c>
      <c r="N2541" s="5" t="s">
        <v>261</v>
      </c>
      <c r="O2541" s="5" t="s">
        <v>188</v>
      </c>
      <c r="P2541" s="5" t="s">
        <v>42</v>
      </c>
      <c r="Q2541" s="5" t="s">
        <v>36</v>
      </c>
    </row>
    <row r="2542" spans="1:17" x14ac:dyDescent="0.25">
      <c r="A2542" s="3">
        <v>10178</v>
      </c>
      <c r="B2542" s="3">
        <v>34</v>
      </c>
      <c r="C2542" s="3">
        <v>96.86</v>
      </c>
      <c r="D2542" s="3">
        <v>3293.24</v>
      </c>
      <c r="E2542" s="3" t="str">
        <f t="shared" si="157"/>
        <v>Medium</v>
      </c>
      <c r="F2542" s="3">
        <f t="shared" si="158"/>
        <v>987.97199999999987</v>
      </c>
      <c r="G2542" s="4">
        <v>37933</v>
      </c>
      <c r="H2542" s="3" t="s">
        <v>25</v>
      </c>
      <c r="I2542" s="3" t="str">
        <f t="shared" si="156"/>
        <v>Yes</v>
      </c>
      <c r="J2542" s="3" t="s">
        <v>686</v>
      </c>
      <c r="K2542" s="3">
        <v>2003</v>
      </c>
      <c r="L2542" s="3" t="str">
        <f t="shared" si="159"/>
        <v>Nov-2003</v>
      </c>
      <c r="M2542" s="3" t="s">
        <v>598</v>
      </c>
      <c r="N2542" s="3" t="s">
        <v>340</v>
      </c>
      <c r="O2542" s="3" t="s">
        <v>41</v>
      </c>
      <c r="P2542" s="3" t="s">
        <v>42</v>
      </c>
      <c r="Q2542" s="3" t="s">
        <v>51</v>
      </c>
    </row>
    <row r="2543" spans="1:17" x14ac:dyDescent="0.25">
      <c r="A2543" s="5">
        <v>10186</v>
      </c>
      <c r="B2543" s="5">
        <v>24</v>
      </c>
      <c r="C2543" s="5">
        <v>99.57</v>
      </c>
      <c r="D2543" s="5">
        <v>2389.6799999999998</v>
      </c>
      <c r="E2543" s="5" t="str">
        <f t="shared" si="157"/>
        <v>Medium</v>
      </c>
      <c r="F2543" s="5">
        <f t="shared" si="158"/>
        <v>716.90399999999988</v>
      </c>
      <c r="G2543" s="6">
        <v>37939</v>
      </c>
      <c r="H2543" s="5" t="s">
        <v>25</v>
      </c>
      <c r="I2543" s="5" t="str">
        <f t="shared" si="156"/>
        <v>Yes</v>
      </c>
      <c r="J2543" s="5" t="s">
        <v>686</v>
      </c>
      <c r="K2543" s="5">
        <v>2003</v>
      </c>
      <c r="L2543" s="5" t="str">
        <f t="shared" si="159"/>
        <v>Nov-2003</v>
      </c>
      <c r="M2543" s="5" t="s">
        <v>598</v>
      </c>
      <c r="N2543" s="5" t="s">
        <v>346</v>
      </c>
      <c r="O2543" s="5" t="s">
        <v>170</v>
      </c>
      <c r="P2543" s="5" t="s">
        <v>42</v>
      </c>
      <c r="Q2543" s="5" t="s">
        <v>36</v>
      </c>
    </row>
    <row r="2544" spans="1:17" x14ac:dyDescent="0.25">
      <c r="A2544" s="3">
        <v>10197</v>
      </c>
      <c r="B2544" s="3">
        <v>24</v>
      </c>
      <c r="C2544" s="3">
        <v>90.52</v>
      </c>
      <c r="D2544" s="3">
        <v>2172.48</v>
      </c>
      <c r="E2544" s="3" t="str">
        <f t="shared" si="157"/>
        <v>Medium</v>
      </c>
      <c r="F2544" s="3">
        <f t="shared" si="158"/>
        <v>651.74400000000003</v>
      </c>
      <c r="G2544" s="4">
        <v>37951</v>
      </c>
      <c r="H2544" s="3" t="s">
        <v>25</v>
      </c>
      <c r="I2544" s="3" t="str">
        <f t="shared" si="156"/>
        <v>Yes</v>
      </c>
      <c r="J2544" s="3" t="s">
        <v>686</v>
      </c>
      <c r="K2544" s="3">
        <v>2003</v>
      </c>
      <c r="L2544" s="3" t="str">
        <f t="shared" si="159"/>
        <v>Nov-2003</v>
      </c>
      <c r="M2544" s="3" t="s">
        <v>598</v>
      </c>
      <c r="N2544" s="3" t="s">
        <v>352</v>
      </c>
      <c r="O2544" s="3" t="s">
        <v>178</v>
      </c>
      <c r="P2544" s="3" t="s">
        <v>42</v>
      </c>
      <c r="Q2544" s="3" t="s">
        <v>36</v>
      </c>
    </row>
    <row r="2545" spans="1:17" x14ac:dyDescent="0.25">
      <c r="A2545" s="5">
        <v>10209</v>
      </c>
      <c r="B2545" s="5">
        <v>33</v>
      </c>
      <c r="C2545" s="5">
        <v>88.71</v>
      </c>
      <c r="D2545" s="5">
        <v>2927.43</v>
      </c>
      <c r="E2545" s="5" t="str">
        <f t="shared" si="157"/>
        <v>Medium</v>
      </c>
      <c r="F2545" s="5">
        <f t="shared" si="158"/>
        <v>878.22899999999993</v>
      </c>
      <c r="G2545" s="6">
        <v>37995</v>
      </c>
      <c r="H2545" s="5" t="s">
        <v>25</v>
      </c>
      <c r="I2545" s="5" t="str">
        <f t="shared" si="156"/>
        <v>Yes</v>
      </c>
      <c r="J2545" s="5" t="s">
        <v>549</v>
      </c>
      <c r="K2545" s="5">
        <v>2004</v>
      </c>
      <c r="L2545" s="5" t="str">
        <f t="shared" si="159"/>
        <v>Jan-2004</v>
      </c>
      <c r="M2545" s="5" t="s">
        <v>598</v>
      </c>
      <c r="N2545" s="5" t="s">
        <v>358</v>
      </c>
      <c r="O2545" s="5" t="s">
        <v>32</v>
      </c>
      <c r="P2545" s="5" t="s">
        <v>33</v>
      </c>
      <c r="Q2545" s="5" t="s">
        <v>36</v>
      </c>
    </row>
    <row r="2546" spans="1:17" x14ac:dyDescent="0.25">
      <c r="A2546" s="3">
        <v>10222</v>
      </c>
      <c r="B2546" s="3">
        <v>26</v>
      </c>
      <c r="C2546" s="3">
        <v>100</v>
      </c>
      <c r="D2546" s="3">
        <v>2600</v>
      </c>
      <c r="E2546" s="3" t="str">
        <f t="shared" si="157"/>
        <v>Medium</v>
      </c>
      <c r="F2546" s="3">
        <f t="shared" si="158"/>
        <v>780</v>
      </c>
      <c r="G2546" s="4">
        <v>38036</v>
      </c>
      <c r="H2546" s="3" t="s">
        <v>25</v>
      </c>
      <c r="I2546" s="3" t="str">
        <f t="shared" si="156"/>
        <v>Yes</v>
      </c>
      <c r="J2546" s="3" t="s">
        <v>681</v>
      </c>
      <c r="K2546" s="3">
        <v>2004</v>
      </c>
      <c r="L2546" s="3" t="str">
        <f t="shared" si="159"/>
        <v>Feb-2004</v>
      </c>
      <c r="M2546" s="3" t="s">
        <v>598</v>
      </c>
      <c r="N2546" s="3" t="s">
        <v>362</v>
      </c>
      <c r="O2546" s="3" t="s">
        <v>32</v>
      </c>
      <c r="P2546" s="3" t="s">
        <v>33</v>
      </c>
      <c r="Q2546" s="3" t="s">
        <v>36</v>
      </c>
    </row>
    <row r="2547" spans="1:17" x14ac:dyDescent="0.25">
      <c r="A2547" s="5">
        <v>10249</v>
      </c>
      <c r="B2547" s="5">
        <v>40</v>
      </c>
      <c r="C2547" s="5">
        <v>95.95</v>
      </c>
      <c r="D2547" s="5">
        <v>3838</v>
      </c>
      <c r="E2547" s="5" t="str">
        <f t="shared" si="157"/>
        <v>Medium</v>
      </c>
      <c r="F2547" s="5">
        <f t="shared" si="158"/>
        <v>1151.3999999999999</v>
      </c>
      <c r="G2547" s="6">
        <v>38115</v>
      </c>
      <c r="H2547" s="5" t="s">
        <v>25</v>
      </c>
      <c r="I2547" s="5" t="str">
        <f t="shared" si="156"/>
        <v>Yes</v>
      </c>
      <c r="J2547" s="5" t="s">
        <v>682</v>
      </c>
      <c r="K2547" s="5">
        <v>2004</v>
      </c>
      <c r="L2547" s="5" t="str">
        <f t="shared" si="159"/>
        <v>May-2004</v>
      </c>
      <c r="M2547" s="5" t="s">
        <v>598</v>
      </c>
      <c r="N2547" s="5" t="s">
        <v>239</v>
      </c>
      <c r="O2547" s="5" t="s">
        <v>32</v>
      </c>
      <c r="P2547" s="5" t="s">
        <v>33</v>
      </c>
      <c r="Q2547" s="5" t="s">
        <v>51</v>
      </c>
    </row>
    <row r="2548" spans="1:17" x14ac:dyDescent="0.25">
      <c r="A2548" s="3">
        <v>10262</v>
      </c>
      <c r="B2548" s="3">
        <v>44</v>
      </c>
      <c r="C2548" s="3">
        <v>94.14</v>
      </c>
      <c r="D2548" s="3">
        <v>4142.16</v>
      </c>
      <c r="E2548" s="3" t="str">
        <f t="shared" si="157"/>
        <v>Medium</v>
      </c>
      <c r="F2548" s="3">
        <f t="shared" si="158"/>
        <v>1242.6479999999999</v>
      </c>
      <c r="G2548" s="4">
        <v>38162</v>
      </c>
      <c r="H2548" s="3" t="s">
        <v>339</v>
      </c>
      <c r="I2548" s="3" t="str">
        <f t="shared" si="156"/>
        <v>No</v>
      </c>
      <c r="J2548" s="3" t="s">
        <v>689</v>
      </c>
      <c r="K2548" s="3">
        <v>2004</v>
      </c>
      <c r="L2548" s="3" t="str">
        <f t="shared" si="159"/>
        <v>Jun-2004</v>
      </c>
      <c r="M2548" s="3" t="s">
        <v>598</v>
      </c>
      <c r="N2548" s="3" t="s">
        <v>174</v>
      </c>
      <c r="O2548" s="3" t="s">
        <v>178</v>
      </c>
      <c r="P2548" s="3" t="s">
        <v>42</v>
      </c>
      <c r="Q2548" s="3" t="s">
        <v>51</v>
      </c>
    </row>
    <row r="2549" spans="1:17" x14ac:dyDescent="0.25">
      <c r="A2549" s="5">
        <v>10274</v>
      </c>
      <c r="B2549" s="5">
        <v>24</v>
      </c>
      <c r="C2549" s="5">
        <v>90.52</v>
      </c>
      <c r="D2549" s="5">
        <v>2172.48</v>
      </c>
      <c r="E2549" s="5" t="str">
        <f t="shared" si="157"/>
        <v>Medium</v>
      </c>
      <c r="F2549" s="5">
        <f t="shared" si="158"/>
        <v>651.74400000000003</v>
      </c>
      <c r="G2549" s="6">
        <v>38189</v>
      </c>
      <c r="H2549" s="5" t="s">
        <v>25</v>
      </c>
      <c r="I2549" s="5" t="str">
        <f t="shared" si="156"/>
        <v>Yes</v>
      </c>
      <c r="J2549" s="5" t="s">
        <v>683</v>
      </c>
      <c r="K2549" s="5">
        <v>2004</v>
      </c>
      <c r="L2549" s="5" t="str">
        <f t="shared" si="159"/>
        <v>Jul-2004</v>
      </c>
      <c r="M2549" s="5" t="s">
        <v>598</v>
      </c>
      <c r="N2549" s="5" t="s">
        <v>281</v>
      </c>
      <c r="O2549" s="5" t="s">
        <v>32</v>
      </c>
      <c r="P2549" s="5" t="s">
        <v>33</v>
      </c>
      <c r="Q2549" s="5" t="s">
        <v>36</v>
      </c>
    </row>
    <row r="2550" spans="1:17" x14ac:dyDescent="0.25">
      <c r="A2550" s="3">
        <v>10283</v>
      </c>
      <c r="B2550" s="3">
        <v>20</v>
      </c>
      <c r="C2550" s="3">
        <v>94.14</v>
      </c>
      <c r="D2550" s="3">
        <v>1882.8</v>
      </c>
      <c r="E2550" s="3" t="str">
        <f t="shared" si="157"/>
        <v>Low</v>
      </c>
      <c r="F2550" s="3">
        <f t="shared" si="158"/>
        <v>564.83999999999992</v>
      </c>
      <c r="G2550" s="4">
        <v>38219</v>
      </c>
      <c r="H2550" s="3" t="s">
        <v>25</v>
      </c>
      <c r="I2550" s="3" t="str">
        <f t="shared" si="156"/>
        <v>Yes</v>
      </c>
      <c r="J2550" s="3" t="s">
        <v>684</v>
      </c>
      <c r="K2550" s="3">
        <v>2004</v>
      </c>
      <c r="L2550" s="3" t="str">
        <f t="shared" si="159"/>
        <v>Aug-2004</v>
      </c>
      <c r="M2550" s="3" t="s">
        <v>598</v>
      </c>
      <c r="N2550" s="3" t="s">
        <v>373</v>
      </c>
      <c r="O2550" s="3" t="s">
        <v>231</v>
      </c>
      <c r="P2550" s="3" t="s">
        <v>33</v>
      </c>
      <c r="Q2550" s="3" t="s">
        <v>36</v>
      </c>
    </row>
    <row r="2551" spans="1:17" x14ac:dyDescent="0.25">
      <c r="A2551" s="5">
        <v>10296</v>
      </c>
      <c r="B2551" s="5">
        <v>34</v>
      </c>
      <c r="C2551" s="5">
        <v>100</v>
      </c>
      <c r="D2551" s="5">
        <v>3400</v>
      </c>
      <c r="E2551" s="5" t="str">
        <f t="shared" si="157"/>
        <v>Medium</v>
      </c>
      <c r="F2551" s="5">
        <f t="shared" si="158"/>
        <v>1020</v>
      </c>
      <c r="G2551" s="6">
        <v>38245</v>
      </c>
      <c r="H2551" s="5" t="s">
        <v>25</v>
      </c>
      <c r="I2551" s="5" t="str">
        <f t="shared" si="156"/>
        <v>Yes</v>
      </c>
      <c r="J2551" s="5" t="s">
        <v>690</v>
      </c>
      <c r="K2551" s="5">
        <v>2004</v>
      </c>
      <c r="L2551" s="5" t="str">
        <f t="shared" si="159"/>
        <v>Sep-2004</v>
      </c>
      <c r="M2551" s="5" t="s">
        <v>598</v>
      </c>
      <c r="N2551" s="5" t="s">
        <v>572</v>
      </c>
      <c r="O2551" s="5" t="s">
        <v>443</v>
      </c>
      <c r="P2551" s="5" t="s">
        <v>42</v>
      </c>
      <c r="Q2551" s="5" t="s">
        <v>51</v>
      </c>
    </row>
    <row r="2552" spans="1:17" x14ac:dyDescent="0.25">
      <c r="A2552" s="3">
        <v>10307</v>
      </c>
      <c r="B2552" s="3">
        <v>34</v>
      </c>
      <c r="C2552" s="3">
        <v>97.76</v>
      </c>
      <c r="D2552" s="3">
        <v>3323.84</v>
      </c>
      <c r="E2552" s="3" t="str">
        <f t="shared" si="157"/>
        <v>Medium</v>
      </c>
      <c r="F2552" s="3">
        <f t="shared" si="158"/>
        <v>997.15200000000004</v>
      </c>
      <c r="G2552" s="4">
        <v>38274</v>
      </c>
      <c r="H2552" s="3" t="s">
        <v>25</v>
      </c>
      <c r="I2552" s="3" t="str">
        <f t="shared" si="156"/>
        <v>Yes</v>
      </c>
      <c r="J2552" s="3" t="s">
        <v>685</v>
      </c>
      <c r="K2552" s="3">
        <v>2004</v>
      </c>
      <c r="L2552" s="3" t="str">
        <f t="shared" si="159"/>
        <v>Oct-2004</v>
      </c>
      <c r="M2552" s="3" t="s">
        <v>598</v>
      </c>
      <c r="N2552" s="3" t="s">
        <v>214</v>
      </c>
      <c r="O2552" s="3" t="s">
        <v>32</v>
      </c>
      <c r="P2552" s="3" t="s">
        <v>33</v>
      </c>
      <c r="Q2552" s="3" t="s">
        <v>51</v>
      </c>
    </row>
    <row r="2553" spans="1:17" x14ac:dyDescent="0.25">
      <c r="A2553" s="5">
        <v>10316</v>
      </c>
      <c r="B2553" s="5">
        <v>45</v>
      </c>
      <c r="C2553" s="5">
        <v>93.24</v>
      </c>
      <c r="D2553" s="5">
        <v>4195.8</v>
      </c>
      <c r="E2553" s="5" t="str">
        <f t="shared" si="157"/>
        <v>Medium</v>
      </c>
      <c r="F2553" s="5">
        <f t="shared" si="158"/>
        <v>1258.74</v>
      </c>
      <c r="G2553" s="6">
        <v>38292</v>
      </c>
      <c r="H2553" s="5" t="s">
        <v>25</v>
      </c>
      <c r="I2553" s="5" t="str">
        <f t="shared" si="156"/>
        <v>Yes</v>
      </c>
      <c r="J2553" s="5" t="s">
        <v>686</v>
      </c>
      <c r="K2553" s="5">
        <v>2004</v>
      </c>
      <c r="L2553" s="5" t="str">
        <f t="shared" si="159"/>
        <v>Nov-2004</v>
      </c>
      <c r="M2553" s="5" t="s">
        <v>598</v>
      </c>
      <c r="N2553" s="5" t="s">
        <v>383</v>
      </c>
      <c r="O2553" s="5" t="s">
        <v>170</v>
      </c>
      <c r="P2553" s="5" t="s">
        <v>42</v>
      </c>
      <c r="Q2553" s="5" t="s">
        <v>51</v>
      </c>
    </row>
    <row r="2554" spans="1:17" x14ac:dyDescent="0.25">
      <c r="A2554" s="3">
        <v>10328</v>
      </c>
      <c r="B2554" s="3">
        <v>41</v>
      </c>
      <c r="C2554" s="3">
        <v>100</v>
      </c>
      <c r="D2554" s="3">
        <v>4100</v>
      </c>
      <c r="E2554" s="3" t="str">
        <f t="shared" si="157"/>
        <v>Medium</v>
      </c>
      <c r="F2554" s="3">
        <f t="shared" si="158"/>
        <v>1230</v>
      </c>
      <c r="G2554" s="4">
        <v>38303</v>
      </c>
      <c r="H2554" s="3" t="s">
        <v>25</v>
      </c>
      <c r="I2554" s="3" t="str">
        <f t="shared" si="156"/>
        <v>Yes</v>
      </c>
      <c r="J2554" s="3" t="s">
        <v>686</v>
      </c>
      <c r="K2554" s="3">
        <v>2004</v>
      </c>
      <c r="L2554" s="3" t="str">
        <f t="shared" si="159"/>
        <v>Nov-2004</v>
      </c>
      <c r="M2554" s="3" t="s">
        <v>598</v>
      </c>
      <c r="N2554" s="3" t="s">
        <v>552</v>
      </c>
      <c r="O2554" s="3" t="s">
        <v>258</v>
      </c>
      <c r="P2554" s="3" t="s">
        <v>42</v>
      </c>
      <c r="Q2554" s="3" t="s">
        <v>51</v>
      </c>
    </row>
    <row r="2555" spans="1:17" x14ac:dyDescent="0.25">
      <c r="A2555" s="5">
        <v>10339</v>
      </c>
      <c r="B2555" s="5">
        <v>55</v>
      </c>
      <c r="C2555" s="5">
        <v>71.25</v>
      </c>
      <c r="D2555" s="5">
        <v>3918.75</v>
      </c>
      <c r="E2555" s="5" t="str">
        <f t="shared" si="157"/>
        <v>Medium</v>
      </c>
      <c r="F2555" s="5">
        <f t="shared" si="158"/>
        <v>1175.625</v>
      </c>
      <c r="G2555" s="6">
        <v>38314</v>
      </c>
      <c r="H2555" s="5" t="s">
        <v>25</v>
      </c>
      <c r="I2555" s="5" t="str">
        <f t="shared" si="156"/>
        <v>Yes</v>
      </c>
      <c r="J2555" s="5" t="s">
        <v>686</v>
      </c>
      <c r="K2555" s="5">
        <v>2004</v>
      </c>
      <c r="L2555" s="5" t="str">
        <f t="shared" si="159"/>
        <v>Nov-2004</v>
      </c>
      <c r="M2555" s="5" t="s">
        <v>598</v>
      </c>
      <c r="N2555" s="5" t="s">
        <v>246</v>
      </c>
      <c r="O2555" s="5" t="s">
        <v>200</v>
      </c>
      <c r="P2555" s="5" t="s">
        <v>675</v>
      </c>
      <c r="Q2555" s="5" t="s">
        <v>51</v>
      </c>
    </row>
    <row r="2556" spans="1:17" x14ac:dyDescent="0.25">
      <c r="A2556" s="3">
        <v>10352</v>
      </c>
      <c r="B2556" s="3">
        <v>23</v>
      </c>
      <c r="C2556" s="3">
        <v>100</v>
      </c>
      <c r="D2556" s="3">
        <v>2300</v>
      </c>
      <c r="E2556" s="3" t="str">
        <f t="shared" si="157"/>
        <v>Medium</v>
      </c>
      <c r="F2556" s="3">
        <f t="shared" si="158"/>
        <v>690</v>
      </c>
      <c r="G2556" s="4">
        <v>38324</v>
      </c>
      <c r="H2556" s="3" t="s">
        <v>25</v>
      </c>
      <c r="I2556" s="3" t="str">
        <f t="shared" si="156"/>
        <v>Yes</v>
      </c>
      <c r="J2556" s="3" t="s">
        <v>687</v>
      </c>
      <c r="K2556" s="3">
        <v>2004</v>
      </c>
      <c r="L2556" s="3" t="str">
        <f t="shared" si="159"/>
        <v>Dec-2004</v>
      </c>
      <c r="M2556" s="3" t="s">
        <v>598</v>
      </c>
      <c r="N2556" s="3" t="s">
        <v>600</v>
      </c>
      <c r="O2556" s="3" t="s">
        <v>32</v>
      </c>
      <c r="P2556" s="3" t="s">
        <v>33</v>
      </c>
      <c r="Q2556" s="3" t="s">
        <v>36</v>
      </c>
    </row>
    <row r="2557" spans="1:17" x14ac:dyDescent="0.25">
      <c r="A2557" s="5">
        <v>10361</v>
      </c>
      <c r="B2557" s="5">
        <v>24</v>
      </c>
      <c r="C2557" s="5">
        <v>45.39</v>
      </c>
      <c r="D2557" s="5">
        <v>1089.3600000000001</v>
      </c>
      <c r="E2557" s="5" t="str">
        <f t="shared" si="157"/>
        <v>Low</v>
      </c>
      <c r="F2557" s="5">
        <f t="shared" si="158"/>
        <v>326.80800000000005</v>
      </c>
      <c r="G2557" s="6">
        <v>38338</v>
      </c>
      <c r="H2557" s="5" t="s">
        <v>25</v>
      </c>
      <c r="I2557" s="5" t="str">
        <f t="shared" si="156"/>
        <v>Yes</v>
      </c>
      <c r="J2557" s="5" t="s">
        <v>687</v>
      </c>
      <c r="K2557" s="5">
        <v>2004</v>
      </c>
      <c r="L2557" s="5" t="str">
        <f t="shared" si="159"/>
        <v>Dec-2004</v>
      </c>
      <c r="M2557" s="5" t="s">
        <v>598</v>
      </c>
      <c r="N2557" s="5" t="s">
        <v>152</v>
      </c>
      <c r="O2557" s="5" t="s">
        <v>95</v>
      </c>
      <c r="P2557" s="5" t="s">
        <v>96</v>
      </c>
      <c r="Q2557" s="5" t="s">
        <v>36</v>
      </c>
    </row>
    <row r="2558" spans="1:17" x14ac:dyDescent="0.25">
      <c r="A2558" s="3">
        <v>10373</v>
      </c>
      <c r="B2558" s="3">
        <v>32</v>
      </c>
      <c r="C2558" s="3">
        <v>84.41</v>
      </c>
      <c r="D2558" s="3">
        <v>2701.12</v>
      </c>
      <c r="E2558" s="3" t="str">
        <f t="shared" si="157"/>
        <v>Medium</v>
      </c>
      <c r="F2558" s="3">
        <f t="shared" si="158"/>
        <v>810.3359999999999</v>
      </c>
      <c r="G2558" s="4">
        <v>38383</v>
      </c>
      <c r="H2558" s="3" t="s">
        <v>25</v>
      </c>
      <c r="I2558" s="3" t="str">
        <f t="shared" si="156"/>
        <v>Yes</v>
      </c>
      <c r="J2558" s="3" t="s">
        <v>549</v>
      </c>
      <c r="K2558" s="3">
        <v>2005</v>
      </c>
      <c r="L2558" s="3" t="str">
        <f t="shared" si="159"/>
        <v>Jan-2005</v>
      </c>
      <c r="M2558" s="3" t="s">
        <v>598</v>
      </c>
      <c r="N2558" s="3" t="s">
        <v>391</v>
      </c>
      <c r="O2558" s="3" t="s">
        <v>130</v>
      </c>
      <c r="P2558" s="3" t="s">
        <v>42</v>
      </c>
      <c r="Q2558" s="3" t="s">
        <v>36</v>
      </c>
    </row>
    <row r="2559" spans="1:17" x14ac:dyDescent="0.25">
      <c r="A2559" s="5">
        <v>10386</v>
      </c>
      <c r="B2559" s="5">
        <v>29</v>
      </c>
      <c r="C2559" s="5">
        <v>85.76</v>
      </c>
      <c r="D2559" s="5">
        <v>2487.04</v>
      </c>
      <c r="E2559" s="5" t="str">
        <f t="shared" si="157"/>
        <v>Medium</v>
      </c>
      <c r="F2559" s="5">
        <f t="shared" si="158"/>
        <v>746.11199999999997</v>
      </c>
      <c r="G2559" s="6">
        <v>38412</v>
      </c>
      <c r="H2559" s="5" t="s">
        <v>408</v>
      </c>
      <c r="I2559" s="5" t="str">
        <f t="shared" si="156"/>
        <v>No</v>
      </c>
      <c r="J2559" s="5" t="s">
        <v>691</v>
      </c>
      <c r="K2559" s="5">
        <v>2005</v>
      </c>
      <c r="L2559" s="5" t="str">
        <f t="shared" si="159"/>
        <v>Mar-2005</v>
      </c>
      <c r="M2559" s="5" t="s">
        <v>598</v>
      </c>
      <c r="N2559" s="5" t="s">
        <v>174</v>
      </c>
      <c r="O2559" s="5" t="s">
        <v>178</v>
      </c>
      <c r="P2559" s="5" t="s">
        <v>42</v>
      </c>
      <c r="Q2559" s="5" t="s">
        <v>36</v>
      </c>
    </row>
    <row r="2560" spans="1:17" x14ac:dyDescent="0.25">
      <c r="A2560" s="3">
        <v>10398</v>
      </c>
      <c r="B2560" s="3">
        <v>36</v>
      </c>
      <c r="C2560" s="3">
        <v>100</v>
      </c>
      <c r="D2560" s="3">
        <v>3600</v>
      </c>
      <c r="E2560" s="3" t="str">
        <f t="shared" si="157"/>
        <v>Medium</v>
      </c>
      <c r="F2560" s="3">
        <f t="shared" si="158"/>
        <v>1080</v>
      </c>
      <c r="G2560" s="4">
        <v>38441</v>
      </c>
      <c r="H2560" s="3" t="s">
        <v>25</v>
      </c>
      <c r="I2560" s="3" t="str">
        <f t="shared" si="156"/>
        <v>Yes</v>
      </c>
      <c r="J2560" s="3" t="s">
        <v>691</v>
      </c>
      <c r="K2560" s="3">
        <v>2005</v>
      </c>
      <c r="L2560" s="3" t="str">
        <f t="shared" si="159"/>
        <v>Mar-2005</v>
      </c>
      <c r="M2560" s="3" t="s">
        <v>598</v>
      </c>
      <c r="N2560" s="3" t="s">
        <v>37</v>
      </c>
      <c r="O2560" s="3" t="s">
        <v>41</v>
      </c>
      <c r="P2560" s="3" t="s">
        <v>42</v>
      </c>
      <c r="Q2560" s="3" t="s">
        <v>51</v>
      </c>
    </row>
    <row r="2561" spans="1:17" x14ac:dyDescent="0.25">
      <c r="A2561" s="5">
        <v>10400</v>
      </c>
      <c r="B2561" s="5">
        <v>46</v>
      </c>
      <c r="C2561" s="5">
        <v>87.8</v>
      </c>
      <c r="D2561" s="5">
        <v>4038.7999999999997</v>
      </c>
      <c r="E2561" s="5" t="str">
        <f t="shared" si="157"/>
        <v>Medium</v>
      </c>
      <c r="F2561" s="5">
        <f t="shared" si="158"/>
        <v>1211.6399999999999</v>
      </c>
      <c r="G2561" s="6">
        <v>38443</v>
      </c>
      <c r="H2561" s="5" t="s">
        <v>25</v>
      </c>
      <c r="I2561" s="5" t="str">
        <f t="shared" si="156"/>
        <v>Yes</v>
      </c>
      <c r="J2561" s="5" t="s">
        <v>688</v>
      </c>
      <c r="K2561" s="5">
        <v>2005</v>
      </c>
      <c r="L2561" s="5" t="str">
        <f t="shared" si="159"/>
        <v>Apr-2005</v>
      </c>
      <c r="M2561" s="5" t="s">
        <v>598</v>
      </c>
      <c r="N2561" s="5" t="s">
        <v>397</v>
      </c>
      <c r="O2561" s="5" t="s">
        <v>32</v>
      </c>
      <c r="P2561" s="5" t="s">
        <v>33</v>
      </c>
      <c r="Q2561" s="5" t="s">
        <v>51</v>
      </c>
    </row>
    <row r="2562" spans="1:17" x14ac:dyDescent="0.25">
      <c r="A2562" s="3">
        <v>10415</v>
      </c>
      <c r="B2562" s="3">
        <v>32</v>
      </c>
      <c r="C2562" s="3">
        <v>95.95</v>
      </c>
      <c r="D2562" s="3">
        <v>3070.4</v>
      </c>
      <c r="E2562" s="3" t="str">
        <f t="shared" si="157"/>
        <v>Medium</v>
      </c>
      <c r="F2562" s="3">
        <f t="shared" si="158"/>
        <v>921.12</v>
      </c>
      <c r="G2562" s="4">
        <v>38481</v>
      </c>
      <c r="H2562" s="3" t="s">
        <v>173</v>
      </c>
      <c r="I2562" s="3" t="str">
        <f t="shared" ref="I2562:I2625" si="160">IF(H2562="Shipped","Yes","No")</f>
        <v>No</v>
      </c>
      <c r="J2562" s="3" t="s">
        <v>682</v>
      </c>
      <c r="K2562" s="3">
        <v>2005</v>
      </c>
      <c r="L2562" s="3" t="str">
        <f t="shared" si="159"/>
        <v>May-2005</v>
      </c>
      <c r="M2562" s="3" t="s">
        <v>598</v>
      </c>
      <c r="N2562" s="3" t="s">
        <v>558</v>
      </c>
      <c r="O2562" s="3" t="s">
        <v>95</v>
      </c>
      <c r="P2562" s="3" t="s">
        <v>96</v>
      </c>
      <c r="Q2562" s="3" t="s">
        <v>51</v>
      </c>
    </row>
    <row r="2563" spans="1:17" x14ac:dyDescent="0.25">
      <c r="A2563" s="5">
        <v>10106</v>
      </c>
      <c r="B2563" s="5">
        <v>34</v>
      </c>
      <c r="C2563" s="5">
        <v>100</v>
      </c>
      <c r="D2563" s="5">
        <v>3400</v>
      </c>
      <c r="E2563" s="5" t="str">
        <f t="shared" ref="E2563:E2626" si="161">IF(D2563&gt;=5000,"High",IF(D2563&gt;=2000,"Medium","Low"))</f>
        <v>Medium</v>
      </c>
      <c r="F2563" s="5">
        <f t="shared" ref="F2563:F2626" si="162">(D2563*0.3)</f>
        <v>1020</v>
      </c>
      <c r="G2563" s="6">
        <v>37669</v>
      </c>
      <c r="H2563" s="5" t="s">
        <v>25</v>
      </c>
      <c r="I2563" s="5" t="str">
        <f t="shared" si="160"/>
        <v>Yes</v>
      </c>
      <c r="J2563" s="5" t="s">
        <v>681</v>
      </c>
      <c r="K2563" s="5">
        <v>2003</v>
      </c>
      <c r="L2563" s="5" t="str">
        <f t="shared" ref="L2563:L2626" si="163">TEXT(G:G,"MMM-YYYY")</f>
        <v>Feb-2003</v>
      </c>
      <c r="M2563" s="5" t="s">
        <v>566</v>
      </c>
      <c r="N2563" s="5" t="s">
        <v>552</v>
      </c>
      <c r="O2563" s="5" t="s">
        <v>258</v>
      </c>
      <c r="P2563" s="5" t="s">
        <v>42</v>
      </c>
      <c r="Q2563" s="5" t="s">
        <v>51</v>
      </c>
    </row>
    <row r="2564" spans="1:17" x14ac:dyDescent="0.25">
      <c r="A2564" s="3">
        <v>10120</v>
      </c>
      <c r="B2564" s="3">
        <v>24</v>
      </c>
      <c r="C2564" s="3">
        <v>100</v>
      </c>
      <c r="D2564" s="3">
        <v>2400</v>
      </c>
      <c r="E2564" s="3" t="str">
        <f t="shared" si="161"/>
        <v>Medium</v>
      </c>
      <c r="F2564" s="3">
        <f t="shared" si="162"/>
        <v>720</v>
      </c>
      <c r="G2564" s="4">
        <v>37740</v>
      </c>
      <c r="H2564" s="3" t="s">
        <v>25</v>
      </c>
      <c r="I2564" s="3" t="str">
        <f t="shared" si="160"/>
        <v>Yes</v>
      </c>
      <c r="J2564" s="3" t="s">
        <v>688</v>
      </c>
      <c r="K2564" s="3">
        <v>2003</v>
      </c>
      <c r="L2564" s="3" t="str">
        <f t="shared" si="163"/>
        <v>Apr-2003</v>
      </c>
      <c r="M2564" s="3" t="s">
        <v>566</v>
      </c>
      <c r="N2564" s="3" t="s">
        <v>89</v>
      </c>
      <c r="O2564" s="3" t="s">
        <v>95</v>
      </c>
      <c r="P2564" s="3" t="s">
        <v>96</v>
      </c>
      <c r="Q2564" s="3" t="s">
        <v>36</v>
      </c>
    </row>
    <row r="2565" spans="1:17" x14ac:dyDescent="0.25">
      <c r="A2565" s="5">
        <v>10131</v>
      </c>
      <c r="B2565" s="5">
        <v>40</v>
      </c>
      <c r="C2565" s="5">
        <v>100</v>
      </c>
      <c r="D2565" s="5">
        <v>4000</v>
      </c>
      <c r="E2565" s="5" t="str">
        <f t="shared" si="161"/>
        <v>Medium</v>
      </c>
      <c r="F2565" s="5">
        <f t="shared" si="162"/>
        <v>1200</v>
      </c>
      <c r="G2565" s="6">
        <v>37788</v>
      </c>
      <c r="H2565" s="5" t="s">
        <v>25</v>
      </c>
      <c r="I2565" s="5" t="str">
        <f t="shared" si="160"/>
        <v>Yes</v>
      </c>
      <c r="J2565" s="5" t="s">
        <v>689</v>
      </c>
      <c r="K2565" s="5">
        <v>2003</v>
      </c>
      <c r="L2565" s="5" t="str">
        <f t="shared" si="163"/>
        <v>Jun-2003</v>
      </c>
      <c r="M2565" s="5" t="s">
        <v>566</v>
      </c>
      <c r="N2565" s="5" t="s">
        <v>568</v>
      </c>
      <c r="O2565" s="5" t="s">
        <v>32</v>
      </c>
      <c r="P2565" s="5" t="s">
        <v>33</v>
      </c>
      <c r="Q2565" s="5" t="s">
        <v>51</v>
      </c>
    </row>
    <row r="2566" spans="1:17" x14ac:dyDescent="0.25">
      <c r="A2566" s="3">
        <v>10143</v>
      </c>
      <c r="B2566" s="3">
        <v>26</v>
      </c>
      <c r="C2566" s="3">
        <v>82.77</v>
      </c>
      <c r="D2566" s="3">
        <v>2152.02</v>
      </c>
      <c r="E2566" s="3" t="str">
        <f t="shared" si="161"/>
        <v>Medium</v>
      </c>
      <c r="F2566" s="3">
        <f t="shared" si="162"/>
        <v>645.60599999999999</v>
      </c>
      <c r="G2566" s="4">
        <v>37843</v>
      </c>
      <c r="H2566" s="3" t="s">
        <v>25</v>
      </c>
      <c r="I2566" s="3" t="str">
        <f t="shared" si="160"/>
        <v>Yes</v>
      </c>
      <c r="J2566" s="3" t="s">
        <v>684</v>
      </c>
      <c r="K2566" s="3">
        <v>2003</v>
      </c>
      <c r="L2566" s="3" t="str">
        <f t="shared" si="163"/>
        <v>Aug-2003</v>
      </c>
      <c r="M2566" s="3" t="s">
        <v>566</v>
      </c>
      <c r="N2566" s="3" t="s">
        <v>335</v>
      </c>
      <c r="O2566" s="3" t="s">
        <v>32</v>
      </c>
      <c r="P2566" s="3" t="s">
        <v>33</v>
      </c>
      <c r="Q2566" s="3" t="s">
        <v>36</v>
      </c>
    </row>
    <row r="2567" spans="1:17" x14ac:dyDescent="0.25">
      <c r="A2567" s="5">
        <v>10155</v>
      </c>
      <c r="B2567" s="5">
        <v>20</v>
      </c>
      <c r="C2567" s="5">
        <v>100</v>
      </c>
      <c r="D2567" s="5">
        <v>2000</v>
      </c>
      <c r="E2567" s="5" t="str">
        <f t="shared" si="161"/>
        <v>Medium</v>
      </c>
      <c r="F2567" s="5">
        <f t="shared" si="162"/>
        <v>600</v>
      </c>
      <c r="G2567" s="6">
        <v>37900</v>
      </c>
      <c r="H2567" s="5" t="s">
        <v>25</v>
      </c>
      <c r="I2567" s="5" t="str">
        <f t="shared" si="160"/>
        <v>Yes</v>
      </c>
      <c r="J2567" s="5" t="s">
        <v>685</v>
      </c>
      <c r="K2567" s="5">
        <v>2003</v>
      </c>
      <c r="L2567" s="5" t="str">
        <f t="shared" si="163"/>
        <v>Oct-2003</v>
      </c>
      <c r="M2567" s="5" t="s">
        <v>566</v>
      </c>
      <c r="N2567" s="5" t="s">
        <v>126</v>
      </c>
      <c r="O2567" s="5" t="s">
        <v>130</v>
      </c>
      <c r="P2567" s="5" t="s">
        <v>42</v>
      </c>
      <c r="Q2567" s="5" t="s">
        <v>36</v>
      </c>
    </row>
    <row r="2568" spans="1:17" x14ac:dyDescent="0.25">
      <c r="A2568" s="3">
        <v>10168</v>
      </c>
      <c r="B2568" s="3">
        <v>31</v>
      </c>
      <c r="C2568" s="3">
        <v>100</v>
      </c>
      <c r="D2568" s="3">
        <v>3100</v>
      </c>
      <c r="E2568" s="3" t="str">
        <f t="shared" si="161"/>
        <v>Medium</v>
      </c>
      <c r="F2568" s="3">
        <f t="shared" si="162"/>
        <v>930</v>
      </c>
      <c r="G2568" s="4">
        <v>37922</v>
      </c>
      <c r="H2568" s="3" t="s">
        <v>25</v>
      </c>
      <c r="I2568" s="3" t="str">
        <f t="shared" si="160"/>
        <v>Yes</v>
      </c>
      <c r="J2568" s="3" t="s">
        <v>685</v>
      </c>
      <c r="K2568" s="3">
        <v>2003</v>
      </c>
      <c r="L2568" s="3" t="str">
        <f t="shared" si="163"/>
        <v>Oct-2003</v>
      </c>
      <c r="M2568" s="3" t="s">
        <v>566</v>
      </c>
      <c r="N2568" s="3" t="s">
        <v>62</v>
      </c>
      <c r="O2568" s="3" t="s">
        <v>32</v>
      </c>
      <c r="P2568" s="3" t="s">
        <v>33</v>
      </c>
      <c r="Q2568" s="3" t="s">
        <v>51</v>
      </c>
    </row>
    <row r="2569" spans="1:17" x14ac:dyDescent="0.25">
      <c r="A2569" s="5">
        <v>10178</v>
      </c>
      <c r="B2569" s="5">
        <v>22</v>
      </c>
      <c r="C2569" s="5">
        <v>87.75</v>
      </c>
      <c r="D2569" s="5">
        <v>1930.5</v>
      </c>
      <c r="E2569" s="5" t="str">
        <f t="shared" si="161"/>
        <v>Low</v>
      </c>
      <c r="F2569" s="5">
        <f t="shared" si="162"/>
        <v>579.15</v>
      </c>
      <c r="G2569" s="6">
        <v>37933</v>
      </c>
      <c r="H2569" s="5" t="s">
        <v>25</v>
      </c>
      <c r="I2569" s="5" t="str">
        <f t="shared" si="160"/>
        <v>Yes</v>
      </c>
      <c r="J2569" s="5" t="s">
        <v>686</v>
      </c>
      <c r="K2569" s="5">
        <v>2003</v>
      </c>
      <c r="L2569" s="5" t="str">
        <f t="shared" si="163"/>
        <v>Nov-2003</v>
      </c>
      <c r="M2569" s="5" t="s">
        <v>566</v>
      </c>
      <c r="N2569" s="5" t="s">
        <v>340</v>
      </c>
      <c r="O2569" s="5" t="s">
        <v>41</v>
      </c>
      <c r="P2569" s="5" t="s">
        <v>42</v>
      </c>
      <c r="Q2569" s="5" t="s">
        <v>36</v>
      </c>
    </row>
    <row r="2570" spans="1:17" x14ac:dyDescent="0.25">
      <c r="A2570" s="3">
        <v>10198</v>
      </c>
      <c r="B2570" s="3">
        <v>42</v>
      </c>
      <c r="C2570" s="3">
        <v>100</v>
      </c>
      <c r="D2570" s="3">
        <v>4200</v>
      </c>
      <c r="E2570" s="3" t="str">
        <f t="shared" si="161"/>
        <v>Medium</v>
      </c>
      <c r="F2570" s="3">
        <f t="shared" si="162"/>
        <v>1260</v>
      </c>
      <c r="G2570" s="4">
        <v>37952</v>
      </c>
      <c r="H2570" s="3" t="s">
        <v>25</v>
      </c>
      <c r="I2570" s="3" t="str">
        <f t="shared" si="160"/>
        <v>Yes</v>
      </c>
      <c r="J2570" s="3" t="s">
        <v>686</v>
      </c>
      <c r="K2570" s="3">
        <v>2003</v>
      </c>
      <c r="L2570" s="3" t="str">
        <f t="shared" si="163"/>
        <v>Nov-2003</v>
      </c>
      <c r="M2570" s="3" t="s">
        <v>566</v>
      </c>
      <c r="N2570" s="3" t="s">
        <v>425</v>
      </c>
      <c r="O2570" s="3" t="s">
        <v>430</v>
      </c>
      <c r="P2570" s="3" t="s">
        <v>675</v>
      </c>
      <c r="Q2570" s="3" t="s">
        <v>51</v>
      </c>
    </row>
    <row r="2571" spans="1:17" x14ac:dyDescent="0.25">
      <c r="A2571" s="5">
        <v>10210</v>
      </c>
      <c r="B2571" s="5">
        <v>26</v>
      </c>
      <c r="C2571" s="5">
        <v>99.72</v>
      </c>
      <c r="D2571" s="5">
        <v>2592.7199999999998</v>
      </c>
      <c r="E2571" s="5" t="str">
        <f t="shared" si="161"/>
        <v>Medium</v>
      </c>
      <c r="F2571" s="5">
        <f t="shared" si="162"/>
        <v>777.81599999999992</v>
      </c>
      <c r="G2571" s="6">
        <v>37998</v>
      </c>
      <c r="H2571" s="5" t="s">
        <v>25</v>
      </c>
      <c r="I2571" s="5" t="str">
        <f t="shared" si="160"/>
        <v>Yes</v>
      </c>
      <c r="J2571" s="5" t="s">
        <v>549</v>
      </c>
      <c r="K2571" s="5">
        <v>2004</v>
      </c>
      <c r="L2571" s="5" t="str">
        <f t="shared" si="163"/>
        <v>Jan-2004</v>
      </c>
      <c r="M2571" s="5" t="s">
        <v>566</v>
      </c>
      <c r="N2571" s="5" t="s">
        <v>302</v>
      </c>
      <c r="O2571" s="5" t="s">
        <v>200</v>
      </c>
      <c r="P2571" s="5" t="s">
        <v>675</v>
      </c>
      <c r="Q2571" s="5" t="s">
        <v>36</v>
      </c>
    </row>
    <row r="2572" spans="1:17" x14ac:dyDescent="0.25">
      <c r="A2572" s="3">
        <v>10222</v>
      </c>
      <c r="B2572" s="3">
        <v>37</v>
      </c>
      <c r="C2572" s="3">
        <v>87.75</v>
      </c>
      <c r="D2572" s="3">
        <v>3246.75</v>
      </c>
      <c r="E2572" s="3" t="str">
        <f t="shared" si="161"/>
        <v>Medium</v>
      </c>
      <c r="F2572" s="3">
        <f t="shared" si="162"/>
        <v>974.02499999999998</v>
      </c>
      <c r="G2572" s="4">
        <v>38036</v>
      </c>
      <c r="H2572" s="3" t="s">
        <v>25</v>
      </c>
      <c r="I2572" s="3" t="str">
        <f t="shared" si="160"/>
        <v>Yes</v>
      </c>
      <c r="J2572" s="3" t="s">
        <v>681</v>
      </c>
      <c r="K2572" s="3">
        <v>2004</v>
      </c>
      <c r="L2572" s="3" t="str">
        <f t="shared" si="163"/>
        <v>Feb-2004</v>
      </c>
      <c r="M2572" s="3" t="s">
        <v>566</v>
      </c>
      <c r="N2572" s="3" t="s">
        <v>362</v>
      </c>
      <c r="O2572" s="3" t="s">
        <v>32</v>
      </c>
      <c r="P2572" s="3" t="s">
        <v>33</v>
      </c>
      <c r="Q2572" s="3" t="s">
        <v>51</v>
      </c>
    </row>
    <row r="2573" spans="1:17" x14ac:dyDescent="0.25">
      <c r="A2573" s="5">
        <v>10235</v>
      </c>
      <c r="B2573" s="5">
        <v>38</v>
      </c>
      <c r="C2573" s="5">
        <v>88.75</v>
      </c>
      <c r="D2573" s="5">
        <v>3372.5</v>
      </c>
      <c r="E2573" s="5" t="str">
        <f t="shared" si="161"/>
        <v>Medium</v>
      </c>
      <c r="F2573" s="5">
        <f t="shared" si="162"/>
        <v>1011.75</v>
      </c>
      <c r="G2573" s="6">
        <v>38079</v>
      </c>
      <c r="H2573" s="5" t="s">
        <v>25</v>
      </c>
      <c r="I2573" s="5" t="str">
        <f t="shared" si="160"/>
        <v>Yes</v>
      </c>
      <c r="J2573" s="5" t="s">
        <v>688</v>
      </c>
      <c r="K2573" s="5">
        <v>2004</v>
      </c>
      <c r="L2573" s="5" t="str">
        <f t="shared" si="163"/>
        <v>Apr-2004</v>
      </c>
      <c r="M2573" s="5" t="s">
        <v>566</v>
      </c>
      <c r="N2573" s="5" t="s">
        <v>373</v>
      </c>
      <c r="O2573" s="5" t="s">
        <v>231</v>
      </c>
      <c r="P2573" s="5" t="s">
        <v>33</v>
      </c>
      <c r="Q2573" s="5" t="s">
        <v>51</v>
      </c>
    </row>
    <row r="2574" spans="1:17" x14ac:dyDescent="0.25">
      <c r="A2574" s="3">
        <v>10250</v>
      </c>
      <c r="B2574" s="3">
        <v>35</v>
      </c>
      <c r="C2574" s="3">
        <v>100</v>
      </c>
      <c r="D2574" s="3">
        <v>3500</v>
      </c>
      <c r="E2574" s="3" t="str">
        <f t="shared" si="161"/>
        <v>Medium</v>
      </c>
      <c r="F2574" s="3">
        <f t="shared" si="162"/>
        <v>1050</v>
      </c>
      <c r="G2574" s="4">
        <v>38118</v>
      </c>
      <c r="H2574" s="3" t="s">
        <v>25</v>
      </c>
      <c r="I2574" s="3" t="str">
        <f t="shared" si="160"/>
        <v>Yes</v>
      </c>
      <c r="J2574" s="3" t="s">
        <v>682</v>
      </c>
      <c r="K2574" s="3">
        <v>2004</v>
      </c>
      <c r="L2574" s="3" t="str">
        <f t="shared" si="163"/>
        <v>May-2004</v>
      </c>
      <c r="M2574" s="3" t="s">
        <v>566</v>
      </c>
      <c r="N2574" s="3" t="s">
        <v>397</v>
      </c>
      <c r="O2574" s="3" t="s">
        <v>32</v>
      </c>
      <c r="P2574" s="3" t="s">
        <v>33</v>
      </c>
      <c r="Q2574" s="3" t="s">
        <v>51</v>
      </c>
    </row>
    <row r="2575" spans="1:17" x14ac:dyDescent="0.25">
      <c r="A2575" s="5">
        <v>10262</v>
      </c>
      <c r="B2575" s="5">
        <v>33</v>
      </c>
      <c r="C2575" s="5">
        <v>90.75</v>
      </c>
      <c r="D2575" s="5">
        <v>2994.75</v>
      </c>
      <c r="E2575" s="5" t="str">
        <f t="shared" si="161"/>
        <v>Medium</v>
      </c>
      <c r="F2575" s="5">
        <f t="shared" si="162"/>
        <v>898.42499999999995</v>
      </c>
      <c r="G2575" s="6">
        <v>38162</v>
      </c>
      <c r="H2575" s="5" t="s">
        <v>339</v>
      </c>
      <c r="I2575" s="5" t="str">
        <f t="shared" si="160"/>
        <v>No</v>
      </c>
      <c r="J2575" s="5" t="s">
        <v>689</v>
      </c>
      <c r="K2575" s="5">
        <v>2004</v>
      </c>
      <c r="L2575" s="5" t="str">
        <f t="shared" si="163"/>
        <v>Jun-2004</v>
      </c>
      <c r="M2575" s="5" t="s">
        <v>566</v>
      </c>
      <c r="N2575" s="5" t="s">
        <v>174</v>
      </c>
      <c r="O2575" s="5" t="s">
        <v>178</v>
      </c>
      <c r="P2575" s="5" t="s">
        <v>42</v>
      </c>
      <c r="Q2575" s="5" t="s">
        <v>36</v>
      </c>
    </row>
    <row r="2576" spans="1:17" x14ac:dyDescent="0.25">
      <c r="A2576" s="3">
        <v>10275</v>
      </c>
      <c r="B2576" s="3">
        <v>39</v>
      </c>
      <c r="C2576" s="3">
        <v>100</v>
      </c>
      <c r="D2576" s="3">
        <v>3900</v>
      </c>
      <c r="E2576" s="3" t="str">
        <f t="shared" si="161"/>
        <v>Medium</v>
      </c>
      <c r="F2576" s="3">
        <f t="shared" si="162"/>
        <v>1170</v>
      </c>
      <c r="G2576" s="4">
        <v>38191</v>
      </c>
      <c r="H2576" s="3" t="s">
        <v>25</v>
      </c>
      <c r="I2576" s="3" t="str">
        <f t="shared" si="160"/>
        <v>Yes</v>
      </c>
      <c r="J2576" s="3" t="s">
        <v>683</v>
      </c>
      <c r="K2576" s="3">
        <v>2004</v>
      </c>
      <c r="L2576" s="3" t="str">
        <f t="shared" si="163"/>
        <v>Jul-2004</v>
      </c>
      <c r="M2576" s="3" t="s">
        <v>566</v>
      </c>
      <c r="N2576" s="3" t="s">
        <v>114</v>
      </c>
      <c r="O2576" s="3" t="s">
        <v>41</v>
      </c>
      <c r="P2576" s="3" t="s">
        <v>42</v>
      </c>
      <c r="Q2576" s="3" t="s">
        <v>51</v>
      </c>
    </row>
    <row r="2577" spans="1:17" x14ac:dyDescent="0.25">
      <c r="A2577" s="5">
        <v>10284</v>
      </c>
      <c r="B2577" s="5">
        <v>45</v>
      </c>
      <c r="C2577" s="5">
        <v>100</v>
      </c>
      <c r="D2577" s="5">
        <v>4500</v>
      </c>
      <c r="E2577" s="5" t="str">
        <f t="shared" si="161"/>
        <v>Medium</v>
      </c>
      <c r="F2577" s="5">
        <f t="shared" si="162"/>
        <v>1350</v>
      </c>
      <c r="G2577" s="6">
        <v>38220</v>
      </c>
      <c r="H2577" s="5" t="s">
        <v>25</v>
      </c>
      <c r="I2577" s="5" t="str">
        <f t="shared" si="160"/>
        <v>Yes</v>
      </c>
      <c r="J2577" s="5" t="s">
        <v>684</v>
      </c>
      <c r="K2577" s="5">
        <v>2004</v>
      </c>
      <c r="L2577" s="5" t="str">
        <f t="shared" si="163"/>
        <v>Aug-2004</v>
      </c>
      <c r="M2577" s="5" t="s">
        <v>566</v>
      </c>
      <c r="N2577" s="5" t="s">
        <v>543</v>
      </c>
      <c r="O2577" s="5" t="s">
        <v>78</v>
      </c>
      <c r="P2577" s="5" t="s">
        <v>42</v>
      </c>
      <c r="Q2577" s="5" t="s">
        <v>51</v>
      </c>
    </row>
    <row r="2578" spans="1:17" x14ac:dyDescent="0.25">
      <c r="A2578" s="3">
        <v>10296</v>
      </c>
      <c r="B2578" s="3">
        <v>24</v>
      </c>
      <c r="C2578" s="3">
        <v>100</v>
      </c>
      <c r="D2578" s="3">
        <v>2400</v>
      </c>
      <c r="E2578" s="3" t="str">
        <f t="shared" si="161"/>
        <v>Medium</v>
      </c>
      <c r="F2578" s="3">
        <f t="shared" si="162"/>
        <v>720</v>
      </c>
      <c r="G2578" s="4">
        <v>38245</v>
      </c>
      <c r="H2578" s="3" t="s">
        <v>25</v>
      </c>
      <c r="I2578" s="3" t="str">
        <f t="shared" si="160"/>
        <v>Yes</v>
      </c>
      <c r="J2578" s="3" t="s">
        <v>690</v>
      </c>
      <c r="K2578" s="3">
        <v>2004</v>
      </c>
      <c r="L2578" s="3" t="str">
        <f t="shared" si="163"/>
        <v>Sep-2004</v>
      </c>
      <c r="M2578" s="3" t="s">
        <v>566</v>
      </c>
      <c r="N2578" s="3" t="s">
        <v>572</v>
      </c>
      <c r="O2578" s="3" t="s">
        <v>443</v>
      </c>
      <c r="P2578" s="3" t="s">
        <v>42</v>
      </c>
      <c r="Q2578" s="3" t="s">
        <v>36</v>
      </c>
    </row>
    <row r="2579" spans="1:17" x14ac:dyDescent="0.25">
      <c r="A2579" s="5">
        <v>10308</v>
      </c>
      <c r="B2579" s="5">
        <v>35</v>
      </c>
      <c r="C2579" s="5">
        <v>88.75</v>
      </c>
      <c r="D2579" s="5">
        <v>3106.25</v>
      </c>
      <c r="E2579" s="5" t="str">
        <f t="shared" si="161"/>
        <v>Medium</v>
      </c>
      <c r="F2579" s="5">
        <f t="shared" si="162"/>
        <v>931.875</v>
      </c>
      <c r="G2579" s="6">
        <v>38275</v>
      </c>
      <c r="H2579" s="5" t="s">
        <v>25</v>
      </c>
      <c r="I2579" s="5" t="str">
        <f t="shared" si="160"/>
        <v>Yes</v>
      </c>
      <c r="J2579" s="5" t="s">
        <v>685</v>
      </c>
      <c r="K2579" s="5">
        <v>2004</v>
      </c>
      <c r="L2579" s="5" t="str">
        <f t="shared" si="163"/>
        <v>Oct-2004</v>
      </c>
      <c r="M2579" s="5" t="s">
        <v>566</v>
      </c>
      <c r="N2579" s="5" t="s">
        <v>317</v>
      </c>
      <c r="O2579" s="5" t="s">
        <v>32</v>
      </c>
      <c r="P2579" s="5" t="s">
        <v>33</v>
      </c>
      <c r="Q2579" s="5" t="s">
        <v>51</v>
      </c>
    </row>
    <row r="2580" spans="1:17" x14ac:dyDescent="0.25">
      <c r="A2580" s="3">
        <v>10316</v>
      </c>
      <c r="B2580" s="3">
        <v>23</v>
      </c>
      <c r="C2580" s="3">
        <v>100</v>
      </c>
      <c r="D2580" s="3">
        <v>2300</v>
      </c>
      <c r="E2580" s="3" t="str">
        <f t="shared" si="161"/>
        <v>Medium</v>
      </c>
      <c r="F2580" s="3">
        <f t="shared" si="162"/>
        <v>690</v>
      </c>
      <c r="G2580" s="4">
        <v>38292</v>
      </c>
      <c r="H2580" s="3" t="s">
        <v>25</v>
      </c>
      <c r="I2580" s="3" t="str">
        <f t="shared" si="160"/>
        <v>Yes</v>
      </c>
      <c r="J2580" s="3" t="s">
        <v>686</v>
      </c>
      <c r="K2580" s="3">
        <v>2004</v>
      </c>
      <c r="L2580" s="3" t="str">
        <f t="shared" si="163"/>
        <v>Nov-2004</v>
      </c>
      <c r="M2580" s="3" t="s">
        <v>566</v>
      </c>
      <c r="N2580" s="3" t="s">
        <v>383</v>
      </c>
      <c r="O2580" s="3" t="s">
        <v>170</v>
      </c>
      <c r="P2580" s="3" t="s">
        <v>42</v>
      </c>
      <c r="Q2580" s="3" t="s">
        <v>36</v>
      </c>
    </row>
    <row r="2581" spans="1:17" x14ac:dyDescent="0.25">
      <c r="A2581" s="5">
        <v>10328</v>
      </c>
      <c r="B2581" s="5">
        <v>37</v>
      </c>
      <c r="C2581" s="5">
        <v>100</v>
      </c>
      <c r="D2581" s="5">
        <v>3700</v>
      </c>
      <c r="E2581" s="5" t="str">
        <f t="shared" si="161"/>
        <v>Medium</v>
      </c>
      <c r="F2581" s="5">
        <f t="shared" si="162"/>
        <v>1110</v>
      </c>
      <c r="G2581" s="6">
        <v>38303</v>
      </c>
      <c r="H2581" s="5" t="s">
        <v>25</v>
      </c>
      <c r="I2581" s="5" t="str">
        <f t="shared" si="160"/>
        <v>Yes</v>
      </c>
      <c r="J2581" s="5" t="s">
        <v>686</v>
      </c>
      <c r="K2581" s="5">
        <v>2004</v>
      </c>
      <c r="L2581" s="5" t="str">
        <f t="shared" si="163"/>
        <v>Nov-2004</v>
      </c>
      <c r="M2581" s="5" t="s">
        <v>566</v>
      </c>
      <c r="N2581" s="5" t="s">
        <v>552</v>
      </c>
      <c r="O2581" s="5" t="s">
        <v>258</v>
      </c>
      <c r="P2581" s="5" t="s">
        <v>42</v>
      </c>
      <c r="Q2581" s="5" t="s">
        <v>51</v>
      </c>
    </row>
    <row r="2582" spans="1:17" x14ac:dyDescent="0.25">
      <c r="A2582" s="3">
        <v>10340</v>
      </c>
      <c r="B2582" s="3">
        <v>55</v>
      </c>
      <c r="C2582" s="3">
        <v>87.75</v>
      </c>
      <c r="D2582" s="3">
        <v>4826.25</v>
      </c>
      <c r="E2582" s="3" t="str">
        <f t="shared" si="161"/>
        <v>Medium</v>
      </c>
      <c r="F2582" s="3">
        <f t="shared" si="162"/>
        <v>1447.875</v>
      </c>
      <c r="G2582" s="4">
        <v>38315</v>
      </c>
      <c r="H2582" s="3" t="s">
        <v>25</v>
      </c>
      <c r="I2582" s="3" t="str">
        <f t="shared" si="160"/>
        <v>Yes</v>
      </c>
      <c r="J2582" s="3" t="s">
        <v>686</v>
      </c>
      <c r="K2582" s="3">
        <v>2004</v>
      </c>
      <c r="L2582" s="3" t="str">
        <f t="shared" si="163"/>
        <v>Nov-2004</v>
      </c>
      <c r="M2582" s="3" t="s">
        <v>566</v>
      </c>
      <c r="N2582" s="3" t="s">
        <v>352</v>
      </c>
      <c r="O2582" s="3" t="s">
        <v>178</v>
      </c>
      <c r="P2582" s="3" t="s">
        <v>42</v>
      </c>
      <c r="Q2582" s="3" t="s">
        <v>51</v>
      </c>
    </row>
    <row r="2583" spans="1:17" x14ac:dyDescent="0.25">
      <c r="A2583" s="5">
        <v>10352</v>
      </c>
      <c r="B2583" s="5">
        <v>49</v>
      </c>
      <c r="C2583" s="5">
        <v>100</v>
      </c>
      <c r="D2583" s="5">
        <v>4900</v>
      </c>
      <c r="E2583" s="5" t="str">
        <f t="shared" si="161"/>
        <v>Medium</v>
      </c>
      <c r="F2583" s="5">
        <f t="shared" si="162"/>
        <v>1470</v>
      </c>
      <c r="G2583" s="6">
        <v>38324</v>
      </c>
      <c r="H2583" s="5" t="s">
        <v>25</v>
      </c>
      <c r="I2583" s="5" t="str">
        <f t="shared" si="160"/>
        <v>Yes</v>
      </c>
      <c r="J2583" s="5" t="s">
        <v>687</v>
      </c>
      <c r="K2583" s="5">
        <v>2004</v>
      </c>
      <c r="L2583" s="5" t="str">
        <f t="shared" si="163"/>
        <v>Dec-2004</v>
      </c>
      <c r="M2583" s="5" t="s">
        <v>566</v>
      </c>
      <c r="N2583" s="5" t="s">
        <v>600</v>
      </c>
      <c r="O2583" s="5" t="s">
        <v>32</v>
      </c>
      <c r="P2583" s="5" t="s">
        <v>33</v>
      </c>
      <c r="Q2583" s="5" t="s">
        <v>51</v>
      </c>
    </row>
    <row r="2584" spans="1:17" x14ac:dyDescent="0.25">
      <c r="A2584" s="3">
        <v>10361</v>
      </c>
      <c r="B2584" s="3">
        <v>26</v>
      </c>
      <c r="C2584" s="3">
        <v>100</v>
      </c>
      <c r="D2584" s="3">
        <v>2600</v>
      </c>
      <c r="E2584" s="3" t="str">
        <f t="shared" si="161"/>
        <v>Medium</v>
      </c>
      <c r="F2584" s="3">
        <f t="shared" si="162"/>
        <v>780</v>
      </c>
      <c r="G2584" s="4">
        <v>38338</v>
      </c>
      <c r="H2584" s="3" t="s">
        <v>25</v>
      </c>
      <c r="I2584" s="3" t="str">
        <f t="shared" si="160"/>
        <v>Yes</v>
      </c>
      <c r="J2584" s="3" t="s">
        <v>687</v>
      </c>
      <c r="K2584" s="3">
        <v>2004</v>
      </c>
      <c r="L2584" s="3" t="str">
        <f t="shared" si="163"/>
        <v>Dec-2004</v>
      </c>
      <c r="M2584" s="3" t="s">
        <v>566</v>
      </c>
      <c r="N2584" s="3" t="s">
        <v>152</v>
      </c>
      <c r="O2584" s="3" t="s">
        <v>95</v>
      </c>
      <c r="P2584" s="3" t="s">
        <v>96</v>
      </c>
      <c r="Q2584" s="3" t="s">
        <v>36</v>
      </c>
    </row>
    <row r="2585" spans="1:17" x14ac:dyDescent="0.25">
      <c r="A2585" s="5">
        <v>10375</v>
      </c>
      <c r="B2585" s="5">
        <v>33</v>
      </c>
      <c r="C2585" s="5">
        <v>100</v>
      </c>
      <c r="D2585" s="5">
        <v>3300</v>
      </c>
      <c r="E2585" s="5" t="str">
        <f t="shared" si="161"/>
        <v>Medium</v>
      </c>
      <c r="F2585" s="5">
        <f t="shared" si="162"/>
        <v>990</v>
      </c>
      <c r="G2585" s="6">
        <v>38386</v>
      </c>
      <c r="H2585" s="5" t="s">
        <v>25</v>
      </c>
      <c r="I2585" s="5" t="str">
        <f t="shared" si="160"/>
        <v>Yes</v>
      </c>
      <c r="J2585" s="5" t="s">
        <v>681</v>
      </c>
      <c r="K2585" s="5">
        <v>2005</v>
      </c>
      <c r="L2585" s="5" t="str">
        <f t="shared" si="163"/>
        <v>Feb-2005</v>
      </c>
      <c r="M2585" s="5" t="s">
        <v>566</v>
      </c>
      <c r="N2585" s="5" t="s">
        <v>114</v>
      </c>
      <c r="O2585" s="5" t="s">
        <v>41</v>
      </c>
      <c r="P2585" s="5" t="s">
        <v>42</v>
      </c>
      <c r="Q2585" s="5" t="s">
        <v>51</v>
      </c>
    </row>
    <row r="2586" spans="1:17" x14ac:dyDescent="0.25">
      <c r="A2586" s="3">
        <v>10386</v>
      </c>
      <c r="B2586" s="3">
        <v>37</v>
      </c>
      <c r="C2586" s="3">
        <v>83.84</v>
      </c>
      <c r="D2586" s="3">
        <v>3102.08</v>
      </c>
      <c r="E2586" s="3" t="str">
        <f t="shared" si="161"/>
        <v>Medium</v>
      </c>
      <c r="F2586" s="3">
        <f t="shared" si="162"/>
        <v>930.62399999999991</v>
      </c>
      <c r="G2586" s="4">
        <v>38412</v>
      </c>
      <c r="H2586" s="3" t="s">
        <v>408</v>
      </c>
      <c r="I2586" s="3" t="str">
        <f t="shared" si="160"/>
        <v>No</v>
      </c>
      <c r="J2586" s="3" t="s">
        <v>691</v>
      </c>
      <c r="K2586" s="3">
        <v>2005</v>
      </c>
      <c r="L2586" s="3" t="str">
        <f t="shared" si="163"/>
        <v>Mar-2005</v>
      </c>
      <c r="M2586" s="3" t="s">
        <v>566</v>
      </c>
      <c r="N2586" s="3" t="s">
        <v>174</v>
      </c>
      <c r="O2586" s="3" t="s">
        <v>178</v>
      </c>
      <c r="P2586" s="3" t="s">
        <v>42</v>
      </c>
      <c r="Q2586" s="3" t="s">
        <v>51</v>
      </c>
    </row>
    <row r="2587" spans="1:17" x14ac:dyDescent="0.25">
      <c r="A2587" s="5">
        <v>10398</v>
      </c>
      <c r="B2587" s="5">
        <v>22</v>
      </c>
      <c r="C2587" s="5">
        <v>86.76</v>
      </c>
      <c r="D2587" s="5">
        <v>1908.72</v>
      </c>
      <c r="E2587" s="5" t="str">
        <f t="shared" si="161"/>
        <v>Low</v>
      </c>
      <c r="F2587" s="5">
        <f t="shared" si="162"/>
        <v>572.61599999999999</v>
      </c>
      <c r="G2587" s="6">
        <v>38441</v>
      </c>
      <c r="H2587" s="5" t="s">
        <v>25</v>
      </c>
      <c r="I2587" s="5" t="str">
        <f t="shared" si="160"/>
        <v>Yes</v>
      </c>
      <c r="J2587" s="5" t="s">
        <v>691</v>
      </c>
      <c r="K2587" s="5">
        <v>2005</v>
      </c>
      <c r="L2587" s="5" t="str">
        <f t="shared" si="163"/>
        <v>Mar-2005</v>
      </c>
      <c r="M2587" s="5" t="s">
        <v>566</v>
      </c>
      <c r="N2587" s="5" t="s">
        <v>37</v>
      </c>
      <c r="O2587" s="5" t="s">
        <v>41</v>
      </c>
      <c r="P2587" s="5" t="s">
        <v>42</v>
      </c>
      <c r="Q2587" s="5" t="s">
        <v>36</v>
      </c>
    </row>
    <row r="2588" spans="1:17" x14ac:dyDescent="0.25">
      <c r="A2588" s="3">
        <v>10401</v>
      </c>
      <c r="B2588" s="3">
        <v>85</v>
      </c>
      <c r="C2588" s="3">
        <v>88.75</v>
      </c>
      <c r="D2588" s="3">
        <v>7543.75</v>
      </c>
      <c r="E2588" s="3" t="str">
        <f t="shared" si="161"/>
        <v>High</v>
      </c>
      <c r="F2588" s="3">
        <f t="shared" si="162"/>
        <v>2263.125</v>
      </c>
      <c r="G2588" s="4">
        <v>38445</v>
      </c>
      <c r="H2588" s="3" t="s">
        <v>401</v>
      </c>
      <c r="I2588" s="3" t="str">
        <f t="shared" si="160"/>
        <v>No</v>
      </c>
      <c r="J2588" s="3" t="s">
        <v>688</v>
      </c>
      <c r="K2588" s="3">
        <v>2005</v>
      </c>
      <c r="L2588" s="3" t="str">
        <f t="shared" si="163"/>
        <v>Apr-2005</v>
      </c>
      <c r="M2588" s="3" t="s">
        <v>566</v>
      </c>
      <c r="N2588" s="3" t="s">
        <v>104</v>
      </c>
      <c r="O2588" s="3" t="s">
        <v>32</v>
      </c>
      <c r="P2588" s="3" t="s">
        <v>33</v>
      </c>
      <c r="Q2588" s="3" t="s">
        <v>151</v>
      </c>
    </row>
    <row r="2589" spans="1:17" x14ac:dyDescent="0.25">
      <c r="A2589" s="5">
        <v>10416</v>
      </c>
      <c r="B2589" s="5">
        <v>22</v>
      </c>
      <c r="C2589" s="5">
        <v>100</v>
      </c>
      <c r="D2589" s="5">
        <v>2200</v>
      </c>
      <c r="E2589" s="5" t="str">
        <f t="shared" si="161"/>
        <v>Medium</v>
      </c>
      <c r="F2589" s="5">
        <f t="shared" si="162"/>
        <v>660</v>
      </c>
      <c r="G2589" s="6">
        <v>38482</v>
      </c>
      <c r="H2589" s="5" t="s">
        <v>25</v>
      </c>
      <c r="I2589" s="5" t="str">
        <f t="shared" si="160"/>
        <v>Yes</v>
      </c>
      <c r="J2589" s="5" t="s">
        <v>682</v>
      </c>
      <c r="K2589" s="5">
        <v>2005</v>
      </c>
      <c r="L2589" s="5" t="str">
        <f t="shared" si="163"/>
        <v>May-2005</v>
      </c>
      <c r="M2589" s="5" t="s">
        <v>566</v>
      </c>
      <c r="N2589" s="5" t="s">
        <v>452</v>
      </c>
      <c r="O2589" s="5" t="s">
        <v>258</v>
      </c>
      <c r="P2589" s="5" t="s">
        <v>42</v>
      </c>
      <c r="Q2589" s="5" t="s">
        <v>36</v>
      </c>
    </row>
    <row r="2590" spans="1:17" x14ac:dyDescent="0.25">
      <c r="A2590" s="3">
        <v>10105</v>
      </c>
      <c r="B2590" s="3">
        <v>31</v>
      </c>
      <c r="C2590" s="3">
        <v>65.77</v>
      </c>
      <c r="D2590" s="3">
        <v>2038.87</v>
      </c>
      <c r="E2590" s="3" t="str">
        <f t="shared" si="161"/>
        <v>Medium</v>
      </c>
      <c r="F2590" s="3">
        <f t="shared" si="162"/>
        <v>611.66099999999994</v>
      </c>
      <c r="G2590" s="4">
        <v>37663</v>
      </c>
      <c r="H2590" s="3" t="s">
        <v>25</v>
      </c>
      <c r="I2590" s="3" t="str">
        <f t="shared" si="160"/>
        <v>Yes</v>
      </c>
      <c r="J2590" s="3" t="s">
        <v>681</v>
      </c>
      <c r="K2590" s="3">
        <v>2003</v>
      </c>
      <c r="L2590" s="3" t="str">
        <f t="shared" si="163"/>
        <v>Feb-2003</v>
      </c>
      <c r="M2590" s="3" t="s">
        <v>598</v>
      </c>
      <c r="N2590" s="3" t="s">
        <v>322</v>
      </c>
      <c r="O2590" s="3" t="s">
        <v>326</v>
      </c>
      <c r="P2590" s="3" t="s">
        <v>42</v>
      </c>
      <c r="Q2590" s="3" t="s">
        <v>36</v>
      </c>
    </row>
    <row r="2591" spans="1:17" x14ac:dyDescent="0.25">
      <c r="A2591" s="5">
        <v>10119</v>
      </c>
      <c r="B2591" s="5">
        <v>38</v>
      </c>
      <c r="C2591" s="5">
        <v>65.77</v>
      </c>
      <c r="D2591" s="5">
        <v>2499.2599999999998</v>
      </c>
      <c r="E2591" s="5" t="str">
        <f t="shared" si="161"/>
        <v>Medium</v>
      </c>
      <c r="F2591" s="5">
        <f t="shared" si="162"/>
        <v>749.77799999999991</v>
      </c>
      <c r="G2591" s="6">
        <v>37739</v>
      </c>
      <c r="H2591" s="5" t="s">
        <v>25</v>
      </c>
      <c r="I2591" s="5" t="str">
        <f t="shared" si="160"/>
        <v>Yes</v>
      </c>
      <c r="J2591" s="5" t="s">
        <v>688</v>
      </c>
      <c r="K2591" s="5">
        <v>2003</v>
      </c>
      <c r="L2591" s="5" t="str">
        <f t="shared" si="163"/>
        <v>Apr-2003</v>
      </c>
      <c r="M2591" s="5" t="s">
        <v>598</v>
      </c>
      <c r="N2591" s="5" t="s">
        <v>144</v>
      </c>
      <c r="O2591" s="5" t="s">
        <v>148</v>
      </c>
      <c r="P2591" s="5" t="s">
        <v>42</v>
      </c>
      <c r="Q2591" s="5" t="s">
        <v>36</v>
      </c>
    </row>
    <row r="2592" spans="1:17" x14ac:dyDescent="0.25">
      <c r="A2592" s="3">
        <v>10129</v>
      </c>
      <c r="B2592" s="3">
        <v>45</v>
      </c>
      <c r="C2592" s="3">
        <v>85.29</v>
      </c>
      <c r="D2592" s="3">
        <v>3838.05</v>
      </c>
      <c r="E2592" s="3" t="str">
        <f t="shared" si="161"/>
        <v>Medium</v>
      </c>
      <c r="F2592" s="3">
        <f t="shared" si="162"/>
        <v>1151.415</v>
      </c>
      <c r="G2592" s="4">
        <v>37784</v>
      </c>
      <c r="H2592" s="3" t="s">
        <v>25</v>
      </c>
      <c r="I2592" s="3" t="str">
        <f t="shared" si="160"/>
        <v>Yes</v>
      </c>
      <c r="J2592" s="3" t="s">
        <v>689</v>
      </c>
      <c r="K2592" s="3">
        <v>2003</v>
      </c>
      <c r="L2592" s="3" t="str">
        <f t="shared" si="163"/>
        <v>Jun-2003</v>
      </c>
      <c r="M2592" s="3" t="s">
        <v>598</v>
      </c>
      <c r="N2592" s="3" t="s">
        <v>329</v>
      </c>
      <c r="O2592" s="3" t="s">
        <v>170</v>
      </c>
      <c r="P2592" s="3" t="s">
        <v>42</v>
      </c>
      <c r="Q2592" s="3" t="s">
        <v>51</v>
      </c>
    </row>
    <row r="2593" spans="1:17" x14ac:dyDescent="0.25">
      <c r="A2593" s="5">
        <v>10143</v>
      </c>
      <c r="B2593" s="5">
        <v>31</v>
      </c>
      <c r="C2593" s="5">
        <v>85.29</v>
      </c>
      <c r="D2593" s="5">
        <v>2643.9900000000002</v>
      </c>
      <c r="E2593" s="5" t="str">
        <f t="shared" si="161"/>
        <v>Medium</v>
      </c>
      <c r="F2593" s="5">
        <f t="shared" si="162"/>
        <v>793.197</v>
      </c>
      <c r="G2593" s="6">
        <v>37843</v>
      </c>
      <c r="H2593" s="5" t="s">
        <v>25</v>
      </c>
      <c r="I2593" s="5" t="str">
        <f t="shared" si="160"/>
        <v>Yes</v>
      </c>
      <c r="J2593" s="5" t="s">
        <v>684</v>
      </c>
      <c r="K2593" s="5">
        <v>2003</v>
      </c>
      <c r="L2593" s="5" t="str">
        <f t="shared" si="163"/>
        <v>Aug-2003</v>
      </c>
      <c r="M2593" s="5" t="s">
        <v>598</v>
      </c>
      <c r="N2593" s="5" t="s">
        <v>335</v>
      </c>
      <c r="O2593" s="5" t="s">
        <v>32</v>
      </c>
      <c r="P2593" s="5" t="s">
        <v>33</v>
      </c>
      <c r="Q2593" s="5" t="s">
        <v>36</v>
      </c>
    </row>
    <row r="2594" spans="1:17" x14ac:dyDescent="0.25">
      <c r="A2594" s="3">
        <v>10154</v>
      </c>
      <c r="B2594" s="3">
        <v>36</v>
      </c>
      <c r="C2594" s="3">
        <v>64.33</v>
      </c>
      <c r="D2594" s="3">
        <v>2315.88</v>
      </c>
      <c r="E2594" s="3" t="str">
        <f t="shared" si="161"/>
        <v>Medium</v>
      </c>
      <c r="F2594" s="3">
        <f t="shared" si="162"/>
        <v>694.76400000000001</v>
      </c>
      <c r="G2594" s="4">
        <v>37896</v>
      </c>
      <c r="H2594" s="3" t="s">
        <v>25</v>
      </c>
      <c r="I2594" s="3" t="str">
        <f t="shared" si="160"/>
        <v>Yes</v>
      </c>
      <c r="J2594" s="3" t="s">
        <v>685</v>
      </c>
      <c r="K2594" s="3">
        <v>2003</v>
      </c>
      <c r="L2594" s="3" t="str">
        <f t="shared" si="163"/>
        <v>Oct-2003</v>
      </c>
      <c r="M2594" s="3" t="s">
        <v>598</v>
      </c>
      <c r="N2594" s="3" t="s">
        <v>514</v>
      </c>
      <c r="O2594" s="3" t="s">
        <v>32</v>
      </c>
      <c r="P2594" s="3" t="s">
        <v>33</v>
      </c>
      <c r="Q2594" s="3" t="s">
        <v>36</v>
      </c>
    </row>
    <row r="2595" spans="1:17" x14ac:dyDescent="0.25">
      <c r="A2595" s="5">
        <v>10167</v>
      </c>
      <c r="B2595" s="5">
        <v>46</v>
      </c>
      <c r="C2595" s="5">
        <v>70.11</v>
      </c>
      <c r="D2595" s="5">
        <v>3225.06</v>
      </c>
      <c r="E2595" s="5" t="str">
        <f t="shared" si="161"/>
        <v>Medium</v>
      </c>
      <c r="F2595" s="5">
        <f t="shared" si="162"/>
        <v>967.51799999999992</v>
      </c>
      <c r="G2595" s="6">
        <v>37917</v>
      </c>
      <c r="H2595" s="5" t="s">
        <v>339</v>
      </c>
      <c r="I2595" s="5" t="str">
        <f t="shared" si="160"/>
        <v>No</v>
      </c>
      <c r="J2595" s="5" t="s">
        <v>685</v>
      </c>
      <c r="K2595" s="5">
        <v>2003</v>
      </c>
      <c r="L2595" s="5" t="str">
        <f t="shared" si="163"/>
        <v>Oct-2003</v>
      </c>
      <c r="M2595" s="5" t="s">
        <v>598</v>
      </c>
      <c r="N2595" s="5" t="s">
        <v>261</v>
      </c>
      <c r="O2595" s="5" t="s">
        <v>188</v>
      </c>
      <c r="P2595" s="5" t="s">
        <v>42</v>
      </c>
      <c r="Q2595" s="5" t="s">
        <v>51</v>
      </c>
    </row>
    <row r="2596" spans="1:17" x14ac:dyDescent="0.25">
      <c r="A2596" s="3">
        <v>10177</v>
      </c>
      <c r="B2596" s="3">
        <v>32</v>
      </c>
      <c r="C2596" s="3">
        <v>76.62</v>
      </c>
      <c r="D2596" s="3">
        <v>2451.84</v>
      </c>
      <c r="E2596" s="3" t="str">
        <f t="shared" si="161"/>
        <v>Medium</v>
      </c>
      <c r="F2596" s="3">
        <f t="shared" si="162"/>
        <v>735.55200000000002</v>
      </c>
      <c r="G2596" s="4">
        <v>37932</v>
      </c>
      <c r="H2596" s="3" t="s">
        <v>25</v>
      </c>
      <c r="I2596" s="3" t="str">
        <f t="shared" si="160"/>
        <v>Yes</v>
      </c>
      <c r="J2596" s="3" t="s">
        <v>686</v>
      </c>
      <c r="K2596" s="3">
        <v>2003</v>
      </c>
      <c r="L2596" s="3" t="str">
        <f t="shared" si="163"/>
        <v>Nov-2003</v>
      </c>
      <c r="M2596" s="3" t="s">
        <v>598</v>
      </c>
      <c r="N2596" s="3" t="s">
        <v>487</v>
      </c>
      <c r="O2596" s="3" t="s">
        <v>178</v>
      </c>
      <c r="P2596" s="3" t="s">
        <v>42</v>
      </c>
      <c r="Q2596" s="3" t="s">
        <v>36</v>
      </c>
    </row>
    <row r="2597" spans="1:17" x14ac:dyDescent="0.25">
      <c r="A2597" s="5">
        <v>10185</v>
      </c>
      <c r="B2597" s="5">
        <v>39</v>
      </c>
      <c r="C2597" s="5">
        <v>57.82</v>
      </c>
      <c r="D2597" s="5">
        <v>2254.98</v>
      </c>
      <c r="E2597" s="5" t="str">
        <f t="shared" si="161"/>
        <v>Medium</v>
      </c>
      <c r="F2597" s="5">
        <f t="shared" si="162"/>
        <v>676.49400000000003</v>
      </c>
      <c r="G2597" s="6">
        <v>37939</v>
      </c>
      <c r="H2597" s="5" t="s">
        <v>25</v>
      </c>
      <c r="I2597" s="5" t="str">
        <f t="shared" si="160"/>
        <v>Yes</v>
      </c>
      <c r="J2597" s="5" t="s">
        <v>686</v>
      </c>
      <c r="K2597" s="5">
        <v>2003</v>
      </c>
      <c r="L2597" s="5" t="str">
        <f t="shared" si="163"/>
        <v>Nov-2003</v>
      </c>
      <c r="M2597" s="5" t="s">
        <v>598</v>
      </c>
      <c r="N2597" s="5" t="s">
        <v>335</v>
      </c>
      <c r="O2597" s="5" t="s">
        <v>32</v>
      </c>
      <c r="P2597" s="5" t="s">
        <v>33</v>
      </c>
      <c r="Q2597" s="5" t="s">
        <v>36</v>
      </c>
    </row>
    <row r="2598" spans="1:17" x14ac:dyDescent="0.25">
      <c r="A2598" s="3">
        <v>10197</v>
      </c>
      <c r="B2598" s="3">
        <v>50</v>
      </c>
      <c r="C2598" s="3">
        <v>78.790000000000006</v>
      </c>
      <c r="D2598" s="3">
        <v>3939.5000000000005</v>
      </c>
      <c r="E2598" s="3" t="str">
        <f t="shared" si="161"/>
        <v>Medium</v>
      </c>
      <c r="F2598" s="3">
        <f t="shared" si="162"/>
        <v>1181.8500000000001</v>
      </c>
      <c r="G2598" s="4">
        <v>37951</v>
      </c>
      <c r="H2598" s="3" t="s">
        <v>25</v>
      </c>
      <c r="I2598" s="3" t="str">
        <f t="shared" si="160"/>
        <v>Yes</v>
      </c>
      <c r="J2598" s="3" t="s">
        <v>686</v>
      </c>
      <c r="K2598" s="3">
        <v>2003</v>
      </c>
      <c r="L2598" s="3" t="str">
        <f t="shared" si="163"/>
        <v>Nov-2003</v>
      </c>
      <c r="M2598" s="3" t="s">
        <v>598</v>
      </c>
      <c r="N2598" s="3" t="s">
        <v>352</v>
      </c>
      <c r="O2598" s="3" t="s">
        <v>178</v>
      </c>
      <c r="P2598" s="3" t="s">
        <v>42</v>
      </c>
      <c r="Q2598" s="3" t="s">
        <v>51</v>
      </c>
    </row>
    <row r="2599" spans="1:17" x14ac:dyDescent="0.25">
      <c r="A2599" s="5">
        <v>10208</v>
      </c>
      <c r="B2599" s="5">
        <v>46</v>
      </c>
      <c r="C2599" s="5">
        <v>74.45</v>
      </c>
      <c r="D2599" s="5">
        <v>3424.7000000000003</v>
      </c>
      <c r="E2599" s="5" t="str">
        <f t="shared" si="161"/>
        <v>Medium</v>
      </c>
      <c r="F2599" s="5">
        <f t="shared" si="162"/>
        <v>1027.4100000000001</v>
      </c>
      <c r="G2599" s="6">
        <v>37988</v>
      </c>
      <c r="H2599" s="5" t="s">
        <v>25</v>
      </c>
      <c r="I2599" s="5" t="str">
        <f t="shared" si="160"/>
        <v>Yes</v>
      </c>
      <c r="J2599" s="5" t="s">
        <v>549</v>
      </c>
      <c r="K2599" s="5">
        <v>2004</v>
      </c>
      <c r="L2599" s="5" t="str">
        <f t="shared" si="163"/>
        <v>Jan-2004</v>
      </c>
      <c r="M2599" s="5" t="s">
        <v>598</v>
      </c>
      <c r="N2599" s="5" t="s">
        <v>219</v>
      </c>
      <c r="O2599" s="5" t="s">
        <v>41</v>
      </c>
      <c r="P2599" s="5" t="s">
        <v>42</v>
      </c>
      <c r="Q2599" s="5" t="s">
        <v>51</v>
      </c>
    </row>
    <row r="2600" spans="1:17" x14ac:dyDescent="0.25">
      <c r="A2600" s="3">
        <v>10222</v>
      </c>
      <c r="B2600" s="3">
        <v>36</v>
      </c>
      <c r="C2600" s="3">
        <v>80.95</v>
      </c>
      <c r="D2600" s="3">
        <v>2914.2000000000003</v>
      </c>
      <c r="E2600" s="3" t="str">
        <f t="shared" si="161"/>
        <v>Medium</v>
      </c>
      <c r="F2600" s="3">
        <f t="shared" si="162"/>
        <v>874.2600000000001</v>
      </c>
      <c r="G2600" s="4">
        <v>38036</v>
      </c>
      <c r="H2600" s="3" t="s">
        <v>25</v>
      </c>
      <c r="I2600" s="3" t="str">
        <f t="shared" si="160"/>
        <v>Yes</v>
      </c>
      <c r="J2600" s="3" t="s">
        <v>681</v>
      </c>
      <c r="K2600" s="3">
        <v>2004</v>
      </c>
      <c r="L2600" s="3" t="str">
        <f t="shared" si="163"/>
        <v>Feb-2004</v>
      </c>
      <c r="M2600" s="3" t="s">
        <v>598</v>
      </c>
      <c r="N2600" s="3" t="s">
        <v>362</v>
      </c>
      <c r="O2600" s="3" t="s">
        <v>32</v>
      </c>
      <c r="P2600" s="3" t="s">
        <v>33</v>
      </c>
      <c r="Q2600" s="3" t="s">
        <v>36</v>
      </c>
    </row>
    <row r="2601" spans="1:17" x14ac:dyDescent="0.25">
      <c r="A2601" s="5">
        <v>10233</v>
      </c>
      <c r="B2601" s="5">
        <v>29</v>
      </c>
      <c r="C2601" s="5">
        <v>82.4</v>
      </c>
      <c r="D2601" s="5">
        <v>2389.6000000000004</v>
      </c>
      <c r="E2601" s="5" t="str">
        <f t="shared" si="161"/>
        <v>Medium</v>
      </c>
      <c r="F2601" s="5">
        <f t="shared" si="162"/>
        <v>716.88000000000011</v>
      </c>
      <c r="G2601" s="6">
        <v>38075</v>
      </c>
      <c r="H2601" s="5" t="s">
        <v>25</v>
      </c>
      <c r="I2601" s="5" t="str">
        <f t="shared" si="160"/>
        <v>Yes</v>
      </c>
      <c r="J2601" s="5" t="s">
        <v>691</v>
      </c>
      <c r="K2601" s="5">
        <v>2004</v>
      </c>
      <c r="L2601" s="5" t="str">
        <f t="shared" si="163"/>
        <v>Mar-2004</v>
      </c>
      <c r="M2601" s="5" t="s">
        <v>598</v>
      </c>
      <c r="N2601" s="5" t="s">
        <v>104</v>
      </c>
      <c r="O2601" s="5" t="s">
        <v>32</v>
      </c>
      <c r="P2601" s="5" t="s">
        <v>33</v>
      </c>
      <c r="Q2601" s="5" t="s">
        <v>36</v>
      </c>
    </row>
    <row r="2602" spans="1:17" x14ac:dyDescent="0.25">
      <c r="A2602" s="3">
        <v>10248</v>
      </c>
      <c r="B2602" s="3">
        <v>32</v>
      </c>
      <c r="C2602" s="3">
        <v>75.89</v>
      </c>
      <c r="D2602" s="3">
        <v>2428.48</v>
      </c>
      <c r="E2602" s="3" t="str">
        <f t="shared" si="161"/>
        <v>Medium</v>
      </c>
      <c r="F2602" s="3">
        <f t="shared" si="162"/>
        <v>728.54399999999998</v>
      </c>
      <c r="G2602" s="4">
        <v>38114</v>
      </c>
      <c r="H2602" s="3" t="s">
        <v>339</v>
      </c>
      <c r="I2602" s="3" t="str">
        <f t="shared" si="160"/>
        <v>No</v>
      </c>
      <c r="J2602" s="3" t="s">
        <v>682</v>
      </c>
      <c r="K2602" s="3">
        <v>2004</v>
      </c>
      <c r="L2602" s="3" t="str">
        <f t="shared" si="163"/>
        <v>May-2004</v>
      </c>
      <c r="M2602" s="3" t="s">
        <v>598</v>
      </c>
      <c r="N2602" s="3" t="s">
        <v>28</v>
      </c>
      <c r="O2602" s="3" t="s">
        <v>32</v>
      </c>
      <c r="P2602" s="3" t="s">
        <v>33</v>
      </c>
      <c r="Q2602" s="3" t="s">
        <v>36</v>
      </c>
    </row>
    <row r="2603" spans="1:17" x14ac:dyDescent="0.25">
      <c r="A2603" s="5">
        <v>10261</v>
      </c>
      <c r="B2603" s="5">
        <v>44</v>
      </c>
      <c r="C2603" s="5">
        <v>68.67</v>
      </c>
      <c r="D2603" s="5">
        <v>3021.48</v>
      </c>
      <c r="E2603" s="5" t="str">
        <f t="shared" si="161"/>
        <v>Medium</v>
      </c>
      <c r="F2603" s="5">
        <f t="shared" si="162"/>
        <v>906.44399999999996</v>
      </c>
      <c r="G2603" s="6">
        <v>38155</v>
      </c>
      <c r="H2603" s="5" t="s">
        <v>25</v>
      </c>
      <c r="I2603" s="5" t="str">
        <f t="shared" si="160"/>
        <v>Yes</v>
      </c>
      <c r="J2603" s="5" t="s">
        <v>689</v>
      </c>
      <c r="K2603" s="5">
        <v>2004</v>
      </c>
      <c r="L2603" s="5" t="str">
        <f t="shared" si="163"/>
        <v>Jun-2004</v>
      </c>
      <c r="M2603" s="5" t="s">
        <v>598</v>
      </c>
      <c r="N2603" s="5" t="s">
        <v>292</v>
      </c>
      <c r="O2603" s="5" t="s">
        <v>231</v>
      </c>
      <c r="P2603" s="5" t="s">
        <v>33</v>
      </c>
      <c r="Q2603" s="5" t="s">
        <v>51</v>
      </c>
    </row>
    <row r="2604" spans="1:17" x14ac:dyDescent="0.25">
      <c r="A2604" s="3">
        <v>10273</v>
      </c>
      <c r="B2604" s="3">
        <v>42</v>
      </c>
      <c r="C2604" s="3">
        <v>62.16</v>
      </c>
      <c r="D2604" s="3">
        <v>2610.7199999999998</v>
      </c>
      <c r="E2604" s="3" t="str">
        <f t="shared" si="161"/>
        <v>Medium</v>
      </c>
      <c r="F2604" s="3">
        <f t="shared" si="162"/>
        <v>783.21599999999989</v>
      </c>
      <c r="G2604" s="4">
        <v>38189</v>
      </c>
      <c r="H2604" s="3" t="s">
        <v>25</v>
      </c>
      <c r="I2604" s="3" t="str">
        <f t="shared" si="160"/>
        <v>Yes</v>
      </c>
      <c r="J2604" s="3" t="s">
        <v>683</v>
      </c>
      <c r="K2604" s="3">
        <v>2004</v>
      </c>
      <c r="L2604" s="3" t="str">
        <f t="shared" si="163"/>
        <v>Jul-2004</v>
      </c>
      <c r="M2604" s="3" t="s">
        <v>598</v>
      </c>
      <c r="N2604" s="3" t="s">
        <v>365</v>
      </c>
      <c r="O2604" s="3" t="s">
        <v>370</v>
      </c>
      <c r="P2604" s="3" t="s">
        <v>42</v>
      </c>
      <c r="Q2604" s="3" t="s">
        <v>36</v>
      </c>
    </row>
    <row r="2605" spans="1:17" x14ac:dyDescent="0.25">
      <c r="A2605" s="5">
        <v>10283</v>
      </c>
      <c r="B2605" s="5">
        <v>47</v>
      </c>
      <c r="C2605" s="5">
        <v>65.77</v>
      </c>
      <c r="D2605" s="5">
        <v>3091.1899999999996</v>
      </c>
      <c r="E2605" s="5" t="str">
        <f t="shared" si="161"/>
        <v>Medium</v>
      </c>
      <c r="F2605" s="5">
        <f t="shared" si="162"/>
        <v>927.35699999999986</v>
      </c>
      <c r="G2605" s="6">
        <v>38219</v>
      </c>
      <c r="H2605" s="5" t="s">
        <v>25</v>
      </c>
      <c r="I2605" s="5" t="str">
        <f t="shared" si="160"/>
        <v>Yes</v>
      </c>
      <c r="J2605" s="5" t="s">
        <v>684</v>
      </c>
      <c r="K2605" s="5">
        <v>2004</v>
      </c>
      <c r="L2605" s="5" t="str">
        <f t="shared" si="163"/>
        <v>Aug-2004</v>
      </c>
      <c r="M2605" s="5" t="s">
        <v>598</v>
      </c>
      <c r="N2605" s="5" t="s">
        <v>373</v>
      </c>
      <c r="O2605" s="5" t="s">
        <v>231</v>
      </c>
      <c r="P2605" s="5" t="s">
        <v>33</v>
      </c>
      <c r="Q2605" s="5" t="s">
        <v>51</v>
      </c>
    </row>
    <row r="2606" spans="1:17" x14ac:dyDescent="0.25">
      <c r="A2606" s="3">
        <v>10295</v>
      </c>
      <c r="B2606" s="3">
        <v>44</v>
      </c>
      <c r="C2606" s="3">
        <v>58.55</v>
      </c>
      <c r="D2606" s="3">
        <v>2576.1999999999998</v>
      </c>
      <c r="E2606" s="3" t="str">
        <f t="shared" si="161"/>
        <v>Medium</v>
      </c>
      <c r="F2606" s="3">
        <f t="shared" si="162"/>
        <v>772.8599999999999</v>
      </c>
      <c r="G2606" s="4">
        <v>38240</v>
      </c>
      <c r="H2606" s="3" t="s">
        <v>25</v>
      </c>
      <c r="I2606" s="3" t="str">
        <f t="shared" si="160"/>
        <v>Yes</v>
      </c>
      <c r="J2606" s="3" t="s">
        <v>690</v>
      </c>
      <c r="K2606" s="3">
        <v>2004</v>
      </c>
      <c r="L2606" s="3" t="str">
        <f t="shared" si="163"/>
        <v>Sep-2004</v>
      </c>
      <c r="M2606" s="3" t="s">
        <v>598</v>
      </c>
      <c r="N2606" s="3" t="s">
        <v>379</v>
      </c>
      <c r="O2606" s="3" t="s">
        <v>32</v>
      </c>
      <c r="P2606" s="3" t="s">
        <v>33</v>
      </c>
      <c r="Q2606" s="3" t="s">
        <v>36</v>
      </c>
    </row>
    <row r="2607" spans="1:17" x14ac:dyDescent="0.25">
      <c r="A2607" s="5">
        <v>10306</v>
      </c>
      <c r="B2607" s="5">
        <v>43</v>
      </c>
      <c r="C2607" s="5">
        <v>75.17</v>
      </c>
      <c r="D2607" s="5">
        <v>3232.31</v>
      </c>
      <c r="E2607" s="5" t="str">
        <f t="shared" si="161"/>
        <v>Medium</v>
      </c>
      <c r="F2607" s="5">
        <f t="shared" si="162"/>
        <v>969.69299999999998</v>
      </c>
      <c r="G2607" s="6">
        <v>38274</v>
      </c>
      <c r="H2607" s="5" t="s">
        <v>25</v>
      </c>
      <c r="I2607" s="5" t="str">
        <f t="shared" si="160"/>
        <v>Yes</v>
      </c>
      <c r="J2607" s="5" t="s">
        <v>685</v>
      </c>
      <c r="K2607" s="5">
        <v>2004</v>
      </c>
      <c r="L2607" s="5" t="str">
        <f t="shared" si="163"/>
        <v>Oct-2004</v>
      </c>
      <c r="M2607" s="5" t="s">
        <v>598</v>
      </c>
      <c r="N2607" s="5" t="s">
        <v>492</v>
      </c>
      <c r="O2607" s="5" t="s">
        <v>170</v>
      </c>
      <c r="P2607" s="5" t="s">
        <v>42</v>
      </c>
      <c r="Q2607" s="5" t="s">
        <v>51</v>
      </c>
    </row>
    <row r="2608" spans="1:17" x14ac:dyDescent="0.25">
      <c r="A2608" s="3">
        <v>10316</v>
      </c>
      <c r="B2608" s="3">
        <v>48</v>
      </c>
      <c r="C2608" s="3">
        <v>74.45</v>
      </c>
      <c r="D2608" s="3">
        <v>3573.6000000000004</v>
      </c>
      <c r="E2608" s="3" t="str">
        <f t="shared" si="161"/>
        <v>Medium</v>
      </c>
      <c r="F2608" s="3">
        <f t="shared" si="162"/>
        <v>1072.0800000000002</v>
      </c>
      <c r="G2608" s="4">
        <v>38292</v>
      </c>
      <c r="H2608" s="3" t="s">
        <v>25</v>
      </c>
      <c r="I2608" s="3" t="str">
        <f t="shared" si="160"/>
        <v>Yes</v>
      </c>
      <c r="J2608" s="3" t="s">
        <v>686</v>
      </c>
      <c r="K2608" s="3">
        <v>2004</v>
      </c>
      <c r="L2608" s="3" t="str">
        <f t="shared" si="163"/>
        <v>Nov-2004</v>
      </c>
      <c r="M2608" s="3" t="s">
        <v>598</v>
      </c>
      <c r="N2608" s="3" t="s">
        <v>383</v>
      </c>
      <c r="O2608" s="3" t="s">
        <v>170</v>
      </c>
      <c r="P2608" s="3" t="s">
        <v>42</v>
      </c>
      <c r="Q2608" s="3" t="s">
        <v>51</v>
      </c>
    </row>
    <row r="2609" spans="1:17" x14ac:dyDescent="0.25">
      <c r="A2609" s="5">
        <v>10327</v>
      </c>
      <c r="B2609" s="5">
        <v>21</v>
      </c>
      <c r="C2609" s="5">
        <v>96.31</v>
      </c>
      <c r="D2609" s="5">
        <v>2022.51</v>
      </c>
      <c r="E2609" s="5" t="str">
        <f t="shared" si="161"/>
        <v>Medium</v>
      </c>
      <c r="F2609" s="5">
        <f t="shared" si="162"/>
        <v>606.75299999999993</v>
      </c>
      <c r="G2609" s="6">
        <v>38301</v>
      </c>
      <c r="H2609" s="5" t="s">
        <v>408</v>
      </c>
      <c r="I2609" s="5" t="str">
        <f t="shared" si="160"/>
        <v>No</v>
      </c>
      <c r="J2609" s="5" t="s">
        <v>686</v>
      </c>
      <c r="K2609" s="5">
        <v>2004</v>
      </c>
      <c r="L2609" s="5" t="str">
        <f t="shared" si="163"/>
        <v>Nov-2004</v>
      </c>
      <c r="M2609" s="5" t="s">
        <v>598</v>
      </c>
      <c r="N2609" s="5" t="s">
        <v>322</v>
      </c>
      <c r="O2609" s="5" t="s">
        <v>326</v>
      </c>
      <c r="P2609" s="5" t="s">
        <v>42</v>
      </c>
      <c r="Q2609" s="5" t="s">
        <v>36</v>
      </c>
    </row>
    <row r="2610" spans="1:17" x14ac:dyDescent="0.25">
      <c r="A2610" s="3">
        <v>10339</v>
      </c>
      <c r="B2610" s="3">
        <v>50</v>
      </c>
      <c r="C2610" s="3">
        <v>74.349999999999994</v>
      </c>
      <c r="D2610" s="3">
        <v>3717.4999999999995</v>
      </c>
      <c r="E2610" s="3" t="str">
        <f t="shared" si="161"/>
        <v>Medium</v>
      </c>
      <c r="F2610" s="3">
        <f t="shared" si="162"/>
        <v>1115.2499999999998</v>
      </c>
      <c r="G2610" s="4">
        <v>38314</v>
      </c>
      <c r="H2610" s="3" t="s">
        <v>25</v>
      </c>
      <c r="I2610" s="3" t="str">
        <f t="shared" si="160"/>
        <v>Yes</v>
      </c>
      <c r="J2610" s="3" t="s">
        <v>686</v>
      </c>
      <c r="K2610" s="3">
        <v>2004</v>
      </c>
      <c r="L2610" s="3" t="str">
        <f t="shared" si="163"/>
        <v>Nov-2004</v>
      </c>
      <c r="M2610" s="3" t="s">
        <v>598</v>
      </c>
      <c r="N2610" s="3" t="s">
        <v>246</v>
      </c>
      <c r="O2610" s="3" t="s">
        <v>200</v>
      </c>
      <c r="P2610" s="3" t="s">
        <v>675</v>
      </c>
      <c r="Q2610" s="3" t="s">
        <v>51</v>
      </c>
    </row>
    <row r="2611" spans="1:17" x14ac:dyDescent="0.25">
      <c r="A2611" s="5">
        <v>10350</v>
      </c>
      <c r="B2611" s="5">
        <v>29</v>
      </c>
      <c r="C2611" s="5">
        <v>75.349999999999994</v>
      </c>
      <c r="D2611" s="5">
        <v>2185.1499999999996</v>
      </c>
      <c r="E2611" s="5" t="str">
        <f t="shared" si="161"/>
        <v>Medium</v>
      </c>
      <c r="F2611" s="5">
        <f t="shared" si="162"/>
        <v>655.54499999999985</v>
      </c>
      <c r="G2611" s="6">
        <v>38323</v>
      </c>
      <c r="H2611" s="5" t="s">
        <v>25</v>
      </c>
      <c r="I2611" s="5" t="str">
        <f t="shared" si="160"/>
        <v>Yes</v>
      </c>
      <c r="J2611" s="5" t="s">
        <v>687</v>
      </c>
      <c r="K2611" s="5">
        <v>2004</v>
      </c>
      <c r="L2611" s="5" t="str">
        <f t="shared" si="163"/>
        <v>Dec-2004</v>
      </c>
      <c r="M2611" s="5" t="s">
        <v>598</v>
      </c>
      <c r="N2611" s="5" t="s">
        <v>174</v>
      </c>
      <c r="O2611" s="5" t="s">
        <v>178</v>
      </c>
      <c r="P2611" s="5" t="s">
        <v>42</v>
      </c>
      <c r="Q2611" s="5" t="s">
        <v>36</v>
      </c>
    </row>
    <row r="2612" spans="1:17" x14ac:dyDescent="0.25">
      <c r="A2612" s="3">
        <v>10373</v>
      </c>
      <c r="B2612" s="3">
        <v>41</v>
      </c>
      <c r="C2612" s="3">
        <v>70.33</v>
      </c>
      <c r="D2612" s="3">
        <v>2883.5299999999997</v>
      </c>
      <c r="E2612" s="3" t="str">
        <f t="shared" si="161"/>
        <v>Medium</v>
      </c>
      <c r="F2612" s="3">
        <f t="shared" si="162"/>
        <v>865.05899999999986</v>
      </c>
      <c r="G2612" s="4">
        <v>38383</v>
      </c>
      <c r="H2612" s="3" t="s">
        <v>25</v>
      </c>
      <c r="I2612" s="3" t="str">
        <f t="shared" si="160"/>
        <v>Yes</v>
      </c>
      <c r="J2612" s="3" t="s">
        <v>549</v>
      </c>
      <c r="K2612" s="3">
        <v>2005</v>
      </c>
      <c r="L2612" s="3" t="str">
        <f t="shared" si="163"/>
        <v>Jan-2005</v>
      </c>
      <c r="M2612" s="3" t="s">
        <v>598</v>
      </c>
      <c r="N2612" s="3" t="s">
        <v>391</v>
      </c>
      <c r="O2612" s="3" t="s">
        <v>130</v>
      </c>
      <c r="P2612" s="3" t="s">
        <v>42</v>
      </c>
      <c r="Q2612" s="3" t="s">
        <v>36</v>
      </c>
    </row>
    <row r="2613" spans="1:17" x14ac:dyDescent="0.25">
      <c r="A2613" s="5">
        <v>10386</v>
      </c>
      <c r="B2613" s="5">
        <v>37</v>
      </c>
      <c r="C2613" s="5">
        <v>100</v>
      </c>
      <c r="D2613" s="5">
        <v>3700</v>
      </c>
      <c r="E2613" s="5" t="str">
        <f t="shared" si="161"/>
        <v>Medium</v>
      </c>
      <c r="F2613" s="5">
        <f t="shared" si="162"/>
        <v>1110</v>
      </c>
      <c r="G2613" s="6">
        <v>38412</v>
      </c>
      <c r="H2613" s="5" t="s">
        <v>408</v>
      </c>
      <c r="I2613" s="5" t="str">
        <f t="shared" si="160"/>
        <v>No</v>
      </c>
      <c r="J2613" s="5" t="s">
        <v>691</v>
      </c>
      <c r="K2613" s="5">
        <v>2005</v>
      </c>
      <c r="L2613" s="5" t="str">
        <f t="shared" si="163"/>
        <v>Mar-2005</v>
      </c>
      <c r="M2613" s="5" t="s">
        <v>598</v>
      </c>
      <c r="N2613" s="5" t="s">
        <v>174</v>
      </c>
      <c r="O2613" s="5" t="s">
        <v>178</v>
      </c>
      <c r="P2613" s="5" t="s">
        <v>42</v>
      </c>
      <c r="Q2613" s="5" t="s">
        <v>51</v>
      </c>
    </row>
    <row r="2614" spans="1:17" x14ac:dyDescent="0.25">
      <c r="A2614" s="3">
        <v>10397</v>
      </c>
      <c r="B2614" s="3">
        <v>22</v>
      </c>
      <c r="C2614" s="3">
        <v>66.5</v>
      </c>
      <c r="D2614" s="3">
        <v>1463</v>
      </c>
      <c r="E2614" s="3" t="str">
        <f t="shared" si="161"/>
        <v>Low</v>
      </c>
      <c r="F2614" s="3">
        <f t="shared" si="162"/>
        <v>438.9</v>
      </c>
      <c r="G2614" s="4">
        <v>38439</v>
      </c>
      <c r="H2614" s="3" t="s">
        <v>25</v>
      </c>
      <c r="I2614" s="3" t="str">
        <f t="shared" si="160"/>
        <v>Yes</v>
      </c>
      <c r="J2614" s="3" t="s">
        <v>691</v>
      </c>
      <c r="K2614" s="3">
        <v>2005</v>
      </c>
      <c r="L2614" s="3" t="str">
        <f t="shared" si="163"/>
        <v>Mar-2005</v>
      </c>
      <c r="M2614" s="3" t="s">
        <v>598</v>
      </c>
      <c r="N2614" s="3" t="s">
        <v>340</v>
      </c>
      <c r="O2614" s="3" t="s">
        <v>41</v>
      </c>
      <c r="P2614" s="3" t="s">
        <v>42</v>
      </c>
      <c r="Q2614" s="3" t="s">
        <v>36</v>
      </c>
    </row>
    <row r="2615" spans="1:17" x14ac:dyDescent="0.25">
      <c r="A2615" s="5">
        <v>10414</v>
      </c>
      <c r="B2615" s="5">
        <v>31</v>
      </c>
      <c r="C2615" s="5">
        <v>75.89</v>
      </c>
      <c r="D2615" s="5">
        <v>2352.59</v>
      </c>
      <c r="E2615" s="5" t="str">
        <f t="shared" si="161"/>
        <v>Medium</v>
      </c>
      <c r="F2615" s="5">
        <f t="shared" si="162"/>
        <v>705.77700000000004</v>
      </c>
      <c r="G2615" s="6">
        <v>38478</v>
      </c>
      <c r="H2615" s="5" t="s">
        <v>401</v>
      </c>
      <c r="I2615" s="5" t="str">
        <f t="shared" si="160"/>
        <v>No</v>
      </c>
      <c r="J2615" s="5" t="s">
        <v>682</v>
      </c>
      <c r="K2615" s="5">
        <v>2005</v>
      </c>
      <c r="L2615" s="5" t="str">
        <f t="shared" si="163"/>
        <v>May-2005</v>
      </c>
      <c r="M2615" s="5" t="s">
        <v>598</v>
      </c>
      <c r="N2615" s="5" t="s">
        <v>379</v>
      </c>
      <c r="O2615" s="5" t="s">
        <v>32</v>
      </c>
      <c r="P2615" s="5" t="s">
        <v>33</v>
      </c>
      <c r="Q2615" s="5" t="s">
        <v>36</v>
      </c>
    </row>
    <row r="2616" spans="1:17" x14ac:dyDescent="0.25">
      <c r="A2616" s="3">
        <v>10103</v>
      </c>
      <c r="B2616" s="3">
        <v>42</v>
      </c>
      <c r="C2616" s="3">
        <v>100</v>
      </c>
      <c r="D2616" s="3">
        <v>4200</v>
      </c>
      <c r="E2616" s="3" t="str">
        <f t="shared" si="161"/>
        <v>Medium</v>
      </c>
      <c r="F2616" s="3">
        <f t="shared" si="162"/>
        <v>1260</v>
      </c>
      <c r="G2616" s="4">
        <v>37650</v>
      </c>
      <c r="H2616" s="3" t="s">
        <v>25</v>
      </c>
      <c r="I2616" s="3" t="str">
        <f t="shared" si="160"/>
        <v>Yes</v>
      </c>
      <c r="J2616" s="3" t="s">
        <v>549</v>
      </c>
      <c r="K2616" s="3">
        <v>2003</v>
      </c>
      <c r="L2616" s="3" t="str">
        <f t="shared" si="163"/>
        <v>Jan-2003</v>
      </c>
      <c r="M2616" s="3" t="s">
        <v>181</v>
      </c>
      <c r="N2616" s="3" t="s">
        <v>133</v>
      </c>
      <c r="O2616" s="3" t="s">
        <v>78</v>
      </c>
      <c r="P2616" s="3" t="s">
        <v>42</v>
      </c>
      <c r="Q2616" s="3" t="s">
        <v>51</v>
      </c>
    </row>
    <row r="2617" spans="1:17" x14ac:dyDescent="0.25">
      <c r="A2617" s="5">
        <v>10114</v>
      </c>
      <c r="B2617" s="5">
        <v>42</v>
      </c>
      <c r="C2617" s="5">
        <v>100</v>
      </c>
      <c r="D2617" s="5">
        <v>4200</v>
      </c>
      <c r="E2617" s="5" t="str">
        <f t="shared" si="161"/>
        <v>Medium</v>
      </c>
      <c r="F2617" s="5">
        <f t="shared" si="162"/>
        <v>1260</v>
      </c>
      <c r="G2617" s="6">
        <v>37712</v>
      </c>
      <c r="H2617" s="5" t="s">
        <v>25</v>
      </c>
      <c r="I2617" s="5" t="str">
        <f t="shared" si="160"/>
        <v>Yes</v>
      </c>
      <c r="J2617" s="5" t="s">
        <v>688</v>
      </c>
      <c r="K2617" s="5">
        <v>2003</v>
      </c>
      <c r="L2617" s="5" t="str">
        <f t="shared" si="163"/>
        <v>Apr-2003</v>
      </c>
      <c r="M2617" s="5" t="s">
        <v>181</v>
      </c>
      <c r="N2617" s="5" t="s">
        <v>403</v>
      </c>
      <c r="O2617" s="5" t="s">
        <v>41</v>
      </c>
      <c r="P2617" s="5" t="s">
        <v>42</v>
      </c>
      <c r="Q2617" s="5" t="s">
        <v>51</v>
      </c>
    </row>
    <row r="2618" spans="1:17" x14ac:dyDescent="0.25">
      <c r="A2618" s="3">
        <v>10126</v>
      </c>
      <c r="B2618" s="3">
        <v>45</v>
      </c>
      <c r="C2618" s="3">
        <v>100</v>
      </c>
      <c r="D2618" s="3">
        <v>4500</v>
      </c>
      <c r="E2618" s="3" t="str">
        <f t="shared" si="161"/>
        <v>Medium</v>
      </c>
      <c r="F2618" s="3">
        <f t="shared" si="162"/>
        <v>1350</v>
      </c>
      <c r="G2618" s="4">
        <v>37769</v>
      </c>
      <c r="H2618" s="3" t="s">
        <v>25</v>
      </c>
      <c r="I2618" s="3" t="str">
        <f t="shared" si="160"/>
        <v>Yes</v>
      </c>
      <c r="J2618" s="3" t="s">
        <v>682</v>
      </c>
      <c r="K2618" s="3">
        <v>2003</v>
      </c>
      <c r="L2618" s="3" t="str">
        <f t="shared" si="163"/>
        <v>May-2003</v>
      </c>
      <c r="M2618" s="3" t="s">
        <v>181</v>
      </c>
      <c r="N2618" s="3" t="s">
        <v>191</v>
      </c>
      <c r="O2618" s="3" t="s">
        <v>178</v>
      </c>
      <c r="P2618" s="3" t="s">
        <v>42</v>
      </c>
      <c r="Q2618" s="3" t="s">
        <v>51</v>
      </c>
    </row>
    <row r="2619" spans="1:17" x14ac:dyDescent="0.25">
      <c r="A2619" s="5">
        <v>10140</v>
      </c>
      <c r="B2619" s="5">
        <v>36</v>
      </c>
      <c r="C2619" s="5">
        <v>100</v>
      </c>
      <c r="D2619" s="5">
        <v>3600</v>
      </c>
      <c r="E2619" s="5" t="str">
        <f t="shared" si="161"/>
        <v>Medium</v>
      </c>
      <c r="F2619" s="5">
        <f t="shared" si="162"/>
        <v>1080</v>
      </c>
      <c r="G2619" s="6">
        <v>37826</v>
      </c>
      <c r="H2619" s="5" t="s">
        <v>25</v>
      </c>
      <c r="I2619" s="5" t="str">
        <f t="shared" si="160"/>
        <v>Yes</v>
      </c>
      <c r="J2619" s="5" t="s">
        <v>683</v>
      </c>
      <c r="K2619" s="5">
        <v>2003</v>
      </c>
      <c r="L2619" s="5" t="str">
        <f t="shared" si="163"/>
        <v>Jul-2003</v>
      </c>
      <c r="M2619" s="5" t="s">
        <v>181</v>
      </c>
      <c r="N2619" s="5" t="s">
        <v>62</v>
      </c>
      <c r="O2619" s="5" t="s">
        <v>32</v>
      </c>
      <c r="P2619" s="5" t="s">
        <v>33</v>
      </c>
      <c r="Q2619" s="5" t="s">
        <v>51</v>
      </c>
    </row>
    <row r="2620" spans="1:17" x14ac:dyDescent="0.25">
      <c r="A2620" s="3">
        <v>10150</v>
      </c>
      <c r="B2620" s="3">
        <v>20</v>
      </c>
      <c r="C2620" s="3">
        <v>100</v>
      </c>
      <c r="D2620" s="3">
        <v>2000</v>
      </c>
      <c r="E2620" s="3" t="str">
        <f t="shared" si="161"/>
        <v>Medium</v>
      </c>
      <c r="F2620" s="3">
        <f t="shared" si="162"/>
        <v>600</v>
      </c>
      <c r="G2620" s="4">
        <v>37883</v>
      </c>
      <c r="H2620" s="3" t="s">
        <v>25</v>
      </c>
      <c r="I2620" s="3" t="str">
        <f t="shared" si="160"/>
        <v>Yes</v>
      </c>
      <c r="J2620" s="3" t="s">
        <v>690</v>
      </c>
      <c r="K2620" s="3">
        <v>2003</v>
      </c>
      <c r="L2620" s="3" t="str">
        <f t="shared" si="163"/>
        <v>Sep-2003</v>
      </c>
      <c r="M2620" s="3" t="s">
        <v>181</v>
      </c>
      <c r="N2620" s="3" t="s">
        <v>196</v>
      </c>
      <c r="O2620" s="3" t="s">
        <v>199</v>
      </c>
      <c r="P2620" s="3" t="s">
        <v>675</v>
      </c>
      <c r="Q2620" s="3" t="s">
        <v>36</v>
      </c>
    </row>
    <row r="2621" spans="1:17" x14ac:dyDescent="0.25">
      <c r="A2621" s="5">
        <v>10164</v>
      </c>
      <c r="B2621" s="5">
        <v>39</v>
      </c>
      <c r="C2621" s="5">
        <v>81.93</v>
      </c>
      <c r="D2621" s="5">
        <v>3195.2700000000004</v>
      </c>
      <c r="E2621" s="5" t="str">
        <f t="shared" si="161"/>
        <v>Medium</v>
      </c>
      <c r="F2621" s="5">
        <f t="shared" si="162"/>
        <v>958.58100000000013</v>
      </c>
      <c r="G2621" s="6">
        <v>37915</v>
      </c>
      <c r="H2621" s="5" t="s">
        <v>408</v>
      </c>
      <c r="I2621" s="5" t="str">
        <f t="shared" si="160"/>
        <v>No</v>
      </c>
      <c r="J2621" s="5" t="s">
        <v>685</v>
      </c>
      <c r="K2621" s="5">
        <v>2003</v>
      </c>
      <c r="L2621" s="5" t="str">
        <f t="shared" si="163"/>
        <v>Oct-2003</v>
      </c>
      <c r="M2621" s="5" t="s">
        <v>181</v>
      </c>
      <c r="N2621" s="5" t="s">
        <v>409</v>
      </c>
      <c r="O2621" s="5" t="s">
        <v>148</v>
      </c>
      <c r="P2621" s="5" t="s">
        <v>42</v>
      </c>
      <c r="Q2621" s="5" t="s">
        <v>51</v>
      </c>
    </row>
    <row r="2622" spans="1:17" x14ac:dyDescent="0.25">
      <c r="A2622" s="3">
        <v>10175</v>
      </c>
      <c r="B2622" s="3">
        <v>42</v>
      </c>
      <c r="C2622" s="3">
        <v>85.98</v>
      </c>
      <c r="D2622" s="3">
        <v>3611.1600000000003</v>
      </c>
      <c r="E2622" s="3" t="str">
        <f t="shared" si="161"/>
        <v>Medium</v>
      </c>
      <c r="F2622" s="3">
        <f t="shared" si="162"/>
        <v>1083.348</v>
      </c>
      <c r="G2622" s="4">
        <v>37931</v>
      </c>
      <c r="H2622" s="3" t="s">
        <v>25</v>
      </c>
      <c r="I2622" s="3" t="str">
        <f t="shared" si="160"/>
        <v>Yes</v>
      </c>
      <c r="J2622" s="3" t="s">
        <v>686</v>
      </c>
      <c r="K2622" s="3">
        <v>2003</v>
      </c>
      <c r="L2622" s="3" t="str">
        <f t="shared" si="163"/>
        <v>Nov-2003</v>
      </c>
      <c r="M2622" s="3" t="s">
        <v>181</v>
      </c>
      <c r="N2622" s="3" t="s">
        <v>329</v>
      </c>
      <c r="O2622" s="3" t="s">
        <v>170</v>
      </c>
      <c r="P2622" s="3" t="s">
        <v>42</v>
      </c>
      <c r="Q2622" s="3" t="s">
        <v>51</v>
      </c>
    </row>
    <row r="2623" spans="1:17" x14ac:dyDescent="0.25">
      <c r="A2623" s="5">
        <v>10183</v>
      </c>
      <c r="B2623" s="5">
        <v>23</v>
      </c>
      <c r="C2623" s="5">
        <v>86.99</v>
      </c>
      <c r="D2623" s="5">
        <v>2000.77</v>
      </c>
      <c r="E2623" s="5" t="str">
        <f t="shared" si="161"/>
        <v>Medium</v>
      </c>
      <c r="F2623" s="5">
        <f t="shared" si="162"/>
        <v>600.23099999999999</v>
      </c>
      <c r="G2623" s="6">
        <v>37938</v>
      </c>
      <c r="H2623" s="5" t="s">
        <v>25</v>
      </c>
      <c r="I2623" s="5" t="str">
        <f t="shared" si="160"/>
        <v>Yes</v>
      </c>
      <c r="J2623" s="5" t="s">
        <v>686</v>
      </c>
      <c r="K2623" s="5">
        <v>2003</v>
      </c>
      <c r="L2623" s="5" t="str">
        <f t="shared" si="163"/>
        <v>Nov-2003</v>
      </c>
      <c r="M2623" s="5" t="s">
        <v>181</v>
      </c>
      <c r="N2623" s="5" t="s">
        <v>214</v>
      </c>
      <c r="O2623" s="5" t="s">
        <v>32</v>
      </c>
      <c r="P2623" s="5" t="s">
        <v>33</v>
      </c>
      <c r="Q2623" s="5" t="s">
        <v>36</v>
      </c>
    </row>
    <row r="2624" spans="1:17" x14ac:dyDescent="0.25">
      <c r="A2624" s="3">
        <v>10194</v>
      </c>
      <c r="B2624" s="3">
        <v>26</v>
      </c>
      <c r="C2624" s="3">
        <v>89.01</v>
      </c>
      <c r="D2624" s="3">
        <v>2314.2600000000002</v>
      </c>
      <c r="E2624" s="3" t="str">
        <f t="shared" si="161"/>
        <v>Medium</v>
      </c>
      <c r="F2624" s="3">
        <f t="shared" si="162"/>
        <v>694.27800000000002</v>
      </c>
      <c r="G2624" s="4">
        <v>37950</v>
      </c>
      <c r="H2624" s="3" t="s">
        <v>25</v>
      </c>
      <c r="I2624" s="3" t="str">
        <f t="shared" si="160"/>
        <v>Yes</v>
      </c>
      <c r="J2624" s="3" t="s">
        <v>686</v>
      </c>
      <c r="K2624" s="3">
        <v>2003</v>
      </c>
      <c r="L2624" s="3" t="str">
        <f t="shared" si="163"/>
        <v>Nov-2003</v>
      </c>
      <c r="M2624" s="3" t="s">
        <v>181</v>
      </c>
      <c r="N2624" s="3" t="s">
        <v>219</v>
      </c>
      <c r="O2624" s="3" t="s">
        <v>41</v>
      </c>
      <c r="P2624" s="3" t="s">
        <v>42</v>
      </c>
      <c r="Q2624" s="3" t="s">
        <v>36</v>
      </c>
    </row>
    <row r="2625" spans="1:17" x14ac:dyDescent="0.25">
      <c r="A2625" s="5">
        <v>10206</v>
      </c>
      <c r="B2625" s="5">
        <v>33</v>
      </c>
      <c r="C2625" s="5">
        <v>100</v>
      </c>
      <c r="D2625" s="5">
        <v>3300</v>
      </c>
      <c r="E2625" s="5" t="str">
        <f t="shared" si="161"/>
        <v>Medium</v>
      </c>
      <c r="F2625" s="5">
        <f t="shared" si="162"/>
        <v>990</v>
      </c>
      <c r="G2625" s="6">
        <v>37960</v>
      </c>
      <c r="H2625" s="5" t="s">
        <v>25</v>
      </c>
      <c r="I2625" s="5" t="str">
        <f t="shared" si="160"/>
        <v>Yes</v>
      </c>
      <c r="J2625" s="5" t="s">
        <v>687</v>
      </c>
      <c r="K2625" s="5">
        <v>2003</v>
      </c>
      <c r="L2625" s="5" t="str">
        <f t="shared" si="163"/>
        <v>Dec-2003</v>
      </c>
      <c r="M2625" s="5" t="s">
        <v>181</v>
      </c>
      <c r="N2625" s="5" t="s">
        <v>225</v>
      </c>
      <c r="O2625" s="5" t="s">
        <v>231</v>
      </c>
      <c r="P2625" s="5" t="s">
        <v>33</v>
      </c>
      <c r="Q2625" s="5" t="s">
        <v>51</v>
      </c>
    </row>
    <row r="2626" spans="1:17" x14ac:dyDescent="0.25">
      <c r="A2626" s="3">
        <v>10217</v>
      </c>
      <c r="B2626" s="3">
        <v>31</v>
      </c>
      <c r="C2626" s="3">
        <v>88</v>
      </c>
      <c r="D2626" s="3">
        <v>2728</v>
      </c>
      <c r="E2626" s="3" t="str">
        <f t="shared" si="161"/>
        <v>Medium</v>
      </c>
      <c r="F2626" s="3">
        <f t="shared" si="162"/>
        <v>818.4</v>
      </c>
      <c r="G2626" s="4">
        <v>38021</v>
      </c>
      <c r="H2626" s="3" t="s">
        <v>25</v>
      </c>
      <c r="I2626" s="3" t="str">
        <f t="shared" ref="I2626:I2689" si="164">IF(H2626="Shipped","Yes","No")</f>
        <v>Yes</v>
      </c>
      <c r="J2626" s="3" t="s">
        <v>681</v>
      </c>
      <c r="K2626" s="3">
        <v>2004</v>
      </c>
      <c r="L2626" s="3" t="str">
        <f t="shared" si="163"/>
        <v>Feb-2004</v>
      </c>
      <c r="M2626" s="3" t="s">
        <v>181</v>
      </c>
      <c r="N2626" s="3" t="s">
        <v>418</v>
      </c>
      <c r="O2626" s="3" t="s">
        <v>199</v>
      </c>
      <c r="P2626" s="3" t="s">
        <v>96</v>
      </c>
      <c r="Q2626" s="3" t="s">
        <v>36</v>
      </c>
    </row>
    <row r="2627" spans="1:17" x14ac:dyDescent="0.25">
      <c r="A2627" s="5">
        <v>10229</v>
      </c>
      <c r="B2627" s="5">
        <v>50</v>
      </c>
      <c r="C2627" s="5">
        <v>100</v>
      </c>
      <c r="D2627" s="5">
        <v>5000</v>
      </c>
      <c r="E2627" s="5" t="str">
        <f t="shared" ref="E2627:E2690" si="165">IF(D2627&gt;=5000,"High",IF(D2627&gt;=2000,"Medium","Low"))</f>
        <v>High</v>
      </c>
      <c r="F2627" s="5">
        <f t="shared" ref="F2627:F2690" si="166">(D2627*0.3)</f>
        <v>1500</v>
      </c>
      <c r="G2627" s="6">
        <v>38057</v>
      </c>
      <c r="H2627" s="5" t="s">
        <v>25</v>
      </c>
      <c r="I2627" s="5" t="str">
        <f t="shared" si="164"/>
        <v>Yes</v>
      </c>
      <c r="J2627" s="5" t="s">
        <v>691</v>
      </c>
      <c r="K2627" s="5">
        <v>2004</v>
      </c>
      <c r="L2627" s="5" t="str">
        <f t="shared" ref="L2627:L2690" si="167">TEXT(G:G,"MMM-YYYY")</f>
        <v>Mar-2004</v>
      </c>
      <c r="M2627" s="5" t="s">
        <v>181</v>
      </c>
      <c r="N2627" s="5" t="s">
        <v>272</v>
      </c>
      <c r="O2627" s="5" t="s">
        <v>32</v>
      </c>
      <c r="P2627" s="5" t="s">
        <v>33</v>
      </c>
      <c r="Q2627" s="5" t="s">
        <v>51</v>
      </c>
    </row>
    <row r="2628" spans="1:17" x14ac:dyDescent="0.25">
      <c r="A2628" s="3">
        <v>10245</v>
      </c>
      <c r="B2628" s="3">
        <v>44</v>
      </c>
      <c r="C2628" s="3">
        <v>100</v>
      </c>
      <c r="D2628" s="3">
        <v>4400</v>
      </c>
      <c r="E2628" s="3" t="str">
        <f t="shared" si="165"/>
        <v>Medium</v>
      </c>
      <c r="F2628" s="3">
        <f t="shared" si="166"/>
        <v>1320</v>
      </c>
      <c r="G2628" s="4">
        <v>38111</v>
      </c>
      <c r="H2628" s="3" t="s">
        <v>25</v>
      </c>
      <c r="I2628" s="3" t="str">
        <f t="shared" si="164"/>
        <v>Yes</v>
      </c>
      <c r="J2628" s="3" t="s">
        <v>682</v>
      </c>
      <c r="K2628" s="3">
        <v>2004</v>
      </c>
      <c r="L2628" s="3" t="str">
        <f t="shared" si="167"/>
        <v>May-2004</v>
      </c>
      <c r="M2628" s="3" t="s">
        <v>181</v>
      </c>
      <c r="N2628" s="3" t="s">
        <v>242</v>
      </c>
      <c r="O2628" s="3" t="s">
        <v>32</v>
      </c>
      <c r="P2628" s="3" t="s">
        <v>33</v>
      </c>
      <c r="Q2628" s="3" t="s">
        <v>51</v>
      </c>
    </row>
    <row r="2629" spans="1:17" x14ac:dyDescent="0.25">
      <c r="A2629" s="5">
        <v>10258</v>
      </c>
      <c r="B2629" s="5">
        <v>45</v>
      </c>
      <c r="C2629" s="5">
        <v>80.92</v>
      </c>
      <c r="D2629" s="5">
        <v>3641.4</v>
      </c>
      <c r="E2629" s="5" t="str">
        <f t="shared" si="165"/>
        <v>Medium</v>
      </c>
      <c r="F2629" s="5">
        <f t="shared" si="166"/>
        <v>1092.42</v>
      </c>
      <c r="G2629" s="6">
        <v>38153</v>
      </c>
      <c r="H2629" s="5" t="s">
        <v>25</v>
      </c>
      <c r="I2629" s="5" t="str">
        <f t="shared" si="164"/>
        <v>Yes</v>
      </c>
      <c r="J2629" s="5" t="s">
        <v>689</v>
      </c>
      <c r="K2629" s="5">
        <v>2004</v>
      </c>
      <c r="L2629" s="5" t="str">
        <f t="shared" si="167"/>
        <v>Jun-2004</v>
      </c>
      <c r="M2629" s="5" t="s">
        <v>181</v>
      </c>
      <c r="N2629" s="5" t="s">
        <v>246</v>
      </c>
      <c r="O2629" s="5" t="s">
        <v>200</v>
      </c>
      <c r="P2629" s="5" t="s">
        <v>675</v>
      </c>
      <c r="Q2629" s="5" t="s">
        <v>51</v>
      </c>
    </row>
    <row r="2630" spans="1:17" x14ac:dyDescent="0.25">
      <c r="A2630" s="3">
        <v>10270</v>
      </c>
      <c r="B2630" s="3">
        <v>46</v>
      </c>
      <c r="C2630" s="3">
        <v>88</v>
      </c>
      <c r="D2630" s="3">
        <v>4048</v>
      </c>
      <c r="E2630" s="3" t="str">
        <f t="shared" si="165"/>
        <v>Medium</v>
      </c>
      <c r="F2630" s="3">
        <f t="shared" si="166"/>
        <v>1214.3999999999999</v>
      </c>
      <c r="G2630" s="4">
        <v>38187</v>
      </c>
      <c r="H2630" s="3" t="s">
        <v>25</v>
      </c>
      <c r="I2630" s="3" t="str">
        <f t="shared" si="164"/>
        <v>Yes</v>
      </c>
      <c r="J2630" s="3" t="s">
        <v>683</v>
      </c>
      <c r="K2630" s="3">
        <v>2004</v>
      </c>
      <c r="L2630" s="3" t="str">
        <f t="shared" si="167"/>
        <v>Jul-2004</v>
      </c>
      <c r="M2630" s="3" t="s">
        <v>181</v>
      </c>
      <c r="N2630" s="3" t="s">
        <v>152</v>
      </c>
      <c r="O2630" s="3" t="s">
        <v>95</v>
      </c>
      <c r="P2630" s="3" t="s">
        <v>96</v>
      </c>
      <c r="Q2630" s="3" t="s">
        <v>51</v>
      </c>
    </row>
    <row r="2631" spans="1:17" x14ac:dyDescent="0.25">
      <c r="A2631" s="5">
        <v>10281</v>
      </c>
      <c r="B2631" s="5">
        <v>27</v>
      </c>
      <c r="C2631" s="5">
        <v>85.98</v>
      </c>
      <c r="D2631" s="5">
        <v>2321.46</v>
      </c>
      <c r="E2631" s="5" t="str">
        <f t="shared" si="165"/>
        <v>Medium</v>
      </c>
      <c r="F2631" s="5">
        <f t="shared" si="166"/>
        <v>696.43799999999999</v>
      </c>
      <c r="G2631" s="6">
        <v>38218</v>
      </c>
      <c r="H2631" s="5" t="s">
        <v>25</v>
      </c>
      <c r="I2631" s="5" t="str">
        <f t="shared" si="164"/>
        <v>Yes</v>
      </c>
      <c r="J2631" s="5" t="s">
        <v>684</v>
      </c>
      <c r="K2631" s="5">
        <v>2004</v>
      </c>
      <c r="L2631" s="5" t="str">
        <f t="shared" si="167"/>
        <v>Aug-2004</v>
      </c>
      <c r="M2631" s="5" t="s">
        <v>181</v>
      </c>
      <c r="N2631" s="5" t="s">
        <v>139</v>
      </c>
      <c r="O2631" s="5" t="s">
        <v>32</v>
      </c>
      <c r="P2631" s="5" t="s">
        <v>33</v>
      </c>
      <c r="Q2631" s="5" t="s">
        <v>36</v>
      </c>
    </row>
    <row r="2632" spans="1:17" x14ac:dyDescent="0.25">
      <c r="A2632" s="3">
        <v>10291</v>
      </c>
      <c r="B2632" s="3">
        <v>28</v>
      </c>
      <c r="C2632" s="3">
        <v>100</v>
      </c>
      <c r="D2632" s="3">
        <v>2800</v>
      </c>
      <c r="E2632" s="3" t="str">
        <f t="shared" si="165"/>
        <v>Medium</v>
      </c>
      <c r="F2632" s="3">
        <f t="shared" si="166"/>
        <v>840</v>
      </c>
      <c r="G2632" s="4">
        <v>38238</v>
      </c>
      <c r="H2632" s="3" t="s">
        <v>25</v>
      </c>
      <c r="I2632" s="3" t="str">
        <f t="shared" si="164"/>
        <v>Yes</v>
      </c>
      <c r="J2632" s="3" t="s">
        <v>690</v>
      </c>
      <c r="K2632" s="3">
        <v>2004</v>
      </c>
      <c r="L2632" s="3" t="str">
        <f t="shared" si="167"/>
        <v>Sep-2004</v>
      </c>
      <c r="M2632" s="3" t="s">
        <v>181</v>
      </c>
      <c r="N2632" s="3" t="s">
        <v>261</v>
      </c>
      <c r="O2632" s="3" t="s">
        <v>188</v>
      </c>
      <c r="P2632" s="3" t="s">
        <v>42</v>
      </c>
      <c r="Q2632" s="3" t="s">
        <v>51</v>
      </c>
    </row>
    <row r="2633" spans="1:17" x14ac:dyDescent="0.25">
      <c r="A2633" s="5">
        <v>10304</v>
      </c>
      <c r="B2633" s="5">
        <v>40</v>
      </c>
      <c r="C2633" s="5">
        <v>100</v>
      </c>
      <c r="D2633" s="5">
        <v>4000</v>
      </c>
      <c r="E2633" s="5" t="str">
        <f t="shared" si="165"/>
        <v>Medium</v>
      </c>
      <c r="F2633" s="5">
        <f t="shared" si="166"/>
        <v>1200</v>
      </c>
      <c r="G2633" s="6">
        <v>38271</v>
      </c>
      <c r="H2633" s="5" t="s">
        <v>25</v>
      </c>
      <c r="I2633" s="5" t="str">
        <f t="shared" si="164"/>
        <v>Yes</v>
      </c>
      <c r="J2633" s="5" t="s">
        <v>685</v>
      </c>
      <c r="K2633" s="5">
        <v>2004</v>
      </c>
      <c r="L2633" s="5" t="str">
        <f t="shared" si="167"/>
        <v>Oct-2004</v>
      </c>
      <c r="M2633" s="5" t="s">
        <v>181</v>
      </c>
      <c r="N2633" s="5" t="s">
        <v>267</v>
      </c>
      <c r="O2633" s="5" t="s">
        <v>41</v>
      </c>
      <c r="P2633" s="5" t="s">
        <v>42</v>
      </c>
      <c r="Q2633" s="5" t="s">
        <v>51</v>
      </c>
    </row>
    <row r="2634" spans="1:17" x14ac:dyDescent="0.25">
      <c r="A2634" s="3">
        <v>10313</v>
      </c>
      <c r="B2634" s="3">
        <v>30</v>
      </c>
      <c r="C2634" s="3">
        <v>99.13</v>
      </c>
      <c r="D2634" s="3">
        <v>2973.8999999999996</v>
      </c>
      <c r="E2634" s="3" t="str">
        <f t="shared" si="165"/>
        <v>Medium</v>
      </c>
      <c r="F2634" s="3">
        <f t="shared" si="166"/>
        <v>892.16999999999985</v>
      </c>
      <c r="G2634" s="4">
        <v>38282</v>
      </c>
      <c r="H2634" s="3" t="s">
        <v>25</v>
      </c>
      <c r="I2634" s="3" t="str">
        <f t="shared" si="164"/>
        <v>Yes</v>
      </c>
      <c r="J2634" s="3" t="s">
        <v>685</v>
      </c>
      <c r="K2634" s="3">
        <v>2004</v>
      </c>
      <c r="L2634" s="3" t="str">
        <f t="shared" si="167"/>
        <v>Oct-2004</v>
      </c>
      <c r="M2634" s="3" t="s">
        <v>181</v>
      </c>
      <c r="N2634" s="3" t="s">
        <v>225</v>
      </c>
      <c r="O2634" s="3" t="s">
        <v>231</v>
      </c>
      <c r="P2634" s="3" t="s">
        <v>33</v>
      </c>
      <c r="Q2634" s="3" t="s">
        <v>36</v>
      </c>
    </row>
    <row r="2635" spans="1:17" x14ac:dyDescent="0.25">
      <c r="A2635" s="5">
        <v>10324</v>
      </c>
      <c r="B2635" s="5">
        <v>34</v>
      </c>
      <c r="C2635" s="5">
        <v>100</v>
      </c>
      <c r="D2635" s="5">
        <v>3400</v>
      </c>
      <c r="E2635" s="5" t="str">
        <f t="shared" si="165"/>
        <v>Medium</v>
      </c>
      <c r="F2635" s="5">
        <f t="shared" si="166"/>
        <v>1020</v>
      </c>
      <c r="G2635" s="6">
        <v>38296</v>
      </c>
      <c r="H2635" s="5" t="s">
        <v>25</v>
      </c>
      <c r="I2635" s="5" t="str">
        <f t="shared" si="164"/>
        <v>Yes</v>
      </c>
      <c r="J2635" s="5" t="s">
        <v>686</v>
      </c>
      <c r="K2635" s="5">
        <v>2004</v>
      </c>
      <c r="L2635" s="5" t="str">
        <f t="shared" si="167"/>
        <v>Nov-2004</v>
      </c>
      <c r="M2635" s="5" t="s">
        <v>181</v>
      </c>
      <c r="N2635" s="5" t="s">
        <v>99</v>
      </c>
      <c r="O2635" s="5" t="s">
        <v>32</v>
      </c>
      <c r="P2635" s="5" t="s">
        <v>33</v>
      </c>
      <c r="Q2635" s="5" t="s">
        <v>51</v>
      </c>
    </row>
    <row r="2636" spans="1:17" x14ac:dyDescent="0.25">
      <c r="A2636" s="3">
        <v>10336</v>
      </c>
      <c r="B2636" s="3">
        <v>46</v>
      </c>
      <c r="C2636" s="3">
        <v>100</v>
      </c>
      <c r="D2636" s="3">
        <v>4600</v>
      </c>
      <c r="E2636" s="3" t="str">
        <f t="shared" si="165"/>
        <v>Medium</v>
      </c>
      <c r="F2636" s="3">
        <f t="shared" si="166"/>
        <v>1380</v>
      </c>
      <c r="G2636" s="4">
        <v>38311</v>
      </c>
      <c r="H2636" s="3" t="s">
        <v>25</v>
      </c>
      <c r="I2636" s="3" t="str">
        <f t="shared" si="164"/>
        <v>Yes</v>
      </c>
      <c r="J2636" s="3" t="s">
        <v>686</v>
      </c>
      <c r="K2636" s="3">
        <v>2004</v>
      </c>
      <c r="L2636" s="3" t="str">
        <f t="shared" si="167"/>
        <v>Nov-2004</v>
      </c>
      <c r="M2636" s="3" t="s">
        <v>181</v>
      </c>
      <c r="N2636" s="3" t="s">
        <v>403</v>
      </c>
      <c r="O2636" s="3" t="s">
        <v>41</v>
      </c>
      <c r="P2636" s="3" t="s">
        <v>42</v>
      </c>
      <c r="Q2636" s="3" t="s">
        <v>151</v>
      </c>
    </row>
    <row r="2637" spans="1:17" x14ac:dyDescent="0.25">
      <c r="A2637" s="5">
        <v>10348</v>
      </c>
      <c r="B2637" s="5">
        <v>32</v>
      </c>
      <c r="C2637" s="5">
        <v>82.83</v>
      </c>
      <c r="D2637" s="5">
        <v>2650.56</v>
      </c>
      <c r="E2637" s="5" t="str">
        <f t="shared" si="165"/>
        <v>Medium</v>
      </c>
      <c r="F2637" s="5">
        <f t="shared" si="166"/>
        <v>795.16800000000001</v>
      </c>
      <c r="G2637" s="6">
        <v>38292</v>
      </c>
      <c r="H2637" s="5" t="s">
        <v>25</v>
      </c>
      <c r="I2637" s="5" t="str">
        <f t="shared" si="164"/>
        <v>Yes</v>
      </c>
      <c r="J2637" s="5" t="s">
        <v>686</v>
      </c>
      <c r="K2637" s="5">
        <v>2004</v>
      </c>
      <c r="L2637" s="5" t="str">
        <f t="shared" si="167"/>
        <v>Nov-2004</v>
      </c>
      <c r="M2637" s="5" t="s">
        <v>181</v>
      </c>
      <c r="N2637" s="5" t="s">
        <v>191</v>
      </c>
      <c r="O2637" s="5" t="s">
        <v>178</v>
      </c>
      <c r="P2637" s="5" t="s">
        <v>42</v>
      </c>
      <c r="Q2637" s="5" t="s">
        <v>36</v>
      </c>
    </row>
    <row r="2638" spans="1:17" x14ac:dyDescent="0.25">
      <c r="A2638" s="3">
        <v>10358</v>
      </c>
      <c r="B2638" s="3">
        <v>27</v>
      </c>
      <c r="C2638" s="3">
        <v>100</v>
      </c>
      <c r="D2638" s="3">
        <v>2700</v>
      </c>
      <c r="E2638" s="3" t="str">
        <f t="shared" si="165"/>
        <v>Medium</v>
      </c>
      <c r="F2638" s="3">
        <f t="shared" si="166"/>
        <v>810</v>
      </c>
      <c r="G2638" s="4">
        <v>38331</v>
      </c>
      <c r="H2638" s="3" t="s">
        <v>25</v>
      </c>
      <c r="I2638" s="3" t="str">
        <f t="shared" si="164"/>
        <v>Yes</v>
      </c>
      <c r="J2638" s="3" t="s">
        <v>687</v>
      </c>
      <c r="K2638" s="3">
        <v>2004</v>
      </c>
      <c r="L2638" s="3" t="str">
        <f t="shared" si="167"/>
        <v>Dec-2004</v>
      </c>
      <c r="M2638" s="3" t="s">
        <v>181</v>
      </c>
      <c r="N2638" s="3" t="s">
        <v>174</v>
      </c>
      <c r="O2638" s="3" t="s">
        <v>178</v>
      </c>
      <c r="P2638" s="3" t="s">
        <v>42</v>
      </c>
      <c r="Q2638" s="3" t="s">
        <v>51</v>
      </c>
    </row>
    <row r="2639" spans="1:17" x14ac:dyDescent="0.25">
      <c r="A2639" s="5">
        <v>10371</v>
      </c>
      <c r="B2639" s="5">
        <v>34</v>
      </c>
      <c r="C2639" s="5">
        <v>100</v>
      </c>
      <c r="D2639" s="5">
        <v>3400</v>
      </c>
      <c r="E2639" s="5" t="str">
        <f t="shared" si="165"/>
        <v>Medium</v>
      </c>
      <c r="F2639" s="5">
        <f t="shared" si="166"/>
        <v>1020</v>
      </c>
      <c r="G2639" s="6">
        <v>38375</v>
      </c>
      <c r="H2639" s="5" t="s">
        <v>25</v>
      </c>
      <c r="I2639" s="5" t="str">
        <f t="shared" si="164"/>
        <v>Yes</v>
      </c>
      <c r="J2639" s="5" t="s">
        <v>549</v>
      </c>
      <c r="K2639" s="5">
        <v>2005</v>
      </c>
      <c r="L2639" s="5" t="str">
        <f t="shared" si="167"/>
        <v>Jan-2005</v>
      </c>
      <c r="M2639" s="5" t="s">
        <v>181</v>
      </c>
      <c r="N2639" s="5" t="s">
        <v>272</v>
      </c>
      <c r="O2639" s="5" t="s">
        <v>32</v>
      </c>
      <c r="P2639" s="5" t="s">
        <v>33</v>
      </c>
      <c r="Q2639" s="5" t="s">
        <v>51</v>
      </c>
    </row>
    <row r="2640" spans="1:17" x14ac:dyDescent="0.25">
      <c r="A2640" s="3">
        <v>10382</v>
      </c>
      <c r="B2640" s="3">
        <v>34</v>
      </c>
      <c r="C2640" s="3">
        <v>54.84</v>
      </c>
      <c r="D2640" s="3">
        <v>1864.5600000000002</v>
      </c>
      <c r="E2640" s="3" t="str">
        <f t="shared" si="165"/>
        <v>Low</v>
      </c>
      <c r="F2640" s="3">
        <f t="shared" si="166"/>
        <v>559.36800000000005</v>
      </c>
      <c r="G2640" s="4">
        <v>38400</v>
      </c>
      <c r="H2640" s="3" t="s">
        <v>25</v>
      </c>
      <c r="I2640" s="3" t="str">
        <f t="shared" si="164"/>
        <v>Yes</v>
      </c>
      <c r="J2640" s="3" t="s">
        <v>681</v>
      </c>
      <c r="K2640" s="3">
        <v>2005</v>
      </c>
      <c r="L2640" s="3" t="str">
        <f t="shared" si="167"/>
        <v>Feb-2005</v>
      </c>
      <c r="M2640" s="3" t="s">
        <v>181</v>
      </c>
      <c r="N2640" s="3" t="s">
        <v>272</v>
      </c>
      <c r="O2640" s="3" t="s">
        <v>32</v>
      </c>
      <c r="P2640" s="3" t="s">
        <v>33</v>
      </c>
      <c r="Q2640" s="3" t="s">
        <v>36</v>
      </c>
    </row>
    <row r="2641" spans="1:17" x14ac:dyDescent="0.25">
      <c r="A2641" s="5">
        <v>10411</v>
      </c>
      <c r="B2641" s="5">
        <v>34</v>
      </c>
      <c r="C2641" s="5">
        <v>100</v>
      </c>
      <c r="D2641" s="5">
        <v>3400</v>
      </c>
      <c r="E2641" s="5" t="str">
        <f t="shared" si="165"/>
        <v>Medium</v>
      </c>
      <c r="F2641" s="5">
        <f t="shared" si="166"/>
        <v>1020</v>
      </c>
      <c r="G2641" s="6">
        <v>38473</v>
      </c>
      <c r="H2641" s="5" t="s">
        <v>25</v>
      </c>
      <c r="I2641" s="5" t="str">
        <f t="shared" si="164"/>
        <v>Yes</v>
      </c>
      <c r="J2641" s="5" t="s">
        <v>682</v>
      </c>
      <c r="K2641" s="5">
        <v>2005</v>
      </c>
      <c r="L2641" s="5" t="str">
        <f t="shared" si="167"/>
        <v>May-2005</v>
      </c>
      <c r="M2641" s="5" t="s">
        <v>181</v>
      </c>
      <c r="N2641" s="5" t="s">
        <v>292</v>
      </c>
      <c r="O2641" s="5" t="s">
        <v>231</v>
      </c>
      <c r="P2641" s="5" t="s">
        <v>33</v>
      </c>
      <c r="Q2641" s="5" t="s">
        <v>51</v>
      </c>
    </row>
    <row r="2642" spans="1:17" x14ac:dyDescent="0.25">
      <c r="A2642" s="3">
        <v>10424</v>
      </c>
      <c r="B2642" s="3">
        <v>46</v>
      </c>
      <c r="C2642" s="3">
        <v>80.92</v>
      </c>
      <c r="D2642" s="3">
        <v>3722.32</v>
      </c>
      <c r="E2642" s="3" t="str">
        <f t="shared" si="165"/>
        <v>Medium</v>
      </c>
      <c r="F2642" s="3">
        <f t="shared" si="166"/>
        <v>1116.6959999999999</v>
      </c>
      <c r="G2642" s="4">
        <v>38503</v>
      </c>
      <c r="H2642" s="3" t="s">
        <v>300</v>
      </c>
      <c r="I2642" s="3" t="str">
        <f t="shared" si="164"/>
        <v>No</v>
      </c>
      <c r="J2642" s="3" t="s">
        <v>682</v>
      </c>
      <c r="K2642" s="3">
        <v>2005</v>
      </c>
      <c r="L2642" s="3" t="str">
        <f t="shared" si="167"/>
        <v>May-2005</v>
      </c>
      <c r="M2642" s="3" t="s">
        <v>181</v>
      </c>
      <c r="N2642" s="3" t="s">
        <v>174</v>
      </c>
      <c r="O2642" s="3" t="s">
        <v>178</v>
      </c>
      <c r="P2642" s="3" t="s">
        <v>42</v>
      </c>
      <c r="Q2642" s="3" t="s">
        <v>51</v>
      </c>
    </row>
    <row r="2643" spans="1:17" x14ac:dyDescent="0.25">
      <c r="A2643" s="5">
        <v>10106</v>
      </c>
      <c r="B2643" s="5">
        <v>32</v>
      </c>
      <c r="C2643" s="5">
        <v>100</v>
      </c>
      <c r="D2643" s="5">
        <v>3200</v>
      </c>
      <c r="E2643" s="5" t="str">
        <f t="shared" si="165"/>
        <v>Medium</v>
      </c>
      <c r="F2643" s="5">
        <f t="shared" si="166"/>
        <v>960</v>
      </c>
      <c r="G2643" s="6">
        <v>37669</v>
      </c>
      <c r="H2643" s="5" t="s">
        <v>25</v>
      </c>
      <c r="I2643" s="5" t="str">
        <f t="shared" si="164"/>
        <v>Yes</v>
      </c>
      <c r="J2643" s="5" t="s">
        <v>681</v>
      </c>
      <c r="K2643" s="5">
        <v>2003</v>
      </c>
      <c r="L2643" s="5" t="str">
        <f t="shared" si="167"/>
        <v>Feb-2003</v>
      </c>
      <c r="M2643" s="5" t="s">
        <v>566</v>
      </c>
      <c r="N2643" s="5" t="s">
        <v>552</v>
      </c>
      <c r="O2643" s="5" t="s">
        <v>258</v>
      </c>
      <c r="P2643" s="5" t="s">
        <v>42</v>
      </c>
      <c r="Q2643" s="5" t="s">
        <v>51</v>
      </c>
    </row>
    <row r="2644" spans="1:17" x14ac:dyDescent="0.25">
      <c r="A2644" s="3">
        <v>10120</v>
      </c>
      <c r="B2644" s="3">
        <v>24</v>
      </c>
      <c r="C2644" s="3">
        <v>100</v>
      </c>
      <c r="D2644" s="3">
        <v>2400</v>
      </c>
      <c r="E2644" s="3" t="str">
        <f t="shared" si="165"/>
        <v>Medium</v>
      </c>
      <c r="F2644" s="3">
        <f t="shared" si="166"/>
        <v>720</v>
      </c>
      <c r="G2644" s="4">
        <v>37740</v>
      </c>
      <c r="H2644" s="3" t="s">
        <v>25</v>
      </c>
      <c r="I2644" s="3" t="str">
        <f t="shared" si="164"/>
        <v>Yes</v>
      </c>
      <c r="J2644" s="3" t="s">
        <v>688</v>
      </c>
      <c r="K2644" s="3">
        <v>2003</v>
      </c>
      <c r="L2644" s="3" t="str">
        <f t="shared" si="167"/>
        <v>Apr-2003</v>
      </c>
      <c r="M2644" s="3" t="s">
        <v>566</v>
      </c>
      <c r="N2644" s="3" t="s">
        <v>89</v>
      </c>
      <c r="O2644" s="3" t="s">
        <v>95</v>
      </c>
      <c r="P2644" s="3" t="s">
        <v>96</v>
      </c>
      <c r="Q2644" s="3" t="s">
        <v>51</v>
      </c>
    </row>
    <row r="2645" spans="1:17" x14ac:dyDescent="0.25">
      <c r="A2645" s="5">
        <v>10133</v>
      </c>
      <c r="B2645" s="5">
        <v>27</v>
      </c>
      <c r="C2645" s="5">
        <v>99.67</v>
      </c>
      <c r="D2645" s="5">
        <v>2691.09</v>
      </c>
      <c r="E2645" s="5" t="str">
        <f t="shared" si="165"/>
        <v>Medium</v>
      </c>
      <c r="F2645" s="5">
        <f t="shared" si="166"/>
        <v>807.327</v>
      </c>
      <c r="G2645" s="6">
        <v>37799</v>
      </c>
      <c r="H2645" s="5" t="s">
        <v>25</v>
      </c>
      <c r="I2645" s="5" t="str">
        <f t="shared" si="164"/>
        <v>Yes</v>
      </c>
      <c r="J2645" s="5" t="s">
        <v>689</v>
      </c>
      <c r="K2645" s="5">
        <v>2003</v>
      </c>
      <c r="L2645" s="5" t="str">
        <f t="shared" si="167"/>
        <v>Jun-2003</v>
      </c>
      <c r="M2645" s="5" t="s">
        <v>566</v>
      </c>
      <c r="N2645" s="5" t="s">
        <v>174</v>
      </c>
      <c r="O2645" s="5" t="s">
        <v>178</v>
      </c>
      <c r="P2645" s="5" t="s">
        <v>42</v>
      </c>
      <c r="Q2645" s="5" t="s">
        <v>36</v>
      </c>
    </row>
    <row r="2646" spans="1:17" x14ac:dyDescent="0.25">
      <c r="A2646" s="3">
        <v>10145</v>
      </c>
      <c r="B2646" s="3">
        <v>20</v>
      </c>
      <c r="C2646" s="3">
        <v>100</v>
      </c>
      <c r="D2646" s="3">
        <v>2000</v>
      </c>
      <c r="E2646" s="3" t="str">
        <f t="shared" si="165"/>
        <v>Medium</v>
      </c>
      <c r="F2646" s="3">
        <f t="shared" si="166"/>
        <v>600</v>
      </c>
      <c r="G2646" s="4">
        <v>37858</v>
      </c>
      <c r="H2646" s="3" t="s">
        <v>25</v>
      </c>
      <c r="I2646" s="3" t="str">
        <f t="shared" si="164"/>
        <v>Yes</v>
      </c>
      <c r="J2646" s="3" t="s">
        <v>684</v>
      </c>
      <c r="K2646" s="3">
        <v>2003</v>
      </c>
      <c r="L2646" s="3" t="str">
        <f t="shared" si="167"/>
        <v>Aug-2003</v>
      </c>
      <c r="M2646" s="3" t="s">
        <v>566</v>
      </c>
      <c r="N2646" s="3" t="s">
        <v>52</v>
      </c>
      <c r="O2646" s="3" t="s">
        <v>32</v>
      </c>
      <c r="P2646" s="3" t="s">
        <v>33</v>
      </c>
      <c r="Q2646" s="3" t="s">
        <v>36</v>
      </c>
    </row>
    <row r="2647" spans="1:17" x14ac:dyDescent="0.25">
      <c r="A2647" s="5">
        <v>10168</v>
      </c>
      <c r="B2647" s="5">
        <v>36</v>
      </c>
      <c r="C2647" s="5">
        <v>100</v>
      </c>
      <c r="D2647" s="5">
        <v>3600</v>
      </c>
      <c r="E2647" s="5" t="str">
        <f t="shared" si="165"/>
        <v>Medium</v>
      </c>
      <c r="F2647" s="5">
        <f t="shared" si="166"/>
        <v>1080</v>
      </c>
      <c r="G2647" s="6">
        <v>37922</v>
      </c>
      <c r="H2647" s="5" t="s">
        <v>25</v>
      </c>
      <c r="I2647" s="5" t="str">
        <f t="shared" si="164"/>
        <v>Yes</v>
      </c>
      <c r="J2647" s="5" t="s">
        <v>685</v>
      </c>
      <c r="K2647" s="5">
        <v>2003</v>
      </c>
      <c r="L2647" s="5" t="str">
        <f t="shared" si="167"/>
        <v>Oct-2003</v>
      </c>
      <c r="M2647" s="5" t="s">
        <v>566</v>
      </c>
      <c r="N2647" s="5" t="s">
        <v>62</v>
      </c>
      <c r="O2647" s="5" t="s">
        <v>32</v>
      </c>
      <c r="P2647" s="5" t="s">
        <v>33</v>
      </c>
      <c r="Q2647" s="5" t="s">
        <v>51</v>
      </c>
    </row>
    <row r="2648" spans="1:17" x14ac:dyDescent="0.25">
      <c r="A2648" s="3">
        <v>10188</v>
      </c>
      <c r="B2648" s="3">
        <v>29</v>
      </c>
      <c r="C2648" s="3">
        <v>100</v>
      </c>
      <c r="D2648" s="3">
        <v>2900</v>
      </c>
      <c r="E2648" s="3" t="str">
        <f t="shared" si="165"/>
        <v>Medium</v>
      </c>
      <c r="F2648" s="3">
        <f t="shared" si="166"/>
        <v>870</v>
      </c>
      <c r="G2648" s="4">
        <v>37943</v>
      </c>
      <c r="H2648" s="3" t="s">
        <v>25</v>
      </c>
      <c r="I2648" s="3" t="str">
        <f t="shared" si="164"/>
        <v>Yes</v>
      </c>
      <c r="J2648" s="3" t="s">
        <v>686</v>
      </c>
      <c r="K2648" s="3">
        <v>2003</v>
      </c>
      <c r="L2648" s="3" t="str">
        <f t="shared" si="167"/>
        <v>Nov-2003</v>
      </c>
      <c r="M2648" s="3" t="s">
        <v>566</v>
      </c>
      <c r="N2648" s="3" t="s">
        <v>73</v>
      </c>
      <c r="O2648" s="3" t="s">
        <v>78</v>
      </c>
      <c r="P2648" s="3" t="s">
        <v>42</v>
      </c>
      <c r="Q2648" s="3" t="s">
        <v>51</v>
      </c>
    </row>
    <row r="2649" spans="1:17" x14ac:dyDescent="0.25">
      <c r="A2649" s="5">
        <v>10210</v>
      </c>
      <c r="B2649" s="5">
        <v>25</v>
      </c>
      <c r="C2649" s="5">
        <v>100</v>
      </c>
      <c r="D2649" s="5">
        <v>2500</v>
      </c>
      <c r="E2649" s="5" t="str">
        <f t="shared" si="165"/>
        <v>Medium</v>
      </c>
      <c r="F2649" s="5">
        <f t="shared" si="166"/>
        <v>750</v>
      </c>
      <c r="G2649" s="6">
        <v>37998</v>
      </c>
      <c r="H2649" s="5" t="s">
        <v>25</v>
      </c>
      <c r="I2649" s="5" t="str">
        <f t="shared" si="164"/>
        <v>Yes</v>
      </c>
      <c r="J2649" s="5" t="s">
        <v>549</v>
      </c>
      <c r="K2649" s="5">
        <v>2004</v>
      </c>
      <c r="L2649" s="5" t="str">
        <f t="shared" si="167"/>
        <v>Jan-2004</v>
      </c>
      <c r="M2649" s="5" t="s">
        <v>566</v>
      </c>
      <c r="N2649" s="5" t="s">
        <v>302</v>
      </c>
      <c r="O2649" s="5" t="s">
        <v>200</v>
      </c>
      <c r="P2649" s="5" t="s">
        <v>675</v>
      </c>
      <c r="Q2649" s="5" t="s">
        <v>36</v>
      </c>
    </row>
    <row r="2650" spans="1:17" x14ac:dyDescent="0.25">
      <c r="A2650" s="3">
        <v>10223</v>
      </c>
      <c r="B2650" s="3">
        <v>29</v>
      </c>
      <c r="C2650" s="3">
        <v>100</v>
      </c>
      <c r="D2650" s="3">
        <v>2900</v>
      </c>
      <c r="E2650" s="3" t="str">
        <f t="shared" si="165"/>
        <v>Medium</v>
      </c>
      <c r="F2650" s="3">
        <f t="shared" si="166"/>
        <v>870</v>
      </c>
      <c r="G2650" s="4">
        <v>38037</v>
      </c>
      <c r="H2650" s="3" t="s">
        <v>25</v>
      </c>
      <c r="I2650" s="3" t="str">
        <f t="shared" si="164"/>
        <v>Yes</v>
      </c>
      <c r="J2650" s="3" t="s">
        <v>681</v>
      </c>
      <c r="K2650" s="3">
        <v>2004</v>
      </c>
      <c r="L2650" s="3" t="str">
        <f t="shared" si="167"/>
        <v>Feb-2004</v>
      </c>
      <c r="M2650" s="3" t="s">
        <v>566</v>
      </c>
      <c r="N2650" s="3" t="s">
        <v>89</v>
      </c>
      <c r="O2650" s="3" t="s">
        <v>95</v>
      </c>
      <c r="P2650" s="3" t="s">
        <v>96</v>
      </c>
      <c r="Q2650" s="3" t="s">
        <v>51</v>
      </c>
    </row>
    <row r="2651" spans="1:17" x14ac:dyDescent="0.25">
      <c r="A2651" s="5">
        <v>10235</v>
      </c>
      <c r="B2651" s="5">
        <v>25</v>
      </c>
      <c r="C2651" s="5">
        <v>96.11</v>
      </c>
      <c r="D2651" s="5">
        <v>2402.75</v>
      </c>
      <c r="E2651" s="5" t="str">
        <f t="shared" si="165"/>
        <v>Medium</v>
      </c>
      <c r="F2651" s="5">
        <f t="shared" si="166"/>
        <v>720.82499999999993</v>
      </c>
      <c r="G2651" s="6">
        <v>38079</v>
      </c>
      <c r="H2651" s="5" t="s">
        <v>25</v>
      </c>
      <c r="I2651" s="5" t="str">
        <f t="shared" si="164"/>
        <v>Yes</v>
      </c>
      <c r="J2651" s="5" t="s">
        <v>688</v>
      </c>
      <c r="K2651" s="5">
        <v>2004</v>
      </c>
      <c r="L2651" s="5" t="str">
        <f t="shared" si="167"/>
        <v>Apr-2004</v>
      </c>
      <c r="M2651" s="5" t="s">
        <v>566</v>
      </c>
      <c r="N2651" s="5" t="s">
        <v>373</v>
      </c>
      <c r="O2651" s="5" t="s">
        <v>231</v>
      </c>
      <c r="P2651" s="5" t="s">
        <v>33</v>
      </c>
      <c r="Q2651" s="5" t="s">
        <v>36</v>
      </c>
    </row>
    <row r="2652" spans="1:17" x14ac:dyDescent="0.25">
      <c r="A2652" s="3">
        <v>10250</v>
      </c>
      <c r="B2652" s="3">
        <v>44</v>
      </c>
      <c r="C2652" s="3">
        <v>100</v>
      </c>
      <c r="D2652" s="3">
        <v>4400</v>
      </c>
      <c r="E2652" s="3" t="str">
        <f t="shared" si="165"/>
        <v>Medium</v>
      </c>
      <c r="F2652" s="3">
        <f t="shared" si="166"/>
        <v>1320</v>
      </c>
      <c r="G2652" s="4">
        <v>38118</v>
      </c>
      <c r="H2652" s="3" t="s">
        <v>25</v>
      </c>
      <c r="I2652" s="3" t="str">
        <f t="shared" si="164"/>
        <v>Yes</v>
      </c>
      <c r="J2652" s="3" t="s">
        <v>682</v>
      </c>
      <c r="K2652" s="3">
        <v>2004</v>
      </c>
      <c r="L2652" s="3" t="str">
        <f t="shared" si="167"/>
        <v>May-2004</v>
      </c>
      <c r="M2652" s="3" t="s">
        <v>566</v>
      </c>
      <c r="N2652" s="3" t="s">
        <v>397</v>
      </c>
      <c r="O2652" s="3" t="s">
        <v>32</v>
      </c>
      <c r="P2652" s="3" t="s">
        <v>33</v>
      </c>
      <c r="Q2652" s="3" t="s">
        <v>51</v>
      </c>
    </row>
    <row r="2653" spans="1:17" x14ac:dyDescent="0.25">
      <c r="A2653" s="5">
        <v>10263</v>
      </c>
      <c r="B2653" s="5">
        <v>47</v>
      </c>
      <c r="C2653" s="5">
        <v>100</v>
      </c>
      <c r="D2653" s="5">
        <v>4700</v>
      </c>
      <c r="E2653" s="5" t="str">
        <f t="shared" si="165"/>
        <v>Medium</v>
      </c>
      <c r="F2653" s="5">
        <f t="shared" si="166"/>
        <v>1410</v>
      </c>
      <c r="G2653" s="6">
        <v>38166</v>
      </c>
      <c r="H2653" s="5" t="s">
        <v>25</v>
      </c>
      <c r="I2653" s="5" t="str">
        <f t="shared" si="164"/>
        <v>Yes</v>
      </c>
      <c r="J2653" s="5" t="s">
        <v>689</v>
      </c>
      <c r="K2653" s="5">
        <v>2004</v>
      </c>
      <c r="L2653" s="5" t="str">
        <f t="shared" si="167"/>
        <v>Jun-2004</v>
      </c>
      <c r="M2653" s="5" t="s">
        <v>566</v>
      </c>
      <c r="N2653" s="5" t="s">
        <v>109</v>
      </c>
      <c r="O2653" s="5" t="s">
        <v>32</v>
      </c>
      <c r="P2653" s="5" t="s">
        <v>33</v>
      </c>
      <c r="Q2653" s="5" t="s">
        <v>51</v>
      </c>
    </row>
    <row r="2654" spans="1:17" x14ac:dyDescent="0.25">
      <c r="A2654" s="3">
        <v>10275</v>
      </c>
      <c r="B2654" s="3">
        <v>48</v>
      </c>
      <c r="C2654" s="3">
        <v>100</v>
      </c>
      <c r="D2654" s="3">
        <v>4800</v>
      </c>
      <c r="E2654" s="3" t="str">
        <f t="shared" si="165"/>
        <v>Medium</v>
      </c>
      <c r="F2654" s="3">
        <f t="shared" si="166"/>
        <v>1440</v>
      </c>
      <c r="G2654" s="4">
        <v>38191</v>
      </c>
      <c r="H2654" s="3" t="s">
        <v>25</v>
      </c>
      <c r="I2654" s="3" t="str">
        <f t="shared" si="164"/>
        <v>Yes</v>
      </c>
      <c r="J2654" s="3" t="s">
        <v>683</v>
      </c>
      <c r="K2654" s="3">
        <v>2004</v>
      </c>
      <c r="L2654" s="3" t="str">
        <f t="shared" si="167"/>
        <v>Jul-2004</v>
      </c>
      <c r="M2654" s="3" t="s">
        <v>566</v>
      </c>
      <c r="N2654" s="3" t="s">
        <v>114</v>
      </c>
      <c r="O2654" s="3" t="s">
        <v>41</v>
      </c>
      <c r="P2654" s="3" t="s">
        <v>42</v>
      </c>
      <c r="Q2654" s="3" t="s">
        <v>51</v>
      </c>
    </row>
    <row r="2655" spans="1:17" x14ac:dyDescent="0.25">
      <c r="A2655" s="5">
        <v>10285</v>
      </c>
      <c r="B2655" s="5">
        <v>45</v>
      </c>
      <c r="C2655" s="5">
        <v>100</v>
      </c>
      <c r="D2655" s="5">
        <v>4500</v>
      </c>
      <c r="E2655" s="5" t="str">
        <f t="shared" si="165"/>
        <v>Medium</v>
      </c>
      <c r="F2655" s="5">
        <f t="shared" si="166"/>
        <v>1350</v>
      </c>
      <c r="G2655" s="6">
        <v>38226</v>
      </c>
      <c r="H2655" s="5" t="s">
        <v>25</v>
      </c>
      <c r="I2655" s="5" t="str">
        <f t="shared" si="164"/>
        <v>Yes</v>
      </c>
      <c r="J2655" s="5" t="s">
        <v>684</v>
      </c>
      <c r="K2655" s="5">
        <v>2004</v>
      </c>
      <c r="L2655" s="5" t="str">
        <f t="shared" si="167"/>
        <v>Aug-2004</v>
      </c>
      <c r="M2655" s="5" t="s">
        <v>566</v>
      </c>
      <c r="N2655" s="5" t="s">
        <v>120</v>
      </c>
      <c r="O2655" s="5" t="s">
        <v>32</v>
      </c>
      <c r="P2655" s="5" t="s">
        <v>33</v>
      </c>
      <c r="Q2655" s="5" t="s">
        <v>51</v>
      </c>
    </row>
    <row r="2656" spans="1:17" x14ac:dyDescent="0.25">
      <c r="A2656" s="3">
        <v>10297</v>
      </c>
      <c r="B2656" s="3">
        <v>35</v>
      </c>
      <c r="C2656" s="3">
        <v>100</v>
      </c>
      <c r="D2656" s="3">
        <v>3500</v>
      </c>
      <c r="E2656" s="3" t="str">
        <f t="shared" si="165"/>
        <v>Medium</v>
      </c>
      <c r="F2656" s="3">
        <f t="shared" si="166"/>
        <v>1050</v>
      </c>
      <c r="G2656" s="4">
        <v>38246</v>
      </c>
      <c r="H2656" s="3" t="s">
        <v>25</v>
      </c>
      <c r="I2656" s="3" t="str">
        <f t="shared" si="164"/>
        <v>Yes</v>
      </c>
      <c r="J2656" s="3" t="s">
        <v>690</v>
      </c>
      <c r="K2656" s="3">
        <v>2004</v>
      </c>
      <c r="L2656" s="3" t="str">
        <f t="shared" si="167"/>
        <v>Sep-2004</v>
      </c>
      <c r="M2656" s="3" t="s">
        <v>566</v>
      </c>
      <c r="N2656" s="3" t="s">
        <v>479</v>
      </c>
      <c r="O2656" s="3" t="s">
        <v>484</v>
      </c>
      <c r="P2656" s="3" t="s">
        <v>42</v>
      </c>
      <c r="Q2656" s="3" t="s">
        <v>51</v>
      </c>
    </row>
    <row r="2657" spans="1:17" x14ac:dyDescent="0.25">
      <c r="A2657" s="5">
        <v>10308</v>
      </c>
      <c r="B2657" s="5">
        <v>31</v>
      </c>
      <c r="C2657" s="5">
        <v>100</v>
      </c>
      <c r="D2657" s="5">
        <v>3100</v>
      </c>
      <c r="E2657" s="5" t="str">
        <f t="shared" si="165"/>
        <v>Medium</v>
      </c>
      <c r="F2657" s="5">
        <f t="shared" si="166"/>
        <v>930</v>
      </c>
      <c r="G2657" s="6">
        <v>38275</v>
      </c>
      <c r="H2657" s="5" t="s">
        <v>25</v>
      </c>
      <c r="I2657" s="5" t="str">
        <f t="shared" si="164"/>
        <v>Yes</v>
      </c>
      <c r="J2657" s="5" t="s">
        <v>685</v>
      </c>
      <c r="K2657" s="5">
        <v>2004</v>
      </c>
      <c r="L2657" s="5" t="str">
        <f t="shared" si="167"/>
        <v>Oct-2004</v>
      </c>
      <c r="M2657" s="5" t="s">
        <v>566</v>
      </c>
      <c r="N2657" s="5" t="s">
        <v>317</v>
      </c>
      <c r="O2657" s="5" t="s">
        <v>32</v>
      </c>
      <c r="P2657" s="5" t="s">
        <v>33</v>
      </c>
      <c r="Q2657" s="5" t="s">
        <v>51</v>
      </c>
    </row>
    <row r="2658" spans="1:17" x14ac:dyDescent="0.25">
      <c r="A2658" s="3">
        <v>10318</v>
      </c>
      <c r="B2658" s="3">
        <v>50</v>
      </c>
      <c r="C2658" s="3">
        <v>100</v>
      </c>
      <c r="D2658" s="3">
        <v>5000</v>
      </c>
      <c r="E2658" s="3" t="str">
        <f t="shared" si="165"/>
        <v>High</v>
      </c>
      <c r="F2658" s="3">
        <f t="shared" si="166"/>
        <v>1500</v>
      </c>
      <c r="G2658" s="4">
        <v>38293</v>
      </c>
      <c r="H2658" s="3" t="s">
        <v>25</v>
      </c>
      <c r="I2658" s="3" t="str">
        <f t="shared" si="164"/>
        <v>Yes</v>
      </c>
      <c r="J2658" s="3" t="s">
        <v>686</v>
      </c>
      <c r="K2658" s="3">
        <v>2004</v>
      </c>
      <c r="L2658" s="3" t="str">
        <f t="shared" si="167"/>
        <v>Nov-2004</v>
      </c>
      <c r="M2658" s="3" t="s">
        <v>566</v>
      </c>
      <c r="N2658" s="3" t="s">
        <v>139</v>
      </c>
      <c r="O2658" s="3" t="s">
        <v>32</v>
      </c>
      <c r="P2658" s="3" t="s">
        <v>33</v>
      </c>
      <c r="Q2658" s="3" t="s">
        <v>151</v>
      </c>
    </row>
    <row r="2659" spans="1:17" x14ac:dyDescent="0.25">
      <c r="A2659" s="5">
        <v>10328</v>
      </c>
      <c r="B2659" s="5">
        <v>33</v>
      </c>
      <c r="C2659" s="5">
        <v>100</v>
      </c>
      <c r="D2659" s="5">
        <v>3300</v>
      </c>
      <c r="E2659" s="5" t="str">
        <f t="shared" si="165"/>
        <v>Medium</v>
      </c>
      <c r="F2659" s="5">
        <f t="shared" si="166"/>
        <v>990</v>
      </c>
      <c r="G2659" s="6">
        <v>38303</v>
      </c>
      <c r="H2659" s="5" t="s">
        <v>25</v>
      </c>
      <c r="I2659" s="5" t="str">
        <f t="shared" si="164"/>
        <v>Yes</v>
      </c>
      <c r="J2659" s="5" t="s">
        <v>686</v>
      </c>
      <c r="K2659" s="5">
        <v>2004</v>
      </c>
      <c r="L2659" s="5" t="str">
        <f t="shared" si="167"/>
        <v>Nov-2004</v>
      </c>
      <c r="M2659" s="5" t="s">
        <v>566</v>
      </c>
      <c r="N2659" s="5" t="s">
        <v>552</v>
      </c>
      <c r="O2659" s="5" t="s">
        <v>258</v>
      </c>
      <c r="P2659" s="5" t="s">
        <v>42</v>
      </c>
      <c r="Q2659" s="5" t="s">
        <v>51</v>
      </c>
    </row>
    <row r="2660" spans="1:17" x14ac:dyDescent="0.25">
      <c r="A2660" s="3">
        <v>10340</v>
      </c>
      <c r="B2660" s="3">
        <v>29</v>
      </c>
      <c r="C2660" s="3">
        <v>100</v>
      </c>
      <c r="D2660" s="3">
        <v>2900</v>
      </c>
      <c r="E2660" s="3" t="str">
        <f t="shared" si="165"/>
        <v>Medium</v>
      </c>
      <c r="F2660" s="3">
        <f t="shared" si="166"/>
        <v>870</v>
      </c>
      <c r="G2660" s="4">
        <v>38315</v>
      </c>
      <c r="H2660" s="3" t="s">
        <v>25</v>
      </c>
      <c r="I2660" s="3" t="str">
        <f t="shared" si="164"/>
        <v>Yes</v>
      </c>
      <c r="J2660" s="3" t="s">
        <v>686</v>
      </c>
      <c r="K2660" s="3">
        <v>2004</v>
      </c>
      <c r="L2660" s="3" t="str">
        <f t="shared" si="167"/>
        <v>Nov-2004</v>
      </c>
      <c r="M2660" s="3" t="s">
        <v>566</v>
      </c>
      <c r="N2660" s="3" t="s">
        <v>352</v>
      </c>
      <c r="O2660" s="3" t="s">
        <v>178</v>
      </c>
      <c r="P2660" s="3" t="s">
        <v>42</v>
      </c>
      <c r="Q2660" s="3" t="s">
        <v>51</v>
      </c>
    </row>
    <row r="2661" spans="1:17" x14ac:dyDescent="0.25">
      <c r="A2661" s="5">
        <v>10353</v>
      </c>
      <c r="B2661" s="5">
        <v>48</v>
      </c>
      <c r="C2661" s="5">
        <v>68.8</v>
      </c>
      <c r="D2661" s="5">
        <v>3302.3999999999996</v>
      </c>
      <c r="E2661" s="5" t="str">
        <f t="shared" si="165"/>
        <v>Medium</v>
      </c>
      <c r="F2661" s="5">
        <f t="shared" si="166"/>
        <v>990.7199999999998</v>
      </c>
      <c r="G2661" s="6">
        <v>38325</v>
      </c>
      <c r="H2661" s="5" t="s">
        <v>25</v>
      </c>
      <c r="I2661" s="5" t="str">
        <f t="shared" si="164"/>
        <v>Yes</v>
      </c>
      <c r="J2661" s="5" t="s">
        <v>687</v>
      </c>
      <c r="K2661" s="5">
        <v>2004</v>
      </c>
      <c r="L2661" s="5" t="str">
        <f t="shared" si="167"/>
        <v>Dec-2004</v>
      </c>
      <c r="M2661" s="5" t="s">
        <v>566</v>
      </c>
      <c r="N2661" s="5" t="s">
        <v>568</v>
      </c>
      <c r="O2661" s="5" t="s">
        <v>32</v>
      </c>
      <c r="P2661" s="5" t="s">
        <v>33</v>
      </c>
      <c r="Q2661" s="5" t="s">
        <v>51</v>
      </c>
    </row>
    <row r="2662" spans="1:17" x14ac:dyDescent="0.25">
      <c r="A2662" s="3">
        <v>10361</v>
      </c>
      <c r="B2662" s="3">
        <v>44</v>
      </c>
      <c r="C2662" s="3">
        <v>72.42</v>
      </c>
      <c r="D2662" s="3">
        <v>3186.48</v>
      </c>
      <c r="E2662" s="3" t="str">
        <f t="shared" si="165"/>
        <v>Medium</v>
      </c>
      <c r="F2662" s="3">
        <f t="shared" si="166"/>
        <v>955.94399999999996</v>
      </c>
      <c r="G2662" s="4">
        <v>38338</v>
      </c>
      <c r="H2662" s="3" t="s">
        <v>25</v>
      </c>
      <c r="I2662" s="3" t="str">
        <f t="shared" si="164"/>
        <v>Yes</v>
      </c>
      <c r="J2662" s="3" t="s">
        <v>687</v>
      </c>
      <c r="K2662" s="3">
        <v>2004</v>
      </c>
      <c r="L2662" s="3" t="str">
        <f t="shared" si="167"/>
        <v>Dec-2004</v>
      </c>
      <c r="M2662" s="3" t="s">
        <v>566</v>
      </c>
      <c r="N2662" s="3" t="s">
        <v>152</v>
      </c>
      <c r="O2662" s="3" t="s">
        <v>95</v>
      </c>
      <c r="P2662" s="3" t="s">
        <v>96</v>
      </c>
      <c r="Q2662" s="3" t="s">
        <v>51</v>
      </c>
    </row>
    <row r="2663" spans="1:17" x14ac:dyDescent="0.25">
      <c r="A2663" s="5">
        <v>10375</v>
      </c>
      <c r="B2663" s="5">
        <v>25</v>
      </c>
      <c r="C2663" s="5">
        <v>66.73</v>
      </c>
      <c r="D2663" s="5">
        <v>1668.25</v>
      </c>
      <c r="E2663" s="5" t="str">
        <f t="shared" si="165"/>
        <v>Low</v>
      </c>
      <c r="F2663" s="5">
        <f t="shared" si="166"/>
        <v>500.47499999999997</v>
      </c>
      <c r="G2663" s="6">
        <v>38386</v>
      </c>
      <c r="H2663" s="5" t="s">
        <v>25</v>
      </c>
      <c r="I2663" s="5" t="str">
        <f t="shared" si="164"/>
        <v>Yes</v>
      </c>
      <c r="J2663" s="5" t="s">
        <v>681</v>
      </c>
      <c r="K2663" s="5">
        <v>2005</v>
      </c>
      <c r="L2663" s="5" t="str">
        <f t="shared" si="167"/>
        <v>Feb-2005</v>
      </c>
      <c r="M2663" s="5" t="s">
        <v>566</v>
      </c>
      <c r="N2663" s="5" t="s">
        <v>114</v>
      </c>
      <c r="O2663" s="5" t="s">
        <v>41</v>
      </c>
      <c r="P2663" s="5" t="s">
        <v>42</v>
      </c>
      <c r="Q2663" s="5" t="s">
        <v>36</v>
      </c>
    </row>
    <row r="2664" spans="1:17" x14ac:dyDescent="0.25">
      <c r="A2664" s="3">
        <v>10388</v>
      </c>
      <c r="B2664" s="3">
        <v>50</v>
      </c>
      <c r="C2664" s="3">
        <v>100</v>
      </c>
      <c r="D2664" s="3">
        <v>5000</v>
      </c>
      <c r="E2664" s="3" t="str">
        <f t="shared" si="165"/>
        <v>High</v>
      </c>
      <c r="F2664" s="3">
        <f t="shared" si="166"/>
        <v>1500</v>
      </c>
      <c r="G2664" s="4">
        <v>38414</v>
      </c>
      <c r="H2664" s="3" t="s">
        <v>25</v>
      </c>
      <c r="I2664" s="3" t="str">
        <f t="shared" si="164"/>
        <v>Yes</v>
      </c>
      <c r="J2664" s="3" t="s">
        <v>691</v>
      </c>
      <c r="K2664" s="3">
        <v>2005</v>
      </c>
      <c r="L2664" s="3" t="str">
        <f t="shared" si="167"/>
        <v>Mar-2005</v>
      </c>
      <c r="M2664" s="3" t="s">
        <v>566</v>
      </c>
      <c r="N2664" s="3" t="s">
        <v>160</v>
      </c>
      <c r="O2664" s="3" t="s">
        <v>32</v>
      </c>
      <c r="P2664" s="3" t="s">
        <v>33</v>
      </c>
      <c r="Q2664" s="3" t="s">
        <v>151</v>
      </c>
    </row>
    <row r="2665" spans="1:17" x14ac:dyDescent="0.25">
      <c r="A2665" s="5">
        <v>10398</v>
      </c>
      <c r="B2665" s="5">
        <v>23</v>
      </c>
      <c r="C2665" s="5">
        <v>100</v>
      </c>
      <c r="D2665" s="5">
        <v>2300</v>
      </c>
      <c r="E2665" s="5" t="str">
        <f t="shared" si="165"/>
        <v>Medium</v>
      </c>
      <c r="F2665" s="5">
        <f t="shared" si="166"/>
        <v>690</v>
      </c>
      <c r="G2665" s="6">
        <v>38441</v>
      </c>
      <c r="H2665" s="5" t="s">
        <v>25</v>
      </c>
      <c r="I2665" s="5" t="str">
        <f t="shared" si="164"/>
        <v>Yes</v>
      </c>
      <c r="J2665" s="5" t="s">
        <v>691</v>
      </c>
      <c r="K2665" s="5">
        <v>2005</v>
      </c>
      <c r="L2665" s="5" t="str">
        <f t="shared" si="167"/>
        <v>Mar-2005</v>
      </c>
      <c r="M2665" s="5" t="s">
        <v>566</v>
      </c>
      <c r="N2665" s="5" t="s">
        <v>37</v>
      </c>
      <c r="O2665" s="5" t="s">
        <v>41</v>
      </c>
      <c r="P2665" s="5" t="s">
        <v>42</v>
      </c>
      <c r="Q2665" s="5" t="s">
        <v>36</v>
      </c>
    </row>
    <row r="2666" spans="1:17" x14ac:dyDescent="0.25">
      <c r="A2666" s="3">
        <v>10401</v>
      </c>
      <c r="B2666" s="3">
        <v>21</v>
      </c>
      <c r="C2666" s="3">
        <v>96.11</v>
      </c>
      <c r="D2666" s="3">
        <v>2018.31</v>
      </c>
      <c r="E2666" s="3" t="str">
        <f t="shared" si="165"/>
        <v>Medium</v>
      </c>
      <c r="F2666" s="3">
        <f t="shared" si="166"/>
        <v>605.49299999999994</v>
      </c>
      <c r="G2666" s="4">
        <v>38445</v>
      </c>
      <c r="H2666" s="3" t="s">
        <v>401</v>
      </c>
      <c r="I2666" s="3" t="str">
        <f t="shared" si="164"/>
        <v>No</v>
      </c>
      <c r="J2666" s="3" t="s">
        <v>688</v>
      </c>
      <c r="K2666" s="3">
        <v>2005</v>
      </c>
      <c r="L2666" s="3" t="str">
        <f t="shared" si="167"/>
        <v>Apr-2005</v>
      </c>
      <c r="M2666" s="3" t="s">
        <v>566</v>
      </c>
      <c r="N2666" s="3" t="s">
        <v>104</v>
      </c>
      <c r="O2666" s="3" t="s">
        <v>32</v>
      </c>
      <c r="P2666" s="3" t="s">
        <v>33</v>
      </c>
      <c r="Q2666" s="3" t="s">
        <v>36</v>
      </c>
    </row>
    <row r="2667" spans="1:17" x14ac:dyDescent="0.25">
      <c r="A2667" s="5">
        <v>10416</v>
      </c>
      <c r="B2667" s="5">
        <v>41</v>
      </c>
      <c r="C2667" s="5">
        <v>100</v>
      </c>
      <c r="D2667" s="5">
        <v>4100</v>
      </c>
      <c r="E2667" s="5" t="str">
        <f t="shared" si="165"/>
        <v>Medium</v>
      </c>
      <c r="F2667" s="5">
        <f t="shared" si="166"/>
        <v>1230</v>
      </c>
      <c r="G2667" s="6">
        <v>38482</v>
      </c>
      <c r="H2667" s="5" t="s">
        <v>25</v>
      </c>
      <c r="I2667" s="5" t="str">
        <f t="shared" si="164"/>
        <v>Yes</v>
      </c>
      <c r="J2667" s="5" t="s">
        <v>682</v>
      </c>
      <c r="K2667" s="5">
        <v>2005</v>
      </c>
      <c r="L2667" s="5" t="str">
        <f t="shared" si="167"/>
        <v>May-2005</v>
      </c>
      <c r="M2667" s="5" t="s">
        <v>566</v>
      </c>
      <c r="N2667" s="5" t="s">
        <v>452</v>
      </c>
      <c r="O2667" s="5" t="s">
        <v>258</v>
      </c>
      <c r="P2667" s="5" t="s">
        <v>42</v>
      </c>
      <c r="Q2667" s="5" t="s">
        <v>51</v>
      </c>
    </row>
    <row r="2668" spans="1:17" x14ac:dyDescent="0.25">
      <c r="A2668" s="3">
        <v>10106</v>
      </c>
      <c r="B2668" s="3">
        <v>44</v>
      </c>
      <c r="C2668" s="3">
        <v>74.400000000000006</v>
      </c>
      <c r="D2668" s="3">
        <v>3273.6000000000004</v>
      </c>
      <c r="E2668" s="3" t="str">
        <f t="shared" si="165"/>
        <v>Medium</v>
      </c>
      <c r="F2668" s="3">
        <f t="shared" si="166"/>
        <v>982.08</v>
      </c>
      <c r="G2668" s="4">
        <v>37669</v>
      </c>
      <c r="H2668" s="3" t="s">
        <v>25</v>
      </c>
      <c r="I2668" s="3" t="str">
        <f t="shared" si="164"/>
        <v>Yes</v>
      </c>
      <c r="J2668" s="3" t="s">
        <v>681</v>
      </c>
      <c r="K2668" s="3">
        <v>2003</v>
      </c>
      <c r="L2668" s="3" t="str">
        <f t="shared" si="167"/>
        <v>Feb-2003</v>
      </c>
      <c r="M2668" s="3" t="s">
        <v>566</v>
      </c>
      <c r="N2668" s="3" t="s">
        <v>552</v>
      </c>
      <c r="O2668" s="3" t="s">
        <v>258</v>
      </c>
      <c r="P2668" s="3" t="s">
        <v>42</v>
      </c>
      <c r="Q2668" s="3" t="s">
        <v>51</v>
      </c>
    </row>
    <row r="2669" spans="1:17" x14ac:dyDescent="0.25">
      <c r="A2669" s="5">
        <v>10120</v>
      </c>
      <c r="B2669" s="5">
        <v>43</v>
      </c>
      <c r="C2669" s="5">
        <v>76</v>
      </c>
      <c r="D2669" s="5">
        <v>3268</v>
      </c>
      <c r="E2669" s="5" t="str">
        <f t="shared" si="165"/>
        <v>Medium</v>
      </c>
      <c r="F2669" s="5">
        <f t="shared" si="166"/>
        <v>980.4</v>
      </c>
      <c r="G2669" s="6">
        <v>37740</v>
      </c>
      <c r="H2669" s="5" t="s">
        <v>25</v>
      </c>
      <c r="I2669" s="5" t="str">
        <f t="shared" si="164"/>
        <v>Yes</v>
      </c>
      <c r="J2669" s="5" t="s">
        <v>688</v>
      </c>
      <c r="K2669" s="5">
        <v>2003</v>
      </c>
      <c r="L2669" s="5" t="str">
        <f t="shared" si="167"/>
        <v>Apr-2003</v>
      </c>
      <c r="M2669" s="5" t="s">
        <v>566</v>
      </c>
      <c r="N2669" s="5" t="s">
        <v>89</v>
      </c>
      <c r="O2669" s="5" t="s">
        <v>95</v>
      </c>
      <c r="P2669" s="5" t="s">
        <v>96</v>
      </c>
      <c r="Q2669" s="5" t="s">
        <v>51</v>
      </c>
    </row>
    <row r="2670" spans="1:17" x14ac:dyDescent="0.25">
      <c r="A2670" s="3">
        <v>10143</v>
      </c>
      <c r="B2670" s="3">
        <v>28</v>
      </c>
      <c r="C2670" s="3">
        <v>96</v>
      </c>
      <c r="D2670" s="3">
        <v>2688</v>
      </c>
      <c r="E2670" s="3" t="str">
        <f t="shared" si="165"/>
        <v>Medium</v>
      </c>
      <c r="F2670" s="3">
        <f t="shared" si="166"/>
        <v>806.4</v>
      </c>
      <c r="G2670" s="4">
        <v>37843</v>
      </c>
      <c r="H2670" s="3" t="s">
        <v>25</v>
      </c>
      <c r="I2670" s="3" t="str">
        <f t="shared" si="164"/>
        <v>Yes</v>
      </c>
      <c r="J2670" s="3" t="s">
        <v>684</v>
      </c>
      <c r="K2670" s="3">
        <v>2003</v>
      </c>
      <c r="L2670" s="3" t="str">
        <f t="shared" si="167"/>
        <v>Aug-2003</v>
      </c>
      <c r="M2670" s="3" t="s">
        <v>566</v>
      </c>
      <c r="N2670" s="3" t="s">
        <v>335</v>
      </c>
      <c r="O2670" s="3" t="s">
        <v>32</v>
      </c>
      <c r="P2670" s="3" t="s">
        <v>33</v>
      </c>
      <c r="Q2670" s="3" t="s">
        <v>36</v>
      </c>
    </row>
    <row r="2671" spans="1:17" x14ac:dyDescent="0.25">
      <c r="A2671" s="5">
        <v>10155</v>
      </c>
      <c r="B2671" s="5">
        <v>43</v>
      </c>
      <c r="C2671" s="5">
        <v>86.4</v>
      </c>
      <c r="D2671" s="5">
        <v>3715.2000000000003</v>
      </c>
      <c r="E2671" s="5" t="str">
        <f t="shared" si="165"/>
        <v>Medium</v>
      </c>
      <c r="F2671" s="5">
        <f t="shared" si="166"/>
        <v>1114.56</v>
      </c>
      <c r="G2671" s="6">
        <v>37900</v>
      </c>
      <c r="H2671" s="5" t="s">
        <v>25</v>
      </c>
      <c r="I2671" s="5" t="str">
        <f t="shared" si="164"/>
        <v>Yes</v>
      </c>
      <c r="J2671" s="5" t="s">
        <v>685</v>
      </c>
      <c r="K2671" s="5">
        <v>2003</v>
      </c>
      <c r="L2671" s="5" t="str">
        <f t="shared" si="167"/>
        <v>Oct-2003</v>
      </c>
      <c r="M2671" s="5" t="s">
        <v>566</v>
      </c>
      <c r="N2671" s="5" t="s">
        <v>126</v>
      </c>
      <c r="O2671" s="5" t="s">
        <v>130</v>
      </c>
      <c r="P2671" s="5" t="s">
        <v>42</v>
      </c>
      <c r="Q2671" s="5" t="s">
        <v>51</v>
      </c>
    </row>
    <row r="2672" spans="1:17" x14ac:dyDescent="0.25">
      <c r="A2672" s="3">
        <v>10168</v>
      </c>
      <c r="B2672" s="3">
        <v>48</v>
      </c>
      <c r="C2672" s="3">
        <v>96</v>
      </c>
      <c r="D2672" s="3">
        <v>4608</v>
      </c>
      <c r="E2672" s="3" t="str">
        <f t="shared" si="165"/>
        <v>Medium</v>
      </c>
      <c r="F2672" s="3">
        <f t="shared" si="166"/>
        <v>1382.3999999999999</v>
      </c>
      <c r="G2672" s="4">
        <v>37922</v>
      </c>
      <c r="H2672" s="3" t="s">
        <v>25</v>
      </c>
      <c r="I2672" s="3" t="str">
        <f t="shared" si="164"/>
        <v>Yes</v>
      </c>
      <c r="J2672" s="3" t="s">
        <v>685</v>
      </c>
      <c r="K2672" s="3">
        <v>2003</v>
      </c>
      <c r="L2672" s="3" t="str">
        <f t="shared" si="167"/>
        <v>Oct-2003</v>
      </c>
      <c r="M2672" s="3" t="s">
        <v>566</v>
      </c>
      <c r="N2672" s="3" t="s">
        <v>62</v>
      </c>
      <c r="O2672" s="3" t="s">
        <v>32</v>
      </c>
      <c r="P2672" s="3" t="s">
        <v>33</v>
      </c>
      <c r="Q2672" s="3" t="s">
        <v>51</v>
      </c>
    </row>
    <row r="2673" spans="1:17" x14ac:dyDescent="0.25">
      <c r="A2673" s="5">
        <v>10199</v>
      </c>
      <c r="B2673" s="5">
        <v>38</v>
      </c>
      <c r="C2673" s="5">
        <v>82.4</v>
      </c>
      <c r="D2673" s="5">
        <v>3131.2000000000003</v>
      </c>
      <c r="E2673" s="5" t="str">
        <f t="shared" si="165"/>
        <v>Medium</v>
      </c>
      <c r="F2673" s="5">
        <f t="shared" si="166"/>
        <v>939.36</v>
      </c>
      <c r="G2673" s="6">
        <v>37956</v>
      </c>
      <c r="H2673" s="5" t="s">
        <v>25</v>
      </c>
      <c r="I2673" s="5" t="str">
        <f t="shared" si="164"/>
        <v>Yes</v>
      </c>
      <c r="J2673" s="5" t="s">
        <v>687</v>
      </c>
      <c r="K2673" s="5">
        <v>2003</v>
      </c>
      <c r="L2673" s="5" t="str">
        <f t="shared" si="167"/>
        <v>Dec-2003</v>
      </c>
      <c r="M2673" s="5" t="s">
        <v>566</v>
      </c>
      <c r="N2673" s="5" t="s">
        <v>234</v>
      </c>
      <c r="O2673" s="5" t="s">
        <v>32</v>
      </c>
      <c r="P2673" s="5" t="s">
        <v>33</v>
      </c>
      <c r="Q2673" s="5" t="s">
        <v>51</v>
      </c>
    </row>
    <row r="2674" spans="1:17" x14ac:dyDescent="0.25">
      <c r="A2674" s="3">
        <v>10210</v>
      </c>
      <c r="B2674" s="3">
        <v>31</v>
      </c>
      <c r="C2674" s="3">
        <v>86.4</v>
      </c>
      <c r="D2674" s="3">
        <v>2678.4</v>
      </c>
      <c r="E2674" s="3" t="str">
        <f t="shared" si="165"/>
        <v>Medium</v>
      </c>
      <c r="F2674" s="3">
        <f t="shared" si="166"/>
        <v>803.52</v>
      </c>
      <c r="G2674" s="4">
        <v>37998</v>
      </c>
      <c r="H2674" s="3" t="s">
        <v>25</v>
      </c>
      <c r="I2674" s="3" t="str">
        <f t="shared" si="164"/>
        <v>Yes</v>
      </c>
      <c r="J2674" s="3" t="s">
        <v>549</v>
      </c>
      <c r="K2674" s="3">
        <v>2004</v>
      </c>
      <c r="L2674" s="3" t="str">
        <f t="shared" si="167"/>
        <v>Jan-2004</v>
      </c>
      <c r="M2674" s="3" t="s">
        <v>566</v>
      </c>
      <c r="N2674" s="3" t="s">
        <v>302</v>
      </c>
      <c r="O2674" s="3" t="s">
        <v>200</v>
      </c>
      <c r="P2674" s="3" t="s">
        <v>675</v>
      </c>
      <c r="Q2674" s="3" t="s">
        <v>36</v>
      </c>
    </row>
    <row r="2675" spans="1:17" x14ac:dyDescent="0.25">
      <c r="A2675" s="5">
        <v>10223</v>
      </c>
      <c r="B2675" s="5">
        <v>26</v>
      </c>
      <c r="C2675" s="5">
        <v>67.2</v>
      </c>
      <c r="D2675" s="5">
        <v>1747.2</v>
      </c>
      <c r="E2675" s="5" t="str">
        <f t="shared" si="165"/>
        <v>Low</v>
      </c>
      <c r="F2675" s="5">
        <f t="shared" si="166"/>
        <v>524.16</v>
      </c>
      <c r="G2675" s="6">
        <v>38037</v>
      </c>
      <c r="H2675" s="5" t="s">
        <v>25</v>
      </c>
      <c r="I2675" s="5" t="str">
        <f t="shared" si="164"/>
        <v>Yes</v>
      </c>
      <c r="J2675" s="5" t="s">
        <v>681</v>
      </c>
      <c r="K2675" s="5">
        <v>2004</v>
      </c>
      <c r="L2675" s="5" t="str">
        <f t="shared" si="167"/>
        <v>Feb-2004</v>
      </c>
      <c r="M2675" s="5" t="s">
        <v>566</v>
      </c>
      <c r="N2675" s="5" t="s">
        <v>89</v>
      </c>
      <c r="O2675" s="5" t="s">
        <v>95</v>
      </c>
      <c r="P2675" s="5" t="s">
        <v>96</v>
      </c>
      <c r="Q2675" s="5" t="s">
        <v>36</v>
      </c>
    </row>
    <row r="2676" spans="1:17" x14ac:dyDescent="0.25">
      <c r="A2676" s="3">
        <v>10235</v>
      </c>
      <c r="B2676" s="3">
        <v>32</v>
      </c>
      <c r="C2676" s="3">
        <v>92</v>
      </c>
      <c r="D2676" s="3">
        <v>2944</v>
      </c>
      <c r="E2676" s="3" t="str">
        <f t="shared" si="165"/>
        <v>Medium</v>
      </c>
      <c r="F2676" s="3">
        <f t="shared" si="166"/>
        <v>883.19999999999993</v>
      </c>
      <c r="G2676" s="4">
        <v>38079</v>
      </c>
      <c r="H2676" s="3" t="s">
        <v>25</v>
      </c>
      <c r="I2676" s="3" t="str">
        <f t="shared" si="164"/>
        <v>Yes</v>
      </c>
      <c r="J2676" s="3" t="s">
        <v>688</v>
      </c>
      <c r="K2676" s="3">
        <v>2004</v>
      </c>
      <c r="L2676" s="3" t="str">
        <f t="shared" si="167"/>
        <v>Apr-2004</v>
      </c>
      <c r="M2676" s="3" t="s">
        <v>566</v>
      </c>
      <c r="N2676" s="3" t="s">
        <v>373</v>
      </c>
      <c r="O2676" s="3" t="s">
        <v>231</v>
      </c>
      <c r="P2676" s="3" t="s">
        <v>33</v>
      </c>
      <c r="Q2676" s="3" t="s">
        <v>36</v>
      </c>
    </row>
    <row r="2677" spans="1:17" x14ac:dyDescent="0.25">
      <c r="A2677" s="5">
        <v>10250</v>
      </c>
      <c r="B2677" s="5">
        <v>44</v>
      </c>
      <c r="C2677" s="5">
        <v>67.2</v>
      </c>
      <c r="D2677" s="5">
        <v>2956.8</v>
      </c>
      <c r="E2677" s="5" t="str">
        <f t="shared" si="165"/>
        <v>Medium</v>
      </c>
      <c r="F2677" s="5">
        <f t="shared" si="166"/>
        <v>887.04000000000008</v>
      </c>
      <c r="G2677" s="6">
        <v>38118</v>
      </c>
      <c r="H2677" s="5" t="s">
        <v>25</v>
      </c>
      <c r="I2677" s="5" t="str">
        <f t="shared" si="164"/>
        <v>Yes</v>
      </c>
      <c r="J2677" s="5" t="s">
        <v>682</v>
      </c>
      <c r="K2677" s="5">
        <v>2004</v>
      </c>
      <c r="L2677" s="5" t="str">
        <f t="shared" si="167"/>
        <v>May-2004</v>
      </c>
      <c r="M2677" s="5" t="s">
        <v>566</v>
      </c>
      <c r="N2677" s="5" t="s">
        <v>397</v>
      </c>
      <c r="O2677" s="5" t="s">
        <v>32</v>
      </c>
      <c r="P2677" s="5" t="s">
        <v>33</v>
      </c>
      <c r="Q2677" s="5" t="s">
        <v>36</v>
      </c>
    </row>
    <row r="2678" spans="1:17" x14ac:dyDescent="0.25">
      <c r="A2678" s="3">
        <v>10262</v>
      </c>
      <c r="B2678" s="3">
        <v>27</v>
      </c>
      <c r="C2678" s="3">
        <v>76</v>
      </c>
      <c r="D2678" s="3">
        <v>2052</v>
      </c>
      <c r="E2678" s="3" t="str">
        <f t="shared" si="165"/>
        <v>Medium</v>
      </c>
      <c r="F2678" s="3">
        <f t="shared" si="166"/>
        <v>615.6</v>
      </c>
      <c r="G2678" s="4">
        <v>38162</v>
      </c>
      <c r="H2678" s="3" t="s">
        <v>339</v>
      </c>
      <c r="I2678" s="3" t="str">
        <f t="shared" si="164"/>
        <v>No</v>
      </c>
      <c r="J2678" s="3" t="s">
        <v>689</v>
      </c>
      <c r="K2678" s="3">
        <v>2004</v>
      </c>
      <c r="L2678" s="3" t="str">
        <f t="shared" si="167"/>
        <v>Jun-2004</v>
      </c>
      <c r="M2678" s="3" t="s">
        <v>566</v>
      </c>
      <c r="N2678" s="3" t="s">
        <v>174</v>
      </c>
      <c r="O2678" s="3" t="s">
        <v>178</v>
      </c>
      <c r="P2678" s="3" t="s">
        <v>42</v>
      </c>
      <c r="Q2678" s="3" t="s">
        <v>36</v>
      </c>
    </row>
    <row r="2679" spans="1:17" x14ac:dyDescent="0.25">
      <c r="A2679" s="5">
        <v>10275</v>
      </c>
      <c r="B2679" s="5">
        <v>43</v>
      </c>
      <c r="C2679" s="5">
        <v>73.599999999999994</v>
      </c>
      <c r="D2679" s="5">
        <v>3164.7999999999997</v>
      </c>
      <c r="E2679" s="5" t="str">
        <f t="shared" si="165"/>
        <v>Medium</v>
      </c>
      <c r="F2679" s="5">
        <f t="shared" si="166"/>
        <v>949.43999999999983</v>
      </c>
      <c r="G2679" s="6">
        <v>38191</v>
      </c>
      <c r="H2679" s="5" t="s">
        <v>25</v>
      </c>
      <c r="I2679" s="5" t="str">
        <f t="shared" si="164"/>
        <v>Yes</v>
      </c>
      <c r="J2679" s="5" t="s">
        <v>683</v>
      </c>
      <c r="K2679" s="5">
        <v>2004</v>
      </c>
      <c r="L2679" s="5" t="str">
        <f t="shared" si="167"/>
        <v>Jul-2004</v>
      </c>
      <c r="M2679" s="5" t="s">
        <v>566</v>
      </c>
      <c r="N2679" s="5" t="s">
        <v>114</v>
      </c>
      <c r="O2679" s="5" t="s">
        <v>41</v>
      </c>
      <c r="P2679" s="5" t="s">
        <v>42</v>
      </c>
      <c r="Q2679" s="5" t="s">
        <v>51</v>
      </c>
    </row>
    <row r="2680" spans="1:17" x14ac:dyDescent="0.25">
      <c r="A2680" s="3">
        <v>10284</v>
      </c>
      <c r="B2680" s="3">
        <v>25</v>
      </c>
      <c r="C2680" s="3">
        <v>69.599999999999994</v>
      </c>
      <c r="D2680" s="3">
        <v>1739.9999999999998</v>
      </c>
      <c r="E2680" s="3" t="str">
        <f t="shared" si="165"/>
        <v>Low</v>
      </c>
      <c r="F2680" s="3">
        <f t="shared" si="166"/>
        <v>521.99999999999989</v>
      </c>
      <c r="G2680" s="4">
        <v>38220</v>
      </c>
      <c r="H2680" s="3" t="s">
        <v>25</v>
      </c>
      <c r="I2680" s="3" t="str">
        <f t="shared" si="164"/>
        <v>Yes</v>
      </c>
      <c r="J2680" s="3" t="s">
        <v>684</v>
      </c>
      <c r="K2680" s="3">
        <v>2004</v>
      </c>
      <c r="L2680" s="3" t="str">
        <f t="shared" si="167"/>
        <v>Aug-2004</v>
      </c>
      <c r="M2680" s="3" t="s">
        <v>566</v>
      </c>
      <c r="N2680" s="3" t="s">
        <v>543</v>
      </c>
      <c r="O2680" s="3" t="s">
        <v>78</v>
      </c>
      <c r="P2680" s="3" t="s">
        <v>42</v>
      </c>
      <c r="Q2680" s="3" t="s">
        <v>36</v>
      </c>
    </row>
    <row r="2681" spans="1:17" x14ac:dyDescent="0.25">
      <c r="A2681" s="5">
        <v>10296</v>
      </c>
      <c r="B2681" s="5">
        <v>22</v>
      </c>
      <c r="C2681" s="5">
        <v>80.8</v>
      </c>
      <c r="D2681" s="5">
        <v>1777.6</v>
      </c>
      <c r="E2681" s="5" t="str">
        <f t="shared" si="165"/>
        <v>Low</v>
      </c>
      <c r="F2681" s="5">
        <f t="shared" si="166"/>
        <v>533.28</v>
      </c>
      <c r="G2681" s="6">
        <v>38245</v>
      </c>
      <c r="H2681" s="5" t="s">
        <v>25</v>
      </c>
      <c r="I2681" s="5" t="str">
        <f t="shared" si="164"/>
        <v>Yes</v>
      </c>
      <c r="J2681" s="5" t="s">
        <v>690</v>
      </c>
      <c r="K2681" s="5">
        <v>2004</v>
      </c>
      <c r="L2681" s="5" t="str">
        <f t="shared" si="167"/>
        <v>Sep-2004</v>
      </c>
      <c r="M2681" s="5" t="s">
        <v>566</v>
      </c>
      <c r="N2681" s="5" t="s">
        <v>572</v>
      </c>
      <c r="O2681" s="5" t="s">
        <v>443</v>
      </c>
      <c r="P2681" s="5" t="s">
        <v>42</v>
      </c>
      <c r="Q2681" s="5" t="s">
        <v>36</v>
      </c>
    </row>
    <row r="2682" spans="1:17" x14ac:dyDescent="0.25">
      <c r="A2682" s="3">
        <v>10308</v>
      </c>
      <c r="B2682" s="3">
        <v>21</v>
      </c>
      <c r="C2682" s="3">
        <v>87.2</v>
      </c>
      <c r="D2682" s="3">
        <v>1831.2</v>
      </c>
      <c r="E2682" s="3" t="str">
        <f t="shared" si="165"/>
        <v>Low</v>
      </c>
      <c r="F2682" s="3">
        <f t="shared" si="166"/>
        <v>549.36</v>
      </c>
      <c r="G2682" s="4">
        <v>38275</v>
      </c>
      <c r="H2682" s="3" t="s">
        <v>25</v>
      </c>
      <c r="I2682" s="3" t="str">
        <f t="shared" si="164"/>
        <v>Yes</v>
      </c>
      <c r="J2682" s="3" t="s">
        <v>685</v>
      </c>
      <c r="K2682" s="3">
        <v>2004</v>
      </c>
      <c r="L2682" s="3" t="str">
        <f t="shared" si="167"/>
        <v>Oct-2004</v>
      </c>
      <c r="M2682" s="3" t="s">
        <v>566</v>
      </c>
      <c r="N2682" s="3" t="s">
        <v>317</v>
      </c>
      <c r="O2682" s="3" t="s">
        <v>32</v>
      </c>
      <c r="P2682" s="3" t="s">
        <v>33</v>
      </c>
      <c r="Q2682" s="3" t="s">
        <v>36</v>
      </c>
    </row>
    <row r="2683" spans="1:17" x14ac:dyDescent="0.25">
      <c r="A2683" s="5">
        <v>10316</v>
      </c>
      <c r="B2683" s="5">
        <v>48</v>
      </c>
      <c r="C2683" s="5">
        <v>75.2</v>
      </c>
      <c r="D2683" s="5">
        <v>3609.6000000000004</v>
      </c>
      <c r="E2683" s="5" t="str">
        <f t="shared" si="165"/>
        <v>Medium</v>
      </c>
      <c r="F2683" s="5">
        <f t="shared" si="166"/>
        <v>1082.8800000000001</v>
      </c>
      <c r="G2683" s="6">
        <v>38292</v>
      </c>
      <c r="H2683" s="5" t="s">
        <v>25</v>
      </c>
      <c r="I2683" s="5" t="str">
        <f t="shared" si="164"/>
        <v>Yes</v>
      </c>
      <c r="J2683" s="5" t="s">
        <v>686</v>
      </c>
      <c r="K2683" s="5">
        <v>2004</v>
      </c>
      <c r="L2683" s="5" t="str">
        <f t="shared" si="167"/>
        <v>Nov-2004</v>
      </c>
      <c r="M2683" s="5" t="s">
        <v>566</v>
      </c>
      <c r="N2683" s="5" t="s">
        <v>383</v>
      </c>
      <c r="O2683" s="5" t="s">
        <v>170</v>
      </c>
      <c r="P2683" s="5" t="s">
        <v>42</v>
      </c>
      <c r="Q2683" s="5" t="s">
        <v>51</v>
      </c>
    </row>
    <row r="2684" spans="1:17" x14ac:dyDescent="0.25">
      <c r="A2684" s="3">
        <v>10328</v>
      </c>
      <c r="B2684" s="3">
        <v>33</v>
      </c>
      <c r="C2684" s="3">
        <v>64</v>
      </c>
      <c r="D2684" s="3">
        <v>2112</v>
      </c>
      <c r="E2684" s="3" t="str">
        <f t="shared" si="165"/>
        <v>Medium</v>
      </c>
      <c r="F2684" s="3">
        <f t="shared" si="166"/>
        <v>633.6</v>
      </c>
      <c r="G2684" s="4">
        <v>38303</v>
      </c>
      <c r="H2684" s="3" t="s">
        <v>25</v>
      </c>
      <c r="I2684" s="3" t="str">
        <f t="shared" si="164"/>
        <v>Yes</v>
      </c>
      <c r="J2684" s="3" t="s">
        <v>686</v>
      </c>
      <c r="K2684" s="3">
        <v>2004</v>
      </c>
      <c r="L2684" s="3" t="str">
        <f t="shared" si="167"/>
        <v>Nov-2004</v>
      </c>
      <c r="M2684" s="3" t="s">
        <v>566</v>
      </c>
      <c r="N2684" s="3" t="s">
        <v>552</v>
      </c>
      <c r="O2684" s="3" t="s">
        <v>258</v>
      </c>
      <c r="P2684" s="3" t="s">
        <v>42</v>
      </c>
      <c r="Q2684" s="3" t="s">
        <v>36</v>
      </c>
    </row>
    <row r="2685" spans="1:17" x14ac:dyDescent="0.25">
      <c r="A2685" s="5">
        <v>10341</v>
      </c>
      <c r="B2685" s="5">
        <v>34</v>
      </c>
      <c r="C2685" s="5">
        <v>100</v>
      </c>
      <c r="D2685" s="5">
        <v>3400</v>
      </c>
      <c r="E2685" s="5" t="str">
        <f t="shared" si="165"/>
        <v>Medium</v>
      </c>
      <c r="F2685" s="5">
        <f t="shared" si="166"/>
        <v>1020</v>
      </c>
      <c r="G2685" s="6">
        <v>38315</v>
      </c>
      <c r="H2685" s="5" t="s">
        <v>25</v>
      </c>
      <c r="I2685" s="5" t="str">
        <f t="shared" si="164"/>
        <v>Yes</v>
      </c>
      <c r="J2685" s="5" t="s">
        <v>686</v>
      </c>
      <c r="K2685" s="5">
        <v>2004</v>
      </c>
      <c r="L2685" s="5" t="str">
        <f t="shared" si="167"/>
        <v>Nov-2004</v>
      </c>
      <c r="M2685" s="5" t="s">
        <v>566</v>
      </c>
      <c r="N2685" s="5" t="s">
        <v>144</v>
      </c>
      <c r="O2685" s="5" t="s">
        <v>148</v>
      </c>
      <c r="P2685" s="5" t="s">
        <v>42</v>
      </c>
      <c r="Q2685" s="5" t="s">
        <v>51</v>
      </c>
    </row>
    <row r="2686" spans="1:17" x14ac:dyDescent="0.25">
      <c r="A2686" s="3">
        <v>10353</v>
      </c>
      <c r="B2686" s="3">
        <v>43</v>
      </c>
      <c r="C2686" s="3">
        <v>81.95</v>
      </c>
      <c r="D2686" s="3">
        <v>3523.85</v>
      </c>
      <c r="E2686" s="3" t="str">
        <f t="shared" si="165"/>
        <v>Medium</v>
      </c>
      <c r="F2686" s="3">
        <f t="shared" si="166"/>
        <v>1057.155</v>
      </c>
      <c r="G2686" s="4">
        <v>38325</v>
      </c>
      <c r="H2686" s="3" t="s">
        <v>25</v>
      </c>
      <c r="I2686" s="3" t="str">
        <f t="shared" si="164"/>
        <v>Yes</v>
      </c>
      <c r="J2686" s="3" t="s">
        <v>687</v>
      </c>
      <c r="K2686" s="3">
        <v>2004</v>
      </c>
      <c r="L2686" s="3" t="str">
        <f t="shared" si="167"/>
        <v>Dec-2004</v>
      </c>
      <c r="M2686" s="3" t="s">
        <v>566</v>
      </c>
      <c r="N2686" s="3" t="s">
        <v>568</v>
      </c>
      <c r="O2686" s="3" t="s">
        <v>32</v>
      </c>
      <c r="P2686" s="3" t="s">
        <v>33</v>
      </c>
      <c r="Q2686" s="3" t="s">
        <v>51</v>
      </c>
    </row>
    <row r="2687" spans="1:17" x14ac:dyDescent="0.25">
      <c r="A2687" s="5">
        <v>10361</v>
      </c>
      <c r="B2687" s="5">
        <v>44</v>
      </c>
      <c r="C2687" s="5">
        <v>100</v>
      </c>
      <c r="D2687" s="5">
        <v>4400</v>
      </c>
      <c r="E2687" s="5" t="str">
        <f t="shared" si="165"/>
        <v>Medium</v>
      </c>
      <c r="F2687" s="5">
        <f t="shared" si="166"/>
        <v>1320</v>
      </c>
      <c r="G2687" s="6">
        <v>38338</v>
      </c>
      <c r="H2687" s="5" t="s">
        <v>25</v>
      </c>
      <c r="I2687" s="5" t="str">
        <f t="shared" si="164"/>
        <v>Yes</v>
      </c>
      <c r="J2687" s="5" t="s">
        <v>687</v>
      </c>
      <c r="K2687" s="5">
        <v>2004</v>
      </c>
      <c r="L2687" s="5" t="str">
        <f t="shared" si="167"/>
        <v>Dec-2004</v>
      </c>
      <c r="M2687" s="5" t="s">
        <v>566</v>
      </c>
      <c r="N2687" s="5" t="s">
        <v>152</v>
      </c>
      <c r="O2687" s="5" t="s">
        <v>95</v>
      </c>
      <c r="P2687" s="5" t="s">
        <v>96</v>
      </c>
      <c r="Q2687" s="5" t="s">
        <v>51</v>
      </c>
    </row>
    <row r="2688" spans="1:17" x14ac:dyDescent="0.25">
      <c r="A2688" s="3">
        <v>10375</v>
      </c>
      <c r="B2688" s="3">
        <v>44</v>
      </c>
      <c r="C2688" s="3">
        <v>100</v>
      </c>
      <c r="D2688" s="3">
        <v>4400</v>
      </c>
      <c r="E2688" s="3" t="str">
        <f t="shared" si="165"/>
        <v>Medium</v>
      </c>
      <c r="F2688" s="3">
        <f t="shared" si="166"/>
        <v>1320</v>
      </c>
      <c r="G2688" s="4">
        <v>38386</v>
      </c>
      <c r="H2688" s="3" t="s">
        <v>25</v>
      </c>
      <c r="I2688" s="3" t="str">
        <f t="shared" si="164"/>
        <v>Yes</v>
      </c>
      <c r="J2688" s="3" t="s">
        <v>681</v>
      </c>
      <c r="K2688" s="3">
        <v>2005</v>
      </c>
      <c r="L2688" s="3" t="str">
        <f t="shared" si="167"/>
        <v>Feb-2005</v>
      </c>
      <c r="M2688" s="3" t="s">
        <v>566</v>
      </c>
      <c r="N2688" s="3" t="s">
        <v>114</v>
      </c>
      <c r="O2688" s="3" t="s">
        <v>41</v>
      </c>
      <c r="P2688" s="3" t="s">
        <v>42</v>
      </c>
      <c r="Q2688" s="3" t="s">
        <v>51</v>
      </c>
    </row>
    <row r="2689" spans="1:17" x14ac:dyDescent="0.25">
      <c r="A2689" s="5">
        <v>10386</v>
      </c>
      <c r="B2689" s="5">
        <v>32</v>
      </c>
      <c r="C2689" s="5">
        <v>94.34</v>
      </c>
      <c r="D2689" s="5">
        <v>3018.88</v>
      </c>
      <c r="E2689" s="5" t="str">
        <f t="shared" si="165"/>
        <v>Medium</v>
      </c>
      <c r="F2689" s="5">
        <f t="shared" si="166"/>
        <v>905.66399999999999</v>
      </c>
      <c r="G2689" s="6">
        <v>38412</v>
      </c>
      <c r="H2689" s="5" t="s">
        <v>408</v>
      </c>
      <c r="I2689" s="5" t="str">
        <f t="shared" si="164"/>
        <v>No</v>
      </c>
      <c r="J2689" s="5" t="s">
        <v>691</v>
      </c>
      <c r="K2689" s="5">
        <v>2005</v>
      </c>
      <c r="L2689" s="5" t="str">
        <f t="shared" si="167"/>
        <v>Mar-2005</v>
      </c>
      <c r="M2689" s="5" t="s">
        <v>566</v>
      </c>
      <c r="N2689" s="5" t="s">
        <v>174</v>
      </c>
      <c r="O2689" s="5" t="s">
        <v>178</v>
      </c>
      <c r="P2689" s="5" t="s">
        <v>42</v>
      </c>
      <c r="Q2689" s="5" t="s">
        <v>51</v>
      </c>
    </row>
    <row r="2690" spans="1:17" x14ac:dyDescent="0.25">
      <c r="A2690" s="3">
        <v>10398</v>
      </c>
      <c r="B2690" s="3">
        <v>29</v>
      </c>
      <c r="C2690" s="3">
        <v>65.599999999999994</v>
      </c>
      <c r="D2690" s="3">
        <v>1902.3999999999999</v>
      </c>
      <c r="E2690" s="3" t="str">
        <f t="shared" si="165"/>
        <v>Low</v>
      </c>
      <c r="F2690" s="3">
        <f t="shared" si="166"/>
        <v>570.71999999999991</v>
      </c>
      <c r="G2690" s="4">
        <v>38441</v>
      </c>
      <c r="H2690" s="3" t="s">
        <v>25</v>
      </c>
      <c r="I2690" s="3" t="str">
        <f t="shared" ref="I2690:I2753" si="168">IF(H2690="Shipped","Yes","No")</f>
        <v>Yes</v>
      </c>
      <c r="J2690" s="3" t="s">
        <v>691</v>
      </c>
      <c r="K2690" s="3">
        <v>2005</v>
      </c>
      <c r="L2690" s="3" t="str">
        <f t="shared" si="167"/>
        <v>Mar-2005</v>
      </c>
      <c r="M2690" s="3" t="s">
        <v>566</v>
      </c>
      <c r="N2690" s="3" t="s">
        <v>37</v>
      </c>
      <c r="O2690" s="3" t="s">
        <v>41</v>
      </c>
      <c r="P2690" s="3" t="s">
        <v>42</v>
      </c>
      <c r="Q2690" s="3" t="s">
        <v>36</v>
      </c>
    </row>
    <row r="2691" spans="1:17" x14ac:dyDescent="0.25">
      <c r="A2691" s="5">
        <v>10401</v>
      </c>
      <c r="B2691" s="5">
        <v>77</v>
      </c>
      <c r="C2691" s="5">
        <v>92</v>
      </c>
      <c r="D2691" s="5">
        <v>7084</v>
      </c>
      <c r="E2691" s="5" t="str">
        <f t="shared" ref="E2691:E2754" si="169">IF(D2691&gt;=5000,"High",IF(D2691&gt;=2000,"Medium","Low"))</f>
        <v>High</v>
      </c>
      <c r="F2691" s="5">
        <f t="shared" ref="F2691:F2754" si="170">(D2691*0.3)</f>
        <v>2125.1999999999998</v>
      </c>
      <c r="G2691" s="6">
        <v>38445</v>
      </c>
      <c r="H2691" s="5" t="s">
        <v>401</v>
      </c>
      <c r="I2691" s="5" t="str">
        <f t="shared" si="168"/>
        <v>No</v>
      </c>
      <c r="J2691" s="5" t="s">
        <v>688</v>
      </c>
      <c r="K2691" s="5">
        <v>2005</v>
      </c>
      <c r="L2691" s="5" t="str">
        <f t="shared" ref="L2691:L2754" si="171">TEXT(G:G,"MMM-YYYY")</f>
        <v>Apr-2005</v>
      </c>
      <c r="M2691" s="5" t="s">
        <v>566</v>
      </c>
      <c r="N2691" s="5" t="s">
        <v>104</v>
      </c>
      <c r="O2691" s="5" t="s">
        <v>32</v>
      </c>
      <c r="P2691" s="5" t="s">
        <v>33</v>
      </c>
      <c r="Q2691" s="5" t="s">
        <v>151</v>
      </c>
    </row>
    <row r="2692" spans="1:17" x14ac:dyDescent="0.25">
      <c r="A2692" s="3">
        <v>10416</v>
      </c>
      <c r="B2692" s="3">
        <v>39</v>
      </c>
      <c r="C2692" s="3">
        <v>67.2</v>
      </c>
      <c r="D2692" s="3">
        <v>2620.8000000000002</v>
      </c>
      <c r="E2692" s="3" t="str">
        <f t="shared" si="169"/>
        <v>Medium</v>
      </c>
      <c r="F2692" s="3">
        <f t="shared" si="170"/>
        <v>786.24</v>
      </c>
      <c r="G2692" s="4">
        <v>38482</v>
      </c>
      <c r="H2692" s="3" t="s">
        <v>25</v>
      </c>
      <c r="I2692" s="3" t="str">
        <f t="shared" si="168"/>
        <v>Yes</v>
      </c>
      <c r="J2692" s="3" t="s">
        <v>682</v>
      </c>
      <c r="K2692" s="3">
        <v>2005</v>
      </c>
      <c r="L2692" s="3" t="str">
        <f t="shared" si="171"/>
        <v>May-2005</v>
      </c>
      <c r="M2692" s="3" t="s">
        <v>566</v>
      </c>
      <c r="N2692" s="3" t="s">
        <v>452</v>
      </c>
      <c r="O2692" s="3" t="s">
        <v>258</v>
      </c>
      <c r="P2692" s="3" t="s">
        <v>42</v>
      </c>
      <c r="Q2692" s="3" t="s">
        <v>36</v>
      </c>
    </row>
    <row r="2693" spans="1:17" x14ac:dyDescent="0.25">
      <c r="A2693" s="5">
        <v>10105</v>
      </c>
      <c r="B2693" s="5">
        <v>39</v>
      </c>
      <c r="C2693" s="5">
        <v>81.14</v>
      </c>
      <c r="D2693" s="5">
        <v>3164.46</v>
      </c>
      <c r="E2693" s="5" t="str">
        <f t="shared" si="169"/>
        <v>Medium</v>
      </c>
      <c r="F2693" s="5">
        <f t="shared" si="170"/>
        <v>949.33799999999997</v>
      </c>
      <c r="G2693" s="6">
        <v>37663</v>
      </c>
      <c r="H2693" s="5" t="s">
        <v>25</v>
      </c>
      <c r="I2693" s="5" t="str">
        <f t="shared" si="168"/>
        <v>Yes</v>
      </c>
      <c r="J2693" s="5" t="s">
        <v>681</v>
      </c>
      <c r="K2693" s="5">
        <v>2003</v>
      </c>
      <c r="L2693" s="5" t="str">
        <f t="shared" si="171"/>
        <v>Feb-2003</v>
      </c>
      <c r="M2693" s="5" t="s">
        <v>598</v>
      </c>
      <c r="N2693" s="5" t="s">
        <v>322</v>
      </c>
      <c r="O2693" s="5" t="s">
        <v>326</v>
      </c>
      <c r="P2693" s="5" t="s">
        <v>42</v>
      </c>
      <c r="Q2693" s="5" t="s">
        <v>51</v>
      </c>
    </row>
    <row r="2694" spans="1:17" x14ac:dyDescent="0.25">
      <c r="A2694" s="3">
        <v>10118</v>
      </c>
      <c r="B2694" s="3">
        <v>36</v>
      </c>
      <c r="C2694" s="3">
        <v>100</v>
      </c>
      <c r="D2694" s="3">
        <v>3600</v>
      </c>
      <c r="E2694" s="3" t="str">
        <f t="shared" si="169"/>
        <v>Medium</v>
      </c>
      <c r="F2694" s="3">
        <f t="shared" si="170"/>
        <v>1080</v>
      </c>
      <c r="G2694" s="4">
        <v>37732</v>
      </c>
      <c r="H2694" s="3" t="s">
        <v>25</v>
      </c>
      <c r="I2694" s="3" t="str">
        <f t="shared" si="168"/>
        <v>Yes</v>
      </c>
      <c r="J2694" s="3" t="s">
        <v>688</v>
      </c>
      <c r="K2694" s="3">
        <v>2003</v>
      </c>
      <c r="L2694" s="3" t="str">
        <f t="shared" si="171"/>
        <v>Apr-2003</v>
      </c>
      <c r="M2694" s="3" t="s">
        <v>598</v>
      </c>
      <c r="N2694" s="3" t="s">
        <v>352</v>
      </c>
      <c r="O2694" s="3" t="s">
        <v>178</v>
      </c>
      <c r="P2694" s="3" t="s">
        <v>42</v>
      </c>
      <c r="Q2694" s="3" t="s">
        <v>51</v>
      </c>
    </row>
    <row r="2695" spans="1:17" x14ac:dyDescent="0.25">
      <c r="A2695" s="5">
        <v>10129</v>
      </c>
      <c r="B2695" s="5">
        <v>42</v>
      </c>
      <c r="C2695" s="5">
        <v>91.15</v>
      </c>
      <c r="D2695" s="5">
        <v>3828.3</v>
      </c>
      <c r="E2695" s="5" t="str">
        <f t="shared" si="169"/>
        <v>Medium</v>
      </c>
      <c r="F2695" s="5">
        <f t="shared" si="170"/>
        <v>1148.49</v>
      </c>
      <c r="G2695" s="6">
        <v>37784</v>
      </c>
      <c r="H2695" s="5" t="s">
        <v>25</v>
      </c>
      <c r="I2695" s="5" t="str">
        <f t="shared" si="168"/>
        <v>Yes</v>
      </c>
      <c r="J2695" s="5" t="s">
        <v>689</v>
      </c>
      <c r="K2695" s="5">
        <v>2003</v>
      </c>
      <c r="L2695" s="5" t="str">
        <f t="shared" si="171"/>
        <v>Jun-2003</v>
      </c>
      <c r="M2695" s="5" t="s">
        <v>598</v>
      </c>
      <c r="N2695" s="5" t="s">
        <v>329</v>
      </c>
      <c r="O2695" s="5" t="s">
        <v>170</v>
      </c>
      <c r="P2695" s="5" t="s">
        <v>42</v>
      </c>
      <c r="Q2695" s="5" t="s">
        <v>51</v>
      </c>
    </row>
    <row r="2696" spans="1:17" x14ac:dyDescent="0.25">
      <c r="A2696" s="3">
        <v>10142</v>
      </c>
      <c r="B2696" s="3">
        <v>21</v>
      </c>
      <c r="C2696" s="3">
        <v>100</v>
      </c>
      <c r="D2696" s="3">
        <v>2100</v>
      </c>
      <c r="E2696" s="3" t="str">
        <f t="shared" si="169"/>
        <v>Medium</v>
      </c>
      <c r="F2696" s="3">
        <f t="shared" si="170"/>
        <v>630</v>
      </c>
      <c r="G2696" s="4">
        <v>37841</v>
      </c>
      <c r="H2696" s="3" t="s">
        <v>25</v>
      </c>
      <c r="I2696" s="3" t="str">
        <f t="shared" si="168"/>
        <v>Yes</v>
      </c>
      <c r="J2696" s="3" t="s">
        <v>684</v>
      </c>
      <c r="K2696" s="3">
        <v>2003</v>
      </c>
      <c r="L2696" s="3" t="str">
        <f t="shared" si="171"/>
        <v>Aug-2003</v>
      </c>
      <c r="M2696" s="3" t="s">
        <v>598</v>
      </c>
      <c r="N2696" s="3" t="s">
        <v>272</v>
      </c>
      <c r="O2696" s="3" t="s">
        <v>32</v>
      </c>
      <c r="P2696" s="3" t="s">
        <v>33</v>
      </c>
      <c r="Q2696" s="3" t="s">
        <v>36</v>
      </c>
    </row>
    <row r="2697" spans="1:17" x14ac:dyDescent="0.25">
      <c r="A2697" s="5">
        <v>10153</v>
      </c>
      <c r="B2697" s="5">
        <v>50</v>
      </c>
      <c r="C2697" s="5">
        <v>88.15</v>
      </c>
      <c r="D2697" s="5">
        <v>4407.5</v>
      </c>
      <c r="E2697" s="5" t="str">
        <f t="shared" si="169"/>
        <v>Medium</v>
      </c>
      <c r="F2697" s="5">
        <f t="shared" si="170"/>
        <v>1322.25</v>
      </c>
      <c r="G2697" s="6">
        <v>37892</v>
      </c>
      <c r="H2697" s="5" t="s">
        <v>25</v>
      </c>
      <c r="I2697" s="5" t="str">
        <f t="shared" si="168"/>
        <v>Yes</v>
      </c>
      <c r="J2697" s="5" t="s">
        <v>690</v>
      </c>
      <c r="K2697" s="5">
        <v>2003</v>
      </c>
      <c r="L2697" s="5" t="str">
        <f t="shared" si="171"/>
        <v>Sep-2003</v>
      </c>
      <c r="M2697" s="5" t="s">
        <v>598</v>
      </c>
      <c r="N2697" s="5" t="s">
        <v>174</v>
      </c>
      <c r="O2697" s="5" t="s">
        <v>178</v>
      </c>
      <c r="P2697" s="5" t="s">
        <v>42</v>
      </c>
      <c r="Q2697" s="5" t="s">
        <v>51</v>
      </c>
    </row>
    <row r="2698" spans="1:17" x14ac:dyDescent="0.25">
      <c r="A2698" s="3">
        <v>10167</v>
      </c>
      <c r="B2698" s="3">
        <v>24</v>
      </c>
      <c r="C2698" s="3">
        <v>100</v>
      </c>
      <c r="D2698" s="3">
        <v>2400</v>
      </c>
      <c r="E2698" s="3" t="str">
        <f t="shared" si="169"/>
        <v>Medium</v>
      </c>
      <c r="F2698" s="3">
        <f t="shared" si="170"/>
        <v>720</v>
      </c>
      <c r="G2698" s="4">
        <v>37917</v>
      </c>
      <c r="H2698" s="3" t="s">
        <v>339</v>
      </c>
      <c r="I2698" s="3" t="str">
        <f t="shared" si="168"/>
        <v>No</v>
      </c>
      <c r="J2698" s="3" t="s">
        <v>685</v>
      </c>
      <c r="K2698" s="3">
        <v>2003</v>
      </c>
      <c r="L2698" s="3" t="str">
        <f t="shared" si="171"/>
        <v>Oct-2003</v>
      </c>
      <c r="M2698" s="3" t="s">
        <v>598</v>
      </c>
      <c r="N2698" s="3" t="s">
        <v>261</v>
      </c>
      <c r="O2698" s="3" t="s">
        <v>188</v>
      </c>
      <c r="P2698" s="3" t="s">
        <v>42</v>
      </c>
      <c r="Q2698" s="3" t="s">
        <v>36</v>
      </c>
    </row>
    <row r="2699" spans="1:17" x14ac:dyDescent="0.25">
      <c r="A2699" s="5">
        <v>10177</v>
      </c>
      <c r="B2699" s="5">
        <v>44</v>
      </c>
      <c r="C2699" s="5">
        <v>92.16</v>
      </c>
      <c r="D2699" s="5">
        <v>4055.04</v>
      </c>
      <c r="E2699" s="5" t="str">
        <f t="shared" si="169"/>
        <v>Medium</v>
      </c>
      <c r="F2699" s="5">
        <f t="shared" si="170"/>
        <v>1216.5119999999999</v>
      </c>
      <c r="G2699" s="6">
        <v>37932</v>
      </c>
      <c r="H2699" s="5" t="s">
        <v>25</v>
      </c>
      <c r="I2699" s="5" t="str">
        <f t="shared" si="168"/>
        <v>Yes</v>
      </c>
      <c r="J2699" s="5" t="s">
        <v>686</v>
      </c>
      <c r="K2699" s="5">
        <v>2003</v>
      </c>
      <c r="L2699" s="5" t="str">
        <f t="shared" si="171"/>
        <v>Nov-2003</v>
      </c>
      <c r="M2699" s="5" t="s">
        <v>598</v>
      </c>
      <c r="N2699" s="5" t="s">
        <v>487</v>
      </c>
      <c r="O2699" s="5" t="s">
        <v>178</v>
      </c>
      <c r="P2699" s="5" t="s">
        <v>42</v>
      </c>
      <c r="Q2699" s="5" t="s">
        <v>51</v>
      </c>
    </row>
    <row r="2700" spans="1:17" x14ac:dyDescent="0.25">
      <c r="A2700" s="3">
        <v>10185</v>
      </c>
      <c r="B2700" s="3">
        <v>37</v>
      </c>
      <c r="C2700" s="3">
        <v>100</v>
      </c>
      <c r="D2700" s="3">
        <v>3700</v>
      </c>
      <c r="E2700" s="3" t="str">
        <f t="shared" si="169"/>
        <v>Medium</v>
      </c>
      <c r="F2700" s="3">
        <f t="shared" si="170"/>
        <v>1110</v>
      </c>
      <c r="G2700" s="4">
        <v>37939</v>
      </c>
      <c r="H2700" s="3" t="s">
        <v>25</v>
      </c>
      <c r="I2700" s="3" t="str">
        <f t="shared" si="168"/>
        <v>Yes</v>
      </c>
      <c r="J2700" s="3" t="s">
        <v>686</v>
      </c>
      <c r="K2700" s="3">
        <v>2003</v>
      </c>
      <c r="L2700" s="3" t="str">
        <f t="shared" si="171"/>
        <v>Nov-2003</v>
      </c>
      <c r="M2700" s="3" t="s">
        <v>598</v>
      </c>
      <c r="N2700" s="3" t="s">
        <v>335</v>
      </c>
      <c r="O2700" s="3" t="s">
        <v>32</v>
      </c>
      <c r="P2700" s="3" t="s">
        <v>33</v>
      </c>
      <c r="Q2700" s="3" t="s">
        <v>51</v>
      </c>
    </row>
    <row r="2701" spans="1:17" x14ac:dyDescent="0.25">
      <c r="A2701" s="5">
        <v>10197</v>
      </c>
      <c r="B2701" s="5">
        <v>27</v>
      </c>
      <c r="C2701" s="5">
        <v>92.16</v>
      </c>
      <c r="D2701" s="5">
        <v>2488.3199999999997</v>
      </c>
      <c r="E2701" s="5" t="str">
        <f t="shared" si="169"/>
        <v>Medium</v>
      </c>
      <c r="F2701" s="5">
        <f t="shared" si="170"/>
        <v>746.49599999999987</v>
      </c>
      <c r="G2701" s="6">
        <v>37951</v>
      </c>
      <c r="H2701" s="5" t="s">
        <v>25</v>
      </c>
      <c r="I2701" s="5" t="str">
        <f t="shared" si="168"/>
        <v>Yes</v>
      </c>
      <c r="J2701" s="5" t="s">
        <v>686</v>
      </c>
      <c r="K2701" s="5">
        <v>2003</v>
      </c>
      <c r="L2701" s="5" t="str">
        <f t="shared" si="171"/>
        <v>Nov-2003</v>
      </c>
      <c r="M2701" s="5" t="s">
        <v>598</v>
      </c>
      <c r="N2701" s="5" t="s">
        <v>352</v>
      </c>
      <c r="O2701" s="5" t="s">
        <v>178</v>
      </c>
      <c r="P2701" s="5" t="s">
        <v>42</v>
      </c>
      <c r="Q2701" s="5" t="s">
        <v>36</v>
      </c>
    </row>
    <row r="2702" spans="1:17" x14ac:dyDescent="0.25">
      <c r="A2702" s="3">
        <v>10208</v>
      </c>
      <c r="B2702" s="3">
        <v>37</v>
      </c>
      <c r="C2702" s="3">
        <v>100</v>
      </c>
      <c r="D2702" s="3">
        <v>3700</v>
      </c>
      <c r="E2702" s="3" t="str">
        <f t="shared" si="169"/>
        <v>Medium</v>
      </c>
      <c r="F2702" s="3">
        <f t="shared" si="170"/>
        <v>1110</v>
      </c>
      <c r="G2702" s="4">
        <v>37988</v>
      </c>
      <c r="H2702" s="3" t="s">
        <v>25</v>
      </c>
      <c r="I2702" s="3" t="str">
        <f t="shared" si="168"/>
        <v>Yes</v>
      </c>
      <c r="J2702" s="3" t="s">
        <v>549</v>
      </c>
      <c r="K2702" s="3">
        <v>2004</v>
      </c>
      <c r="L2702" s="3" t="str">
        <f t="shared" si="171"/>
        <v>Jan-2004</v>
      </c>
      <c r="M2702" s="3" t="s">
        <v>598</v>
      </c>
      <c r="N2702" s="3" t="s">
        <v>219</v>
      </c>
      <c r="O2702" s="3" t="s">
        <v>41</v>
      </c>
      <c r="P2702" s="3" t="s">
        <v>42</v>
      </c>
      <c r="Q2702" s="3" t="s">
        <v>51</v>
      </c>
    </row>
    <row r="2703" spans="1:17" x14ac:dyDescent="0.25">
      <c r="A2703" s="5">
        <v>10222</v>
      </c>
      <c r="B2703" s="5">
        <v>38</v>
      </c>
      <c r="C2703" s="5">
        <v>100</v>
      </c>
      <c r="D2703" s="5">
        <v>3800</v>
      </c>
      <c r="E2703" s="5" t="str">
        <f t="shared" si="169"/>
        <v>Medium</v>
      </c>
      <c r="F2703" s="5">
        <f t="shared" si="170"/>
        <v>1140</v>
      </c>
      <c r="G2703" s="6">
        <v>38036</v>
      </c>
      <c r="H2703" s="5" t="s">
        <v>25</v>
      </c>
      <c r="I2703" s="5" t="str">
        <f t="shared" si="168"/>
        <v>Yes</v>
      </c>
      <c r="J2703" s="5" t="s">
        <v>681</v>
      </c>
      <c r="K2703" s="5">
        <v>2004</v>
      </c>
      <c r="L2703" s="5" t="str">
        <f t="shared" si="171"/>
        <v>Feb-2004</v>
      </c>
      <c r="M2703" s="5" t="s">
        <v>598</v>
      </c>
      <c r="N2703" s="5" t="s">
        <v>362</v>
      </c>
      <c r="O2703" s="5" t="s">
        <v>32</v>
      </c>
      <c r="P2703" s="5" t="s">
        <v>33</v>
      </c>
      <c r="Q2703" s="5" t="s">
        <v>51</v>
      </c>
    </row>
    <row r="2704" spans="1:17" x14ac:dyDescent="0.25">
      <c r="A2704" s="3">
        <v>10232</v>
      </c>
      <c r="B2704" s="3">
        <v>48</v>
      </c>
      <c r="C2704" s="3">
        <v>96.16</v>
      </c>
      <c r="D2704" s="3">
        <v>4615.68</v>
      </c>
      <c r="E2704" s="3" t="str">
        <f t="shared" si="169"/>
        <v>Medium</v>
      </c>
      <c r="F2704" s="3">
        <f t="shared" si="170"/>
        <v>1384.704</v>
      </c>
      <c r="G2704" s="4">
        <v>38066</v>
      </c>
      <c r="H2704" s="3" t="s">
        <v>25</v>
      </c>
      <c r="I2704" s="3" t="str">
        <f t="shared" si="168"/>
        <v>Yes</v>
      </c>
      <c r="J2704" s="3" t="s">
        <v>691</v>
      </c>
      <c r="K2704" s="3">
        <v>2004</v>
      </c>
      <c r="L2704" s="3" t="str">
        <f t="shared" si="171"/>
        <v>Mar-2004</v>
      </c>
      <c r="M2704" s="3" t="s">
        <v>598</v>
      </c>
      <c r="N2704" s="3" t="s">
        <v>383</v>
      </c>
      <c r="O2704" s="3" t="s">
        <v>170</v>
      </c>
      <c r="P2704" s="3" t="s">
        <v>42</v>
      </c>
      <c r="Q2704" s="3" t="s">
        <v>51</v>
      </c>
    </row>
    <row r="2705" spans="1:17" x14ac:dyDescent="0.25">
      <c r="A2705" s="5">
        <v>10248</v>
      </c>
      <c r="B2705" s="5">
        <v>30</v>
      </c>
      <c r="C2705" s="5">
        <v>100</v>
      </c>
      <c r="D2705" s="5">
        <v>3000</v>
      </c>
      <c r="E2705" s="5" t="str">
        <f t="shared" si="169"/>
        <v>Medium</v>
      </c>
      <c r="F2705" s="5">
        <f t="shared" si="170"/>
        <v>900</v>
      </c>
      <c r="G2705" s="6">
        <v>38114</v>
      </c>
      <c r="H2705" s="5" t="s">
        <v>339</v>
      </c>
      <c r="I2705" s="5" t="str">
        <f t="shared" si="168"/>
        <v>No</v>
      </c>
      <c r="J2705" s="5" t="s">
        <v>682</v>
      </c>
      <c r="K2705" s="5">
        <v>2004</v>
      </c>
      <c r="L2705" s="5" t="str">
        <f t="shared" si="171"/>
        <v>May-2004</v>
      </c>
      <c r="M2705" s="5" t="s">
        <v>598</v>
      </c>
      <c r="N2705" s="5" t="s">
        <v>28</v>
      </c>
      <c r="O2705" s="5" t="s">
        <v>32</v>
      </c>
      <c r="P2705" s="5" t="s">
        <v>33</v>
      </c>
      <c r="Q2705" s="5" t="s">
        <v>51</v>
      </c>
    </row>
    <row r="2706" spans="1:17" x14ac:dyDescent="0.25">
      <c r="A2706" s="3">
        <v>10261</v>
      </c>
      <c r="B2706" s="3">
        <v>25</v>
      </c>
      <c r="C2706" s="3">
        <v>88.15</v>
      </c>
      <c r="D2706" s="3">
        <v>2203.75</v>
      </c>
      <c r="E2706" s="3" t="str">
        <f t="shared" si="169"/>
        <v>Medium</v>
      </c>
      <c r="F2706" s="3">
        <f t="shared" si="170"/>
        <v>661.125</v>
      </c>
      <c r="G2706" s="4">
        <v>38155</v>
      </c>
      <c r="H2706" s="3" t="s">
        <v>25</v>
      </c>
      <c r="I2706" s="3" t="str">
        <f t="shared" si="168"/>
        <v>Yes</v>
      </c>
      <c r="J2706" s="3" t="s">
        <v>689</v>
      </c>
      <c r="K2706" s="3">
        <v>2004</v>
      </c>
      <c r="L2706" s="3" t="str">
        <f t="shared" si="171"/>
        <v>Jun-2004</v>
      </c>
      <c r="M2706" s="3" t="s">
        <v>598</v>
      </c>
      <c r="N2706" s="3" t="s">
        <v>292</v>
      </c>
      <c r="O2706" s="3" t="s">
        <v>231</v>
      </c>
      <c r="P2706" s="3" t="s">
        <v>33</v>
      </c>
      <c r="Q2706" s="3" t="s">
        <v>36</v>
      </c>
    </row>
    <row r="2707" spans="1:17" x14ac:dyDescent="0.25">
      <c r="A2707" s="5">
        <v>10273</v>
      </c>
      <c r="B2707" s="5">
        <v>40</v>
      </c>
      <c r="C2707" s="5">
        <v>86.15</v>
      </c>
      <c r="D2707" s="5">
        <v>3446</v>
      </c>
      <c r="E2707" s="5" t="str">
        <f t="shared" si="169"/>
        <v>Medium</v>
      </c>
      <c r="F2707" s="5">
        <f t="shared" si="170"/>
        <v>1033.8</v>
      </c>
      <c r="G2707" s="6">
        <v>38189</v>
      </c>
      <c r="H2707" s="5" t="s">
        <v>25</v>
      </c>
      <c r="I2707" s="5" t="str">
        <f t="shared" si="168"/>
        <v>Yes</v>
      </c>
      <c r="J2707" s="5" t="s">
        <v>683</v>
      </c>
      <c r="K2707" s="5">
        <v>2004</v>
      </c>
      <c r="L2707" s="5" t="str">
        <f t="shared" si="171"/>
        <v>Jul-2004</v>
      </c>
      <c r="M2707" s="5" t="s">
        <v>598</v>
      </c>
      <c r="N2707" s="5" t="s">
        <v>365</v>
      </c>
      <c r="O2707" s="5" t="s">
        <v>370</v>
      </c>
      <c r="P2707" s="5" t="s">
        <v>42</v>
      </c>
      <c r="Q2707" s="5" t="s">
        <v>51</v>
      </c>
    </row>
    <row r="2708" spans="1:17" x14ac:dyDescent="0.25">
      <c r="A2708" s="3">
        <v>10283</v>
      </c>
      <c r="B2708" s="3">
        <v>22</v>
      </c>
      <c r="C2708" s="3">
        <v>88.15</v>
      </c>
      <c r="D2708" s="3">
        <v>1939.3000000000002</v>
      </c>
      <c r="E2708" s="3" t="str">
        <f t="shared" si="169"/>
        <v>Low</v>
      </c>
      <c r="F2708" s="3">
        <f t="shared" si="170"/>
        <v>581.79000000000008</v>
      </c>
      <c r="G2708" s="4">
        <v>38219</v>
      </c>
      <c r="H2708" s="3" t="s">
        <v>25</v>
      </c>
      <c r="I2708" s="3" t="str">
        <f t="shared" si="168"/>
        <v>Yes</v>
      </c>
      <c r="J2708" s="3" t="s">
        <v>684</v>
      </c>
      <c r="K2708" s="3">
        <v>2004</v>
      </c>
      <c r="L2708" s="3" t="str">
        <f t="shared" si="171"/>
        <v>Aug-2004</v>
      </c>
      <c r="M2708" s="3" t="s">
        <v>598</v>
      </c>
      <c r="N2708" s="3" t="s">
        <v>373</v>
      </c>
      <c r="O2708" s="3" t="s">
        <v>231</v>
      </c>
      <c r="P2708" s="3" t="s">
        <v>33</v>
      </c>
      <c r="Q2708" s="3" t="s">
        <v>36</v>
      </c>
    </row>
    <row r="2709" spans="1:17" x14ac:dyDescent="0.25">
      <c r="A2709" s="5">
        <v>10295</v>
      </c>
      <c r="B2709" s="5">
        <v>34</v>
      </c>
      <c r="C2709" s="5">
        <v>100</v>
      </c>
      <c r="D2709" s="5">
        <v>3400</v>
      </c>
      <c r="E2709" s="5" t="str">
        <f t="shared" si="169"/>
        <v>Medium</v>
      </c>
      <c r="F2709" s="5">
        <f t="shared" si="170"/>
        <v>1020</v>
      </c>
      <c r="G2709" s="6">
        <v>38240</v>
      </c>
      <c r="H2709" s="5" t="s">
        <v>25</v>
      </c>
      <c r="I2709" s="5" t="str">
        <f t="shared" si="168"/>
        <v>Yes</v>
      </c>
      <c r="J2709" s="5" t="s">
        <v>690</v>
      </c>
      <c r="K2709" s="5">
        <v>2004</v>
      </c>
      <c r="L2709" s="5" t="str">
        <f t="shared" si="171"/>
        <v>Sep-2004</v>
      </c>
      <c r="M2709" s="5" t="s">
        <v>598</v>
      </c>
      <c r="N2709" s="5" t="s">
        <v>379</v>
      </c>
      <c r="O2709" s="5" t="s">
        <v>32</v>
      </c>
      <c r="P2709" s="5" t="s">
        <v>33</v>
      </c>
      <c r="Q2709" s="5" t="s">
        <v>51</v>
      </c>
    </row>
    <row r="2710" spans="1:17" x14ac:dyDescent="0.25">
      <c r="A2710" s="3">
        <v>10306</v>
      </c>
      <c r="B2710" s="3">
        <v>32</v>
      </c>
      <c r="C2710" s="3">
        <v>90.15</v>
      </c>
      <c r="D2710" s="3">
        <v>2884.8</v>
      </c>
      <c r="E2710" s="3" t="str">
        <f t="shared" si="169"/>
        <v>Medium</v>
      </c>
      <c r="F2710" s="3">
        <f t="shared" si="170"/>
        <v>865.44</v>
      </c>
      <c r="G2710" s="4">
        <v>38274</v>
      </c>
      <c r="H2710" s="3" t="s">
        <v>25</v>
      </c>
      <c r="I2710" s="3" t="str">
        <f t="shared" si="168"/>
        <v>Yes</v>
      </c>
      <c r="J2710" s="3" t="s">
        <v>685</v>
      </c>
      <c r="K2710" s="3">
        <v>2004</v>
      </c>
      <c r="L2710" s="3" t="str">
        <f t="shared" si="171"/>
        <v>Oct-2004</v>
      </c>
      <c r="M2710" s="3" t="s">
        <v>598</v>
      </c>
      <c r="N2710" s="3" t="s">
        <v>492</v>
      </c>
      <c r="O2710" s="3" t="s">
        <v>170</v>
      </c>
      <c r="P2710" s="3" t="s">
        <v>42</v>
      </c>
      <c r="Q2710" s="3" t="s">
        <v>36</v>
      </c>
    </row>
    <row r="2711" spans="1:17" x14ac:dyDescent="0.25">
      <c r="A2711" s="5">
        <v>10315</v>
      </c>
      <c r="B2711" s="5">
        <v>31</v>
      </c>
      <c r="C2711" s="5">
        <v>86.15</v>
      </c>
      <c r="D2711" s="5">
        <v>2670.65</v>
      </c>
      <c r="E2711" s="5" t="str">
        <f t="shared" si="169"/>
        <v>Medium</v>
      </c>
      <c r="F2711" s="5">
        <f t="shared" si="170"/>
        <v>801.19500000000005</v>
      </c>
      <c r="G2711" s="6">
        <v>38289</v>
      </c>
      <c r="H2711" s="5" t="s">
        <v>25</v>
      </c>
      <c r="I2711" s="5" t="str">
        <f t="shared" si="168"/>
        <v>Yes</v>
      </c>
      <c r="J2711" s="5" t="s">
        <v>685</v>
      </c>
      <c r="K2711" s="5">
        <v>2004</v>
      </c>
      <c r="L2711" s="5" t="str">
        <f t="shared" si="171"/>
        <v>Oct-2004</v>
      </c>
      <c r="M2711" s="5" t="s">
        <v>598</v>
      </c>
      <c r="N2711" s="5" t="s">
        <v>114</v>
      </c>
      <c r="O2711" s="5" t="s">
        <v>41</v>
      </c>
      <c r="P2711" s="5" t="s">
        <v>42</v>
      </c>
      <c r="Q2711" s="5" t="s">
        <v>36</v>
      </c>
    </row>
    <row r="2712" spans="1:17" x14ac:dyDescent="0.25">
      <c r="A2712" s="3">
        <v>10327</v>
      </c>
      <c r="B2712" s="3">
        <v>43</v>
      </c>
      <c r="C2712" s="3">
        <v>80</v>
      </c>
      <c r="D2712" s="3">
        <v>3440</v>
      </c>
      <c r="E2712" s="3" t="str">
        <f t="shared" si="169"/>
        <v>Medium</v>
      </c>
      <c r="F2712" s="3">
        <f t="shared" si="170"/>
        <v>1032</v>
      </c>
      <c r="G2712" s="4">
        <v>38301</v>
      </c>
      <c r="H2712" s="3" t="s">
        <v>408</v>
      </c>
      <c r="I2712" s="3" t="str">
        <f t="shared" si="168"/>
        <v>No</v>
      </c>
      <c r="J2712" s="3" t="s">
        <v>686</v>
      </c>
      <c r="K2712" s="3">
        <v>2004</v>
      </c>
      <c r="L2712" s="3" t="str">
        <f t="shared" si="171"/>
        <v>Nov-2004</v>
      </c>
      <c r="M2712" s="3" t="s">
        <v>598</v>
      </c>
      <c r="N2712" s="3" t="s">
        <v>322</v>
      </c>
      <c r="O2712" s="3" t="s">
        <v>326</v>
      </c>
      <c r="P2712" s="3" t="s">
        <v>42</v>
      </c>
      <c r="Q2712" s="3" t="s">
        <v>51</v>
      </c>
    </row>
    <row r="2713" spans="1:17" x14ac:dyDescent="0.25">
      <c r="A2713" s="5">
        <v>10337</v>
      </c>
      <c r="B2713" s="5">
        <v>31</v>
      </c>
      <c r="C2713" s="5">
        <v>89.38</v>
      </c>
      <c r="D2713" s="5">
        <v>2770.7799999999997</v>
      </c>
      <c r="E2713" s="5" t="str">
        <f t="shared" si="169"/>
        <v>Medium</v>
      </c>
      <c r="F2713" s="5">
        <f t="shared" si="170"/>
        <v>831.23399999999992</v>
      </c>
      <c r="G2713" s="6">
        <v>38312</v>
      </c>
      <c r="H2713" s="5" t="s">
        <v>25</v>
      </c>
      <c r="I2713" s="5" t="str">
        <f t="shared" si="168"/>
        <v>Yes</v>
      </c>
      <c r="J2713" s="5" t="s">
        <v>686</v>
      </c>
      <c r="K2713" s="5">
        <v>2004</v>
      </c>
      <c r="L2713" s="5" t="str">
        <f t="shared" si="171"/>
        <v>Nov-2004</v>
      </c>
      <c r="M2713" s="5" t="s">
        <v>598</v>
      </c>
      <c r="N2713" s="5" t="s">
        <v>203</v>
      </c>
      <c r="O2713" s="5" t="s">
        <v>32</v>
      </c>
      <c r="P2713" s="5" t="s">
        <v>33</v>
      </c>
      <c r="Q2713" s="5" t="s">
        <v>36</v>
      </c>
    </row>
    <row r="2714" spans="1:17" x14ac:dyDescent="0.25">
      <c r="A2714" s="3">
        <v>10350</v>
      </c>
      <c r="B2714" s="3">
        <v>31</v>
      </c>
      <c r="C2714" s="3">
        <v>77.34</v>
      </c>
      <c r="D2714" s="3">
        <v>2397.54</v>
      </c>
      <c r="E2714" s="3" t="str">
        <f t="shared" si="169"/>
        <v>Medium</v>
      </c>
      <c r="F2714" s="3">
        <f t="shared" si="170"/>
        <v>719.26199999999994</v>
      </c>
      <c r="G2714" s="4">
        <v>38323</v>
      </c>
      <c r="H2714" s="3" t="s">
        <v>25</v>
      </c>
      <c r="I2714" s="3" t="str">
        <f t="shared" si="168"/>
        <v>Yes</v>
      </c>
      <c r="J2714" s="3" t="s">
        <v>687</v>
      </c>
      <c r="K2714" s="3">
        <v>2004</v>
      </c>
      <c r="L2714" s="3" t="str">
        <f t="shared" si="171"/>
        <v>Dec-2004</v>
      </c>
      <c r="M2714" s="3" t="s">
        <v>598</v>
      </c>
      <c r="N2714" s="3" t="s">
        <v>174</v>
      </c>
      <c r="O2714" s="3" t="s">
        <v>178</v>
      </c>
      <c r="P2714" s="3" t="s">
        <v>42</v>
      </c>
      <c r="Q2714" s="3" t="s">
        <v>36</v>
      </c>
    </row>
    <row r="2715" spans="1:17" x14ac:dyDescent="0.25">
      <c r="A2715" s="5">
        <v>10373</v>
      </c>
      <c r="B2715" s="5">
        <v>34</v>
      </c>
      <c r="C2715" s="5">
        <v>96.34</v>
      </c>
      <c r="D2715" s="5">
        <v>3275.56</v>
      </c>
      <c r="E2715" s="5" t="str">
        <f t="shared" si="169"/>
        <v>Medium</v>
      </c>
      <c r="F2715" s="5">
        <f t="shared" si="170"/>
        <v>982.66799999999989</v>
      </c>
      <c r="G2715" s="6">
        <v>38383</v>
      </c>
      <c r="H2715" s="5" t="s">
        <v>25</v>
      </c>
      <c r="I2715" s="5" t="str">
        <f t="shared" si="168"/>
        <v>Yes</v>
      </c>
      <c r="J2715" s="5" t="s">
        <v>549</v>
      </c>
      <c r="K2715" s="5">
        <v>2005</v>
      </c>
      <c r="L2715" s="5" t="str">
        <f t="shared" si="171"/>
        <v>Jan-2005</v>
      </c>
      <c r="M2715" s="5" t="s">
        <v>598</v>
      </c>
      <c r="N2715" s="5" t="s">
        <v>391</v>
      </c>
      <c r="O2715" s="5" t="s">
        <v>130</v>
      </c>
      <c r="P2715" s="5" t="s">
        <v>42</v>
      </c>
      <c r="Q2715" s="5" t="s">
        <v>51</v>
      </c>
    </row>
    <row r="2716" spans="1:17" x14ac:dyDescent="0.25">
      <c r="A2716" s="3">
        <v>10386</v>
      </c>
      <c r="B2716" s="3">
        <v>45</v>
      </c>
      <c r="C2716" s="3">
        <v>92.08</v>
      </c>
      <c r="D2716" s="3">
        <v>4143.6000000000004</v>
      </c>
      <c r="E2716" s="3" t="str">
        <f t="shared" si="169"/>
        <v>Medium</v>
      </c>
      <c r="F2716" s="3">
        <f t="shared" si="170"/>
        <v>1243.0800000000002</v>
      </c>
      <c r="G2716" s="4">
        <v>38412</v>
      </c>
      <c r="H2716" s="3" t="s">
        <v>408</v>
      </c>
      <c r="I2716" s="3" t="str">
        <f t="shared" si="168"/>
        <v>No</v>
      </c>
      <c r="J2716" s="3" t="s">
        <v>691</v>
      </c>
      <c r="K2716" s="3">
        <v>2005</v>
      </c>
      <c r="L2716" s="3" t="str">
        <f t="shared" si="171"/>
        <v>Mar-2005</v>
      </c>
      <c r="M2716" s="3" t="s">
        <v>598</v>
      </c>
      <c r="N2716" s="3" t="s">
        <v>174</v>
      </c>
      <c r="O2716" s="3" t="s">
        <v>178</v>
      </c>
      <c r="P2716" s="3" t="s">
        <v>42</v>
      </c>
      <c r="Q2716" s="3" t="s">
        <v>51</v>
      </c>
    </row>
    <row r="2717" spans="1:17" x14ac:dyDescent="0.25">
      <c r="A2717" s="5">
        <v>10397</v>
      </c>
      <c r="B2717" s="5">
        <v>48</v>
      </c>
      <c r="C2717" s="5">
        <v>100</v>
      </c>
      <c r="D2717" s="5">
        <v>4800</v>
      </c>
      <c r="E2717" s="5" t="str">
        <f t="shared" si="169"/>
        <v>Medium</v>
      </c>
      <c r="F2717" s="5">
        <f t="shared" si="170"/>
        <v>1440</v>
      </c>
      <c r="G2717" s="6">
        <v>38439</v>
      </c>
      <c r="H2717" s="5" t="s">
        <v>25</v>
      </c>
      <c r="I2717" s="5" t="str">
        <f t="shared" si="168"/>
        <v>Yes</v>
      </c>
      <c r="J2717" s="5" t="s">
        <v>691</v>
      </c>
      <c r="K2717" s="5">
        <v>2005</v>
      </c>
      <c r="L2717" s="5" t="str">
        <f t="shared" si="171"/>
        <v>Mar-2005</v>
      </c>
      <c r="M2717" s="5" t="s">
        <v>598</v>
      </c>
      <c r="N2717" s="5" t="s">
        <v>340</v>
      </c>
      <c r="O2717" s="5" t="s">
        <v>41</v>
      </c>
      <c r="P2717" s="5" t="s">
        <v>42</v>
      </c>
      <c r="Q2717" s="5" t="s">
        <v>51</v>
      </c>
    </row>
    <row r="2718" spans="1:17" x14ac:dyDescent="0.25">
      <c r="A2718" s="3">
        <v>10414</v>
      </c>
      <c r="B2718" s="3">
        <v>28</v>
      </c>
      <c r="C2718" s="3">
        <v>100</v>
      </c>
      <c r="D2718" s="3">
        <v>2800</v>
      </c>
      <c r="E2718" s="3" t="str">
        <f t="shared" si="169"/>
        <v>Medium</v>
      </c>
      <c r="F2718" s="3">
        <f t="shared" si="170"/>
        <v>840</v>
      </c>
      <c r="G2718" s="4">
        <v>38478</v>
      </c>
      <c r="H2718" s="3" t="s">
        <v>401</v>
      </c>
      <c r="I2718" s="3" t="str">
        <f t="shared" si="168"/>
        <v>No</v>
      </c>
      <c r="J2718" s="3" t="s">
        <v>682</v>
      </c>
      <c r="K2718" s="3">
        <v>2005</v>
      </c>
      <c r="L2718" s="3" t="str">
        <f t="shared" si="171"/>
        <v>May-2005</v>
      </c>
      <c r="M2718" s="3" t="s">
        <v>598</v>
      </c>
      <c r="N2718" s="3" t="s">
        <v>379</v>
      </c>
      <c r="O2718" s="3" t="s">
        <v>32</v>
      </c>
      <c r="P2718" s="3" t="s">
        <v>33</v>
      </c>
      <c r="Q2718" s="3" t="s">
        <v>51</v>
      </c>
    </row>
    <row r="2719" spans="1:17" x14ac:dyDescent="0.25">
      <c r="A2719" s="5">
        <v>10105</v>
      </c>
      <c r="B2719" s="5">
        <v>22</v>
      </c>
      <c r="C2719" s="5">
        <v>100</v>
      </c>
      <c r="D2719" s="5">
        <v>2200</v>
      </c>
      <c r="E2719" s="5" t="str">
        <f t="shared" si="169"/>
        <v>Medium</v>
      </c>
      <c r="F2719" s="5">
        <f t="shared" si="170"/>
        <v>660</v>
      </c>
      <c r="G2719" s="6">
        <v>37663</v>
      </c>
      <c r="H2719" s="5" t="s">
        <v>25</v>
      </c>
      <c r="I2719" s="5" t="str">
        <f t="shared" si="168"/>
        <v>Yes</v>
      </c>
      <c r="J2719" s="5" t="s">
        <v>681</v>
      </c>
      <c r="K2719" s="5">
        <v>2003</v>
      </c>
      <c r="L2719" s="5" t="str">
        <f t="shared" si="171"/>
        <v>Feb-2003</v>
      </c>
      <c r="M2719" s="5" t="s">
        <v>598</v>
      </c>
      <c r="N2719" s="5" t="s">
        <v>322</v>
      </c>
      <c r="O2719" s="5" t="s">
        <v>326</v>
      </c>
      <c r="P2719" s="5" t="s">
        <v>42</v>
      </c>
      <c r="Q2719" s="5" t="s">
        <v>36</v>
      </c>
    </row>
    <row r="2720" spans="1:17" x14ac:dyDescent="0.25">
      <c r="A2720" s="3">
        <v>10117</v>
      </c>
      <c r="B2720" s="3">
        <v>45</v>
      </c>
      <c r="C2720" s="3">
        <v>83.42</v>
      </c>
      <c r="D2720" s="3">
        <v>3753.9</v>
      </c>
      <c r="E2720" s="3" t="str">
        <f t="shared" si="169"/>
        <v>Medium</v>
      </c>
      <c r="F2720" s="3">
        <f t="shared" si="170"/>
        <v>1126.17</v>
      </c>
      <c r="G2720" s="4">
        <v>37727</v>
      </c>
      <c r="H2720" s="3" t="s">
        <v>25</v>
      </c>
      <c r="I2720" s="3" t="str">
        <f t="shared" si="168"/>
        <v>Yes</v>
      </c>
      <c r="J2720" s="3" t="s">
        <v>688</v>
      </c>
      <c r="K2720" s="3">
        <v>2003</v>
      </c>
      <c r="L2720" s="3" t="str">
        <f t="shared" si="171"/>
        <v>Apr-2003</v>
      </c>
      <c r="M2720" s="3" t="s">
        <v>598</v>
      </c>
      <c r="N2720" s="3" t="s">
        <v>196</v>
      </c>
      <c r="O2720" s="3" t="s">
        <v>199</v>
      </c>
      <c r="P2720" s="3" t="s">
        <v>675</v>
      </c>
      <c r="Q2720" s="3" t="s">
        <v>51</v>
      </c>
    </row>
    <row r="2721" spans="1:17" x14ac:dyDescent="0.25">
      <c r="A2721" s="5">
        <v>10129</v>
      </c>
      <c r="B2721" s="5">
        <v>30</v>
      </c>
      <c r="C2721" s="5">
        <v>85.41</v>
      </c>
      <c r="D2721" s="5">
        <v>2562.2999999999997</v>
      </c>
      <c r="E2721" s="5" t="str">
        <f t="shared" si="169"/>
        <v>Medium</v>
      </c>
      <c r="F2721" s="5">
        <f t="shared" si="170"/>
        <v>768.68999999999994</v>
      </c>
      <c r="G2721" s="6">
        <v>37784</v>
      </c>
      <c r="H2721" s="5" t="s">
        <v>25</v>
      </c>
      <c r="I2721" s="5" t="str">
        <f t="shared" si="168"/>
        <v>Yes</v>
      </c>
      <c r="J2721" s="5" t="s">
        <v>689</v>
      </c>
      <c r="K2721" s="5">
        <v>2003</v>
      </c>
      <c r="L2721" s="5" t="str">
        <f t="shared" si="171"/>
        <v>Jun-2003</v>
      </c>
      <c r="M2721" s="5" t="s">
        <v>598</v>
      </c>
      <c r="N2721" s="5" t="s">
        <v>329</v>
      </c>
      <c r="O2721" s="5" t="s">
        <v>170</v>
      </c>
      <c r="P2721" s="5" t="s">
        <v>42</v>
      </c>
      <c r="Q2721" s="5" t="s">
        <v>36</v>
      </c>
    </row>
    <row r="2722" spans="1:17" x14ac:dyDescent="0.25">
      <c r="A2722" s="3">
        <v>10142</v>
      </c>
      <c r="B2722" s="3">
        <v>38</v>
      </c>
      <c r="C2722" s="3">
        <v>85.41</v>
      </c>
      <c r="D2722" s="3">
        <v>3245.58</v>
      </c>
      <c r="E2722" s="3" t="str">
        <f t="shared" si="169"/>
        <v>Medium</v>
      </c>
      <c r="F2722" s="3">
        <f t="shared" si="170"/>
        <v>973.67399999999998</v>
      </c>
      <c r="G2722" s="4">
        <v>37841</v>
      </c>
      <c r="H2722" s="3" t="s">
        <v>25</v>
      </c>
      <c r="I2722" s="3" t="str">
        <f t="shared" si="168"/>
        <v>Yes</v>
      </c>
      <c r="J2722" s="3" t="s">
        <v>684</v>
      </c>
      <c r="K2722" s="3">
        <v>2003</v>
      </c>
      <c r="L2722" s="3" t="str">
        <f t="shared" si="171"/>
        <v>Aug-2003</v>
      </c>
      <c r="M2722" s="3" t="s">
        <v>598</v>
      </c>
      <c r="N2722" s="3" t="s">
        <v>272</v>
      </c>
      <c r="O2722" s="3" t="s">
        <v>32</v>
      </c>
      <c r="P2722" s="3" t="s">
        <v>33</v>
      </c>
      <c r="Q2722" s="3" t="s">
        <v>51</v>
      </c>
    </row>
    <row r="2723" spans="1:17" x14ac:dyDescent="0.25">
      <c r="A2723" s="5">
        <v>10153</v>
      </c>
      <c r="B2723" s="5">
        <v>20</v>
      </c>
      <c r="C2723" s="5">
        <v>100</v>
      </c>
      <c r="D2723" s="5">
        <v>2000</v>
      </c>
      <c r="E2723" s="5" t="str">
        <f t="shared" si="169"/>
        <v>Medium</v>
      </c>
      <c r="F2723" s="5">
        <f t="shared" si="170"/>
        <v>600</v>
      </c>
      <c r="G2723" s="6">
        <v>37892</v>
      </c>
      <c r="H2723" s="5" t="s">
        <v>25</v>
      </c>
      <c r="I2723" s="5" t="str">
        <f t="shared" si="168"/>
        <v>Yes</v>
      </c>
      <c r="J2723" s="5" t="s">
        <v>690</v>
      </c>
      <c r="K2723" s="5">
        <v>2003</v>
      </c>
      <c r="L2723" s="5" t="str">
        <f t="shared" si="171"/>
        <v>Sep-2003</v>
      </c>
      <c r="M2723" s="5" t="s">
        <v>598</v>
      </c>
      <c r="N2723" s="5" t="s">
        <v>174</v>
      </c>
      <c r="O2723" s="5" t="s">
        <v>178</v>
      </c>
      <c r="P2723" s="5" t="s">
        <v>42</v>
      </c>
      <c r="Q2723" s="5" t="s">
        <v>36</v>
      </c>
    </row>
    <row r="2724" spans="1:17" x14ac:dyDescent="0.25">
      <c r="A2724" s="3">
        <v>10167</v>
      </c>
      <c r="B2724" s="3">
        <v>28</v>
      </c>
      <c r="C2724" s="3">
        <v>100</v>
      </c>
      <c r="D2724" s="3">
        <v>2800</v>
      </c>
      <c r="E2724" s="3" t="str">
        <f t="shared" si="169"/>
        <v>Medium</v>
      </c>
      <c r="F2724" s="3">
        <f t="shared" si="170"/>
        <v>840</v>
      </c>
      <c r="G2724" s="4">
        <v>37917</v>
      </c>
      <c r="H2724" s="3" t="s">
        <v>339</v>
      </c>
      <c r="I2724" s="3" t="str">
        <f t="shared" si="168"/>
        <v>No</v>
      </c>
      <c r="J2724" s="3" t="s">
        <v>685</v>
      </c>
      <c r="K2724" s="3">
        <v>2003</v>
      </c>
      <c r="L2724" s="3" t="str">
        <f t="shared" si="171"/>
        <v>Oct-2003</v>
      </c>
      <c r="M2724" s="3" t="s">
        <v>598</v>
      </c>
      <c r="N2724" s="3" t="s">
        <v>261</v>
      </c>
      <c r="O2724" s="3" t="s">
        <v>188</v>
      </c>
      <c r="P2724" s="3" t="s">
        <v>42</v>
      </c>
      <c r="Q2724" s="3" t="s">
        <v>51</v>
      </c>
    </row>
    <row r="2725" spans="1:17" x14ac:dyDescent="0.25">
      <c r="A2725" s="5">
        <v>10177</v>
      </c>
      <c r="B2725" s="5">
        <v>24</v>
      </c>
      <c r="C2725" s="5">
        <v>100</v>
      </c>
      <c r="D2725" s="5">
        <v>2400</v>
      </c>
      <c r="E2725" s="5" t="str">
        <f t="shared" si="169"/>
        <v>Medium</v>
      </c>
      <c r="F2725" s="5">
        <f t="shared" si="170"/>
        <v>720</v>
      </c>
      <c r="G2725" s="6">
        <v>37932</v>
      </c>
      <c r="H2725" s="5" t="s">
        <v>25</v>
      </c>
      <c r="I2725" s="5" t="str">
        <f t="shared" si="168"/>
        <v>Yes</v>
      </c>
      <c r="J2725" s="5" t="s">
        <v>686</v>
      </c>
      <c r="K2725" s="5">
        <v>2003</v>
      </c>
      <c r="L2725" s="5" t="str">
        <f t="shared" si="171"/>
        <v>Nov-2003</v>
      </c>
      <c r="M2725" s="5" t="s">
        <v>598</v>
      </c>
      <c r="N2725" s="5" t="s">
        <v>487</v>
      </c>
      <c r="O2725" s="5" t="s">
        <v>178</v>
      </c>
      <c r="P2725" s="5" t="s">
        <v>42</v>
      </c>
      <c r="Q2725" s="5" t="s">
        <v>36</v>
      </c>
    </row>
    <row r="2726" spans="1:17" x14ac:dyDescent="0.25">
      <c r="A2726" s="3">
        <v>10185</v>
      </c>
      <c r="B2726" s="3">
        <v>22</v>
      </c>
      <c r="C2726" s="3">
        <v>79.45</v>
      </c>
      <c r="D2726" s="3">
        <v>1747.9</v>
      </c>
      <c r="E2726" s="3" t="str">
        <f t="shared" si="169"/>
        <v>Low</v>
      </c>
      <c r="F2726" s="3">
        <f t="shared" si="170"/>
        <v>524.37</v>
      </c>
      <c r="G2726" s="4">
        <v>37939</v>
      </c>
      <c r="H2726" s="3" t="s">
        <v>25</v>
      </c>
      <c r="I2726" s="3" t="str">
        <f t="shared" si="168"/>
        <v>Yes</v>
      </c>
      <c r="J2726" s="3" t="s">
        <v>686</v>
      </c>
      <c r="K2726" s="3">
        <v>2003</v>
      </c>
      <c r="L2726" s="3" t="str">
        <f t="shared" si="171"/>
        <v>Nov-2003</v>
      </c>
      <c r="M2726" s="3" t="s">
        <v>598</v>
      </c>
      <c r="N2726" s="3" t="s">
        <v>335</v>
      </c>
      <c r="O2726" s="3" t="s">
        <v>32</v>
      </c>
      <c r="P2726" s="3" t="s">
        <v>33</v>
      </c>
      <c r="Q2726" s="3" t="s">
        <v>36</v>
      </c>
    </row>
    <row r="2727" spans="1:17" x14ac:dyDescent="0.25">
      <c r="A2727" s="5">
        <v>10197</v>
      </c>
      <c r="B2727" s="5">
        <v>35</v>
      </c>
      <c r="C2727" s="5">
        <v>93.35</v>
      </c>
      <c r="D2727" s="5">
        <v>3267.25</v>
      </c>
      <c r="E2727" s="5" t="str">
        <f t="shared" si="169"/>
        <v>Medium</v>
      </c>
      <c r="F2727" s="5">
        <f t="shared" si="170"/>
        <v>980.17499999999995</v>
      </c>
      <c r="G2727" s="6">
        <v>37951</v>
      </c>
      <c r="H2727" s="5" t="s">
        <v>25</v>
      </c>
      <c r="I2727" s="5" t="str">
        <f t="shared" si="168"/>
        <v>Yes</v>
      </c>
      <c r="J2727" s="5" t="s">
        <v>686</v>
      </c>
      <c r="K2727" s="5">
        <v>2003</v>
      </c>
      <c r="L2727" s="5" t="str">
        <f t="shared" si="171"/>
        <v>Nov-2003</v>
      </c>
      <c r="M2727" s="5" t="s">
        <v>598</v>
      </c>
      <c r="N2727" s="5" t="s">
        <v>352</v>
      </c>
      <c r="O2727" s="5" t="s">
        <v>178</v>
      </c>
      <c r="P2727" s="5" t="s">
        <v>42</v>
      </c>
      <c r="Q2727" s="5" t="s">
        <v>51</v>
      </c>
    </row>
    <row r="2728" spans="1:17" x14ac:dyDescent="0.25">
      <c r="A2728" s="3">
        <v>10208</v>
      </c>
      <c r="B2728" s="3">
        <v>33</v>
      </c>
      <c r="C2728" s="3">
        <v>85.41</v>
      </c>
      <c r="D2728" s="3">
        <v>2818.5299999999997</v>
      </c>
      <c r="E2728" s="3" t="str">
        <f t="shared" si="169"/>
        <v>Medium</v>
      </c>
      <c r="F2728" s="3">
        <f t="shared" si="170"/>
        <v>845.55899999999986</v>
      </c>
      <c r="G2728" s="4">
        <v>37988</v>
      </c>
      <c r="H2728" s="3" t="s">
        <v>25</v>
      </c>
      <c r="I2728" s="3" t="str">
        <f t="shared" si="168"/>
        <v>Yes</v>
      </c>
      <c r="J2728" s="3" t="s">
        <v>549</v>
      </c>
      <c r="K2728" s="3">
        <v>2004</v>
      </c>
      <c r="L2728" s="3" t="str">
        <f t="shared" si="171"/>
        <v>Jan-2004</v>
      </c>
      <c r="M2728" s="3" t="s">
        <v>598</v>
      </c>
      <c r="N2728" s="3" t="s">
        <v>219</v>
      </c>
      <c r="O2728" s="3" t="s">
        <v>41</v>
      </c>
      <c r="P2728" s="3" t="s">
        <v>42</v>
      </c>
      <c r="Q2728" s="3" t="s">
        <v>36</v>
      </c>
    </row>
    <row r="2729" spans="1:17" x14ac:dyDescent="0.25">
      <c r="A2729" s="5">
        <v>10222</v>
      </c>
      <c r="B2729" s="5">
        <v>31</v>
      </c>
      <c r="C2729" s="5">
        <v>95.34</v>
      </c>
      <c r="D2729" s="5">
        <v>2955.54</v>
      </c>
      <c r="E2729" s="5" t="str">
        <f t="shared" si="169"/>
        <v>Medium</v>
      </c>
      <c r="F2729" s="5">
        <f t="shared" si="170"/>
        <v>886.66199999999992</v>
      </c>
      <c r="G2729" s="6">
        <v>38036</v>
      </c>
      <c r="H2729" s="5" t="s">
        <v>25</v>
      </c>
      <c r="I2729" s="5" t="str">
        <f t="shared" si="168"/>
        <v>Yes</v>
      </c>
      <c r="J2729" s="5" t="s">
        <v>681</v>
      </c>
      <c r="K2729" s="5">
        <v>2004</v>
      </c>
      <c r="L2729" s="5" t="str">
        <f t="shared" si="171"/>
        <v>Feb-2004</v>
      </c>
      <c r="M2729" s="5" t="s">
        <v>598</v>
      </c>
      <c r="N2729" s="5" t="s">
        <v>362</v>
      </c>
      <c r="O2729" s="5" t="s">
        <v>32</v>
      </c>
      <c r="P2729" s="5" t="s">
        <v>33</v>
      </c>
      <c r="Q2729" s="5" t="s">
        <v>36</v>
      </c>
    </row>
    <row r="2730" spans="1:17" x14ac:dyDescent="0.25">
      <c r="A2730" s="3">
        <v>10232</v>
      </c>
      <c r="B2730" s="3">
        <v>35</v>
      </c>
      <c r="C2730" s="3">
        <v>82.43</v>
      </c>
      <c r="D2730" s="3">
        <v>2885.05</v>
      </c>
      <c r="E2730" s="3" t="str">
        <f t="shared" si="169"/>
        <v>Medium</v>
      </c>
      <c r="F2730" s="3">
        <f t="shared" si="170"/>
        <v>865.51499999999999</v>
      </c>
      <c r="G2730" s="4">
        <v>38066</v>
      </c>
      <c r="H2730" s="3" t="s">
        <v>25</v>
      </c>
      <c r="I2730" s="3" t="str">
        <f t="shared" si="168"/>
        <v>Yes</v>
      </c>
      <c r="J2730" s="3" t="s">
        <v>691</v>
      </c>
      <c r="K2730" s="3">
        <v>2004</v>
      </c>
      <c r="L2730" s="3" t="str">
        <f t="shared" si="171"/>
        <v>Mar-2004</v>
      </c>
      <c r="M2730" s="3" t="s">
        <v>598</v>
      </c>
      <c r="N2730" s="3" t="s">
        <v>383</v>
      </c>
      <c r="O2730" s="3" t="s">
        <v>170</v>
      </c>
      <c r="P2730" s="3" t="s">
        <v>42</v>
      </c>
      <c r="Q2730" s="3" t="s">
        <v>36</v>
      </c>
    </row>
    <row r="2731" spans="1:17" x14ac:dyDescent="0.25">
      <c r="A2731" s="5">
        <v>10248</v>
      </c>
      <c r="B2731" s="5">
        <v>35</v>
      </c>
      <c r="C2731" s="5">
        <v>90.37</v>
      </c>
      <c r="D2731" s="5">
        <v>3162.9500000000003</v>
      </c>
      <c r="E2731" s="5" t="str">
        <f t="shared" si="169"/>
        <v>Medium</v>
      </c>
      <c r="F2731" s="5">
        <f t="shared" si="170"/>
        <v>948.88499999999999</v>
      </c>
      <c r="G2731" s="6">
        <v>38114</v>
      </c>
      <c r="H2731" s="5" t="s">
        <v>339</v>
      </c>
      <c r="I2731" s="5" t="str">
        <f t="shared" si="168"/>
        <v>No</v>
      </c>
      <c r="J2731" s="5" t="s">
        <v>682</v>
      </c>
      <c r="K2731" s="5">
        <v>2004</v>
      </c>
      <c r="L2731" s="5" t="str">
        <f t="shared" si="171"/>
        <v>May-2004</v>
      </c>
      <c r="M2731" s="5" t="s">
        <v>598</v>
      </c>
      <c r="N2731" s="5" t="s">
        <v>28</v>
      </c>
      <c r="O2731" s="5" t="s">
        <v>32</v>
      </c>
      <c r="P2731" s="5" t="s">
        <v>33</v>
      </c>
      <c r="Q2731" s="5" t="s">
        <v>51</v>
      </c>
    </row>
    <row r="2732" spans="1:17" x14ac:dyDescent="0.25">
      <c r="A2732" s="3">
        <v>10261</v>
      </c>
      <c r="B2732" s="3">
        <v>50</v>
      </c>
      <c r="C2732" s="3">
        <v>81.430000000000007</v>
      </c>
      <c r="D2732" s="3">
        <v>4071.5000000000005</v>
      </c>
      <c r="E2732" s="3" t="str">
        <f t="shared" si="169"/>
        <v>Medium</v>
      </c>
      <c r="F2732" s="3">
        <f t="shared" si="170"/>
        <v>1221.45</v>
      </c>
      <c r="G2732" s="4">
        <v>38155</v>
      </c>
      <c r="H2732" s="3" t="s">
        <v>25</v>
      </c>
      <c r="I2732" s="3" t="str">
        <f t="shared" si="168"/>
        <v>Yes</v>
      </c>
      <c r="J2732" s="3" t="s">
        <v>689</v>
      </c>
      <c r="K2732" s="3">
        <v>2004</v>
      </c>
      <c r="L2732" s="3" t="str">
        <f t="shared" si="171"/>
        <v>Jun-2004</v>
      </c>
      <c r="M2732" s="3" t="s">
        <v>598</v>
      </c>
      <c r="N2732" s="3" t="s">
        <v>292</v>
      </c>
      <c r="O2732" s="3" t="s">
        <v>231</v>
      </c>
      <c r="P2732" s="3" t="s">
        <v>33</v>
      </c>
      <c r="Q2732" s="3" t="s">
        <v>51</v>
      </c>
    </row>
    <row r="2733" spans="1:17" x14ac:dyDescent="0.25">
      <c r="A2733" s="5">
        <v>10273</v>
      </c>
      <c r="B2733" s="5">
        <v>26</v>
      </c>
      <c r="C2733" s="5">
        <v>100</v>
      </c>
      <c r="D2733" s="5">
        <v>2600</v>
      </c>
      <c r="E2733" s="5" t="str">
        <f t="shared" si="169"/>
        <v>Medium</v>
      </c>
      <c r="F2733" s="5">
        <f t="shared" si="170"/>
        <v>780</v>
      </c>
      <c r="G2733" s="6">
        <v>38189</v>
      </c>
      <c r="H2733" s="5" t="s">
        <v>25</v>
      </c>
      <c r="I2733" s="5" t="str">
        <f t="shared" si="168"/>
        <v>Yes</v>
      </c>
      <c r="J2733" s="5" t="s">
        <v>683</v>
      </c>
      <c r="K2733" s="5">
        <v>2004</v>
      </c>
      <c r="L2733" s="5" t="str">
        <f t="shared" si="171"/>
        <v>Jul-2004</v>
      </c>
      <c r="M2733" s="5" t="s">
        <v>598</v>
      </c>
      <c r="N2733" s="5" t="s">
        <v>365</v>
      </c>
      <c r="O2733" s="5" t="s">
        <v>370</v>
      </c>
      <c r="P2733" s="5" t="s">
        <v>42</v>
      </c>
      <c r="Q2733" s="5" t="s">
        <v>36</v>
      </c>
    </row>
    <row r="2734" spans="1:17" x14ac:dyDescent="0.25">
      <c r="A2734" s="3">
        <v>10283</v>
      </c>
      <c r="B2734" s="3">
        <v>38</v>
      </c>
      <c r="C2734" s="3">
        <v>89.38</v>
      </c>
      <c r="D2734" s="3">
        <v>3396.4399999999996</v>
      </c>
      <c r="E2734" s="3" t="str">
        <f t="shared" si="169"/>
        <v>Medium</v>
      </c>
      <c r="F2734" s="3">
        <f t="shared" si="170"/>
        <v>1018.9319999999998</v>
      </c>
      <c r="G2734" s="4">
        <v>38219</v>
      </c>
      <c r="H2734" s="3" t="s">
        <v>25</v>
      </c>
      <c r="I2734" s="3" t="str">
        <f t="shared" si="168"/>
        <v>Yes</v>
      </c>
      <c r="J2734" s="3" t="s">
        <v>684</v>
      </c>
      <c r="K2734" s="3">
        <v>2004</v>
      </c>
      <c r="L2734" s="3" t="str">
        <f t="shared" si="171"/>
        <v>Aug-2004</v>
      </c>
      <c r="M2734" s="3" t="s">
        <v>598</v>
      </c>
      <c r="N2734" s="3" t="s">
        <v>373</v>
      </c>
      <c r="O2734" s="3" t="s">
        <v>231</v>
      </c>
      <c r="P2734" s="3" t="s">
        <v>33</v>
      </c>
      <c r="Q2734" s="3" t="s">
        <v>51</v>
      </c>
    </row>
    <row r="2735" spans="1:17" x14ac:dyDescent="0.25">
      <c r="A2735" s="5">
        <v>10294</v>
      </c>
      <c r="B2735" s="5">
        <v>45</v>
      </c>
      <c r="C2735" s="5">
        <v>100</v>
      </c>
      <c r="D2735" s="5">
        <v>4500</v>
      </c>
      <c r="E2735" s="5" t="str">
        <f t="shared" si="169"/>
        <v>Medium</v>
      </c>
      <c r="F2735" s="5">
        <f t="shared" si="170"/>
        <v>1350</v>
      </c>
      <c r="G2735" s="6">
        <v>38240</v>
      </c>
      <c r="H2735" s="5" t="s">
        <v>25</v>
      </c>
      <c r="I2735" s="5" t="str">
        <f t="shared" si="168"/>
        <v>Yes</v>
      </c>
      <c r="J2735" s="5" t="s">
        <v>690</v>
      </c>
      <c r="K2735" s="5">
        <v>2004</v>
      </c>
      <c r="L2735" s="5" t="str">
        <f t="shared" si="171"/>
        <v>Sep-2004</v>
      </c>
      <c r="M2735" s="5" t="s">
        <v>598</v>
      </c>
      <c r="N2735" s="5" t="s">
        <v>458</v>
      </c>
      <c r="O2735" s="5" t="s">
        <v>32</v>
      </c>
      <c r="P2735" s="5" t="s">
        <v>33</v>
      </c>
      <c r="Q2735" s="5" t="s">
        <v>51</v>
      </c>
    </row>
    <row r="2736" spans="1:17" x14ac:dyDescent="0.25">
      <c r="A2736" s="3">
        <v>10306</v>
      </c>
      <c r="B2736" s="3">
        <v>30</v>
      </c>
      <c r="C2736" s="3">
        <v>100</v>
      </c>
      <c r="D2736" s="3">
        <v>3000</v>
      </c>
      <c r="E2736" s="3" t="str">
        <f t="shared" si="169"/>
        <v>Medium</v>
      </c>
      <c r="F2736" s="3">
        <f t="shared" si="170"/>
        <v>900</v>
      </c>
      <c r="G2736" s="4">
        <v>38274</v>
      </c>
      <c r="H2736" s="3" t="s">
        <v>25</v>
      </c>
      <c r="I2736" s="3" t="str">
        <f t="shared" si="168"/>
        <v>Yes</v>
      </c>
      <c r="J2736" s="3" t="s">
        <v>685</v>
      </c>
      <c r="K2736" s="3">
        <v>2004</v>
      </c>
      <c r="L2736" s="3" t="str">
        <f t="shared" si="171"/>
        <v>Oct-2004</v>
      </c>
      <c r="M2736" s="3" t="s">
        <v>598</v>
      </c>
      <c r="N2736" s="3" t="s">
        <v>492</v>
      </c>
      <c r="O2736" s="3" t="s">
        <v>170</v>
      </c>
      <c r="P2736" s="3" t="s">
        <v>42</v>
      </c>
      <c r="Q2736" s="3" t="s">
        <v>51</v>
      </c>
    </row>
    <row r="2737" spans="1:17" x14ac:dyDescent="0.25">
      <c r="A2737" s="5">
        <v>10315</v>
      </c>
      <c r="B2737" s="5">
        <v>37</v>
      </c>
      <c r="C2737" s="5">
        <v>91.37</v>
      </c>
      <c r="D2737" s="5">
        <v>3380.69</v>
      </c>
      <c r="E2737" s="5" t="str">
        <f t="shared" si="169"/>
        <v>Medium</v>
      </c>
      <c r="F2737" s="5">
        <f t="shared" si="170"/>
        <v>1014.207</v>
      </c>
      <c r="G2737" s="6">
        <v>38289</v>
      </c>
      <c r="H2737" s="5" t="s">
        <v>25</v>
      </c>
      <c r="I2737" s="5" t="str">
        <f t="shared" si="168"/>
        <v>Yes</v>
      </c>
      <c r="J2737" s="5" t="s">
        <v>685</v>
      </c>
      <c r="K2737" s="5">
        <v>2004</v>
      </c>
      <c r="L2737" s="5" t="str">
        <f t="shared" si="171"/>
        <v>Oct-2004</v>
      </c>
      <c r="M2737" s="5" t="s">
        <v>598</v>
      </c>
      <c r="N2737" s="5" t="s">
        <v>114</v>
      </c>
      <c r="O2737" s="5" t="s">
        <v>41</v>
      </c>
      <c r="P2737" s="5" t="s">
        <v>42</v>
      </c>
      <c r="Q2737" s="5" t="s">
        <v>51</v>
      </c>
    </row>
    <row r="2738" spans="1:17" x14ac:dyDescent="0.25">
      <c r="A2738" s="3">
        <v>10327</v>
      </c>
      <c r="B2738" s="3">
        <v>37</v>
      </c>
      <c r="C2738" s="3">
        <v>86.61</v>
      </c>
      <c r="D2738" s="3">
        <v>3204.57</v>
      </c>
      <c r="E2738" s="3" t="str">
        <f t="shared" si="169"/>
        <v>Medium</v>
      </c>
      <c r="F2738" s="3">
        <f t="shared" si="170"/>
        <v>961.37099999999998</v>
      </c>
      <c r="G2738" s="4">
        <v>38301</v>
      </c>
      <c r="H2738" s="3" t="s">
        <v>408</v>
      </c>
      <c r="I2738" s="3" t="str">
        <f t="shared" si="168"/>
        <v>No</v>
      </c>
      <c r="J2738" s="3" t="s">
        <v>686</v>
      </c>
      <c r="K2738" s="3">
        <v>2004</v>
      </c>
      <c r="L2738" s="3" t="str">
        <f t="shared" si="171"/>
        <v>Nov-2004</v>
      </c>
      <c r="M2738" s="3" t="s">
        <v>598</v>
      </c>
      <c r="N2738" s="3" t="s">
        <v>322</v>
      </c>
      <c r="O2738" s="3" t="s">
        <v>326</v>
      </c>
      <c r="P2738" s="3" t="s">
        <v>42</v>
      </c>
      <c r="Q2738" s="3" t="s">
        <v>51</v>
      </c>
    </row>
    <row r="2739" spans="1:17" x14ac:dyDescent="0.25">
      <c r="A2739" s="5">
        <v>10337</v>
      </c>
      <c r="B2739" s="5">
        <v>36</v>
      </c>
      <c r="C2739" s="5">
        <v>71.89</v>
      </c>
      <c r="D2739" s="5">
        <v>2588.04</v>
      </c>
      <c r="E2739" s="5" t="str">
        <f t="shared" si="169"/>
        <v>Medium</v>
      </c>
      <c r="F2739" s="5">
        <f t="shared" si="170"/>
        <v>776.41199999999992</v>
      </c>
      <c r="G2739" s="6">
        <v>38312</v>
      </c>
      <c r="H2739" s="5" t="s">
        <v>25</v>
      </c>
      <c r="I2739" s="5" t="str">
        <f t="shared" si="168"/>
        <v>Yes</v>
      </c>
      <c r="J2739" s="5" t="s">
        <v>686</v>
      </c>
      <c r="K2739" s="5">
        <v>2004</v>
      </c>
      <c r="L2739" s="5" t="str">
        <f t="shared" si="171"/>
        <v>Nov-2004</v>
      </c>
      <c r="M2739" s="5" t="s">
        <v>598</v>
      </c>
      <c r="N2739" s="5" t="s">
        <v>203</v>
      </c>
      <c r="O2739" s="5" t="s">
        <v>32</v>
      </c>
      <c r="P2739" s="5" t="s">
        <v>33</v>
      </c>
      <c r="Q2739" s="5" t="s">
        <v>36</v>
      </c>
    </row>
    <row r="2740" spans="1:17" x14ac:dyDescent="0.25">
      <c r="A2740" s="3">
        <v>10350</v>
      </c>
      <c r="B2740" s="3">
        <v>25</v>
      </c>
      <c r="C2740" s="3">
        <v>100</v>
      </c>
      <c r="D2740" s="3">
        <v>2500</v>
      </c>
      <c r="E2740" s="3" t="str">
        <f t="shared" si="169"/>
        <v>Medium</v>
      </c>
      <c r="F2740" s="3">
        <f t="shared" si="170"/>
        <v>750</v>
      </c>
      <c r="G2740" s="4">
        <v>38323</v>
      </c>
      <c r="H2740" s="3" t="s">
        <v>25</v>
      </c>
      <c r="I2740" s="3" t="str">
        <f t="shared" si="168"/>
        <v>Yes</v>
      </c>
      <c r="J2740" s="3" t="s">
        <v>687</v>
      </c>
      <c r="K2740" s="3">
        <v>2004</v>
      </c>
      <c r="L2740" s="3" t="str">
        <f t="shared" si="171"/>
        <v>Dec-2004</v>
      </c>
      <c r="M2740" s="3" t="s">
        <v>598</v>
      </c>
      <c r="N2740" s="3" t="s">
        <v>174</v>
      </c>
      <c r="O2740" s="3" t="s">
        <v>178</v>
      </c>
      <c r="P2740" s="3" t="s">
        <v>42</v>
      </c>
      <c r="Q2740" s="3" t="s">
        <v>36</v>
      </c>
    </row>
    <row r="2741" spans="1:17" x14ac:dyDescent="0.25">
      <c r="A2741" s="5">
        <v>10373</v>
      </c>
      <c r="B2741" s="5">
        <v>37</v>
      </c>
      <c r="C2741" s="5">
        <v>100</v>
      </c>
      <c r="D2741" s="5">
        <v>3700</v>
      </c>
      <c r="E2741" s="5" t="str">
        <f t="shared" si="169"/>
        <v>Medium</v>
      </c>
      <c r="F2741" s="5">
        <f t="shared" si="170"/>
        <v>1110</v>
      </c>
      <c r="G2741" s="6">
        <v>38383</v>
      </c>
      <c r="H2741" s="5" t="s">
        <v>25</v>
      </c>
      <c r="I2741" s="5" t="str">
        <f t="shared" si="168"/>
        <v>Yes</v>
      </c>
      <c r="J2741" s="5" t="s">
        <v>549</v>
      </c>
      <c r="K2741" s="5">
        <v>2005</v>
      </c>
      <c r="L2741" s="5" t="str">
        <f t="shared" si="171"/>
        <v>Jan-2005</v>
      </c>
      <c r="M2741" s="5" t="s">
        <v>598</v>
      </c>
      <c r="N2741" s="5" t="s">
        <v>391</v>
      </c>
      <c r="O2741" s="5" t="s">
        <v>130</v>
      </c>
      <c r="P2741" s="5" t="s">
        <v>42</v>
      </c>
      <c r="Q2741" s="5" t="s">
        <v>51</v>
      </c>
    </row>
    <row r="2742" spans="1:17" x14ac:dyDescent="0.25">
      <c r="A2742" s="3">
        <v>10386</v>
      </c>
      <c r="B2742" s="3">
        <v>30</v>
      </c>
      <c r="C2742" s="3">
        <v>95.48</v>
      </c>
      <c r="D2742" s="3">
        <v>2864.4</v>
      </c>
      <c r="E2742" s="3" t="str">
        <f t="shared" si="169"/>
        <v>Medium</v>
      </c>
      <c r="F2742" s="3">
        <f t="shared" si="170"/>
        <v>859.32</v>
      </c>
      <c r="G2742" s="4">
        <v>38412</v>
      </c>
      <c r="H2742" s="3" t="s">
        <v>408</v>
      </c>
      <c r="I2742" s="3" t="str">
        <f t="shared" si="168"/>
        <v>No</v>
      </c>
      <c r="J2742" s="3" t="s">
        <v>691</v>
      </c>
      <c r="K2742" s="3">
        <v>2005</v>
      </c>
      <c r="L2742" s="3" t="str">
        <f t="shared" si="171"/>
        <v>Mar-2005</v>
      </c>
      <c r="M2742" s="3" t="s">
        <v>598</v>
      </c>
      <c r="N2742" s="3" t="s">
        <v>174</v>
      </c>
      <c r="O2742" s="3" t="s">
        <v>178</v>
      </c>
      <c r="P2742" s="3" t="s">
        <v>42</v>
      </c>
      <c r="Q2742" s="3" t="s">
        <v>36</v>
      </c>
    </row>
    <row r="2743" spans="1:17" x14ac:dyDescent="0.25">
      <c r="A2743" s="5">
        <v>10397</v>
      </c>
      <c r="B2743" s="5">
        <v>36</v>
      </c>
      <c r="C2743" s="5">
        <v>100</v>
      </c>
      <c r="D2743" s="5">
        <v>3600</v>
      </c>
      <c r="E2743" s="5" t="str">
        <f t="shared" si="169"/>
        <v>Medium</v>
      </c>
      <c r="F2743" s="5">
        <f t="shared" si="170"/>
        <v>1080</v>
      </c>
      <c r="G2743" s="6">
        <v>38439</v>
      </c>
      <c r="H2743" s="5" t="s">
        <v>25</v>
      </c>
      <c r="I2743" s="5" t="str">
        <f t="shared" si="168"/>
        <v>Yes</v>
      </c>
      <c r="J2743" s="5" t="s">
        <v>691</v>
      </c>
      <c r="K2743" s="5">
        <v>2005</v>
      </c>
      <c r="L2743" s="5" t="str">
        <f t="shared" si="171"/>
        <v>Mar-2005</v>
      </c>
      <c r="M2743" s="5" t="s">
        <v>598</v>
      </c>
      <c r="N2743" s="5" t="s">
        <v>340</v>
      </c>
      <c r="O2743" s="5" t="s">
        <v>41</v>
      </c>
      <c r="P2743" s="5" t="s">
        <v>42</v>
      </c>
      <c r="Q2743" s="5" t="s">
        <v>51</v>
      </c>
    </row>
    <row r="2744" spans="1:17" x14ac:dyDescent="0.25">
      <c r="A2744" s="3">
        <v>10414</v>
      </c>
      <c r="B2744" s="3">
        <v>27</v>
      </c>
      <c r="C2744" s="3">
        <v>90.37</v>
      </c>
      <c r="D2744" s="3">
        <v>2439.9900000000002</v>
      </c>
      <c r="E2744" s="3" t="str">
        <f t="shared" si="169"/>
        <v>Medium</v>
      </c>
      <c r="F2744" s="3">
        <f t="shared" si="170"/>
        <v>731.99700000000007</v>
      </c>
      <c r="G2744" s="4">
        <v>38478</v>
      </c>
      <c r="H2744" s="3" t="s">
        <v>401</v>
      </c>
      <c r="I2744" s="3" t="str">
        <f t="shared" si="168"/>
        <v>No</v>
      </c>
      <c r="J2744" s="3" t="s">
        <v>682</v>
      </c>
      <c r="K2744" s="3">
        <v>2005</v>
      </c>
      <c r="L2744" s="3" t="str">
        <f t="shared" si="171"/>
        <v>May-2005</v>
      </c>
      <c r="M2744" s="3" t="s">
        <v>598</v>
      </c>
      <c r="N2744" s="3" t="s">
        <v>379</v>
      </c>
      <c r="O2744" s="3" t="s">
        <v>32</v>
      </c>
      <c r="P2744" s="3" t="s">
        <v>33</v>
      </c>
      <c r="Q2744" s="3" t="s">
        <v>36</v>
      </c>
    </row>
    <row r="2745" spans="1:17" x14ac:dyDescent="0.25">
      <c r="A2745" s="5">
        <v>10106</v>
      </c>
      <c r="B2745" s="5">
        <v>48</v>
      </c>
      <c r="C2745" s="5">
        <v>61.44</v>
      </c>
      <c r="D2745" s="5">
        <v>2949.12</v>
      </c>
      <c r="E2745" s="5" t="str">
        <f t="shared" si="169"/>
        <v>Medium</v>
      </c>
      <c r="F2745" s="5">
        <f t="shared" si="170"/>
        <v>884.73599999999999</v>
      </c>
      <c r="G2745" s="6">
        <v>37669</v>
      </c>
      <c r="H2745" s="5" t="s">
        <v>25</v>
      </c>
      <c r="I2745" s="5" t="str">
        <f t="shared" si="168"/>
        <v>Yes</v>
      </c>
      <c r="J2745" s="5" t="s">
        <v>681</v>
      </c>
      <c r="K2745" s="5">
        <v>2003</v>
      </c>
      <c r="L2745" s="5" t="str">
        <f t="shared" si="171"/>
        <v>Feb-2003</v>
      </c>
      <c r="M2745" s="5" t="s">
        <v>566</v>
      </c>
      <c r="N2745" s="5" t="s">
        <v>552</v>
      </c>
      <c r="O2745" s="5" t="s">
        <v>258</v>
      </c>
      <c r="P2745" s="5" t="s">
        <v>42</v>
      </c>
      <c r="Q2745" s="5" t="s">
        <v>36</v>
      </c>
    </row>
    <row r="2746" spans="1:17" x14ac:dyDescent="0.25">
      <c r="A2746" s="3">
        <v>10119</v>
      </c>
      <c r="B2746" s="3">
        <v>26</v>
      </c>
      <c r="C2746" s="3">
        <v>59.22</v>
      </c>
      <c r="D2746" s="3">
        <v>1539.72</v>
      </c>
      <c r="E2746" s="3" t="str">
        <f t="shared" si="169"/>
        <v>Low</v>
      </c>
      <c r="F2746" s="3">
        <f t="shared" si="170"/>
        <v>461.916</v>
      </c>
      <c r="G2746" s="4">
        <v>37739</v>
      </c>
      <c r="H2746" s="3" t="s">
        <v>25</v>
      </c>
      <c r="I2746" s="3" t="str">
        <f t="shared" si="168"/>
        <v>Yes</v>
      </c>
      <c r="J2746" s="3" t="s">
        <v>688</v>
      </c>
      <c r="K2746" s="3">
        <v>2003</v>
      </c>
      <c r="L2746" s="3" t="str">
        <f t="shared" si="171"/>
        <v>Apr-2003</v>
      </c>
      <c r="M2746" s="3" t="s">
        <v>566</v>
      </c>
      <c r="N2746" s="3" t="s">
        <v>144</v>
      </c>
      <c r="O2746" s="3" t="s">
        <v>148</v>
      </c>
      <c r="P2746" s="3" t="s">
        <v>42</v>
      </c>
      <c r="Q2746" s="3" t="s">
        <v>36</v>
      </c>
    </row>
    <row r="2747" spans="1:17" x14ac:dyDescent="0.25">
      <c r="A2747" s="5">
        <v>10131</v>
      </c>
      <c r="B2747" s="5">
        <v>26</v>
      </c>
      <c r="C2747" s="5">
        <v>85.13</v>
      </c>
      <c r="D2747" s="5">
        <v>2213.38</v>
      </c>
      <c r="E2747" s="5" t="str">
        <f t="shared" si="169"/>
        <v>Medium</v>
      </c>
      <c r="F2747" s="5">
        <f t="shared" si="170"/>
        <v>664.01400000000001</v>
      </c>
      <c r="G2747" s="6">
        <v>37788</v>
      </c>
      <c r="H2747" s="5" t="s">
        <v>25</v>
      </c>
      <c r="I2747" s="5" t="str">
        <f t="shared" si="168"/>
        <v>Yes</v>
      </c>
      <c r="J2747" s="5" t="s">
        <v>689</v>
      </c>
      <c r="K2747" s="5">
        <v>2003</v>
      </c>
      <c r="L2747" s="5" t="str">
        <f t="shared" si="171"/>
        <v>Jun-2003</v>
      </c>
      <c r="M2747" s="5" t="s">
        <v>566</v>
      </c>
      <c r="N2747" s="5" t="s">
        <v>568</v>
      </c>
      <c r="O2747" s="5" t="s">
        <v>32</v>
      </c>
      <c r="P2747" s="5" t="s">
        <v>33</v>
      </c>
      <c r="Q2747" s="5" t="s">
        <v>36</v>
      </c>
    </row>
    <row r="2748" spans="1:17" x14ac:dyDescent="0.25">
      <c r="A2748" s="3">
        <v>10143</v>
      </c>
      <c r="B2748" s="3">
        <v>34</v>
      </c>
      <c r="C2748" s="3">
        <v>85.87</v>
      </c>
      <c r="D2748" s="3">
        <v>2919.58</v>
      </c>
      <c r="E2748" s="3" t="str">
        <f t="shared" si="169"/>
        <v>Medium</v>
      </c>
      <c r="F2748" s="3">
        <f t="shared" si="170"/>
        <v>875.87399999999991</v>
      </c>
      <c r="G2748" s="4">
        <v>37843</v>
      </c>
      <c r="H2748" s="3" t="s">
        <v>25</v>
      </c>
      <c r="I2748" s="3" t="str">
        <f t="shared" si="168"/>
        <v>Yes</v>
      </c>
      <c r="J2748" s="3" t="s">
        <v>684</v>
      </c>
      <c r="K2748" s="3">
        <v>2003</v>
      </c>
      <c r="L2748" s="3" t="str">
        <f t="shared" si="171"/>
        <v>Aug-2003</v>
      </c>
      <c r="M2748" s="3" t="s">
        <v>566</v>
      </c>
      <c r="N2748" s="3" t="s">
        <v>335</v>
      </c>
      <c r="O2748" s="3" t="s">
        <v>32</v>
      </c>
      <c r="P2748" s="3" t="s">
        <v>33</v>
      </c>
      <c r="Q2748" s="3" t="s">
        <v>36</v>
      </c>
    </row>
    <row r="2749" spans="1:17" x14ac:dyDescent="0.25">
      <c r="A2749" s="5">
        <v>10155</v>
      </c>
      <c r="B2749" s="5">
        <v>44</v>
      </c>
      <c r="C2749" s="5">
        <v>85.87</v>
      </c>
      <c r="D2749" s="5">
        <v>3778.28</v>
      </c>
      <c r="E2749" s="5" t="str">
        <f t="shared" si="169"/>
        <v>Medium</v>
      </c>
      <c r="F2749" s="5">
        <f t="shared" si="170"/>
        <v>1133.4839999999999</v>
      </c>
      <c r="G2749" s="6">
        <v>37900</v>
      </c>
      <c r="H2749" s="5" t="s">
        <v>25</v>
      </c>
      <c r="I2749" s="5" t="str">
        <f t="shared" si="168"/>
        <v>Yes</v>
      </c>
      <c r="J2749" s="5" t="s">
        <v>685</v>
      </c>
      <c r="K2749" s="5">
        <v>2003</v>
      </c>
      <c r="L2749" s="5" t="str">
        <f t="shared" si="171"/>
        <v>Oct-2003</v>
      </c>
      <c r="M2749" s="5" t="s">
        <v>566</v>
      </c>
      <c r="N2749" s="5" t="s">
        <v>126</v>
      </c>
      <c r="O2749" s="5" t="s">
        <v>130</v>
      </c>
      <c r="P2749" s="5" t="s">
        <v>42</v>
      </c>
      <c r="Q2749" s="5" t="s">
        <v>51</v>
      </c>
    </row>
    <row r="2750" spans="1:17" x14ac:dyDescent="0.25">
      <c r="A2750" s="3">
        <v>10168</v>
      </c>
      <c r="B2750" s="3">
        <v>39</v>
      </c>
      <c r="C2750" s="3">
        <v>82.91</v>
      </c>
      <c r="D2750" s="3">
        <v>3233.49</v>
      </c>
      <c r="E2750" s="3" t="str">
        <f t="shared" si="169"/>
        <v>Medium</v>
      </c>
      <c r="F2750" s="3">
        <f t="shared" si="170"/>
        <v>970.04699999999991</v>
      </c>
      <c r="G2750" s="4">
        <v>37922</v>
      </c>
      <c r="H2750" s="3" t="s">
        <v>25</v>
      </c>
      <c r="I2750" s="3" t="str">
        <f t="shared" si="168"/>
        <v>Yes</v>
      </c>
      <c r="J2750" s="3" t="s">
        <v>685</v>
      </c>
      <c r="K2750" s="3">
        <v>2003</v>
      </c>
      <c r="L2750" s="3" t="str">
        <f t="shared" si="171"/>
        <v>Oct-2003</v>
      </c>
      <c r="M2750" s="3" t="s">
        <v>566</v>
      </c>
      <c r="N2750" s="3" t="s">
        <v>62</v>
      </c>
      <c r="O2750" s="3" t="s">
        <v>32</v>
      </c>
      <c r="P2750" s="3" t="s">
        <v>33</v>
      </c>
      <c r="Q2750" s="3" t="s">
        <v>51</v>
      </c>
    </row>
    <row r="2751" spans="1:17" x14ac:dyDescent="0.25">
      <c r="A2751" s="5">
        <v>10178</v>
      </c>
      <c r="B2751" s="5">
        <v>45</v>
      </c>
      <c r="C2751" s="5">
        <v>76.25</v>
      </c>
      <c r="D2751" s="5">
        <v>3431.25</v>
      </c>
      <c r="E2751" s="5" t="str">
        <f t="shared" si="169"/>
        <v>Medium</v>
      </c>
      <c r="F2751" s="5">
        <f t="shared" si="170"/>
        <v>1029.375</v>
      </c>
      <c r="G2751" s="6">
        <v>37933</v>
      </c>
      <c r="H2751" s="5" t="s">
        <v>25</v>
      </c>
      <c r="I2751" s="5" t="str">
        <f t="shared" si="168"/>
        <v>Yes</v>
      </c>
      <c r="J2751" s="5" t="s">
        <v>686</v>
      </c>
      <c r="K2751" s="5">
        <v>2003</v>
      </c>
      <c r="L2751" s="5" t="str">
        <f t="shared" si="171"/>
        <v>Nov-2003</v>
      </c>
      <c r="M2751" s="5" t="s">
        <v>566</v>
      </c>
      <c r="N2751" s="5" t="s">
        <v>340</v>
      </c>
      <c r="O2751" s="5" t="s">
        <v>41</v>
      </c>
      <c r="P2751" s="5" t="s">
        <v>42</v>
      </c>
      <c r="Q2751" s="5" t="s">
        <v>51</v>
      </c>
    </row>
    <row r="2752" spans="1:17" x14ac:dyDescent="0.25">
      <c r="A2752" s="3">
        <v>10198</v>
      </c>
      <c r="B2752" s="3">
        <v>40</v>
      </c>
      <c r="C2752" s="3">
        <v>63.67</v>
      </c>
      <c r="D2752" s="3">
        <v>2546.8000000000002</v>
      </c>
      <c r="E2752" s="3" t="str">
        <f t="shared" si="169"/>
        <v>Medium</v>
      </c>
      <c r="F2752" s="3">
        <f t="shared" si="170"/>
        <v>764.04000000000008</v>
      </c>
      <c r="G2752" s="4">
        <v>37952</v>
      </c>
      <c r="H2752" s="3" t="s">
        <v>25</v>
      </c>
      <c r="I2752" s="3" t="str">
        <f t="shared" si="168"/>
        <v>Yes</v>
      </c>
      <c r="J2752" s="3" t="s">
        <v>686</v>
      </c>
      <c r="K2752" s="3">
        <v>2003</v>
      </c>
      <c r="L2752" s="3" t="str">
        <f t="shared" si="171"/>
        <v>Nov-2003</v>
      </c>
      <c r="M2752" s="3" t="s">
        <v>566</v>
      </c>
      <c r="N2752" s="3" t="s">
        <v>425</v>
      </c>
      <c r="O2752" s="3" t="s">
        <v>430</v>
      </c>
      <c r="P2752" s="3" t="s">
        <v>675</v>
      </c>
      <c r="Q2752" s="3" t="s">
        <v>36</v>
      </c>
    </row>
    <row r="2753" spans="1:17" x14ac:dyDescent="0.25">
      <c r="A2753" s="5">
        <v>10210</v>
      </c>
      <c r="B2753" s="5">
        <v>42</v>
      </c>
      <c r="C2753" s="5">
        <v>70.33</v>
      </c>
      <c r="D2753" s="5">
        <v>2953.86</v>
      </c>
      <c r="E2753" s="5" t="str">
        <f t="shared" si="169"/>
        <v>Medium</v>
      </c>
      <c r="F2753" s="5">
        <f t="shared" si="170"/>
        <v>886.15800000000002</v>
      </c>
      <c r="G2753" s="6">
        <v>37998</v>
      </c>
      <c r="H2753" s="5" t="s">
        <v>25</v>
      </c>
      <c r="I2753" s="5" t="str">
        <f t="shared" si="168"/>
        <v>Yes</v>
      </c>
      <c r="J2753" s="5" t="s">
        <v>549</v>
      </c>
      <c r="K2753" s="5">
        <v>2004</v>
      </c>
      <c r="L2753" s="5" t="str">
        <f t="shared" si="171"/>
        <v>Jan-2004</v>
      </c>
      <c r="M2753" s="5" t="s">
        <v>566</v>
      </c>
      <c r="N2753" s="5" t="s">
        <v>302</v>
      </c>
      <c r="O2753" s="5" t="s">
        <v>200</v>
      </c>
      <c r="P2753" s="5" t="s">
        <v>675</v>
      </c>
      <c r="Q2753" s="5" t="s">
        <v>36</v>
      </c>
    </row>
    <row r="2754" spans="1:17" x14ac:dyDescent="0.25">
      <c r="A2754" s="3">
        <v>10222</v>
      </c>
      <c r="B2754" s="3">
        <v>43</v>
      </c>
      <c r="C2754" s="3">
        <v>74.03</v>
      </c>
      <c r="D2754" s="3">
        <v>3183.29</v>
      </c>
      <c r="E2754" s="3" t="str">
        <f t="shared" si="169"/>
        <v>Medium</v>
      </c>
      <c r="F2754" s="3">
        <f t="shared" si="170"/>
        <v>954.98699999999997</v>
      </c>
      <c r="G2754" s="4">
        <v>38036</v>
      </c>
      <c r="H2754" s="3" t="s">
        <v>25</v>
      </c>
      <c r="I2754" s="3" t="str">
        <f t="shared" ref="I2754:I2817" si="172">IF(H2754="Shipped","Yes","No")</f>
        <v>Yes</v>
      </c>
      <c r="J2754" s="3" t="s">
        <v>681</v>
      </c>
      <c r="K2754" s="3">
        <v>2004</v>
      </c>
      <c r="L2754" s="3" t="str">
        <f t="shared" si="171"/>
        <v>Feb-2004</v>
      </c>
      <c r="M2754" s="3" t="s">
        <v>566</v>
      </c>
      <c r="N2754" s="3" t="s">
        <v>362</v>
      </c>
      <c r="O2754" s="3" t="s">
        <v>32</v>
      </c>
      <c r="P2754" s="3" t="s">
        <v>33</v>
      </c>
      <c r="Q2754" s="3" t="s">
        <v>51</v>
      </c>
    </row>
    <row r="2755" spans="1:17" x14ac:dyDescent="0.25">
      <c r="A2755" s="5">
        <v>10235</v>
      </c>
      <c r="B2755" s="5">
        <v>34</v>
      </c>
      <c r="C2755" s="5">
        <v>72.55</v>
      </c>
      <c r="D2755" s="5">
        <v>2466.6999999999998</v>
      </c>
      <c r="E2755" s="5" t="str">
        <f t="shared" ref="E2755:E2818" si="173">IF(D2755&gt;=5000,"High",IF(D2755&gt;=2000,"Medium","Low"))</f>
        <v>Medium</v>
      </c>
      <c r="F2755" s="5">
        <f t="shared" ref="F2755:F2818" si="174">(D2755*0.3)</f>
        <v>740.00999999999988</v>
      </c>
      <c r="G2755" s="6">
        <v>38079</v>
      </c>
      <c r="H2755" s="5" t="s">
        <v>25</v>
      </c>
      <c r="I2755" s="5" t="str">
        <f t="shared" si="172"/>
        <v>Yes</v>
      </c>
      <c r="J2755" s="5" t="s">
        <v>688</v>
      </c>
      <c r="K2755" s="5">
        <v>2004</v>
      </c>
      <c r="L2755" s="5" t="str">
        <f t="shared" ref="L2755:L2818" si="175">TEXT(G:G,"MMM-YYYY")</f>
        <v>Apr-2004</v>
      </c>
      <c r="M2755" s="5" t="s">
        <v>566</v>
      </c>
      <c r="N2755" s="5" t="s">
        <v>373</v>
      </c>
      <c r="O2755" s="5" t="s">
        <v>231</v>
      </c>
      <c r="P2755" s="5" t="s">
        <v>33</v>
      </c>
      <c r="Q2755" s="5" t="s">
        <v>36</v>
      </c>
    </row>
    <row r="2756" spans="1:17" x14ac:dyDescent="0.25">
      <c r="A2756" s="3">
        <v>10250</v>
      </c>
      <c r="B2756" s="3">
        <v>38</v>
      </c>
      <c r="C2756" s="3">
        <v>62.19</v>
      </c>
      <c r="D2756" s="3">
        <v>2363.2199999999998</v>
      </c>
      <c r="E2756" s="3" t="str">
        <f t="shared" si="173"/>
        <v>Medium</v>
      </c>
      <c r="F2756" s="3">
        <f t="shared" si="174"/>
        <v>708.96599999999989</v>
      </c>
      <c r="G2756" s="4">
        <v>38118</v>
      </c>
      <c r="H2756" s="3" t="s">
        <v>25</v>
      </c>
      <c r="I2756" s="3" t="str">
        <f t="shared" si="172"/>
        <v>Yes</v>
      </c>
      <c r="J2756" s="3" t="s">
        <v>682</v>
      </c>
      <c r="K2756" s="3">
        <v>2004</v>
      </c>
      <c r="L2756" s="3" t="str">
        <f t="shared" si="175"/>
        <v>May-2004</v>
      </c>
      <c r="M2756" s="3" t="s">
        <v>566</v>
      </c>
      <c r="N2756" s="3" t="s">
        <v>397</v>
      </c>
      <c r="O2756" s="3" t="s">
        <v>32</v>
      </c>
      <c r="P2756" s="3" t="s">
        <v>33</v>
      </c>
      <c r="Q2756" s="3" t="s">
        <v>36</v>
      </c>
    </row>
    <row r="2757" spans="1:17" x14ac:dyDescent="0.25">
      <c r="A2757" s="5">
        <v>10262</v>
      </c>
      <c r="B2757" s="5">
        <v>35</v>
      </c>
      <c r="C2757" s="5">
        <v>71.069999999999993</v>
      </c>
      <c r="D2757" s="5">
        <v>2487.4499999999998</v>
      </c>
      <c r="E2757" s="5" t="str">
        <f t="shared" si="173"/>
        <v>Medium</v>
      </c>
      <c r="F2757" s="5">
        <f t="shared" si="174"/>
        <v>746.2349999999999</v>
      </c>
      <c r="G2757" s="6">
        <v>38162</v>
      </c>
      <c r="H2757" s="5" t="s">
        <v>339</v>
      </c>
      <c r="I2757" s="5" t="str">
        <f t="shared" si="172"/>
        <v>No</v>
      </c>
      <c r="J2757" s="5" t="s">
        <v>689</v>
      </c>
      <c r="K2757" s="5">
        <v>2004</v>
      </c>
      <c r="L2757" s="5" t="str">
        <f t="shared" si="175"/>
        <v>Jun-2004</v>
      </c>
      <c r="M2757" s="5" t="s">
        <v>566</v>
      </c>
      <c r="N2757" s="5" t="s">
        <v>174</v>
      </c>
      <c r="O2757" s="5" t="s">
        <v>178</v>
      </c>
      <c r="P2757" s="5" t="s">
        <v>42</v>
      </c>
      <c r="Q2757" s="5" t="s">
        <v>36</v>
      </c>
    </row>
    <row r="2758" spans="1:17" x14ac:dyDescent="0.25">
      <c r="A2758" s="3">
        <v>10275</v>
      </c>
      <c r="B2758" s="3">
        <v>31</v>
      </c>
      <c r="C2758" s="3">
        <v>72.55</v>
      </c>
      <c r="D2758" s="3">
        <v>2249.0499999999997</v>
      </c>
      <c r="E2758" s="3" t="str">
        <f t="shared" si="173"/>
        <v>Medium</v>
      </c>
      <c r="F2758" s="3">
        <f t="shared" si="174"/>
        <v>674.71499999999992</v>
      </c>
      <c r="G2758" s="4">
        <v>38191</v>
      </c>
      <c r="H2758" s="3" t="s">
        <v>25</v>
      </c>
      <c r="I2758" s="3" t="str">
        <f t="shared" si="172"/>
        <v>Yes</v>
      </c>
      <c r="J2758" s="3" t="s">
        <v>683</v>
      </c>
      <c r="K2758" s="3">
        <v>2004</v>
      </c>
      <c r="L2758" s="3" t="str">
        <f t="shared" si="175"/>
        <v>Jul-2004</v>
      </c>
      <c r="M2758" s="3" t="s">
        <v>566</v>
      </c>
      <c r="N2758" s="3" t="s">
        <v>114</v>
      </c>
      <c r="O2758" s="3" t="s">
        <v>41</v>
      </c>
      <c r="P2758" s="3" t="s">
        <v>42</v>
      </c>
      <c r="Q2758" s="3" t="s">
        <v>36</v>
      </c>
    </row>
    <row r="2759" spans="1:17" x14ac:dyDescent="0.25">
      <c r="A2759" s="5">
        <v>10284</v>
      </c>
      <c r="B2759" s="5">
        <v>32</v>
      </c>
      <c r="C2759" s="5">
        <v>64.41</v>
      </c>
      <c r="D2759" s="5">
        <v>2061.12</v>
      </c>
      <c r="E2759" s="5" t="str">
        <f t="shared" si="173"/>
        <v>Medium</v>
      </c>
      <c r="F2759" s="5">
        <f t="shared" si="174"/>
        <v>618.3359999999999</v>
      </c>
      <c r="G2759" s="6">
        <v>38220</v>
      </c>
      <c r="H2759" s="5" t="s">
        <v>25</v>
      </c>
      <c r="I2759" s="5" t="str">
        <f t="shared" si="172"/>
        <v>Yes</v>
      </c>
      <c r="J2759" s="5" t="s">
        <v>684</v>
      </c>
      <c r="K2759" s="5">
        <v>2004</v>
      </c>
      <c r="L2759" s="5" t="str">
        <f t="shared" si="175"/>
        <v>Aug-2004</v>
      </c>
      <c r="M2759" s="5" t="s">
        <v>566</v>
      </c>
      <c r="N2759" s="5" t="s">
        <v>543</v>
      </c>
      <c r="O2759" s="5" t="s">
        <v>78</v>
      </c>
      <c r="P2759" s="5" t="s">
        <v>42</v>
      </c>
      <c r="Q2759" s="5" t="s">
        <v>36</v>
      </c>
    </row>
    <row r="2760" spans="1:17" x14ac:dyDescent="0.25">
      <c r="A2760" s="3">
        <v>10296</v>
      </c>
      <c r="B2760" s="3">
        <v>47</v>
      </c>
      <c r="C2760" s="3">
        <v>86.62</v>
      </c>
      <c r="D2760" s="3">
        <v>4071.1400000000003</v>
      </c>
      <c r="E2760" s="3" t="str">
        <f t="shared" si="173"/>
        <v>Medium</v>
      </c>
      <c r="F2760" s="3">
        <f t="shared" si="174"/>
        <v>1221.3420000000001</v>
      </c>
      <c r="G2760" s="4">
        <v>38245</v>
      </c>
      <c r="H2760" s="3" t="s">
        <v>25</v>
      </c>
      <c r="I2760" s="3" t="str">
        <f t="shared" si="172"/>
        <v>Yes</v>
      </c>
      <c r="J2760" s="3" t="s">
        <v>690</v>
      </c>
      <c r="K2760" s="3">
        <v>2004</v>
      </c>
      <c r="L2760" s="3" t="str">
        <f t="shared" si="175"/>
        <v>Sep-2004</v>
      </c>
      <c r="M2760" s="3" t="s">
        <v>566</v>
      </c>
      <c r="N2760" s="3" t="s">
        <v>572</v>
      </c>
      <c r="O2760" s="3" t="s">
        <v>443</v>
      </c>
      <c r="P2760" s="3" t="s">
        <v>42</v>
      </c>
      <c r="Q2760" s="3" t="s">
        <v>51</v>
      </c>
    </row>
    <row r="2761" spans="1:17" x14ac:dyDescent="0.25">
      <c r="A2761" s="5">
        <v>10308</v>
      </c>
      <c r="B2761" s="5">
        <v>39</v>
      </c>
      <c r="C2761" s="5">
        <v>68.11</v>
      </c>
      <c r="D2761" s="5">
        <v>2656.29</v>
      </c>
      <c r="E2761" s="5" t="str">
        <f t="shared" si="173"/>
        <v>Medium</v>
      </c>
      <c r="F2761" s="5">
        <f t="shared" si="174"/>
        <v>796.88699999999994</v>
      </c>
      <c r="G2761" s="6">
        <v>38275</v>
      </c>
      <c r="H2761" s="5" t="s">
        <v>25</v>
      </c>
      <c r="I2761" s="5" t="str">
        <f t="shared" si="172"/>
        <v>Yes</v>
      </c>
      <c r="J2761" s="5" t="s">
        <v>685</v>
      </c>
      <c r="K2761" s="5">
        <v>2004</v>
      </c>
      <c r="L2761" s="5" t="str">
        <f t="shared" si="175"/>
        <v>Oct-2004</v>
      </c>
      <c r="M2761" s="5" t="s">
        <v>566</v>
      </c>
      <c r="N2761" s="5" t="s">
        <v>317</v>
      </c>
      <c r="O2761" s="5" t="s">
        <v>32</v>
      </c>
      <c r="P2761" s="5" t="s">
        <v>33</v>
      </c>
      <c r="Q2761" s="5" t="s">
        <v>36</v>
      </c>
    </row>
    <row r="2762" spans="1:17" x14ac:dyDescent="0.25">
      <c r="A2762" s="3">
        <v>10316</v>
      </c>
      <c r="B2762" s="3">
        <v>44</v>
      </c>
      <c r="C2762" s="3">
        <v>62.19</v>
      </c>
      <c r="D2762" s="3">
        <v>2736.3599999999997</v>
      </c>
      <c r="E2762" s="3" t="str">
        <f t="shared" si="173"/>
        <v>Medium</v>
      </c>
      <c r="F2762" s="3">
        <f t="shared" si="174"/>
        <v>820.9079999999999</v>
      </c>
      <c r="G2762" s="4">
        <v>38292</v>
      </c>
      <c r="H2762" s="3" t="s">
        <v>25</v>
      </c>
      <c r="I2762" s="3" t="str">
        <f t="shared" si="172"/>
        <v>Yes</v>
      </c>
      <c r="J2762" s="3" t="s">
        <v>686</v>
      </c>
      <c r="K2762" s="3">
        <v>2004</v>
      </c>
      <c r="L2762" s="3" t="str">
        <f t="shared" si="175"/>
        <v>Nov-2004</v>
      </c>
      <c r="M2762" s="3" t="s">
        <v>566</v>
      </c>
      <c r="N2762" s="3" t="s">
        <v>383</v>
      </c>
      <c r="O2762" s="3" t="s">
        <v>170</v>
      </c>
      <c r="P2762" s="3" t="s">
        <v>42</v>
      </c>
      <c r="Q2762" s="3" t="s">
        <v>36</v>
      </c>
    </row>
    <row r="2763" spans="1:17" x14ac:dyDescent="0.25">
      <c r="A2763" s="5">
        <v>10328</v>
      </c>
      <c r="B2763" s="5">
        <v>39</v>
      </c>
      <c r="C2763" s="5">
        <v>85.87</v>
      </c>
      <c r="D2763" s="5">
        <v>3348.9300000000003</v>
      </c>
      <c r="E2763" s="5" t="str">
        <f t="shared" si="173"/>
        <v>Medium</v>
      </c>
      <c r="F2763" s="5">
        <f t="shared" si="174"/>
        <v>1004.6790000000001</v>
      </c>
      <c r="G2763" s="6">
        <v>38303</v>
      </c>
      <c r="H2763" s="5" t="s">
        <v>25</v>
      </c>
      <c r="I2763" s="5" t="str">
        <f t="shared" si="172"/>
        <v>Yes</v>
      </c>
      <c r="J2763" s="5" t="s">
        <v>686</v>
      </c>
      <c r="K2763" s="5">
        <v>2004</v>
      </c>
      <c r="L2763" s="5" t="str">
        <f t="shared" si="175"/>
        <v>Nov-2004</v>
      </c>
      <c r="M2763" s="5" t="s">
        <v>566</v>
      </c>
      <c r="N2763" s="5" t="s">
        <v>552</v>
      </c>
      <c r="O2763" s="5" t="s">
        <v>258</v>
      </c>
      <c r="P2763" s="5" t="s">
        <v>42</v>
      </c>
      <c r="Q2763" s="5" t="s">
        <v>51</v>
      </c>
    </row>
    <row r="2764" spans="1:17" x14ac:dyDescent="0.25">
      <c r="A2764" s="3">
        <v>10339</v>
      </c>
      <c r="B2764" s="3">
        <v>50</v>
      </c>
      <c r="C2764" s="3">
        <v>57.86</v>
      </c>
      <c r="D2764" s="3">
        <v>2893</v>
      </c>
      <c r="E2764" s="3" t="str">
        <f t="shared" si="173"/>
        <v>Medium</v>
      </c>
      <c r="F2764" s="3">
        <f t="shared" si="174"/>
        <v>867.9</v>
      </c>
      <c r="G2764" s="4">
        <v>38314</v>
      </c>
      <c r="H2764" s="3" t="s">
        <v>25</v>
      </c>
      <c r="I2764" s="3" t="str">
        <f t="shared" si="172"/>
        <v>Yes</v>
      </c>
      <c r="J2764" s="3" t="s">
        <v>686</v>
      </c>
      <c r="K2764" s="3">
        <v>2004</v>
      </c>
      <c r="L2764" s="3" t="str">
        <f t="shared" si="175"/>
        <v>Nov-2004</v>
      </c>
      <c r="M2764" s="3" t="s">
        <v>566</v>
      </c>
      <c r="N2764" s="3" t="s">
        <v>246</v>
      </c>
      <c r="O2764" s="3" t="s">
        <v>200</v>
      </c>
      <c r="P2764" s="3" t="s">
        <v>675</v>
      </c>
      <c r="Q2764" s="3" t="s">
        <v>36</v>
      </c>
    </row>
    <row r="2765" spans="1:17" x14ac:dyDescent="0.25">
      <c r="A2765" s="5">
        <v>10352</v>
      </c>
      <c r="B2765" s="5">
        <v>22</v>
      </c>
      <c r="C2765" s="5">
        <v>75.510000000000005</v>
      </c>
      <c r="D2765" s="5">
        <v>1661.22</v>
      </c>
      <c r="E2765" s="5" t="str">
        <f t="shared" si="173"/>
        <v>Low</v>
      </c>
      <c r="F2765" s="5">
        <f t="shared" si="174"/>
        <v>498.36599999999999</v>
      </c>
      <c r="G2765" s="6">
        <v>38324</v>
      </c>
      <c r="H2765" s="5" t="s">
        <v>25</v>
      </c>
      <c r="I2765" s="5" t="str">
        <f t="shared" si="172"/>
        <v>Yes</v>
      </c>
      <c r="J2765" s="5" t="s">
        <v>687</v>
      </c>
      <c r="K2765" s="5">
        <v>2004</v>
      </c>
      <c r="L2765" s="5" t="str">
        <f t="shared" si="175"/>
        <v>Dec-2004</v>
      </c>
      <c r="M2765" s="5" t="s">
        <v>566</v>
      </c>
      <c r="N2765" s="5" t="s">
        <v>600</v>
      </c>
      <c r="O2765" s="5" t="s">
        <v>32</v>
      </c>
      <c r="P2765" s="5" t="s">
        <v>33</v>
      </c>
      <c r="Q2765" s="5" t="s">
        <v>36</v>
      </c>
    </row>
    <row r="2766" spans="1:17" x14ac:dyDescent="0.25">
      <c r="A2766" s="3">
        <v>10361</v>
      </c>
      <c r="B2766" s="3">
        <v>35</v>
      </c>
      <c r="C2766" s="3">
        <v>100</v>
      </c>
      <c r="D2766" s="3">
        <v>3500</v>
      </c>
      <c r="E2766" s="3" t="str">
        <f t="shared" si="173"/>
        <v>Medium</v>
      </c>
      <c r="F2766" s="3">
        <f t="shared" si="174"/>
        <v>1050</v>
      </c>
      <c r="G2766" s="4">
        <v>38338</v>
      </c>
      <c r="H2766" s="3" t="s">
        <v>25</v>
      </c>
      <c r="I2766" s="3" t="str">
        <f t="shared" si="172"/>
        <v>Yes</v>
      </c>
      <c r="J2766" s="3" t="s">
        <v>687</v>
      </c>
      <c r="K2766" s="3">
        <v>2004</v>
      </c>
      <c r="L2766" s="3" t="str">
        <f t="shared" si="175"/>
        <v>Dec-2004</v>
      </c>
      <c r="M2766" s="3" t="s">
        <v>566</v>
      </c>
      <c r="N2766" s="3" t="s">
        <v>152</v>
      </c>
      <c r="O2766" s="3" t="s">
        <v>95</v>
      </c>
      <c r="P2766" s="3" t="s">
        <v>96</v>
      </c>
      <c r="Q2766" s="3" t="s">
        <v>51</v>
      </c>
    </row>
    <row r="2767" spans="1:17" x14ac:dyDescent="0.25">
      <c r="A2767" s="5">
        <v>10373</v>
      </c>
      <c r="B2767" s="5">
        <v>45</v>
      </c>
      <c r="C2767" s="5">
        <v>55.62</v>
      </c>
      <c r="D2767" s="5">
        <v>2502.9</v>
      </c>
      <c r="E2767" s="5" t="str">
        <f t="shared" si="173"/>
        <v>Medium</v>
      </c>
      <c r="F2767" s="5">
        <f t="shared" si="174"/>
        <v>750.87</v>
      </c>
      <c r="G2767" s="6">
        <v>38383</v>
      </c>
      <c r="H2767" s="5" t="s">
        <v>25</v>
      </c>
      <c r="I2767" s="5" t="str">
        <f t="shared" si="172"/>
        <v>Yes</v>
      </c>
      <c r="J2767" s="5" t="s">
        <v>549</v>
      </c>
      <c r="K2767" s="5">
        <v>2005</v>
      </c>
      <c r="L2767" s="5" t="str">
        <f t="shared" si="175"/>
        <v>Jan-2005</v>
      </c>
      <c r="M2767" s="5" t="s">
        <v>566</v>
      </c>
      <c r="N2767" s="5" t="s">
        <v>391</v>
      </c>
      <c r="O2767" s="5" t="s">
        <v>130</v>
      </c>
      <c r="P2767" s="5" t="s">
        <v>42</v>
      </c>
      <c r="Q2767" s="5" t="s">
        <v>36</v>
      </c>
    </row>
    <row r="2768" spans="1:17" x14ac:dyDescent="0.25">
      <c r="A2768" s="3">
        <v>10386</v>
      </c>
      <c r="B2768" s="3">
        <v>44</v>
      </c>
      <c r="C2768" s="3">
        <v>86.4</v>
      </c>
      <c r="D2768" s="3">
        <v>3801.6000000000004</v>
      </c>
      <c r="E2768" s="3" t="str">
        <f t="shared" si="173"/>
        <v>Medium</v>
      </c>
      <c r="F2768" s="3">
        <f t="shared" si="174"/>
        <v>1140.48</v>
      </c>
      <c r="G2768" s="4">
        <v>38412</v>
      </c>
      <c r="H2768" s="3" t="s">
        <v>408</v>
      </c>
      <c r="I2768" s="3" t="str">
        <f t="shared" si="172"/>
        <v>No</v>
      </c>
      <c r="J2768" s="3" t="s">
        <v>691</v>
      </c>
      <c r="K2768" s="3">
        <v>2005</v>
      </c>
      <c r="L2768" s="3" t="str">
        <f t="shared" si="175"/>
        <v>Mar-2005</v>
      </c>
      <c r="M2768" s="3" t="s">
        <v>566</v>
      </c>
      <c r="N2768" s="3" t="s">
        <v>174</v>
      </c>
      <c r="O2768" s="3" t="s">
        <v>178</v>
      </c>
      <c r="P2768" s="3" t="s">
        <v>42</v>
      </c>
      <c r="Q2768" s="3" t="s">
        <v>51</v>
      </c>
    </row>
    <row r="2769" spans="1:17" x14ac:dyDescent="0.25">
      <c r="A2769" s="5">
        <v>10398</v>
      </c>
      <c r="B2769" s="5">
        <v>36</v>
      </c>
      <c r="C2769" s="5">
        <v>87.36</v>
      </c>
      <c r="D2769" s="5">
        <v>3144.96</v>
      </c>
      <c r="E2769" s="5" t="str">
        <f t="shared" si="173"/>
        <v>Medium</v>
      </c>
      <c r="F2769" s="5">
        <f t="shared" si="174"/>
        <v>943.48799999999994</v>
      </c>
      <c r="G2769" s="6">
        <v>38441</v>
      </c>
      <c r="H2769" s="5" t="s">
        <v>25</v>
      </c>
      <c r="I2769" s="5" t="str">
        <f t="shared" si="172"/>
        <v>Yes</v>
      </c>
      <c r="J2769" s="5" t="s">
        <v>691</v>
      </c>
      <c r="K2769" s="5">
        <v>2005</v>
      </c>
      <c r="L2769" s="5" t="str">
        <f t="shared" si="175"/>
        <v>Mar-2005</v>
      </c>
      <c r="M2769" s="5" t="s">
        <v>566</v>
      </c>
      <c r="N2769" s="5" t="s">
        <v>37</v>
      </c>
      <c r="O2769" s="5" t="s">
        <v>41</v>
      </c>
      <c r="P2769" s="5" t="s">
        <v>42</v>
      </c>
      <c r="Q2769" s="5" t="s">
        <v>51</v>
      </c>
    </row>
    <row r="2770" spans="1:17" x14ac:dyDescent="0.25">
      <c r="A2770" s="3">
        <v>10401</v>
      </c>
      <c r="B2770" s="3">
        <v>28</v>
      </c>
      <c r="C2770" s="3">
        <v>72.55</v>
      </c>
      <c r="D2770" s="3">
        <v>2031.3999999999999</v>
      </c>
      <c r="E2770" s="3" t="str">
        <f t="shared" si="173"/>
        <v>Medium</v>
      </c>
      <c r="F2770" s="3">
        <f t="shared" si="174"/>
        <v>609.41999999999996</v>
      </c>
      <c r="G2770" s="4">
        <v>38445</v>
      </c>
      <c r="H2770" s="3" t="s">
        <v>401</v>
      </c>
      <c r="I2770" s="3" t="str">
        <f t="shared" si="172"/>
        <v>No</v>
      </c>
      <c r="J2770" s="3" t="s">
        <v>688</v>
      </c>
      <c r="K2770" s="3">
        <v>2005</v>
      </c>
      <c r="L2770" s="3" t="str">
        <f t="shared" si="175"/>
        <v>Apr-2005</v>
      </c>
      <c r="M2770" s="3" t="s">
        <v>566</v>
      </c>
      <c r="N2770" s="3" t="s">
        <v>104</v>
      </c>
      <c r="O2770" s="3" t="s">
        <v>32</v>
      </c>
      <c r="P2770" s="3" t="s">
        <v>33</v>
      </c>
      <c r="Q2770" s="3" t="s">
        <v>36</v>
      </c>
    </row>
    <row r="2771" spans="1:17" x14ac:dyDescent="0.25">
      <c r="A2771" s="5">
        <v>10416</v>
      </c>
      <c r="B2771" s="5">
        <v>43</v>
      </c>
      <c r="C2771" s="5">
        <v>62.19</v>
      </c>
      <c r="D2771" s="5">
        <v>2674.17</v>
      </c>
      <c r="E2771" s="5" t="str">
        <f t="shared" si="173"/>
        <v>Medium</v>
      </c>
      <c r="F2771" s="5">
        <f t="shared" si="174"/>
        <v>802.25099999999998</v>
      </c>
      <c r="G2771" s="6">
        <v>38482</v>
      </c>
      <c r="H2771" s="5" t="s">
        <v>25</v>
      </c>
      <c r="I2771" s="5" t="str">
        <f t="shared" si="172"/>
        <v>Yes</v>
      </c>
      <c r="J2771" s="5" t="s">
        <v>682</v>
      </c>
      <c r="K2771" s="5">
        <v>2005</v>
      </c>
      <c r="L2771" s="5" t="str">
        <f t="shared" si="175"/>
        <v>May-2005</v>
      </c>
      <c r="M2771" s="5" t="s">
        <v>566</v>
      </c>
      <c r="N2771" s="5" t="s">
        <v>452</v>
      </c>
      <c r="O2771" s="5" t="s">
        <v>258</v>
      </c>
      <c r="P2771" s="5" t="s">
        <v>42</v>
      </c>
      <c r="Q2771" s="5" t="s">
        <v>36</v>
      </c>
    </row>
    <row r="2772" spans="1:17" x14ac:dyDescent="0.25">
      <c r="A2772" s="3">
        <v>10106</v>
      </c>
      <c r="B2772" s="3">
        <v>48</v>
      </c>
      <c r="C2772" s="3">
        <v>52.64</v>
      </c>
      <c r="D2772" s="3">
        <v>2526.7200000000003</v>
      </c>
      <c r="E2772" s="3" t="str">
        <f t="shared" si="173"/>
        <v>Medium</v>
      </c>
      <c r="F2772" s="3">
        <f t="shared" si="174"/>
        <v>758.01600000000008</v>
      </c>
      <c r="G2772" s="4">
        <v>37669</v>
      </c>
      <c r="H2772" s="3" t="s">
        <v>25</v>
      </c>
      <c r="I2772" s="3" t="str">
        <f t="shared" si="172"/>
        <v>Yes</v>
      </c>
      <c r="J2772" s="3" t="s">
        <v>681</v>
      </c>
      <c r="K2772" s="3">
        <v>2003</v>
      </c>
      <c r="L2772" s="3" t="str">
        <f t="shared" si="175"/>
        <v>Feb-2003</v>
      </c>
      <c r="M2772" s="3" t="s">
        <v>566</v>
      </c>
      <c r="N2772" s="3" t="s">
        <v>552</v>
      </c>
      <c r="O2772" s="3" t="s">
        <v>258</v>
      </c>
      <c r="P2772" s="3" t="s">
        <v>42</v>
      </c>
      <c r="Q2772" s="3" t="s">
        <v>36</v>
      </c>
    </row>
    <row r="2773" spans="1:17" x14ac:dyDescent="0.25">
      <c r="A2773" s="5">
        <v>10119</v>
      </c>
      <c r="B2773" s="5">
        <v>28</v>
      </c>
      <c r="C2773" s="5">
        <v>48.17</v>
      </c>
      <c r="D2773" s="5">
        <v>1348.76</v>
      </c>
      <c r="E2773" s="5" t="str">
        <f t="shared" si="173"/>
        <v>Low</v>
      </c>
      <c r="F2773" s="5">
        <f t="shared" si="174"/>
        <v>404.62799999999999</v>
      </c>
      <c r="G2773" s="6">
        <v>37739</v>
      </c>
      <c r="H2773" s="5" t="s">
        <v>25</v>
      </c>
      <c r="I2773" s="5" t="str">
        <f t="shared" si="172"/>
        <v>Yes</v>
      </c>
      <c r="J2773" s="5" t="s">
        <v>688</v>
      </c>
      <c r="K2773" s="5">
        <v>2003</v>
      </c>
      <c r="L2773" s="5" t="str">
        <f t="shared" si="175"/>
        <v>Apr-2003</v>
      </c>
      <c r="M2773" s="5" t="s">
        <v>566</v>
      </c>
      <c r="N2773" s="5" t="s">
        <v>144</v>
      </c>
      <c r="O2773" s="5" t="s">
        <v>148</v>
      </c>
      <c r="P2773" s="5" t="s">
        <v>42</v>
      </c>
      <c r="Q2773" s="5" t="s">
        <v>36</v>
      </c>
    </row>
    <row r="2774" spans="1:17" x14ac:dyDescent="0.25">
      <c r="A2774" s="3">
        <v>10131</v>
      </c>
      <c r="B2774" s="3">
        <v>21</v>
      </c>
      <c r="C2774" s="3">
        <v>41.71</v>
      </c>
      <c r="D2774" s="3">
        <v>875.91</v>
      </c>
      <c r="E2774" s="3" t="str">
        <f t="shared" si="173"/>
        <v>Low</v>
      </c>
      <c r="F2774" s="3">
        <f t="shared" si="174"/>
        <v>262.77299999999997</v>
      </c>
      <c r="G2774" s="4">
        <v>37788</v>
      </c>
      <c r="H2774" s="3" t="s">
        <v>25</v>
      </c>
      <c r="I2774" s="3" t="str">
        <f t="shared" si="172"/>
        <v>Yes</v>
      </c>
      <c r="J2774" s="3" t="s">
        <v>689</v>
      </c>
      <c r="K2774" s="3">
        <v>2003</v>
      </c>
      <c r="L2774" s="3" t="str">
        <f t="shared" si="175"/>
        <v>Jun-2003</v>
      </c>
      <c r="M2774" s="3" t="s">
        <v>566</v>
      </c>
      <c r="N2774" s="3" t="s">
        <v>568</v>
      </c>
      <c r="O2774" s="3" t="s">
        <v>32</v>
      </c>
      <c r="P2774" s="3" t="s">
        <v>33</v>
      </c>
      <c r="Q2774" s="3" t="s">
        <v>36</v>
      </c>
    </row>
    <row r="2775" spans="1:17" x14ac:dyDescent="0.25">
      <c r="A2775" s="5">
        <v>10143</v>
      </c>
      <c r="B2775" s="5">
        <v>37</v>
      </c>
      <c r="C2775" s="5">
        <v>50.65</v>
      </c>
      <c r="D2775" s="5">
        <v>1874.05</v>
      </c>
      <c r="E2775" s="5" t="str">
        <f t="shared" si="173"/>
        <v>Low</v>
      </c>
      <c r="F2775" s="5">
        <f t="shared" si="174"/>
        <v>562.21499999999992</v>
      </c>
      <c r="G2775" s="6">
        <v>37843</v>
      </c>
      <c r="H2775" s="5" t="s">
        <v>25</v>
      </c>
      <c r="I2775" s="5" t="str">
        <f t="shared" si="172"/>
        <v>Yes</v>
      </c>
      <c r="J2775" s="5" t="s">
        <v>684</v>
      </c>
      <c r="K2775" s="5">
        <v>2003</v>
      </c>
      <c r="L2775" s="5" t="str">
        <f t="shared" si="175"/>
        <v>Aug-2003</v>
      </c>
      <c r="M2775" s="5" t="s">
        <v>566</v>
      </c>
      <c r="N2775" s="5" t="s">
        <v>335</v>
      </c>
      <c r="O2775" s="5" t="s">
        <v>32</v>
      </c>
      <c r="P2775" s="5" t="s">
        <v>33</v>
      </c>
      <c r="Q2775" s="5" t="s">
        <v>36</v>
      </c>
    </row>
    <row r="2776" spans="1:17" x14ac:dyDescent="0.25">
      <c r="A2776" s="3">
        <v>10155</v>
      </c>
      <c r="B2776" s="3">
        <v>34</v>
      </c>
      <c r="C2776" s="3">
        <v>49.16</v>
      </c>
      <c r="D2776" s="3">
        <v>1671.4399999999998</v>
      </c>
      <c r="E2776" s="3" t="str">
        <f t="shared" si="173"/>
        <v>Low</v>
      </c>
      <c r="F2776" s="3">
        <f t="shared" si="174"/>
        <v>501.4319999999999</v>
      </c>
      <c r="G2776" s="4">
        <v>37900</v>
      </c>
      <c r="H2776" s="3" t="s">
        <v>25</v>
      </c>
      <c r="I2776" s="3" t="str">
        <f t="shared" si="172"/>
        <v>Yes</v>
      </c>
      <c r="J2776" s="3" t="s">
        <v>685</v>
      </c>
      <c r="K2776" s="3">
        <v>2003</v>
      </c>
      <c r="L2776" s="3" t="str">
        <f t="shared" si="175"/>
        <v>Oct-2003</v>
      </c>
      <c r="M2776" s="3" t="s">
        <v>566</v>
      </c>
      <c r="N2776" s="3" t="s">
        <v>126</v>
      </c>
      <c r="O2776" s="3" t="s">
        <v>130</v>
      </c>
      <c r="P2776" s="3" t="s">
        <v>42</v>
      </c>
      <c r="Q2776" s="3" t="s">
        <v>36</v>
      </c>
    </row>
    <row r="2777" spans="1:17" x14ac:dyDescent="0.25">
      <c r="A2777" s="5">
        <v>10167</v>
      </c>
      <c r="B2777" s="5">
        <v>40</v>
      </c>
      <c r="C2777" s="5">
        <v>41.71</v>
      </c>
      <c r="D2777" s="5">
        <v>1668.4</v>
      </c>
      <c r="E2777" s="5" t="str">
        <f t="shared" si="173"/>
        <v>Low</v>
      </c>
      <c r="F2777" s="5">
        <f t="shared" si="174"/>
        <v>500.52</v>
      </c>
      <c r="G2777" s="6">
        <v>37917</v>
      </c>
      <c r="H2777" s="5" t="s">
        <v>339</v>
      </c>
      <c r="I2777" s="5" t="str">
        <f t="shared" si="172"/>
        <v>No</v>
      </c>
      <c r="J2777" s="5" t="s">
        <v>685</v>
      </c>
      <c r="K2777" s="5">
        <v>2003</v>
      </c>
      <c r="L2777" s="5" t="str">
        <f t="shared" si="175"/>
        <v>Oct-2003</v>
      </c>
      <c r="M2777" s="5" t="s">
        <v>566</v>
      </c>
      <c r="N2777" s="5" t="s">
        <v>261</v>
      </c>
      <c r="O2777" s="5" t="s">
        <v>188</v>
      </c>
      <c r="P2777" s="5" t="s">
        <v>42</v>
      </c>
      <c r="Q2777" s="5" t="s">
        <v>36</v>
      </c>
    </row>
    <row r="2778" spans="1:17" x14ac:dyDescent="0.25">
      <c r="A2778" s="3">
        <v>10178</v>
      </c>
      <c r="B2778" s="3">
        <v>45</v>
      </c>
      <c r="C2778" s="3">
        <v>51.15</v>
      </c>
      <c r="D2778" s="3">
        <v>2301.75</v>
      </c>
      <c r="E2778" s="3" t="str">
        <f t="shared" si="173"/>
        <v>Medium</v>
      </c>
      <c r="F2778" s="3">
        <f t="shared" si="174"/>
        <v>690.52499999999998</v>
      </c>
      <c r="G2778" s="4">
        <v>37933</v>
      </c>
      <c r="H2778" s="3" t="s">
        <v>25</v>
      </c>
      <c r="I2778" s="3" t="str">
        <f t="shared" si="172"/>
        <v>Yes</v>
      </c>
      <c r="J2778" s="3" t="s">
        <v>686</v>
      </c>
      <c r="K2778" s="3">
        <v>2003</v>
      </c>
      <c r="L2778" s="3" t="str">
        <f t="shared" si="175"/>
        <v>Nov-2003</v>
      </c>
      <c r="M2778" s="3" t="s">
        <v>566</v>
      </c>
      <c r="N2778" s="3" t="s">
        <v>340</v>
      </c>
      <c r="O2778" s="3" t="s">
        <v>41</v>
      </c>
      <c r="P2778" s="3" t="s">
        <v>42</v>
      </c>
      <c r="Q2778" s="3" t="s">
        <v>36</v>
      </c>
    </row>
    <row r="2779" spans="1:17" x14ac:dyDescent="0.25">
      <c r="A2779" s="5">
        <v>10186</v>
      </c>
      <c r="B2779" s="5">
        <v>28</v>
      </c>
      <c r="C2779" s="5">
        <v>52.14</v>
      </c>
      <c r="D2779" s="5">
        <v>1459.92</v>
      </c>
      <c r="E2779" s="5" t="str">
        <f t="shared" si="173"/>
        <v>Low</v>
      </c>
      <c r="F2779" s="5">
        <f t="shared" si="174"/>
        <v>437.976</v>
      </c>
      <c r="G2779" s="6">
        <v>37939</v>
      </c>
      <c r="H2779" s="5" t="s">
        <v>25</v>
      </c>
      <c r="I2779" s="5" t="str">
        <f t="shared" si="172"/>
        <v>Yes</v>
      </c>
      <c r="J2779" s="5" t="s">
        <v>686</v>
      </c>
      <c r="K2779" s="5">
        <v>2003</v>
      </c>
      <c r="L2779" s="5" t="str">
        <f t="shared" si="175"/>
        <v>Nov-2003</v>
      </c>
      <c r="M2779" s="5" t="s">
        <v>566</v>
      </c>
      <c r="N2779" s="5" t="s">
        <v>346</v>
      </c>
      <c r="O2779" s="5" t="s">
        <v>170</v>
      </c>
      <c r="P2779" s="5" t="s">
        <v>42</v>
      </c>
      <c r="Q2779" s="5" t="s">
        <v>36</v>
      </c>
    </row>
    <row r="2780" spans="1:17" x14ac:dyDescent="0.25">
      <c r="A2780" s="3">
        <v>10197</v>
      </c>
      <c r="B2780" s="3">
        <v>29</v>
      </c>
      <c r="C2780" s="3">
        <v>41.71</v>
      </c>
      <c r="D2780" s="3">
        <v>1209.5899999999999</v>
      </c>
      <c r="E2780" s="3" t="str">
        <f t="shared" si="173"/>
        <v>Low</v>
      </c>
      <c r="F2780" s="3">
        <f t="shared" si="174"/>
        <v>362.87699999999995</v>
      </c>
      <c r="G2780" s="4">
        <v>37951</v>
      </c>
      <c r="H2780" s="3" t="s">
        <v>25</v>
      </c>
      <c r="I2780" s="3" t="str">
        <f t="shared" si="172"/>
        <v>Yes</v>
      </c>
      <c r="J2780" s="3" t="s">
        <v>686</v>
      </c>
      <c r="K2780" s="3">
        <v>2003</v>
      </c>
      <c r="L2780" s="3" t="str">
        <f t="shared" si="175"/>
        <v>Nov-2003</v>
      </c>
      <c r="M2780" s="3" t="s">
        <v>566</v>
      </c>
      <c r="N2780" s="3" t="s">
        <v>352</v>
      </c>
      <c r="O2780" s="3" t="s">
        <v>178</v>
      </c>
      <c r="P2780" s="3" t="s">
        <v>42</v>
      </c>
      <c r="Q2780" s="3" t="s">
        <v>36</v>
      </c>
    </row>
    <row r="2781" spans="1:17" x14ac:dyDescent="0.25">
      <c r="A2781" s="5">
        <v>10209</v>
      </c>
      <c r="B2781" s="5">
        <v>48</v>
      </c>
      <c r="C2781" s="5">
        <v>44.69</v>
      </c>
      <c r="D2781" s="5">
        <v>2145.12</v>
      </c>
      <c r="E2781" s="5" t="str">
        <f t="shared" si="173"/>
        <v>Medium</v>
      </c>
      <c r="F2781" s="5">
        <f t="shared" si="174"/>
        <v>643.53599999999994</v>
      </c>
      <c r="G2781" s="6">
        <v>37995</v>
      </c>
      <c r="H2781" s="5" t="s">
        <v>25</v>
      </c>
      <c r="I2781" s="5" t="str">
        <f t="shared" si="172"/>
        <v>Yes</v>
      </c>
      <c r="J2781" s="5" t="s">
        <v>549</v>
      </c>
      <c r="K2781" s="5">
        <v>2004</v>
      </c>
      <c r="L2781" s="5" t="str">
        <f t="shared" si="175"/>
        <v>Jan-2004</v>
      </c>
      <c r="M2781" s="5" t="s">
        <v>566</v>
      </c>
      <c r="N2781" s="5" t="s">
        <v>358</v>
      </c>
      <c r="O2781" s="5" t="s">
        <v>32</v>
      </c>
      <c r="P2781" s="5" t="s">
        <v>33</v>
      </c>
      <c r="Q2781" s="5" t="s">
        <v>36</v>
      </c>
    </row>
    <row r="2782" spans="1:17" x14ac:dyDescent="0.25">
      <c r="A2782" s="3">
        <v>10222</v>
      </c>
      <c r="B2782" s="3">
        <v>31</v>
      </c>
      <c r="C2782" s="3">
        <v>45.69</v>
      </c>
      <c r="D2782" s="3">
        <v>1416.3899999999999</v>
      </c>
      <c r="E2782" s="3" t="str">
        <f t="shared" si="173"/>
        <v>Low</v>
      </c>
      <c r="F2782" s="3">
        <f t="shared" si="174"/>
        <v>424.91699999999997</v>
      </c>
      <c r="G2782" s="4">
        <v>38036</v>
      </c>
      <c r="H2782" s="3" t="s">
        <v>25</v>
      </c>
      <c r="I2782" s="3" t="str">
        <f t="shared" si="172"/>
        <v>Yes</v>
      </c>
      <c r="J2782" s="3" t="s">
        <v>681</v>
      </c>
      <c r="K2782" s="3">
        <v>2004</v>
      </c>
      <c r="L2782" s="3" t="str">
        <f t="shared" si="175"/>
        <v>Feb-2004</v>
      </c>
      <c r="M2782" s="3" t="s">
        <v>566</v>
      </c>
      <c r="N2782" s="3" t="s">
        <v>362</v>
      </c>
      <c r="O2782" s="3" t="s">
        <v>32</v>
      </c>
      <c r="P2782" s="3" t="s">
        <v>33</v>
      </c>
      <c r="Q2782" s="3" t="s">
        <v>36</v>
      </c>
    </row>
    <row r="2783" spans="1:17" x14ac:dyDescent="0.25">
      <c r="A2783" s="5">
        <v>10249</v>
      </c>
      <c r="B2783" s="5">
        <v>32</v>
      </c>
      <c r="C2783" s="5">
        <v>57.61</v>
      </c>
      <c r="D2783" s="5">
        <v>1843.52</v>
      </c>
      <c r="E2783" s="5" t="str">
        <f t="shared" si="173"/>
        <v>Low</v>
      </c>
      <c r="F2783" s="5">
        <f t="shared" si="174"/>
        <v>553.05599999999993</v>
      </c>
      <c r="G2783" s="6">
        <v>38115</v>
      </c>
      <c r="H2783" s="5" t="s">
        <v>25</v>
      </c>
      <c r="I2783" s="5" t="str">
        <f t="shared" si="172"/>
        <v>Yes</v>
      </c>
      <c r="J2783" s="5" t="s">
        <v>682</v>
      </c>
      <c r="K2783" s="5">
        <v>2004</v>
      </c>
      <c r="L2783" s="5" t="str">
        <f t="shared" si="175"/>
        <v>May-2004</v>
      </c>
      <c r="M2783" s="5" t="s">
        <v>566</v>
      </c>
      <c r="N2783" s="5" t="s">
        <v>239</v>
      </c>
      <c r="O2783" s="5" t="s">
        <v>32</v>
      </c>
      <c r="P2783" s="5" t="s">
        <v>33</v>
      </c>
      <c r="Q2783" s="5" t="s">
        <v>36</v>
      </c>
    </row>
    <row r="2784" spans="1:17" x14ac:dyDescent="0.25">
      <c r="A2784" s="3">
        <v>10262</v>
      </c>
      <c r="B2784" s="3">
        <v>21</v>
      </c>
      <c r="C2784" s="3">
        <v>57.11</v>
      </c>
      <c r="D2784" s="3">
        <v>1199.31</v>
      </c>
      <c r="E2784" s="3" t="str">
        <f t="shared" si="173"/>
        <v>Low</v>
      </c>
      <c r="F2784" s="3">
        <f t="shared" si="174"/>
        <v>359.79299999999995</v>
      </c>
      <c r="G2784" s="4">
        <v>38162</v>
      </c>
      <c r="H2784" s="3" t="s">
        <v>339</v>
      </c>
      <c r="I2784" s="3" t="str">
        <f t="shared" si="172"/>
        <v>No</v>
      </c>
      <c r="J2784" s="3" t="s">
        <v>689</v>
      </c>
      <c r="K2784" s="3">
        <v>2004</v>
      </c>
      <c r="L2784" s="3" t="str">
        <f t="shared" si="175"/>
        <v>Jun-2004</v>
      </c>
      <c r="M2784" s="3" t="s">
        <v>566</v>
      </c>
      <c r="N2784" s="3" t="s">
        <v>174</v>
      </c>
      <c r="O2784" s="3" t="s">
        <v>178</v>
      </c>
      <c r="P2784" s="3" t="s">
        <v>42</v>
      </c>
      <c r="Q2784" s="3" t="s">
        <v>36</v>
      </c>
    </row>
    <row r="2785" spans="1:17" x14ac:dyDescent="0.25">
      <c r="A2785" s="5">
        <v>10274</v>
      </c>
      <c r="B2785" s="5">
        <v>32</v>
      </c>
      <c r="C2785" s="5">
        <v>58.6</v>
      </c>
      <c r="D2785" s="5">
        <v>1875.2</v>
      </c>
      <c r="E2785" s="5" t="str">
        <f t="shared" si="173"/>
        <v>Low</v>
      </c>
      <c r="F2785" s="5">
        <f t="shared" si="174"/>
        <v>562.55999999999995</v>
      </c>
      <c r="G2785" s="6">
        <v>38189</v>
      </c>
      <c r="H2785" s="5" t="s">
        <v>25</v>
      </c>
      <c r="I2785" s="5" t="str">
        <f t="shared" si="172"/>
        <v>Yes</v>
      </c>
      <c r="J2785" s="5" t="s">
        <v>683</v>
      </c>
      <c r="K2785" s="5">
        <v>2004</v>
      </c>
      <c r="L2785" s="5" t="str">
        <f t="shared" si="175"/>
        <v>Jul-2004</v>
      </c>
      <c r="M2785" s="5" t="s">
        <v>566</v>
      </c>
      <c r="N2785" s="5" t="s">
        <v>281</v>
      </c>
      <c r="O2785" s="5" t="s">
        <v>32</v>
      </c>
      <c r="P2785" s="5" t="s">
        <v>33</v>
      </c>
      <c r="Q2785" s="5" t="s">
        <v>36</v>
      </c>
    </row>
    <row r="2786" spans="1:17" x14ac:dyDescent="0.25">
      <c r="A2786" s="3">
        <v>10283</v>
      </c>
      <c r="B2786" s="3">
        <v>43</v>
      </c>
      <c r="C2786" s="3">
        <v>57.61</v>
      </c>
      <c r="D2786" s="3">
        <v>2477.23</v>
      </c>
      <c r="E2786" s="3" t="str">
        <f t="shared" si="173"/>
        <v>Medium</v>
      </c>
      <c r="F2786" s="3">
        <f t="shared" si="174"/>
        <v>743.16899999999998</v>
      </c>
      <c r="G2786" s="4">
        <v>38219</v>
      </c>
      <c r="H2786" s="3" t="s">
        <v>25</v>
      </c>
      <c r="I2786" s="3" t="str">
        <f t="shared" si="172"/>
        <v>Yes</v>
      </c>
      <c r="J2786" s="3" t="s">
        <v>684</v>
      </c>
      <c r="K2786" s="3">
        <v>2004</v>
      </c>
      <c r="L2786" s="3" t="str">
        <f t="shared" si="175"/>
        <v>Aug-2004</v>
      </c>
      <c r="M2786" s="3" t="s">
        <v>566</v>
      </c>
      <c r="N2786" s="3" t="s">
        <v>373</v>
      </c>
      <c r="O2786" s="3" t="s">
        <v>231</v>
      </c>
      <c r="P2786" s="3" t="s">
        <v>33</v>
      </c>
      <c r="Q2786" s="3" t="s">
        <v>36</v>
      </c>
    </row>
    <row r="2787" spans="1:17" x14ac:dyDescent="0.25">
      <c r="A2787" s="5">
        <v>10296</v>
      </c>
      <c r="B2787" s="5">
        <v>21</v>
      </c>
      <c r="C2787" s="5">
        <v>45.19</v>
      </c>
      <c r="D2787" s="5">
        <v>948.99</v>
      </c>
      <c r="E2787" s="5" t="str">
        <f t="shared" si="173"/>
        <v>Low</v>
      </c>
      <c r="F2787" s="5">
        <f t="shared" si="174"/>
        <v>284.697</v>
      </c>
      <c r="G2787" s="6">
        <v>38245</v>
      </c>
      <c r="H2787" s="5" t="s">
        <v>25</v>
      </c>
      <c r="I2787" s="5" t="str">
        <f t="shared" si="172"/>
        <v>Yes</v>
      </c>
      <c r="J2787" s="5" t="s">
        <v>690</v>
      </c>
      <c r="K2787" s="5">
        <v>2004</v>
      </c>
      <c r="L2787" s="5" t="str">
        <f t="shared" si="175"/>
        <v>Sep-2004</v>
      </c>
      <c r="M2787" s="5" t="s">
        <v>566</v>
      </c>
      <c r="N2787" s="5" t="s">
        <v>572</v>
      </c>
      <c r="O2787" s="5" t="s">
        <v>443</v>
      </c>
      <c r="P2787" s="5" t="s">
        <v>42</v>
      </c>
      <c r="Q2787" s="5" t="s">
        <v>36</v>
      </c>
    </row>
    <row r="2788" spans="1:17" x14ac:dyDescent="0.25">
      <c r="A2788" s="3">
        <v>10307</v>
      </c>
      <c r="B2788" s="3">
        <v>34</v>
      </c>
      <c r="C2788" s="3">
        <v>53.63</v>
      </c>
      <c r="D2788" s="3">
        <v>1823.42</v>
      </c>
      <c r="E2788" s="3" t="str">
        <f t="shared" si="173"/>
        <v>Low</v>
      </c>
      <c r="F2788" s="3">
        <f t="shared" si="174"/>
        <v>547.02599999999995</v>
      </c>
      <c r="G2788" s="4">
        <v>38274</v>
      </c>
      <c r="H2788" s="3" t="s">
        <v>25</v>
      </c>
      <c r="I2788" s="3" t="str">
        <f t="shared" si="172"/>
        <v>Yes</v>
      </c>
      <c r="J2788" s="3" t="s">
        <v>685</v>
      </c>
      <c r="K2788" s="3">
        <v>2004</v>
      </c>
      <c r="L2788" s="3" t="str">
        <f t="shared" si="175"/>
        <v>Oct-2004</v>
      </c>
      <c r="M2788" s="3" t="s">
        <v>566</v>
      </c>
      <c r="N2788" s="3" t="s">
        <v>214</v>
      </c>
      <c r="O2788" s="3" t="s">
        <v>32</v>
      </c>
      <c r="P2788" s="3" t="s">
        <v>33</v>
      </c>
      <c r="Q2788" s="3" t="s">
        <v>36</v>
      </c>
    </row>
    <row r="2789" spans="1:17" x14ac:dyDescent="0.25">
      <c r="A2789" s="5">
        <v>10316</v>
      </c>
      <c r="B2789" s="5">
        <v>34</v>
      </c>
      <c r="C2789" s="5">
        <v>43.7</v>
      </c>
      <c r="D2789" s="5">
        <v>1485.8000000000002</v>
      </c>
      <c r="E2789" s="5" t="str">
        <f t="shared" si="173"/>
        <v>Low</v>
      </c>
      <c r="F2789" s="5">
        <f t="shared" si="174"/>
        <v>445.74000000000007</v>
      </c>
      <c r="G2789" s="6">
        <v>38292</v>
      </c>
      <c r="H2789" s="5" t="s">
        <v>25</v>
      </c>
      <c r="I2789" s="5" t="str">
        <f t="shared" si="172"/>
        <v>Yes</v>
      </c>
      <c r="J2789" s="5" t="s">
        <v>686</v>
      </c>
      <c r="K2789" s="5">
        <v>2004</v>
      </c>
      <c r="L2789" s="5" t="str">
        <f t="shared" si="175"/>
        <v>Nov-2004</v>
      </c>
      <c r="M2789" s="5" t="s">
        <v>566</v>
      </c>
      <c r="N2789" s="5" t="s">
        <v>383</v>
      </c>
      <c r="O2789" s="5" t="s">
        <v>170</v>
      </c>
      <c r="P2789" s="5" t="s">
        <v>42</v>
      </c>
      <c r="Q2789" s="5" t="s">
        <v>36</v>
      </c>
    </row>
    <row r="2790" spans="1:17" x14ac:dyDescent="0.25">
      <c r="A2790" s="3">
        <v>10329</v>
      </c>
      <c r="B2790" s="3">
        <v>44</v>
      </c>
      <c r="C2790" s="3">
        <v>86.13</v>
      </c>
      <c r="D2790" s="3">
        <v>3789.72</v>
      </c>
      <c r="E2790" s="3" t="str">
        <f t="shared" si="173"/>
        <v>Medium</v>
      </c>
      <c r="F2790" s="3">
        <f t="shared" si="174"/>
        <v>1136.9159999999999</v>
      </c>
      <c r="G2790" s="4">
        <v>38306</v>
      </c>
      <c r="H2790" s="3" t="s">
        <v>25</v>
      </c>
      <c r="I2790" s="3" t="str">
        <f t="shared" si="172"/>
        <v>Yes</v>
      </c>
      <c r="J2790" s="3" t="s">
        <v>686</v>
      </c>
      <c r="K2790" s="3">
        <v>2004</v>
      </c>
      <c r="L2790" s="3" t="str">
        <f t="shared" si="175"/>
        <v>Nov-2004</v>
      </c>
      <c r="M2790" s="3" t="s">
        <v>566</v>
      </c>
      <c r="N2790" s="3" t="s">
        <v>28</v>
      </c>
      <c r="O2790" s="3" t="s">
        <v>32</v>
      </c>
      <c r="P2790" s="3" t="s">
        <v>33</v>
      </c>
      <c r="Q2790" s="3" t="s">
        <v>51</v>
      </c>
    </row>
    <row r="2791" spans="1:17" x14ac:dyDescent="0.25">
      <c r="A2791" s="5">
        <v>10339</v>
      </c>
      <c r="B2791" s="5">
        <v>27</v>
      </c>
      <c r="C2791" s="5">
        <v>76.31</v>
      </c>
      <c r="D2791" s="5">
        <v>2060.37</v>
      </c>
      <c r="E2791" s="5" t="str">
        <f t="shared" si="173"/>
        <v>Medium</v>
      </c>
      <c r="F2791" s="5">
        <f t="shared" si="174"/>
        <v>618.11099999999999</v>
      </c>
      <c r="G2791" s="6">
        <v>38314</v>
      </c>
      <c r="H2791" s="5" t="s">
        <v>25</v>
      </c>
      <c r="I2791" s="5" t="str">
        <f t="shared" si="172"/>
        <v>Yes</v>
      </c>
      <c r="J2791" s="5" t="s">
        <v>686</v>
      </c>
      <c r="K2791" s="5">
        <v>2004</v>
      </c>
      <c r="L2791" s="5" t="str">
        <f t="shared" si="175"/>
        <v>Nov-2004</v>
      </c>
      <c r="M2791" s="5" t="s">
        <v>566</v>
      </c>
      <c r="N2791" s="5" t="s">
        <v>246</v>
      </c>
      <c r="O2791" s="5" t="s">
        <v>200</v>
      </c>
      <c r="P2791" s="5" t="s">
        <v>675</v>
      </c>
      <c r="Q2791" s="5" t="s">
        <v>36</v>
      </c>
    </row>
    <row r="2792" spans="1:17" x14ac:dyDescent="0.25">
      <c r="A2792" s="3">
        <v>10352</v>
      </c>
      <c r="B2792" s="3">
        <v>49</v>
      </c>
      <c r="C2792" s="3">
        <v>52.64</v>
      </c>
      <c r="D2792" s="3">
        <v>2579.36</v>
      </c>
      <c r="E2792" s="3" t="str">
        <f t="shared" si="173"/>
        <v>Medium</v>
      </c>
      <c r="F2792" s="3">
        <f t="shared" si="174"/>
        <v>773.80799999999999</v>
      </c>
      <c r="G2792" s="4">
        <v>38324</v>
      </c>
      <c r="H2792" s="3" t="s">
        <v>25</v>
      </c>
      <c r="I2792" s="3" t="str">
        <f t="shared" si="172"/>
        <v>Yes</v>
      </c>
      <c r="J2792" s="3" t="s">
        <v>687</v>
      </c>
      <c r="K2792" s="3">
        <v>2004</v>
      </c>
      <c r="L2792" s="3" t="str">
        <f t="shared" si="175"/>
        <v>Dec-2004</v>
      </c>
      <c r="M2792" s="3" t="s">
        <v>566</v>
      </c>
      <c r="N2792" s="3" t="s">
        <v>600</v>
      </c>
      <c r="O2792" s="3" t="s">
        <v>32</v>
      </c>
      <c r="P2792" s="3" t="s">
        <v>33</v>
      </c>
      <c r="Q2792" s="3" t="s">
        <v>36</v>
      </c>
    </row>
    <row r="2793" spans="1:17" x14ac:dyDescent="0.25">
      <c r="A2793" s="5">
        <v>10361</v>
      </c>
      <c r="B2793" s="5">
        <v>23</v>
      </c>
      <c r="C2793" s="5">
        <v>95.2</v>
      </c>
      <c r="D2793" s="5">
        <v>2189.6</v>
      </c>
      <c r="E2793" s="5" t="str">
        <f t="shared" si="173"/>
        <v>Medium</v>
      </c>
      <c r="F2793" s="5">
        <f t="shared" si="174"/>
        <v>656.88</v>
      </c>
      <c r="G2793" s="6">
        <v>38338</v>
      </c>
      <c r="H2793" s="5" t="s">
        <v>25</v>
      </c>
      <c r="I2793" s="5" t="str">
        <f t="shared" si="172"/>
        <v>Yes</v>
      </c>
      <c r="J2793" s="5" t="s">
        <v>687</v>
      </c>
      <c r="K2793" s="5">
        <v>2004</v>
      </c>
      <c r="L2793" s="5" t="str">
        <f t="shared" si="175"/>
        <v>Dec-2004</v>
      </c>
      <c r="M2793" s="5" t="s">
        <v>566</v>
      </c>
      <c r="N2793" s="5" t="s">
        <v>152</v>
      </c>
      <c r="O2793" s="5" t="s">
        <v>95</v>
      </c>
      <c r="P2793" s="5" t="s">
        <v>96</v>
      </c>
      <c r="Q2793" s="5" t="s">
        <v>36</v>
      </c>
    </row>
    <row r="2794" spans="1:17" x14ac:dyDescent="0.25">
      <c r="A2794" s="3">
        <v>10373</v>
      </c>
      <c r="B2794" s="3">
        <v>25</v>
      </c>
      <c r="C2794" s="3">
        <v>64.97</v>
      </c>
      <c r="D2794" s="3">
        <v>1624.25</v>
      </c>
      <c r="E2794" s="3" t="str">
        <f t="shared" si="173"/>
        <v>Low</v>
      </c>
      <c r="F2794" s="3">
        <f t="shared" si="174"/>
        <v>487.27499999999998</v>
      </c>
      <c r="G2794" s="4">
        <v>38383</v>
      </c>
      <c r="H2794" s="3" t="s">
        <v>25</v>
      </c>
      <c r="I2794" s="3" t="str">
        <f t="shared" si="172"/>
        <v>Yes</v>
      </c>
      <c r="J2794" s="3" t="s">
        <v>549</v>
      </c>
      <c r="K2794" s="3">
        <v>2005</v>
      </c>
      <c r="L2794" s="3" t="str">
        <f t="shared" si="175"/>
        <v>Jan-2005</v>
      </c>
      <c r="M2794" s="3" t="s">
        <v>566</v>
      </c>
      <c r="N2794" s="3" t="s">
        <v>391</v>
      </c>
      <c r="O2794" s="3" t="s">
        <v>130</v>
      </c>
      <c r="P2794" s="3" t="s">
        <v>42</v>
      </c>
      <c r="Q2794" s="3" t="s">
        <v>36</v>
      </c>
    </row>
    <row r="2795" spans="1:17" x14ac:dyDescent="0.25">
      <c r="A2795" s="5">
        <v>10386</v>
      </c>
      <c r="B2795" s="5">
        <v>50</v>
      </c>
      <c r="C2795" s="5">
        <v>87.15</v>
      </c>
      <c r="D2795" s="5">
        <v>4357.5</v>
      </c>
      <c r="E2795" s="5" t="str">
        <f t="shared" si="173"/>
        <v>Medium</v>
      </c>
      <c r="F2795" s="5">
        <f t="shared" si="174"/>
        <v>1307.25</v>
      </c>
      <c r="G2795" s="6">
        <v>38412</v>
      </c>
      <c r="H2795" s="5" t="s">
        <v>408</v>
      </c>
      <c r="I2795" s="5" t="str">
        <f t="shared" si="172"/>
        <v>No</v>
      </c>
      <c r="J2795" s="5" t="s">
        <v>691</v>
      </c>
      <c r="K2795" s="5">
        <v>2005</v>
      </c>
      <c r="L2795" s="5" t="str">
        <f t="shared" si="175"/>
        <v>Mar-2005</v>
      </c>
      <c r="M2795" s="5" t="s">
        <v>566</v>
      </c>
      <c r="N2795" s="5" t="s">
        <v>174</v>
      </c>
      <c r="O2795" s="5" t="s">
        <v>178</v>
      </c>
      <c r="P2795" s="5" t="s">
        <v>42</v>
      </c>
      <c r="Q2795" s="5" t="s">
        <v>51</v>
      </c>
    </row>
    <row r="2796" spans="1:17" x14ac:dyDescent="0.25">
      <c r="A2796" s="3">
        <v>10398</v>
      </c>
      <c r="B2796" s="3">
        <v>34</v>
      </c>
      <c r="C2796" s="3">
        <v>40.22</v>
      </c>
      <c r="D2796" s="3">
        <v>1367.48</v>
      </c>
      <c r="E2796" s="3" t="str">
        <f t="shared" si="173"/>
        <v>Low</v>
      </c>
      <c r="F2796" s="3">
        <f t="shared" si="174"/>
        <v>410.24399999999997</v>
      </c>
      <c r="G2796" s="4">
        <v>38441</v>
      </c>
      <c r="H2796" s="3" t="s">
        <v>25</v>
      </c>
      <c r="I2796" s="3" t="str">
        <f t="shared" si="172"/>
        <v>Yes</v>
      </c>
      <c r="J2796" s="3" t="s">
        <v>691</v>
      </c>
      <c r="K2796" s="3">
        <v>2005</v>
      </c>
      <c r="L2796" s="3" t="str">
        <f t="shared" si="175"/>
        <v>Mar-2005</v>
      </c>
      <c r="M2796" s="3" t="s">
        <v>566</v>
      </c>
      <c r="N2796" s="3" t="s">
        <v>37</v>
      </c>
      <c r="O2796" s="3" t="s">
        <v>41</v>
      </c>
      <c r="P2796" s="3" t="s">
        <v>42</v>
      </c>
      <c r="Q2796" s="3" t="s">
        <v>36</v>
      </c>
    </row>
    <row r="2797" spans="1:17" x14ac:dyDescent="0.25">
      <c r="A2797" s="5">
        <v>10400</v>
      </c>
      <c r="B2797" s="5">
        <v>20</v>
      </c>
      <c r="C2797" s="5">
        <v>56.12</v>
      </c>
      <c r="D2797" s="5">
        <v>1122.3999999999999</v>
      </c>
      <c r="E2797" s="5" t="str">
        <f t="shared" si="173"/>
        <v>Low</v>
      </c>
      <c r="F2797" s="5">
        <f t="shared" si="174"/>
        <v>336.71999999999997</v>
      </c>
      <c r="G2797" s="6">
        <v>38443</v>
      </c>
      <c r="H2797" s="5" t="s">
        <v>25</v>
      </c>
      <c r="I2797" s="5" t="str">
        <f t="shared" si="172"/>
        <v>Yes</v>
      </c>
      <c r="J2797" s="5" t="s">
        <v>688</v>
      </c>
      <c r="K2797" s="5">
        <v>2005</v>
      </c>
      <c r="L2797" s="5" t="str">
        <f t="shared" si="175"/>
        <v>Apr-2005</v>
      </c>
      <c r="M2797" s="5" t="s">
        <v>566</v>
      </c>
      <c r="N2797" s="5" t="s">
        <v>397</v>
      </c>
      <c r="O2797" s="5" t="s">
        <v>32</v>
      </c>
      <c r="P2797" s="5" t="s">
        <v>33</v>
      </c>
      <c r="Q2797" s="5" t="s">
        <v>36</v>
      </c>
    </row>
    <row r="2798" spans="1:17" x14ac:dyDescent="0.25">
      <c r="A2798" s="3">
        <v>10415</v>
      </c>
      <c r="B2798" s="3">
        <v>42</v>
      </c>
      <c r="C2798" s="3">
        <v>57.61</v>
      </c>
      <c r="D2798" s="3">
        <v>2419.62</v>
      </c>
      <c r="E2798" s="3" t="str">
        <f t="shared" si="173"/>
        <v>Medium</v>
      </c>
      <c r="F2798" s="3">
        <f t="shared" si="174"/>
        <v>725.88599999999997</v>
      </c>
      <c r="G2798" s="4">
        <v>38481</v>
      </c>
      <c r="H2798" s="3" t="s">
        <v>173</v>
      </c>
      <c r="I2798" s="3" t="str">
        <f t="shared" si="172"/>
        <v>No</v>
      </c>
      <c r="J2798" s="3" t="s">
        <v>682</v>
      </c>
      <c r="K2798" s="3">
        <v>2005</v>
      </c>
      <c r="L2798" s="3" t="str">
        <f t="shared" si="175"/>
        <v>May-2005</v>
      </c>
      <c r="M2798" s="3" t="s">
        <v>566</v>
      </c>
      <c r="N2798" s="3" t="s">
        <v>558</v>
      </c>
      <c r="O2798" s="3" t="s">
        <v>95</v>
      </c>
      <c r="P2798" s="3" t="s">
        <v>96</v>
      </c>
      <c r="Q2798" s="3" t="s">
        <v>36</v>
      </c>
    </row>
    <row r="2799" spans="1:17" x14ac:dyDescent="0.25">
      <c r="A2799" s="5">
        <v>10105</v>
      </c>
      <c r="B2799" s="5">
        <v>25</v>
      </c>
      <c r="C2799" s="5">
        <v>56.78</v>
      </c>
      <c r="D2799" s="5">
        <v>1419.5</v>
      </c>
      <c r="E2799" s="5" t="str">
        <f t="shared" si="173"/>
        <v>Low</v>
      </c>
      <c r="F2799" s="5">
        <f t="shared" si="174"/>
        <v>425.84999999999997</v>
      </c>
      <c r="G2799" s="6">
        <v>37663</v>
      </c>
      <c r="H2799" s="5" t="s">
        <v>25</v>
      </c>
      <c r="I2799" s="5" t="str">
        <f t="shared" si="172"/>
        <v>Yes</v>
      </c>
      <c r="J2799" s="5" t="s">
        <v>681</v>
      </c>
      <c r="K2799" s="5">
        <v>2003</v>
      </c>
      <c r="L2799" s="5" t="str">
        <f t="shared" si="175"/>
        <v>Feb-2003</v>
      </c>
      <c r="M2799" s="5" t="s">
        <v>598</v>
      </c>
      <c r="N2799" s="5" t="s">
        <v>322</v>
      </c>
      <c r="O2799" s="5" t="s">
        <v>326</v>
      </c>
      <c r="P2799" s="5" t="s">
        <v>42</v>
      </c>
      <c r="Q2799" s="5" t="s">
        <v>36</v>
      </c>
    </row>
    <row r="2800" spans="1:17" x14ac:dyDescent="0.25">
      <c r="A2800" s="3">
        <v>10117</v>
      </c>
      <c r="B2800" s="3">
        <v>50</v>
      </c>
      <c r="C2800" s="3">
        <v>43.68</v>
      </c>
      <c r="D2800" s="3">
        <v>2184</v>
      </c>
      <c r="E2800" s="3" t="str">
        <f t="shared" si="173"/>
        <v>Medium</v>
      </c>
      <c r="F2800" s="3">
        <f t="shared" si="174"/>
        <v>655.19999999999993</v>
      </c>
      <c r="G2800" s="4">
        <v>37727</v>
      </c>
      <c r="H2800" s="3" t="s">
        <v>25</v>
      </c>
      <c r="I2800" s="3" t="str">
        <f t="shared" si="172"/>
        <v>Yes</v>
      </c>
      <c r="J2800" s="3" t="s">
        <v>688</v>
      </c>
      <c r="K2800" s="3">
        <v>2003</v>
      </c>
      <c r="L2800" s="3" t="str">
        <f t="shared" si="175"/>
        <v>Apr-2003</v>
      </c>
      <c r="M2800" s="3" t="s">
        <v>598</v>
      </c>
      <c r="N2800" s="3" t="s">
        <v>196</v>
      </c>
      <c r="O2800" s="3" t="s">
        <v>199</v>
      </c>
      <c r="P2800" s="3" t="s">
        <v>675</v>
      </c>
      <c r="Q2800" s="3" t="s">
        <v>36</v>
      </c>
    </row>
    <row r="2801" spans="1:17" x14ac:dyDescent="0.25">
      <c r="A2801" s="5">
        <v>10129</v>
      </c>
      <c r="B2801" s="5">
        <v>32</v>
      </c>
      <c r="C2801" s="5">
        <v>64.97</v>
      </c>
      <c r="D2801" s="5">
        <v>2079.04</v>
      </c>
      <c r="E2801" s="5" t="str">
        <f t="shared" si="173"/>
        <v>Medium</v>
      </c>
      <c r="F2801" s="5">
        <f t="shared" si="174"/>
        <v>623.71199999999999</v>
      </c>
      <c r="G2801" s="6">
        <v>37784</v>
      </c>
      <c r="H2801" s="5" t="s">
        <v>25</v>
      </c>
      <c r="I2801" s="5" t="str">
        <f t="shared" si="172"/>
        <v>Yes</v>
      </c>
      <c r="J2801" s="5" t="s">
        <v>689</v>
      </c>
      <c r="K2801" s="5">
        <v>2003</v>
      </c>
      <c r="L2801" s="5" t="str">
        <f t="shared" si="175"/>
        <v>Jun-2003</v>
      </c>
      <c r="M2801" s="5" t="s">
        <v>598</v>
      </c>
      <c r="N2801" s="5" t="s">
        <v>329</v>
      </c>
      <c r="O2801" s="5" t="s">
        <v>170</v>
      </c>
      <c r="P2801" s="5" t="s">
        <v>42</v>
      </c>
      <c r="Q2801" s="5" t="s">
        <v>36</v>
      </c>
    </row>
    <row r="2802" spans="1:17" x14ac:dyDescent="0.25">
      <c r="A2802" s="3">
        <v>10142</v>
      </c>
      <c r="B2802" s="3">
        <v>39</v>
      </c>
      <c r="C2802" s="3">
        <v>44.23</v>
      </c>
      <c r="D2802" s="3">
        <v>1724.9699999999998</v>
      </c>
      <c r="E2802" s="3" t="str">
        <f t="shared" si="173"/>
        <v>Low</v>
      </c>
      <c r="F2802" s="3">
        <f t="shared" si="174"/>
        <v>517.49099999999987</v>
      </c>
      <c r="G2802" s="4">
        <v>37841</v>
      </c>
      <c r="H2802" s="3" t="s">
        <v>25</v>
      </c>
      <c r="I2802" s="3" t="str">
        <f t="shared" si="172"/>
        <v>Yes</v>
      </c>
      <c r="J2802" s="3" t="s">
        <v>684</v>
      </c>
      <c r="K2802" s="3">
        <v>2003</v>
      </c>
      <c r="L2802" s="3" t="str">
        <f t="shared" si="175"/>
        <v>Aug-2003</v>
      </c>
      <c r="M2802" s="3" t="s">
        <v>598</v>
      </c>
      <c r="N2802" s="3" t="s">
        <v>272</v>
      </c>
      <c r="O2802" s="3" t="s">
        <v>32</v>
      </c>
      <c r="P2802" s="3" t="s">
        <v>33</v>
      </c>
      <c r="Q2802" s="3" t="s">
        <v>36</v>
      </c>
    </row>
    <row r="2803" spans="1:17" x14ac:dyDescent="0.25">
      <c r="A2803" s="5">
        <v>10153</v>
      </c>
      <c r="B2803" s="5">
        <v>50</v>
      </c>
      <c r="C2803" s="5">
        <v>60.06</v>
      </c>
      <c r="D2803" s="5">
        <v>3003</v>
      </c>
      <c r="E2803" s="5" t="str">
        <f t="shared" si="173"/>
        <v>Medium</v>
      </c>
      <c r="F2803" s="5">
        <f t="shared" si="174"/>
        <v>900.9</v>
      </c>
      <c r="G2803" s="6">
        <v>37892</v>
      </c>
      <c r="H2803" s="5" t="s">
        <v>25</v>
      </c>
      <c r="I2803" s="5" t="str">
        <f t="shared" si="172"/>
        <v>Yes</v>
      </c>
      <c r="J2803" s="5" t="s">
        <v>690</v>
      </c>
      <c r="K2803" s="5">
        <v>2003</v>
      </c>
      <c r="L2803" s="5" t="str">
        <f t="shared" si="175"/>
        <v>Sep-2003</v>
      </c>
      <c r="M2803" s="5" t="s">
        <v>598</v>
      </c>
      <c r="N2803" s="5" t="s">
        <v>174</v>
      </c>
      <c r="O2803" s="5" t="s">
        <v>178</v>
      </c>
      <c r="P2803" s="5" t="s">
        <v>42</v>
      </c>
      <c r="Q2803" s="5" t="s">
        <v>51</v>
      </c>
    </row>
    <row r="2804" spans="1:17" x14ac:dyDescent="0.25">
      <c r="A2804" s="3">
        <v>10167</v>
      </c>
      <c r="B2804" s="3">
        <v>38</v>
      </c>
      <c r="C2804" s="3">
        <v>48.59</v>
      </c>
      <c r="D2804" s="3">
        <v>1846.42</v>
      </c>
      <c r="E2804" s="3" t="str">
        <f t="shared" si="173"/>
        <v>Low</v>
      </c>
      <c r="F2804" s="3">
        <f t="shared" si="174"/>
        <v>553.92600000000004</v>
      </c>
      <c r="G2804" s="4">
        <v>37917</v>
      </c>
      <c r="H2804" s="3" t="s">
        <v>339</v>
      </c>
      <c r="I2804" s="3" t="str">
        <f t="shared" si="172"/>
        <v>No</v>
      </c>
      <c r="J2804" s="3" t="s">
        <v>685</v>
      </c>
      <c r="K2804" s="3">
        <v>2003</v>
      </c>
      <c r="L2804" s="3" t="str">
        <f t="shared" si="175"/>
        <v>Oct-2003</v>
      </c>
      <c r="M2804" s="3" t="s">
        <v>598</v>
      </c>
      <c r="N2804" s="3" t="s">
        <v>261</v>
      </c>
      <c r="O2804" s="3" t="s">
        <v>188</v>
      </c>
      <c r="P2804" s="3" t="s">
        <v>42</v>
      </c>
      <c r="Q2804" s="3" t="s">
        <v>36</v>
      </c>
    </row>
    <row r="2805" spans="1:17" x14ac:dyDescent="0.25">
      <c r="A2805" s="5">
        <v>10177</v>
      </c>
      <c r="B2805" s="5">
        <v>40</v>
      </c>
      <c r="C2805" s="5">
        <v>50.23</v>
      </c>
      <c r="D2805" s="5">
        <v>2009.1999999999998</v>
      </c>
      <c r="E2805" s="5" t="str">
        <f t="shared" si="173"/>
        <v>Medium</v>
      </c>
      <c r="F2805" s="5">
        <f t="shared" si="174"/>
        <v>602.75999999999988</v>
      </c>
      <c r="G2805" s="6">
        <v>37932</v>
      </c>
      <c r="H2805" s="5" t="s">
        <v>25</v>
      </c>
      <c r="I2805" s="5" t="str">
        <f t="shared" si="172"/>
        <v>Yes</v>
      </c>
      <c r="J2805" s="5" t="s">
        <v>686</v>
      </c>
      <c r="K2805" s="5">
        <v>2003</v>
      </c>
      <c r="L2805" s="5" t="str">
        <f t="shared" si="175"/>
        <v>Nov-2003</v>
      </c>
      <c r="M2805" s="5" t="s">
        <v>598</v>
      </c>
      <c r="N2805" s="5" t="s">
        <v>487</v>
      </c>
      <c r="O2805" s="5" t="s">
        <v>178</v>
      </c>
      <c r="P2805" s="5" t="s">
        <v>42</v>
      </c>
      <c r="Q2805" s="5" t="s">
        <v>36</v>
      </c>
    </row>
    <row r="2806" spans="1:17" x14ac:dyDescent="0.25">
      <c r="A2806" s="3">
        <v>10185</v>
      </c>
      <c r="B2806" s="3">
        <v>28</v>
      </c>
      <c r="C2806" s="3">
        <v>64.430000000000007</v>
      </c>
      <c r="D2806" s="3">
        <v>1804.0400000000002</v>
      </c>
      <c r="E2806" s="3" t="str">
        <f t="shared" si="173"/>
        <v>Low</v>
      </c>
      <c r="F2806" s="3">
        <f t="shared" si="174"/>
        <v>541.21199999999999</v>
      </c>
      <c r="G2806" s="4">
        <v>37939</v>
      </c>
      <c r="H2806" s="3" t="s">
        <v>25</v>
      </c>
      <c r="I2806" s="3" t="str">
        <f t="shared" si="172"/>
        <v>Yes</v>
      </c>
      <c r="J2806" s="3" t="s">
        <v>686</v>
      </c>
      <c r="K2806" s="3">
        <v>2003</v>
      </c>
      <c r="L2806" s="3" t="str">
        <f t="shared" si="175"/>
        <v>Nov-2003</v>
      </c>
      <c r="M2806" s="3" t="s">
        <v>598</v>
      </c>
      <c r="N2806" s="3" t="s">
        <v>335</v>
      </c>
      <c r="O2806" s="3" t="s">
        <v>32</v>
      </c>
      <c r="P2806" s="3" t="s">
        <v>33</v>
      </c>
      <c r="Q2806" s="3" t="s">
        <v>36</v>
      </c>
    </row>
    <row r="2807" spans="1:17" x14ac:dyDescent="0.25">
      <c r="A2807" s="5">
        <v>10197</v>
      </c>
      <c r="B2807" s="5">
        <v>42</v>
      </c>
      <c r="C2807" s="5">
        <v>50.23</v>
      </c>
      <c r="D2807" s="5">
        <v>2109.66</v>
      </c>
      <c r="E2807" s="5" t="str">
        <f t="shared" si="173"/>
        <v>Medium</v>
      </c>
      <c r="F2807" s="5">
        <f t="shared" si="174"/>
        <v>632.89799999999991</v>
      </c>
      <c r="G2807" s="6">
        <v>37951</v>
      </c>
      <c r="H2807" s="5" t="s">
        <v>25</v>
      </c>
      <c r="I2807" s="5" t="str">
        <f t="shared" si="172"/>
        <v>Yes</v>
      </c>
      <c r="J2807" s="5" t="s">
        <v>686</v>
      </c>
      <c r="K2807" s="5">
        <v>2003</v>
      </c>
      <c r="L2807" s="5" t="str">
        <f t="shared" si="175"/>
        <v>Nov-2003</v>
      </c>
      <c r="M2807" s="5" t="s">
        <v>598</v>
      </c>
      <c r="N2807" s="5" t="s">
        <v>352</v>
      </c>
      <c r="O2807" s="5" t="s">
        <v>178</v>
      </c>
      <c r="P2807" s="5" t="s">
        <v>42</v>
      </c>
      <c r="Q2807" s="5" t="s">
        <v>36</v>
      </c>
    </row>
    <row r="2808" spans="1:17" x14ac:dyDescent="0.25">
      <c r="A2808" s="3">
        <v>10208</v>
      </c>
      <c r="B2808" s="3">
        <v>42</v>
      </c>
      <c r="C2808" s="3">
        <v>63.88</v>
      </c>
      <c r="D2808" s="3">
        <v>2682.96</v>
      </c>
      <c r="E2808" s="3" t="str">
        <f t="shared" si="173"/>
        <v>Medium</v>
      </c>
      <c r="F2808" s="3">
        <f t="shared" si="174"/>
        <v>804.88800000000003</v>
      </c>
      <c r="G2808" s="4">
        <v>37988</v>
      </c>
      <c r="H2808" s="3" t="s">
        <v>25</v>
      </c>
      <c r="I2808" s="3" t="str">
        <f t="shared" si="172"/>
        <v>Yes</v>
      </c>
      <c r="J2808" s="3" t="s">
        <v>549</v>
      </c>
      <c r="K2808" s="3">
        <v>2004</v>
      </c>
      <c r="L2808" s="3" t="str">
        <f t="shared" si="175"/>
        <v>Jan-2004</v>
      </c>
      <c r="M2808" s="3" t="s">
        <v>598</v>
      </c>
      <c r="N2808" s="3" t="s">
        <v>219</v>
      </c>
      <c r="O2808" s="3" t="s">
        <v>41</v>
      </c>
      <c r="P2808" s="3" t="s">
        <v>42</v>
      </c>
      <c r="Q2808" s="3" t="s">
        <v>36</v>
      </c>
    </row>
    <row r="2809" spans="1:17" x14ac:dyDescent="0.25">
      <c r="A2809" s="5">
        <v>10222</v>
      </c>
      <c r="B2809" s="5">
        <v>36</v>
      </c>
      <c r="C2809" s="5">
        <v>63.34</v>
      </c>
      <c r="D2809" s="5">
        <v>2280.2400000000002</v>
      </c>
      <c r="E2809" s="5" t="str">
        <f t="shared" si="173"/>
        <v>Medium</v>
      </c>
      <c r="F2809" s="5">
        <f t="shared" si="174"/>
        <v>684.072</v>
      </c>
      <c r="G2809" s="6">
        <v>38036</v>
      </c>
      <c r="H2809" s="5" t="s">
        <v>25</v>
      </c>
      <c r="I2809" s="5" t="str">
        <f t="shared" si="172"/>
        <v>Yes</v>
      </c>
      <c r="J2809" s="5" t="s">
        <v>681</v>
      </c>
      <c r="K2809" s="5">
        <v>2004</v>
      </c>
      <c r="L2809" s="5" t="str">
        <f t="shared" si="175"/>
        <v>Feb-2004</v>
      </c>
      <c r="M2809" s="5" t="s">
        <v>598</v>
      </c>
      <c r="N2809" s="5" t="s">
        <v>362</v>
      </c>
      <c r="O2809" s="5" t="s">
        <v>32</v>
      </c>
      <c r="P2809" s="5" t="s">
        <v>33</v>
      </c>
      <c r="Q2809" s="5" t="s">
        <v>36</v>
      </c>
    </row>
    <row r="2810" spans="1:17" x14ac:dyDescent="0.25">
      <c r="A2810" s="3">
        <v>10232</v>
      </c>
      <c r="B2810" s="3">
        <v>24</v>
      </c>
      <c r="C2810" s="3">
        <v>49.69</v>
      </c>
      <c r="D2810" s="3">
        <v>1192.56</v>
      </c>
      <c r="E2810" s="3" t="str">
        <f t="shared" si="173"/>
        <v>Low</v>
      </c>
      <c r="F2810" s="3">
        <f t="shared" si="174"/>
        <v>357.76799999999997</v>
      </c>
      <c r="G2810" s="4">
        <v>38066</v>
      </c>
      <c r="H2810" s="3" t="s">
        <v>25</v>
      </c>
      <c r="I2810" s="3" t="str">
        <f t="shared" si="172"/>
        <v>Yes</v>
      </c>
      <c r="J2810" s="3" t="s">
        <v>691</v>
      </c>
      <c r="K2810" s="3">
        <v>2004</v>
      </c>
      <c r="L2810" s="3" t="str">
        <f t="shared" si="175"/>
        <v>Mar-2004</v>
      </c>
      <c r="M2810" s="3" t="s">
        <v>598</v>
      </c>
      <c r="N2810" s="3" t="s">
        <v>383</v>
      </c>
      <c r="O2810" s="3" t="s">
        <v>170</v>
      </c>
      <c r="P2810" s="3" t="s">
        <v>42</v>
      </c>
      <c r="Q2810" s="3" t="s">
        <v>36</v>
      </c>
    </row>
    <row r="2811" spans="1:17" x14ac:dyDescent="0.25">
      <c r="A2811" s="5">
        <v>10248</v>
      </c>
      <c r="B2811" s="5">
        <v>23</v>
      </c>
      <c r="C2811" s="5">
        <v>65.52</v>
      </c>
      <c r="D2811" s="5">
        <v>1506.9599999999998</v>
      </c>
      <c r="E2811" s="5" t="str">
        <f t="shared" si="173"/>
        <v>Low</v>
      </c>
      <c r="F2811" s="5">
        <f t="shared" si="174"/>
        <v>452.08799999999991</v>
      </c>
      <c r="G2811" s="6">
        <v>38114</v>
      </c>
      <c r="H2811" s="5" t="s">
        <v>339</v>
      </c>
      <c r="I2811" s="5" t="str">
        <f t="shared" si="172"/>
        <v>No</v>
      </c>
      <c r="J2811" s="5" t="s">
        <v>682</v>
      </c>
      <c r="K2811" s="5">
        <v>2004</v>
      </c>
      <c r="L2811" s="5" t="str">
        <f t="shared" si="175"/>
        <v>May-2004</v>
      </c>
      <c r="M2811" s="5" t="s">
        <v>598</v>
      </c>
      <c r="N2811" s="5" t="s">
        <v>28</v>
      </c>
      <c r="O2811" s="5" t="s">
        <v>32</v>
      </c>
      <c r="P2811" s="5" t="s">
        <v>33</v>
      </c>
      <c r="Q2811" s="5" t="s">
        <v>36</v>
      </c>
    </row>
    <row r="2812" spans="1:17" x14ac:dyDescent="0.25">
      <c r="A2812" s="3">
        <v>10261</v>
      </c>
      <c r="B2812" s="3">
        <v>29</v>
      </c>
      <c r="C2812" s="3">
        <v>50.78</v>
      </c>
      <c r="D2812" s="3">
        <v>1472.6200000000001</v>
      </c>
      <c r="E2812" s="3" t="str">
        <f t="shared" si="173"/>
        <v>Low</v>
      </c>
      <c r="F2812" s="3">
        <f t="shared" si="174"/>
        <v>441.786</v>
      </c>
      <c r="G2812" s="4">
        <v>38155</v>
      </c>
      <c r="H2812" s="3" t="s">
        <v>25</v>
      </c>
      <c r="I2812" s="3" t="str">
        <f t="shared" si="172"/>
        <v>Yes</v>
      </c>
      <c r="J2812" s="3" t="s">
        <v>689</v>
      </c>
      <c r="K2812" s="3">
        <v>2004</v>
      </c>
      <c r="L2812" s="3" t="str">
        <f t="shared" si="175"/>
        <v>Jun-2004</v>
      </c>
      <c r="M2812" s="3" t="s">
        <v>598</v>
      </c>
      <c r="N2812" s="3" t="s">
        <v>292</v>
      </c>
      <c r="O2812" s="3" t="s">
        <v>231</v>
      </c>
      <c r="P2812" s="3" t="s">
        <v>33</v>
      </c>
      <c r="Q2812" s="3" t="s">
        <v>36</v>
      </c>
    </row>
    <row r="2813" spans="1:17" x14ac:dyDescent="0.25">
      <c r="A2813" s="5">
        <v>10273</v>
      </c>
      <c r="B2813" s="5">
        <v>37</v>
      </c>
      <c r="C2813" s="5">
        <v>45.86</v>
      </c>
      <c r="D2813" s="5">
        <v>1696.82</v>
      </c>
      <c r="E2813" s="5" t="str">
        <f t="shared" si="173"/>
        <v>Low</v>
      </c>
      <c r="F2813" s="5">
        <f t="shared" si="174"/>
        <v>509.04599999999994</v>
      </c>
      <c r="G2813" s="6">
        <v>38189</v>
      </c>
      <c r="H2813" s="5" t="s">
        <v>25</v>
      </c>
      <c r="I2813" s="5" t="str">
        <f t="shared" si="172"/>
        <v>Yes</v>
      </c>
      <c r="J2813" s="5" t="s">
        <v>683</v>
      </c>
      <c r="K2813" s="5">
        <v>2004</v>
      </c>
      <c r="L2813" s="5" t="str">
        <f t="shared" si="175"/>
        <v>Jul-2004</v>
      </c>
      <c r="M2813" s="5" t="s">
        <v>598</v>
      </c>
      <c r="N2813" s="5" t="s">
        <v>365</v>
      </c>
      <c r="O2813" s="5" t="s">
        <v>370</v>
      </c>
      <c r="P2813" s="5" t="s">
        <v>42</v>
      </c>
      <c r="Q2813" s="5" t="s">
        <v>36</v>
      </c>
    </row>
    <row r="2814" spans="1:17" x14ac:dyDescent="0.25">
      <c r="A2814" s="3">
        <v>10283</v>
      </c>
      <c r="B2814" s="3">
        <v>33</v>
      </c>
      <c r="C2814" s="3">
        <v>51.32</v>
      </c>
      <c r="D2814" s="3">
        <v>1693.56</v>
      </c>
      <c r="E2814" s="3" t="str">
        <f t="shared" si="173"/>
        <v>Low</v>
      </c>
      <c r="F2814" s="3">
        <f t="shared" si="174"/>
        <v>508.06799999999998</v>
      </c>
      <c r="G2814" s="4">
        <v>38219</v>
      </c>
      <c r="H2814" s="3" t="s">
        <v>25</v>
      </c>
      <c r="I2814" s="3" t="str">
        <f t="shared" si="172"/>
        <v>Yes</v>
      </c>
      <c r="J2814" s="3" t="s">
        <v>684</v>
      </c>
      <c r="K2814" s="3">
        <v>2004</v>
      </c>
      <c r="L2814" s="3" t="str">
        <f t="shared" si="175"/>
        <v>Aug-2004</v>
      </c>
      <c r="M2814" s="3" t="s">
        <v>598</v>
      </c>
      <c r="N2814" s="3" t="s">
        <v>373</v>
      </c>
      <c r="O2814" s="3" t="s">
        <v>231</v>
      </c>
      <c r="P2814" s="3" t="s">
        <v>33</v>
      </c>
      <c r="Q2814" s="3" t="s">
        <v>36</v>
      </c>
    </row>
    <row r="2815" spans="1:17" x14ac:dyDescent="0.25">
      <c r="A2815" s="5">
        <v>10293</v>
      </c>
      <c r="B2815" s="5">
        <v>32</v>
      </c>
      <c r="C2815" s="5">
        <v>60.06</v>
      </c>
      <c r="D2815" s="5">
        <v>1921.92</v>
      </c>
      <c r="E2815" s="5" t="str">
        <f t="shared" si="173"/>
        <v>Low</v>
      </c>
      <c r="F2815" s="5">
        <f t="shared" si="174"/>
        <v>576.57600000000002</v>
      </c>
      <c r="G2815" s="6">
        <v>38239</v>
      </c>
      <c r="H2815" s="5" t="s">
        <v>25</v>
      </c>
      <c r="I2815" s="5" t="str">
        <f t="shared" si="172"/>
        <v>Yes</v>
      </c>
      <c r="J2815" s="5" t="s">
        <v>690</v>
      </c>
      <c r="K2815" s="5">
        <v>2004</v>
      </c>
      <c r="L2815" s="5" t="str">
        <f t="shared" si="175"/>
        <v>Sep-2004</v>
      </c>
      <c r="M2815" s="5" t="s">
        <v>598</v>
      </c>
      <c r="N2815" s="5" t="s">
        <v>254</v>
      </c>
      <c r="O2815" s="5" t="s">
        <v>258</v>
      </c>
      <c r="P2815" s="5" t="s">
        <v>42</v>
      </c>
      <c r="Q2815" s="5" t="s">
        <v>36</v>
      </c>
    </row>
    <row r="2816" spans="1:17" x14ac:dyDescent="0.25">
      <c r="A2816" s="3">
        <v>10306</v>
      </c>
      <c r="B2816" s="3">
        <v>35</v>
      </c>
      <c r="C2816" s="3">
        <v>59.51</v>
      </c>
      <c r="D2816" s="3">
        <v>2082.85</v>
      </c>
      <c r="E2816" s="3" t="str">
        <f t="shared" si="173"/>
        <v>Medium</v>
      </c>
      <c r="F2816" s="3">
        <f t="shared" si="174"/>
        <v>624.8549999999999</v>
      </c>
      <c r="G2816" s="4">
        <v>38274</v>
      </c>
      <c r="H2816" s="3" t="s">
        <v>25</v>
      </c>
      <c r="I2816" s="3" t="str">
        <f t="shared" si="172"/>
        <v>Yes</v>
      </c>
      <c r="J2816" s="3" t="s">
        <v>685</v>
      </c>
      <c r="K2816" s="3">
        <v>2004</v>
      </c>
      <c r="L2816" s="3" t="str">
        <f t="shared" si="175"/>
        <v>Oct-2004</v>
      </c>
      <c r="M2816" s="3" t="s">
        <v>598</v>
      </c>
      <c r="N2816" s="3" t="s">
        <v>492</v>
      </c>
      <c r="O2816" s="3" t="s">
        <v>170</v>
      </c>
      <c r="P2816" s="3" t="s">
        <v>42</v>
      </c>
      <c r="Q2816" s="3" t="s">
        <v>36</v>
      </c>
    </row>
    <row r="2817" spans="1:17" x14ac:dyDescent="0.25">
      <c r="A2817" s="5">
        <v>10315</v>
      </c>
      <c r="B2817" s="5">
        <v>40</v>
      </c>
      <c r="C2817" s="5">
        <v>55.69</v>
      </c>
      <c r="D2817" s="5">
        <v>2227.6</v>
      </c>
      <c r="E2817" s="5" t="str">
        <f t="shared" si="173"/>
        <v>Medium</v>
      </c>
      <c r="F2817" s="5">
        <f t="shared" si="174"/>
        <v>668.28</v>
      </c>
      <c r="G2817" s="6">
        <v>38289</v>
      </c>
      <c r="H2817" s="5" t="s">
        <v>25</v>
      </c>
      <c r="I2817" s="5" t="str">
        <f t="shared" si="172"/>
        <v>Yes</v>
      </c>
      <c r="J2817" s="5" t="s">
        <v>685</v>
      </c>
      <c r="K2817" s="5">
        <v>2004</v>
      </c>
      <c r="L2817" s="5" t="str">
        <f t="shared" si="175"/>
        <v>Oct-2004</v>
      </c>
      <c r="M2817" s="5" t="s">
        <v>598</v>
      </c>
      <c r="N2817" s="5" t="s">
        <v>114</v>
      </c>
      <c r="O2817" s="5" t="s">
        <v>41</v>
      </c>
      <c r="P2817" s="5" t="s">
        <v>42</v>
      </c>
      <c r="Q2817" s="5" t="s">
        <v>36</v>
      </c>
    </row>
    <row r="2818" spans="1:17" x14ac:dyDescent="0.25">
      <c r="A2818" s="3">
        <v>10327</v>
      </c>
      <c r="B2818" s="3">
        <v>37</v>
      </c>
      <c r="C2818" s="3">
        <v>86.74</v>
      </c>
      <c r="D2818" s="3">
        <v>3209.3799999999997</v>
      </c>
      <c r="E2818" s="3" t="str">
        <f t="shared" si="173"/>
        <v>Medium</v>
      </c>
      <c r="F2818" s="3">
        <f t="shared" si="174"/>
        <v>962.81399999999985</v>
      </c>
      <c r="G2818" s="4">
        <v>38301</v>
      </c>
      <c r="H2818" s="3" t="s">
        <v>408</v>
      </c>
      <c r="I2818" s="3" t="str">
        <f t="shared" ref="I2818:I2824" si="176">IF(H2818="Shipped","Yes","No")</f>
        <v>No</v>
      </c>
      <c r="J2818" s="3" t="s">
        <v>686</v>
      </c>
      <c r="K2818" s="3">
        <v>2004</v>
      </c>
      <c r="L2818" s="3" t="str">
        <f t="shared" si="175"/>
        <v>Nov-2004</v>
      </c>
      <c r="M2818" s="3" t="s">
        <v>598</v>
      </c>
      <c r="N2818" s="3" t="s">
        <v>322</v>
      </c>
      <c r="O2818" s="3" t="s">
        <v>326</v>
      </c>
      <c r="P2818" s="3" t="s">
        <v>42</v>
      </c>
      <c r="Q2818" s="3" t="s">
        <v>51</v>
      </c>
    </row>
    <row r="2819" spans="1:17" x14ac:dyDescent="0.25">
      <c r="A2819" s="5">
        <v>10337</v>
      </c>
      <c r="B2819" s="5">
        <v>42</v>
      </c>
      <c r="C2819" s="5">
        <v>97.16</v>
      </c>
      <c r="D2819" s="5">
        <v>4080.72</v>
      </c>
      <c r="E2819" s="5" t="str">
        <f t="shared" ref="E2819:E2824" si="177">IF(D2819&gt;=5000,"High",IF(D2819&gt;=2000,"Medium","Low"))</f>
        <v>Medium</v>
      </c>
      <c r="F2819" s="5">
        <f t="shared" ref="F2819:F2824" si="178">(D2819*0.3)</f>
        <v>1224.2159999999999</v>
      </c>
      <c r="G2819" s="6">
        <v>38312</v>
      </c>
      <c r="H2819" s="5" t="s">
        <v>25</v>
      </c>
      <c r="I2819" s="5" t="str">
        <f t="shared" si="176"/>
        <v>Yes</v>
      </c>
      <c r="J2819" s="5" t="s">
        <v>686</v>
      </c>
      <c r="K2819" s="5">
        <v>2004</v>
      </c>
      <c r="L2819" s="5" t="str">
        <f t="shared" ref="L2819:L2824" si="179">TEXT(G:G,"MMM-YYYY")</f>
        <v>Nov-2004</v>
      </c>
      <c r="M2819" s="5" t="s">
        <v>598</v>
      </c>
      <c r="N2819" s="5" t="s">
        <v>203</v>
      </c>
      <c r="O2819" s="5" t="s">
        <v>32</v>
      </c>
      <c r="P2819" s="5" t="s">
        <v>33</v>
      </c>
      <c r="Q2819" s="5" t="s">
        <v>51</v>
      </c>
    </row>
    <row r="2820" spans="1:17" x14ac:dyDescent="0.25">
      <c r="A2820" s="3">
        <v>10350</v>
      </c>
      <c r="B2820" s="3">
        <v>20</v>
      </c>
      <c r="C2820" s="3">
        <v>100</v>
      </c>
      <c r="D2820" s="3">
        <v>2000</v>
      </c>
      <c r="E2820" s="3" t="str">
        <f t="shared" si="177"/>
        <v>Medium</v>
      </c>
      <c r="F2820" s="3">
        <f t="shared" si="178"/>
        <v>600</v>
      </c>
      <c r="G2820" s="4">
        <v>38323</v>
      </c>
      <c r="H2820" s="3" t="s">
        <v>25</v>
      </c>
      <c r="I2820" s="3" t="str">
        <f t="shared" si="176"/>
        <v>Yes</v>
      </c>
      <c r="J2820" s="3" t="s">
        <v>687</v>
      </c>
      <c r="K2820" s="3">
        <v>2004</v>
      </c>
      <c r="L2820" s="3" t="str">
        <f t="shared" si="179"/>
        <v>Dec-2004</v>
      </c>
      <c r="M2820" s="3" t="s">
        <v>598</v>
      </c>
      <c r="N2820" s="3" t="s">
        <v>174</v>
      </c>
      <c r="O2820" s="3" t="s">
        <v>178</v>
      </c>
      <c r="P2820" s="3" t="s">
        <v>42</v>
      </c>
      <c r="Q2820" s="3" t="s">
        <v>36</v>
      </c>
    </row>
    <row r="2821" spans="1:17" x14ac:dyDescent="0.25">
      <c r="A2821" s="5">
        <v>10373</v>
      </c>
      <c r="B2821" s="5">
        <v>29</v>
      </c>
      <c r="C2821" s="5">
        <v>100</v>
      </c>
      <c r="D2821" s="5">
        <v>2900</v>
      </c>
      <c r="E2821" s="5" t="str">
        <f t="shared" si="177"/>
        <v>Medium</v>
      </c>
      <c r="F2821" s="5">
        <f t="shared" si="178"/>
        <v>870</v>
      </c>
      <c r="G2821" s="6">
        <v>38383</v>
      </c>
      <c r="H2821" s="5" t="s">
        <v>25</v>
      </c>
      <c r="I2821" s="5" t="str">
        <f t="shared" si="176"/>
        <v>Yes</v>
      </c>
      <c r="J2821" s="5" t="s">
        <v>549</v>
      </c>
      <c r="K2821" s="5">
        <v>2005</v>
      </c>
      <c r="L2821" s="5" t="str">
        <f t="shared" si="179"/>
        <v>Jan-2005</v>
      </c>
      <c r="M2821" s="5" t="s">
        <v>598</v>
      </c>
      <c r="N2821" s="5" t="s">
        <v>391</v>
      </c>
      <c r="O2821" s="5" t="s">
        <v>130</v>
      </c>
      <c r="P2821" s="5" t="s">
        <v>42</v>
      </c>
      <c r="Q2821" s="5" t="s">
        <v>51</v>
      </c>
    </row>
    <row r="2822" spans="1:17" x14ac:dyDescent="0.25">
      <c r="A2822" s="3">
        <v>10386</v>
      </c>
      <c r="B2822" s="3">
        <v>43</v>
      </c>
      <c r="C2822" s="3">
        <v>100</v>
      </c>
      <c r="D2822" s="3">
        <v>4300</v>
      </c>
      <c r="E2822" s="3" t="str">
        <f t="shared" si="177"/>
        <v>Medium</v>
      </c>
      <c r="F2822" s="3">
        <f t="shared" si="178"/>
        <v>1290</v>
      </c>
      <c r="G2822" s="4">
        <v>38412</v>
      </c>
      <c r="H2822" s="3" t="s">
        <v>408</v>
      </c>
      <c r="I2822" s="3" t="str">
        <f t="shared" si="176"/>
        <v>No</v>
      </c>
      <c r="J2822" s="3" t="s">
        <v>691</v>
      </c>
      <c r="K2822" s="3">
        <v>2005</v>
      </c>
      <c r="L2822" s="3" t="str">
        <f t="shared" si="179"/>
        <v>Mar-2005</v>
      </c>
      <c r="M2822" s="3" t="s">
        <v>598</v>
      </c>
      <c r="N2822" s="3" t="s">
        <v>174</v>
      </c>
      <c r="O2822" s="3" t="s">
        <v>178</v>
      </c>
      <c r="P2822" s="3" t="s">
        <v>42</v>
      </c>
      <c r="Q2822" s="3" t="s">
        <v>51</v>
      </c>
    </row>
    <row r="2823" spans="1:17" x14ac:dyDescent="0.25">
      <c r="A2823" s="5">
        <v>10397</v>
      </c>
      <c r="B2823" s="5">
        <v>34</v>
      </c>
      <c r="C2823" s="5">
        <v>62.24</v>
      </c>
      <c r="D2823" s="5">
        <v>2116.16</v>
      </c>
      <c r="E2823" s="5" t="str">
        <f t="shared" si="177"/>
        <v>Medium</v>
      </c>
      <c r="F2823" s="5">
        <f t="shared" si="178"/>
        <v>634.84799999999996</v>
      </c>
      <c r="G2823" s="6">
        <v>38439</v>
      </c>
      <c r="H2823" s="5" t="s">
        <v>25</v>
      </c>
      <c r="I2823" s="5" t="str">
        <f t="shared" si="176"/>
        <v>Yes</v>
      </c>
      <c r="J2823" s="5" t="s">
        <v>691</v>
      </c>
      <c r="K2823" s="5">
        <v>2005</v>
      </c>
      <c r="L2823" s="5" t="str">
        <f t="shared" si="179"/>
        <v>Mar-2005</v>
      </c>
      <c r="M2823" s="5" t="s">
        <v>598</v>
      </c>
      <c r="N2823" s="5" t="s">
        <v>340</v>
      </c>
      <c r="O2823" s="5" t="s">
        <v>41</v>
      </c>
      <c r="P2823" s="5" t="s">
        <v>42</v>
      </c>
      <c r="Q2823" s="5" t="s">
        <v>36</v>
      </c>
    </row>
    <row r="2824" spans="1:17" x14ac:dyDescent="0.25">
      <c r="A2824" s="3">
        <v>10414</v>
      </c>
      <c r="B2824" s="3">
        <v>47</v>
      </c>
      <c r="C2824" s="3">
        <v>65.52</v>
      </c>
      <c r="D2824" s="3">
        <v>3079.4399999999996</v>
      </c>
      <c r="E2824" s="3" t="str">
        <f t="shared" si="177"/>
        <v>Medium</v>
      </c>
      <c r="F2824" s="3">
        <f t="shared" si="178"/>
        <v>923.83199999999988</v>
      </c>
      <c r="G2824" s="4">
        <v>38478</v>
      </c>
      <c r="H2824" s="3" t="s">
        <v>401</v>
      </c>
      <c r="I2824" s="3" t="str">
        <f t="shared" si="176"/>
        <v>No</v>
      </c>
      <c r="J2824" s="3" t="s">
        <v>682</v>
      </c>
      <c r="K2824" s="3">
        <v>2005</v>
      </c>
      <c r="L2824" s="3" t="str">
        <f t="shared" si="179"/>
        <v>May-2005</v>
      </c>
      <c r="M2824" s="3" t="s">
        <v>598</v>
      </c>
      <c r="N2824" s="3" t="s">
        <v>379</v>
      </c>
      <c r="O2824" s="3" t="s">
        <v>32</v>
      </c>
      <c r="P2824" s="3" t="s">
        <v>33</v>
      </c>
      <c r="Q2824" s="3" t="s">
        <v>51</v>
      </c>
    </row>
  </sheetData>
  <sheetProtection sheet="1" selectLockedCells="1" pivotTables="0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D35BC-9E76-42CA-B49D-F83C37919DD0}">
  <dimension ref="A3:E12"/>
  <sheetViews>
    <sheetView workbookViewId="0">
      <selection activeCell="C16" sqref="C16"/>
    </sheetView>
  </sheetViews>
  <sheetFormatPr defaultRowHeight="15" x14ac:dyDescent="0.25"/>
  <cols>
    <col min="1" max="1" width="46.140625" bestFit="1" customWidth="1"/>
    <col min="2" max="5" width="14.28515625" bestFit="1" customWidth="1"/>
  </cols>
  <sheetData>
    <row r="3" spans="1:5" ht="18.75" x14ac:dyDescent="0.3">
      <c r="A3" s="30" t="s">
        <v>710</v>
      </c>
      <c r="B3" s="26" t="s">
        <v>694</v>
      </c>
      <c r="C3" s="26"/>
      <c r="D3" s="26"/>
      <c r="E3" s="26"/>
    </row>
    <row r="4" spans="1:5" ht="15.75" x14ac:dyDescent="0.25">
      <c r="A4" s="14" t="s">
        <v>10</v>
      </c>
      <c r="B4" s="26">
        <v>2003</v>
      </c>
      <c r="C4" s="26">
        <v>2004</v>
      </c>
      <c r="D4" s="26">
        <v>2005</v>
      </c>
      <c r="E4" s="26" t="s">
        <v>692</v>
      </c>
    </row>
    <row r="5" spans="1:5" ht="15.75" x14ac:dyDescent="0.25">
      <c r="A5" s="16" t="s">
        <v>181</v>
      </c>
      <c r="B5" s="15">
        <v>1104942.24</v>
      </c>
      <c r="C5" s="15">
        <v>1335951.9299999992</v>
      </c>
      <c r="D5" s="15">
        <v>527652.23</v>
      </c>
      <c r="E5" s="15">
        <v>2968546.399999999</v>
      </c>
    </row>
    <row r="6" spans="1:5" ht="15.75" x14ac:dyDescent="0.25">
      <c r="A6" s="16" t="s">
        <v>550</v>
      </c>
      <c r="B6" s="15">
        <v>575626.41</v>
      </c>
      <c r="C6" s="15">
        <v>782194.99999999977</v>
      </c>
      <c r="D6" s="15">
        <v>286390.64000000007</v>
      </c>
      <c r="E6" s="15">
        <v>1644212.0499999998</v>
      </c>
    </row>
    <row r="7" spans="1:5" ht="15.75" x14ac:dyDescent="0.25">
      <c r="A7" s="16" t="s">
        <v>26</v>
      </c>
      <c r="B7" s="15">
        <v>310176.50999999989</v>
      </c>
      <c r="C7" s="15">
        <v>468423.82000000007</v>
      </c>
      <c r="D7" s="15">
        <v>192485.96</v>
      </c>
      <c r="E7" s="15">
        <v>971086.28999999992</v>
      </c>
    </row>
    <row r="8" spans="1:5" ht="15.75" x14ac:dyDescent="0.25">
      <c r="A8" s="16" t="s">
        <v>504</v>
      </c>
      <c r="B8" s="15">
        <v>359819.42999999993</v>
      </c>
      <c r="C8" s="15">
        <v>440763.39000000007</v>
      </c>
      <c r="D8" s="15">
        <v>146772.35999999999</v>
      </c>
      <c r="E8" s="15">
        <v>947355.18</v>
      </c>
    </row>
    <row r="9" spans="1:5" ht="15.75" x14ac:dyDescent="0.25">
      <c r="A9" s="16" t="s">
        <v>566</v>
      </c>
      <c r="B9" s="15">
        <v>242883.3</v>
      </c>
      <c r="C9" s="15">
        <v>459210.24999999977</v>
      </c>
      <c r="D9" s="15">
        <v>175848.65999999997</v>
      </c>
      <c r="E9" s="15">
        <v>877942.20999999973</v>
      </c>
    </row>
    <row r="10" spans="1:5" ht="15.75" x14ac:dyDescent="0.25">
      <c r="A10" s="16" t="s">
        <v>598</v>
      </c>
      <c r="B10" s="15">
        <v>233746.80999999997</v>
      </c>
      <c r="C10" s="15">
        <v>324998.77999999997</v>
      </c>
      <c r="D10" s="15">
        <v>119194.81</v>
      </c>
      <c r="E10" s="15">
        <v>677940.39999999991</v>
      </c>
    </row>
    <row r="11" spans="1:5" ht="15.75" x14ac:dyDescent="0.25">
      <c r="A11" s="16" t="s">
        <v>605</v>
      </c>
      <c r="B11" s="15">
        <v>70955.239999999991</v>
      </c>
      <c r="C11" s="15">
        <v>102157.7</v>
      </c>
      <c r="D11" s="15">
        <v>30691.32</v>
      </c>
      <c r="E11" s="15">
        <v>203804.26</v>
      </c>
    </row>
    <row r="12" spans="1:5" ht="15.75" x14ac:dyDescent="0.25">
      <c r="A12" s="24" t="s">
        <v>692</v>
      </c>
      <c r="B12" s="27">
        <v>2898149.9400000004</v>
      </c>
      <c r="C12" s="27">
        <v>3913700.8699999992</v>
      </c>
      <c r="D12" s="27">
        <v>1479035.98</v>
      </c>
      <c r="E12" s="27">
        <v>8290886.7899999982</v>
      </c>
    </row>
  </sheetData>
  <sheetProtection sheet="1" scenarios="1" selectLockedCells="1" pivotTables="0"/>
  <pageMargins left="0.7" right="0.7" top="0.75" bottom="0.75" header="0.3" footer="0.3"/>
  <pageSetup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F3A0B-7D31-4F3B-B939-0930F099C8E4}">
  <dimension ref="A3:E17"/>
  <sheetViews>
    <sheetView workbookViewId="0">
      <selection activeCell="I10" sqref="I10"/>
    </sheetView>
  </sheetViews>
  <sheetFormatPr defaultRowHeight="15" x14ac:dyDescent="0.25"/>
  <cols>
    <col min="1" max="1" width="48.7109375" bestFit="1" customWidth="1"/>
    <col min="2" max="5" width="14.28515625" bestFit="1" customWidth="1"/>
  </cols>
  <sheetData>
    <row r="3" spans="1:5" ht="21" x14ac:dyDescent="0.35">
      <c r="A3" s="19" t="s">
        <v>711</v>
      </c>
      <c r="B3" s="29" t="s">
        <v>694</v>
      </c>
      <c r="C3" s="29"/>
      <c r="D3" s="29"/>
      <c r="E3" s="29"/>
    </row>
    <row r="4" spans="1:5" ht="15.75" x14ac:dyDescent="0.25">
      <c r="A4" s="14" t="s">
        <v>695</v>
      </c>
      <c r="B4" s="26">
        <v>2003</v>
      </c>
      <c r="C4" s="26">
        <v>2004</v>
      </c>
      <c r="D4" s="26">
        <v>2005</v>
      </c>
      <c r="E4" s="27" t="s">
        <v>706</v>
      </c>
    </row>
    <row r="5" spans="1:5" x14ac:dyDescent="0.25">
      <c r="A5" s="9" t="s">
        <v>549</v>
      </c>
      <c r="B5" s="11">
        <v>107885.96</v>
      </c>
      <c r="C5" s="11">
        <v>268015.86999999988</v>
      </c>
      <c r="D5" s="11">
        <v>283680.46000000008</v>
      </c>
      <c r="E5" s="11">
        <v>659582.29</v>
      </c>
    </row>
    <row r="6" spans="1:5" x14ac:dyDescent="0.25">
      <c r="A6" s="9" t="s">
        <v>681</v>
      </c>
      <c r="B6" s="11">
        <v>120036.80000000002</v>
      </c>
      <c r="C6" s="11">
        <v>258389.05000000005</v>
      </c>
      <c r="D6" s="11">
        <v>289902.30000000005</v>
      </c>
      <c r="E6" s="11">
        <v>668328.15000000014</v>
      </c>
    </row>
    <row r="7" spans="1:5" x14ac:dyDescent="0.25">
      <c r="A7" s="9" t="s">
        <v>691</v>
      </c>
      <c r="B7" s="11">
        <v>144096.22999999998</v>
      </c>
      <c r="C7" s="11">
        <v>166958.55999999997</v>
      </c>
      <c r="D7" s="11">
        <v>315131.93999999994</v>
      </c>
      <c r="E7" s="11">
        <v>626186.72999999986</v>
      </c>
    </row>
    <row r="8" spans="1:5" x14ac:dyDescent="0.25">
      <c r="A8" s="9" t="s">
        <v>688</v>
      </c>
      <c r="B8" s="11">
        <v>169421.03</v>
      </c>
      <c r="C8" s="11">
        <v>172935.80000000005</v>
      </c>
      <c r="D8" s="11">
        <v>217977.63000000006</v>
      </c>
      <c r="E8" s="11">
        <v>560334.4600000002</v>
      </c>
    </row>
    <row r="9" spans="1:5" x14ac:dyDescent="0.25">
      <c r="A9" s="9" t="s">
        <v>682</v>
      </c>
      <c r="B9" s="11">
        <v>163654.12</v>
      </c>
      <c r="C9" s="11">
        <v>220815.13999999996</v>
      </c>
      <c r="D9" s="11">
        <v>372343.64999999997</v>
      </c>
      <c r="E9" s="11">
        <v>756812.90999999992</v>
      </c>
    </row>
    <row r="10" spans="1:5" x14ac:dyDescent="0.25">
      <c r="A10" s="9" t="s">
        <v>689</v>
      </c>
      <c r="B10" s="11">
        <v>139552.84</v>
      </c>
      <c r="C10" s="11">
        <v>245190.75000000006</v>
      </c>
      <c r="D10" s="11"/>
      <c r="E10" s="11">
        <v>384743.59000000008</v>
      </c>
    </row>
    <row r="11" spans="1:5" x14ac:dyDescent="0.25">
      <c r="A11" s="9" t="s">
        <v>683</v>
      </c>
      <c r="B11" s="11">
        <v>149869.72999999998</v>
      </c>
      <c r="C11" s="11">
        <v>271103.61000000004</v>
      </c>
      <c r="D11" s="11"/>
      <c r="E11" s="11">
        <v>420973.34</v>
      </c>
    </row>
    <row r="12" spans="1:5" x14ac:dyDescent="0.25">
      <c r="A12" s="9" t="s">
        <v>684</v>
      </c>
      <c r="B12" s="11">
        <v>166026.31999999992</v>
      </c>
      <c r="C12" s="11">
        <v>386106.59</v>
      </c>
      <c r="D12" s="11"/>
      <c r="E12" s="11">
        <v>552132.90999999992</v>
      </c>
    </row>
    <row r="13" spans="1:5" x14ac:dyDescent="0.25">
      <c r="A13" s="9" t="s">
        <v>690</v>
      </c>
      <c r="B13" s="11">
        <v>211045.86000000002</v>
      </c>
      <c r="C13" s="11">
        <v>263854.26</v>
      </c>
      <c r="D13" s="11"/>
      <c r="E13" s="11">
        <v>474900.12</v>
      </c>
    </row>
    <row r="14" spans="1:5" x14ac:dyDescent="0.25">
      <c r="A14" s="9" t="s">
        <v>685</v>
      </c>
      <c r="B14" s="11">
        <v>466240.57000000007</v>
      </c>
      <c r="C14" s="11">
        <v>452796.13000000012</v>
      </c>
      <c r="D14" s="11"/>
      <c r="E14" s="11">
        <v>919036.70000000019</v>
      </c>
    </row>
    <row r="15" spans="1:5" x14ac:dyDescent="0.25">
      <c r="A15" s="9" t="s">
        <v>686</v>
      </c>
      <c r="B15" s="11">
        <v>850203.27000000037</v>
      </c>
      <c r="C15" s="11">
        <v>894479.18000000017</v>
      </c>
      <c r="D15" s="11"/>
      <c r="E15" s="11">
        <v>1744682.4500000007</v>
      </c>
    </row>
    <row r="16" spans="1:5" x14ac:dyDescent="0.25">
      <c r="A16" s="9" t="s">
        <v>687</v>
      </c>
      <c r="B16" s="11">
        <v>210117.21000000002</v>
      </c>
      <c r="C16" s="11">
        <v>313055.92999999988</v>
      </c>
      <c r="D16" s="11"/>
      <c r="E16" s="11">
        <v>523173.1399999999</v>
      </c>
    </row>
    <row r="17" spans="1:5" ht="15.75" x14ac:dyDescent="0.25">
      <c r="A17" s="24" t="s">
        <v>706</v>
      </c>
      <c r="B17" s="27">
        <v>2898149.9400000004</v>
      </c>
      <c r="C17" s="27">
        <v>3913700.8699999996</v>
      </c>
      <c r="D17" s="27">
        <v>1479035.98</v>
      </c>
      <c r="E17" s="27">
        <v>8290886.79</v>
      </c>
    </row>
  </sheetData>
  <sheetProtection sheet="1" objects="1" scenarios="1" selectLockedCells="1" pivotTables="0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A8BF7-EF2E-4DF5-AC11-5B354D1289E9}">
  <dimension ref="A1:E23"/>
  <sheetViews>
    <sheetView workbookViewId="0">
      <selection activeCell="G9" sqref="G9"/>
    </sheetView>
  </sheetViews>
  <sheetFormatPr defaultRowHeight="15" x14ac:dyDescent="0.25"/>
  <cols>
    <col min="1" max="1" width="11.140625" customWidth="1"/>
    <col min="2" max="2" width="43.7109375" customWidth="1"/>
    <col min="3" max="3" width="16.7109375" bestFit="1" customWidth="1"/>
    <col min="4" max="4" width="24.42578125" bestFit="1" customWidth="1"/>
    <col min="5" max="5" width="14.28515625" bestFit="1" customWidth="1"/>
  </cols>
  <sheetData>
    <row r="1" spans="1:5" ht="21" x14ac:dyDescent="0.35">
      <c r="B1" s="20" t="s">
        <v>709</v>
      </c>
    </row>
    <row r="3" spans="1:5" ht="15.75" x14ac:dyDescent="0.25">
      <c r="A3" s="21" t="s">
        <v>701</v>
      </c>
      <c r="B3" s="26" t="s">
        <v>20</v>
      </c>
      <c r="C3" s="27" t="s">
        <v>693</v>
      </c>
      <c r="D3" s="28" t="s">
        <v>697</v>
      </c>
      <c r="E3" s="26" t="s">
        <v>698</v>
      </c>
    </row>
    <row r="4" spans="1:5" x14ac:dyDescent="0.25">
      <c r="A4" s="17">
        <f>RANK(C4,$C$4:$C$22,0)</f>
        <v>1</v>
      </c>
      <c r="B4" s="9" t="s">
        <v>32</v>
      </c>
      <c r="C4" s="11">
        <v>2986425.2099999995</v>
      </c>
      <c r="D4" s="12">
        <v>35659</v>
      </c>
      <c r="E4" s="10">
        <v>0.36020576394820125</v>
      </c>
    </row>
    <row r="5" spans="1:5" x14ac:dyDescent="0.25">
      <c r="A5" s="17">
        <f t="shared" ref="A5:A22" si="0">RANK(C5,$C$4:$C$22,0)</f>
        <v>2</v>
      </c>
      <c r="B5" s="9" t="s">
        <v>178</v>
      </c>
      <c r="C5" s="11">
        <v>1021705.9700000002</v>
      </c>
      <c r="D5" s="12">
        <v>12429</v>
      </c>
      <c r="E5" s="10">
        <v>0.12323241118577623</v>
      </c>
    </row>
    <row r="6" spans="1:5" x14ac:dyDescent="0.25">
      <c r="A6" s="17">
        <f t="shared" si="0"/>
        <v>3</v>
      </c>
      <c r="B6" s="9" t="s">
        <v>41</v>
      </c>
      <c r="C6" s="11">
        <v>919257.84999999974</v>
      </c>
      <c r="D6" s="12">
        <v>11090</v>
      </c>
      <c r="E6" s="10">
        <v>0.11087569680830243</v>
      </c>
    </row>
    <row r="7" spans="1:5" x14ac:dyDescent="0.25">
      <c r="A7" s="17">
        <f t="shared" si="0"/>
        <v>4</v>
      </c>
      <c r="B7" s="9" t="s">
        <v>95</v>
      </c>
      <c r="C7" s="11">
        <v>521598.45999999985</v>
      </c>
      <c r="D7" s="12">
        <v>6246</v>
      </c>
      <c r="E7" s="10">
        <v>6.2912264177714089E-2</v>
      </c>
    </row>
    <row r="8" spans="1:5" x14ac:dyDescent="0.25">
      <c r="A8" s="17">
        <f t="shared" si="0"/>
        <v>5</v>
      </c>
      <c r="B8" s="9" t="s">
        <v>170</v>
      </c>
      <c r="C8" s="11">
        <v>413203.33999999997</v>
      </c>
      <c r="D8" s="12">
        <v>5013</v>
      </c>
      <c r="E8" s="10">
        <v>4.9838256204195498E-2</v>
      </c>
    </row>
    <row r="9" spans="1:5" x14ac:dyDescent="0.25">
      <c r="A9" s="17">
        <f t="shared" si="0"/>
        <v>6</v>
      </c>
      <c r="B9" s="9" t="s">
        <v>258</v>
      </c>
      <c r="C9" s="11">
        <v>309402.86999999988</v>
      </c>
      <c r="D9" s="12">
        <v>3773</v>
      </c>
      <c r="E9" s="10">
        <v>3.7318428997629563E-2</v>
      </c>
    </row>
    <row r="10" spans="1:5" x14ac:dyDescent="0.25">
      <c r="A10" s="17">
        <f t="shared" si="0"/>
        <v>7</v>
      </c>
      <c r="B10" s="9" t="s">
        <v>130</v>
      </c>
      <c r="C10" s="11">
        <v>268714.70000000007</v>
      </c>
      <c r="D10" s="12">
        <v>3192</v>
      </c>
      <c r="E10" s="10">
        <v>3.2410851433179455E-2</v>
      </c>
    </row>
    <row r="11" spans="1:5" x14ac:dyDescent="0.25">
      <c r="A11" s="17">
        <f t="shared" si="0"/>
        <v>8</v>
      </c>
      <c r="B11" s="9" t="s">
        <v>78</v>
      </c>
      <c r="C11" s="11">
        <v>246115.8000000001</v>
      </c>
      <c r="D11" s="12">
        <v>2842</v>
      </c>
      <c r="E11" s="10">
        <v>2.9685099583901101E-2</v>
      </c>
    </row>
    <row r="12" spans="1:5" x14ac:dyDescent="0.25">
      <c r="A12" s="17">
        <f t="shared" si="0"/>
        <v>9</v>
      </c>
      <c r="B12" s="9" t="s">
        <v>199</v>
      </c>
      <c r="C12" s="11">
        <v>227985.50000000009</v>
      </c>
      <c r="D12" s="12">
        <v>2760</v>
      </c>
      <c r="E12" s="10">
        <v>2.7498325061558356E-2</v>
      </c>
    </row>
    <row r="13" spans="1:5" x14ac:dyDescent="0.25">
      <c r="A13" s="17">
        <f t="shared" si="0"/>
        <v>10</v>
      </c>
      <c r="B13" s="9" t="s">
        <v>231</v>
      </c>
      <c r="C13" s="11">
        <v>193504.34000000003</v>
      </c>
      <c r="D13" s="12">
        <v>2293</v>
      </c>
      <c r="E13" s="10">
        <v>2.3339402032770979E-2</v>
      </c>
    </row>
    <row r="14" spans="1:5" x14ac:dyDescent="0.25">
      <c r="A14" s="17">
        <f t="shared" si="0"/>
        <v>11</v>
      </c>
      <c r="B14" s="9" t="s">
        <v>326</v>
      </c>
      <c r="C14" s="11">
        <v>192747.63</v>
      </c>
      <c r="D14" s="12">
        <v>2197</v>
      </c>
      <c r="E14" s="10">
        <v>2.3248131940781215E-2</v>
      </c>
    </row>
    <row r="15" spans="1:5" x14ac:dyDescent="0.25">
      <c r="A15" s="17">
        <f t="shared" si="0"/>
        <v>12</v>
      </c>
      <c r="B15" s="9" t="s">
        <v>443</v>
      </c>
      <c r="C15" s="11">
        <v>178689.08</v>
      </c>
      <c r="D15" s="12">
        <v>2148</v>
      </c>
      <c r="E15" s="10">
        <v>2.1552468936799945E-2</v>
      </c>
    </row>
    <row r="16" spans="1:5" x14ac:dyDescent="0.25">
      <c r="A16" s="17">
        <f t="shared" si="0"/>
        <v>13</v>
      </c>
      <c r="B16" s="9" t="s">
        <v>188</v>
      </c>
      <c r="C16" s="11">
        <v>174264.10000000006</v>
      </c>
      <c r="D16" s="12">
        <v>2006</v>
      </c>
      <c r="E16" s="10">
        <v>2.1018752808226449E-2</v>
      </c>
    </row>
    <row r="17" spans="1:5" x14ac:dyDescent="0.25">
      <c r="A17" s="17">
        <f t="shared" si="0"/>
        <v>14</v>
      </c>
      <c r="B17" s="9" t="s">
        <v>148</v>
      </c>
      <c r="C17" s="11">
        <v>172793.05000000002</v>
      </c>
      <c r="D17" s="12">
        <v>1974</v>
      </c>
      <c r="E17" s="10">
        <v>2.0841323054659636E-2</v>
      </c>
    </row>
    <row r="18" spans="1:5" x14ac:dyDescent="0.25">
      <c r="A18" s="17">
        <f t="shared" si="0"/>
        <v>15</v>
      </c>
      <c r="B18" s="9" t="s">
        <v>200</v>
      </c>
      <c r="C18" s="11">
        <v>153076.68999999994</v>
      </c>
      <c r="D18" s="12">
        <v>1842</v>
      </c>
      <c r="E18" s="10">
        <v>1.8463246921262083E-2</v>
      </c>
    </row>
    <row r="19" spans="1:5" x14ac:dyDescent="0.25">
      <c r="A19" s="17">
        <f t="shared" si="0"/>
        <v>16</v>
      </c>
      <c r="B19" s="9" t="s">
        <v>370</v>
      </c>
      <c r="C19" s="11">
        <v>94528.88</v>
      </c>
      <c r="D19" s="12">
        <v>1074</v>
      </c>
      <c r="E19" s="10">
        <v>1.1401540317015957E-2</v>
      </c>
    </row>
    <row r="20" spans="1:5" x14ac:dyDescent="0.25">
      <c r="A20" s="17">
        <f t="shared" si="0"/>
        <v>17</v>
      </c>
      <c r="B20" s="9" t="s">
        <v>450</v>
      </c>
      <c r="C20" s="11">
        <v>93344.909999999989</v>
      </c>
      <c r="D20" s="12">
        <v>1078</v>
      </c>
      <c r="E20" s="10">
        <v>1.1258736533779156E-2</v>
      </c>
    </row>
    <row r="21" spans="1:5" x14ac:dyDescent="0.25">
      <c r="A21" s="17">
        <f t="shared" si="0"/>
        <v>18</v>
      </c>
      <c r="B21" s="9" t="s">
        <v>430</v>
      </c>
      <c r="C21" s="11">
        <v>80291.169999999984</v>
      </c>
      <c r="D21" s="12">
        <v>961</v>
      </c>
      <c r="E21" s="10">
        <v>9.6842680443837044E-3</v>
      </c>
    </row>
    <row r="22" spans="1:5" x14ac:dyDescent="0.25">
      <c r="A22" s="17">
        <f t="shared" si="0"/>
        <v>19</v>
      </c>
      <c r="B22" s="9" t="s">
        <v>484</v>
      </c>
      <c r="C22" s="11">
        <v>43237.24</v>
      </c>
      <c r="D22" s="12">
        <v>490</v>
      </c>
      <c r="E22" s="10">
        <v>5.2150320098629643E-3</v>
      </c>
    </row>
    <row r="23" spans="1:5" ht="15.75" x14ac:dyDescent="0.25">
      <c r="A23" s="13"/>
      <c r="B23" s="24" t="s">
        <v>680</v>
      </c>
      <c r="C23" s="27">
        <v>8290886.7899999991</v>
      </c>
      <c r="D23" s="28">
        <v>99067</v>
      </c>
      <c r="E23" s="25">
        <v>1</v>
      </c>
    </row>
  </sheetData>
  <sheetProtection sheet="1" objects="1" scenarios="1" selectLockedCells="1" pivotTables="0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0591D-587F-45B5-85EF-2BF8D5F4D5A3}">
  <dimension ref="A1:H14"/>
  <sheetViews>
    <sheetView workbookViewId="0">
      <selection activeCell="G5" sqref="G5"/>
    </sheetView>
  </sheetViews>
  <sheetFormatPr defaultRowHeight="15" x14ac:dyDescent="0.25"/>
  <cols>
    <col min="1" max="1" width="11.28515625" customWidth="1"/>
    <col min="2" max="2" width="25.28515625" bestFit="1" customWidth="1"/>
    <col min="3" max="3" width="18" bestFit="1" customWidth="1"/>
    <col min="4" max="4" width="24.42578125" bestFit="1" customWidth="1"/>
    <col min="5" max="5" width="14.140625" bestFit="1" customWidth="1"/>
    <col min="6" max="6" width="4" bestFit="1" customWidth="1"/>
    <col min="7" max="7" width="7" bestFit="1" customWidth="1"/>
    <col min="8" max="8" width="6" bestFit="1" customWidth="1"/>
    <col min="9" max="9" width="7" bestFit="1" customWidth="1"/>
    <col min="10" max="14" width="6" bestFit="1" customWidth="1"/>
    <col min="15" max="15" width="7" bestFit="1" customWidth="1"/>
    <col min="16" max="16" width="6" bestFit="1" customWidth="1"/>
    <col min="17" max="18" width="7" bestFit="1" customWidth="1"/>
    <col min="19" max="19" width="4" bestFit="1" customWidth="1"/>
    <col min="20" max="21" width="6" bestFit="1" customWidth="1"/>
    <col min="22" max="29" width="7" bestFit="1" customWidth="1"/>
    <col min="30" max="30" width="6" bestFit="1" customWidth="1"/>
    <col min="31" max="31" width="7" bestFit="1" customWidth="1"/>
    <col min="32" max="32" width="6" bestFit="1" customWidth="1"/>
    <col min="33" max="35" width="7" bestFit="1" customWidth="1"/>
    <col min="36" max="38" width="6" bestFit="1" customWidth="1"/>
    <col min="39" max="42" width="7" bestFit="1" customWidth="1"/>
    <col min="43" max="44" width="6" bestFit="1" customWidth="1"/>
    <col min="45" max="47" width="7" bestFit="1" customWidth="1"/>
    <col min="48" max="48" width="6" bestFit="1" customWidth="1"/>
    <col min="49" max="50" width="7" bestFit="1" customWidth="1"/>
    <col min="51" max="51" width="6" bestFit="1" customWidth="1"/>
    <col min="52" max="52" width="5" bestFit="1" customWidth="1"/>
    <col min="53" max="53" width="8" bestFit="1" customWidth="1"/>
    <col min="54" max="54" width="7" bestFit="1" customWidth="1"/>
    <col min="55" max="60" width="8" bestFit="1" customWidth="1"/>
    <col min="61" max="61" width="7" bestFit="1" customWidth="1"/>
    <col min="62" max="65" width="8" bestFit="1" customWidth="1"/>
    <col min="66" max="66" width="7" bestFit="1" customWidth="1"/>
    <col min="67" max="67" width="8" bestFit="1" customWidth="1"/>
    <col min="68" max="68" width="7" bestFit="1" customWidth="1"/>
    <col min="69" max="70" width="8" bestFit="1" customWidth="1"/>
    <col min="71" max="71" width="5" bestFit="1" customWidth="1"/>
    <col min="72" max="72" width="8" bestFit="1" customWidth="1"/>
    <col min="73" max="73" width="7" bestFit="1" customWidth="1"/>
    <col min="74" max="76" width="8" bestFit="1" customWidth="1"/>
    <col min="77" max="77" width="7" bestFit="1" customWidth="1"/>
    <col min="78" max="78" width="8" bestFit="1" customWidth="1"/>
    <col min="79" max="79" width="7" bestFit="1" customWidth="1"/>
    <col min="80" max="80" width="8" bestFit="1" customWidth="1"/>
    <col min="81" max="81" width="7" bestFit="1" customWidth="1"/>
    <col min="82" max="82" width="8" bestFit="1" customWidth="1"/>
    <col min="83" max="83" width="5" bestFit="1" customWidth="1"/>
    <col min="84" max="86" width="8" bestFit="1" customWidth="1"/>
    <col min="87" max="87" width="7" bestFit="1" customWidth="1"/>
    <col min="88" max="92" width="8" bestFit="1" customWidth="1"/>
    <col min="93" max="93" width="7" bestFit="1" customWidth="1"/>
    <col min="94" max="95" width="8" bestFit="1" customWidth="1"/>
    <col min="96" max="96" width="7" bestFit="1" customWidth="1"/>
    <col min="97" max="98" width="8" bestFit="1" customWidth="1"/>
    <col min="99" max="99" width="7" bestFit="1" customWidth="1"/>
    <col min="100" max="105" width="8" bestFit="1" customWidth="1"/>
    <col min="106" max="106" width="5" bestFit="1" customWidth="1"/>
    <col min="107" max="109" width="8" bestFit="1" customWidth="1"/>
    <col min="110" max="110" width="7" bestFit="1" customWidth="1"/>
    <col min="111" max="112" width="8" bestFit="1" customWidth="1"/>
    <col min="113" max="113" width="7" bestFit="1" customWidth="1"/>
    <col min="114" max="114" width="8" bestFit="1" customWidth="1"/>
    <col min="115" max="118" width="7" bestFit="1" customWidth="1"/>
    <col min="119" max="122" width="8" bestFit="1" customWidth="1"/>
    <col min="123" max="123" width="7" bestFit="1" customWidth="1"/>
    <col min="124" max="127" width="8" bestFit="1" customWidth="1"/>
    <col min="128" max="128" width="5" bestFit="1" customWidth="1"/>
    <col min="129" max="131" width="8" bestFit="1" customWidth="1"/>
    <col min="132" max="134" width="7" bestFit="1" customWidth="1"/>
    <col min="135" max="137" width="8" bestFit="1" customWidth="1"/>
    <col min="138" max="138" width="7" bestFit="1" customWidth="1"/>
    <col min="139" max="141" width="8" bestFit="1" customWidth="1"/>
    <col min="142" max="142" width="7" bestFit="1" customWidth="1"/>
    <col min="143" max="145" width="8" bestFit="1" customWidth="1"/>
    <col min="146" max="146" width="7" bestFit="1" customWidth="1"/>
    <col min="147" max="150" width="8" bestFit="1" customWidth="1"/>
    <col min="151" max="151" width="5" bestFit="1" customWidth="1"/>
    <col min="152" max="153" width="8" bestFit="1" customWidth="1"/>
    <col min="154" max="154" width="7" bestFit="1" customWidth="1"/>
    <col min="155" max="157" width="8" bestFit="1" customWidth="1"/>
    <col min="158" max="159" width="7" bestFit="1" customWidth="1"/>
    <col min="160" max="160" width="8" bestFit="1" customWidth="1"/>
    <col min="161" max="161" width="7" bestFit="1" customWidth="1"/>
    <col min="162" max="164" width="8" bestFit="1" customWidth="1"/>
    <col min="165" max="165" width="7" bestFit="1" customWidth="1"/>
    <col min="166" max="169" width="8" bestFit="1" customWidth="1"/>
    <col min="170" max="170" width="7" bestFit="1" customWidth="1"/>
    <col min="171" max="171" width="8" bestFit="1" customWidth="1"/>
    <col min="172" max="172" width="5" bestFit="1" customWidth="1"/>
    <col min="173" max="173" width="8" bestFit="1" customWidth="1"/>
    <col min="174" max="174" width="7" bestFit="1" customWidth="1"/>
    <col min="175" max="175" width="8" bestFit="1" customWidth="1"/>
    <col min="176" max="176" width="7" bestFit="1" customWidth="1"/>
    <col min="177" max="179" width="8" bestFit="1" customWidth="1"/>
    <col min="180" max="180" width="7" bestFit="1" customWidth="1"/>
    <col min="181" max="181" width="8" bestFit="1" customWidth="1"/>
    <col min="182" max="182" width="7" bestFit="1" customWidth="1"/>
    <col min="183" max="184" width="8" bestFit="1" customWidth="1"/>
    <col min="185" max="185" width="7" bestFit="1" customWidth="1"/>
    <col min="186" max="192" width="8" bestFit="1" customWidth="1"/>
    <col min="193" max="193" width="5" bestFit="1" customWidth="1"/>
    <col min="194" max="194" width="8" bestFit="1" customWidth="1"/>
    <col min="195" max="195" width="5" bestFit="1" customWidth="1"/>
    <col min="196" max="197" width="8" bestFit="1" customWidth="1"/>
    <col min="198" max="198" width="7" bestFit="1" customWidth="1"/>
    <col min="199" max="200" width="8" bestFit="1" customWidth="1"/>
    <col min="201" max="201" width="7" bestFit="1" customWidth="1"/>
    <col min="202" max="202" width="5" bestFit="1" customWidth="1"/>
    <col min="203" max="203" width="8" bestFit="1" customWidth="1"/>
    <col min="204" max="204" width="7" bestFit="1" customWidth="1"/>
    <col min="205" max="206" width="8" bestFit="1" customWidth="1"/>
    <col min="207" max="207" width="5" bestFit="1" customWidth="1"/>
    <col min="208" max="211" width="8" bestFit="1" customWidth="1"/>
    <col min="212" max="212" width="5" bestFit="1" customWidth="1"/>
    <col min="213" max="213" width="8" bestFit="1" customWidth="1"/>
    <col min="214" max="214" width="7" bestFit="1" customWidth="1"/>
    <col min="215" max="215" width="8" bestFit="1" customWidth="1"/>
    <col min="216" max="216" width="7" bestFit="1" customWidth="1"/>
    <col min="217" max="217" width="8" bestFit="1" customWidth="1"/>
    <col min="218" max="218" width="5" bestFit="1" customWidth="1"/>
    <col min="219" max="219" width="7" bestFit="1" customWidth="1"/>
    <col min="220" max="225" width="8" bestFit="1" customWidth="1"/>
    <col min="226" max="226" width="7" bestFit="1" customWidth="1"/>
    <col min="227" max="227" width="8" bestFit="1" customWidth="1"/>
    <col min="228" max="228" width="7" bestFit="1" customWidth="1"/>
    <col min="229" max="229" width="8" bestFit="1" customWidth="1"/>
    <col min="230" max="231" width="7" bestFit="1" customWidth="1"/>
    <col min="232" max="234" width="8" bestFit="1" customWidth="1"/>
    <col min="235" max="235" width="7" bestFit="1" customWidth="1"/>
    <col min="236" max="236" width="8" bestFit="1" customWidth="1"/>
    <col min="237" max="237" width="5" bestFit="1" customWidth="1"/>
    <col min="238" max="240" width="8" bestFit="1" customWidth="1"/>
    <col min="241" max="241" width="7" bestFit="1" customWidth="1"/>
    <col min="242" max="246" width="8" bestFit="1" customWidth="1"/>
    <col min="247" max="247" width="7" bestFit="1" customWidth="1"/>
    <col min="248" max="248" width="8" bestFit="1" customWidth="1"/>
    <col min="249" max="249" width="7" bestFit="1" customWidth="1"/>
    <col min="250" max="256" width="8" bestFit="1" customWidth="1"/>
    <col min="257" max="258" width="7" bestFit="1" customWidth="1"/>
    <col min="259" max="266" width="8" bestFit="1" customWidth="1"/>
    <col min="267" max="267" width="5" bestFit="1" customWidth="1"/>
    <col min="268" max="269" width="7" bestFit="1" customWidth="1"/>
    <col min="270" max="270" width="8" bestFit="1" customWidth="1"/>
    <col min="271" max="271" width="7" bestFit="1" customWidth="1"/>
    <col min="272" max="273" width="8" bestFit="1" customWidth="1"/>
    <col min="274" max="274" width="5" bestFit="1" customWidth="1"/>
    <col min="275" max="281" width="8" bestFit="1" customWidth="1"/>
    <col min="282" max="282" width="7" bestFit="1" customWidth="1"/>
    <col min="283" max="285" width="8" bestFit="1" customWidth="1"/>
    <col min="286" max="286" width="5" bestFit="1" customWidth="1"/>
    <col min="287" max="287" width="8" bestFit="1" customWidth="1"/>
    <col min="288" max="288" width="7" bestFit="1" customWidth="1"/>
    <col min="289" max="292" width="8" bestFit="1" customWidth="1"/>
    <col min="293" max="293" width="7" bestFit="1" customWidth="1"/>
    <col min="294" max="297" width="8" bestFit="1" customWidth="1"/>
    <col min="298" max="298" width="5" bestFit="1" customWidth="1"/>
    <col min="299" max="299" width="8" bestFit="1" customWidth="1"/>
    <col min="300" max="300" width="7" bestFit="1" customWidth="1"/>
    <col min="301" max="301" width="8" bestFit="1" customWidth="1"/>
    <col min="302" max="303" width="5" bestFit="1" customWidth="1"/>
    <col min="304" max="304" width="8" bestFit="1" customWidth="1"/>
    <col min="305" max="305" width="7" bestFit="1" customWidth="1"/>
    <col min="306" max="311" width="8" bestFit="1" customWidth="1"/>
    <col min="312" max="312" width="5" bestFit="1" customWidth="1"/>
    <col min="313" max="313" width="8" bestFit="1" customWidth="1"/>
    <col min="314" max="315" width="7" bestFit="1" customWidth="1"/>
    <col min="316" max="316" width="8" bestFit="1" customWidth="1"/>
    <col min="317" max="317" width="7" bestFit="1" customWidth="1"/>
    <col min="318" max="335" width="8" bestFit="1" customWidth="1"/>
    <col min="336" max="337" width="7" bestFit="1" customWidth="1"/>
    <col min="338" max="339" width="8" bestFit="1" customWidth="1"/>
    <col min="340" max="341" width="7" bestFit="1" customWidth="1"/>
    <col min="342" max="344" width="8" bestFit="1" customWidth="1"/>
    <col min="345" max="345" width="7" bestFit="1" customWidth="1"/>
    <col min="346" max="347" width="8" bestFit="1" customWidth="1"/>
    <col min="348" max="348" width="7" bestFit="1" customWidth="1"/>
    <col min="349" max="353" width="8" bestFit="1" customWidth="1"/>
    <col min="354" max="354" width="7" bestFit="1" customWidth="1"/>
    <col min="355" max="356" width="8" bestFit="1" customWidth="1"/>
    <col min="357" max="357" width="7" bestFit="1" customWidth="1"/>
    <col min="358" max="358" width="8" bestFit="1" customWidth="1"/>
    <col min="359" max="359" width="5" bestFit="1" customWidth="1"/>
    <col min="360" max="362" width="8" bestFit="1" customWidth="1"/>
    <col min="363" max="363" width="7" bestFit="1" customWidth="1"/>
    <col min="364" max="365" width="8" bestFit="1" customWidth="1"/>
    <col min="366" max="366" width="7" bestFit="1" customWidth="1"/>
    <col min="367" max="367" width="8" bestFit="1" customWidth="1"/>
    <col min="368" max="369" width="7" bestFit="1" customWidth="1"/>
    <col min="370" max="371" width="8" bestFit="1" customWidth="1"/>
    <col min="372" max="372" width="7" bestFit="1" customWidth="1"/>
    <col min="373" max="377" width="8" bestFit="1" customWidth="1"/>
    <col min="378" max="378" width="7" bestFit="1" customWidth="1"/>
    <col min="379" max="385" width="8" bestFit="1" customWidth="1"/>
    <col min="386" max="386" width="7" bestFit="1" customWidth="1"/>
    <col min="387" max="387" width="5" bestFit="1" customWidth="1"/>
    <col min="388" max="389" width="8" bestFit="1" customWidth="1"/>
    <col min="390" max="391" width="5" bestFit="1" customWidth="1"/>
    <col min="392" max="392" width="8" bestFit="1" customWidth="1"/>
    <col min="393" max="393" width="7" bestFit="1" customWidth="1"/>
    <col min="394" max="395" width="8" bestFit="1" customWidth="1"/>
    <col min="396" max="396" width="5" bestFit="1" customWidth="1"/>
    <col min="397" max="400" width="7" bestFit="1" customWidth="1"/>
    <col min="401" max="401" width="8" bestFit="1" customWidth="1"/>
    <col min="402" max="403" width="7" bestFit="1" customWidth="1"/>
    <col min="404" max="405" width="8" bestFit="1" customWidth="1"/>
    <col min="406" max="406" width="7" bestFit="1" customWidth="1"/>
    <col min="407" max="408" width="8" bestFit="1" customWidth="1"/>
    <col min="409" max="409" width="7" bestFit="1" customWidth="1"/>
    <col min="410" max="417" width="8" bestFit="1" customWidth="1"/>
    <col min="418" max="419" width="7" bestFit="1" customWidth="1"/>
    <col min="420" max="420" width="8" bestFit="1" customWidth="1"/>
    <col min="421" max="421" width="7" bestFit="1" customWidth="1"/>
    <col min="422" max="424" width="8" bestFit="1" customWidth="1"/>
    <col min="425" max="425" width="5" bestFit="1" customWidth="1"/>
    <col min="426" max="427" width="7" bestFit="1" customWidth="1"/>
    <col min="428" max="431" width="8" bestFit="1" customWidth="1"/>
    <col min="432" max="432" width="5" bestFit="1" customWidth="1"/>
    <col min="433" max="433" width="8" bestFit="1" customWidth="1"/>
    <col min="434" max="434" width="7" bestFit="1" customWidth="1"/>
    <col min="435" max="438" width="8" bestFit="1" customWidth="1"/>
    <col min="439" max="442" width="7" bestFit="1" customWidth="1"/>
    <col min="443" max="446" width="8" bestFit="1" customWidth="1"/>
    <col min="447" max="447" width="5" bestFit="1" customWidth="1"/>
    <col min="448" max="449" width="8" bestFit="1" customWidth="1"/>
    <col min="450" max="450" width="5" bestFit="1" customWidth="1"/>
    <col min="451" max="451" width="8" bestFit="1" customWidth="1"/>
    <col min="452" max="453" width="7" bestFit="1" customWidth="1"/>
    <col min="454" max="454" width="8" bestFit="1" customWidth="1"/>
    <col min="455" max="455" width="7" bestFit="1" customWidth="1"/>
    <col min="456" max="457" width="8" bestFit="1" customWidth="1"/>
    <col min="458" max="458" width="5" bestFit="1" customWidth="1"/>
    <col min="459" max="460" width="8" bestFit="1" customWidth="1"/>
    <col min="461" max="462" width="5" bestFit="1" customWidth="1"/>
    <col min="463" max="464" width="8" bestFit="1" customWidth="1"/>
    <col min="465" max="465" width="7" bestFit="1" customWidth="1"/>
    <col min="466" max="467" width="8" bestFit="1" customWidth="1"/>
    <col min="468" max="468" width="5" bestFit="1" customWidth="1"/>
    <col min="469" max="469" width="8" bestFit="1" customWidth="1"/>
    <col min="470" max="470" width="7" bestFit="1" customWidth="1"/>
    <col min="471" max="471" width="5" bestFit="1" customWidth="1"/>
    <col min="472" max="473" width="8" bestFit="1" customWidth="1"/>
    <col min="474" max="474" width="7" bestFit="1" customWidth="1"/>
    <col min="475" max="476" width="8" bestFit="1" customWidth="1"/>
    <col min="477" max="477" width="7" bestFit="1" customWidth="1"/>
    <col min="478" max="478" width="5" bestFit="1" customWidth="1"/>
    <col min="479" max="483" width="8" bestFit="1" customWidth="1"/>
    <col min="484" max="484" width="7" bestFit="1" customWidth="1"/>
    <col min="485" max="487" width="8" bestFit="1" customWidth="1"/>
    <col min="488" max="489" width="7" bestFit="1" customWidth="1"/>
    <col min="490" max="490" width="8" bestFit="1" customWidth="1"/>
    <col min="491" max="491" width="5" bestFit="1" customWidth="1"/>
    <col min="492" max="496" width="8" bestFit="1" customWidth="1"/>
    <col min="497" max="497" width="7" bestFit="1" customWidth="1"/>
    <col min="498" max="498" width="8" bestFit="1" customWidth="1"/>
    <col min="499" max="499" width="5" bestFit="1" customWidth="1"/>
    <col min="500" max="501" width="8" bestFit="1" customWidth="1"/>
    <col min="502" max="502" width="7" bestFit="1" customWidth="1"/>
    <col min="503" max="503" width="8" bestFit="1" customWidth="1"/>
    <col min="504" max="504" width="7" bestFit="1" customWidth="1"/>
    <col min="505" max="512" width="8" bestFit="1" customWidth="1"/>
    <col min="513" max="513" width="7" bestFit="1" customWidth="1"/>
    <col min="514" max="517" width="8" bestFit="1" customWidth="1"/>
    <col min="518" max="518" width="7" bestFit="1" customWidth="1"/>
    <col min="519" max="519" width="8" bestFit="1" customWidth="1"/>
    <col min="520" max="520" width="7" bestFit="1" customWidth="1"/>
    <col min="521" max="522" width="8" bestFit="1" customWidth="1"/>
    <col min="523" max="525" width="7" bestFit="1" customWidth="1"/>
    <col min="526" max="527" width="8" bestFit="1" customWidth="1"/>
    <col min="528" max="528" width="7" bestFit="1" customWidth="1"/>
    <col min="529" max="537" width="8" bestFit="1" customWidth="1"/>
    <col min="538" max="538" width="7" bestFit="1" customWidth="1"/>
    <col min="539" max="540" width="8" bestFit="1" customWidth="1"/>
    <col min="541" max="541" width="7" bestFit="1" customWidth="1"/>
    <col min="542" max="542" width="8" bestFit="1" customWidth="1"/>
    <col min="543" max="543" width="5" bestFit="1" customWidth="1"/>
    <col min="544" max="546" width="8" bestFit="1" customWidth="1"/>
    <col min="547" max="547" width="7" bestFit="1" customWidth="1"/>
    <col min="548" max="548" width="8" bestFit="1" customWidth="1"/>
    <col min="549" max="549" width="7" bestFit="1" customWidth="1"/>
    <col min="550" max="553" width="8" bestFit="1" customWidth="1"/>
    <col min="554" max="555" width="7" bestFit="1" customWidth="1"/>
    <col min="556" max="557" width="8" bestFit="1" customWidth="1"/>
    <col min="558" max="558" width="7" bestFit="1" customWidth="1"/>
    <col min="559" max="559" width="6" bestFit="1" customWidth="1"/>
    <col min="560" max="564" width="8" bestFit="1" customWidth="1"/>
    <col min="565" max="566" width="7" bestFit="1" customWidth="1"/>
    <col min="567" max="567" width="8" bestFit="1" customWidth="1"/>
    <col min="568" max="570" width="7" bestFit="1" customWidth="1"/>
    <col min="571" max="571" width="8" bestFit="1" customWidth="1"/>
    <col min="572" max="572" width="7" bestFit="1" customWidth="1"/>
    <col min="573" max="580" width="8" bestFit="1" customWidth="1"/>
    <col min="581" max="581" width="7" bestFit="1" customWidth="1"/>
    <col min="582" max="584" width="8" bestFit="1" customWidth="1"/>
    <col min="585" max="585" width="7" bestFit="1" customWidth="1"/>
    <col min="586" max="591" width="8" bestFit="1" customWidth="1"/>
    <col min="592" max="592" width="5" bestFit="1" customWidth="1"/>
    <col min="593" max="595" width="8" bestFit="1" customWidth="1"/>
    <col min="596" max="597" width="7" bestFit="1" customWidth="1"/>
    <col min="598" max="605" width="8" bestFit="1" customWidth="1"/>
    <col min="606" max="606" width="7" bestFit="1" customWidth="1"/>
    <col min="607" max="607" width="8" bestFit="1" customWidth="1"/>
    <col min="608" max="608" width="5" bestFit="1" customWidth="1"/>
    <col min="609" max="614" width="8" bestFit="1" customWidth="1"/>
    <col min="615" max="615" width="7" bestFit="1" customWidth="1"/>
    <col min="616" max="627" width="8" bestFit="1" customWidth="1"/>
    <col min="628" max="628" width="6" bestFit="1" customWidth="1"/>
    <col min="629" max="630" width="8" bestFit="1" customWidth="1"/>
    <col min="631" max="631" width="5" bestFit="1" customWidth="1"/>
    <col min="632" max="632" width="8" bestFit="1" customWidth="1"/>
    <col min="633" max="633" width="5" bestFit="1" customWidth="1"/>
    <col min="634" max="636" width="8" bestFit="1" customWidth="1"/>
    <col min="637" max="637" width="7" bestFit="1" customWidth="1"/>
    <col min="638" max="652" width="8" bestFit="1" customWidth="1"/>
    <col min="653" max="654" width="7" bestFit="1" customWidth="1"/>
    <col min="655" max="655" width="8" bestFit="1" customWidth="1"/>
    <col min="656" max="656" width="5" bestFit="1" customWidth="1"/>
    <col min="657" max="659" width="8" bestFit="1" customWidth="1"/>
    <col min="660" max="660" width="5" bestFit="1" customWidth="1"/>
    <col min="661" max="665" width="8" bestFit="1" customWidth="1"/>
    <col min="666" max="666" width="7" bestFit="1" customWidth="1"/>
    <col min="667" max="668" width="8" bestFit="1" customWidth="1"/>
    <col min="669" max="669" width="7" bestFit="1" customWidth="1"/>
    <col min="670" max="671" width="8" bestFit="1" customWidth="1"/>
    <col min="672" max="672" width="7" bestFit="1" customWidth="1"/>
    <col min="673" max="673" width="8" bestFit="1" customWidth="1"/>
    <col min="674" max="674" width="7" bestFit="1" customWidth="1"/>
    <col min="675" max="675" width="8" bestFit="1" customWidth="1"/>
    <col min="676" max="676" width="5" bestFit="1" customWidth="1"/>
    <col min="677" max="679" width="8" bestFit="1" customWidth="1"/>
    <col min="680" max="680" width="5" bestFit="1" customWidth="1"/>
    <col min="681" max="683" width="8" bestFit="1" customWidth="1"/>
    <col min="684" max="685" width="7" bestFit="1" customWidth="1"/>
    <col min="686" max="688" width="8" bestFit="1" customWidth="1"/>
    <col min="689" max="689" width="6" bestFit="1" customWidth="1"/>
    <col min="690" max="692" width="8" bestFit="1" customWidth="1"/>
    <col min="693" max="694" width="7" bestFit="1" customWidth="1"/>
    <col min="695" max="698" width="8" bestFit="1" customWidth="1"/>
    <col min="699" max="699" width="7" bestFit="1" customWidth="1"/>
    <col min="700" max="701" width="8" bestFit="1" customWidth="1"/>
    <col min="702" max="702" width="7" bestFit="1" customWidth="1"/>
    <col min="703" max="703" width="8" bestFit="1" customWidth="1"/>
    <col min="704" max="705" width="7" bestFit="1" customWidth="1"/>
    <col min="706" max="707" width="8" bestFit="1" customWidth="1"/>
    <col min="708" max="708" width="7" bestFit="1" customWidth="1"/>
    <col min="709" max="709" width="8" bestFit="1" customWidth="1"/>
    <col min="710" max="710" width="7" bestFit="1" customWidth="1"/>
    <col min="711" max="711" width="5" bestFit="1" customWidth="1"/>
    <col min="712" max="712" width="7" bestFit="1" customWidth="1"/>
    <col min="713" max="714" width="8" bestFit="1" customWidth="1"/>
    <col min="715" max="715" width="7" bestFit="1" customWidth="1"/>
    <col min="716" max="720" width="8" bestFit="1" customWidth="1"/>
    <col min="721" max="723" width="7" bestFit="1" customWidth="1"/>
    <col min="724" max="725" width="8" bestFit="1" customWidth="1"/>
    <col min="726" max="726" width="5" bestFit="1" customWidth="1"/>
    <col min="727" max="737" width="8" bestFit="1" customWidth="1"/>
    <col min="738" max="738" width="7" bestFit="1" customWidth="1"/>
    <col min="739" max="740" width="8" bestFit="1" customWidth="1"/>
    <col min="741" max="743" width="7" bestFit="1" customWidth="1"/>
    <col min="744" max="751" width="8" bestFit="1" customWidth="1"/>
    <col min="752" max="752" width="7" bestFit="1" customWidth="1"/>
    <col min="753" max="753" width="8" bestFit="1" customWidth="1"/>
    <col min="754" max="754" width="5" bestFit="1" customWidth="1"/>
    <col min="755" max="757" width="8" bestFit="1" customWidth="1"/>
    <col min="758" max="758" width="6" bestFit="1" customWidth="1"/>
    <col min="759" max="767" width="8" bestFit="1" customWidth="1"/>
    <col min="768" max="768" width="7" bestFit="1" customWidth="1"/>
    <col min="769" max="771" width="8" bestFit="1" customWidth="1"/>
    <col min="772" max="772" width="5" bestFit="1" customWidth="1"/>
    <col min="773" max="775" width="8" bestFit="1" customWidth="1"/>
    <col min="776" max="778" width="7" bestFit="1" customWidth="1"/>
    <col min="779" max="781" width="8" bestFit="1" customWidth="1"/>
    <col min="782" max="782" width="7" bestFit="1" customWidth="1"/>
    <col min="783" max="785" width="8" bestFit="1" customWidth="1"/>
    <col min="786" max="786" width="5" bestFit="1" customWidth="1"/>
    <col min="787" max="787" width="7" bestFit="1" customWidth="1"/>
    <col min="788" max="792" width="8" bestFit="1" customWidth="1"/>
    <col min="793" max="793" width="7" bestFit="1" customWidth="1"/>
    <col min="794" max="796" width="8" bestFit="1" customWidth="1"/>
    <col min="797" max="797" width="7" bestFit="1" customWidth="1"/>
    <col min="798" max="802" width="8" bestFit="1" customWidth="1"/>
    <col min="803" max="803" width="5" bestFit="1" customWidth="1"/>
    <col min="804" max="805" width="8" bestFit="1" customWidth="1"/>
    <col min="806" max="806" width="7" bestFit="1" customWidth="1"/>
    <col min="807" max="810" width="8" bestFit="1" customWidth="1"/>
    <col min="811" max="811" width="7" bestFit="1" customWidth="1"/>
    <col min="812" max="812" width="8" bestFit="1" customWidth="1"/>
    <col min="813" max="813" width="6" bestFit="1" customWidth="1"/>
    <col min="814" max="817" width="8" bestFit="1" customWidth="1"/>
    <col min="818" max="818" width="7" bestFit="1" customWidth="1"/>
    <col min="819" max="823" width="8" bestFit="1" customWidth="1"/>
    <col min="824" max="824" width="5" bestFit="1" customWidth="1"/>
    <col min="825" max="833" width="8" bestFit="1" customWidth="1"/>
    <col min="834" max="836" width="7" bestFit="1" customWidth="1"/>
    <col min="837" max="842" width="8" bestFit="1" customWidth="1"/>
    <col min="843" max="845" width="7" bestFit="1" customWidth="1"/>
    <col min="846" max="846" width="8" bestFit="1" customWidth="1"/>
    <col min="847" max="847" width="7" bestFit="1" customWidth="1"/>
    <col min="848" max="856" width="8" bestFit="1" customWidth="1"/>
    <col min="857" max="857" width="7" bestFit="1" customWidth="1"/>
    <col min="858" max="861" width="8" bestFit="1" customWidth="1"/>
    <col min="862" max="862" width="7" bestFit="1" customWidth="1"/>
    <col min="863" max="866" width="8" bestFit="1" customWidth="1"/>
    <col min="867" max="867" width="7" bestFit="1" customWidth="1"/>
    <col min="868" max="870" width="8" bestFit="1" customWidth="1"/>
    <col min="871" max="871" width="6" bestFit="1" customWidth="1"/>
    <col min="872" max="872" width="8" bestFit="1" customWidth="1"/>
    <col min="873" max="873" width="7" bestFit="1" customWidth="1"/>
    <col min="874" max="874" width="5" bestFit="1" customWidth="1"/>
    <col min="875" max="883" width="8" bestFit="1" customWidth="1"/>
    <col min="884" max="884" width="7" bestFit="1" customWidth="1"/>
    <col min="885" max="888" width="8" bestFit="1" customWidth="1"/>
    <col min="889" max="889" width="5" bestFit="1" customWidth="1"/>
    <col min="890" max="891" width="8" bestFit="1" customWidth="1"/>
    <col min="892" max="893" width="7" bestFit="1" customWidth="1"/>
    <col min="894" max="894" width="8" bestFit="1" customWidth="1"/>
    <col min="895" max="895" width="7" bestFit="1" customWidth="1"/>
    <col min="896" max="900" width="8" bestFit="1" customWidth="1"/>
    <col min="901" max="901" width="7" bestFit="1" customWidth="1"/>
    <col min="902" max="902" width="5" bestFit="1" customWidth="1"/>
    <col min="903" max="904" width="7" bestFit="1" customWidth="1"/>
    <col min="905" max="915" width="8" bestFit="1" customWidth="1"/>
    <col min="916" max="916" width="6" bestFit="1" customWidth="1"/>
    <col min="917" max="917" width="8" bestFit="1" customWidth="1"/>
    <col min="918" max="918" width="7" bestFit="1" customWidth="1"/>
    <col min="919" max="922" width="8" bestFit="1" customWidth="1"/>
    <col min="923" max="923" width="5" bestFit="1" customWidth="1"/>
    <col min="924" max="924" width="7" bestFit="1" customWidth="1"/>
    <col min="925" max="925" width="8" bestFit="1" customWidth="1"/>
    <col min="926" max="926" width="5" bestFit="1" customWidth="1"/>
    <col min="927" max="928" width="8" bestFit="1" customWidth="1"/>
    <col min="929" max="930" width="7" bestFit="1" customWidth="1"/>
    <col min="931" max="931" width="5" bestFit="1" customWidth="1"/>
    <col min="932" max="937" width="8" bestFit="1" customWidth="1"/>
    <col min="938" max="938" width="7" bestFit="1" customWidth="1"/>
    <col min="939" max="945" width="8" bestFit="1" customWidth="1"/>
    <col min="946" max="946" width="7" bestFit="1" customWidth="1"/>
    <col min="947" max="950" width="8" bestFit="1" customWidth="1"/>
    <col min="951" max="951" width="5" bestFit="1" customWidth="1"/>
    <col min="952" max="954" width="8" bestFit="1" customWidth="1"/>
    <col min="955" max="955" width="7" bestFit="1" customWidth="1"/>
    <col min="956" max="960" width="8" bestFit="1" customWidth="1"/>
    <col min="961" max="961" width="7" bestFit="1" customWidth="1"/>
    <col min="962" max="963" width="8" bestFit="1" customWidth="1"/>
    <col min="964" max="964" width="7" bestFit="1" customWidth="1"/>
    <col min="965" max="967" width="8" bestFit="1" customWidth="1"/>
    <col min="968" max="968" width="5" bestFit="1" customWidth="1"/>
    <col min="969" max="971" width="8" bestFit="1" customWidth="1"/>
    <col min="972" max="972" width="5" bestFit="1" customWidth="1"/>
    <col min="973" max="975" width="8" bestFit="1" customWidth="1"/>
    <col min="976" max="976" width="7" bestFit="1" customWidth="1"/>
    <col min="977" max="977" width="6" bestFit="1" customWidth="1"/>
    <col min="978" max="982" width="8" bestFit="1" customWidth="1"/>
    <col min="983" max="983" width="7" bestFit="1" customWidth="1"/>
    <col min="984" max="984" width="8" bestFit="1" customWidth="1"/>
    <col min="985" max="986" width="7" bestFit="1" customWidth="1"/>
    <col min="987" max="987" width="8" bestFit="1" customWidth="1"/>
    <col min="988" max="989" width="5" bestFit="1" customWidth="1"/>
    <col min="990" max="995" width="8" bestFit="1" customWidth="1"/>
    <col min="996" max="996" width="7" bestFit="1" customWidth="1"/>
    <col min="997" max="997" width="8" bestFit="1" customWidth="1"/>
    <col min="998" max="999" width="7" bestFit="1" customWidth="1"/>
    <col min="1000" max="1002" width="8" bestFit="1" customWidth="1"/>
    <col min="1003" max="1004" width="7" bestFit="1" customWidth="1"/>
    <col min="1005" max="1005" width="8" bestFit="1" customWidth="1"/>
    <col min="1006" max="1006" width="7" bestFit="1" customWidth="1"/>
    <col min="1007" max="1020" width="8" bestFit="1" customWidth="1"/>
    <col min="1021" max="1021" width="7" bestFit="1" customWidth="1"/>
    <col min="1022" max="1022" width="6" bestFit="1" customWidth="1"/>
    <col min="1023" max="1024" width="7" bestFit="1" customWidth="1"/>
    <col min="1025" max="1035" width="8" bestFit="1" customWidth="1"/>
    <col min="1036" max="1036" width="5" bestFit="1" customWidth="1"/>
    <col min="1037" max="1040" width="8" bestFit="1" customWidth="1"/>
    <col min="1041" max="1041" width="5" bestFit="1" customWidth="1"/>
    <col min="1042" max="1045" width="8" bestFit="1" customWidth="1"/>
    <col min="1046" max="1046" width="5" bestFit="1" customWidth="1"/>
    <col min="1047" max="1055" width="8" bestFit="1" customWidth="1"/>
    <col min="1056" max="1056" width="7" bestFit="1" customWidth="1"/>
    <col min="1057" max="1057" width="8" bestFit="1" customWidth="1"/>
    <col min="1058" max="1058" width="5" bestFit="1" customWidth="1"/>
    <col min="1059" max="1061" width="8" bestFit="1" customWidth="1"/>
    <col min="1062" max="1062" width="7" bestFit="1" customWidth="1"/>
    <col min="1063" max="1064" width="8" bestFit="1" customWidth="1"/>
    <col min="1065" max="1065" width="5" bestFit="1" customWidth="1"/>
    <col min="1066" max="1066" width="7" bestFit="1" customWidth="1"/>
    <col min="1067" max="1068" width="8" bestFit="1" customWidth="1"/>
    <col min="1069" max="1069" width="6" bestFit="1" customWidth="1"/>
    <col min="1070" max="1072" width="8" bestFit="1" customWidth="1"/>
    <col min="1073" max="1073" width="7" bestFit="1" customWidth="1"/>
    <col min="1074" max="1075" width="8" bestFit="1" customWidth="1"/>
    <col min="1076" max="1077" width="7" bestFit="1" customWidth="1"/>
    <col min="1078" max="1080" width="8" bestFit="1" customWidth="1"/>
    <col min="1081" max="1081" width="7" bestFit="1" customWidth="1"/>
    <col min="1082" max="1087" width="8" bestFit="1" customWidth="1"/>
    <col min="1088" max="1088" width="5" bestFit="1" customWidth="1"/>
    <col min="1089" max="1093" width="8" bestFit="1" customWidth="1"/>
    <col min="1094" max="1094" width="7" bestFit="1" customWidth="1"/>
    <col min="1095" max="1096" width="8" bestFit="1" customWidth="1"/>
    <col min="1097" max="1097" width="7" bestFit="1" customWidth="1"/>
    <col min="1098" max="1099" width="8" bestFit="1" customWidth="1"/>
    <col min="1100" max="1100" width="7" bestFit="1" customWidth="1"/>
    <col min="1101" max="1102" width="8" bestFit="1" customWidth="1"/>
    <col min="1103" max="1103" width="7" bestFit="1" customWidth="1"/>
    <col min="1104" max="1104" width="8" bestFit="1" customWidth="1"/>
    <col min="1105" max="1105" width="7" bestFit="1" customWidth="1"/>
    <col min="1106" max="1106" width="8" bestFit="1" customWidth="1"/>
    <col min="1107" max="1107" width="6" bestFit="1" customWidth="1"/>
    <col min="1108" max="1108" width="7" bestFit="1" customWidth="1"/>
    <col min="1109" max="1109" width="5" bestFit="1" customWidth="1"/>
    <col min="1110" max="1114" width="8" bestFit="1" customWidth="1"/>
    <col min="1115" max="1115" width="7" bestFit="1" customWidth="1"/>
    <col min="1116" max="1120" width="8" bestFit="1" customWidth="1"/>
    <col min="1121" max="1121" width="5" bestFit="1" customWidth="1"/>
    <col min="1122" max="1126" width="8" bestFit="1" customWidth="1"/>
    <col min="1127" max="1127" width="7" bestFit="1" customWidth="1"/>
    <col min="1128" max="1129" width="8" bestFit="1" customWidth="1"/>
    <col min="1130" max="1130" width="5" bestFit="1" customWidth="1"/>
    <col min="1131" max="1131" width="8" bestFit="1" customWidth="1"/>
    <col min="1132" max="1132" width="7" bestFit="1" customWidth="1"/>
    <col min="1133" max="1133" width="8" bestFit="1" customWidth="1"/>
    <col min="1134" max="1134" width="7" bestFit="1" customWidth="1"/>
    <col min="1135" max="1135" width="8" bestFit="1" customWidth="1"/>
    <col min="1136" max="1136" width="5" bestFit="1" customWidth="1"/>
    <col min="1137" max="1137" width="7" bestFit="1" customWidth="1"/>
    <col min="1138" max="1146" width="8" bestFit="1" customWidth="1"/>
    <col min="1147" max="1147" width="7" bestFit="1" customWidth="1"/>
    <col min="1148" max="1148" width="8" bestFit="1" customWidth="1"/>
    <col min="1149" max="1149" width="7" bestFit="1" customWidth="1"/>
    <col min="1150" max="1150" width="6" bestFit="1" customWidth="1"/>
    <col min="1151" max="1151" width="8" bestFit="1" customWidth="1"/>
    <col min="1152" max="1152" width="5" bestFit="1" customWidth="1"/>
    <col min="1153" max="1160" width="8" bestFit="1" customWidth="1"/>
    <col min="1161" max="1161" width="7" bestFit="1" customWidth="1"/>
    <col min="1162" max="1164" width="8" bestFit="1" customWidth="1"/>
    <col min="1165" max="1166" width="7" bestFit="1" customWidth="1"/>
    <col min="1167" max="1172" width="8" bestFit="1" customWidth="1"/>
    <col min="1173" max="1173" width="7" bestFit="1" customWidth="1"/>
    <col min="1174" max="1174" width="8" bestFit="1" customWidth="1"/>
    <col min="1175" max="1175" width="7" bestFit="1" customWidth="1"/>
    <col min="1176" max="1176" width="8" bestFit="1" customWidth="1"/>
    <col min="1177" max="1177" width="7" bestFit="1" customWidth="1"/>
    <col min="1178" max="1178" width="8" bestFit="1" customWidth="1"/>
    <col min="1179" max="1179" width="5" bestFit="1" customWidth="1"/>
    <col min="1180" max="1186" width="8" bestFit="1" customWidth="1"/>
    <col min="1187" max="1187" width="7" bestFit="1" customWidth="1"/>
    <col min="1188" max="1192" width="8" bestFit="1" customWidth="1"/>
    <col min="1193" max="1193" width="6" bestFit="1" customWidth="1"/>
    <col min="1194" max="1194" width="7" bestFit="1" customWidth="1"/>
    <col min="1195" max="1195" width="5" bestFit="1" customWidth="1"/>
    <col min="1196" max="1199" width="8" bestFit="1" customWidth="1"/>
    <col min="1200" max="1200" width="5" bestFit="1" customWidth="1"/>
    <col min="1201" max="1201" width="7" bestFit="1" customWidth="1"/>
    <col min="1202" max="1207" width="8" bestFit="1" customWidth="1"/>
    <col min="1208" max="1208" width="7" bestFit="1" customWidth="1"/>
    <col min="1209" max="1209" width="8" bestFit="1" customWidth="1"/>
    <col min="1210" max="1211" width="7" bestFit="1" customWidth="1"/>
    <col min="1212" max="1212" width="8" bestFit="1" customWidth="1"/>
    <col min="1213" max="1213" width="7" bestFit="1" customWidth="1"/>
    <col min="1214" max="1214" width="8" bestFit="1" customWidth="1"/>
    <col min="1215" max="1215" width="7" bestFit="1" customWidth="1"/>
    <col min="1216" max="1220" width="8" bestFit="1" customWidth="1"/>
    <col min="1221" max="1221" width="7" bestFit="1" customWidth="1"/>
    <col min="1222" max="1222" width="8" bestFit="1" customWidth="1"/>
    <col min="1223" max="1223" width="5" bestFit="1" customWidth="1"/>
    <col min="1224" max="1224" width="8" bestFit="1" customWidth="1"/>
    <col min="1225" max="1226" width="7" bestFit="1" customWidth="1"/>
    <col min="1227" max="1229" width="8" bestFit="1" customWidth="1"/>
    <col min="1230" max="1231" width="7" bestFit="1" customWidth="1"/>
    <col min="1232" max="1235" width="8" bestFit="1" customWidth="1"/>
    <col min="1236" max="1237" width="7" bestFit="1" customWidth="1"/>
    <col min="1238" max="1238" width="8" bestFit="1" customWidth="1"/>
    <col min="1239" max="1239" width="6" bestFit="1" customWidth="1"/>
    <col min="1240" max="1240" width="7" bestFit="1" customWidth="1"/>
    <col min="1241" max="1257" width="8" bestFit="1" customWidth="1"/>
    <col min="1258" max="1258" width="7" bestFit="1" customWidth="1"/>
    <col min="1259" max="1259" width="8" bestFit="1" customWidth="1"/>
    <col min="1260" max="1260" width="7" bestFit="1" customWidth="1"/>
    <col min="1261" max="1261" width="8" bestFit="1" customWidth="1"/>
    <col min="1262" max="1262" width="7" bestFit="1" customWidth="1"/>
    <col min="1263" max="1267" width="8" bestFit="1" customWidth="1"/>
    <col min="1268" max="1268" width="7" bestFit="1" customWidth="1"/>
    <col min="1269" max="1269" width="8" bestFit="1" customWidth="1"/>
    <col min="1270" max="1270" width="7" bestFit="1" customWidth="1"/>
    <col min="1271" max="1271" width="5" bestFit="1" customWidth="1"/>
    <col min="1272" max="1273" width="7" bestFit="1" customWidth="1"/>
    <col min="1274" max="1277" width="8" bestFit="1" customWidth="1"/>
    <col min="1278" max="1278" width="6" bestFit="1" customWidth="1"/>
    <col min="1279" max="1283" width="8" bestFit="1" customWidth="1"/>
    <col min="1284" max="1284" width="5" bestFit="1" customWidth="1"/>
    <col min="1285" max="1285" width="8" bestFit="1" customWidth="1"/>
    <col min="1286" max="1286" width="7" bestFit="1" customWidth="1"/>
    <col min="1287" max="1287" width="8" bestFit="1" customWidth="1"/>
    <col min="1288" max="1288" width="7" bestFit="1" customWidth="1"/>
    <col min="1289" max="1289" width="8" bestFit="1" customWidth="1"/>
    <col min="1290" max="1290" width="5" bestFit="1" customWidth="1"/>
    <col min="1291" max="1292" width="8" bestFit="1" customWidth="1"/>
    <col min="1293" max="1293" width="5" bestFit="1" customWidth="1"/>
    <col min="1294" max="1294" width="8" bestFit="1" customWidth="1"/>
    <col min="1295" max="1295" width="7" bestFit="1" customWidth="1"/>
    <col min="1296" max="1297" width="8" bestFit="1" customWidth="1"/>
    <col min="1298" max="1298" width="7" bestFit="1" customWidth="1"/>
    <col min="1299" max="1305" width="8" bestFit="1" customWidth="1"/>
    <col min="1306" max="1306" width="5" bestFit="1" customWidth="1"/>
    <col min="1307" max="1308" width="8" bestFit="1" customWidth="1"/>
    <col min="1309" max="1309" width="6" bestFit="1" customWidth="1"/>
    <col min="1310" max="1310" width="7" bestFit="1" customWidth="1"/>
    <col min="1311" max="1311" width="5" bestFit="1" customWidth="1"/>
    <col min="1312" max="1314" width="8" bestFit="1" customWidth="1"/>
    <col min="1315" max="1316" width="7" bestFit="1" customWidth="1"/>
    <col min="1317" max="1323" width="8" bestFit="1" customWidth="1"/>
    <col min="1324" max="1324" width="7" bestFit="1" customWidth="1"/>
    <col min="1325" max="1330" width="8" bestFit="1" customWidth="1"/>
    <col min="1331" max="1331" width="7" bestFit="1" customWidth="1"/>
    <col min="1332" max="1336" width="8" bestFit="1" customWidth="1"/>
    <col min="1337" max="1337" width="6" bestFit="1" customWidth="1"/>
    <col min="1338" max="1340" width="8" bestFit="1" customWidth="1"/>
    <col min="1341" max="1341" width="7" bestFit="1" customWidth="1"/>
    <col min="1342" max="1348" width="8" bestFit="1" customWidth="1"/>
    <col min="1349" max="1349" width="7" bestFit="1" customWidth="1"/>
    <col min="1350" max="1350" width="8" bestFit="1" customWidth="1"/>
    <col min="1351" max="1351" width="5" bestFit="1" customWidth="1"/>
    <col min="1352" max="1357" width="8" bestFit="1" customWidth="1"/>
    <col min="1358" max="1358" width="7" bestFit="1" customWidth="1"/>
    <col min="1359" max="1362" width="8" bestFit="1" customWidth="1"/>
    <col min="1363" max="1363" width="6" bestFit="1" customWidth="1"/>
    <col min="1364" max="1364" width="8" bestFit="1" customWidth="1"/>
    <col min="1365" max="1367" width="7" bestFit="1" customWidth="1"/>
    <col min="1368" max="1372" width="8" bestFit="1" customWidth="1"/>
    <col min="1373" max="1373" width="7" bestFit="1" customWidth="1"/>
    <col min="1374" max="1374" width="5" bestFit="1" customWidth="1"/>
    <col min="1375" max="1375" width="7" bestFit="1" customWidth="1"/>
    <col min="1376" max="1376" width="5" bestFit="1" customWidth="1"/>
    <col min="1377" max="1379" width="8" bestFit="1" customWidth="1"/>
    <col min="1380" max="1380" width="7" bestFit="1" customWidth="1"/>
    <col min="1381" max="1381" width="8" bestFit="1" customWidth="1"/>
    <col min="1382" max="1383" width="7" bestFit="1" customWidth="1"/>
    <col min="1384" max="1384" width="8" bestFit="1" customWidth="1"/>
    <col min="1385" max="1385" width="6" bestFit="1" customWidth="1"/>
    <col min="1386" max="1386" width="7" bestFit="1" customWidth="1"/>
    <col min="1387" max="1388" width="8" bestFit="1" customWidth="1"/>
    <col min="1389" max="1389" width="5" bestFit="1" customWidth="1"/>
    <col min="1390" max="1390" width="7" bestFit="1" customWidth="1"/>
    <col min="1391" max="1391" width="5" bestFit="1" customWidth="1"/>
    <col min="1392" max="1392" width="8" bestFit="1" customWidth="1"/>
    <col min="1393" max="1393" width="7" bestFit="1" customWidth="1"/>
    <col min="1394" max="1394" width="8" bestFit="1" customWidth="1"/>
    <col min="1395" max="1395" width="5" bestFit="1" customWidth="1"/>
    <col min="1396" max="1397" width="7" bestFit="1" customWidth="1"/>
    <col min="1398" max="1399" width="8" bestFit="1" customWidth="1"/>
    <col min="1400" max="1401" width="7" bestFit="1" customWidth="1"/>
    <col min="1402" max="1402" width="8" bestFit="1" customWidth="1"/>
    <col min="1403" max="1403" width="7" bestFit="1" customWidth="1"/>
    <col min="1404" max="1404" width="8" bestFit="1" customWidth="1"/>
    <col min="1405" max="1406" width="7" bestFit="1" customWidth="1"/>
    <col min="1407" max="1407" width="8" bestFit="1" customWidth="1"/>
    <col min="1408" max="1408" width="7" bestFit="1" customWidth="1"/>
    <col min="1409" max="1414" width="8" bestFit="1" customWidth="1"/>
    <col min="1415" max="1415" width="7" bestFit="1" customWidth="1"/>
    <col min="1416" max="1416" width="6" bestFit="1" customWidth="1"/>
    <col min="1417" max="1417" width="7" bestFit="1" customWidth="1"/>
    <col min="1418" max="1418" width="8" bestFit="1" customWidth="1"/>
    <col min="1419" max="1419" width="7" bestFit="1" customWidth="1"/>
    <col min="1420" max="1420" width="8" bestFit="1" customWidth="1"/>
    <col min="1421" max="1421" width="7" bestFit="1" customWidth="1"/>
    <col min="1422" max="1424" width="8" bestFit="1" customWidth="1"/>
    <col min="1425" max="1425" width="7" bestFit="1" customWidth="1"/>
    <col min="1426" max="1427" width="8" bestFit="1" customWidth="1"/>
    <col min="1428" max="1428" width="7" bestFit="1" customWidth="1"/>
    <col min="1429" max="1429" width="8" bestFit="1" customWidth="1"/>
    <col min="1430" max="1432" width="7" bestFit="1" customWidth="1"/>
    <col min="1433" max="1433" width="8" bestFit="1" customWidth="1"/>
    <col min="1434" max="1434" width="7" bestFit="1" customWidth="1"/>
    <col min="1435" max="1435" width="8" bestFit="1" customWidth="1"/>
    <col min="1436" max="1436" width="6" bestFit="1" customWidth="1"/>
    <col min="1437" max="1437" width="8" bestFit="1" customWidth="1"/>
    <col min="1438" max="1438" width="7" bestFit="1" customWidth="1"/>
    <col min="1439" max="1439" width="8" bestFit="1" customWidth="1"/>
    <col min="1440" max="1440" width="5" bestFit="1" customWidth="1"/>
    <col min="1441" max="1441" width="8" bestFit="1" customWidth="1"/>
    <col min="1442" max="1442" width="7" bestFit="1" customWidth="1"/>
    <col min="1443" max="1444" width="8" bestFit="1" customWidth="1"/>
    <col min="1445" max="1445" width="7" bestFit="1" customWidth="1"/>
    <col min="1446" max="1448" width="8" bestFit="1" customWidth="1"/>
    <col min="1449" max="1449" width="7" bestFit="1" customWidth="1"/>
    <col min="1450" max="1450" width="5" bestFit="1" customWidth="1"/>
    <col min="1451" max="1451" width="7" bestFit="1" customWidth="1"/>
    <col min="1452" max="1452" width="6" bestFit="1" customWidth="1"/>
    <col min="1453" max="1453" width="8" bestFit="1" customWidth="1"/>
    <col min="1454" max="1454" width="7" bestFit="1" customWidth="1"/>
    <col min="1455" max="1455" width="8" bestFit="1" customWidth="1"/>
    <col min="1456" max="1456" width="5" bestFit="1" customWidth="1"/>
    <col min="1457" max="1459" width="8" bestFit="1" customWidth="1"/>
    <col min="1460" max="1460" width="7" bestFit="1" customWidth="1"/>
    <col min="1461" max="1464" width="8" bestFit="1" customWidth="1"/>
    <col min="1465" max="1465" width="7" bestFit="1" customWidth="1"/>
    <col min="1466" max="1466" width="8" bestFit="1" customWidth="1"/>
    <col min="1467" max="1468" width="7" bestFit="1" customWidth="1"/>
    <col min="1469" max="1469" width="6" bestFit="1" customWidth="1"/>
    <col min="1470" max="1470" width="7" bestFit="1" customWidth="1"/>
    <col min="1471" max="1473" width="8" bestFit="1" customWidth="1"/>
    <col min="1474" max="1475" width="5" bestFit="1" customWidth="1"/>
    <col min="1476" max="1479" width="8" bestFit="1" customWidth="1"/>
    <col min="1480" max="1480" width="7" bestFit="1" customWidth="1"/>
    <col min="1481" max="1481" width="6" bestFit="1" customWidth="1"/>
    <col min="1482" max="1483" width="7" bestFit="1" customWidth="1"/>
    <col min="1484" max="1484" width="8" bestFit="1" customWidth="1"/>
    <col min="1485" max="1485" width="7" bestFit="1" customWidth="1"/>
    <col min="1486" max="1486" width="8" bestFit="1" customWidth="1"/>
    <col min="1487" max="1487" width="7" bestFit="1" customWidth="1"/>
    <col min="1488" max="1489" width="8" bestFit="1" customWidth="1"/>
    <col min="1490" max="1490" width="7" bestFit="1" customWidth="1"/>
    <col min="1491" max="1491" width="8" bestFit="1" customWidth="1"/>
    <col min="1492" max="1492" width="7" bestFit="1" customWidth="1"/>
    <col min="1493" max="1493" width="6" bestFit="1" customWidth="1"/>
    <col min="1494" max="1494" width="5" bestFit="1" customWidth="1"/>
    <col min="1495" max="1495" width="7" bestFit="1" customWidth="1"/>
    <col min="1496" max="1497" width="8" bestFit="1" customWidth="1"/>
    <col min="1498" max="1498" width="7" bestFit="1" customWidth="1"/>
    <col min="1499" max="1499" width="8" bestFit="1" customWidth="1"/>
    <col min="1500" max="1500" width="6" bestFit="1" customWidth="1"/>
    <col min="1501" max="1501" width="5" bestFit="1" customWidth="1"/>
    <col min="1502" max="1504" width="8" bestFit="1" customWidth="1"/>
    <col min="1505" max="1505" width="7" bestFit="1" customWidth="1"/>
    <col min="1506" max="1506" width="6" bestFit="1" customWidth="1"/>
    <col min="1507" max="1507" width="5" bestFit="1" customWidth="1"/>
    <col min="1508" max="1510" width="8" bestFit="1" customWidth="1"/>
    <col min="1511" max="1511" width="6" bestFit="1" customWidth="1"/>
    <col min="1512" max="1513" width="5" bestFit="1" customWidth="1"/>
    <col min="1514" max="1514" width="8" bestFit="1" customWidth="1"/>
    <col min="1515" max="1515" width="6" bestFit="1" customWidth="1"/>
    <col min="1516" max="1518" width="8" bestFit="1" customWidth="1"/>
    <col min="1519" max="1519" width="5" bestFit="1" customWidth="1"/>
    <col min="1520" max="1520" width="8" bestFit="1" customWidth="1"/>
    <col min="1521" max="1522" width="6" bestFit="1" customWidth="1"/>
    <col min="1523" max="1523" width="5" bestFit="1" customWidth="1"/>
    <col min="1524" max="1525" width="7" bestFit="1" customWidth="1"/>
    <col min="1526" max="1526" width="6" bestFit="1" customWidth="1"/>
    <col min="1527" max="1527" width="8" bestFit="1" customWidth="1"/>
    <col min="1528" max="1530" width="5" bestFit="1" customWidth="1"/>
    <col min="1531" max="1531" width="8" bestFit="1" customWidth="1"/>
    <col min="1532" max="1534" width="5" bestFit="1" customWidth="1"/>
    <col min="1535" max="1535" width="7" bestFit="1" customWidth="1"/>
    <col min="1536" max="1541" width="5" bestFit="1" customWidth="1"/>
    <col min="1542" max="1542" width="8" bestFit="1" customWidth="1"/>
    <col min="1543" max="1543" width="5" bestFit="1" customWidth="1"/>
    <col min="1544" max="1544" width="8" bestFit="1" customWidth="1"/>
    <col min="1545" max="1545" width="23.85546875" bestFit="1" customWidth="1"/>
    <col min="1546" max="1547" width="7" bestFit="1" customWidth="1"/>
    <col min="1548" max="1548" width="6" bestFit="1" customWidth="1"/>
    <col min="1549" max="1549" width="4" bestFit="1" customWidth="1"/>
    <col min="1550" max="1550" width="7" bestFit="1" customWidth="1"/>
    <col min="1551" max="1551" width="6" bestFit="1" customWidth="1"/>
    <col min="1552" max="1552" width="7" bestFit="1" customWidth="1"/>
    <col min="1553" max="1557" width="6" bestFit="1" customWidth="1"/>
    <col min="1558" max="1558" width="7" bestFit="1" customWidth="1"/>
    <col min="1559" max="1559" width="6" bestFit="1" customWidth="1"/>
    <col min="1560" max="1561" width="7" bestFit="1" customWidth="1"/>
    <col min="1562" max="1562" width="4.42578125" bestFit="1" customWidth="1"/>
    <col min="1563" max="1564" width="6" bestFit="1" customWidth="1"/>
    <col min="1565" max="1572" width="7" bestFit="1" customWidth="1"/>
    <col min="1573" max="1573" width="6" bestFit="1" customWidth="1"/>
    <col min="1574" max="1574" width="7" bestFit="1" customWidth="1"/>
    <col min="1575" max="1575" width="6" bestFit="1" customWidth="1"/>
    <col min="1576" max="1578" width="7" bestFit="1" customWidth="1"/>
    <col min="1579" max="1581" width="6" bestFit="1" customWidth="1"/>
    <col min="1582" max="1585" width="7" bestFit="1" customWidth="1"/>
    <col min="1586" max="1587" width="6" bestFit="1" customWidth="1"/>
    <col min="1588" max="1590" width="7" bestFit="1" customWidth="1"/>
    <col min="1591" max="1591" width="6" bestFit="1" customWidth="1"/>
    <col min="1592" max="1593" width="7" bestFit="1" customWidth="1"/>
    <col min="1594" max="1594" width="6" bestFit="1" customWidth="1"/>
    <col min="1595" max="1595" width="5" bestFit="1" customWidth="1"/>
    <col min="1596" max="1596" width="8" bestFit="1" customWidth="1"/>
    <col min="1597" max="1597" width="7" bestFit="1" customWidth="1"/>
    <col min="1598" max="1603" width="8" bestFit="1" customWidth="1"/>
    <col min="1604" max="1604" width="7" bestFit="1" customWidth="1"/>
    <col min="1605" max="1608" width="8" bestFit="1" customWidth="1"/>
    <col min="1609" max="1609" width="7" bestFit="1" customWidth="1"/>
    <col min="1610" max="1610" width="8" bestFit="1" customWidth="1"/>
    <col min="1611" max="1611" width="7" bestFit="1" customWidth="1"/>
    <col min="1612" max="1613" width="8" bestFit="1" customWidth="1"/>
    <col min="1614" max="1614" width="5" bestFit="1" customWidth="1"/>
    <col min="1615" max="1615" width="8" bestFit="1" customWidth="1"/>
    <col min="1616" max="1616" width="7" bestFit="1" customWidth="1"/>
    <col min="1617" max="1619" width="8" bestFit="1" customWidth="1"/>
    <col min="1620" max="1620" width="7" bestFit="1" customWidth="1"/>
    <col min="1621" max="1621" width="8" bestFit="1" customWidth="1"/>
    <col min="1622" max="1622" width="7" bestFit="1" customWidth="1"/>
    <col min="1623" max="1623" width="8" bestFit="1" customWidth="1"/>
    <col min="1624" max="1624" width="7" bestFit="1" customWidth="1"/>
    <col min="1625" max="1625" width="8" bestFit="1" customWidth="1"/>
    <col min="1626" max="1626" width="5" bestFit="1" customWidth="1"/>
    <col min="1627" max="1629" width="8" bestFit="1" customWidth="1"/>
    <col min="1630" max="1630" width="7" bestFit="1" customWidth="1"/>
    <col min="1631" max="1635" width="8" bestFit="1" customWidth="1"/>
    <col min="1636" max="1636" width="7" bestFit="1" customWidth="1"/>
    <col min="1637" max="1638" width="8" bestFit="1" customWidth="1"/>
    <col min="1639" max="1639" width="7" bestFit="1" customWidth="1"/>
    <col min="1640" max="1641" width="8" bestFit="1" customWidth="1"/>
    <col min="1642" max="1642" width="7" bestFit="1" customWidth="1"/>
    <col min="1643" max="1648" width="8" bestFit="1" customWidth="1"/>
    <col min="1649" max="1649" width="5" bestFit="1" customWidth="1"/>
    <col min="1650" max="1652" width="8" bestFit="1" customWidth="1"/>
    <col min="1653" max="1653" width="7" bestFit="1" customWidth="1"/>
    <col min="1654" max="1655" width="8" bestFit="1" customWidth="1"/>
    <col min="1656" max="1656" width="7" bestFit="1" customWidth="1"/>
    <col min="1657" max="1657" width="8" bestFit="1" customWidth="1"/>
    <col min="1658" max="1661" width="7" bestFit="1" customWidth="1"/>
    <col min="1662" max="1665" width="8" bestFit="1" customWidth="1"/>
    <col min="1666" max="1666" width="7" bestFit="1" customWidth="1"/>
    <col min="1667" max="1670" width="8" bestFit="1" customWidth="1"/>
    <col min="1671" max="1671" width="5" bestFit="1" customWidth="1"/>
    <col min="1672" max="1674" width="8" bestFit="1" customWidth="1"/>
    <col min="1675" max="1677" width="7" bestFit="1" customWidth="1"/>
    <col min="1678" max="1680" width="8" bestFit="1" customWidth="1"/>
    <col min="1681" max="1681" width="7" bestFit="1" customWidth="1"/>
    <col min="1682" max="1684" width="8" bestFit="1" customWidth="1"/>
    <col min="1685" max="1685" width="7" bestFit="1" customWidth="1"/>
    <col min="1686" max="1688" width="8" bestFit="1" customWidth="1"/>
    <col min="1689" max="1689" width="7" bestFit="1" customWidth="1"/>
    <col min="1690" max="1693" width="8" bestFit="1" customWidth="1"/>
    <col min="1694" max="1694" width="5" bestFit="1" customWidth="1"/>
    <col min="1695" max="1696" width="8" bestFit="1" customWidth="1"/>
    <col min="1697" max="1697" width="7" bestFit="1" customWidth="1"/>
    <col min="1698" max="1700" width="8" bestFit="1" customWidth="1"/>
    <col min="1701" max="1702" width="7" bestFit="1" customWidth="1"/>
    <col min="1703" max="1703" width="8" bestFit="1" customWidth="1"/>
    <col min="1704" max="1704" width="7" bestFit="1" customWidth="1"/>
    <col min="1705" max="1707" width="8" bestFit="1" customWidth="1"/>
    <col min="1708" max="1708" width="7" bestFit="1" customWidth="1"/>
    <col min="1709" max="1712" width="8" bestFit="1" customWidth="1"/>
    <col min="1713" max="1713" width="7" bestFit="1" customWidth="1"/>
    <col min="1714" max="1714" width="8" bestFit="1" customWidth="1"/>
    <col min="1715" max="1715" width="5" bestFit="1" customWidth="1"/>
    <col min="1716" max="1716" width="8" bestFit="1" customWidth="1"/>
    <col min="1717" max="1717" width="7" bestFit="1" customWidth="1"/>
    <col min="1718" max="1718" width="8" bestFit="1" customWidth="1"/>
    <col min="1719" max="1719" width="7" bestFit="1" customWidth="1"/>
    <col min="1720" max="1722" width="8" bestFit="1" customWidth="1"/>
    <col min="1723" max="1723" width="7" bestFit="1" customWidth="1"/>
    <col min="1724" max="1724" width="8" bestFit="1" customWidth="1"/>
    <col min="1725" max="1725" width="7" bestFit="1" customWidth="1"/>
    <col min="1726" max="1727" width="8" bestFit="1" customWidth="1"/>
    <col min="1728" max="1728" width="7" bestFit="1" customWidth="1"/>
    <col min="1729" max="1735" width="8" bestFit="1" customWidth="1"/>
    <col min="1736" max="1736" width="5" bestFit="1" customWidth="1"/>
    <col min="1737" max="1737" width="8" bestFit="1" customWidth="1"/>
    <col min="1738" max="1738" width="5" bestFit="1" customWidth="1"/>
    <col min="1739" max="1740" width="8" bestFit="1" customWidth="1"/>
    <col min="1741" max="1741" width="7" bestFit="1" customWidth="1"/>
    <col min="1742" max="1743" width="8" bestFit="1" customWidth="1"/>
    <col min="1744" max="1744" width="7" bestFit="1" customWidth="1"/>
    <col min="1745" max="1745" width="5" bestFit="1" customWidth="1"/>
    <col min="1746" max="1746" width="8" bestFit="1" customWidth="1"/>
    <col min="1747" max="1747" width="7" bestFit="1" customWidth="1"/>
    <col min="1748" max="1749" width="8" bestFit="1" customWidth="1"/>
    <col min="1750" max="1750" width="5" bestFit="1" customWidth="1"/>
    <col min="1751" max="1754" width="8" bestFit="1" customWidth="1"/>
    <col min="1755" max="1755" width="5" bestFit="1" customWidth="1"/>
    <col min="1756" max="1756" width="8" bestFit="1" customWidth="1"/>
    <col min="1757" max="1757" width="7" bestFit="1" customWidth="1"/>
    <col min="1758" max="1758" width="8" bestFit="1" customWidth="1"/>
    <col min="1759" max="1759" width="7" bestFit="1" customWidth="1"/>
    <col min="1760" max="1760" width="8" bestFit="1" customWidth="1"/>
    <col min="1761" max="1761" width="5" bestFit="1" customWidth="1"/>
    <col min="1762" max="1762" width="7" bestFit="1" customWidth="1"/>
    <col min="1763" max="1768" width="8" bestFit="1" customWidth="1"/>
    <col min="1769" max="1769" width="7" bestFit="1" customWidth="1"/>
    <col min="1770" max="1770" width="8" bestFit="1" customWidth="1"/>
    <col min="1771" max="1771" width="7" bestFit="1" customWidth="1"/>
    <col min="1772" max="1772" width="8" bestFit="1" customWidth="1"/>
    <col min="1773" max="1774" width="7" bestFit="1" customWidth="1"/>
    <col min="1775" max="1777" width="8" bestFit="1" customWidth="1"/>
    <col min="1778" max="1778" width="7" bestFit="1" customWidth="1"/>
    <col min="1779" max="1779" width="8" bestFit="1" customWidth="1"/>
    <col min="1780" max="1780" width="5" bestFit="1" customWidth="1"/>
    <col min="1781" max="1783" width="8" bestFit="1" customWidth="1"/>
    <col min="1784" max="1784" width="7" bestFit="1" customWidth="1"/>
    <col min="1785" max="1789" width="8" bestFit="1" customWidth="1"/>
    <col min="1790" max="1790" width="7" bestFit="1" customWidth="1"/>
    <col min="1791" max="1791" width="8" bestFit="1" customWidth="1"/>
    <col min="1792" max="1792" width="7" bestFit="1" customWidth="1"/>
    <col min="1793" max="1799" width="8" bestFit="1" customWidth="1"/>
    <col min="1800" max="1801" width="7" bestFit="1" customWidth="1"/>
    <col min="1802" max="1809" width="8" bestFit="1" customWidth="1"/>
    <col min="1810" max="1810" width="5" bestFit="1" customWidth="1"/>
    <col min="1811" max="1812" width="7" bestFit="1" customWidth="1"/>
    <col min="1813" max="1813" width="8" bestFit="1" customWidth="1"/>
    <col min="1814" max="1814" width="7" bestFit="1" customWidth="1"/>
    <col min="1815" max="1816" width="8" bestFit="1" customWidth="1"/>
    <col min="1817" max="1817" width="5" bestFit="1" customWidth="1"/>
    <col min="1818" max="1824" width="8" bestFit="1" customWidth="1"/>
    <col min="1825" max="1825" width="7" bestFit="1" customWidth="1"/>
    <col min="1826" max="1828" width="8" bestFit="1" customWidth="1"/>
    <col min="1829" max="1829" width="5" bestFit="1" customWidth="1"/>
    <col min="1830" max="1830" width="8" bestFit="1" customWidth="1"/>
    <col min="1831" max="1831" width="7" bestFit="1" customWidth="1"/>
    <col min="1832" max="1835" width="8" bestFit="1" customWidth="1"/>
    <col min="1836" max="1836" width="7" bestFit="1" customWidth="1"/>
    <col min="1837" max="1840" width="8" bestFit="1" customWidth="1"/>
    <col min="1841" max="1841" width="5" bestFit="1" customWidth="1"/>
    <col min="1842" max="1842" width="8" bestFit="1" customWidth="1"/>
    <col min="1843" max="1843" width="7" bestFit="1" customWidth="1"/>
    <col min="1844" max="1844" width="8" bestFit="1" customWidth="1"/>
    <col min="1845" max="1846" width="5" bestFit="1" customWidth="1"/>
    <col min="1847" max="1847" width="8" bestFit="1" customWidth="1"/>
    <col min="1848" max="1848" width="7" bestFit="1" customWidth="1"/>
    <col min="1849" max="1854" width="8" bestFit="1" customWidth="1"/>
    <col min="1855" max="1855" width="5" bestFit="1" customWidth="1"/>
    <col min="1856" max="1856" width="8" bestFit="1" customWidth="1"/>
    <col min="1857" max="1858" width="7" bestFit="1" customWidth="1"/>
    <col min="1859" max="1859" width="8" bestFit="1" customWidth="1"/>
    <col min="1860" max="1860" width="7" bestFit="1" customWidth="1"/>
    <col min="1861" max="1878" width="8" bestFit="1" customWidth="1"/>
    <col min="1879" max="1880" width="7" bestFit="1" customWidth="1"/>
    <col min="1881" max="1882" width="8" bestFit="1" customWidth="1"/>
    <col min="1883" max="1884" width="7" bestFit="1" customWidth="1"/>
    <col min="1885" max="1887" width="8" bestFit="1" customWidth="1"/>
    <col min="1888" max="1888" width="7" bestFit="1" customWidth="1"/>
    <col min="1889" max="1890" width="8" bestFit="1" customWidth="1"/>
    <col min="1891" max="1891" width="7" bestFit="1" customWidth="1"/>
    <col min="1892" max="1896" width="8" bestFit="1" customWidth="1"/>
    <col min="1897" max="1897" width="7" bestFit="1" customWidth="1"/>
    <col min="1898" max="1899" width="8" bestFit="1" customWidth="1"/>
    <col min="1900" max="1900" width="7" bestFit="1" customWidth="1"/>
    <col min="1901" max="1901" width="8" bestFit="1" customWidth="1"/>
    <col min="1902" max="1902" width="5" bestFit="1" customWidth="1"/>
    <col min="1903" max="1905" width="8" bestFit="1" customWidth="1"/>
    <col min="1906" max="1906" width="7" bestFit="1" customWidth="1"/>
    <col min="1907" max="1908" width="8" bestFit="1" customWidth="1"/>
    <col min="1909" max="1909" width="7" bestFit="1" customWidth="1"/>
    <col min="1910" max="1910" width="8" bestFit="1" customWidth="1"/>
    <col min="1911" max="1912" width="7" bestFit="1" customWidth="1"/>
    <col min="1913" max="1914" width="8" bestFit="1" customWidth="1"/>
    <col min="1915" max="1915" width="7" bestFit="1" customWidth="1"/>
    <col min="1916" max="1920" width="8" bestFit="1" customWidth="1"/>
    <col min="1921" max="1921" width="7" bestFit="1" customWidth="1"/>
    <col min="1922" max="1928" width="8" bestFit="1" customWidth="1"/>
    <col min="1929" max="1929" width="7" bestFit="1" customWidth="1"/>
    <col min="1930" max="1930" width="5" bestFit="1" customWidth="1"/>
    <col min="1931" max="1932" width="8" bestFit="1" customWidth="1"/>
    <col min="1933" max="1934" width="5" bestFit="1" customWidth="1"/>
    <col min="1935" max="1935" width="8" bestFit="1" customWidth="1"/>
    <col min="1936" max="1936" width="7" bestFit="1" customWidth="1"/>
    <col min="1937" max="1938" width="8" bestFit="1" customWidth="1"/>
    <col min="1939" max="1939" width="5" bestFit="1" customWidth="1"/>
    <col min="1940" max="1943" width="7" bestFit="1" customWidth="1"/>
    <col min="1944" max="1944" width="8" bestFit="1" customWidth="1"/>
    <col min="1945" max="1946" width="7" bestFit="1" customWidth="1"/>
    <col min="1947" max="1948" width="8" bestFit="1" customWidth="1"/>
    <col min="1949" max="1949" width="7" bestFit="1" customWidth="1"/>
    <col min="1950" max="1951" width="8" bestFit="1" customWidth="1"/>
    <col min="1952" max="1952" width="7" bestFit="1" customWidth="1"/>
    <col min="1953" max="1960" width="8" bestFit="1" customWidth="1"/>
    <col min="1961" max="1962" width="7" bestFit="1" customWidth="1"/>
    <col min="1963" max="1963" width="8" bestFit="1" customWidth="1"/>
    <col min="1964" max="1964" width="7" bestFit="1" customWidth="1"/>
    <col min="1965" max="1967" width="8" bestFit="1" customWidth="1"/>
    <col min="1968" max="1968" width="5" bestFit="1" customWidth="1"/>
    <col min="1969" max="1970" width="7" bestFit="1" customWidth="1"/>
    <col min="1971" max="1974" width="8" bestFit="1" customWidth="1"/>
    <col min="1975" max="1975" width="5" bestFit="1" customWidth="1"/>
    <col min="1976" max="1976" width="8" bestFit="1" customWidth="1"/>
    <col min="1977" max="1977" width="7" bestFit="1" customWidth="1"/>
    <col min="1978" max="1981" width="8" bestFit="1" customWidth="1"/>
    <col min="1982" max="1985" width="7" bestFit="1" customWidth="1"/>
    <col min="1986" max="1989" width="8" bestFit="1" customWidth="1"/>
    <col min="1990" max="1990" width="5" bestFit="1" customWidth="1"/>
    <col min="1991" max="1992" width="8" bestFit="1" customWidth="1"/>
    <col min="1993" max="1993" width="5" bestFit="1" customWidth="1"/>
    <col min="1994" max="1994" width="8" bestFit="1" customWidth="1"/>
    <col min="1995" max="1996" width="7" bestFit="1" customWidth="1"/>
    <col min="1997" max="1997" width="8" bestFit="1" customWidth="1"/>
    <col min="1998" max="1998" width="7" bestFit="1" customWidth="1"/>
    <col min="1999" max="2000" width="8" bestFit="1" customWidth="1"/>
    <col min="2001" max="2001" width="5" bestFit="1" customWidth="1"/>
    <col min="2002" max="2003" width="8" bestFit="1" customWidth="1"/>
    <col min="2004" max="2005" width="5" bestFit="1" customWidth="1"/>
    <col min="2006" max="2007" width="8" bestFit="1" customWidth="1"/>
    <col min="2008" max="2008" width="7" bestFit="1" customWidth="1"/>
    <col min="2009" max="2010" width="8" bestFit="1" customWidth="1"/>
    <col min="2011" max="2011" width="5" bestFit="1" customWidth="1"/>
    <col min="2012" max="2012" width="8" bestFit="1" customWidth="1"/>
    <col min="2013" max="2013" width="7" bestFit="1" customWidth="1"/>
    <col min="2014" max="2014" width="5" bestFit="1" customWidth="1"/>
    <col min="2015" max="2016" width="8" bestFit="1" customWidth="1"/>
    <col min="2017" max="2017" width="7" bestFit="1" customWidth="1"/>
    <col min="2018" max="2019" width="8" bestFit="1" customWidth="1"/>
    <col min="2020" max="2020" width="7" bestFit="1" customWidth="1"/>
    <col min="2021" max="2021" width="5" bestFit="1" customWidth="1"/>
    <col min="2022" max="2026" width="8" bestFit="1" customWidth="1"/>
    <col min="2027" max="2027" width="7" bestFit="1" customWidth="1"/>
    <col min="2028" max="2030" width="8" bestFit="1" customWidth="1"/>
    <col min="2031" max="2032" width="7" bestFit="1" customWidth="1"/>
    <col min="2033" max="2033" width="8" bestFit="1" customWidth="1"/>
    <col min="2034" max="2034" width="5" bestFit="1" customWidth="1"/>
    <col min="2035" max="2039" width="8" bestFit="1" customWidth="1"/>
    <col min="2040" max="2040" width="7" bestFit="1" customWidth="1"/>
    <col min="2041" max="2041" width="8" bestFit="1" customWidth="1"/>
    <col min="2042" max="2042" width="5" bestFit="1" customWidth="1"/>
    <col min="2043" max="2044" width="8" bestFit="1" customWidth="1"/>
    <col min="2045" max="2045" width="7" bestFit="1" customWidth="1"/>
    <col min="2046" max="2046" width="8" bestFit="1" customWidth="1"/>
    <col min="2047" max="2047" width="7" bestFit="1" customWidth="1"/>
    <col min="2048" max="2055" width="8" bestFit="1" customWidth="1"/>
    <col min="2056" max="2056" width="7" bestFit="1" customWidth="1"/>
    <col min="2057" max="2060" width="8" bestFit="1" customWidth="1"/>
    <col min="2061" max="2061" width="7" bestFit="1" customWidth="1"/>
    <col min="2062" max="2062" width="8" bestFit="1" customWidth="1"/>
    <col min="2063" max="2063" width="7" bestFit="1" customWidth="1"/>
    <col min="2064" max="2065" width="8" bestFit="1" customWidth="1"/>
    <col min="2066" max="2068" width="7" bestFit="1" customWidth="1"/>
    <col min="2069" max="2070" width="8" bestFit="1" customWidth="1"/>
    <col min="2071" max="2071" width="7" bestFit="1" customWidth="1"/>
    <col min="2072" max="2080" width="8" bestFit="1" customWidth="1"/>
    <col min="2081" max="2081" width="7" bestFit="1" customWidth="1"/>
    <col min="2082" max="2083" width="8" bestFit="1" customWidth="1"/>
    <col min="2084" max="2084" width="7" bestFit="1" customWidth="1"/>
    <col min="2085" max="2085" width="8" bestFit="1" customWidth="1"/>
    <col min="2086" max="2086" width="5" bestFit="1" customWidth="1"/>
    <col min="2087" max="2089" width="8" bestFit="1" customWidth="1"/>
    <col min="2090" max="2090" width="7" bestFit="1" customWidth="1"/>
    <col min="2091" max="2091" width="8" bestFit="1" customWidth="1"/>
    <col min="2092" max="2092" width="7" bestFit="1" customWidth="1"/>
    <col min="2093" max="2096" width="8" bestFit="1" customWidth="1"/>
    <col min="2097" max="2098" width="7" bestFit="1" customWidth="1"/>
    <col min="2099" max="2100" width="8" bestFit="1" customWidth="1"/>
    <col min="2101" max="2101" width="7" bestFit="1" customWidth="1"/>
    <col min="2102" max="2102" width="5.42578125" bestFit="1" customWidth="1"/>
    <col min="2103" max="2107" width="8" bestFit="1" customWidth="1"/>
    <col min="2108" max="2109" width="7" bestFit="1" customWidth="1"/>
    <col min="2110" max="2110" width="8" bestFit="1" customWidth="1"/>
    <col min="2111" max="2113" width="7" bestFit="1" customWidth="1"/>
    <col min="2114" max="2114" width="8" bestFit="1" customWidth="1"/>
    <col min="2115" max="2115" width="7" bestFit="1" customWidth="1"/>
    <col min="2116" max="2123" width="8" bestFit="1" customWidth="1"/>
    <col min="2124" max="2124" width="7" bestFit="1" customWidth="1"/>
    <col min="2125" max="2127" width="8" bestFit="1" customWidth="1"/>
    <col min="2128" max="2128" width="7" bestFit="1" customWidth="1"/>
    <col min="2129" max="2134" width="8" bestFit="1" customWidth="1"/>
    <col min="2135" max="2135" width="5" bestFit="1" customWidth="1"/>
    <col min="2136" max="2138" width="8" bestFit="1" customWidth="1"/>
    <col min="2139" max="2140" width="7" bestFit="1" customWidth="1"/>
    <col min="2141" max="2148" width="8" bestFit="1" customWidth="1"/>
    <col min="2149" max="2149" width="7" bestFit="1" customWidth="1"/>
    <col min="2150" max="2150" width="8" bestFit="1" customWidth="1"/>
    <col min="2151" max="2151" width="5" bestFit="1" customWidth="1"/>
    <col min="2152" max="2157" width="8" bestFit="1" customWidth="1"/>
    <col min="2158" max="2158" width="7" bestFit="1" customWidth="1"/>
    <col min="2159" max="2170" width="8" bestFit="1" customWidth="1"/>
    <col min="2171" max="2171" width="5.42578125" bestFit="1" customWidth="1"/>
    <col min="2172" max="2173" width="8" bestFit="1" customWidth="1"/>
    <col min="2174" max="2174" width="5" bestFit="1" customWidth="1"/>
    <col min="2175" max="2175" width="8" bestFit="1" customWidth="1"/>
    <col min="2176" max="2176" width="5" bestFit="1" customWidth="1"/>
    <col min="2177" max="2179" width="8" bestFit="1" customWidth="1"/>
    <col min="2180" max="2180" width="7" bestFit="1" customWidth="1"/>
    <col min="2181" max="2195" width="8" bestFit="1" customWidth="1"/>
    <col min="2196" max="2197" width="7" bestFit="1" customWidth="1"/>
    <col min="2198" max="2198" width="8" bestFit="1" customWidth="1"/>
    <col min="2199" max="2199" width="5" bestFit="1" customWidth="1"/>
    <col min="2200" max="2202" width="8" bestFit="1" customWidth="1"/>
    <col min="2203" max="2203" width="5" bestFit="1" customWidth="1"/>
    <col min="2204" max="2208" width="8" bestFit="1" customWidth="1"/>
    <col min="2209" max="2209" width="7" bestFit="1" customWidth="1"/>
    <col min="2210" max="2211" width="8" bestFit="1" customWidth="1"/>
    <col min="2212" max="2212" width="7" bestFit="1" customWidth="1"/>
    <col min="2213" max="2214" width="8" bestFit="1" customWidth="1"/>
    <col min="2215" max="2215" width="7" bestFit="1" customWidth="1"/>
    <col min="2216" max="2216" width="8" bestFit="1" customWidth="1"/>
    <col min="2217" max="2217" width="7" bestFit="1" customWidth="1"/>
    <col min="2218" max="2218" width="8" bestFit="1" customWidth="1"/>
    <col min="2219" max="2219" width="5" bestFit="1" customWidth="1"/>
    <col min="2220" max="2222" width="8" bestFit="1" customWidth="1"/>
    <col min="2223" max="2223" width="5" bestFit="1" customWidth="1"/>
    <col min="2224" max="2226" width="8" bestFit="1" customWidth="1"/>
    <col min="2227" max="2228" width="7" bestFit="1" customWidth="1"/>
    <col min="2229" max="2231" width="8" bestFit="1" customWidth="1"/>
    <col min="2232" max="2232" width="5.42578125" bestFit="1" customWidth="1"/>
    <col min="2233" max="2235" width="8" bestFit="1" customWidth="1"/>
    <col min="2236" max="2237" width="7" bestFit="1" customWidth="1"/>
    <col min="2238" max="2241" width="8" bestFit="1" customWidth="1"/>
    <col min="2242" max="2242" width="7" bestFit="1" customWidth="1"/>
    <col min="2243" max="2244" width="8" bestFit="1" customWidth="1"/>
    <col min="2245" max="2245" width="7" bestFit="1" customWidth="1"/>
    <col min="2246" max="2246" width="8" bestFit="1" customWidth="1"/>
    <col min="2247" max="2248" width="7" bestFit="1" customWidth="1"/>
    <col min="2249" max="2250" width="8" bestFit="1" customWidth="1"/>
    <col min="2251" max="2251" width="7" bestFit="1" customWidth="1"/>
    <col min="2252" max="2252" width="8" bestFit="1" customWidth="1"/>
    <col min="2253" max="2253" width="7" bestFit="1" customWidth="1"/>
    <col min="2254" max="2254" width="5" bestFit="1" customWidth="1"/>
    <col min="2255" max="2255" width="7" bestFit="1" customWidth="1"/>
    <col min="2256" max="2257" width="8" bestFit="1" customWidth="1"/>
    <col min="2258" max="2258" width="7" bestFit="1" customWidth="1"/>
    <col min="2259" max="2263" width="8" bestFit="1" customWidth="1"/>
    <col min="2264" max="2266" width="7" bestFit="1" customWidth="1"/>
    <col min="2267" max="2268" width="8" bestFit="1" customWidth="1"/>
    <col min="2269" max="2269" width="5" bestFit="1" customWidth="1"/>
    <col min="2270" max="2280" width="8" bestFit="1" customWidth="1"/>
    <col min="2281" max="2281" width="7" bestFit="1" customWidth="1"/>
    <col min="2282" max="2283" width="8" bestFit="1" customWidth="1"/>
    <col min="2284" max="2286" width="7" bestFit="1" customWidth="1"/>
    <col min="2287" max="2294" width="8" bestFit="1" customWidth="1"/>
    <col min="2295" max="2295" width="7" bestFit="1" customWidth="1"/>
    <col min="2296" max="2296" width="8" bestFit="1" customWidth="1"/>
    <col min="2297" max="2297" width="5" bestFit="1" customWidth="1"/>
    <col min="2298" max="2300" width="8" bestFit="1" customWidth="1"/>
    <col min="2301" max="2301" width="5.42578125" bestFit="1" customWidth="1"/>
    <col min="2302" max="2310" width="8" bestFit="1" customWidth="1"/>
    <col min="2311" max="2311" width="7" bestFit="1" customWidth="1"/>
    <col min="2312" max="2314" width="8" bestFit="1" customWidth="1"/>
    <col min="2315" max="2315" width="5" bestFit="1" customWidth="1"/>
    <col min="2316" max="2318" width="8" bestFit="1" customWidth="1"/>
    <col min="2319" max="2321" width="7" bestFit="1" customWidth="1"/>
    <col min="2322" max="2324" width="8" bestFit="1" customWidth="1"/>
    <col min="2325" max="2325" width="7" bestFit="1" customWidth="1"/>
    <col min="2326" max="2328" width="8" bestFit="1" customWidth="1"/>
    <col min="2329" max="2329" width="5" bestFit="1" customWidth="1"/>
    <col min="2330" max="2330" width="7" bestFit="1" customWidth="1"/>
    <col min="2331" max="2335" width="8" bestFit="1" customWidth="1"/>
    <col min="2336" max="2336" width="7" bestFit="1" customWidth="1"/>
    <col min="2337" max="2339" width="8" bestFit="1" customWidth="1"/>
    <col min="2340" max="2340" width="7" bestFit="1" customWidth="1"/>
    <col min="2341" max="2345" width="8" bestFit="1" customWidth="1"/>
    <col min="2346" max="2346" width="5" bestFit="1" customWidth="1"/>
    <col min="2347" max="2348" width="8" bestFit="1" customWidth="1"/>
    <col min="2349" max="2349" width="7" bestFit="1" customWidth="1"/>
    <col min="2350" max="2353" width="8" bestFit="1" customWidth="1"/>
    <col min="2354" max="2354" width="7" bestFit="1" customWidth="1"/>
    <col min="2355" max="2355" width="8" bestFit="1" customWidth="1"/>
    <col min="2356" max="2356" width="5.42578125" bestFit="1" customWidth="1"/>
    <col min="2357" max="2360" width="8" bestFit="1" customWidth="1"/>
    <col min="2361" max="2361" width="7" bestFit="1" customWidth="1"/>
    <col min="2362" max="2366" width="8" bestFit="1" customWidth="1"/>
    <col min="2367" max="2367" width="5" bestFit="1" customWidth="1"/>
    <col min="2368" max="2376" width="8" bestFit="1" customWidth="1"/>
    <col min="2377" max="2379" width="7" bestFit="1" customWidth="1"/>
    <col min="2380" max="2385" width="8" bestFit="1" customWidth="1"/>
    <col min="2386" max="2388" width="7" bestFit="1" customWidth="1"/>
    <col min="2389" max="2389" width="8" bestFit="1" customWidth="1"/>
    <col min="2390" max="2390" width="7" bestFit="1" customWidth="1"/>
    <col min="2391" max="2399" width="8" bestFit="1" customWidth="1"/>
    <col min="2400" max="2400" width="7" bestFit="1" customWidth="1"/>
    <col min="2401" max="2404" width="8" bestFit="1" customWidth="1"/>
    <col min="2405" max="2405" width="7" bestFit="1" customWidth="1"/>
    <col min="2406" max="2409" width="8" bestFit="1" customWidth="1"/>
    <col min="2410" max="2410" width="7" bestFit="1" customWidth="1"/>
    <col min="2411" max="2413" width="8" bestFit="1" customWidth="1"/>
    <col min="2414" max="2414" width="5.42578125" bestFit="1" customWidth="1"/>
    <col min="2415" max="2415" width="8" bestFit="1" customWidth="1"/>
    <col min="2416" max="2416" width="7" bestFit="1" customWidth="1"/>
    <col min="2417" max="2417" width="5" bestFit="1" customWidth="1"/>
    <col min="2418" max="2426" width="8" bestFit="1" customWidth="1"/>
    <col min="2427" max="2427" width="7" bestFit="1" customWidth="1"/>
    <col min="2428" max="2431" width="8" bestFit="1" customWidth="1"/>
    <col min="2432" max="2432" width="5" bestFit="1" customWidth="1"/>
    <col min="2433" max="2434" width="8" bestFit="1" customWidth="1"/>
    <col min="2435" max="2436" width="7" bestFit="1" customWidth="1"/>
    <col min="2437" max="2437" width="8" bestFit="1" customWidth="1"/>
    <col min="2438" max="2438" width="7" bestFit="1" customWidth="1"/>
    <col min="2439" max="2443" width="8" bestFit="1" customWidth="1"/>
    <col min="2444" max="2444" width="7" bestFit="1" customWidth="1"/>
    <col min="2445" max="2445" width="5" bestFit="1" customWidth="1"/>
    <col min="2446" max="2447" width="7" bestFit="1" customWidth="1"/>
    <col min="2448" max="2458" width="8" bestFit="1" customWidth="1"/>
    <col min="2459" max="2459" width="5.42578125" bestFit="1" customWidth="1"/>
    <col min="2460" max="2460" width="8" bestFit="1" customWidth="1"/>
    <col min="2461" max="2461" width="7" bestFit="1" customWidth="1"/>
    <col min="2462" max="2465" width="8" bestFit="1" customWidth="1"/>
    <col min="2466" max="2466" width="5" bestFit="1" customWidth="1"/>
    <col min="2467" max="2467" width="7" bestFit="1" customWidth="1"/>
    <col min="2468" max="2468" width="8" bestFit="1" customWidth="1"/>
    <col min="2469" max="2469" width="5" bestFit="1" customWidth="1"/>
    <col min="2470" max="2471" width="8" bestFit="1" customWidth="1"/>
    <col min="2472" max="2473" width="7" bestFit="1" customWidth="1"/>
    <col min="2474" max="2474" width="5" bestFit="1" customWidth="1"/>
    <col min="2475" max="2480" width="8" bestFit="1" customWidth="1"/>
    <col min="2481" max="2481" width="7" bestFit="1" customWidth="1"/>
    <col min="2482" max="2488" width="8" bestFit="1" customWidth="1"/>
    <col min="2489" max="2489" width="7" bestFit="1" customWidth="1"/>
    <col min="2490" max="2493" width="8" bestFit="1" customWidth="1"/>
    <col min="2494" max="2494" width="5" bestFit="1" customWidth="1"/>
    <col min="2495" max="2497" width="8" bestFit="1" customWidth="1"/>
    <col min="2498" max="2498" width="7" bestFit="1" customWidth="1"/>
    <col min="2499" max="2503" width="8" bestFit="1" customWidth="1"/>
    <col min="2504" max="2504" width="7" bestFit="1" customWidth="1"/>
    <col min="2505" max="2506" width="8" bestFit="1" customWidth="1"/>
    <col min="2507" max="2507" width="7" bestFit="1" customWidth="1"/>
    <col min="2508" max="2510" width="8" bestFit="1" customWidth="1"/>
    <col min="2511" max="2511" width="5" bestFit="1" customWidth="1"/>
    <col min="2512" max="2514" width="8" bestFit="1" customWidth="1"/>
    <col min="2515" max="2515" width="5" bestFit="1" customWidth="1"/>
    <col min="2516" max="2518" width="8" bestFit="1" customWidth="1"/>
    <col min="2519" max="2519" width="7" bestFit="1" customWidth="1"/>
    <col min="2520" max="2520" width="5.42578125" bestFit="1" customWidth="1"/>
    <col min="2521" max="2525" width="8" bestFit="1" customWidth="1"/>
    <col min="2526" max="2526" width="7" bestFit="1" customWidth="1"/>
    <col min="2527" max="2527" width="8" bestFit="1" customWidth="1"/>
    <col min="2528" max="2529" width="7" bestFit="1" customWidth="1"/>
    <col min="2530" max="2530" width="8" bestFit="1" customWidth="1"/>
    <col min="2531" max="2532" width="5" bestFit="1" customWidth="1"/>
    <col min="2533" max="2538" width="8" bestFit="1" customWidth="1"/>
    <col min="2539" max="2539" width="7" bestFit="1" customWidth="1"/>
    <col min="2540" max="2540" width="8" bestFit="1" customWidth="1"/>
    <col min="2541" max="2542" width="7" bestFit="1" customWidth="1"/>
    <col min="2543" max="2545" width="8" bestFit="1" customWidth="1"/>
    <col min="2546" max="2547" width="7" bestFit="1" customWidth="1"/>
    <col min="2548" max="2548" width="8" bestFit="1" customWidth="1"/>
    <col min="2549" max="2549" width="7" bestFit="1" customWidth="1"/>
    <col min="2550" max="2563" width="8" bestFit="1" customWidth="1"/>
    <col min="2564" max="2564" width="7" bestFit="1" customWidth="1"/>
    <col min="2565" max="2565" width="5.42578125" bestFit="1" customWidth="1"/>
    <col min="2566" max="2567" width="7" bestFit="1" customWidth="1"/>
    <col min="2568" max="2578" width="8" bestFit="1" customWidth="1"/>
    <col min="2579" max="2579" width="5" bestFit="1" customWidth="1"/>
    <col min="2580" max="2583" width="8" bestFit="1" customWidth="1"/>
    <col min="2584" max="2584" width="5" bestFit="1" customWidth="1"/>
    <col min="2585" max="2588" width="8" bestFit="1" customWidth="1"/>
    <col min="2589" max="2589" width="5" bestFit="1" customWidth="1"/>
    <col min="2590" max="2598" width="8" bestFit="1" customWidth="1"/>
    <col min="2599" max="2599" width="7" bestFit="1" customWidth="1"/>
    <col min="2600" max="2600" width="8" bestFit="1" customWidth="1"/>
    <col min="2601" max="2601" width="5" bestFit="1" customWidth="1"/>
    <col min="2602" max="2604" width="8" bestFit="1" customWidth="1"/>
    <col min="2605" max="2605" width="7" bestFit="1" customWidth="1"/>
    <col min="2606" max="2607" width="8" bestFit="1" customWidth="1"/>
    <col min="2608" max="2608" width="5" bestFit="1" customWidth="1"/>
    <col min="2609" max="2609" width="7" bestFit="1" customWidth="1"/>
    <col min="2610" max="2611" width="8" bestFit="1" customWidth="1"/>
    <col min="2612" max="2612" width="5.42578125" bestFit="1" customWidth="1"/>
    <col min="2613" max="2615" width="8" bestFit="1" customWidth="1"/>
    <col min="2616" max="2616" width="7" bestFit="1" customWidth="1"/>
    <col min="2617" max="2618" width="8" bestFit="1" customWidth="1"/>
    <col min="2619" max="2620" width="7" bestFit="1" customWidth="1"/>
    <col min="2621" max="2623" width="8" bestFit="1" customWidth="1"/>
    <col min="2624" max="2624" width="7" bestFit="1" customWidth="1"/>
    <col min="2625" max="2630" width="8" bestFit="1" customWidth="1"/>
    <col min="2631" max="2631" width="5" bestFit="1" customWidth="1"/>
    <col min="2632" max="2636" width="8" bestFit="1" customWidth="1"/>
    <col min="2637" max="2637" width="7" bestFit="1" customWidth="1"/>
    <col min="2638" max="2639" width="8" bestFit="1" customWidth="1"/>
    <col min="2640" max="2640" width="7" bestFit="1" customWidth="1"/>
    <col min="2641" max="2642" width="8" bestFit="1" customWidth="1"/>
    <col min="2643" max="2643" width="7" bestFit="1" customWidth="1"/>
    <col min="2644" max="2645" width="8" bestFit="1" customWidth="1"/>
    <col min="2646" max="2646" width="7" bestFit="1" customWidth="1"/>
    <col min="2647" max="2647" width="8" bestFit="1" customWidth="1"/>
    <col min="2648" max="2648" width="7" bestFit="1" customWidth="1"/>
    <col min="2649" max="2649" width="8" bestFit="1" customWidth="1"/>
    <col min="2650" max="2650" width="5.42578125" bestFit="1" customWidth="1"/>
    <col min="2651" max="2651" width="7" bestFit="1" customWidth="1"/>
    <col min="2652" max="2652" width="5" bestFit="1" customWidth="1"/>
    <col min="2653" max="2657" width="8" bestFit="1" customWidth="1"/>
    <col min="2658" max="2658" width="7" bestFit="1" customWidth="1"/>
    <col min="2659" max="2663" width="8" bestFit="1" customWidth="1"/>
    <col min="2664" max="2664" width="5" bestFit="1" customWidth="1"/>
    <col min="2665" max="2669" width="8" bestFit="1" customWidth="1"/>
    <col min="2670" max="2670" width="7" bestFit="1" customWidth="1"/>
    <col min="2671" max="2672" width="8" bestFit="1" customWidth="1"/>
    <col min="2673" max="2673" width="5" bestFit="1" customWidth="1"/>
    <col min="2674" max="2674" width="8" bestFit="1" customWidth="1"/>
    <col min="2675" max="2675" width="7" bestFit="1" customWidth="1"/>
    <col min="2676" max="2676" width="8" bestFit="1" customWidth="1"/>
    <col min="2677" max="2677" width="7" bestFit="1" customWidth="1"/>
    <col min="2678" max="2678" width="8" bestFit="1" customWidth="1"/>
    <col min="2679" max="2679" width="5" bestFit="1" customWidth="1"/>
    <col min="2680" max="2680" width="7" bestFit="1" customWidth="1"/>
    <col min="2681" max="2689" width="8" bestFit="1" customWidth="1"/>
    <col min="2690" max="2690" width="7" bestFit="1" customWidth="1"/>
    <col min="2691" max="2691" width="8" bestFit="1" customWidth="1"/>
    <col min="2692" max="2692" width="7" bestFit="1" customWidth="1"/>
    <col min="2693" max="2693" width="5.42578125" bestFit="1" customWidth="1"/>
    <col min="2694" max="2694" width="8" bestFit="1" customWidth="1"/>
    <col min="2695" max="2695" width="5" bestFit="1" customWidth="1"/>
    <col min="2696" max="2703" width="8" bestFit="1" customWidth="1"/>
    <col min="2704" max="2704" width="7" bestFit="1" customWidth="1"/>
    <col min="2705" max="2707" width="8" bestFit="1" customWidth="1"/>
    <col min="2708" max="2709" width="7" bestFit="1" customWidth="1"/>
    <col min="2710" max="2715" width="8" bestFit="1" customWidth="1"/>
    <col min="2716" max="2716" width="7" bestFit="1" customWidth="1"/>
    <col min="2717" max="2717" width="8" bestFit="1" customWidth="1"/>
    <col min="2718" max="2718" width="7" bestFit="1" customWidth="1"/>
    <col min="2719" max="2719" width="8" bestFit="1" customWidth="1"/>
    <col min="2720" max="2720" width="7" bestFit="1" customWidth="1"/>
    <col min="2721" max="2721" width="8" bestFit="1" customWidth="1"/>
    <col min="2722" max="2722" width="5" bestFit="1" customWidth="1"/>
    <col min="2723" max="2729" width="8" bestFit="1" customWidth="1"/>
    <col min="2730" max="2730" width="7" bestFit="1" customWidth="1"/>
    <col min="2731" max="2735" width="8" bestFit="1" customWidth="1"/>
    <col min="2736" max="2736" width="5.42578125" bestFit="1" customWidth="1"/>
    <col min="2737" max="2737" width="7" bestFit="1" customWidth="1"/>
    <col min="2738" max="2738" width="5" bestFit="1" customWidth="1"/>
    <col min="2739" max="2742" width="8" bestFit="1" customWidth="1"/>
    <col min="2743" max="2743" width="5" bestFit="1" customWidth="1"/>
    <col min="2744" max="2744" width="7" bestFit="1" customWidth="1"/>
    <col min="2745" max="2750" width="8" bestFit="1" customWidth="1"/>
    <col min="2751" max="2751" width="7" bestFit="1" customWidth="1"/>
    <col min="2752" max="2752" width="8" bestFit="1" customWidth="1"/>
    <col min="2753" max="2754" width="7" bestFit="1" customWidth="1"/>
    <col min="2755" max="2755" width="8" bestFit="1" customWidth="1"/>
    <col min="2756" max="2756" width="7" bestFit="1" customWidth="1"/>
    <col min="2757" max="2757" width="8" bestFit="1" customWidth="1"/>
    <col min="2758" max="2758" width="7" bestFit="1" customWidth="1"/>
    <col min="2759" max="2763" width="8" bestFit="1" customWidth="1"/>
    <col min="2764" max="2764" width="7" bestFit="1" customWidth="1"/>
    <col min="2765" max="2765" width="8" bestFit="1" customWidth="1"/>
    <col min="2766" max="2766" width="5" bestFit="1" customWidth="1"/>
    <col min="2767" max="2767" width="8" bestFit="1" customWidth="1"/>
    <col min="2768" max="2769" width="7" bestFit="1" customWidth="1"/>
    <col min="2770" max="2772" width="8" bestFit="1" customWidth="1"/>
    <col min="2773" max="2774" width="7" bestFit="1" customWidth="1"/>
    <col min="2775" max="2778" width="8" bestFit="1" customWidth="1"/>
    <col min="2779" max="2780" width="7" bestFit="1" customWidth="1"/>
    <col min="2781" max="2781" width="8" bestFit="1" customWidth="1"/>
    <col min="2782" max="2782" width="5.42578125" bestFit="1" customWidth="1"/>
    <col min="2783" max="2783" width="7" bestFit="1" customWidth="1"/>
    <col min="2784" max="2800" width="8" bestFit="1" customWidth="1"/>
    <col min="2801" max="2801" width="7" bestFit="1" customWidth="1"/>
    <col min="2802" max="2802" width="8" bestFit="1" customWidth="1"/>
    <col min="2803" max="2803" width="7" bestFit="1" customWidth="1"/>
    <col min="2804" max="2804" width="8" bestFit="1" customWidth="1"/>
    <col min="2805" max="2805" width="7" bestFit="1" customWidth="1"/>
    <col min="2806" max="2810" width="8" bestFit="1" customWidth="1"/>
    <col min="2811" max="2811" width="7" bestFit="1" customWidth="1"/>
    <col min="2812" max="2812" width="8" bestFit="1" customWidth="1"/>
    <col min="2813" max="2813" width="7" bestFit="1" customWidth="1"/>
    <col min="2814" max="2814" width="5" bestFit="1" customWidth="1"/>
    <col min="2815" max="2816" width="7" bestFit="1" customWidth="1"/>
    <col min="2817" max="2820" width="8" bestFit="1" customWidth="1"/>
    <col min="2821" max="2821" width="5.42578125" bestFit="1" customWidth="1"/>
    <col min="2822" max="2826" width="8" bestFit="1" customWidth="1"/>
    <col min="2827" max="2827" width="5" bestFit="1" customWidth="1"/>
    <col min="2828" max="2828" width="8" bestFit="1" customWidth="1"/>
    <col min="2829" max="2829" width="7" bestFit="1" customWidth="1"/>
    <col min="2830" max="2830" width="8" bestFit="1" customWidth="1"/>
    <col min="2831" max="2831" width="7" bestFit="1" customWidth="1"/>
    <col min="2832" max="2832" width="8" bestFit="1" customWidth="1"/>
    <col min="2833" max="2833" width="5" bestFit="1" customWidth="1"/>
    <col min="2834" max="2835" width="8" bestFit="1" customWidth="1"/>
    <col min="2836" max="2836" width="5" bestFit="1" customWidth="1"/>
    <col min="2837" max="2837" width="8" bestFit="1" customWidth="1"/>
    <col min="2838" max="2838" width="7" bestFit="1" customWidth="1"/>
    <col min="2839" max="2840" width="8" bestFit="1" customWidth="1"/>
    <col min="2841" max="2841" width="7" bestFit="1" customWidth="1"/>
    <col min="2842" max="2848" width="8" bestFit="1" customWidth="1"/>
    <col min="2849" max="2849" width="5" bestFit="1" customWidth="1"/>
    <col min="2850" max="2851" width="8" bestFit="1" customWidth="1"/>
    <col min="2852" max="2852" width="5.42578125" bestFit="1" customWidth="1"/>
    <col min="2853" max="2853" width="7" bestFit="1" customWidth="1"/>
    <col min="2854" max="2854" width="5" bestFit="1" customWidth="1"/>
    <col min="2855" max="2857" width="8" bestFit="1" customWidth="1"/>
    <col min="2858" max="2859" width="7" bestFit="1" customWidth="1"/>
    <col min="2860" max="2866" width="8" bestFit="1" customWidth="1"/>
    <col min="2867" max="2867" width="7" bestFit="1" customWidth="1"/>
    <col min="2868" max="2873" width="8" bestFit="1" customWidth="1"/>
    <col min="2874" max="2874" width="7" bestFit="1" customWidth="1"/>
    <col min="2875" max="2879" width="8" bestFit="1" customWidth="1"/>
    <col min="2880" max="2880" width="5.42578125" bestFit="1" customWidth="1"/>
    <col min="2881" max="2883" width="8" bestFit="1" customWidth="1"/>
    <col min="2884" max="2884" width="7" bestFit="1" customWidth="1"/>
    <col min="2885" max="2891" width="8" bestFit="1" customWidth="1"/>
    <col min="2892" max="2892" width="7" bestFit="1" customWidth="1"/>
    <col min="2893" max="2893" width="8" bestFit="1" customWidth="1"/>
    <col min="2894" max="2894" width="5" bestFit="1" customWidth="1"/>
    <col min="2895" max="2900" width="8" bestFit="1" customWidth="1"/>
    <col min="2901" max="2901" width="7" bestFit="1" customWidth="1"/>
    <col min="2902" max="2905" width="8" bestFit="1" customWidth="1"/>
    <col min="2906" max="2906" width="5.42578125" bestFit="1" customWidth="1"/>
    <col min="2907" max="2907" width="8" bestFit="1" customWidth="1"/>
    <col min="2908" max="2910" width="7" bestFit="1" customWidth="1"/>
    <col min="2911" max="2915" width="8" bestFit="1" customWidth="1"/>
    <col min="2916" max="2916" width="7" bestFit="1" customWidth="1"/>
    <col min="2917" max="2917" width="5" bestFit="1" customWidth="1"/>
    <col min="2918" max="2918" width="7" bestFit="1" customWidth="1"/>
    <col min="2919" max="2919" width="5" bestFit="1" customWidth="1"/>
    <col min="2920" max="2922" width="8" bestFit="1" customWidth="1"/>
    <col min="2923" max="2923" width="7" bestFit="1" customWidth="1"/>
    <col min="2924" max="2924" width="8" bestFit="1" customWidth="1"/>
    <col min="2925" max="2926" width="7" bestFit="1" customWidth="1"/>
    <col min="2927" max="2927" width="8" bestFit="1" customWidth="1"/>
    <col min="2928" max="2928" width="5.42578125" bestFit="1" customWidth="1"/>
    <col min="2929" max="2929" width="7" bestFit="1" customWidth="1"/>
    <col min="2930" max="2931" width="8" bestFit="1" customWidth="1"/>
    <col min="2932" max="2932" width="5" bestFit="1" customWidth="1"/>
    <col min="2933" max="2933" width="7" bestFit="1" customWidth="1"/>
    <col min="2934" max="2934" width="5" bestFit="1" customWidth="1"/>
    <col min="2935" max="2935" width="8" bestFit="1" customWidth="1"/>
    <col min="2936" max="2936" width="7" bestFit="1" customWidth="1"/>
    <col min="2937" max="2937" width="8" bestFit="1" customWidth="1"/>
    <col min="2938" max="2938" width="5" bestFit="1" customWidth="1"/>
    <col min="2939" max="2940" width="7" bestFit="1" customWidth="1"/>
    <col min="2941" max="2942" width="8" bestFit="1" customWidth="1"/>
    <col min="2943" max="2944" width="7" bestFit="1" customWidth="1"/>
    <col min="2945" max="2945" width="8" bestFit="1" customWidth="1"/>
    <col min="2946" max="2946" width="7" bestFit="1" customWidth="1"/>
    <col min="2947" max="2947" width="8" bestFit="1" customWidth="1"/>
    <col min="2948" max="2949" width="7" bestFit="1" customWidth="1"/>
    <col min="2950" max="2950" width="8" bestFit="1" customWidth="1"/>
    <col min="2951" max="2951" width="7" bestFit="1" customWidth="1"/>
    <col min="2952" max="2957" width="8" bestFit="1" customWidth="1"/>
    <col min="2958" max="2958" width="7" bestFit="1" customWidth="1"/>
    <col min="2959" max="2959" width="5.42578125" bestFit="1" customWidth="1"/>
    <col min="2960" max="2960" width="7" bestFit="1" customWidth="1"/>
    <col min="2961" max="2961" width="8" bestFit="1" customWidth="1"/>
    <col min="2962" max="2962" width="7" bestFit="1" customWidth="1"/>
    <col min="2963" max="2963" width="8" bestFit="1" customWidth="1"/>
    <col min="2964" max="2964" width="7" bestFit="1" customWidth="1"/>
    <col min="2965" max="2967" width="8" bestFit="1" customWidth="1"/>
    <col min="2968" max="2968" width="7" bestFit="1" customWidth="1"/>
    <col min="2969" max="2970" width="8" bestFit="1" customWidth="1"/>
    <col min="2971" max="2971" width="7" bestFit="1" customWidth="1"/>
    <col min="2972" max="2972" width="8" bestFit="1" customWidth="1"/>
    <col min="2973" max="2975" width="7" bestFit="1" customWidth="1"/>
    <col min="2976" max="2976" width="8" bestFit="1" customWidth="1"/>
    <col min="2977" max="2977" width="7" bestFit="1" customWidth="1"/>
    <col min="2978" max="2978" width="8" bestFit="1" customWidth="1"/>
    <col min="2979" max="2979" width="5.42578125" bestFit="1" customWidth="1"/>
    <col min="2980" max="2980" width="8" bestFit="1" customWidth="1"/>
    <col min="2981" max="2981" width="7" bestFit="1" customWidth="1"/>
    <col min="2982" max="2982" width="8" bestFit="1" customWidth="1"/>
    <col min="2983" max="2983" width="5" bestFit="1" customWidth="1"/>
    <col min="2984" max="2984" width="8" bestFit="1" customWidth="1"/>
    <col min="2985" max="2985" width="7" bestFit="1" customWidth="1"/>
    <col min="2986" max="2987" width="8" bestFit="1" customWidth="1"/>
    <col min="2988" max="2988" width="7" bestFit="1" customWidth="1"/>
    <col min="2989" max="2991" width="8" bestFit="1" customWidth="1"/>
    <col min="2992" max="2992" width="7" bestFit="1" customWidth="1"/>
    <col min="2993" max="2993" width="5" bestFit="1" customWidth="1"/>
    <col min="2994" max="2994" width="7" bestFit="1" customWidth="1"/>
    <col min="2995" max="2995" width="5.42578125" bestFit="1" customWidth="1"/>
    <col min="2996" max="2996" width="8" bestFit="1" customWidth="1"/>
    <col min="2997" max="2997" width="7" bestFit="1" customWidth="1"/>
    <col min="2998" max="2998" width="8" bestFit="1" customWidth="1"/>
    <col min="2999" max="2999" width="5" bestFit="1" customWidth="1"/>
    <col min="3000" max="3002" width="8" bestFit="1" customWidth="1"/>
    <col min="3003" max="3003" width="7" bestFit="1" customWidth="1"/>
    <col min="3004" max="3007" width="8" bestFit="1" customWidth="1"/>
    <col min="3008" max="3008" width="7" bestFit="1" customWidth="1"/>
    <col min="3009" max="3009" width="8" bestFit="1" customWidth="1"/>
    <col min="3010" max="3011" width="7" bestFit="1" customWidth="1"/>
    <col min="3012" max="3012" width="5.42578125" bestFit="1" customWidth="1"/>
    <col min="3013" max="3013" width="7" bestFit="1" customWidth="1"/>
    <col min="3014" max="3016" width="8" bestFit="1" customWidth="1"/>
    <col min="3017" max="3018" width="5" bestFit="1" customWidth="1"/>
    <col min="3019" max="3022" width="8" bestFit="1" customWidth="1"/>
    <col min="3023" max="3023" width="7" bestFit="1" customWidth="1"/>
    <col min="3024" max="3024" width="5.42578125" bestFit="1" customWidth="1"/>
    <col min="3025" max="3026" width="7" bestFit="1" customWidth="1"/>
    <col min="3027" max="3027" width="8" bestFit="1" customWidth="1"/>
    <col min="3028" max="3028" width="7" bestFit="1" customWidth="1"/>
    <col min="3029" max="3029" width="8" bestFit="1" customWidth="1"/>
    <col min="3030" max="3030" width="7" bestFit="1" customWidth="1"/>
    <col min="3031" max="3032" width="8" bestFit="1" customWidth="1"/>
    <col min="3033" max="3033" width="7" bestFit="1" customWidth="1"/>
    <col min="3034" max="3034" width="8" bestFit="1" customWidth="1"/>
    <col min="3035" max="3035" width="7" bestFit="1" customWidth="1"/>
    <col min="3036" max="3036" width="5.42578125" bestFit="1" customWidth="1"/>
    <col min="3037" max="3037" width="5" bestFit="1" customWidth="1"/>
    <col min="3038" max="3038" width="7" bestFit="1" customWidth="1"/>
    <col min="3039" max="3040" width="8" bestFit="1" customWidth="1"/>
    <col min="3041" max="3041" width="7" bestFit="1" customWidth="1"/>
    <col min="3042" max="3042" width="8" bestFit="1" customWidth="1"/>
    <col min="3043" max="3043" width="5.42578125" bestFit="1" customWidth="1"/>
    <col min="3044" max="3044" width="5" bestFit="1" customWidth="1"/>
    <col min="3045" max="3047" width="8" bestFit="1" customWidth="1"/>
    <col min="3048" max="3048" width="7" bestFit="1" customWidth="1"/>
    <col min="3049" max="3049" width="5.42578125" bestFit="1" customWidth="1"/>
    <col min="3050" max="3050" width="5" bestFit="1" customWidth="1"/>
    <col min="3051" max="3053" width="8" bestFit="1" customWidth="1"/>
    <col min="3054" max="3054" width="5.42578125" bestFit="1" customWidth="1"/>
    <col min="3055" max="3056" width="5" bestFit="1" customWidth="1"/>
    <col min="3057" max="3057" width="8" bestFit="1" customWidth="1"/>
    <col min="3058" max="3058" width="5.42578125" bestFit="1" customWidth="1"/>
    <col min="3059" max="3061" width="8" bestFit="1" customWidth="1"/>
    <col min="3062" max="3062" width="5" bestFit="1" customWidth="1"/>
    <col min="3063" max="3063" width="8" bestFit="1" customWidth="1"/>
    <col min="3064" max="3065" width="5.42578125" bestFit="1" customWidth="1"/>
    <col min="3066" max="3066" width="5" bestFit="1" customWidth="1"/>
    <col min="3067" max="3068" width="7" bestFit="1" customWidth="1"/>
    <col min="3069" max="3069" width="5.42578125" bestFit="1" customWidth="1"/>
    <col min="3070" max="3070" width="8" bestFit="1" customWidth="1"/>
    <col min="3071" max="3073" width="5" bestFit="1" customWidth="1"/>
    <col min="3074" max="3074" width="8" bestFit="1" customWidth="1"/>
    <col min="3075" max="3077" width="5" bestFit="1" customWidth="1"/>
    <col min="3078" max="3078" width="7" bestFit="1" customWidth="1"/>
    <col min="3079" max="3084" width="5" bestFit="1" customWidth="1"/>
    <col min="3085" max="3085" width="8" bestFit="1" customWidth="1"/>
    <col min="3086" max="3086" width="5" bestFit="1" customWidth="1"/>
    <col min="3087" max="3087" width="8" bestFit="1" customWidth="1"/>
    <col min="3088" max="3088" width="14" bestFit="1" customWidth="1"/>
    <col min="3089" max="3090" width="7" bestFit="1" customWidth="1"/>
    <col min="3091" max="3092" width="6.140625" bestFit="1" customWidth="1"/>
    <col min="3093" max="3093" width="7" bestFit="1" customWidth="1"/>
    <col min="3094" max="3094" width="6.140625" bestFit="1" customWidth="1"/>
    <col min="3095" max="3095" width="7" bestFit="1" customWidth="1"/>
    <col min="3096" max="3100" width="6.140625" bestFit="1" customWidth="1"/>
    <col min="3101" max="3101" width="7" bestFit="1" customWidth="1"/>
    <col min="3102" max="3102" width="6.140625" bestFit="1" customWidth="1"/>
    <col min="3103" max="3104" width="7" bestFit="1" customWidth="1"/>
    <col min="3105" max="3107" width="6.140625" bestFit="1" customWidth="1"/>
    <col min="3108" max="3115" width="7" bestFit="1" customWidth="1"/>
    <col min="3116" max="3116" width="6.140625" bestFit="1" customWidth="1"/>
    <col min="3117" max="3117" width="7" bestFit="1" customWidth="1"/>
    <col min="3118" max="3118" width="6.140625" bestFit="1" customWidth="1"/>
    <col min="3119" max="3121" width="7" bestFit="1" customWidth="1"/>
    <col min="3122" max="3124" width="6.140625" bestFit="1" customWidth="1"/>
    <col min="3125" max="3128" width="7" bestFit="1" customWidth="1"/>
    <col min="3129" max="3130" width="6.140625" bestFit="1" customWidth="1"/>
    <col min="3131" max="3133" width="7" bestFit="1" customWidth="1"/>
    <col min="3134" max="3134" width="6.140625" bestFit="1" customWidth="1"/>
    <col min="3135" max="3136" width="7" bestFit="1" customWidth="1"/>
    <col min="3137" max="3138" width="6.140625" bestFit="1" customWidth="1"/>
    <col min="3139" max="3139" width="8" bestFit="1" customWidth="1"/>
    <col min="3140" max="3140" width="7" bestFit="1" customWidth="1"/>
    <col min="3141" max="3146" width="8" bestFit="1" customWidth="1"/>
    <col min="3147" max="3147" width="7" bestFit="1" customWidth="1"/>
    <col min="3148" max="3151" width="8" bestFit="1" customWidth="1"/>
    <col min="3152" max="3152" width="7" bestFit="1" customWidth="1"/>
    <col min="3153" max="3153" width="8" bestFit="1" customWidth="1"/>
    <col min="3154" max="3154" width="7" bestFit="1" customWidth="1"/>
    <col min="3155" max="3156" width="8" bestFit="1" customWidth="1"/>
    <col min="3157" max="3157" width="6.140625" bestFit="1" customWidth="1"/>
    <col min="3158" max="3158" width="8" bestFit="1" customWidth="1"/>
    <col min="3159" max="3159" width="7" bestFit="1" customWidth="1"/>
    <col min="3160" max="3162" width="8" bestFit="1" customWidth="1"/>
    <col min="3163" max="3163" width="7" bestFit="1" customWidth="1"/>
    <col min="3164" max="3164" width="8" bestFit="1" customWidth="1"/>
    <col min="3165" max="3165" width="7" bestFit="1" customWidth="1"/>
    <col min="3166" max="3166" width="8" bestFit="1" customWidth="1"/>
    <col min="3167" max="3167" width="7" bestFit="1" customWidth="1"/>
    <col min="3168" max="3168" width="8" bestFit="1" customWidth="1"/>
    <col min="3169" max="3169" width="6.140625" bestFit="1" customWidth="1"/>
    <col min="3170" max="3172" width="8" bestFit="1" customWidth="1"/>
    <col min="3173" max="3173" width="7" bestFit="1" customWidth="1"/>
    <col min="3174" max="3178" width="8" bestFit="1" customWidth="1"/>
    <col min="3179" max="3179" width="7" bestFit="1" customWidth="1"/>
    <col min="3180" max="3181" width="8" bestFit="1" customWidth="1"/>
    <col min="3182" max="3182" width="7" bestFit="1" customWidth="1"/>
    <col min="3183" max="3184" width="8" bestFit="1" customWidth="1"/>
    <col min="3185" max="3185" width="7" bestFit="1" customWidth="1"/>
    <col min="3186" max="3191" width="8" bestFit="1" customWidth="1"/>
    <col min="3192" max="3192" width="6.140625" bestFit="1" customWidth="1"/>
    <col min="3193" max="3195" width="8" bestFit="1" customWidth="1"/>
    <col min="3196" max="3196" width="7" bestFit="1" customWidth="1"/>
    <col min="3197" max="3198" width="8" bestFit="1" customWidth="1"/>
    <col min="3199" max="3199" width="7" bestFit="1" customWidth="1"/>
    <col min="3200" max="3200" width="8" bestFit="1" customWidth="1"/>
    <col min="3201" max="3204" width="7" bestFit="1" customWidth="1"/>
    <col min="3205" max="3208" width="8" bestFit="1" customWidth="1"/>
    <col min="3209" max="3209" width="7" bestFit="1" customWidth="1"/>
    <col min="3210" max="3213" width="8" bestFit="1" customWidth="1"/>
    <col min="3214" max="3214" width="6.140625" bestFit="1" customWidth="1"/>
    <col min="3215" max="3217" width="8" bestFit="1" customWidth="1"/>
    <col min="3218" max="3220" width="7" bestFit="1" customWidth="1"/>
    <col min="3221" max="3223" width="8" bestFit="1" customWidth="1"/>
    <col min="3224" max="3224" width="7" bestFit="1" customWidth="1"/>
    <col min="3225" max="3227" width="8" bestFit="1" customWidth="1"/>
    <col min="3228" max="3228" width="7" bestFit="1" customWidth="1"/>
    <col min="3229" max="3231" width="8" bestFit="1" customWidth="1"/>
    <col min="3232" max="3232" width="7" bestFit="1" customWidth="1"/>
    <col min="3233" max="3236" width="8" bestFit="1" customWidth="1"/>
    <col min="3237" max="3237" width="6.140625" bestFit="1" customWidth="1"/>
    <col min="3238" max="3239" width="8" bestFit="1" customWidth="1"/>
    <col min="3240" max="3240" width="7" bestFit="1" customWidth="1"/>
    <col min="3241" max="3243" width="8" bestFit="1" customWidth="1"/>
    <col min="3244" max="3245" width="7" bestFit="1" customWidth="1"/>
    <col min="3246" max="3246" width="8" bestFit="1" customWidth="1"/>
    <col min="3247" max="3247" width="7" bestFit="1" customWidth="1"/>
    <col min="3248" max="3250" width="8" bestFit="1" customWidth="1"/>
    <col min="3251" max="3251" width="7" bestFit="1" customWidth="1"/>
    <col min="3252" max="3255" width="8" bestFit="1" customWidth="1"/>
    <col min="3256" max="3256" width="7" bestFit="1" customWidth="1"/>
    <col min="3257" max="3257" width="8" bestFit="1" customWidth="1"/>
    <col min="3258" max="3258" width="6.140625" bestFit="1" customWidth="1"/>
    <col min="3259" max="3259" width="8" bestFit="1" customWidth="1"/>
    <col min="3260" max="3260" width="7" bestFit="1" customWidth="1"/>
    <col min="3261" max="3261" width="8" bestFit="1" customWidth="1"/>
    <col min="3262" max="3262" width="7" bestFit="1" customWidth="1"/>
    <col min="3263" max="3265" width="8" bestFit="1" customWidth="1"/>
    <col min="3266" max="3266" width="7" bestFit="1" customWidth="1"/>
    <col min="3267" max="3267" width="8" bestFit="1" customWidth="1"/>
    <col min="3268" max="3268" width="7" bestFit="1" customWidth="1"/>
    <col min="3269" max="3270" width="8" bestFit="1" customWidth="1"/>
    <col min="3271" max="3271" width="7" bestFit="1" customWidth="1"/>
    <col min="3272" max="3278" width="8" bestFit="1" customWidth="1"/>
    <col min="3279" max="3279" width="6.140625" bestFit="1" customWidth="1"/>
    <col min="3280" max="3280" width="8" bestFit="1" customWidth="1"/>
    <col min="3281" max="3281" width="6.140625" bestFit="1" customWidth="1"/>
    <col min="3282" max="3283" width="8" bestFit="1" customWidth="1"/>
    <col min="3284" max="3284" width="7" bestFit="1" customWidth="1"/>
    <col min="3285" max="3286" width="8" bestFit="1" customWidth="1"/>
    <col min="3287" max="3287" width="7" bestFit="1" customWidth="1"/>
    <col min="3288" max="3288" width="6.140625" bestFit="1" customWidth="1"/>
    <col min="3289" max="3289" width="8" bestFit="1" customWidth="1"/>
    <col min="3290" max="3290" width="7" bestFit="1" customWidth="1"/>
    <col min="3291" max="3292" width="8" bestFit="1" customWidth="1"/>
    <col min="3293" max="3293" width="6.140625" bestFit="1" customWidth="1"/>
    <col min="3294" max="3297" width="8" bestFit="1" customWidth="1"/>
    <col min="3298" max="3298" width="6.140625" bestFit="1" customWidth="1"/>
    <col min="3299" max="3299" width="8" bestFit="1" customWidth="1"/>
    <col min="3300" max="3300" width="7" bestFit="1" customWidth="1"/>
    <col min="3301" max="3301" width="8" bestFit="1" customWidth="1"/>
    <col min="3302" max="3302" width="7" bestFit="1" customWidth="1"/>
    <col min="3303" max="3303" width="8" bestFit="1" customWidth="1"/>
    <col min="3304" max="3304" width="6.140625" bestFit="1" customWidth="1"/>
    <col min="3305" max="3305" width="7" bestFit="1" customWidth="1"/>
    <col min="3306" max="3311" width="8" bestFit="1" customWidth="1"/>
    <col min="3312" max="3312" width="7" bestFit="1" customWidth="1"/>
    <col min="3313" max="3313" width="8" bestFit="1" customWidth="1"/>
    <col min="3314" max="3314" width="7" bestFit="1" customWidth="1"/>
    <col min="3315" max="3315" width="8" bestFit="1" customWidth="1"/>
    <col min="3316" max="3317" width="7" bestFit="1" customWidth="1"/>
    <col min="3318" max="3320" width="8" bestFit="1" customWidth="1"/>
    <col min="3321" max="3321" width="7" bestFit="1" customWidth="1"/>
    <col min="3322" max="3322" width="8" bestFit="1" customWidth="1"/>
    <col min="3323" max="3323" width="6.140625" bestFit="1" customWidth="1"/>
    <col min="3324" max="3326" width="8" bestFit="1" customWidth="1"/>
    <col min="3327" max="3327" width="7" bestFit="1" customWidth="1"/>
    <col min="3328" max="3332" width="8" bestFit="1" customWidth="1"/>
    <col min="3333" max="3333" width="7" bestFit="1" customWidth="1"/>
    <col min="3334" max="3334" width="8" bestFit="1" customWidth="1"/>
    <col min="3335" max="3335" width="7" bestFit="1" customWidth="1"/>
    <col min="3336" max="3342" width="8" bestFit="1" customWidth="1"/>
    <col min="3343" max="3344" width="7" bestFit="1" customWidth="1"/>
    <col min="3345" max="3352" width="8" bestFit="1" customWidth="1"/>
    <col min="3353" max="3353" width="6.140625" bestFit="1" customWidth="1"/>
    <col min="3354" max="3355" width="7" bestFit="1" customWidth="1"/>
    <col min="3356" max="3356" width="8" bestFit="1" customWidth="1"/>
    <col min="3357" max="3357" width="7" bestFit="1" customWidth="1"/>
    <col min="3358" max="3359" width="8" bestFit="1" customWidth="1"/>
    <col min="3360" max="3360" width="6.140625" bestFit="1" customWidth="1"/>
    <col min="3361" max="3367" width="8" bestFit="1" customWidth="1"/>
    <col min="3368" max="3368" width="7" bestFit="1" customWidth="1"/>
    <col min="3369" max="3371" width="8" bestFit="1" customWidth="1"/>
    <col min="3372" max="3372" width="6.140625" bestFit="1" customWidth="1"/>
    <col min="3373" max="3373" width="8" bestFit="1" customWidth="1"/>
    <col min="3374" max="3374" width="7" bestFit="1" customWidth="1"/>
    <col min="3375" max="3378" width="8" bestFit="1" customWidth="1"/>
    <col min="3379" max="3379" width="7" bestFit="1" customWidth="1"/>
    <col min="3380" max="3383" width="8" bestFit="1" customWidth="1"/>
    <col min="3384" max="3384" width="6.140625" bestFit="1" customWidth="1"/>
    <col min="3385" max="3385" width="8" bestFit="1" customWidth="1"/>
    <col min="3386" max="3386" width="7" bestFit="1" customWidth="1"/>
    <col min="3387" max="3387" width="8" bestFit="1" customWidth="1"/>
    <col min="3388" max="3389" width="6.140625" bestFit="1" customWidth="1"/>
    <col min="3390" max="3390" width="8" bestFit="1" customWidth="1"/>
    <col min="3391" max="3391" width="7" bestFit="1" customWidth="1"/>
    <col min="3392" max="3397" width="8" bestFit="1" customWidth="1"/>
    <col min="3398" max="3398" width="6.140625" bestFit="1" customWidth="1"/>
    <col min="3399" max="3399" width="8" bestFit="1" customWidth="1"/>
    <col min="3400" max="3401" width="7" bestFit="1" customWidth="1"/>
    <col min="3402" max="3402" width="8" bestFit="1" customWidth="1"/>
    <col min="3403" max="3403" width="7" bestFit="1" customWidth="1"/>
    <col min="3404" max="3421" width="8" bestFit="1" customWidth="1"/>
    <col min="3422" max="3423" width="7" bestFit="1" customWidth="1"/>
    <col min="3424" max="3425" width="8" bestFit="1" customWidth="1"/>
    <col min="3426" max="3427" width="7" bestFit="1" customWidth="1"/>
    <col min="3428" max="3430" width="8" bestFit="1" customWidth="1"/>
    <col min="3431" max="3431" width="7" bestFit="1" customWidth="1"/>
    <col min="3432" max="3433" width="8" bestFit="1" customWidth="1"/>
    <col min="3434" max="3434" width="7" bestFit="1" customWidth="1"/>
    <col min="3435" max="3439" width="8" bestFit="1" customWidth="1"/>
    <col min="3440" max="3440" width="7" bestFit="1" customWidth="1"/>
    <col min="3441" max="3442" width="8" bestFit="1" customWidth="1"/>
    <col min="3443" max="3443" width="7" bestFit="1" customWidth="1"/>
    <col min="3444" max="3444" width="8" bestFit="1" customWidth="1"/>
    <col min="3445" max="3445" width="6.140625" bestFit="1" customWidth="1"/>
    <col min="3446" max="3448" width="8" bestFit="1" customWidth="1"/>
    <col min="3449" max="3449" width="7" bestFit="1" customWidth="1"/>
    <col min="3450" max="3451" width="8" bestFit="1" customWidth="1"/>
    <col min="3452" max="3452" width="7" bestFit="1" customWidth="1"/>
    <col min="3453" max="3453" width="8" bestFit="1" customWidth="1"/>
    <col min="3454" max="3455" width="7" bestFit="1" customWidth="1"/>
    <col min="3456" max="3457" width="8" bestFit="1" customWidth="1"/>
    <col min="3458" max="3458" width="7" bestFit="1" customWidth="1"/>
    <col min="3459" max="3463" width="8" bestFit="1" customWidth="1"/>
    <col min="3464" max="3464" width="7" bestFit="1" customWidth="1"/>
    <col min="3465" max="3471" width="8" bestFit="1" customWidth="1"/>
    <col min="3472" max="3472" width="7" bestFit="1" customWidth="1"/>
    <col min="3473" max="3473" width="6.140625" bestFit="1" customWidth="1"/>
    <col min="3474" max="3475" width="8" bestFit="1" customWidth="1"/>
    <col min="3476" max="3477" width="6.140625" bestFit="1" customWidth="1"/>
    <col min="3478" max="3478" width="8" bestFit="1" customWidth="1"/>
    <col min="3479" max="3479" width="7" bestFit="1" customWidth="1"/>
    <col min="3480" max="3481" width="8" bestFit="1" customWidth="1"/>
    <col min="3482" max="3482" width="6.140625" bestFit="1" customWidth="1"/>
    <col min="3483" max="3486" width="7" bestFit="1" customWidth="1"/>
    <col min="3487" max="3487" width="8" bestFit="1" customWidth="1"/>
    <col min="3488" max="3489" width="7" bestFit="1" customWidth="1"/>
    <col min="3490" max="3491" width="8" bestFit="1" customWidth="1"/>
    <col min="3492" max="3492" width="7" bestFit="1" customWidth="1"/>
    <col min="3493" max="3494" width="8" bestFit="1" customWidth="1"/>
    <col min="3495" max="3495" width="7" bestFit="1" customWidth="1"/>
    <col min="3496" max="3503" width="8" bestFit="1" customWidth="1"/>
    <col min="3504" max="3505" width="7" bestFit="1" customWidth="1"/>
    <col min="3506" max="3506" width="8" bestFit="1" customWidth="1"/>
    <col min="3507" max="3507" width="7" bestFit="1" customWidth="1"/>
    <col min="3508" max="3510" width="8" bestFit="1" customWidth="1"/>
    <col min="3511" max="3511" width="6.140625" bestFit="1" customWidth="1"/>
    <col min="3512" max="3513" width="7" bestFit="1" customWidth="1"/>
    <col min="3514" max="3517" width="8" bestFit="1" customWidth="1"/>
    <col min="3518" max="3518" width="6.140625" bestFit="1" customWidth="1"/>
    <col min="3519" max="3519" width="8" bestFit="1" customWidth="1"/>
    <col min="3520" max="3520" width="7" bestFit="1" customWidth="1"/>
    <col min="3521" max="3524" width="8" bestFit="1" customWidth="1"/>
    <col min="3525" max="3528" width="7" bestFit="1" customWidth="1"/>
    <col min="3529" max="3532" width="8" bestFit="1" customWidth="1"/>
    <col min="3533" max="3533" width="6.140625" bestFit="1" customWidth="1"/>
    <col min="3534" max="3535" width="8" bestFit="1" customWidth="1"/>
    <col min="3536" max="3536" width="6.140625" bestFit="1" customWidth="1"/>
    <col min="3537" max="3537" width="8" bestFit="1" customWidth="1"/>
    <col min="3538" max="3539" width="7" bestFit="1" customWidth="1"/>
    <col min="3540" max="3540" width="8" bestFit="1" customWidth="1"/>
    <col min="3541" max="3541" width="7" bestFit="1" customWidth="1"/>
    <col min="3542" max="3543" width="8" bestFit="1" customWidth="1"/>
    <col min="3544" max="3544" width="6.140625" bestFit="1" customWidth="1"/>
    <col min="3545" max="3546" width="8" bestFit="1" customWidth="1"/>
    <col min="3547" max="3548" width="6.140625" bestFit="1" customWidth="1"/>
    <col min="3549" max="3550" width="8" bestFit="1" customWidth="1"/>
    <col min="3551" max="3551" width="7" bestFit="1" customWidth="1"/>
    <col min="3552" max="3553" width="8" bestFit="1" customWidth="1"/>
    <col min="3554" max="3554" width="6.140625" bestFit="1" customWidth="1"/>
    <col min="3555" max="3555" width="8" bestFit="1" customWidth="1"/>
    <col min="3556" max="3556" width="7" bestFit="1" customWidth="1"/>
    <col min="3557" max="3557" width="6.140625" bestFit="1" customWidth="1"/>
    <col min="3558" max="3559" width="8" bestFit="1" customWidth="1"/>
    <col min="3560" max="3560" width="7" bestFit="1" customWidth="1"/>
    <col min="3561" max="3562" width="8" bestFit="1" customWidth="1"/>
    <col min="3563" max="3563" width="7" bestFit="1" customWidth="1"/>
    <col min="3564" max="3564" width="6.140625" bestFit="1" customWidth="1"/>
    <col min="3565" max="3569" width="8" bestFit="1" customWidth="1"/>
    <col min="3570" max="3570" width="7" bestFit="1" customWidth="1"/>
    <col min="3571" max="3573" width="8" bestFit="1" customWidth="1"/>
    <col min="3574" max="3575" width="7" bestFit="1" customWidth="1"/>
    <col min="3576" max="3576" width="8" bestFit="1" customWidth="1"/>
    <col min="3577" max="3577" width="6.140625" bestFit="1" customWidth="1"/>
    <col min="3578" max="3582" width="8" bestFit="1" customWidth="1"/>
    <col min="3583" max="3583" width="7" bestFit="1" customWidth="1"/>
    <col min="3584" max="3584" width="8" bestFit="1" customWidth="1"/>
    <col min="3585" max="3585" width="6.140625" bestFit="1" customWidth="1"/>
    <col min="3586" max="3587" width="8" bestFit="1" customWidth="1"/>
    <col min="3588" max="3588" width="7" bestFit="1" customWidth="1"/>
    <col min="3589" max="3589" width="8" bestFit="1" customWidth="1"/>
    <col min="3590" max="3590" width="7" bestFit="1" customWidth="1"/>
    <col min="3591" max="3598" width="8" bestFit="1" customWidth="1"/>
    <col min="3599" max="3599" width="7" bestFit="1" customWidth="1"/>
    <col min="3600" max="3603" width="8" bestFit="1" customWidth="1"/>
    <col min="3604" max="3604" width="7" bestFit="1" customWidth="1"/>
    <col min="3605" max="3605" width="8" bestFit="1" customWidth="1"/>
    <col min="3606" max="3606" width="7" bestFit="1" customWidth="1"/>
    <col min="3607" max="3608" width="8" bestFit="1" customWidth="1"/>
    <col min="3609" max="3611" width="7" bestFit="1" customWidth="1"/>
    <col min="3612" max="3613" width="8" bestFit="1" customWidth="1"/>
    <col min="3614" max="3614" width="7" bestFit="1" customWidth="1"/>
    <col min="3615" max="3623" width="8" bestFit="1" customWidth="1"/>
    <col min="3624" max="3624" width="7" bestFit="1" customWidth="1"/>
    <col min="3625" max="3626" width="8" bestFit="1" customWidth="1"/>
    <col min="3627" max="3627" width="7" bestFit="1" customWidth="1"/>
    <col min="3628" max="3628" width="8" bestFit="1" customWidth="1"/>
    <col min="3629" max="3629" width="6.140625" bestFit="1" customWidth="1"/>
    <col min="3630" max="3632" width="8" bestFit="1" customWidth="1"/>
    <col min="3633" max="3633" width="7" bestFit="1" customWidth="1"/>
    <col min="3634" max="3634" width="8" bestFit="1" customWidth="1"/>
    <col min="3635" max="3635" width="7" bestFit="1" customWidth="1"/>
    <col min="3636" max="3639" width="8" bestFit="1" customWidth="1"/>
    <col min="3640" max="3641" width="7" bestFit="1" customWidth="1"/>
    <col min="3642" max="3643" width="8" bestFit="1" customWidth="1"/>
    <col min="3644" max="3644" width="7" bestFit="1" customWidth="1"/>
    <col min="3645" max="3645" width="6.140625" bestFit="1" customWidth="1"/>
    <col min="3646" max="3650" width="8" bestFit="1" customWidth="1"/>
    <col min="3651" max="3652" width="7" bestFit="1" customWidth="1"/>
    <col min="3653" max="3653" width="8" bestFit="1" customWidth="1"/>
    <col min="3654" max="3656" width="7" bestFit="1" customWidth="1"/>
    <col min="3657" max="3657" width="8" bestFit="1" customWidth="1"/>
    <col min="3658" max="3658" width="7" bestFit="1" customWidth="1"/>
    <col min="3659" max="3666" width="8" bestFit="1" customWidth="1"/>
    <col min="3667" max="3667" width="7" bestFit="1" customWidth="1"/>
    <col min="3668" max="3670" width="8" bestFit="1" customWidth="1"/>
    <col min="3671" max="3671" width="7" bestFit="1" customWidth="1"/>
    <col min="3672" max="3677" width="8" bestFit="1" customWidth="1"/>
    <col min="3678" max="3678" width="6.140625" bestFit="1" customWidth="1"/>
    <col min="3679" max="3681" width="8" bestFit="1" customWidth="1"/>
    <col min="3682" max="3683" width="7" bestFit="1" customWidth="1"/>
    <col min="3684" max="3691" width="8" bestFit="1" customWidth="1"/>
    <col min="3692" max="3692" width="7" bestFit="1" customWidth="1"/>
    <col min="3693" max="3693" width="8" bestFit="1" customWidth="1"/>
    <col min="3694" max="3694" width="6.140625" bestFit="1" customWidth="1"/>
    <col min="3695" max="3700" width="8" bestFit="1" customWidth="1"/>
    <col min="3701" max="3701" width="7" bestFit="1" customWidth="1"/>
    <col min="3702" max="3713" width="8" bestFit="1" customWidth="1"/>
    <col min="3714" max="3714" width="6.140625" bestFit="1" customWidth="1"/>
    <col min="3715" max="3716" width="8" bestFit="1" customWidth="1"/>
    <col min="3717" max="3717" width="6.140625" bestFit="1" customWidth="1"/>
    <col min="3718" max="3718" width="8" bestFit="1" customWidth="1"/>
    <col min="3719" max="3719" width="6.140625" bestFit="1" customWidth="1"/>
    <col min="3720" max="3722" width="8" bestFit="1" customWidth="1"/>
    <col min="3723" max="3723" width="7" bestFit="1" customWidth="1"/>
    <col min="3724" max="3738" width="8" bestFit="1" customWidth="1"/>
    <col min="3739" max="3740" width="7" bestFit="1" customWidth="1"/>
    <col min="3741" max="3741" width="8" bestFit="1" customWidth="1"/>
    <col min="3742" max="3742" width="6.140625" bestFit="1" customWidth="1"/>
    <col min="3743" max="3745" width="8" bestFit="1" customWidth="1"/>
    <col min="3746" max="3746" width="6.140625" bestFit="1" customWidth="1"/>
    <col min="3747" max="3751" width="8" bestFit="1" customWidth="1"/>
    <col min="3752" max="3752" width="7" bestFit="1" customWidth="1"/>
    <col min="3753" max="3754" width="8" bestFit="1" customWidth="1"/>
    <col min="3755" max="3755" width="7" bestFit="1" customWidth="1"/>
    <col min="3756" max="3757" width="8" bestFit="1" customWidth="1"/>
    <col min="3758" max="3758" width="7" bestFit="1" customWidth="1"/>
    <col min="3759" max="3759" width="8" bestFit="1" customWidth="1"/>
    <col min="3760" max="3760" width="7" bestFit="1" customWidth="1"/>
    <col min="3761" max="3761" width="8" bestFit="1" customWidth="1"/>
    <col min="3762" max="3762" width="6.140625" bestFit="1" customWidth="1"/>
    <col min="3763" max="3765" width="8" bestFit="1" customWidth="1"/>
    <col min="3766" max="3766" width="6.140625" bestFit="1" customWidth="1"/>
    <col min="3767" max="3769" width="8" bestFit="1" customWidth="1"/>
    <col min="3770" max="3771" width="7" bestFit="1" customWidth="1"/>
    <col min="3772" max="3774" width="8" bestFit="1" customWidth="1"/>
    <col min="3775" max="3775" width="6.140625" bestFit="1" customWidth="1"/>
    <col min="3776" max="3778" width="8" bestFit="1" customWidth="1"/>
    <col min="3779" max="3780" width="7" bestFit="1" customWidth="1"/>
    <col min="3781" max="3784" width="8" bestFit="1" customWidth="1"/>
    <col min="3785" max="3785" width="7" bestFit="1" customWidth="1"/>
    <col min="3786" max="3787" width="8" bestFit="1" customWidth="1"/>
    <col min="3788" max="3788" width="7" bestFit="1" customWidth="1"/>
    <col min="3789" max="3789" width="8" bestFit="1" customWidth="1"/>
    <col min="3790" max="3791" width="7" bestFit="1" customWidth="1"/>
    <col min="3792" max="3793" width="8" bestFit="1" customWidth="1"/>
    <col min="3794" max="3794" width="7" bestFit="1" customWidth="1"/>
    <col min="3795" max="3795" width="8" bestFit="1" customWidth="1"/>
    <col min="3796" max="3796" width="7" bestFit="1" customWidth="1"/>
    <col min="3797" max="3797" width="6.140625" bestFit="1" customWidth="1"/>
    <col min="3798" max="3798" width="7" bestFit="1" customWidth="1"/>
    <col min="3799" max="3800" width="8" bestFit="1" customWidth="1"/>
    <col min="3801" max="3801" width="7" bestFit="1" customWidth="1"/>
    <col min="3802" max="3806" width="8" bestFit="1" customWidth="1"/>
    <col min="3807" max="3809" width="7" bestFit="1" customWidth="1"/>
    <col min="3810" max="3811" width="8" bestFit="1" customWidth="1"/>
    <col min="3812" max="3812" width="6.140625" bestFit="1" customWidth="1"/>
    <col min="3813" max="3823" width="8" bestFit="1" customWidth="1"/>
    <col min="3824" max="3824" width="7" bestFit="1" customWidth="1"/>
    <col min="3825" max="3826" width="8" bestFit="1" customWidth="1"/>
    <col min="3827" max="3829" width="7" bestFit="1" customWidth="1"/>
    <col min="3830" max="3837" width="8" bestFit="1" customWidth="1"/>
    <col min="3838" max="3838" width="7" bestFit="1" customWidth="1"/>
    <col min="3839" max="3839" width="8" bestFit="1" customWidth="1"/>
    <col min="3840" max="3840" width="6.140625" bestFit="1" customWidth="1"/>
    <col min="3841" max="3843" width="8" bestFit="1" customWidth="1"/>
    <col min="3844" max="3844" width="6.140625" bestFit="1" customWidth="1"/>
    <col min="3845" max="3853" width="8" bestFit="1" customWidth="1"/>
    <col min="3854" max="3854" width="7" bestFit="1" customWidth="1"/>
    <col min="3855" max="3857" width="8" bestFit="1" customWidth="1"/>
    <col min="3858" max="3858" width="6.140625" bestFit="1" customWidth="1"/>
    <col min="3859" max="3861" width="8" bestFit="1" customWidth="1"/>
    <col min="3862" max="3864" width="7" bestFit="1" customWidth="1"/>
    <col min="3865" max="3867" width="8" bestFit="1" customWidth="1"/>
    <col min="3868" max="3868" width="7" bestFit="1" customWidth="1"/>
    <col min="3869" max="3871" width="8" bestFit="1" customWidth="1"/>
    <col min="3872" max="3872" width="6.140625" bestFit="1" customWidth="1"/>
    <col min="3873" max="3873" width="7" bestFit="1" customWidth="1"/>
    <col min="3874" max="3878" width="8" bestFit="1" customWidth="1"/>
    <col min="3879" max="3879" width="7" bestFit="1" customWidth="1"/>
    <col min="3880" max="3882" width="8" bestFit="1" customWidth="1"/>
    <col min="3883" max="3883" width="7" bestFit="1" customWidth="1"/>
    <col min="3884" max="3888" width="8" bestFit="1" customWidth="1"/>
    <col min="3889" max="3889" width="6.140625" bestFit="1" customWidth="1"/>
    <col min="3890" max="3891" width="8" bestFit="1" customWidth="1"/>
    <col min="3892" max="3892" width="7" bestFit="1" customWidth="1"/>
    <col min="3893" max="3896" width="8" bestFit="1" customWidth="1"/>
    <col min="3897" max="3897" width="7" bestFit="1" customWidth="1"/>
    <col min="3898" max="3898" width="8" bestFit="1" customWidth="1"/>
    <col min="3899" max="3899" width="6.140625" bestFit="1" customWidth="1"/>
    <col min="3900" max="3903" width="8" bestFit="1" customWidth="1"/>
    <col min="3904" max="3904" width="7" bestFit="1" customWidth="1"/>
    <col min="3905" max="3909" width="8" bestFit="1" customWidth="1"/>
    <col min="3910" max="3910" width="6.140625" bestFit="1" customWidth="1"/>
    <col min="3911" max="3919" width="8" bestFit="1" customWidth="1"/>
    <col min="3920" max="3922" width="7" bestFit="1" customWidth="1"/>
    <col min="3923" max="3928" width="8" bestFit="1" customWidth="1"/>
    <col min="3929" max="3931" width="7" bestFit="1" customWidth="1"/>
    <col min="3932" max="3932" width="8" bestFit="1" customWidth="1"/>
    <col min="3933" max="3933" width="7" bestFit="1" customWidth="1"/>
    <col min="3934" max="3942" width="8" bestFit="1" customWidth="1"/>
    <col min="3943" max="3943" width="7" bestFit="1" customWidth="1"/>
    <col min="3944" max="3947" width="8" bestFit="1" customWidth="1"/>
    <col min="3948" max="3948" width="7" bestFit="1" customWidth="1"/>
    <col min="3949" max="3952" width="8" bestFit="1" customWidth="1"/>
    <col min="3953" max="3953" width="7" bestFit="1" customWidth="1"/>
    <col min="3954" max="3956" width="8" bestFit="1" customWidth="1"/>
    <col min="3957" max="3957" width="6.140625" bestFit="1" customWidth="1"/>
    <col min="3958" max="3958" width="8" bestFit="1" customWidth="1"/>
    <col min="3959" max="3959" width="7" bestFit="1" customWidth="1"/>
    <col min="3960" max="3960" width="6.140625" bestFit="1" customWidth="1"/>
    <col min="3961" max="3969" width="8" bestFit="1" customWidth="1"/>
    <col min="3970" max="3970" width="7" bestFit="1" customWidth="1"/>
    <col min="3971" max="3974" width="8" bestFit="1" customWidth="1"/>
    <col min="3975" max="3975" width="6.140625" bestFit="1" customWidth="1"/>
    <col min="3976" max="3977" width="8" bestFit="1" customWidth="1"/>
    <col min="3978" max="3979" width="7" bestFit="1" customWidth="1"/>
    <col min="3980" max="3980" width="8" bestFit="1" customWidth="1"/>
    <col min="3981" max="3981" width="7" bestFit="1" customWidth="1"/>
    <col min="3982" max="3986" width="8" bestFit="1" customWidth="1"/>
    <col min="3987" max="3987" width="7" bestFit="1" customWidth="1"/>
    <col min="3988" max="3988" width="6.140625" bestFit="1" customWidth="1"/>
    <col min="3989" max="3990" width="7" bestFit="1" customWidth="1"/>
    <col min="3991" max="4001" width="8" bestFit="1" customWidth="1"/>
    <col min="4002" max="4002" width="6.140625" bestFit="1" customWidth="1"/>
    <col min="4003" max="4003" width="8" bestFit="1" customWidth="1"/>
    <col min="4004" max="4004" width="7" bestFit="1" customWidth="1"/>
    <col min="4005" max="4008" width="8" bestFit="1" customWidth="1"/>
    <col min="4009" max="4009" width="6.140625" bestFit="1" customWidth="1"/>
    <col min="4010" max="4010" width="7" bestFit="1" customWidth="1"/>
    <col min="4011" max="4011" width="8" bestFit="1" customWidth="1"/>
    <col min="4012" max="4012" width="6.140625" bestFit="1" customWidth="1"/>
    <col min="4013" max="4014" width="8" bestFit="1" customWidth="1"/>
    <col min="4015" max="4016" width="7" bestFit="1" customWidth="1"/>
    <col min="4017" max="4017" width="6.140625" bestFit="1" customWidth="1"/>
    <col min="4018" max="4023" width="8" bestFit="1" customWidth="1"/>
    <col min="4024" max="4024" width="7" bestFit="1" customWidth="1"/>
    <col min="4025" max="4031" width="8" bestFit="1" customWidth="1"/>
    <col min="4032" max="4032" width="7" bestFit="1" customWidth="1"/>
    <col min="4033" max="4036" width="8" bestFit="1" customWidth="1"/>
    <col min="4037" max="4037" width="6.140625" bestFit="1" customWidth="1"/>
    <col min="4038" max="4040" width="8" bestFit="1" customWidth="1"/>
    <col min="4041" max="4041" width="7" bestFit="1" customWidth="1"/>
    <col min="4042" max="4046" width="8" bestFit="1" customWidth="1"/>
    <col min="4047" max="4047" width="7" bestFit="1" customWidth="1"/>
    <col min="4048" max="4049" width="8" bestFit="1" customWidth="1"/>
    <col min="4050" max="4050" width="7" bestFit="1" customWidth="1"/>
    <col min="4051" max="4053" width="8" bestFit="1" customWidth="1"/>
    <col min="4054" max="4054" width="6.140625" bestFit="1" customWidth="1"/>
    <col min="4055" max="4057" width="8" bestFit="1" customWidth="1"/>
    <col min="4058" max="4058" width="6.140625" bestFit="1" customWidth="1"/>
    <col min="4059" max="4061" width="8" bestFit="1" customWidth="1"/>
    <col min="4062" max="4062" width="7" bestFit="1" customWidth="1"/>
    <col min="4063" max="4063" width="6.140625" bestFit="1" customWidth="1"/>
    <col min="4064" max="4068" width="8" bestFit="1" customWidth="1"/>
    <col min="4069" max="4069" width="7" bestFit="1" customWidth="1"/>
    <col min="4070" max="4070" width="8" bestFit="1" customWidth="1"/>
    <col min="4071" max="4072" width="7" bestFit="1" customWidth="1"/>
    <col min="4073" max="4073" width="8" bestFit="1" customWidth="1"/>
    <col min="4074" max="4075" width="6.140625" bestFit="1" customWidth="1"/>
    <col min="4076" max="4081" width="8" bestFit="1" customWidth="1"/>
    <col min="4082" max="4082" width="7" bestFit="1" customWidth="1"/>
    <col min="4083" max="4083" width="8" bestFit="1" customWidth="1"/>
    <col min="4084" max="4085" width="7" bestFit="1" customWidth="1"/>
    <col min="4086" max="4088" width="8" bestFit="1" customWidth="1"/>
    <col min="4089" max="4090" width="7" bestFit="1" customWidth="1"/>
    <col min="4091" max="4091" width="8" bestFit="1" customWidth="1"/>
    <col min="4092" max="4092" width="7" bestFit="1" customWidth="1"/>
    <col min="4093" max="4106" width="8" bestFit="1" customWidth="1"/>
    <col min="4107" max="4107" width="7" bestFit="1" customWidth="1"/>
    <col min="4108" max="4108" width="6.140625" bestFit="1" customWidth="1"/>
    <col min="4109" max="4110" width="7" bestFit="1" customWidth="1"/>
    <col min="4111" max="4121" width="8" bestFit="1" customWidth="1"/>
    <col min="4122" max="4122" width="6.140625" bestFit="1" customWidth="1"/>
    <col min="4123" max="4126" width="8" bestFit="1" customWidth="1"/>
    <col min="4127" max="4127" width="6.140625" bestFit="1" customWidth="1"/>
    <col min="4128" max="4131" width="8" bestFit="1" customWidth="1"/>
    <col min="4132" max="4132" width="6.140625" bestFit="1" customWidth="1"/>
    <col min="4133" max="4141" width="8" bestFit="1" customWidth="1"/>
    <col min="4142" max="4142" width="7" bestFit="1" customWidth="1"/>
    <col min="4143" max="4143" width="8" bestFit="1" customWidth="1"/>
    <col min="4144" max="4144" width="6.140625" bestFit="1" customWidth="1"/>
    <col min="4145" max="4147" width="8" bestFit="1" customWidth="1"/>
    <col min="4148" max="4148" width="7" bestFit="1" customWidth="1"/>
    <col min="4149" max="4150" width="8" bestFit="1" customWidth="1"/>
    <col min="4151" max="4151" width="6.140625" bestFit="1" customWidth="1"/>
    <col min="4152" max="4152" width="7" bestFit="1" customWidth="1"/>
    <col min="4153" max="4154" width="8" bestFit="1" customWidth="1"/>
    <col min="4155" max="4155" width="6.140625" bestFit="1" customWidth="1"/>
    <col min="4156" max="4158" width="8" bestFit="1" customWidth="1"/>
    <col min="4159" max="4159" width="7" bestFit="1" customWidth="1"/>
    <col min="4160" max="4161" width="8" bestFit="1" customWidth="1"/>
    <col min="4162" max="4163" width="7" bestFit="1" customWidth="1"/>
    <col min="4164" max="4166" width="8" bestFit="1" customWidth="1"/>
    <col min="4167" max="4167" width="7" bestFit="1" customWidth="1"/>
    <col min="4168" max="4173" width="8" bestFit="1" customWidth="1"/>
    <col min="4174" max="4174" width="6.140625" bestFit="1" customWidth="1"/>
    <col min="4175" max="4179" width="8" bestFit="1" customWidth="1"/>
    <col min="4180" max="4180" width="7" bestFit="1" customWidth="1"/>
    <col min="4181" max="4182" width="8" bestFit="1" customWidth="1"/>
    <col min="4183" max="4183" width="7" bestFit="1" customWidth="1"/>
    <col min="4184" max="4185" width="8" bestFit="1" customWidth="1"/>
    <col min="4186" max="4186" width="7" bestFit="1" customWidth="1"/>
    <col min="4187" max="4188" width="8" bestFit="1" customWidth="1"/>
    <col min="4189" max="4189" width="7" bestFit="1" customWidth="1"/>
    <col min="4190" max="4190" width="8" bestFit="1" customWidth="1"/>
    <col min="4191" max="4191" width="7" bestFit="1" customWidth="1"/>
    <col min="4192" max="4192" width="8" bestFit="1" customWidth="1"/>
    <col min="4193" max="4193" width="6.140625" bestFit="1" customWidth="1"/>
    <col min="4194" max="4194" width="7" bestFit="1" customWidth="1"/>
    <col min="4195" max="4195" width="6.140625" bestFit="1" customWidth="1"/>
    <col min="4196" max="4200" width="8" bestFit="1" customWidth="1"/>
    <col min="4201" max="4201" width="7" bestFit="1" customWidth="1"/>
    <col min="4202" max="4206" width="8" bestFit="1" customWidth="1"/>
    <col min="4207" max="4207" width="6.140625" bestFit="1" customWidth="1"/>
    <col min="4208" max="4212" width="8" bestFit="1" customWidth="1"/>
    <col min="4213" max="4213" width="7" bestFit="1" customWidth="1"/>
    <col min="4214" max="4215" width="8" bestFit="1" customWidth="1"/>
    <col min="4216" max="4216" width="6.140625" bestFit="1" customWidth="1"/>
    <col min="4217" max="4217" width="8" bestFit="1" customWidth="1"/>
    <col min="4218" max="4218" width="7" bestFit="1" customWidth="1"/>
    <col min="4219" max="4219" width="8" bestFit="1" customWidth="1"/>
    <col min="4220" max="4220" width="7" bestFit="1" customWidth="1"/>
    <col min="4221" max="4221" width="8" bestFit="1" customWidth="1"/>
    <col min="4222" max="4222" width="6.140625" bestFit="1" customWidth="1"/>
    <col min="4223" max="4223" width="7" bestFit="1" customWidth="1"/>
    <col min="4224" max="4232" width="8" bestFit="1" customWidth="1"/>
    <col min="4233" max="4233" width="7" bestFit="1" customWidth="1"/>
    <col min="4234" max="4234" width="8" bestFit="1" customWidth="1"/>
    <col min="4235" max="4235" width="7" bestFit="1" customWidth="1"/>
    <col min="4236" max="4236" width="6.140625" bestFit="1" customWidth="1"/>
    <col min="4237" max="4237" width="8" bestFit="1" customWidth="1"/>
    <col min="4238" max="4238" width="6.140625" bestFit="1" customWidth="1"/>
    <col min="4239" max="4246" width="8" bestFit="1" customWidth="1"/>
    <col min="4247" max="4247" width="7" bestFit="1" customWidth="1"/>
    <col min="4248" max="4250" width="8" bestFit="1" customWidth="1"/>
    <col min="4251" max="4252" width="7" bestFit="1" customWidth="1"/>
    <col min="4253" max="4258" width="8" bestFit="1" customWidth="1"/>
    <col min="4259" max="4259" width="7" bestFit="1" customWidth="1"/>
    <col min="4260" max="4260" width="8" bestFit="1" customWidth="1"/>
    <col min="4261" max="4261" width="7" bestFit="1" customWidth="1"/>
    <col min="4262" max="4262" width="8" bestFit="1" customWidth="1"/>
    <col min="4263" max="4263" width="7" bestFit="1" customWidth="1"/>
    <col min="4264" max="4264" width="8" bestFit="1" customWidth="1"/>
    <col min="4265" max="4265" width="6.140625" bestFit="1" customWidth="1"/>
    <col min="4266" max="4272" width="8" bestFit="1" customWidth="1"/>
    <col min="4273" max="4273" width="7" bestFit="1" customWidth="1"/>
    <col min="4274" max="4278" width="8" bestFit="1" customWidth="1"/>
    <col min="4279" max="4279" width="6.140625" bestFit="1" customWidth="1"/>
    <col min="4280" max="4280" width="7" bestFit="1" customWidth="1"/>
    <col min="4281" max="4281" width="6.140625" bestFit="1" customWidth="1"/>
    <col min="4282" max="4285" width="8" bestFit="1" customWidth="1"/>
    <col min="4286" max="4286" width="6.140625" bestFit="1" customWidth="1"/>
    <col min="4287" max="4287" width="7" bestFit="1" customWidth="1"/>
    <col min="4288" max="4293" width="8" bestFit="1" customWidth="1"/>
    <col min="4294" max="4294" width="7" bestFit="1" customWidth="1"/>
    <col min="4295" max="4295" width="8" bestFit="1" customWidth="1"/>
    <col min="4296" max="4297" width="7" bestFit="1" customWidth="1"/>
    <col min="4298" max="4298" width="8" bestFit="1" customWidth="1"/>
    <col min="4299" max="4299" width="7" bestFit="1" customWidth="1"/>
    <col min="4300" max="4300" width="8" bestFit="1" customWidth="1"/>
    <col min="4301" max="4301" width="7" bestFit="1" customWidth="1"/>
    <col min="4302" max="4306" width="8" bestFit="1" customWidth="1"/>
    <col min="4307" max="4307" width="7" bestFit="1" customWidth="1"/>
    <col min="4308" max="4308" width="8" bestFit="1" customWidth="1"/>
    <col min="4309" max="4309" width="6.140625" bestFit="1" customWidth="1"/>
    <col min="4310" max="4310" width="8" bestFit="1" customWidth="1"/>
    <col min="4311" max="4312" width="7" bestFit="1" customWidth="1"/>
    <col min="4313" max="4315" width="8" bestFit="1" customWidth="1"/>
    <col min="4316" max="4317" width="7" bestFit="1" customWidth="1"/>
    <col min="4318" max="4321" width="8" bestFit="1" customWidth="1"/>
    <col min="4322" max="4323" width="7" bestFit="1" customWidth="1"/>
    <col min="4324" max="4324" width="8" bestFit="1" customWidth="1"/>
    <col min="4325" max="4325" width="6.140625" bestFit="1" customWidth="1"/>
    <col min="4326" max="4326" width="7" bestFit="1" customWidth="1"/>
    <col min="4327" max="4343" width="8" bestFit="1" customWidth="1"/>
    <col min="4344" max="4344" width="7" bestFit="1" customWidth="1"/>
    <col min="4345" max="4345" width="8" bestFit="1" customWidth="1"/>
    <col min="4346" max="4346" width="7" bestFit="1" customWidth="1"/>
    <col min="4347" max="4347" width="8" bestFit="1" customWidth="1"/>
    <col min="4348" max="4348" width="7" bestFit="1" customWidth="1"/>
    <col min="4349" max="4353" width="8" bestFit="1" customWidth="1"/>
    <col min="4354" max="4354" width="7" bestFit="1" customWidth="1"/>
    <col min="4355" max="4355" width="8" bestFit="1" customWidth="1"/>
    <col min="4356" max="4356" width="7" bestFit="1" customWidth="1"/>
    <col min="4357" max="4357" width="6.140625" bestFit="1" customWidth="1"/>
    <col min="4358" max="4359" width="7" bestFit="1" customWidth="1"/>
    <col min="4360" max="4363" width="8" bestFit="1" customWidth="1"/>
    <col min="4364" max="4364" width="6.140625" bestFit="1" customWidth="1"/>
    <col min="4365" max="4369" width="8" bestFit="1" customWidth="1"/>
    <col min="4370" max="4370" width="6.140625" bestFit="1" customWidth="1"/>
    <col min="4371" max="4371" width="8" bestFit="1" customWidth="1"/>
    <col min="4372" max="4372" width="7" bestFit="1" customWidth="1"/>
    <col min="4373" max="4373" width="8" bestFit="1" customWidth="1"/>
    <col min="4374" max="4374" width="7" bestFit="1" customWidth="1"/>
    <col min="4375" max="4375" width="8" bestFit="1" customWidth="1"/>
    <col min="4376" max="4376" width="6.140625" bestFit="1" customWidth="1"/>
    <col min="4377" max="4378" width="8" bestFit="1" customWidth="1"/>
    <col min="4379" max="4379" width="6.140625" bestFit="1" customWidth="1"/>
    <col min="4380" max="4380" width="8" bestFit="1" customWidth="1"/>
    <col min="4381" max="4381" width="7" bestFit="1" customWidth="1"/>
    <col min="4382" max="4383" width="8" bestFit="1" customWidth="1"/>
    <col min="4384" max="4384" width="7" bestFit="1" customWidth="1"/>
    <col min="4385" max="4391" width="8" bestFit="1" customWidth="1"/>
    <col min="4392" max="4392" width="6.140625" bestFit="1" customWidth="1"/>
    <col min="4393" max="4394" width="8" bestFit="1" customWidth="1"/>
    <col min="4395" max="4395" width="6.140625" bestFit="1" customWidth="1"/>
    <col min="4396" max="4396" width="7" bestFit="1" customWidth="1"/>
    <col min="4397" max="4397" width="6.140625" bestFit="1" customWidth="1"/>
    <col min="4398" max="4400" width="8" bestFit="1" customWidth="1"/>
    <col min="4401" max="4402" width="7" bestFit="1" customWidth="1"/>
    <col min="4403" max="4409" width="8" bestFit="1" customWidth="1"/>
    <col min="4410" max="4410" width="7" bestFit="1" customWidth="1"/>
    <col min="4411" max="4416" width="8" bestFit="1" customWidth="1"/>
    <col min="4417" max="4417" width="7" bestFit="1" customWidth="1"/>
    <col min="4418" max="4422" width="8" bestFit="1" customWidth="1"/>
    <col min="4423" max="4423" width="6.140625" bestFit="1" customWidth="1"/>
    <col min="4424" max="4426" width="8" bestFit="1" customWidth="1"/>
    <col min="4427" max="4427" width="7" bestFit="1" customWidth="1"/>
    <col min="4428" max="4434" width="8" bestFit="1" customWidth="1"/>
    <col min="4435" max="4435" width="7" bestFit="1" customWidth="1"/>
    <col min="4436" max="4436" width="8" bestFit="1" customWidth="1"/>
    <col min="4437" max="4437" width="6.140625" bestFit="1" customWidth="1"/>
    <col min="4438" max="4443" width="8" bestFit="1" customWidth="1"/>
    <col min="4444" max="4444" width="7" bestFit="1" customWidth="1"/>
    <col min="4445" max="4448" width="8" bestFit="1" customWidth="1"/>
    <col min="4449" max="4449" width="6.140625" bestFit="1" customWidth="1"/>
    <col min="4450" max="4450" width="8" bestFit="1" customWidth="1"/>
    <col min="4451" max="4453" width="7" bestFit="1" customWidth="1"/>
    <col min="4454" max="4458" width="8" bestFit="1" customWidth="1"/>
    <col min="4459" max="4459" width="7" bestFit="1" customWidth="1"/>
    <col min="4460" max="4460" width="6.140625" bestFit="1" customWidth="1"/>
    <col min="4461" max="4461" width="7" bestFit="1" customWidth="1"/>
    <col min="4462" max="4462" width="6.140625" bestFit="1" customWidth="1"/>
    <col min="4463" max="4465" width="8" bestFit="1" customWidth="1"/>
    <col min="4466" max="4466" width="7" bestFit="1" customWidth="1"/>
    <col min="4467" max="4467" width="8" bestFit="1" customWidth="1"/>
    <col min="4468" max="4469" width="7" bestFit="1" customWidth="1"/>
    <col min="4470" max="4470" width="8" bestFit="1" customWidth="1"/>
    <col min="4471" max="4471" width="6.140625" bestFit="1" customWidth="1"/>
    <col min="4472" max="4472" width="7" bestFit="1" customWidth="1"/>
    <col min="4473" max="4474" width="8" bestFit="1" customWidth="1"/>
    <col min="4475" max="4475" width="6.140625" bestFit="1" customWidth="1"/>
    <col min="4476" max="4476" width="7" bestFit="1" customWidth="1"/>
    <col min="4477" max="4477" width="6.140625" bestFit="1" customWidth="1"/>
    <col min="4478" max="4478" width="8" bestFit="1" customWidth="1"/>
    <col min="4479" max="4479" width="7" bestFit="1" customWidth="1"/>
    <col min="4480" max="4480" width="8" bestFit="1" customWidth="1"/>
    <col min="4481" max="4481" width="6.140625" bestFit="1" customWidth="1"/>
    <col min="4482" max="4483" width="7" bestFit="1" customWidth="1"/>
    <col min="4484" max="4485" width="8" bestFit="1" customWidth="1"/>
    <col min="4486" max="4487" width="7" bestFit="1" customWidth="1"/>
    <col min="4488" max="4488" width="8" bestFit="1" customWidth="1"/>
    <col min="4489" max="4489" width="7" bestFit="1" customWidth="1"/>
    <col min="4490" max="4490" width="8" bestFit="1" customWidth="1"/>
    <col min="4491" max="4492" width="7" bestFit="1" customWidth="1"/>
    <col min="4493" max="4493" width="8" bestFit="1" customWidth="1"/>
    <col min="4494" max="4494" width="7" bestFit="1" customWidth="1"/>
    <col min="4495" max="4500" width="8" bestFit="1" customWidth="1"/>
    <col min="4501" max="4501" width="7" bestFit="1" customWidth="1"/>
    <col min="4502" max="4502" width="6.140625" bestFit="1" customWidth="1"/>
    <col min="4503" max="4503" width="7" bestFit="1" customWidth="1"/>
    <col min="4504" max="4504" width="8" bestFit="1" customWidth="1"/>
    <col min="4505" max="4505" width="7" bestFit="1" customWidth="1"/>
    <col min="4506" max="4506" width="8" bestFit="1" customWidth="1"/>
    <col min="4507" max="4507" width="7" bestFit="1" customWidth="1"/>
    <col min="4508" max="4510" width="8" bestFit="1" customWidth="1"/>
    <col min="4511" max="4511" width="7" bestFit="1" customWidth="1"/>
    <col min="4512" max="4513" width="8" bestFit="1" customWidth="1"/>
    <col min="4514" max="4514" width="7" bestFit="1" customWidth="1"/>
    <col min="4515" max="4515" width="8" bestFit="1" customWidth="1"/>
    <col min="4516" max="4518" width="7" bestFit="1" customWidth="1"/>
    <col min="4519" max="4519" width="8" bestFit="1" customWidth="1"/>
    <col min="4520" max="4520" width="7" bestFit="1" customWidth="1"/>
    <col min="4521" max="4521" width="8" bestFit="1" customWidth="1"/>
    <col min="4522" max="4522" width="6.140625" bestFit="1" customWidth="1"/>
    <col min="4523" max="4523" width="8" bestFit="1" customWidth="1"/>
    <col min="4524" max="4524" width="7" bestFit="1" customWidth="1"/>
    <col min="4525" max="4525" width="8" bestFit="1" customWidth="1"/>
    <col min="4526" max="4526" width="6.140625" bestFit="1" customWidth="1"/>
    <col min="4527" max="4527" width="8" bestFit="1" customWidth="1"/>
    <col min="4528" max="4528" width="7" bestFit="1" customWidth="1"/>
    <col min="4529" max="4530" width="8" bestFit="1" customWidth="1"/>
    <col min="4531" max="4531" width="7" bestFit="1" customWidth="1"/>
    <col min="4532" max="4534" width="8" bestFit="1" customWidth="1"/>
    <col min="4535" max="4535" width="7" bestFit="1" customWidth="1"/>
    <col min="4536" max="4536" width="6.140625" bestFit="1" customWidth="1"/>
    <col min="4537" max="4537" width="7" bestFit="1" customWidth="1"/>
    <col min="4538" max="4538" width="6.140625" bestFit="1" customWidth="1"/>
    <col min="4539" max="4539" width="8" bestFit="1" customWidth="1"/>
    <col min="4540" max="4540" width="7" bestFit="1" customWidth="1"/>
    <col min="4541" max="4541" width="8" bestFit="1" customWidth="1"/>
    <col min="4542" max="4542" width="6.140625" bestFit="1" customWidth="1"/>
    <col min="4543" max="4545" width="8" bestFit="1" customWidth="1"/>
    <col min="4546" max="4546" width="7" bestFit="1" customWidth="1"/>
    <col min="4547" max="4550" width="8" bestFit="1" customWidth="1"/>
    <col min="4551" max="4551" width="7" bestFit="1" customWidth="1"/>
    <col min="4552" max="4552" width="8" bestFit="1" customWidth="1"/>
    <col min="4553" max="4554" width="7" bestFit="1" customWidth="1"/>
    <col min="4555" max="4555" width="6.140625" bestFit="1" customWidth="1"/>
    <col min="4556" max="4556" width="7" bestFit="1" customWidth="1"/>
    <col min="4557" max="4559" width="8" bestFit="1" customWidth="1"/>
    <col min="4560" max="4561" width="6.140625" bestFit="1" customWidth="1"/>
    <col min="4562" max="4565" width="8" bestFit="1" customWidth="1"/>
    <col min="4566" max="4566" width="7" bestFit="1" customWidth="1"/>
    <col min="4567" max="4567" width="6.140625" bestFit="1" customWidth="1"/>
    <col min="4568" max="4569" width="7" bestFit="1" customWidth="1"/>
    <col min="4570" max="4570" width="8" bestFit="1" customWidth="1"/>
    <col min="4571" max="4571" width="7" bestFit="1" customWidth="1"/>
    <col min="4572" max="4572" width="8" bestFit="1" customWidth="1"/>
    <col min="4573" max="4573" width="7" bestFit="1" customWidth="1"/>
    <col min="4574" max="4575" width="8" bestFit="1" customWidth="1"/>
    <col min="4576" max="4576" width="7" bestFit="1" customWidth="1"/>
    <col min="4577" max="4577" width="8" bestFit="1" customWidth="1"/>
    <col min="4578" max="4578" width="7" bestFit="1" customWidth="1"/>
    <col min="4579" max="4580" width="6.140625" bestFit="1" customWidth="1"/>
    <col min="4581" max="4581" width="7" bestFit="1" customWidth="1"/>
    <col min="4582" max="4583" width="8" bestFit="1" customWidth="1"/>
    <col min="4584" max="4584" width="7" bestFit="1" customWidth="1"/>
    <col min="4585" max="4585" width="8" bestFit="1" customWidth="1"/>
    <col min="4586" max="4587" width="6.140625" bestFit="1" customWidth="1"/>
    <col min="4588" max="4590" width="8" bestFit="1" customWidth="1"/>
    <col min="4591" max="4591" width="7" bestFit="1" customWidth="1"/>
    <col min="4592" max="4593" width="6.140625" bestFit="1" customWidth="1"/>
    <col min="4594" max="4596" width="8" bestFit="1" customWidth="1"/>
    <col min="4597" max="4599" width="6.140625" bestFit="1" customWidth="1"/>
    <col min="4600" max="4600" width="8" bestFit="1" customWidth="1"/>
    <col min="4601" max="4601" width="6.140625" bestFit="1" customWidth="1"/>
    <col min="4602" max="4604" width="8" bestFit="1" customWidth="1"/>
    <col min="4605" max="4605" width="6.140625" bestFit="1" customWidth="1"/>
    <col min="4606" max="4606" width="8" bestFit="1" customWidth="1"/>
    <col min="4607" max="4609" width="6.140625" bestFit="1" customWidth="1"/>
    <col min="4610" max="4611" width="7" bestFit="1" customWidth="1"/>
    <col min="4612" max="4612" width="6.140625" bestFit="1" customWidth="1"/>
    <col min="4613" max="4613" width="8" bestFit="1" customWidth="1"/>
    <col min="4614" max="4616" width="6.140625" bestFit="1" customWidth="1"/>
    <col min="4617" max="4617" width="8" bestFit="1" customWidth="1"/>
    <col min="4618" max="4620" width="6.140625" bestFit="1" customWidth="1"/>
    <col min="4621" max="4621" width="7" bestFit="1" customWidth="1"/>
    <col min="4622" max="4627" width="6.140625" bestFit="1" customWidth="1"/>
    <col min="4628" max="4628" width="8" bestFit="1" customWidth="1"/>
    <col min="4629" max="4629" width="6.140625" bestFit="1" customWidth="1"/>
    <col min="4630" max="4630" width="8" bestFit="1" customWidth="1"/>
    <col min="4631" max="4631" width="19.42578125" bestFit="1" customWidth="1"/>
    <col min="4632" max="4632" width="27.42578125" bestFit="1" customWidth="1"/>
    <col min="4633" max="4633" width="19" bestFit="1" customWidth="1"/>
  </cols>
  <sheetData>
    <row r="1" spans="1:8" ht="21" x14ac:dyDescent="0.35">
      <c r="B1" s="20" t="s">
        <v>708</v>
      </c>
    </row>
    <row r="3" spans="1:8" ht="15.75" x14ac:dyDescent="0.25">
      <c r="A3" s="21" t="s">
        <v>705</v>
      </c>
      <c r="B3" s="21" t="s">
        <v>699</v>
      </c>
      <c r="C3" s="22" t="s">
        <v>702</v>
      </c>
      <c r="D3" s="23" t="s">
        <v>697</v>
      </c>
      <c r="E3" s="21" t="s">
        <v>703</v>
      </c>
    </row>
    <row r="4" spans="1:8" x14ac:dyDescent="0.25">
      <c r="A4">
        <f>RANK(C4,$C$4:$C$13,0)</f>
        <v>1</v>
      </c>
      <c r="B4" s="9" t="s">
        <v>174</v>
      </c>
      <c r="C4" s="11">
        <v>766195.05000000028</v>
      </c>
      <c r="D4" s="12">
        <v>9327</v>
      </c>
      <c r="E4" s="10">
        <v>0.31355075169674534</v>
      </c>
    </row>
    <row r="5" spans="1:8" x14ac:dyDescent="0.25">
      <c r="A5">
        <f t="shared" ref="A5:A13" si="0">RANK(C5,$C$4:$C$13,0)</f>
        <v>2</v>
      </c>
      <c r="B5" s="9" t="s">
        <v>272</v>
      </c>
      <c r="C5" s="11">
        <v>530587.19000000018</v>
      </c>
      <c r="D5" s="12">
        <v>6366</v>
      </c>
      <c r="E5" s="10">
        <v>0.21713271609515597</v>
      </c>
    </row>
    <row r="6" spans="1:8" x14ac:dyDescent="0.25">
      <c r="A6">
        <f t="shared" si="0"/>
        <v>3</v>
      </c>
      <c r="B6" s="9" t="s">
        <v>89</v>
      </c>
      <c r="C6" s="11">
        <v>164575.87000000002</v>
      </c>
      <c r="D6" s="12">
        <v>1926</v>
      </c>
      <c r="E6" s="10">
        <v>6.7349544674878581E-2</v>
      </c>
    </row>
    <row r="7" spans="1:8" x14ac:dyDescent="0.25">
      <c r="A7">
        <f t="shared" si="0"/>
        <v>4</v>
      </c>
      <c r="B7" s="9" t="s">
        <v>114</v>
      </c>
      <c r="C7" s="11">
        <v>153909.82</v>
      </c>
      <c r="D7" s="12">
        <v>1832</v>
      </c>
      <c r="E7" s="10">
        <v>6.2984666573492942E-2</v>
      </c>
      <c r="H7" s="18"/>
    </row>
    <row r="8" spans="1:8" x14ac:dyDescent="0.25">
      <c r="A8">
        <f t="shared" si="0"/>
        <v>5</v>
      </c>
      <c r="B8" s="9" t="s">
        <v>475</v>
      </c>
      <c r="C8" s="11">
        <v>151782.03999999992</v>
      </c>
      <c r="D8" s="12">
        <v>1775</v>
      </c>
      <c r="E8" s="10">
        <v>6.2113913077440824E-2</v>
      </c>
    </row>
    <row r="9" spans="1:8" x14ac:dyDescent="0.25">
      <c r="A9">
        <f t="shared" si="0"/>
        <v>6</v>
      </c>
      <c r="B9" s="9" t="s">
        <v>28</v>
      </c>
      <c r="C9" s="11">
        <v>138798.17000000001</v>
      </c>
      <c r="D9" s="12">
        <v>1631</v>
      </c>
      <c r="E9" s="10">
        <v>5.6800511224436433E-2</v>
      </c>
    </row>
    <row r="10" spans="1:8" x14ac:dyDescent="0.25">
      <c r="A10">
        <f t="shared" si="0"/>
        <v>7</v>
      </c>
      <c r="B10" s="9" t="s">
        <v>492</v>
      </c>
      <c r="C10" s="11">
        <v>136873.25</v>
      </c>
      <c r="D10" s="12">
        <v>1778</v>
      </c>
      <c r="E10" s="10">
        <v>5.6012774325123263E-2</v>
      </c>
    </row>
    <row r="11" spans="1:8" x14ac:dyDescent="0.25">
      <c r="A11">
        <f t="shared" si="0"/>
        <v>8</v>
      </c>
      <c r="B11" s="9" t="s">
        <v>397</v>
      </c>
      <c r="C11" s="11">
        <v>136383.03999999998</v>
      </c>
      <c r="D11" s="12">
        <v>1656</v>
      </c>
      <c r="E11" s="10">
        <v>5.5812165206088532E-2</v>
      </c>
    </row>
    <row r="12" spans="1:8" x14ac:dyDescent="0.25">
      <c r="A12">
        <f t="shared" si="0"/>
        <v>9</v>
      </c>
      <c r="B12" s="9" t="s">
        <v>152</v>
      </c>
      <c r="C12" s="11">
        <v>133223.38</v>
      </c>
      <c r="D12" s="12">
        <v>1601</v>
      </c>
      <c r="E12" s="10">
        <v>5.4519134445701695E-2</v>
      </c>
    </row>
    <row r="13" spans="1:8" x14ac:dyDescent="0.25">
      <c r="A13">
        <f t="shared" si="0"/>
        <v>10</v>
      </c>
      <c r="B13" s="9" t="s">
        <v>196</v>
      </c>
      <c r="C13" s="11">
        <v>131279.95000000001</v>
      </c>
      <c r="D13" s="12">
        <v>1524</v>
      </c>
      <c r="E13" s="10">
        <v>5.3723822680936312E-2</v>
      </c>
    </row>
    <row r="14" spans="1:8" ht="15.75" x14ac:dyDescent="0.25">
      <c r="B14" s="24" t="s">
        <v>680</v>
      </c>
      <c r="C14" s="22">
        <v>2443607.7600000007</v>
      </c>
      <c r="D14" s="23">
        <v>29416</v>
      </c>
      <c r="E14" s="25">
        <v>1</v>
      </c>
    </row>
  </sheetData>
  <sheetProtection sheet="1" scenarios="1" selectLockedCells="1" pivotTables="0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6F900-0954-4D91-A9E0-5926B8EFEA4B}">
  <dimension ref="A3:C8"/>
  <sheetViews>
    <sheetView workbookViewId="0">
      <selection activeCell="I12" sqref="I12"/>
    </sheetView>
  </sheetViews>
  <sheetFormatPr defaultRowHeight="15" x14ac:dyDescent="0.25"/>
  <cols>
    <col min="1" max="1" width="34.85546875" bestFit="1" customWidth="1"/>
    <col min="2" max="5" width="14.28515625" bestFit="1" customWidth="1"/>
  </cols>
  <sheetData>
    <row r="3" spans="1:3" ht="21" x14ac:dyDescent="0.35">
      <c r="A3" s="20" t="s">
        <v>707</v>
      </c>
      <c r="B3" s="26" t="s">
        <v>694</v>
      </c>
      <c r="C3" s="26"/>
    </row>
    <row r="4" spans="1:3" ht="15.75" x14ac:dyDescent="0.25">
      <c r="A4" s="14" t="s">
        <v>700</v>
      </c>
      <c r="B4" s="21">
        <v>2003</v>
      </c>
      <c r="C4" s="26" t="s">
        <v>704</v>
      </c>
    </row>
    <row r="5" spans="1:3" x14ac:dyDescent="0.25">
      <c r="A5" s="9" t="s">
        <v>151</v>
      </c>
      <c r="B5" s="11">
        <v>236700</v>
      </c>
      <c r="C5" s="11">
        <v>236700</v>
      </c>
    </row>
    <row r="6" spans="1:3" x14ac:dyDescent="0.25">
      <c r="A6" s="9" t="s">
        <v>51</v>
      </c>
      <c r="B6" s="11">
        <v>1772988.5299999993</v>
      </c>
      <c r="C6" s="11">
        <v>1772988.5299999993</v>
      </c>
    </row>
    <row r="7" spans="1:3" x14ac:dyDescent="0.25">
      <c r="A7" s="9" t="s">
        <v>36</v>
      </c>
      <c r="B7" s="11">
        <v>888461.41000000038</v>
      </c>
      <c r="C7" s="11">
        <v>888461.41000000038</v>
      </c>
    </row>
    <row r="8" spans="1:3" ht="15.75" x14ac:dyDescent="0.25">
      <c r="A8" s="24" t="s">
        <v>704</v>
      </c>
      <c r="B8" s="27">
        <v>2898149.9399999995</v>
      </c>
      <c r="C8" s="27">
        <v>2898149.9399999995</v>
      </c>
    </row>
  </sheetData>
  <sheetProtection sheet="1" objects="1" scenarios="1" selectLockedCells="1" pivotTables="0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87D9FF3-BDD5-4D34-847F-6A555492323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Charts</vt:lpstr>
      </vt:variant>
      <vt:variant>
        <vt:i4>4</vt:i4>
      </vt:variant>
    </vt:vector>
  </HeadingPairs>
  <TitlesOfParts>
    <vt:vector size="11" baseType="lpstr">
      <vt:lpstr>Raw_Data</vt:lpstr>
      <vt:lpstr>Cleaned_Data</vt:lpstr>
      <vt:lpstr>Pivot-ProductLine</vt:lpstr>
      <vt:lpstr>Pivot-Monthly</vt:lpstr>
      <vt:lpstr>Pivot-Country</vt:lpstr>
      <vt:lpstr>Pivot-Customer</vt:lpstr>
      <vt:lpstr>Pivot-DealSize</vt:lpstr>
      <vt:lpstr>Chart1-ProductLine</vt:lpstr>
      <vt:lpstr>Chart2-Monthly</vt:lpstr>
      <vt:lpstr>Chart4-Country</vt:lpstr>
      <vt:lpstr>Chart3-DealSize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LAPENT GLOBAL</dc:creator>
  <cp:keywords/>
  <dc:description/>
  <cp:lastModifiedBy>Abosede Olaoye</cp:lastModifiedBy>
  <cp:revision/>
  <dcterms:created xsi:type="dcterms:W3CDTF">2026-04-30T02:52:45Z</dcterms:created>
  <dcterms:modified xsi:type="dcterms:W3CDTF">2026-06-16T01:39:08Z</dcterms:modified>
  <cp:category/>
  <cp:contentStatus/>
</cp:coreProperties>
</file>